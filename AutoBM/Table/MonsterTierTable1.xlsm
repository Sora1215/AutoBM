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filterPrivacy="1" codeName="현재_통합_문서" defaultThemeVersion="124226"/>
  <xr:revisionPtr revIDLastSave="0" documentId="13_ncr:1_{147ADF14-8ACA-4215-8FDA-CBE4C5242894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onsterTierTable1" sheetId="4" r:id="rId1"/>
  </sheets>
  <definedNames>
    <definedName name="_xlnm._FilterDatabase" localSheetId="0" hidden="1">MonsterTierTable1!$A$2:$O$2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55" i="4" l="1"/>
  <c r="T156" i="4"/>
  <c r="T154" i="4"/>
  <c r="T153" i="4"/>
  <c r="T152" i="4"/>
  <c r="T151" i="4"/>
  <c r="T150" i="4"/>
  <c r="T149" i="4"/>
  <c r="T147" i="4"/>
  <c r="T148" i="4"/>
  <c r="T146" i="4"/>
  <c r="T145" i="4"/>
  <c r="J156" i="4"/>
  <c r="I156" i="4"/>
  <c r="H156" i="4"/>
  <c r="G156" i="4"/>
  <c r="F156" i="4"/>
  <c r="A156" i="4"/>
  <c r="J155" i="4"/>
  <c r="I155" i="4"/>
  <c r="H155" i="4"/>
  <c r="G155" i="4"/>
  <c r="F155" i="4"/>
  <c r="A155" i="4"/>
  <c r="J154" i="4"/>
  <c r="I154" i="4"/>
  <c r="H154" i="4"/>
  <c r="G154" i="4"/>
  <c r="F154" i="4"/>
  <c r="A154" i="4"/>
  <c r="J153" i="4"/>
  <c r="I153" i="4"/>
  <c r="H153" i="4"/>
  <c r="G153" i="4"/>
  <c r="F153" i="4"/>
  <c r="A153" i="4"/>
  <c r="J152" i="4"/>
  <c r="I152" i="4"/>
  <c r="H152" i="4"/>
  <c r="G152" i="4"/>
  <c r="F152" i="4"/>
  <c r="A152" i="4"/>
  <c r="J151" i="4"/>
  <c r="I151" i="4"/>
  <c r="H151" i="4"/>
  <c r="G151" i="4"/>
  <c r="F151" i="4"/>
  <c r="A151" i="4"/>
  <c r="J150" i="4"/>
  <c r="I150" i="4"/>
  <c r="H150" i="4"/>
  <c r="G150" i="4"/>
  <c r="F150" i="4"/>
  <c r="A150" i="4"/>
  <c r="J149" i="4"/>
  <c r="I149" i="4"/>
  <c r="H149" i="4"/>
  <c r="G149" i="4"/>
  <c r="F149" i="4"/>
  <c r="A149" i="4"/>
  <c r="J148" i="4"/>
  <c r="I148" i="4"/>
  <c r="H148" i="4"/>
  <c r="G148" i="4"/>
  <c r="F148" i="4"/>
  <c r="A148" i="4"/>
  <c r="J147" i="4"/>
  <c r="I147" i="4"/>
  <c r="H147" i="4"/>
  <c r="G147" i="4"/>
  <c r="F147" i="4"/>
  <c r="A147" i="4"/>
  <c r="J146" i="4"/>
  <c r="I146" i="4"/>
  <c r="H146" i="4"/>
  <c r="G146" i="4"/>
  <c r="F146" i="4"/>
  <c r="A146" i="4"/>
  <c r="J145" i="4"/>
  <c r="I145" i="4"/>
  <c r="H145" i="4"/>
  <c r="G145" i="4"/>
  <c r="F145" i="4"/>
  <c r="A145" i="4"/>
  <c r="A144" i="4"/>
  <c r="T143" i="4"/>
  <c r="J143" i="4"/>
  <c r="I143" i="4"/>
  <c r="H143" i="4"/>
  <c r="G143" i="4"/>
  <c r="F143" i="4"/>
  <c r="A143" i="4"/>
  <c r="T142" i="4"/>
  <c r="J142" i="4"/>
  <c r="I142" i="4"/>
  <c r="H142" i="4"/>
  <c r="G142" i="4"/>
  <c r="F142" i="4"/>
  <c r="A142" i="4"/>
  <c r="T141" i="4"/>
  <c r="J141" i="4"/>
  <c r="I141" i="4"/>
  <c r="H141" i="4"/>
  <c r="G141" i="4"/>
  <c r="F141" i="4"/>
  <c r="A141" i="4"/>
  <c r="T137" i="4"/>
  <c r="J137" i="4"/>
  <c r="I137" i="4"/>
  <c r="H137" i="4"/>
  <c r="G137" i="4"/>
  <c r="F137" i="4"/>
  <c r="M137" i="4" s="1"/>
  <c r="A137" i="4"/>
  <c r="T136" i="4"/>
  <c r="J136" i="4"/>
  <c r="I136" i="4"/>
  <c r="H136" i="4"/>
  <c r="M136" i="4" s="1"/>
  <c r="G136" i="4"/>
  <c r="F136" i="4"/>
  <c r="A136" i="4"/>
  <c r="T135" i="4"/>
  <c r="J135" i="4"/>
  <c r="M135" i="4" s="1"/>
  <c r="I135" i="4"/>
  <c r="H135" i="4"/>
  <c r="G135" i="4"/>
  <c r="F135" i="4"/>
  <c r="A135" i="4"/>
  <c r="T119" i="4"/>
  <c r="J119" i="4"/>
  <c r="I119" i="4"/>
  <c r="H119" i="4"/>
  <c r="G119" i="4"/>
  <c r="F119" i="4"/>
  <c r="A119" i="4"/>
  <c r="T118" i="4"/>
  <c r="J118" i="4"/>
  <c r="I118" i="4"/>
  <c r="H118" i="4"/>
  <c r="G118" i="4"/>
  <c r="F118" i="4"/>
  <c r="M118" i="4" s="1"/>
  <c r="A118" i="4"/>
  <c r="T117" i="4"/>
  <c r="J117" i="4"/>
  <c r="I117" i="4"/>
  <c r="H117" i="4"/>
  <c r="G117" i="4"/>
  <c r="F117" i="4"/>
  <c r="A117" i="4"/>
  <c r="T115" i="4"/>
  <c r="J115" i="4"/>
  <c r="I115" i="4"/>
  <c r="H115" i="4"/>
  <c r="G115" i="4"/>
  <c r="F115" i="4"/>
  <c r="A115" i="4"/>
  <c r="T112" i="4"/>
  <c r="J112" i="4"/>
  <c r="I112" i="4"/>
  <c r="H112" i="4"/>
  <c r="G112" i="4"/>
  <c r="F112" i="4"/>
  <c r="A112" i="4"/>
  <c r="T107" i="4"/>
  <c r="J107" i="4"/>
  <c r="I107" i="4"/>
  <c r="H107" i="4"/>
  <c r="G107" i="4"/>
  <c r="F107" i="4"/>
  <c r="A107" i="4"/>
  <c r="T105" i="4"/>
  <c r="J105" i="4"/>
  <c r="I105" i="4"/>
  <c r="H105" i="4"/>
  <c r="G105" i="4"/>
  <c r="F105" i="4"/>
  <c r="M105" i="4" s="1"/>
  <c r="A105" i="4"/>
  <c r="T102" i="4"/>
  <c r="J102" i="4"/>
  <c r="I102" i="4"/>
  <c r="H102" i="4"/>
  <c r="G102" i="4"/>
  <c r="F102" i="4"/>
  <c r="A102" i="4"/>
  <c r="T97" i="4"/>
  <c r="J97" i="4"/>
  <c r="I97" i="4"/>
  <c r="H97" i="4"/>
  <c r="G97" i="4"/>
  <c r="F97" i="4"/>
  <c r="A97" i="4"/>
  <c r="M153" i="4" l="1"/>
  <c r="M156" i="4"/>
  <c r="M151" i="4"/>
  <c r="M145" i="4"/>
  <c r="M154" i="4"/>
  <c r="M152" i="4"/>
  <c r="M148" i="4"/>
  <c r="M155" i="4"/>
  <c r="M150" i="4"/>
  <c r="M149" i="4"/>
  <c r="M147" i="4"/>
  <c r="M146" i="4"/>
  <c r="M141" i="4"/>
  <c r="M142" i="4"/>
  <c r="M143" i="4"/>
  <c r="M117" i="4"/>
  <c r="M119" i="4"/>
  <c r="M115" i="4"/>
  <c r="M112" i="4"/>
  <c r="M107" i="4"/>
  <c r="M102" i="4"/>
  <c r="M97" i="4"/>
  <c r="A20" i="4"/>
  <c r="J52" i="4" l="1"/>
  <c r="I52" i="4"/>
  <c r="H52" i="4"/>
  <c r="G52" i="4"/>
  <c r="F52" i="4"/>
  <c r="J51" i="4"/>
  <c r="I51" i="4"/>
  <c r="H51" i="4"/>
  <c r="G51" i="4"/>
  <c r="F51" i="4"/>
  <c r="J95" i="4"/>
  <c r="I95" i="4"/>
  <c r="H95" i="4"/>
  <c r="G95" i="4"/>
  <c r="F95" i="4"/>
  <c r="J94" i="4"/>
  <c r="I94" i="4"/>
  <c r="H94" i="4"/>
  <c r="G94" i="4"/>
  <c r="F94" i="4"/>
  <c r="J62" i="4" l="1"/>
  <c r="I62" i="4"/>
  <c r="H62" i="4"/>
  <c r="G62" i="4"/>
  <c r="F62" i="4"/>
  <c r="J61" i="4"/>
  <c r="I61" i="4"/>
  <c r="H61" i="4"/>
  <c r="G61" i="4"/>
  <c r="F61" i="4"/>
  <c r="T125" i="4" l="1"/>
  <c r="T124" i="4"/>
  <c r="T113" i="4" l="1"/>
  <c r="T111" i="4"/>
  <c r="T110" i="4"/>
  <c r="T109" i="4"/>
  <c r="T108" i="4"/>
  <c r="T122" i="4" l="1"/>
  <c r="J122" i="4"/>
  <c r="I122" i="4"/>
  <c r="H122" i="4"/>
  <c r="G122" i="4"/>
  <c r="F122" i="4"/>
  <c r="T121" i="4"/>
  <c r="J121" i="4"/>
  <c r="I121" i="4"/>
  <c r="H121" i="4"/>
  <c r="G121" i="4"/>
  <c r="F121" i="4"/>
  <c r="T120" i="4"/>
  <c r="J120" i="4"/>
  <c r="I120" i="4"/>
  <c r="H120" i="4"/>
  <c r="G120" i="4"/>
  <c r="F120" i="4"/>
  <c r="M122" i="4" l="1"/>
  <c r="M120" i="4"/>
  <c r="M121" i="4"/>
  <c r="T140" i="4" l="1"/>
  <c r="J140" i="4"/>
  <c r="I140" i="4"/>
  <c r="H140" i="4"/>
  <c r="G140" i="4"/>
  <c r="F140" i="4"/>
  <c r="A140" i="4"/>
  <c r="T139" i="4"/>
  <c r="J139" i="4"/>
  <c r="I139" i="4"/>
  <c r="H139" i="4"/>
  <c r="G139" i="4"/>
  <c r="F139" i="4"/>
  <c r="A139" i="4"/>
  <c r="T138" i="4"/>
  <c r="J138" i="4"/>
  <c r="I138" i="4"/>
  <c r="H138" i="4"/>
  <c r="G138" i="4"/>
  <c r="F138" i="4"/>
  <c r="A138" i="4"/>
  <c r="T134" i="4"/>
  <c r="J134" i="4"/>
  <c r="I134" i="4"/>
  <c r="H134" i="4"/>
  <c r="G134" i="4"/>
  <c r="F134" i="4"/>
  <c r="A134" i="4"/>
  <c r="T133" i="4"/>
  <c r="J133" i="4"/>
  <c r="I133" i="4"/>
  <c r="H133" i="4"/>
  <c r="G133" i="4"/>
  <c r="F133" i="4"/>
  <c r="A133" i="4"/>
  <c r="T132" i="4"/>
  <c r="J132" i="4"/>
  <c r="I132" i="4"/>
  <c r="H132" i="4"/>
  <c r="G132" i="4"/>
  <c r="F132" i="4"/>
  <c r="A132" i="4"/>
  <c r="T131" i="4"/>
  <c r="J131" i="4"/>
  <c r="I131" i="4"/>
  <c r="H131" i="4"/>
  <c r="G131" i="4"/>
  <c r="F131" i="4"/>
  <c r="A131" i="4"/>
  <c r="T130" i="4"/>
  <c r="J130" i="4"/>
  <c r="I130" i="4"/>
  <c r="H130" i="4"/>
  <c r="G130" i="4"/>
  <c r="F130" i="4"/>
  <c r="A130" i="4"/>
  <c r="T129" i="4"/>
  <c r="J129" i="4"/>
  <c r="I129" i="4"/>
  <c r="H129" i="4"/>
  <c r="G129" i="4"/>
  <c r="F129" i="4"/>
  <c r="A129" i="4"/>
  <c r="T128" i="4"/>
  <c r="J128" i="4"/>
  <c r="I128" i="4"/>
  <c r="H128" i="4"/>
  <c r="G128" i="4"/>
  <c r="F128" i="4"/>
  <c r="A128" i="4"/>
  <c r="T127" i="4"/>
  <c r="J127" i="4"/>
  <c r="I127" i="4"/>
  <c r="H127" i="4"/>
  <c r="G127" i="4"/>
  <c r="F127" i="4"/>
  <c r="A127" i="4"/>
  <c r="T126" i="4"/>
  <c r="J126" i="4"/>
  <c r="I126" i="4"/>
  <c r="H126" i="4"/>
  <c r="G126" i="4"/>
  <c r="F126" i="4"/>
  <c r="A126" i="4"/>
  <c r="J125" i="4"/>
  <c r="I125" i="4"/>
  <c r="H125" i="4"/>
  <c r="G125" i="4"/>
  <c r="F125" i="4"/>
  <c r="A125" i="4"/>
  <c r="J124" i="4"/>
  <c r="I124" i="4"/>
  <c r="H124" i="4"/>
  <c r="G124" i="4"/>
  <c r="F124" i="4"/>
  <c r="A124" i="4"/>
  <c r="T123" i="4"/>
  <c r="J123" i="4"/>
  <c r="I123" i="4"/>
  <c r="H123" i="4"/>
  <c r="G123" i="4"/>
  <c r="F123" i="4"/>
  <c r="A123" i="4"/>
  <c r="A122" i="4"/>
  <c r="A121" i="4"/>
  <c r="A120" i="4"/>
  <c r="A116" i="4"/>
  <c r="M127" i="4" l="1"/>
  <c r="M133" i="4"/>
  <c r="M124" i="4"/>
  <c r="M125" i="4"/>
  <c r="M126" i="4"/>
  <c r="M131" i="4"/>
  <c r="M123" i="4"/>
  <c r="M130" i="4"/>
  <c r="M140" i="4"/>
  <c r="M128" i="4"/>
  <c r="M139" i="4"/>
  <c r="M134" i="4"/>
  <c r="M129" i="4"/>
  <c r="M132" i="4"/>
  <c r="M138" i="4"/>
  <c r="A109" i="4" l="1"/>
  <c r="F109" i="4"/>
  <c r="G109" i="4"/>
  <c r="H109" i="4"/>
  <c r="I109" i="4"/>
  <c r="J109" i="4"/>
  <c r="A110" i="4"/>
  <c r="F110" i="4"/>
  <c r="G110" i="4"/>
  <c r="H110" i="4"/>
  <c r="I110" i="4"/>
  <c r="J110" i="4"/>
  <c r="A111" i="4"/>
  <c r="F111" i="4"/>
  <c r="G111" i="4"/>
  <c r="H111" i="4"/>
  <c r="I111" i="4"/>
  <c r="J111" i="4"/>
  <c r="A113" i="4"/>
  <c r="F113" i="4"/>
  <c r="G113" i="4"/>
  <c r="H113" i="4"/>
  <c r="I113" i="4"/>
  <c r="J113" i="4"/>
  <c r="A114" i="4"/>
  <c r="F114" i="4"/>
  <c r="G114" i="4"/>
  <c r="H114" i="4"/>
  <c r="I114" i="4"/>
  <c r="J114" i="4"/>
  <c r="T114" i="4"/>
  <c r="M110" i="4" l="1"/>
  <c r="M113" i="4"/>
  <c r="M111" i="4"/>
  <c r="M109" i="4"/>
  <c r="M114" i="4"/>
  <c r="A106" i="4" l="1"/>
  <c r="J108" i="4"/>
  <c r="G108" i="4"/>
  <c r="F108" i="4"/>
  <c r="A108" i="4"/>
  <c r="T104" i="4"/>
  <c r="J104" i="4"/>
  <c r="G104" i="4"/>
  <c r="F104" i="4"/>
  <c r="A104" i="4"/>
  <c r="T103" i="4"/>
  <c r="J103" i="4"/>
  <c r="G103" i="4"/>
  <c r="F103" i="4"/>
  <c r="A103" i="4"/>
  <c r="I101" i="4"/>
  <c r="J101" i="4"/>
  <c r="G101" i="4"/>
  <c r="F101" i="4"/>
  <c r="A101" i="4"/>
  <c r="T100" i="4"/>
  <c r="J100" i="4"/>
  <c r="G100" i="4"/>
  <c r="F100" i="4"/>
  <c r="A100" i="4"/>
  <c r="H99" i="4"/>
  <c r="J99" i="4"/>
  <c r="G99" i="4"/>
  <c r="F99" i="4"/>
  <c r="A99" i="4"/>
  <c r="A98" i="4"/>
  <c r="T98" i="4"/>
  <c r="J98" i="4"/>
  <c r="G98" i="4"/>
  <c r="F98" i="4"/>
  <c r="A96" i="4"/>
  <c r="H100" i="4" l="1"/>
  <c r="I100" i="4"/>
  <c r="I99" i="4"/>
  <c r="M99" i="4" s="1"/>
  <c r="T101" i="4"/>
  <c r="H101" i="4"/>
  <c r="M101" i="4" s="1"/>
  <c r="T99" i="4"/>
  <c r="H98" i="4"/>
  <c r="I98" i="4"/>
  <c r="I103" i="4"/>
  <c r="H104" i="4"/>
  <c r="H103" i="4"/>
  <c r="I104" i="4"/>
  <c r="H108" i="4"/>
  <c r="I108" i="4"/>
  <c r="F29" i="4"/>
  <c r="G29" i="4"/>
  <c r="H29" i="4"/>
  <c r="I29" i="4"/>
  <c r="J29" i="4"/>
  <c r="M104" i="4" l="1"/>
  <c r="M100" i="4"/>
  <c r="M98" i="4"/>
  <c r="M103" i="4"/>
  <c r="M108" i="4"/>
  <c r="A63" i="4"/>
  <c r="J50" i="4" l="1"/>
  <c r="I50" i="4"/>
  <c r="H50" i="4"/>
  <c r="G50" i="4"/>
  <c r="F50" i="4"/>
  <c r="J49" i="4"/>
  <c r="I49" i="4"/>
  <c r="H49" i="4"/>
  <c r="G49" i="4"/>
  <c r="F49" i="4"/>
  <c r="J48" i="4"/>
  <c r="I48" i="4"/>
  <c r="H48" i="4"/>
  <c r="G48" i="4"/>
  <c r="F48" i="4"/>
  <c r="J47" i="4"/>
  <c r="I47" i="4"/>
  <c r="H47" i="4"/>
  <c r="G47" i="4"/>
  <c r="F47" i="4"/>
  <c r="J46" i="4"/>
  <c r="I46" i="4"/>
  <c r="H46" i="4"/>
  <c r="G46" i="4"/>
  <c r="F46" i="4"/>
  <c r="J45" i="4"/>
  <c r="I45" i="4"/>
  <c r="H45" i="4"/>
  <c r="G45" i="4"/>
  <c r="F45" i="4"/>
  <c r="J44" i="4"/>
  <c r="I44" i="4"/>
  <c r="H44" i="4"/>
  <c r="G44" i="4"/>
  <c r="F44" i="4"/>
  <c r="J60" i="4" l="1"/>
  <c r="I60" i="4"/>
  <c r="H60" i="4"/>
  <c r="G60" i="4"/>
  <c r="F60" i="4"/>
  <c r="J59" i="4"/>
  <c r="I59" i="4"/>
  <c r="H59" i="4"/>
  <c r="G59" i="4"/>
  <c r="F59" i="4"/>
  <c r="J58" i="4"/>
  <c r="I58" i="4"/>
  <c r="H58" i="4"/>
  <c r="G58" i="4"/>
  <c r="F58" i="4"/>
  <c r="J57" i="4"/>
  <c r="I57" i="4"/>
  <c r="H57" i="4"/>
  <c r="G57" i="4"/>
  <c r="F57" i="4"/>
  <c r="J56" i="4"/>
  <c r="I56" i="4"/>
  <c r="H56" i="4"/>
  <c r="G56" i="4"/>
  <c r="F56" i="4"/>
  <c r="J55" i="4"/>
  <c r="I55" i="4"/>
  <c r="H55" i="4"/>
  <c r="G55" i="4"/>
  <c r="F55" i="4"/>
  <c r="J54" i="4"/>
  <c r="I54" i="4"/>
  <c r="H54" i="4"/>
  <c r="G54" i="4"/>
  <c r="F54" i="4"/>
  <c r="J85" i="4" l="1"/>
  <c r="I85" i="4"/>
  <c r="H85" i="4"/>
  <c r="G85" i="4"/>
  <c r="F85" i="4"/>
  <c r="J84" i="4" l="1"/>
  <c r="I84" i="4"/>
  <c r="H84" i="4"/>
  <c r="G84" i="4"/>
  <c r="F84" i="4"/>
  <c r="J32" i="4" l="1"/>
  <c r="I32" i="4"/>
  <c r="H32" i="4"/>
  <c r="G32" i="4"/>
  <c r="F32" i="4"/>
  <c r="M32" i="4" l="1"/>
  <c r="I53" i="4"/>
  <c r="J53" i="4"/>
  <c r="H53" i="4"/>
  <c r="G53" i="4"/>
  <c r="F53" i="4"/>
  <c r="J23" i="4" l="1"/>
  <c r="I23" i="4"/>
  <c r="H23" i="4"/>
  <c r="G23" i="4"/>
  <c r="F23" i="4"/>
  <c r="F24" i="4"/>
  <c r="F25" i="4"/>
  <c r="F26" i="4"/>
  <c r="G88" i="4"/>
  <c r="H67" i="4"/>
  <c r="I64" i="4"/>
  <c r="I88" i="4"/>
  <c r="H88" i="4"/>
  <c r="J87" i="4"/>
  <c r="I87" i="4"/>
  <c r="H87" i="4"/>
  <c r="G87" i="4"/>
  <c r="F87" i="4"/>
  <c r="J86" i="4"/>
  <c r="I86" i="4"/>
  <c r="H86" i="4"/>
  <c r="G86" i="4"/>
  <c r="F86" i="4"/>
  <c r="J72" i="4"/>
  <c r="I72" i="4"/>
  <c r="H72" i="4"/>
  <c r="G72" i="4"/>
  <c r="F72" i="4"/>
  <c r="J71" i="4"/>
  <c r="I71" i="4"/>
  <c r="H71" i="4"/>
  <c r="G71" i="4"/>
  <c r="F71" i="4"/>
  <c r="J70" i="4"/>
  <c r="H70" i="4"/>
  <c r="G70" i="4"/>
  <c r="F70" i="4"/>
  <c r="J69" i="4"/>
  <c r="I69" i="4"/>
  <c r="H69" i="4"/>
  <c r="G69" i="4"/>
  <c r="F69" i="4"/>
  <c r="J68" i="4"/>
  <c r="I68" i="4"/>
  <c r="H68" i="4"/>
  <c r="G68" i="4"/>
  <c r="F68" i="4"/>
  <c r="I67" i="4"/>
  <c r="J66" i="4"/>
  <c r="I66" i="4"/>
  <c r="H66" i="4"/>
  <c r="G66" i="4"/>
  <c r="F66" i="4"/>
  <c r="J65" i="4"/>
  <c r="I65" i="4"/>
  <c r="H65" i="4"/>
  <c r="G65" i="4"/>
  <c r="F65" i="4"/>
  <c r="J42" i="4"/>
  <c r="H42" i="4"/>
  <c r="I31" i="4"/>
  <c r="H25" i="4"/>
  <c r="H27" i="4"/>
  <c r="G24" i="4"/>
  <c r="H24" i="4"/>
  <c r="I24" i="4"/>
  <c r="J24" i="4"/>
  <c r="G26" i="4"/>
  <c r="I26" i="4"/>
  <c r="J26" i="4"/>
  <c r="F27" i="4"/>
  <c r="G27" i="4"/>
  <c r="J27" i="4"/>
  <c r="F28" i="4"/>
  <c r="G28" i="4"/>
  <c r="I28" i="4"/>
  <c r="J28" i="4"/>
  <c r="F30" i="4"/>
  <c r="G30" i="4"/>
  <c r="H30" i="4"/>
  <c r="I30" i="4"/>
  <c r="J30" i="4"/>
  <c r="F31" i="4"/>
  <c r="G31" i="4"/>
  <c r="J31" i="4"/>
  <c r="F43" i="4"/>
  <c r="G43" i="4"/>
  <c r="H43" i="4"/>
  <c r="I43" i="4"/>
  <c r="J43" i="4"/>
  <c r="J22" i="4"/>
  <c r="I22" i="4"/>
  <c r="H22" i="4"/>
  <c r="G22" i="4"/>
  <c r="F22" i="4"/>
  <c r="A21" i="4"/>
  <c r="H31" i="4" l="1"/>
  <c r="M31" i="4" s="1"/>
  <c r="J88" i="4"/>
  <c r="H89" i="4"/>
  <c r="I89" i="4"/>
  <c r="F88" i="4"/>
  <c r="H90" i="4"/>
  <c r="H73" i="4"/>
  <c r="I73" i="4"/>
  <c r="I70" i="4"/>
  <c r="H64" i="4"/>
  <c r="G42" i="4"/>
  <c r="F42" i="4"/>
  <c r="I42" i="4"/>
  <c r="H28" i="4"/>
  <c r="I25" i="4"/>
  <c r="I27" i="4"/>
  <c r="H26" i="4"/>
  <c r="A4" i="4"/>
  <c r="J89" i="4" l="1"/>
  <c r="F89" i="4"/>
  <c r="I90" i="4"/>
  <c r="J90" i="4"/>
  <c r="F90" i="4"/>
  <c r="G90" i="4"/>
  <c r="H91" i="4"/>
  <c r="I91" i="4"/>
  <c r="G89" i="4"/>
  <c r="A19" i="4"/>
  <c r="A18" i="4"/>
  <c r="A17" i="4"/>
  <c r="S16" i="4"/>
  <c r="T16" i="4" s="1"/>
  <c r="J16" i="4"/>
  <c r="G16" i="4"/>
  <c r="F16" i="4"/>
  <c r="A16" i="4"/>
  <c r="S15" i="4"/>
  <c r="T15" i="4" s="1"/>
  <c r="J15" i="4"/>
  <c r="G15" i="4"/>
  <c r="F15" i="4"/>
  <c r="A15" i="4"/>
  <c r="S14" i="4"/>
  <c r="H14" i="4" s="1"/>
  <c r="J14" i="4"/>
  <c r="G14" i="4"/>
  <c r="F14" i="4"/>
  <c r="A14" i="4"/>
  <c r="S13" i="4"/>
  <c r="I13" i="4" s="1"/>
  <c r="J13" i="4"/>
  <c r="G13" i="4"/>
  <c r="F13" i="4"/>
  <c r="A13" i="4"/>
  <c r="S12" i="4"/>
  <c r="I12" i="4" s="1"/>
  <c r="J12" i="4"/>
  <c r="G12" i="4"/>
  <c r="F12" i="4"/>
  <c r="A12" i="4"/>
  <c r="S11" i="4"/>
  <c r="I11" i="4" s="1"/>
  <c r="J11" i="4"/>
  <c r="G11" i="4"/>
  <c r="F11" i="4"/>
  <c r="A11" i="4"/>
  <c r="S10" i="4"/>
  <c r="I10" i="4" s="1"/>
  <c r="J10" i="4"/>
  <c r="G10" i="4"/>
  <c r="F10" i="4"/>
  <c r="A10" i="4"/>
  <c r="S9" i="4"/>
  <c r="T9" i="4" s="1"/>
  <c r="J9" i="4"/>
  <c r="G9" i="4"/>
  <c r="F9" i="4"/>
  <c r="A9" i="4"/>
  <c r="S8" i="4"/>
  <c r="H8" i="4" s="1"/>
  <c r="J8" i="4"/>
  <c r="G8" i="4"/>
  <c r="F8" i="4"/>
  <c r="A8" i="4"/>
  <c r="S7" i="4"/>
  <c r="T7" i="4" s="1"/>
  <c r="J7" i="4"/>
  <c r="G7" i="4"/>
  <c r="F7" i="4"/>
  <c r="A7" i="4"/>
  <c r="S6" i="4"/>
  <c r="H6" i="4" s="1"/>
  <c r="J6" i="4"/>
  <c r="G6" i="4"/>
  <c r="F6" i="4"/>
  <c r="A6" i="4"/>
  <c r="S5" i="4"/>
  <c r="I5" i="4" s="1"/>
  <c r="J5" i="4"/>
  <c r="G5" i="4"/>
  <c r="F5" i="4"/>
  <c r="A5" i="4"/>
  <c r="I7" i="4" l="1"/>
  <c r="I8" i="4"/>
  <c r="M8" i="4" s="1"/>
  <c r="F91" i="4"/>
  <c r="G91" i="4"/>
  <c r="J91" i="4"/>
  <c r="H92" i="4"/>
  <c r="I92" i="4"/>
  <c r="I6" i="4"/>
  <c r="M6" i="4" s="1"/>
  <c r="H7" i="4"/>
  <c r="T10" i="4"/>
  <c r="H15" i="4"/>
  <c r="H16" i="4"/>
  <c r="T8" i="4"/>
  <c r="I15" i="4"/>
  <c r="I16" i="4"/>
  <c r="I14" i="4"/>
  <c r="M14" i="4" s="1"/>
  <c r="H10" i="4"/>
  <c r="M10" i="4" s="1"/>
  <c r="H9" i="4"/>
  <c r="T12" i="4"/>
  <c r="I9" i="4"/>
  <c r="T6" i="4"/>
  <c r="H11" i="4"/>
  <c r="M11" i="4" s="1"/>
  <c r="T14" i="4"/>
  <c r="T11" i="4"/>
  <c r="T5" i="4"/>
  <c r="T13" i="4"/>
  <c r="H12" i="4"/>
  <c r="M12" i="4" s="1"/>
  <c r="H5" i="4"/>
  <c r="M5" i="4" s="1"/>
  <c r="H13" i="4"/>
  <c r="M13" i="4" s="1"/>
  <c r="M7" i="4" l="1"/>
  <c r="G92" i="4"/>
  <c r="F92" i="4"/>
  <c r="J92" i="4"/>
  <c r="H93" i="4"/>
  <c r="I93" i="4"/>
  <c r="M9" i="4"/>
  <c r="M16" i="4"/>
  <c r="M15" i="4"/>
  <c r="G93" i="4" l="1"/>
  <c r="F93" i="4"/>
  <c r="J93" i="4"/>
  <c r="J25" i="4" l="1"/>
  <c r="G25" i="4"/>
  <c r="G34" i="4"/>
  <c r="G40" i="4"/>
  <c r="J36" i="4"/>
  <c r="H37" i="4"/>
  <c r="I37" i="4"/>
  <c r="J39" i="4"/>
  <c r="H40" i="4"/>
  <c r="I40" i="4"/>
  <c r="G35" i="4"/>
  <c r="G38" i="4"/>
  <c r="G41" i="4"/>
  <c r="F34" i="4"/>
  <c r="J34" i="4"/>
  <c r="H35" i="4"/>
  <c r="I35" i="4"/>
  <c r="F40" i="4"/>
  <c r="J40" i="4"/>
  <c r="H41" i="4"/>
  <c r="I41" i="4"/>
  <c r="G37" i="4"/>
  <c r="J33" i="4"/>
  <c r="I34" i="4"/>
  <c r="H34" i="4"/>
  <c r="F37" i="4"/>
  <c r="J37" i="4"/>
  <c r="H38" i="4"/>
  <c r="I38" i="4"/>
  <c r="F33" i="4"/>
  <c r="G33" i="4"/>
  <c r="F36" i="4"/>
  <c r="G36" i="4"/>
  <c r="F39" i="4"/>
  <c r="G39" i="4"/>
  <c r="I33" i="4"/>
  <c r="H33" i="4"/>
  <c r="F35" i="4"/>
  <c r="J35" i="4"/>
  <c r="I36" i="4"/>
  <c r="H36" i="4"/>
  <c r="F38" i="4"/>
  <c r="J38" i="4"/>
  <c r="I39" i="4"/>
  <c r="H39" i="4"/>
  <c r="F41" i="4"/>
  <c r="J41" i="4"/>
  <c r="J64" i="4"/>
  <c r="G64" i="4"/>
  <c r="F64" i="4"/>
  <c r="F67" i="4"/>
  <c r="G67" i="4"/>
  <c r="J67" i="4"/>
  <c r="J73" i="4"/>
  <c r="G73" i="4"/>
  <c r="F73" i="4"/>
  <c r="G74" i="4"/>
  <c r="G77" i="4"/>
  <c r="G80" i="4"/>
  <c r="H74" i="4"/>
  <c r="I74" i="4"/>
  <c r="H80" i="4"/>
  <c r="I80" i="4"/>
  <c r="F74" i="4"/>
  <c r="J74" i="4"/>
  <c r="H75" i="4"/>
  <c r="I75" i="4"/>
  <c r="F77" i="4"/>
  <c r="J77" i="4"/>
  <c r="H78" i="4"/>
  <c r="I78" i="4"/>
  <c r="F80" i="4"/>
  <c r="J80" i="4"/>
  <c r="H81" i="4"/>
  <c r="I81" i="4"/>
  <c r="G75" i="4"/>
  <c r="G78" i="4"/>
  <c r="G81" i="4"/>
  <c r="G76" i="4"/>
  <c r="G79" i="4"/>
  <c r="G82" i="4"/>
  <c r="F76" i="4"/>
  <c r="J76" i="4"/>
  <c r="I77" i="4"/>
  <c r="H77" i="4"/>
  <c r="F79" i="4"/>
  <c r="J79" i="4"/>
  <c r="F82" i="4"/>
  <c r="J82" i="4"/>
  <c r="F75" i="4"/>
  <c r="J75" i="4"/>
  <c r="I76" i="4"/>
  <c r="H76" i="4"/>
  <c r="F78" i="4"/>
  <c r="J78" i="4"/>
  <c r="I79" i="4"/>
  <c r="H79" i="4"/>
  <c r="F81" i="4"/>
  <c r="J81" i="4"/>
  <c r="I82" i="4"/>
  <c r="H82" i="4"/>
  <c r="G83" i="4"/>
  <c r="I83" i="4"/>
  <c r="H83" i="4"/>
  <c r="F83" i="4"/>
  <c r="J83" i="4"/>
  <c r="S18" i="4" l="1"/>
  <c r="H18" i="4" s="1"/>
  <c r="S20" i="4"/>
  <c r="I20" i="4" s="1"/>
  <c r="S19" i="4"/>
  <c r="H19" i="4" s="1"/>
  <c r="G19" i="4"/>
  <c r="F19" i="4"/>
  <c r="J19" i="4"/>
  <c r="G18" i="4"/>
  <c r="F18" i="4"/>
  <c r="J18" i="4"/>
  <c r="J20" i="4"/>
  <c r="F20" i="4"/>
  <c r="G20" i="4"/>
  <c r="H20" i="4" l="1"/>
  <c r="M20" i="4" s="1"/>
  <c r="I19" i="4"/>
  <c r="M19" i="4" s="1"/>
  <c r="I18" i="4"/>
  <c r="M18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K2" authorId="0" shapeId="0" xr:uid="{02183F2E-1365-47B3-A787-0504C0A4445D}">
      <text>
        <r>
          <rPr>
            <b/>
            <sz val="9"/>
            <color indexed="81"/>
            <rFont val="돋움"/>
            <family val="3"/>
            <charset val="129"/>
          </rPr>
          <t>디폴트</t>
        </r>
        <r>
          <rPr>
            <b/>
            <sz val="9"/>
            <color indexed="81"/>
            <rFont val="Tahoma"/>
            <family val="2"/>
          </rPr>
          <t xml:space="preserve"> : 1000</t>
        </r>
      </text>
    </comment>
  </commentList>
</comments>
</file>

<file path=xl/sharedStrings.xml><?xml version="1.0" encoding="utf-8"?>
<sst xmlns="http://schemas.openxmlformats.org/spreadsheetml/2006/main" count="272" uniqueCount="130">
  <si>
    <t>Index</t>
    <phoneticPr fontId="11" type="noConversion"/>
  </si>
  <si>
    <t>AntiCcChance</t>
    <phoneticPr fontId="9" type="noConversion"/>
  </si>
  <si>
    <t>PhysicalDefense</t>
  </si>
  <si>
    <t>MagicalDefense</t>
  </si>
  <si>
    <t>STAT</t>
    <phoneticPr fontId="9" type="noConversion"/>
  </si>
  <si>
    <t>(Description)</t>
    <phoneticPr fontId="9" type="noConversion"/>
  </si>
  <si>
    <t>(전투력배수)</t>
    <phoneticPr fontId="9" type="noConversion"/>
  </si>
  <si>
    <t>(Desc2)</t>
    <phoneticPr fontId="9" type="noConversion"/>
  </si>
  <si>
    <t>PhysicalAttack</t>
    <phoneticPr fontId="9" type="noConversion"/>
  </si>
  <si>
    <t>MaxHp</t>
    <phoneticPr fontId="9" type="noConversion"/>
  </si>
  <si>
    <t>(Chapter)</t>
    <phoneticPr fontId="9" type="noConversion"/>
  </si>
  <si>
    <t>(Dungeon)</t>
    <phoneticPr fontId="9" type="noConversion"/>
  </si>
  <si>
    <t>(Difficulty)</t>
    <phoneticPr fontId="9" type="noConversion"/>
  </si>
  <si>
    <t>(전투력요구)</t>
    <phoneticPr fontId="9" type="noConversion"/>
  </si>
  <si>
    <t>(Index)</t>
    <phoneticPr fontId="9" type="noConversion"/>
  </si>
  <si>
    <t>(레벨별 최대상수값)</t>
    <phoneticPr fontId="9" type="noConversion"/>
  </si>
  <si>
    <t>(특이사항)</t>
    <phoneticPr fontId="9" type="noConversion"/>
  </si>
  <si>
    <t>(방어전투력요구)</t>
    <phoneticPr fontId="9" type="noConversion"/>
  </si>
  <si>
    <t>(마법방어전투력요구)</t>
    <phoneticPr fontId="9" type="noConversion"/>
  </si>
  <si>
    <t>MagicalAttack</t>
    <phoneticPr fontId="9" type="noConversion"/>
  </si>
  <si>
    <t>Hell</t>
    <phoneticPr fontId="9" type="noConversion"/>
  </si>
  <si>
    <t>748</t>
    <phoneticPr fontId="9" type="noConversion"/>
  </si>
  <si>
    <t>714</t>
    <phoneticPr fontId="9" type="noConversion"/>
  </si>
  <si>
    <t>595</t>
    <phoneticPr fontId="9" type="noConversion"/>
  </si>
  <si>
    <t>527</t>
    <phoneticPr fontId="9" type="noConversion"/>
  </si>
  <si>
    <t>Hard</t>
    <phoneticPr fontId="9" type="noConversion"/>
  </si>
  <si>
    <t>550</t>
    <phoneticPr fontId="9" type="noConversion"/>
  </si>
  <si>
    <t>&lt;9챕터 멀티&gt;</t>
    <phoneticPr fontId="9" type="noConversion"/>
  </si>
  <si>
    <t>Easy</t>
    <phoneticPr fontId="9" type="noConversion"/>
  </si>
  <si>
    <t>490</t>
    <phoneticPr fontId="9" type="noConversion"/>
  </si>
  <si>
    <t>83</t>
  </si>
  <si>
    <t>530</t>
    <phoneticPr fontId="9" type="noConversion"/>
  </si>
  <si>
    <t>510</t>
    <phoneticPr fontId="9" type="noConversion"/>
  </si>
  <si>
    <t>&lt;필드레이드&gt;</t>
    <phoneticPr fontId="9" type="noConversion"/>
  </si>
  <si>
    <t>MaxMp</t>
    <phoneticPr fontId="9" type="noConversion"/>
  </si>
  <si>
    <t>&lt;샤크메 던전&gt;</t>
    <phoneticPr fontId="9" type="noConversion"/>
  </si>
  <si>
    <t>500060100</t>
    <phoneticPr fontId="9" type="noConversion"/>
  </si>
  <si>
    <t>Normal</t>
    <phoneticPr fontId="9" type="noConversion"/>
  </si>
  <si>
    <t>500021002</t>
    <phoneticPr fontId="9" type="noConversion"/>
  </si>
  <si>
    <t>500001021</t>
    <phoneticPr fontId="9" type="noConversion"/>
  </si>
  <si>
    <t>진보스샤크메1</t>
    <phoneticPr fontId="9" type="noConversion"/>
  </si>
  <si>
    <t>진보스샤크메2</t>
    <phoneticPr fontId="9" type="noConversion"/>
  </si>
  <si>
    <t>진보스샤크메3</t>
  </si>
  <si>
    <t>진보스샤크메4</t>
  </si>
  <si>
    <t>진보스샤크메5</t>
  </si>
  <si>
    <t>진보스샤크메6</t>
  </si>
  <si>
    <t>진보스샤크메7</t>
  </si>
  <si>
    <t>중보샤크메 쫄1</t>
    <phoneticPr fontId="9" type="noConversion"/>
  </si>
  <si>
    <t>중보샤크메 쫄2</t>
  </si>
  <si>
    <t>중보샤크메 쫄3</t>
  </si>
  <si>
    <t>중보샤크메 쫄4</t>
  </si>
  <si>
    <t>중보샤크메 쫄5</t>
  </si>
  <si>
    <t>중보샤크메 쫄6</t>
  </si>
  <si>
    <t>중보샤크메 쫄7</t>
  </si>
  <si>
    <t>중보샤크메 보스1</t>
    <phoneticPr fontId="9" type="noConversion"/>
  </si>
  <si>
    <t>중보샤크메 보스2</t>
  </si>
  <si>
    <t>중보샤크메 보스3</t>
  </si>
  <si>
    <t>중보샤크메 보스4</t>
  </si>
  <si>
    <t>중보샤크메 보스5</t>
  </si>
  <si>
    <t>중보샤크메 보스6</t>
  </si>
  <si>
    <t>중보샤크메 보스7</t>
  </si>
  <si>
    <t>진보스샤크메1(스토리)</t>
    <phoneticPr fontId="9" type="noConversion"/>
  </si>
  <si>
    <t>500060101</t>
    <phoneticPr fontId="9" type="noConversion"/>
  </si>
  <si>
    <t>500001022</t>
    <phoneticPr fontId="9" type="noConversion"/>
  </si>
  <si>
    <t>140000</t>
    <phoneticPr fontId="9" type="noConversion"/>
  </si>
  <si>
    <t>65000</t>
    <phoneticPr fontId="9" type="noConversion"/>
  </si>
  <si>
    <t>100000</t>
    <phoneticPr fontId="9" type="noConversion"/>
  </si>
  <si>
    <t>180000</t>
    <phoneticPr fontId="9" type="noConversion"/>
  </si>
  <si>
    <t>235000</t>
    <phoneticPr fontId="9" type="noConversion"/>
  </si>
  <si>
    <t>345000</t>
    <phoneticPr fontId="9" type="noConversion"/>
  </si>
  <si>
    <t>7</t>
    <phoneticPr fontId="9" type="noConversion"/>
  </si>
  <si>
    <t>5.3</t>
    <phoneticPr fontId="9" type="noConversion"/>
  </si>
  <si>
    <t>5.8</t>
    <phoneticPr fontId="9" type="noConversion"/>
  </si>
  <si>
    <t>6.3</t>
    <phoneticPr fontId="9" type="noConversion"/>
  </si>
  <si>
    <t>320000</t>
    <phoneticPr fontId="9" type="noConversion"/>
  </si>
  <si>
    <t>75000</t>
    <phoneticPr fontId="9" type="noConversion"/>
  </si>
  <si>
    <t>105000</t>
    <phoneticPr fontId="9" type="noConversion"/>
  </si>
  <si>
    <t>150000</t>
    <phoneticPr fontId="9" type="noConversion"/>
  </si>
  <si>
    <t>195000</t>
    <phoneticPr fontId="9" type="noConversion"/>
  </si>
  <si>
    <t>240000</t>
    <phoneticPr fontId="9" type="noConversion"/>
  </si>
  <si>
    <t>390000</t>
    <phoneticPr fontId="9" type="noConversion"/>
  </si>
  <si>
    <t>Int</t>
    <phoneticPr fontId="9" type="noConversion"/>
  </si>
  <si>
    <t>6</t>
    <phoneticPr fontId="9" type="noConversion"/>
  </si>
  <si>
    <t>5</t>
    <phoneticPr fontId="9" type="noConversion"/>
  </si>
  <si>
    <t>30000</t>
    <phoneticPr fontId="9" type="noConversion"/>
  </si>
  <si>
    <t>&lt;갈고리아 레이드&gt;</t>
    <phoneticPr fontId="9" type="noConversion"/>
  </si>
  <si>
    <t>&lt;지크프리트 레이드&gt;</t>
    <phoneticPr fontId="9" type="noConversion"/>
  </si>
  <si>
    <t>&lt;아스칼론 레이드&gt;</t>
    <phoneticPr fontId="9" type="noConversion"/>
  </si>
  <si>
    <t>쫄</t>
    <phoneticPr fontId="9" type="noConversion"/>
  </si>
  <si>
    <t>250</t>
    <phoneticPr fontId="9" type="noConversion"/>
  </si>
  <si>
    <t>쫄2</t>
    <phoneticPr fontId="9" type="noConversion"/>
  </si>
  <si>
    <t>150</t>
    <phoneticPr fontId="9" type="noConversion"/>
  </si>
  <si>
    <t>140</t>
    <phoneticPr fontId="9" type="noConversion"/>
  </si>
  <si>
    <t>130</t>
    <phoneticPr fontId="9" type="noConversion"/>
  </si>
  <si>
    <t>135</t>
    <phoneticPr fontId="9" type="noConversion"/>
  </si>
  <si>
    <t>200</t>
    <phoneticPr fontId="9" type="noConversion"/>
  </si>
  <si>
    <t>300</t>
    <phoneticPr fontId="9" type="noConversion"/>
  </si>
  <si>
    <t>190</t>
    <phoneticPr fontId="9" type="noConversion"/>
  </si>
  <si>
    <t>275</t>
    <phoneticPr fontId="9" type="noConversion"/>
  </si>
  <si>
    <t>125</t>
    <phoneticPr fontId="9" type="noConversion"/>
  </si>
  <si>
    <t>500060800</t>
    <phoneticPr fontId="9" type="noConversion"/>
  </si>
  <si>
    <t>500060900</t>
    <phoneticPr fontId="9" type="noConversion"/>
  </si>
  <si>
    <t>450000</t>
    <phoneticPr fontId="9" type="noConversion"/>
  </si>
  <si>
    <t>560000</t>
    <phoneticPr fontId="9" type="noConversion"/>
  </si>
  <si>
    <t>180</t>
    <phoneticPr fontId="9" type="noConversion"/>
  </si>
  <si>
    <t>155</t>
    <phoneticPr fontId="9" type="noConversion"/>
  </si>
  <si>
    <t>중보샤크메 보스8</t>
    <phoneticPr fontId="9" type="noConversion"/>
  </si>
  <si>
    <t>500050910</t>
    <phoneticPr fontId="9" type="noConversion"/>
  </si>
  <si>
    <t>중보샤크메 보스9</t>
    <phoneticPr fontId="9" type="noConversion"/>
  </si>
  <si>
    <t>500050800</t>
    <phoneticPr fontId="9" type="noConversion"/>
  </si>
  <si>
    <t>중보샤크메 쫄8</t>
    <phoneticPr fontId="9" type="noConversion"/>
  </si>
  <si>
    <t>500050900</t>
    <phoneticPr fontId="9" type="noConversion"/>
  </si>
  <si>
    <t>중보샤크메 쫄9</t>
    <phoneticPr fontId="9" type="noConversion"/>
  </si>
  <si>
    <t>진보스샤크메8</t>
    <phoneticPr fontId="9" type="noConversion"/>
  </si>
  <si>
    <t>진보스샤크메9</t>
    <phoneticPr fontId="9" type="noConversion"/>
  </si>
  <si>
    <t>440000</t>
    <phoneticPr fontId="9" type="noConversion"/>
  </si>
  <si>
    <t>550000</t>
    <phoneticPr fontId="9" type="noConversion"/>
  </si>
  <si>
    <t>&lt;마도 인챈트 레이드&gt;</t>
    <phoneticPr fontId="9" type="noConversion"/>
  </si>
  <si>
    <t>아크딤 델타1</t>
    <phoneticPr fontId="9" type="noConversion"/>
  </si>
  <si>
    <t>아크딤 제타1</t>
    <phoneticPr fontId="9" type="noConversion"/>
  </si>
  <si>
    <t>아크딤 델타2</t>
    <phoneticPr fontId="9" type="noConversion"/>
  </si>
  <si>
    <t>아크딤 제타2</t>
    <phoneticPr fontId="9" type="noConversion"/>
  </si>
  <si>
    <t>아크딤 델타3</t>
    <phoneticPr fontId="9" type="noConversion"/>
  </si>
  <si>
    <t>아크딤 제타3</t>
    <phoneticPr fontId="9" type="noConversion"/>
  </si>
  <si>
    <t>아크딤 크로스 델타1</t>
    <phoneticPr fontId="9" type="noConversion"/>
  </si>
  <si>
    <t>아크딤 크로스 제타1</t>
    <phoneticPr fontId="9" type="noConversion"/>
  </si>
  <si>
    <t>아크딤 크로스 델타2</t>
    <phoneticPr fontId="9" type="noConversion"/>
  </si>
  <si>
    <t>아크딤 크로스 제타2</t>
    <phoneticPr fontId="9" type="noConversion"/>
  </si>
  <si>
    <t>아크딤 크로스 델타3</t>
    <phoneticPr fontId="9" type="noConversion"/>
  </si>
  <si>
    <t>아크딤 크로스 제타3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</si>
</sst>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_);[Red]\(0\)"/>
  </numFmts>
  <fonts count="17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4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31">
    <xf numFmtId="0" fontId="0" fillId="0" borderId="0"/>
    <xf numFmtId="0" fontId="8" fillId="0" borderId="0">
      <alignment vertical="center"/>
    </xf>
    <xf numFmtId="0" fontId="13" fillId="0" borderId="0"/>
    <xf numFmtId="0" fontId="7" fillId="0" borderId="0">
      <alignment vertical="center"/>
    </xf>
    <xf numFmtId="0" fontId="6" fillId="0" borderId="0">
      <alignment vertical="center"/>
    </xf>
    <xf numFmtId="0" fontId="13" fillId="0" borderId="0"/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13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13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3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2">
    <xf numFmtId="0" fontId="0" fillId="0" borderId="0" xfId="0"/>
    <xf numFmtId="49" fontId="12" fillId="2" borderId="1" xfId="0" applyNumberFormat="1" applyFont="1" applyFill="1" applyBorder="1" applyAlignment="1">
      <alignment horizontal="right" vertical="center" textRotation="90"/>
    </xf>
    <xf numFmtId="49" fontId="10" fillId="0" borderId="0" xfId="0" applyNumberFormat="1" applyFont="1" applyAlignment="1">
      <alignment horizontal="right"/>
    </xf>
    <xf numFmtId="49" fontId="10" fillId="2" borderId="0" xfId="0" applyNumberFormat="1" applyFont="1" applyFill="1" applyBorder="1" applyAlignment="1">
      <alignment horizontal="right" vertical="center"/>
    </xf>
    <xf numFmtId="176" fontId="10" fillId="2" borderId="0" xfId="0" applyNumberFormat="1" applyFont="1" applyFill="1" applyBorder="1" applyAlignment="1">
      <alignment horizontal="right" vertical="center"/>
    </xf>
    <xf numFmtId="0" fontId="10" fillId="2" borderId="0" xfId="0" applyNumberFormat="1" applyFont="1" applyFill="1" applyBorder="1" applyAlignment="1">
      <alignment horizontal="right" vertical="center"/>
    </xf>
    <xf numFmtId="49" fontId="10" fillId="2" borderId="0" xfId="0" applyNumberFormat="1" applyFont="1" applyFill="1" applyBorder="1" applyAlignment="1">
      <alignment horizontal="right" vertical="center"/>
    </xf>
    <xf numFmtId="49" fontId="12" fillId="2" borderId="1" xfId="0" applyNumberFormat="1" applyFont="1" applyFill="1" applyBorder="1" applyAlignment="1">
      <alignment horizontal="right" vertical="center" textRotation="90"/>
    </xf>
    <xf numFmtId="0" fontId="12" fillId="2" borderId="1" xfId="0" applyNumberFormat="1" applyFont="1" applyFill="1" applyBorder="1" applyAlignment="1">
      <alignment horizontal="right" vertical="center" textRotation="90"/>
    </xf>
    <xf numFmtId="176" fontId="12" fillId="2" borderId="1" xfId="0" applyNumberFormat="1" applyFont="1" applyFill="1" applyBorder="1" applyAlignment="1">
      <alignment horizontal="right" vertical="center" textRotation="90"/>
    </xf>
    <xf numFmtId="0" fontId="10" fillId="0" borderId="0" xfId="0" applyNumberFormat="1" applyFont="1" applyAlignment="1">
      <alignment horizontal="right"/>
    </xf>
    <xf numFmtId="176" fontId="10" fillId="0" borderId="0" xfId="0" applyNumberFormat="1" applyFont="1" applyAlignment="1">
      <alignment horizontal="right"/>
    </xf>
    <xf numFmtId="0" fontId="12" fillId="3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176" fontId="10" fillId="4" borderId="0" xfId="0" applyNumberFormat="1" applyFont="1" applyFill="1" applyAlignment="1">
      <alignment horizontal="right" vertical="center"/>
    </xf>
    <xf numFmtId="0" fontId="10" fillId="3" borderId="0" xfId="0" applyFont="1" applyFill="1" applyAlignment="1">
      <alignment horizontal="right"/>
    </xf>
    <xf numFmtId="0" fontId="7" fillId="0" borderId="0" xfId="3">
      <alignment vertical="center"/>
    </xf>
    <xf numFmtId="49" fontId="10" fillId="3" borderId="0" xfId="0" applyNumberFormat="1" applyFont="1" applyFill="1" applyAlignment="1">
      <alignment horizontal="right"/>
    </xf>
    <xf numFmtId="0" fontId="10" fillId="0" borderId="0" xfId="0" applyFont="1" applyAlignment="1">
      <alignment horizontal="right"/>
    </xf>
    <xf numFmtId="0" fontId="12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49" fontId="12" fillId="5" borderId="0" xfId="0" applyNumberFormat="1" applyFont="1" applyFill="1" applyAlignment="1">
      <alignment horizontal="right" vertical="center"/>
    </xf>
    <xf numFmtId="49" fontId="14" fillId="5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1" fontId="10" fillId="0" borderId="0" xfId="0" applyNumberFormat="1" applyFont="1" applyAlignment="1">
      <alignment horizontal="right"/>
    </xf>
    <xf numFmtId="177" fontId="10" fillId="2" borderId="0" xfId="0" applyNumberFormat="1" applyFont="1" applyFill="1" applyBorder="1" applyAlignment="1">
      <alignment horizontal="right" vertical="center"/>
    </xf>
    <xf numFmtId="177" fontId="12" fillId="2" borderId="1" xfId="0" applyNumberFormat="1" applyFont="1" applyFill="1" applyBorder="1" applyAlignment="1">
      <alignment horizontal="right" vertical="center" textRotation="90"/>
    </xf>
    <xf numFmtId="177" fontId="12" fillId="5" borderId="0" xfId="0" applyNumberFormat="1" applyFont="1" applyFill="1" applyAlignment="1">
      <alignment horizontal="right" vertical="center"/>
    </xf>
    <xf numFmtId="177" fontId="12" fillId="3" borderId="0" xfId="0" applyNumberFormat="1" applyFont="1" applyFill="1" applyAlignment="1">
      <alignment horizontal="right" vertical="center"/>
    </xf>
    <xf numFmtId="177" fontId="12" fillId="0" borderId="0" xfId="0" applyNumberFormat="1" applyFont="1" applyAlignment="1">
      <alignment horizontal="right" vertical="center"/>
    </xf>
    <xf numFmtId="177" fontId="10" fillId="0" borderId="0" xfId="0" applyNumberFormat="1" applyFont="1" applyAlignment="1">
      <alignment horizontal="right"/>
    </xf>
    <xf numFmtId="0" fontId="10" fillId="3" borderId="0" xfId="0" applyNumberFormat="1" applyFont="1" applyFill="1" applyAlignment="1">
      <alignment horizontal="right"/>
    </xf>
    <xf numFmtId="49" fontId="12" fillId="6" borderId="1" xfId="230" applyNumberFormat="1" applyFont="1" applyFill="1" applyBorder="1" applyAlignment="1">
      <alignment horizontal="center" vertical="center"/>
    </xf>
    <xf numFmtId="49" fontId="12" fillId="6" borderId="1" xfId="0" applyNumberFormat="1" applyFont="1" applyFill="1" applyBorder="1" applyAlignment="1">
      <alignment horizontal="center" vertical="center"/>
    </xf>
    <xf numFmtId="49" fontId="12" fillId="6" borderId="0" xfId="0" applyNumberFormat="1" applyFont="1" applyFill="1" applyAlignment="1">
      <alignment horizontal="center" vertical="center"/>
    </xf>
    <xf numFmtId="49" fontId="12" fillId="6" borderId="0" xfId="0" applyNumberFormat="1" applyFont="1" applyFill="1" applyAlignment="1">
      <alignment horizontal="center" vertical="center" textRotation="90"/>
    </xf>
    <xf numFmtId="0" fontId="10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49" fontId="12" fillId="0" borderId="0" xfId="0" applyNumberFormat="1" applyFont="1" applyAlignment="1">
      <alignment horizontal="center"/>
    </xf>
    <xf numFmtId="0" fontId="10" fillId="2" borderId="2" xfId="0" applyNumberFormat="1" applyFont="1" applyFill="1" applyBorder="1" applyAlignment="1">
      <alignment horizontal="right" vertical="center"/>
    </xf>
    <xf numFmtId="0" fontId="10" fillId="2" borderId="3" xfId="0" applyNumberFormat="1" applyFont="1" applyFill="1" applyBorder="1" applyAlignment="1">
      <alignment horizontal="right" vertical="center"/>
    </xf>
    <xf numFmtId="0" fontId="10" fillId="2" borderId="4" xfId="0" applyNumberFormat="1" applyFont="1" applyFill="1" applyBorder="1" applyAlignment="1">
      <alignment horizontal="right" vertical="center"/>
    </xf>
  </cellXfs>
  <cellStyles count="231">
    <cellStyle name="표준" xfId="0" builtinId="0"/>
    <cellStyle name="표준 10" xfId="30" xr:uid="{00000000-0005-0000-0000-000002000000}"/>
    <cellStyle name="표준 10 2" xfId="81" xr:uid="{00000000-0005-0000-0000-000003000000}"/>
    <cellStyle name="표준 10 2 2" xfId="194" xr:uid="{00000000-0005-0000-0000-000004000000}"/>
    <cellStyle name="표준 10 3" xfId="144" xr:uid="{00000000-0005-0000-0000-000005000000}"/>
    <cellStyle name="표준 11" xfId="44" xr:uid="{00000000-0005-0000-0000-000006000000}"/>
    <cellStyle name="표준 12" xfId="15" xr:uid="{00000000-0005-0000-0000-000007000000}"/>
    <cellStyle name="표준 12 2" xfId="130" xr:uid="{00000000-0005-0000-0000-000008000000}"/>
    <cellStyle name="표준 13" xfId="67" xr:uid="{00000000-0005-0000-0000-000009000000}"/>
    <cellStyle name="표준 13 2" xfId="180" xr:uid="{00000000-0005-0000-0000-00000A000000}"/>
    <cellStyle name="표준 14" xfId="118" xr:uid="{00000000-0005-0000-0000-00000B000000}"/>
    <cellStyle name="표준 15" xfId="117" xr:uid="{00000000-0005-0000-0000-00000C000000}"/>
    <cellStyle name="표준 2" xfId="2" xr:uid="{00000000-0005-0000-0000-00000D000000}"/>
    <cellStyle name="표준 2 2" xfId="230" xr:uid="{7825D83E-A223-4D12-88E9-C8AB6EACC5DD}"/>
    <cellStyle name="표준 3" xfId="1" xr:uid="{00000000-0005-0000-0000-00000E000000}"/>
    <cellStyle name="표준 3 10" xfId="119" xr:uid="{00000000-0005-0000-0000-00000F000000}"/>
    <cellStyle name="표준 3 2" xfId="6" xr:uid="{00000000-0005-0000-0000-000010000000}"/>
    <cellStyle name="표준 3 2 2" xfId="13" xr:uid="{00000000-0005-0000-0000-000011000000}"/>
    <cellStyle name="표준 3 2 2 2" xfId="42" xr:uid="{00000000-0005-0000-0000-000012000000}"/>
    <cellStyle name="표준 3 2 2 2 2" xfId="93" xr:uid="{00000000-0005-0000-0000-000013000000}"/>
    <cellStyle name="표준 3 2 2 2 2 2" xfId="206" xr:uid="{00000000-0005-0000-0000-000014000000}"/>
    <cellStyle name="표준 3 2 2 2 3" xfId="156" xr:uid="{00000000-0005-0000-0000-000015000000}"/>
    <cellStyle name="표준 3 2 2 3" xfId="54" xr:uid="{00000000-0005-0000-0000-000016000000}"/>
    <cellStyle name="표준 3 2 2 3 2" xfId="104" xr:uid="{00000000-0005-0000-0000-000017000000}"/>
    <cellStyle name="표준 3 2 2 3 2 2" xfId="217" xr:uid="{00000000-0005-0000-0000-000018000000}"/>
    <cellStyle name="표준 3 2 2 3 3" xfId="167" xr:uid="{00000000-0005-0000-0000-000019000000}"/>
    <cellStyle name="표준 3 2 2 4" xfId="65" xr:uid="{00000000-0005-0000-0000-00001A000000}"/>
    <cellStyle name="표준 3 2 2 4 2" xfId="115" xr:uid="{00000000-0005-0000-0000-00001B000000}"/>
    <cellStyle name="표준 3 2 2 4 2 2" xfId="228" xr:uid="{00000000-0005-0000-0000-00001C000000}"/>
    <cellStyle name="표준 3 2 2 4 3" xfId="178" xr:uid="{00000000-0005-0000-0000-00001D000000}"/>
    <cellStyle name="표준 3 2 2 5" xfId="26" xr:uid="{00000000-0005-0000-0000-00001E000000}"/>
    <cellStyle name="표준 3 2 2 5 2" xfId="140" xr:uid="{00000000-0005-0000-0000-00001F000000}"/>
    <cellStyle name="표준 3 2 2 6" xfId="77" xr:uid="{00000000-0005-0000-0000-000020000000}"/>
    <cellStyle name="표준 3 2 2 6 2" xfId="190" xr:uid="{00000000-0005-0000-0000-000021000000}"/>
    <cellStyle name="표준 3 2 2 7" xfId="128" xr:uid="{00000000-0005-0000-0000-000022000000}"/>
    <cellStyle name="표준 3 2 3" xfId="37" xr:uid="{00000000-0005-0000-0000-000023000000}"/>
    <cellStyle name="표준 3 2 3 2" xfId="88" xr:uid="{00000000-0005-0000-0000-000024000000}"/>
    <cellStyle name="표준 3 2 3 2 2" xfId="201" xr:uid="{00000000-0005-0000-0000-000025000000}"/>
    <cellStyle name="표준 3 2 3 3" xfId="151" xr:uid="{00000000-0005-0000-0000-000026000000}"/>
    <cellStyle name="표준 3 2 4" xfId="48" xr:uid="{00000000-0005-0000-0000-000027000000}"/>
    <cellStyle name="표준 3 2 4 2" xfId="98" xr:uid="{00000000-0005-0000-0000-000028000000}"/>
    <cellStyle name="표준 3 2 4 2 2" xfId="211" xr:uid="{00000000-0005-0000-0000-000029000000}"/>
    <cellStyle name="표준 3 2 4 3" xfId="161" xr:uid="{00000000-0005-0000-0000-00002A000000}"/>
    <cellStyle name="표준 3 2 5" xfId="59" xr:uid="{00000000-0005-0000-0000-00002B000000}"/>
    <cellStyle name="표준 3 2 5 2" xfId="109" xr:uid="{00000000-0005-0000-0000-00002C000000}"/>
    <cellStyle name="표준 3 2 5 2 2" xfId="222" xr:uid="{00000000-0005-0000-0000-00002D000000}"/>
    <cellStyle name="표준 3 2 5 3" xfId="172" xr:uid="{00000000-0005-0000-0000-00002E000000}"/>
    <cellStyle name="표준 3 2 6" xfId="20" xr:uid="{00000000-0005-0000-0000-00002F000000}"/>
    <cellStyle name="표준 3 2 6 2" xfId="134" xr:uid="{00000000-0005-0000-0000-000030000000}"/>
    <cellStyle name="표준 3 2 7" xfId="71" xr:uid="{00000000-0005-0000-0000-000031000000}"/>
    <cellStyle name="표준 3 2 7 2" xfId="184" xr:uid="{00000000-0005-0000-0000-000032000000}"/>
    <cellStyle name="표준 3 2 8" xfId="122" xr:uid="{00000000-0005-0000-0000-000033000000}"/>
    <cellStyle name="표준 3 3" xfId="10" xr:uid="{00000000-0005-0000-0000-000034000000}"/>
    <cellStyle name="표준 3 3 2" xfId="34" xr:uid="{00000000-0005-0000-0000-000035000000}"/>
    <cellStyle name="표준 3 3 2 2" xfId="85" xr:uid="{00000000-0005-0000-0000-000036000000}"/>
    <cellStyle name="표준 3 3 2 2 2" xfId="198" xr:uid="{00000000-0005-0000-0000-000037000000}"/>
    <cellStyle name="표준 3 3 2 3" xfId="148" xr:uid="{00000000-0005-0000-0000-000038000000}"/>
    <cellStyle name="표준 3 3 3" xfId="51" xr:uid="{00000000-0005-0000-0000-000039000000}"/>
    <cellStyle name="표준 3 3 3 2" xfId="101" xr:uid="{00000000-0005-0000-0000-00003A000000}"/>
    <cellStyle name="표준 3 3 3 2 2" xfId="214" xr:uid="{00000000-0005-0000-0000-00003B000000}"/>
    <cellStyle name="표준 3 3 3 3" xfId="164" xr:uid="{00000000-0005-0000-0000-00003C000000}"/>
    <cellStyle name="표준 3 3 4" xfId="62" xr:uid="{00000000-0005-0000-0000-00003D000000}"/>
    <cellStyle name="표준 3 3 4 2" xfId="112" xr:uid="{00000000-0005-0000-0000-00003E000000}"/>
    <cellStyle name="표준 3 3 4 2 2" xfId="225" xr:uid="{00000000-0005-0000-0000-00003F000000}"/>
    <cellStyle name="표준 3 3 4 3" xfId="175" xr:uid="{00000000-0005-0000-0000-000040000000}"/>
    <cellStyle name="표준 3 3 5" xfId="23" xr:uid="{00000000-0005-0000-0000-000041000000}"/>
    <cellStyle name="표준 3 3 5 2" xfId="137" xr:uid="{00000000-0005-0000-0000-000042000000}"/>
    <cellStyle name="표준 3 3 6" xfId="74" xr:uid="{00000000-0005-0000-0000-000043000000}"/>
    <cellStyle name="표준 3 3 6 2" xfId="187" xr:uid="{00000000-0005-0000-0000-000044000000}"/>
    <cellStyle name="표준 3 3 7" xfId="125" xr:uid="{00000000-0005-0000-0000-000045000000}"/>
    <cellStyle name="표준 3 4" xfId="28" xr:uid="{00000000-0005-0000-0000-000046000000}"/>
    <cellStyle name="표준 3 4 2" xfId="39" xr:uid="{00000000-0005-0000-0000-000047000000}"/>
    <cellStyle name="표준 3 4 2 2" xfId="90" xr:uid="{00000000-0005-0000-0000-000048000000}"/>
    <cellStyle name="표준 3 4 2 2 2" xfId="203" xr:uid="{00000000-0005-0000-0000-000049000000}"/>
    <cellStyle name="표준 3 4 2 3" xfId="153" xr:uid="{00000000-0005-0000-0000-00004A000000}"/>
    <cellStyle name="표준 3 4 3" xfId="79" xr:uid="{00000000-0005-0000-0000-00004B000000}"/>
    <cellStyle name="표준 3 4 3 2" xfId="192" xr:uid="{00000000-0005-0000-0000-00004C000000}"/>
    <cellStyle name="표준 3 4 4" xfId="142" xr:uid="{00000000-0005-0000-0000-00004D000000}"/>
    <cellStyle name="표준 3 5" xfId="31" xr:uid="{00000000-0005-0000-0000-00004E000000}"/>
    <cellStyle name="표준 3 5 2" xfId="82" xr:uid="{00000000-0005-0000-0000-00004F000000}"/>
    <cellStyle name="표준 3 5 2 2" xfId="195" xr:uid="{00000000-0005-0000-0000-000050000000}"/>
    <cellStyle name="표준 3 5 3" xfId="145" xr:uid="{00000000-0005-0000-0000-000051000000}"/>
    <cellStyle name="표준 3 6" xfId="45" xr:uid="{00000000-0005-0000-0000-000052000000}"/>
    <cellStyle name="표준 3 6 2" xfId="95" xr:uid="{00000000-0005-0000-0000-000053000000}"/>
    <cellStyle name="표준 3 6 2 2" xfId="208" xr:uid="{00000000-0005-0000-0000-000054000000}"/>
    <cellStyle name="표준 3 6 3" xfId="158" xr:uid="{00000000-0005-0000-0000-000055000000}"/>
    <cellStyle name="표준 3 7" xfId="56" xr:uid="{00000000-0005-0000-0000-000056000000}"/>
    <cellStyle name="표준 3 7 2" xfId="106" xr:uid="{00000000-0005-0000-0000-000057000000}"/>
    <cellStyle name="표준 3 7 2 2" xfId="219" xr:uid="{00000000-0005-0000-0000-000058000000}"/>
    <cellStyle name="표준 3 7 3" xfId="169" xr:uid="{00000000-0005-0000-0000-000059000000}"/>
    <cellStyle name="표준 3 8" xfId="17" xr:uid="{00000000-0005-0000-0000-00005A000000}"/>
    <cellStyle name="표준 3 8 2" xfId="131" xr:uid="{00000000-0005-0000-0000-00005B000000}"/>
    <cellStyle name="표준 3 9" xfId="68" xr:uid="{00000000-0005-0000-0000-00005C000000}"/>
    <cellStyle name="표준 3 9 2" xfId="181" xr:uid="{00000000-0005-0000-0000-00005D000000}"/>
    <cellStyle name="표준 4" xfId="3" xr:uid="{00000000-0005-0000-0000-00005E000000}"/>
    <cellStyle name="표준 4 10" xfId="120" xr:uid="{00000000-0005-0000-0000-00005F000000}"/>
    <cellStyle name="표준 4 2" xfId="7" xr:uid="{00000000-0005-0000-0000-000060000000}"/>
    <cellStyle name="표준 4 2 2" xfId="14" xr:uid="{00000000-0005-0000-0000-000061000000}"/>
    <cellStyle name="표준 4 2 2 2" xfId="43" xr:uid="{00000000-0005-0000-0000-000062000000}"/>
    <cellStyle name="표준 4 2 2 2 2" xfId="94" xr:uid="{00000000-0005-0000-0000-000063000000}"/>
    <cellStyle name="표준 4 2 2 2 2 2" xfId="207" xr:uid="{00000000-0005-0000-0000-000064000000}"/>
    <cellStyle name="표준 4 2 2 2 3" xfId="157" xr:uid="{00000000-0005-0000-0000-000065000000}"/>
    <cellStyle name="표준 4 2 2 3" xfId="55" xr:uid="{00000000-0005-0000-0000-000066000000}"/>
    <cellStyle name="표준 4 2 2 3 2" xfId="105" xr:uid="{00000000-0005-0000-0000-000067000000}"/>
    <cellStyle name="표준 4 2 2 3 2 2" xfId="218" xr:uid="{00000000-0005-0000-0000-000068000000}"/>
    <cellStyle name="표준 4 2 2 3 3" xfId="168" xr:uid="{00000000-0005-0000-0000-000069000000}"/>
    <cellStyle name="표준 4 2 2 4" xfId="66" xr:uid="{00000000-0005-0000-0000-00006A000000}"/>
    <cellStyle name="표준 4 2 2 4 2" xfId="116" xr:uid="{00000000-0005-0000-0000-00006B000000}"/>
    <cellStyle name="표준 4 2 2 4 2 2" xfId="229" xr:uid="{00000000-0005-0000-0000-00006C000000}"/>
    <cellStyle name="표준 4 2 2 4 3" xfId="179" xr:uid="{00000000-0005-0000-0000-00006D000000}"/>
    <cellStyle name="표준 4 2 2 5" xfId="27" xr:uid="{00000000-0005-0000-0000-00006E000000}"/>
    <cellStyle name="표준 4 2 2 5 2" xfId="141" xr:uid="{00000000-0005-0000-0000-00006F000000}"/>
    <cellStyle name="표준 4 2 2 6" xfId="78" xr:uid="{00000000-0005-0000-0000-000070000000}"/>
    <cellStyle name="표준 4 2 2 6 2" xfId="191" xr:uid="{00000000-0005-0000-0000-000071000000}"/>
    <cellStyle name="표준 4 2 2 7" xfId="129" xr:uid="{00000000-0005-0000-0000-000072000000}"/>
    <cellStyle name="표준 4 2 3" xfId="38" xr:uid="{00000000-0005-0000-0000-000073000000}"/>
    <cellStyle name="표준 4 2 3 2" xfId="89" xr:uid="{00000000-0005-0000-0000-000074000000}"/>
    <cellStyle name="표준 4 2 3 2 2" xfId="202" xr:uid="{00000000-0005-0000-0000-000075000000}"/>
    <cellStyle name="표준 4 2 3 3" xfId="152" xr:uid="{00000000-0005-0000-0000-000076000000}"/>
    <cellStyle name="표준 4 2 4" xfId="49" xr:uid="{00000000-0005-0000-0000-000077000000}"/>
    <cellStyle name="표준 4 2 4 2" xfId="99" xr:uid="{00000000-0005-0000-0000-000078000000}"/>
    <cellStyle name="표준 4 2 4 2 2" xfId="212" xr:uid="{00000000-0005-0000-0000-000079000000}"/>
    <cellStyle name="표준 4 2 4 3" xfId="162" xr:uid="{00000000-0005-0000-0000-00007A000000}"/>
    <cellStyle name="표준 4 2 5" xfId="60" xr:uid="{00000000-0005-0000-0000-00007B000000}"/>
    <cellStyle name="표준 4 2 5 2" xfId="110" xr:uid="{00000000-0005-0000-0000-00007C000000}"/>
    <cellStyle name="표준 4 2 5 2 2" xfId="223" xr:uid="{00000000-0005-0000-0000-00007D000000}"/>
    <cellStyle name="표준 4 2 5 3" xfId="173" xr:uid="{00000000-0005-0000-0000-00007E000000}"/>
    <cellStyle name="표준 4 2 6" xfId="21" xr:uid="{00000000-0005-0000-0000-00007F000000}"/>
    <cellStyle name="표준 4 2 6 2" xfId="135" xr:uid="{00000000-0005-0000-0000-000080000000}"/>
    <cellStyle name="표준 4 2 7" xfId="72" xr:uid="{00000000-0005-0000-0000-000081000000}"/>
    <cellStyle name="표준 4 2 7 2" xfId="185" xr:uid="{00000000-0005-0000-0000-000082000000}"/>
    <cellStyle name="표준 4 2 8" xfId="123" xr:uid="{00000000-0005-0000-0000-000083000000}"/>
    <cellStyle name="표준 4 3" xfId="11" xr:uid="{00000000-0005-0000-0000-000084000000}"/>
    <cellStyle name="표준 4 3 2" xfId="35" xr:uid="{00000000-0005-0000-0000-000085000000}"/>
    <cellStyle name="표준 4 3 2 2" xfId="86" xr:uid="{00000000-0005-0000-0000-000086000000}"/>
    <cellStyle name="표준 4 3 2 2 2" xfId="199" xr:uid="{00000000-0005-0000-0000-000087000000}"/>
    <cellStyle name="표준 4 3 2 3" xfId="149" xr:uid="{00000000-0005-0000-0000-000088000000}"/>
    <cellStyle name="표준 4 3 3" xfId="52" xr:uid="{00000000-0005-0000-0000-000089000000}"/>
    <cellStyle name="표준 4 3 3 2" xfId="102" xr:uid="{00000000-0005-0000-0000-00008A000000}"/>
    <cellStyle name="표준 4 3 3 2 2" xfId="215" xr:uid="{00000000-0005-0000-0000-00008B000000}"/>
    <cellStyle name="표준 4 3 3 3" xfId="165" xr:uid="{00000000-0005-0000-0000-00008C000000}"/>
    <cellStyle name="표준 4 3 4" xfId="63" xr:uid="{00000000-0005-0000-0000-00008D000000}"/>
    <cellStyle name="표준 4 3 4 2" xfId="113" xr:uid="{00000000-0005-0000-0000-00008E000000}"/>
    <cellStyle name="표준 4 3 4 2 2" xfId="226" xr:uid="{00000000-0005-0000-0000-00008F000000}"/>
    <cellStyle name="표준 4 3 4 3" xfId="176" xr:uid="{00000000-0005-0000-0000-000090000000}"/>
    <cellStyle name="표준 4 3 5" xfId="24" xr:uid="{00000000-0005-0000-0000-000091000000}"/>
    <cellStyle name="표준 4 3 5 2" xfId="138" xr:uid="{00000000-0005-0000-0000-000092000000}"/>
    <cellStyle name="표준 4 3 6" xfId="75" xr:uid="{00000000-0005-0000-0000-000093000000}"/>
    <cellStyle name="표준 4 3 6 2" xfId="188" xr:uid="{00000000-0005-0000-0000-000094000000}"/>
    <cellStyle name="표준 4 3 7" xfId="126" xr:uid="{00000000-0005-0000-0000-000095000000}"/>
    <cellStyle name="표준 4 4" xfId="29" xr:uid="{00000000-0005-0000-0000-000096000000}"/>
    <cellStyle name="표준 4 4 2" xfId="40" xr:uid="{00000000-0005-0000-0000-000097000000}"/>
    <cellStyle name="표준 4 4 2 2" xfId="91" xr:uid="{00000000-0005-0000-0000-000098000000}"/>
    <cellStyle name="표준 4 4 2 2 2" xfId="204" xr:uid="{00000000-0005-0000-0000-000099000000}"/>
    <cellStyle name="표준 4 4 2 3" xfId="154" xr:uid="{00000000-0005-0000-0000-00009A000000}"/>
    <cellStyle name="표준 4 4 3" xfId="80" xr:uid="{00000000-0005-0000-0000-00009B000000}"/>
    <cellStyle name="표준 4 4 3 2" xfId="193" xr:uid="{00000000-0005-0000-0000-00009C000000}"/>
    <cellStyle name="표준 4 4 4" xfId="143" xr:uid="{00000000-0005-0000-0000-00009D000000}"/>
    <cellStyle name="표준 4 5" xfId="32" xr:uid="{00000000-0005-0000-0000-00009E000000}"/>
    <cellStyle name="표준 4 5 2" xfId="83" xr:uid="{00000000-0005-0000-0000-00009F000000}"/>
    <cellStyle name="표준 4 5 2 2" xfId="196" xr:uid="{00000000-0005-0000-0000-0000A0000000}"/>
    <cellStyle name="표준 4 5 3" xfId="146" xr:uid="{00000000-0005-0000-0000-0000A1000000}"/>
    <cellStyle name="표준 4 6" xfId="46" xr:uid="{00000000-0005-0000-0000-0000A2000000}"/>
    <cellStyle name="표준 4 6 2" xfId="96" xr:uid="{00000000-0005-0000-0000-0000A3000000}"/>
    <cellStyle name="표준 4 6 2 2" xfId="209" xr:uid="{00000000-0005-0000-0000-0000A4000000}"/>
    <cellStyle name="표준 4 6 3" xfId="159" xr:uid="{00000000-0005-0000-0000-0000A5000000}"/>
    <cellStyle name="표준 4 7" xfId="57" xr:uid="{00000000-0005-0000-0000-0000A6000000}"/>
    <cellStyle name="표준 4 7 2" xfId="107" xr:uid="{00000000-0005-0000-0000-0000A7000000}"/>
    <cellStyle name="표준 4 7 2 2" xfId="220" xr:uid="{00000000-0005-0000-0000-0000A8000000}"/>
    <cellStyle name="표준 4 7 3" xfId="170" xr:uid="{00000000-0005-0000-0000-0000A9000000}"/>
    <cellStyle name="표준 4 8" xfId="18" xr:uid="{00000000-0005-0000-0000-0000AA000000}"/>
    <cellStyle name="표준 4 8 2" xfId="132" xr:uid="{00000000-0005-0000-0000-0000AB000000}"/>
    <cellStyle name="표준 4 9" xfId="69" xr:uid="{00000000-0005-0000-0000-0000AC000000}"/>
    <cellStyle name="표준 4 9 2" xfId="182" xr:uid="{00000000-0005-0000-0000-0000AD000000}"/>
    <cellStyle name="표준 5" xfId="5" xr:uid="{00000000-0005-0000-0000-0000AE000000}"/>
    <cellStyle name="표준 6" xfId="4" xr:uid="{00000000-0005-0000-0000-0000AF000000}"/>
    <cellStyle name="표준 6 2" xfId="12" xr:uid="{00000000-0005-0000-0000-0000B0000000}"/>
    <cellStyle name="표준 6 2 2" xfId="41" xr:uid="{00000000-0005-0000-0000-0000B1000000}"/>
    <cellStyle name="표준 6 2 2 2" xfId="92" xr:uid="{00000000-0005-0000-0000-0000B2000000}"/>
    <cellStyle name="표준 6 2 2 2 2" xfId="205" xr:uid="{00000000-0005-0000-0000-0000B3000000}"/>
    <cellStyle name="표준 6 2 2 3" xfId="155" xr:uid="{00000000-0005-0000-0000-0000B4000000}"/>
    <cellStyle name="표준 6 2 3" xfId="53" xr:uid="{00000000-0005-0000-0000-0000B5000000}"/>
    <cellStyle name="표준 6 2 3 2" xfId="103" xr:uid="{00000000-0005-0000-0000-0000B6000000}"/>
    <cellStyle name="표준 6 2 3 2 2" xfId="216" xr:uid="{00000000-0005-0000-0000-0000B7000000}"/>
    <cellStyle name="표준 6 2 3 3" xfId="166" xr:uid="{00000000-0005-0000-0000-0000B8000000}"/>
    <cellStyle name="표준 6 2 4" xfId="64" xr:uid="{00000000-0005-0000-0000-0000B9000000}"/>
    <cellStyle name="표준 6 2 4 2" xfId="114" xr:uid="{00000000-0005-0000-0000-0000BA000000}"/>
    <cellStyle name="표준 6 2 4 2 2" xfId="227" xr:uid="{00000000-0005-0000-0000-0000BB000000}"/>
    <cellStyle name="표준 6 2 4 3" xfId="177" xr:uid="{00000000-0005-0000-0000-0000BC000000}"/>
    <cellStyle name="표준 6 2 5" xfId="25" xr:uid="{00000000-0005-0000-0000-0000BD000000}"/>
    <cellStyle name="표준 6 2 5 2" xfId="139" xr:uid="{00000000-0005-0000-0000-0000BE000000}"/>
    <cellStyle name="표준 6 2 6" xfId="76" xr:uid="{00000000-0005-0000-0000-0000BF000000}"/>
    <cellStyle name="표준 6 2 6 2" xfId="189" xr:uid="{00000000-0005-0000-0000-0000C0000000}"/>
    <cellStyle name="표준 6 2 7" xfId="127" xr:uid="{00000000-0005-0000-0000-0000C1000000}"/>
    <cellStyle name="표준 6 3" xfId="36" xr:uid="{00000000-0005-0000-0000-0000C2000000}"/>
    <cellStyle name="표준 6 3 2" xfId="87" xr:uid="{00000000-0005-0000-0000-0000C3000000}"/>
    <cellStyle name="표준 6 3 2 2" xfId="200" xr:uid="{00000000-0005-0000-0000-0000C4000000}"/>
    <cellStyle name="표준 6 3 3" xfId="150" xr:uid="{00000000-0005-0000-0000-0000C5000000}"/>
    <cellStyle name="표준 6 4" xfId="47" xr:uid="{00000000-0005-0000-0000-0000C6000000}"/>
    <cellStyle name="표준 6 4 2" xfId="97" xr:uid="{00000000-0005-0000-0000-0000C7000000}"/>
    <cellStyle name="표준 6 4 2 2" xfId="210" xr:uid="{00000000-0005-0000-0000-0000C8000000}"/>
    <cellStyle name="표준 6 4 3" xfId="160" xr:uid="{00000000-0005-0000-0000-0000C9000000}"/>
    <cellStyle name="표준 6 5" xfId="58" xr:uid="{00000000-0005-0000-0000-0000CA000000}"/>
    <cellStyle name="표준 6 5 2" xfId="108" xr:uid="{00000000-0005-0000-0000-0000CB000000}"/>
    <cellStyle name="표준 6 5 2 2" xfId="221" xr:uid="{00000000-0005-0000-0000-0000CC000000}"/>
    <cellStyle name="표준 6 5 3" xfId="171" xr:uid="{00000000-0005-0000-0000-0000CD000000}"/>
    <cellStyle name="표준 6 6" xfId="19" xr:uid="{00000000-0005-0000-0000-0000CE000000}"/>
    <cellStyle name="표준 6 6 2" xfId="133" xr:uid="{00000000-0005-0000-0000-0000CF000000}"/>
    <cellStyle name="표준 6 7" xfId="70" xr:uid="{00000000-0005-0000-0000-0000D0000000}"/>
    <cellStyle name="표준 6 7 2" xfId="183" xr:uid="{00000000-0005-0000-0000-0000D1000000}"/>
    <cellStyle name="표준 6 8" xfId="121" xr:uid="{00000000-0005-0000-0000-0000D2000000}"/>
    <cellStyle name="표준 7" xfId="9" xr:uid="{00000000-0005-0000-0000-0000D3000000}"/>
    <cellStyle name="표준 8" xfId="8" xr:uid="{00000000-0005-0000-0000-0000D4000000}"/>
    <cellStyle name="표준 8 2" xfId="33" xr:uid="{00000000-0005-0000-0000-0000D5000000}"/>
    <cellStyle name="표준 8 2 2" xfId="84" xr:uid="{00000000-0005-0000-0000-0000D6000000}"/>
    <cellStyle name="표준 8 2 2 2" xfId="197" xr:uid="{00000000-0005-0000-0000-0000D7000000}"/>
    <cellStyle name="표준 8 2 3" xfId="147" xr:uid="{00000000-0005-0000-0000-0000D8000000}"/>
    <cellStyle name="표준 8 3" xfId="50" xr:uid="{00000000-0005-0000-0000-0000D9000000}"/>
    <cellStyle name="표준 8 3 2" xfId="100" xr:uid="{00000000-0005-0000-0000-0000DA000000}"/>
    <cellStyle name="표준 8 3 2 2" xfId="213" xr:uid="{00000000-0005-0000-0000-0000DB000000}"/>
    <cellStyle name="표준 8 3 3" xfId="163" xr:uid="{00000000-0005-0000-0000-0000DC000000}"/>
    <cellStyle name="표준 8 4" xfId="61" xr:uid="{00000000-0005-0000-0000-0000DD000000}"/>
    <cellStyle name="표준 8 4 2" xfId="111" xr:uid="{00000000-0005-0000-0000-0000DE000000}"/>
    <cellStyle name="표준 8 4 2 2" xfId="224" xr:uid="{00000000-0005-0000-0000-0000DF000000}"/>
    <cellStyle name="표준 8 4 3" xfId="174" xr:uid="{00000000-0005-0000-0000-0000E0000000}"/>
    <cellStyle name="표준 8 5" xfId="22" xr:uid="{00000000-0005-0000-0000-0000E1000000}"/>
    <cellStyle name="표준 8 5 2" xfId="136" xr:uid="{00000000-0005-0000-0000-0000E2000000}"/>
    <cellStyle name="표준 8 6" xfId="73" xr:uid="{00000000-0005-0000-0000-0000E3000000}"/>
    <cellStyle name="표준 8 6 2" xfId="186" xr:uid="{00000000-0005-0000-0000-0000E4000000}"/>
    <cellStyle name="표준 8 7" xfId="124" xr:uid="{00000000-0005-0000-0000-0000E5000000}"/>
    <cellStyle name="표준 9" xfId="16" xr:uid="{00000000-0005-0000-0000-0000E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69"/>
  <sheetViews>
    <sheetView tabSelected="1" zoomScaleNormal="100" workbookViewId="0">
      <pane ySplit="2" topLeftCell="A136" activePane="bottomLeft" state="frozen"/>
      <selection pane="bottomLeft" activeCell="P151" sqref="P151"/>
    </sheetView>
  </sheetViews>
  <sheetFormatPr defaultRowHeight="12" x14ac:dyDescent="0.2"/>
  <cols>
    <col min="1" max="1" width="10.25" style="2" customWidth="1"/>
    <col min="2" max="2" width="6.75" style="30" customWidth="1"/>
    <col min="3" max="3" width="44.75" style="2" customWidth="1"/>
    <col min="4" max="4" width="6.5" style="2" customWidth="1"/>
    <col min="5" max="5" width="3.875" style="2" customWidth="1"/>
    <col min="6" max="7" width="9.375" style="10" customWidth="1"/>
    <col min="8" max="9" width="8.5" style="10" customWidth="1"/>
    <col min="10" max="10" width="11.25" style="10" bestFit="1" customWidth="1"/>
    <col min="11" max="11" width="11.25" style="10" customWidth="1"/>
    <col min="12" max="12" width="5" style="10" customWidth="1"/>
    <col min="13" max="13" width="13.125" style="11" customWidth="1"/>
    <col min="14" max="14" width="11.25" style="10" customWidth="1"/>
    <col min="15" max="15" width="4.125" style="2" customWidth="1"/>
    <col min="16" max="16" width="12.625" style="2" customWidth="1"/>
    <col min="17" max="17" width="8.375" style="2" customWidth="1"/>
    <col min="18" max="18" width="18.375" style="2" customWidth="1"/>
    <col min="19" max="19" width="9.75" style="10" bestFit="1" customWidth="1"/>
    <col min="20" max="20" width="9" style="2"/>
    <col min="21" max="21" width="9" style="10"/>
    <col min="22" max="16384" width="9" style="2"/>
  </cols>
  <sheetData>
    <row r="1" spans="1:29" s="6" customFormat="1" ht="23.25" customHeight="1" x14ac:dyDescent="0.3">
      <c r="A1" s="3"/>
      <c r="B1" s="25"/>
      <c r="C1" s="3"/>
      <c r="D1" s="3"/>
      <c r="E1" s="3"/>
      <c r="F1" s="39" t="s">
        <v>4</v>
      </c>
      <c r="G1" s="40"/>
      <c r="H1" s="40"/>
      <c r="I1" s="40"/>
      <c r="J1" s="40"/>
      <c r="K1" s="40"/>
      <c r="L1" s="41"/>
      <c r="M1" s="4"/>
      <c r="N1" s="5"/>
      <c r="S1" s="5"/>
      <c r="U1" s="5"/>
    </row>
    <row r="2" spans="1:29" s="7" customFormat="1" ht="90.75" x14ac:dyDescent="0.3">
      <c r="A2" s="1" t="s">
        <v>0</v>
      </c>
      <c r="B2" s="26" t="s">
        <v>10</v>
      </c>
      <c r="C2" s="1" t="s">
        <v>11</v>
      </c>
      <c r="D2" s="1" t="s">
        <v>12</v>
      </c>
      <c r="E2" s="1" t="s">
        <v>14</v>
      </c>
      <c r="F2" s="8" t="s">
        <v>8</v>
      </c>
      <c r="G2" s="8" t="s">
        <v>19</v>
      </c>
      <c r="H2" s="8" t="s">
        <v>2</v>
      </c>
      <c r="I2" s="8" t="s">
        <v>3</v>
      </c>
      <c r="J2" s="8" t="s">
        <v>9</v>
      </c>
      <c r="K2" s="8" t="s">
        <v>34</v>
      </c>
      <c r="L2" s="8" t="s">
        <v>1</v>
      </c>
      <c r="M2" s="9" t="s">
        <v>6</v>
      </c>
      <c r="N2" s="8" t="s">
        <v>5</v>
      </c>
      <c r="O2" s="7" t="s">
        <v>7</v>
      </c>
      <c r="P2" s="7" t="s">
        <v>13</v>
      </c>
      <c r="Q2" s="7" t="s">
        <v>15</v>
      </c>
      <c r="R2" s="7" t="s">
        <v>16</v>
      </c>
      <c r="S2" s="8" t="s">
        <v>17</v>
      </c>
      <c r="T2" s="7" t="s">
        <v>18</v>
      </c>
      <c r="U2" s="8"/>
    </row>
    <row r="3" spans="1:29" s="35" customFormat="1" ht="18" customHeight="1" x14ac:dyDescent="0.3">
      <c r="A3" s="32" t="s">
        <v>81</v>
      </c>
      <c r="B3" s="32" t="s">
        <v>81</v>
      </c>
      <c r="C3" s="33"/>
      <c r="D3" s="33"/>
      <c r="E3" s="33"/>
      <c r="F3" s="32" t="s">
        <v>81</v>
      </c>
      <c r="G3" s="32" t="s">
        <v>81</v>
      </c>
      <c r="H3" s="32" t="s">
        <v>81</v>
      </c>
      <c r="I3" s="32" t="s">
        <v>81</v>
      </c>
      <c r="J3" s="32" t="s">
        <v>81</v>
      </c>
      <c r="K3" s="32" t="s">
        <v>81</v>
      </c>
      <c r="L3" s="32" t="s">
        <v>81</v>
      </c>
      <c r="M3" s="33"/>
      <c r="N3" s="33"/>
      <c r="O3" s="33"/>
      <c r="P3" s="34"/>
      <c r="Q3" s="34"/>
      <c r="R3" s="33"/>
      <c r="S3" s="33"/>
      <c r="T3" s="33"/>
      <c r="U3" s="33"/>
      <c r="V3" s="34"/>
      <c r="W3" s="34"/>
      <c r="X3" s="33"/>
      <c r="Y3" s="33"/>
      <c r="Z3" s="33"/>
      <c r="AA3" s="33"/>
      <c r="AB3" s="34"/>
      <c r="AC3" s="34"/>
    </row>
    <row r="4" spans="1:29" ht="20.25" x14ac:dyDescent="0.2">
      <c r="A4" s="19" t="str">
        <f t="shared" ref="A4" si="0">IF(B4="","",CONCATENATE(B4,CONCATENATE(REPT(0,2-LEN(C4)),C4),IF(OR(D4="Easy",D4=""),1,IF(D4="Normal",2,IF(D4="Hard",3,IF(D4="Hell",4,"error")))),E4))</f>
        <v/>
      </c>
      <c r="B4" s="27"/>
      <c r="C4" s="22" t="s">
        <v>33</v>
      </c>
      <c r="D4" s="21"/>
      <c r="E4" s="21"/>
      <c r="F4" s="21"/>
      <c r="G4" s="21"/>
      <c r="H4" s="21"/>
      <c r="I4" s="21"/>
      <c r="J4" s="21"/>
      <c r="K4" s="20"/>
      <c r="L4" s="21"/>
      <c r="M4" s="14"/>
      <c r="N4" s="21"/>
      <c r="O4" s="21"/>
      <c r="P4" s="21"/>
      <c r="Q4" s="21"/>
      <c r="R4" s="21"/>
      <c r="S4" s="23"/>
    </row>
    <row r="5" spans="1:29" ht="16.5" x14ac:dyDescent="0.2">
      <c r="A5" s="12" t="str">
        <f t="shared" ref="A5:A20" si="1">IF(B5="","",CONCATENATE(B5,CONCATENATE(REPT(0,2-LEN(C5)),C5),IF(OR(D5="Easy",D5=""),1,IF(D5="Normal",2,IF(D5="Hard",3,IF(D5="Hell",4,"error")))),E5))</f>
        <v>81000140</v>
      </c>
      <c r="B5" s="28">
        <v>8100</v>
      </c>
      <c r="C5" s="12">
        <v>1</v>
      </c>
      <c r="D5" s="12" t="s">
        <v>20</v>
      </c>
      <c r="E5" s="12">
        <v>0</v>
      </c>
      <c r="F5" s="13">
        <f t="shared" ref="F5:G16" si="2">ROUNDDOWN($P5/4*$O5*10*$N5/$N5*$Q5/400,0)</f>
        <v>98175</v>
      </c>
      <c r="G5" s="13">
        <f t="shared" si="2"/>
        <v>98175</v>
      </c>
      <c r="H5" s="13">
        <f t="shared" ref="H5:I16" si="3">ROUNDDOWN($S5/4*10,0)</f>
        <v>52500</v>
      </c>
      <c r="I5" s="13">
        <f t="shared" si="3"/>
        <v>52500</v>
      </c>
      <c r="J5" s="13">
        <f t="shared" ref="J5:J16" si="4">ROUNDDOWN($P5/4*$O5*10*$N5/$Q5*$N5/400,0)</f>
        <v>158359</v>
      </c>
      <c r="K5" s="20">
        <v>1000</v>
      </c>
      <c r="L5" s="13">
        <v>1500</v>
      </c>
      <c r="M5" s="14">
        <f t="shared" ref="M5:M20" si="5">(F5*J5*((H5+I5)/2)/1000)^(1/2)/10*0.8</f>
        <v>72275.5606079953</v>
      </c>
      <c r="N5" s="15">
        <v>950</v>
      </c>
      <c r="O5" s="15">
        <v>0.5</v>
      </c>
      <c r="P5" s="16">
        <v>42000</v>
      </c>
      <c r="Q5" s="17" t="s">
        <v>21</v>
      </c>
      <c r="R5" s="17"/>
      <c r="S5" s="18">
        <f t="shared" ref="S5:S16" si="6">P5*0.5</f>
        <v>21000</v>
      </c>
      <c r="T5" s="18">
        <f t="shared" ref="T5:T16" si="7">S5</f>
        <v>21000</v>
      </c>
    </row>
    <row r="6" spans="1:29" ht="16.5" x14ac:dyDescent="0.2">
      <c r="A6" s="12" t="str">
        <f t="shared" si="1"/>
        <v>81000141</v>
      </c>
      <c r="B6" s="28">
        <v>8100</v>
      </c>
      <c r="C6" s="12">
        <v>1</v>
      </c>
      <c r="D6" s="12" t="s">
        <v>20</v>
      </c>
      <c r="E6" s="12">
        <v>1</v>
      </c>
      <c r="F6" s="13">
        <f t="shared" si="2"/>
        <v>196350</v>
      </c>
      <c r="G6" s="13">
        <f t="shared" si="2"/>
        <v>196350</v>
      </c>
      <c r="H6" s="13">
        <f t="shared" si="3"/>
        <v>52500</v>
      </c>
      <c r="I6" s="13">
        <f t="shared" si="3"/>
        <v>52500</v>
      </c>
      <c r="J6" s="13">
        <f t="shared" si="4"/>
        <v>316719</v>
      </c>
      <c r="K6" s="20">
        <v>1000</v>
      </c>
      <c r="L6" s="13">
        <v>1500</v>
      </c>
      <c r="M6" s="14">
        <f t="shared" si="5"/>
        <v>144551.3494174302</v>
      </c>
      <c r="N6" s="15">
        <v>950</v>
      </c>
      <c r="O6" s="15">
        <v>1</v>
      </c>
      <c r="P6" s="16">
        <v>42000</v>
      </c>
      <c r="Q6" s="17" t="s">
        <v>21</v>
      </c>
      <c r="R6" s="17"/>
      <c r="S6" s="18">
        <f t="shared" si="6"/>
        <v>21000</v>
      </c>
      <c r="T6" s="18">
        <f t="shared" si="7"/>
        <v>21000</v>
      </c>
    </row>
    <row r="7" spans="1:29" ht="16.5" x14ac:dyDescent="0.2">
      <c r="A7" s="12" t="str">
        <f t="shared" si="1"/>
        <v>81000142</v>
      </c>
      <c r="B7" s="28">
        <v>8100</v>
      </c>
      <c r="C7" s="12">
        <v>1</v>
      </c>
      <c r="D7" s="12" t="s">
        <v>20</v>
      </c>
      <c r="E7" s="12">
        <v>2</v>
      </c>
      <c r="F7" s="13">
        <f t="shared" si="2"/>
        <v>374850</v>
      </c>
      <c r="G7" s="13">
        <f t="shared" si="2"/>
        <v>374850</v>
      </c>
      <c r="H7" s="13">
        <f t="shared" si="3"/>
        <v>52500</v>
      </c>
      <c r="I7" s="13">
        <f t="shared" si="3"/>
        <v>52500</v>
      </c>
      <c r="J7" s="13">
        <f t="shared" si="4"/>
        <v>663602</v>
      </c>
      <c r="K7" s="20">
        <v>1000</v>
      </c>
      <c r="L7" s="13">
        <v>2000</v>
      </c>
      <c r="M7" s="14">
        <f t="shared" si="5"/>
        <v>289102.76107156085</v>
      </c>
      <c r="N7" s="15">
        <v>950</v>
      </c>
      <c r="O7" s="15">
        <v>2</v>
      </c>
      <c r="P7" s="16">
        <v>42000</v>
      </c>
      <c r="Q7" s="17" t="s">
        <v>22</v>
      </c>
      <c r="R7" s="17"/>
      <c r="S7" s="18">
        <f t="shared" si="6"/>
        <v>21000</v>
      </c>
      <c r="T7" s="18">
        <f t="shared" si="7"/>
        <v>21000</v>
      </c>
    </row>
    <row r="8" spans="1:29" ht="16.5" x14ac:dyDescent="0.2">
      <c r="A8" s="12" t="str">
        <f t="shared" si="1"/>
        <v>81000143</v>
      </c>
      <c r="B8" s="28">
        <v>8100</v>
      </c>
      <c r="C8" s="12">
        <v>1</v>
      </c>
      <c r="D8" s="12" t="s">
        <v>20</v>
      </c>
      <c r="E8" s="12">
        <v>3</v>
      </c>
      <c r="F8" s="13">
        <f t="shared" si="2"/>
        <v>468562</v>
      </c>
      <c r="G8" s="13">
        <f t="shared" si="2"/>
        <v>468562</v>
      </c>
      <c r="H8" s="13">
        <f t="shared" si="3"/>
        <v>52500</v>
      </c>
      <c r="I8" s="13">
        <f t="shared" si="3"/>
        <v>52500</v>
      </c>
      <c r="J8" s="13">
        <f t="shared" si="4"/>
        <v>1194485</v>
      </c>
      <c r="K8" s="20">
        <v>1000</v>
      </c>
      <c r="L8" s="13">
        <v>2000</v>
      </c>
      <c r="M8" s="14">
        <f t="shared" si="5"/>
        <v>433654.16436547687</v>
      </c>
      <c r="N8" s="15">
        <v>950</v>
      </c>
      <c r="O8" s="15">
        <v>3</v>
      </c>
      <c r="P8" s="16">
        <v>42000</v>
      </c>
      <c r="Q8" s="17" t="s">
        <v>23</v>
      </c>
      <c r="R8" s="17"/>
      <c r="S8" s="18">
        <f t="shared" si="6"/>
        <v>21000</v>
      </c>
      <c r="T8" s="18">
        <f t="shared" si="7"/>
        <v>21000</v>
      </c>
    </row>
    <row r="9" spans="1:29" ht="16.5" x14ac:dyDescent="0.2">
      <c r="A9" s="12" t="str">
        <f t="shared" si="1"/>
        <v>81000144</v>
      </c>
      <c r="B9" s="28">
        <v>8100</v>
      </c>
      <c r="C9" s="12">
        <v>1</v>
      </c>
      <c r="D9" s="12" t="s">
        <v>20</v>
      </c>
      <c r="E9" s="12">
        <v>4</v>
      </c>
      <c r="F9" s="13">
        <f t="shared" si="2"/>
        <v>553350</v>
      </c>
      <c r="G9" s="13">
        <f t="shared" si="2"/>
        <v>553350</v>
      </c>
      <c r="H9" s="13">
        <f t="shared" si="3"/>
        <v>52500</v>
      </c>
      <c r="I9" s="13">
        <f t="shared" si="3"/>
        <v>52500</v>
      </c>
      <c r="J9" s="13">
        <f t="shared" si="4"/>
        <v>1798149</v>
      </c>
      <c r="K9" s="20">
        <v>1000</v>
      </c>
      <c r="L9" s="13">
        <v>2000</v>
      </c>
      <c r="M9" s="14">
        <f t="shared" si="5"/>
        <v>578205.78664900956</v>
      </c>
      <c r="N9" s="15">
        <v>950</v>
      </c>
      <c r="O9" s="15">
        <v>4</v>
      </c>
      <c r="P9" s="16">
        <v>42000</v>
      </c>
      <c r="Q9" s="17" t="s">
        <v>24</v>
      </c>
      <c r="R9" s="17"/>
      <c r="S9" s="18">
        <f t="shared" si="6"/>
        <v>21000</v>
      </c>
      <c r="T9" s="18">
        <f t="shared" si="7"/>
        <v>21000</v>
      </c>
    </row>
    <row r="10" spans="1:29" ht="16.5" x14ac:dyDescent="0.2">
      <c r="A10" s="19" t="str">
        <f t="shared" si="1"/>
        <v>91000431</v>
      </c>
      <c r="B10" s="29">
        <v>9100</v>
      </c>
      <c r="C10" s="19">
        <v>4</v>
      </c>
      <c r="D10" s="19" t="s">
        <v>25</v>
      </c>
      <c r="E10" s="19">
        <v>1</v>
      </c>
      <c r="F10" s="20">
        <f t="shared" si="2"/>
        <v>144375</v>
      </c>
      <c r="G10" s="20">
        <f t="shared" si="2"/>
        <v>144375</v>
      </c>
      <c r="H10" s="20">
        <f t="shared" si="3"/>
        <v>52500</v>
      </c>
      <c r="I10" s="20">
        <f t="shared" si="3"/>
        <v>52500</v>
      </c>
      <c r="J10" s="20">
        <f t="shared" si="4"/>
        <v>430738</v>
      </c>
      <c r="K10" s="20">
        <v>1000</v>
      </c>
      <c r="L10" s="20">
        <v>900</v>
      </c>
      <c r="M10" s="14">
        <f t="shared" si="5"/>
        <v>144551.37626463472</v>
      </c>
      <c r="N10" s="15">
        <v>950</v>
      </c>
      <c r="O10" s="18">
        <v>1</v>
      </c>
      <c r="P10" s="16">
        <v>42000</v>
      </c>
      <c r="Q10" s="17" t="s">
        <v>26</v>
      </c>
      <c r="S10" s="18">
        <f t="shared" si="6"/>
        <v>21000</v>
      </c>
      <c r="T10" s="18">
        <f t="shared" si="7"/>
        <v>21000</v>
      </c>
    </row>
    <row r="11" spans="1:29" ht="16.5" x14ac:dyDescent="0.2">
      <c r="A11" s="19" t="str">
        <f t="shared" si="1"/>
        <v>91000432</v>
      </c>
      <c r="B11" s="29">
        <v>9100</v>
      </c>
      <c r="C11" s="19">
        <v>4</v>
      </c>
      <c r="D11" s="19" t="s">
        <v>25</v>
      </c>
      <c r="E11" s="19">
        <v>2</v>
      </c>
      <c r="F11" s="20">
        <f t="shared" si="2"/>
        <v>288750</v>
      </c>
      <c r="G11" s="20">
        <f t="shared" si="2"/>
        <v>288750</v>
      </c>
      <c r="H11" s="20">
        <f t="shared" si="3"/>
        <v>52500</v>
      </c>
      <c r="I11" s="20">
        <f t="shared" si="3"/>
        <v>52500</v>
      </c>
      <c r="J11" s="20">
        <f t="shared" si="4"/>
        <v>861477</v>
      </c>
      <c r="K11" s="20">
        <v>1000</v>
      </c>
      <c r="L11" s="20">
        <v>1100</v>
      </c>
      <c r="M11" s="14">
        <f t="shared" si="5"/>
        <v>289102.9203242333</v>
      </c>
      <c r="N11" s="15">
        <v>950</v>
      </c>
      <c r="O11" s="18">
        <v>2</v>
      </c>
      <c r="P11" s="16">
        <v>42000</v>
      </c>
      <c r="Q11" s="17" t="s">
        <v>26</v>
      </c>
      <c r="S11" s="18">
        <f t="shared" si="6"/>
        <v>21000</v>
      </c>
      <c r="T11" s="18">
        <f t="shared" si="7"/>
        <v>21000</v>
      </c>
    </row>
    <row r="12" spans="1:29" ht="16.5" x14ac:dyDescent="0.2">
      <c r="A12" s="19" t="str">
        <f t="shared" si="1"/>
        <v>91000433</v>
      </c>
      <c r="B12" s="29">
        <v>9100</v>
      </c>
      <c r="C12" s="19">
        <v>4</v>
      </c>
      <c r="D12" s="19" t="s">
        <v>25</v>
      </c>
      <c r="E12" s="19">
        <v>3</v>
      </c>
      <c r="F12" s="20">
        <f t="shared" si="2"/>
        <v>433125</v>
      </c>
      <c r="G12" s="20">
        <f t="shared" si="2"/>
        <v>433125</v>
      </c>
      <c r="H12" s="20">
        <f t="shared" si="3"/>
        <v>52500</v>
      </c>
      <c r="I12" s="20">
        <f t="shared" si="3"/>
        <v>52500</v>
      </c>
      <c r="J12" s="20">
        <f t="shared" si="4"/>
        <v>1292215</v>
      </c>
      <c r="K12" s="20">
        <v>1000</v>
      </c>
      <c r="L12" s="20">
        <v>1300</v>
      </c>
      <c r="M12" s="14">
        <f t="shared" si="5"/>
        <v>433654.29658888432</v>
      </c>
      <c r="N12" s="15">
        <v>950</v>
      </c>
      <c r="O12" s="18">
        <v>3</v>
      </c>
      <c r="P12" s="16">
        <v>42000</v>
      </c>
      <c r="Q12" s="17" t="s">
        <v>26</v>
      </c>
      <c r="S12" s="18">
        <f t="shared" si="6"/>
        <v>21000</v>
      </c>
      <c r="T12" s="18">
        <f t="shared" si="7"/>
        <v>21000</v>
      </c>
    </row>
    <row r="13" spans="1:29" ht="16.5" x14ac:dyDescent="0.2">
      <c r="A13" s="19" t="str">
        <f t="shared" si="1"/>
        <v>91000434</v>
      </c>
      <c r="B13" s="29">
        <v>9100</v>
      </c>
      <c r="C13" s="19">
        <v>4</v>
      </c>
      <c r="D13" s="19" t="s">
        <v>25</v>
      </c>
      <c r="E13" s="19">
        <v>4</v>
      </c>
      <c r="F13" s="20">
        <f t="shared" si="2"/>
        <v>577500</v>
      </c>
      <c r="G13" s="20">
        <f t="shared" si="2"/>
        <v>577500</v>
      </c>
      <c r="H13" s="20">
        <f t="shared" si="3"/>
        <v>52500</v>
      </c>
      <c r="I13" s="20">
        <f t="shared" si="3"/>
        <v>52500</v>
      </c>
      <c r="J13" s="20">
        <f t="shared" si="4"/>
        <v>1722954</v>
      </c>
      <c r="K13" s="20">
        <v>1000</v>
      </c>
      <c r="L13" s="20">
        <v>1500</v>
      </c>
      <c r="M13" s="14">
        <f t="shared" si="5"/>
        <v>578205.8406484666</v>
      </c>
      <c r="N13" s="15">
        <v>950</v>
      </c>
      <c r="O13" s="18">
        <v>4</v>
      </c>
      <c r="P13" s="16">
        <v>42000</v>
      </c>
      <c r="Q13" s="17" t="s">
        <v>26</v>
      </c>
      <c r="S13" s="18">
        <f t="shared" si="6"/>
        <v>21000</v>
      </c>
      <c r="T13" s="18">
        <f t="shared" si="7"/>
        <v>21000</v>
      </c>
    </row>
    <row r="14" spans="1:29" ht="16.5" x14ac:dyDescent="0.2">
      <c r="A14" s="19" t="str">
        <f t="shared" si="1"/>
        <v>91000435</v>
      </c>
      <c r="B14" s="29">
        <v>9100</v>
      </c>
      <c r="C14" s="19">
        <v>4</v>
      </c>
      <c r="D14" s="19" t="s">
        <v>25</v>
      </c>
      <c r="E14" s="19">
        <v>5</v>
      </c>
      <c r="F14" s="20">
        <f t="shared" si="2"/>
        <v>721875</v>
      </c>
      <c r="G14" s="20">
        <f t="shared" si="2"/>
        <v>721875</v>
      </c>
      <c r="H14" s="20">
        <f t="shared" si="3"/>
        <v>52500</v>
      </c>
      <c r="I14" s="20">
        <f t="shared" si="3"/>
        <v>52500</v>
      </c>
      <c r="J14" s="20">
        <f t="shared" si="4"/>
        <v>2153693</v>
      </c>
      <c r="K14" s="20">
        <v>1000</v>
      </c>
      <c r="L14" s="20">
        <v>1700</v>
      </c>
      <c r="M14" s="14">
        <f t="shared" si="5"/>
        <v>722757.38470803609</v>
      </c>
      <c r="N14" s="15">
        <v>950</v>
      </c>
      <c r="O14" s="18">
        <v>5</v>
      </c>
      <c r="P14" s="16">
        <v>42000</v>
      </c>
      <c r="Q14" s="17" t="s">
        <v>26</v>
      </c>
      <c r="S14" s="18">
        <f t="shared" si="6"/>
        <v>21000</v>
      </c>
      <c r="T14" s="18">
        <f t="shared" si="7"/>
        <v>21000</v>
      </c>
    </row>
    <row r="15" spans="1:29" ht="16.5" x14ac:dyDescent="0.2">
      <c r="A15" s="19" t="str">
        <f t="shared" si="1"/>
        <v>91000436</v>
      </c>
      <c r="B15" s="29">
        <v>9100</v>
      </c>
      <c r="C15" s="19">
        <v>4</v>
      </c>
      <c r="D15" s="19" t="s">
        <v>25</v>
      </c>
      <c r="E15" s="19">
        <v>6</v>
      </c>
      <c r="F15" s="20">
        <f t="shared" si="2"/>
        <v>866250</v>
      </c>
      <c r="G15" s="20">
        <f t="shared" si="2"/>
        <v>866250</v>
      </c>
      <c r="H15" s="20">
        <f t="shared" si="3"/>
        <v>52500</v>
      </c>
      <c r="I15" s="20">
        <f t="shared" si="3"/>
        <v>52500</v>
      </c>
      <c r="J15" s="20">
        <f t="shared" si="4"/>
        <v>2584431</v>
      </c>
      <c r="K15" s="20">
        <v>1000</v>
      </c>
      <c r="L15" s="20">
        <v>1900</v>
      </c>
      <c r="M15" s="14">
        <f t="shared" si="5"/>
        <v>867308.76097269997</v>
      </c>
      <c r="N15" s="15">
        <v>950</v>
      </c>
      <c r="O15" s="18">
        <v>6</v>
      </c>
      <c r="P15" s="16">
        <v>42000</v>
      </c>
      <c r="Q15" s="17" t="s">
        <v>26</v>
      </c>
      <c r="S15" s="18">
        <f t="shared" si="6"/>
        <v>21000</v>
      </c>
      <c r="T15" s="18">
        <f t="shared" si="7"/>
        <v>21000</v>
      </c>
    </row>
    <row r="16" spans="1:29" ht="16.5" x14ac:dyDescent="0.2">
      <c r="A16" s="19" t="str">
        <f t="shared" si="1"/>
        <v>91000437</v>
      </c>
      <c r="B16" s="29">
        <v>9100</v>
      </c>
      <c r="C16" s="19">
        <v>4</v>
      </c>
      <c r="D16" s="19" t="s">
        <v>25</v>
      </c>
      <c r="E16" s="19">
        <v>7</v>
      </c>
      <c r="F16" s="20">
        <f t="shared" si="2"/>
        <v>1010625</v>
      </c>
      <c r="G16" s="20">
        <f t="shared" si="2"/>
        <v>1010625</v>
      </c>
      <c r="H16" s="20">
        <f t="shared" si="3"/>
        <v>52500</v>
      </c>
      <c r="I16" s="20">
        <f t="shared" si="3"/>
        <v>52500</v>
      </c>
      <c r="J16" s="20">
        <f t="shared" si="4"/>
        <v>3015170</v>
      </c>
      <c r="K16" s="20">
        <v>1000</v>
      </c>
      <c r="L16" s="20">
        <v>2100</v>
      </c>
      <c r="M16" s="14">
        <f t="shared" si="5"/>
        <v>1011860.3050322708</v>
      </c>
      <c r="N16" s="15">
        <v>950</v>
      </c>
      <c r="O16" s="18">
        <v>7</v>
      </c>
      <c r="P16" s="16">
        <v>42000</v>
      </c>
      <c r="Q16" s="17" t="s">
        <v>26</v>
      </c>
      <c r="S16" s="18">
        <f t="shared" si="6"/>
        <v>21000</v>
      </c>
      <c r="T16" s="18">
        <f t="shared" si="7"/>
        <v>21000</v>
      </c>
    </row>
    <row r="17" spans="1:22" ht="20.25" x14ac:dyDescent="0.2">
      <c r="A17" s="19" t="str">
        <f t="shared" si="1"/>
        <v/>
      </c>
      <c r="B17" s="27"/>
      <c r="C17" s="22" t="s">
        <v>27</v>
      </c>
      <c r="D17" s="21"/>
      <c r="E17" s="21"/>
      <c r="F17" s="21"/>
      <c r="G17" s="21"/>
      <c r="H17" s="21"/>
      <c r="I17" s="21"/>
      <c r="J17" s="21"/>
      <c r="K17" s="20"/>
      <c r="L17" s="21"/>
      <c r="M17" s="14"/>
      <c r="N17" s="21"/>
      <c r="O17" s="21"/>
      <c r="P17" s="21"/>
      <c r="Q17" s="21"/>
      <c r="R17" s="21"/>
      <c r="S17" s="23"/>
    </row>
    <row r="18" spans="1:22" x14ac:dyDescent="0.2">
      <c r="A18" s="19" t="str">
        <f t="shared" si="1"/>
        <v>95000219</v>
      </c>
      <c r="B18" s="29">
        <v>9500</v>
      </c>
      <c r="C18" s="19">
        <v>2</v>
      </c>
      <c r="D18" s="19" t="s">
        <v>28</v>
      </c>
      <c r="E18" s="19">
        <v>9</v>
      </c>
      <c r="F18" s="20">
        <f t="shared" ref="F18:G34" si="8">ROUNDDOWN($P18/4*MIN($O18,4)*10*$N18/$N18*$Q18/400,0)</f>
        <v>960400</v>
      </c>
      <c r="G18" s="20">
        <f t="shared" si="8"/>
        <v>960400</v>
      </c>
      <c r="H18" s="20">
        <f t="shared" ref="H18:I34" si="9">ROUNDDOWN($S18/4*10,0)</f>
        <v>98000</v>
      </c>
      <c r="I18" s="20">
        <f t="shared" si="9"/>
        <v>98000</v>
      </c>
      <c r="J18" s="20">
        <f t="shared" ref="J18:J81" si="10">ROUNDDOWN($P18/4*$O18*10*$N18/$Q18*$N18/400*0.8,0)</f>
        <v>14400000</v>
      </c>
      <c r="K18" s="20">
        <v>1000</v>
      </c>
      <c r="L18" s="20"/>
      <c r="M18" s="14">
        <f t="shared" si="5"/>
        <v>2945169.854524523</v>
      </c>
      <c r="N18" s="18">
        <v>1000</v>
      </c>
      <c r="O18" s="18">
        <v>18</v>
      </c>
      <c r="P18" s="18">
        <v>78400</v>
      </c>
      <c r="Q18" s="2" t="s">
        <v>29</v>
      </c>
      <c r="R18" s="2" t="s">
        <v>30</v>
      </c>
      <c r="S18" s="24">
        <f>P18*0.5</f>
        <v>39200</v>
      </c>
      <c r="T18" s="18"/>
    </row>
    <row r="19" spans="1:22" x14ac:dyDescent="0.2">
      <c r="A19" s="19" t="str">
        <f t="shared" si="1"/>
        <v>95000211</v>
      </c>
      <c r="B19" s="29">
        <v>9500</v>
      </c>
      <c r="C19" s="19">
        <v>2</v>
      </c>
      <c r="D19" s="19" t="s">
        <v>28</v>
      </c>
      <c r="E19" s="19">
        <v>1</v>
      </c>
      <c r="F19" s="20">
        <f t="shared" si="8"/>
        <v>551200</v>
      </c>
      <c r="G19" s="20">
        <f t="shared" si="8"/>
        <v>551200</v>
      </c>
      <c r="H19" s="20">
        <f t="shared" si="9"/>
        <v>57200</v>
      </c>
      <c r="I19" s="20">
        <f t="shared" si="9"/>
        <v>57200</v>
      </c>
      <c r="J19" s="20">
        <f t="shared" si="10"/>
        <v>1947056</v>
      </c>
      <c r="K19" s="20">
        <v>1000</v>
      </c>
      <c r="L19" s="20"/>
      <c r="M19" s="14">
        <f t="shared" si="5"/>
        <v>626804.09792580013</v>
      </c>
      <c r="N19" s="18">
        <v>525</v>
      </c>
      <c r="O19" s="18">
        <v>18</v>
      </c>
      <c r="P19" s="18">
        <v>41600</v>
      </c>
      <c r="Q19" s="2" t="s">
        <v>31</v>
      </c>
      <c r="R19" s="2" t="s">
        <v>30</v>
      </c>
      <c r="S19" s="24">
        <f t="shared" ref="S19:S20" si="11">P19*0.55</f>
        <v>22880.000000000004</v>
      </c>
      <c r="T19" s="18"/>
    </row>
    <row r="20" spans="1:22" x14ac:dyDescent="0.2">
      <c r="A20" s="19" t="str">
        <f t="shared" si="1"/>
        <v>95000212</v>
      </c>
      <c r="B20" s="29">
        <v>9500</v>
      </c>
      <c r="C20" s="19">
        <v>2</v>
      </c>
      <c r="D20" s="19" t="s">
        <v>28</v>
      </c>
      <c r="E20" s="19">
        <v>2</v>
      </c>
      <c r="F20" s="20">
        <f t="shared" si="8"/>
        <v>306000</v>
      </c>
      <c r="G20" s="20">
        <f t="shared" si="8"/>
        <v>306000</v>
      </c>
      <c r="H20" s="20">
        <f t="shared" si="9"/>
        <v>33000</v>
      </c>
      <c r="I20" s="20">
        <f t="shared" si="9"/>
        <v>33000</v>
      </c>
      <c r="J20" s="20">
        <f t="shared" si="10"/>
        <v>1167352</v>
      </c>
      <c r="K20" s="20">
        <v>1000</v>
      </c>
      <c r="L20" s="20"/>
      <c r="M20" s="14">
        <f t="shared" si="5"/>
        <v>274668.32939820347</v>
      </c>
      <c r="N20" s="18">
        <v>525</v>
      </c>
      <c r="O20" s="18">
        <v>18</v>
      </c>
      <c r="P20" s="18">
        <v>24000</v>
      </c>
      <c r="Q20" s="2" t="s">
        <v>32</v>
      </c>
      <c r="R20" s="2" t="s">
        <v>30</v>
      </c>
      <c r="S20" s="24">
        <f t="shared" si="11"/>
        <v>13200.000000000002</v>
      </c>
      <c r="T20" s="18"/>
    </row>
    <row r="21" spans="1:22" ht="20.25" x14ac:dyDescent="0.2">
      <c r="A21" s="19" t="str">
        <f t="shared" ref="A21" si="12">IF(B21="","",CONCATENATE(B21,CONCATENATE(REPT(0,2-LEN(C21)),C21),IF(OR(D21="Easy",D21=""),1,IF(D21="Normal",2,IF(D21="Hard",3,IF(D21="Hell",4,"error")))),E21))</f>
        <v/>
      </c>
      <c r="B21" s="27"/>
      <c r="C21" s="22" t="s">
        <v>35</v>
      </c>
      <c r="D21" s="21"/>
      <c r="E21" s="21"/>
      <c r="F21" s="21"/>
      <c r="G21" s="21"/>
      <c r="H21" s="21"/>
      <c r="I21" s="21"/>
      <c r="J21" s="21"/>
      <c r="K21" s="20"/>
      <c r="L21" s="21"/>
      <c r="M21" s="14"/>
      <c r="N21" s="21"/>
      <c r="O21" s="21"/>
      <c r="P21" s="21"/>
      <c r="Q21" s="21"/>
      <c r="R21" s="21"/>
      <c r="S21" s="23"/>
    </row>
    <row r="22" spans="1:22" x14ac:dyDescent="0.2">
      <c r="A22" s="2">
        <v>500000110</v>
      </c>
      <c r="B22" s="10">
        <v>50000</v>
      </c>
      <c r="C22" s="10">
        <v>1</v>
      </c>
      <c r="D22" s="19" t="s">
        <v>28</v>
      </c>
      <c r="E22" s="10">
        <v>1</v>
      </c>
      <c r="F22" s="20">
        <f t="shared" si="8"/>
        <v>90234</v>
      </c>
      <c r="G22" s="20">
        <f t="shared" si="8"/>
        <v>90234</v>
      </c>
      <c r="H22" s="20">
        <f t="shared" si="9"/>
        <v>37500</v>
      </c>
      <c r="I22" s="20">
        <f t="shared" si="9"/>
        <v>37500</v>
      </c>
      <c r="J22" s="20">
        <f t="shared" si="10"/>
        <v>343636</v>
      </c>
      <c r="K22" s="10">
        <v>1000</v>
      </c>
      <c r="M22" s="11">
        <v>102983.44867624041</v>
      </c>
      <c r="N22" s="10">
        <v>1200</v>
      </c>
      <c r="O22" s="2">
        <v>0.75</v>
      </c>
      <c r="P22" s="10">
        <v>35000</v>
      </c>
      <c r="Q22" s="10">
        <v>550</v>
      </c>
      <c r="S22" s="10">
        <v>15000</v>
      </c>
      <c r="T22" s="2">
        <v>20000</v>
      </c>
      <c r="V22" s="10"/>
    </row>
    <row r="23" spans="1:22" x14ac:dyDescent="0.2">
      <c r="A23" s="2">
        <v>500000210</v>
      </c>
      <c r="B23" s="10">
        <v>50000</v>
      </c>
      <c r="C23" s="10">
        <v>2</v>
      </c>
      <c r="D23" s="19" t="s">
        <v>28</v>
      </c>
      <c r="E23" s="10">
        <v>1</v>
      </c>
      <c r="F23" s="20">
        <f t="shared" si="8"/>
        <v>96250</v>
      </c>
      <c r="G23" s="20">
        <f t="shared" si="8"/>
        <v>96250</v>
      </c>
      <c r="H23" s="20">
        <f t="shared" si="9"/>
        <v>37500</v>
      </c>
      <c r="I23" s="20">
        <f t="shared" si="9"/>
        <v>37500</v>
      </c>
      <c r="J23" s="20">
        <f t="shared" si="10"/>
        <v>366545</v>
      </c>
      <c r="K23" s="10">
        <v>1000</v>
      </c>
      <c r="M23" s="11">
        <v>102983.44867624041</v>
      </c>
      <c r="N23" s="10">
        <v>1200</v>
      </c>
      <c r="O23" s="10">
        <v>0.8</v>
      </c>
      <c r="P23" s="10">
        <v>35000</v>
      </c>
      <c r="Q23" s="10">
        <v>550</v>
      </c>
      <c r="S23" s="10">
        <v>15000</v>
      </c>
      <c r="T23" s="2">
        <v>20000</v>
      </c>
      <c r="V23" s="10"/>
    </row>
    <row r="24" spans="1:22" x14ac:dyDescent="0.2">
      <c r="A24" s="2">
        <v>500000310</v>
      </c>
      <c r="B24" s="10">
        <v>50000</v>
      </c>
      <c r="C24" s="10">
        <v>3</v>
      </c>
      <c r="D24" s="19" t="s">
        <v>28</v>
      </c>
      <c r="E24" s="10">
        <v>1</v>
      </c>
      <c r="F24" s="20">
        <f t="shared" si="8"/>
        <v>102265</v>
      </c>
      <c r="G24" s="20">
        <f t="shared" si="8"/>
        <v>102265</v>
      </c>
      <c r="H24" s="20">
        <f t="shared" si="9"/>
        <v>37500</v>
      </c>
      <c r="I24" s="20">
        <f t="shared" si="9"/>
        <v>37500</v>
      </c>
      <c r="J24" s="20">
        <f t="shared" si="10"/>
        <v>389454</v>
      </c>
      <c r="K24" s="10">
        <v>1000</v>
      </c>
      <c r="M24" s="11">
        <v>102983.44867624041</v>
      </c>
      <c r="N24" s="10">
        <v>1200</v>
      </c>
      <c r="O24" s="10">
        <v>0.85</v>
      </c>
      <c r="P24" s="10">
        <v>35000</v>
      </c>
      <c r="Q24" s="10">
        <v>550</v>
      </c>
      <c r="S24" s="10">
        <v>15000</v>
      </c>
      <c r="T24" s="2">
        <v>20000</v>
      </c>
      <c r="V24" s="10"/>
    </row>
    <row r="25" spans="1:22" x14ac:dyDescent="0.2">
      <c r="A25" s="2">
        <v>500000410</v>
      </c>
      <c r="B25" s="10">
        <v>50000</v>
      </c>
      <c r="C25" s="10">
        <v>4</v>
      </c>
      <c r="D25" s="19" t="s">
        <v>28</v>
      </c>
      <c r="E25" s="10">
        <v>1</v>
      </c>
      <c r="F25" s="20">
        <f t="shared" si="8"/>
        <v>120312</v>
      </c>
      <c r="G25" s="20">
        <f t="shared" si="8"/>
        <v>120312</v>
      </c>
      <c r="H25" s="20">
        <f t="shared" si="9"/>
        <v>37500</v>
      </c>
      <c r="I25" s="20">
        <f t="shared" si="9"/>
        <v>37500</v>
      </c>
      <c r="J25" s="20">
        <f t="shared" si="10"/>
        <v>402698</v>
      </c>
      <c r="K25" s="10">
        <v>1000</v>
      </c>
      <c r="M25" s="11">
        <v>163087.46527659032</v>
      </c>
      <c r="N25" s="10">
        <v>1125</v>
      </c>
      <c r="O25" s="2">
        <v>1</v>
      </c>
      <c r="P25" s="10">
        <v>35000</v>
      </c>
      <c r="Q25" s="10">
        <v>550</v>
      </c>
      <c r="S25" s="10">
        <v>15000</v>
      </c>
      <c r="T25" s="2">
        <v>23000</v>
      </c>
      <c r="V25" s="10"/>
    </row>
    <row r="26" spans="1:22" x14ac:dyDescent="0.2">
      <c r="A26" s="2">
        <v>500000510</v>
      </c>
      <c r="B26" s="10">
        <v>50000</v>
      </c>
      <c r="C26" s="10">
        <v>5</v>
      </c>
      <c r="D26" s="19" t="s">
        <v>28</v>
      </c>
      <c r="E26" s="10">
        <v>1</v>
      </c>
      <c r="F26" s="20">
        <f t="shared" si="8"/>
        <v>126328</v>
      </c>
      <c r="G26" s="20">
        <f t="shared" si="8"/>
        <v>126328</v>
      </c>
      <c r="H26" s="20">
        <f t="shared" si="9"/>
        <v>37500</v>
      </c>
      <c r="I26" s="20">
        <f t="shared" si="9"/>
        <v>37500</v>
      </c>
      <c r="J26" s="20">
        <f t="shared" si="10"/>
        <v>422833</v>
      </c>
      <c r="K26" s="10">
        <v>1000</v>
      </c>
      <c r="M26" s="11">
        <v>163087.46527659032</v>
      </c>
      <c r="N26" s="10">
        <v>1125</v>
      </c>
      <c r="O26" s="10">
        <v>1.05</v>
      </c>
      <c r="P26" s="10">
        <v>35000</v>
      </c>
      <c r="Q26" s="10">
        <v>550</v>
      </c>
      <c r="S26" s="10">
        <v>15000</v>
      </c>
      <c r="T26" s="2">
        <v>23000</v>
      </c>
      <c r="V26" s="10"/>
    </row>
    <row r="27" spans="1:22" x14ac:dyDescent="0.2">
      <c r="A27" s="2">
        <v>500000610</v>
      </c>
      <c r="B27" s="10">
        <v>50000</v>
      </c>
      <c r="C27" s="10">
        <v>6</v>
      </c>
      <c r="D27" s="19" t="s">
        <v>28</v>
      </c>
      <c r="E27" s="10">
        <v>1</v>
      </c>
      <c r="F27" s="20">
        <f t="shared" si="8"/>
        <v>132343</v>
      </c>
      <c r="G27" s="20">
        <f t="shared" si="8"/>
        <v>132343</v>
      </c>
      <c r="H27" s="20">
        <f t="shared" si="9"/>
        <v>37500</v>
      </c>
      <c r="I27" s="20">
        <f t="shared" si="9"/>
        <v>37500</v>
      </c>
      <c r="J27" s="20">
        <f t="shared" si="10"/>
        <v>442968</v>
      </c>
      <c r="K27" s="10">
        <v>1000</v>
      </c>
      <c r="M27" s="11">
        <v>163087.46527659032</v>
      </c>
      <c r="N27" s="10">
        <v>1125</v>
      </c>
      <c r="O27" s="10">
        <v>1.1000000000000001</v>
      </c>
      <c r="P27" s="10">
        <v>35000</v>
      </c>
      <c r="Q27" s="10">
        <v>550</v>
      </c>
      <c r="S27" s="10">
        <v>15000</v>
      </c>
      <c r="T27" s="2">
        <v>23000</v>
      </c>
      <c r="V27" s="10"/>
    </row>
    <row r="28" spans="1:22" x14ac:dyDescent="0.2">
      <c r="A28" s="2">
        <v>500000710</v>
      </c>
      <c r="B28" s="10">
        <v>50000</v>
      </c>
      <c r="C28" s="10">
        <v>7</v>
      </c>
      <c r="D28" s="19" t="s">
        <v>28</v>
      </c>
      <c r="E28" s="10">
        <v>1</v>
      </c>
      <c r="F28" s="20">
        <f t="shared" si="8"/>
        <v>103125</v>
      </c>
      <c r="G28" s="20">
        <f t="shared" si="8"/>
        <v>103125</v>
      </c>
      <c r="H28" s="20">
        <f t="shared" si="9"/>
        <v>25000</v>
      </c>
      <c r="I28" s="20">
        <f t="shared" si="9"/>
        <v>25000</v>
      </c>
      <c r="J28" s="20">
        <f t="shared" si="10"/>
        <v>376534</v>
      </c>
      <c r="K28" s="10">
        <v>1000</v>
      </c>
      <c r="M28" s="11">
        <v>154097.275191664</v>
      </c>
      <c r="N28" s="10">
        <v>1175</v>
      </c>
      <c r="O28" s="2">
        <v>1</v>
      </c>
      <c r="P28" s="10">
        <v>30000</v>
      </c>
      <c r="Q28" s="10">
        <v>550</v>
      </c>
      <c r="S28" s="10">
        <v>10000</v>
      </c>
      <c r="T28" s="10">
        <v>10000</v>
      </c>
      <c r="V28" s="10"/>
    </row>
    <row r="29" spans="1:22" x14ac:dyDescent="0.2">
      <c r="A29" s="2">
        <v>500000810</v>
      </c>
      <c r="B29" s="10">
        <v>50000</v>
      </c>
      <c r="C29" s="10">
        <v>8</v>
      </c>
      <c r="D29" s="19" t="s">
        <v>28</v>
      </c>
      <c r="E29" s="10">
        <v>1</v>
      </c>
      <c r="F29" s="20">
        <f t="shared" si="8"/>
        <v>126328</v>
      </c>
      <c r="G29" s="20">
        <f t="shared" si="8"/>
        <v>126328</v>
      </c>
      <c r="H29" s="20">
        <f t="shared" si="9"/>
        <v>37500</v>
      </c>
      <c r="I29" s="20">
        <f t="shared" si="9"/>
        <v>37500</v>
      </c>
      <c r="J29" s="20">
        <f t="shared" si="10"/>
        <v>461254</v>
      </c>
      <c r="K29" s="10">
        <v>1000</v>
      </c>
      <c r="M29" s="11">
        <v>154097.275191664</v>
      </c>
      <c r="N29" s="10">
        <v>1175</v>
      </c>
      <c r="O29" s="10">
        <v>1.05</v>
      </c>
      <c r="P29" s="10">
        <v>35000</v>
      </c>
      <c r="Q29" s="10">
        <v>550</v>
      </c>
      <c r="S29" s="10">
        <v>15000</v>
      </c>
      <c r="T29" s="2">
        <v>24000</v>
      </c>
      <c r="V29" s="10"/>
    </row>
    <row r="30" spans="1:22" x14ac:dyDescent="0.2">
      <c r="A30" s="2">
        <v>500000910</v>
      </c>
      <c r="B30" s="10">
        <v>50000</v>
      </c>
      <c r="C30" s="10">
        <v>9</v>
      </c>
      <c r="D30" s="19" t="s">
        <v>28</v>
      </c>
      <c r="E30" s="10">
        <v>1</v>
      </c>
      <c r="F30" s="20">
        <f t="shared" si="8"/>
        <v>132343</v>
      </c>
      <c r="G30" s="20">
        <f t="shared" si="8"/>
        <v>132343</v>
      </c>
      <c r="H30" s="20">
        <f t="shared" si="9"/>
        <v>37500</v>
      </c>
      <c r="I30" s="20">
        <f t="shared" si="9"/>
        <v>37500</v>
      </c>
      <c r="J30" s="20">
        <f t="shared" si="10"/>
        <v>483218</v>
      </c>
      <c r="K30" s="10">
        <v>1000</v>
      </c>
      <c r="M30" s="11">
        <v>154097.275191664</v>
      </c>
      <c r="N30" s="10">
        <v>1175</v>
      </c>
      <c r="O30" s="10">
        <v>1.1000000000000001</v>
      </c>
      <c r="P30" s="10">
        <v>35000</v>
      </c>
      <c r="Q30" s="10">
        <v>550</v>
      </c>
      <c r="S30" s="10">
        <v>15000</v>
      </c>
      <c r="T30" s="2">
        <v>24000</v>
      </c>
      <c r="V30" s="10"/>
    </row>
    <row r="31" spans="1:22" x14ac:dyDescent="0.2">
      <c r="A31" s="2">
        <v>500021000</v>
      </c>
      <c r="B31" s="10">
        <v>50000</v>
      </c>
      <c r="C31" s="10">
        <v>210</v>
      </c>
      <c r="D31" s="19" t="s">
        <v>28</v>
      </c>
      <c r="E31" s="10">
        <v>1</v>
      </c>
      <c r="F31" s="20">
        <f t="shared" si="8"/>
        <v>132343</v>
      </c>
      <c r="G31" s="20">
        <f t="shared" si="8"/>
        <v>132343</v>
      </c>
      <c r="H31" s="20">
        <f t="shared" si="9"/>
        <v>37500</v>
      </c>
      <c r="I31" s="20">
        <f t="shared" si="9"/>
        <v>37500</v>
      </c>
      <c r="J31" s="20">
        <f t="shared" si="10"/>
        <v>483218</v>
      </c>
      <c r="K31" s="10">
        <v>1000</v>
      </c>
      <c r="M31" s="14">
        <f t="shared" ref="M31" si="13">(F31*J31*((H31+I31)/2)/1000)^(1/2)/10*0.8</f>
        <v>123887.5487922818</v>
      </c>
      <c r="N31" s="18">
        <v>1175</v>
      </c>
      <c r="O31" s="18">
        <v>1.1000000000000001</v>
      </c>
      <c r="P31" s="10">
        <v>35000</v>
      </c>
      <c r="Q31" s="31">
        <v>550</v>
      </c>
      <c r="S31" s="10">
        <v>15000</v>
      </c>
      <c r="T31" s="18">
        <v>27000</v>
      </c>
      <c r="V31" s="10"/>
    </row>
    <row r="32" spans="1:22" x14ac:dyDescent="0.2">
      <c r="A32" s="2" t="s">
        <v>38</v>
      </c>
      <c r="B32" s="10">
        <v>50000</v>
      </c>
      <c r="C32" s="10">
        <v>210</v>
      </c>
      <c r="D32" s="19" t="s">
        <v>28</v>
      </c>
      <c r="E32" s="10">
        <v>2</v>
      </c>
      <c r="F32" s="20">
        <f t="shared" si="8"/>
        <v>378125</v>
      </c>
      <c r="G32" s="20">
        <f t="shared" si="8"/>
        <v>378125</v>
      </c>
      <c r="H32" s="20">
        <f t="shared" si="9"/>
        <v>37500</v>
      </c>
      <c r="I32" s="20">
        <f t="shared" si="9"/>
        <v>37500</v>
      </c>
      <c r="J32" s="20">
        <f t="shared" si="10"/>
        <v>1380625</v>
      </c>
      <c r="K32" s="10">
        <v>1000</v>
      </c>
      <c r="M32" s="14">
        <f t="shared" ref="M32" si="14">(F32*J32*((H32+I32)/2)/1000)^(1/2)/10*0.8</f>
        <v>353965.70278771361</v>
      </c>
      <c r="N32" s="18">
        <v>1175</v>
      </c>
      <c r="O32" s="18">
        <v>1.1000000000000001</v>
      </c>
      <c r="P32" s="10">
        <v>100000</v>
      </c>
      <c r="Q32" s="31">
        <v>550</v>
      </c>
      <c r="S32" s="10">
        <v>15000</v>
      </c>
      <c r="T32" s="18">
        <v>27000</v>
      </c>
      <c r="V32" s="10"/>
    </row>
    <row r="33" spans="1:22" x14ac:dyDescent="0.2">
      <c r="A33" s="2">
        <v>500000111</v>
      </c>
      <c r="B33" s="10">
        <v>50000</v>
      </c>
      <c r="C33" s="10">
        <v>1</v>
      </c>
      <c r="D33" s="2" t="s">
        <v>37</v>
      </c>
      <c r="E33" s="10">
        <v>1</v>
      </c>
      <c r="F33" s="20">
        <f t="shared" si="8"/>
        <v>136718</v>
      </c>
      <c r="G33" s="20">
        <f t="shared" si="8"/>
        <v>136718</v>
      </c>
      <c r="H33" s="20">
        <f t="shared" si="9"/>
        <v>37500</v>
      </c>
      <c r="I33" s="20">
        <f t="shared" si="9"/>
        <v>37500</v>
      </c>
      <c r="J33" s="20">
        <f t="shared" si="10"/>
        <v>510300</v>
      </c>
      <c r="K33" s="10">
        <v>1000</v>
      </c>
      <c r="M33" s="11">
        <v>118430.96597767646</v>
      </c>
      <c r="N33" s="10">
        <v>1350</v>
      </c>
      <c r="O33" s="10">
        <v>1</v>
      </c>
      <c r="P33" s="10">
        <v>35000</v>
      </c>
      <c r="Q33" s="10">
        <v>625</v>
      </c>
      <c r="R33" s="2">
        <v>0</v>
      </c>
      <c r="S33" s="10">
        <v>15000</v>
      </c>
      <c r="T33" s="2">
        <v>23000</v>
      </c>
      <c r="V33" s="10"/>
    </row>
    <row r="34" spans="1:22" x14ac:dyDescent="0.2">
      <c r="A34" s="2">
        <v>500000211</v>
      </c>
      <c r="B34" s="10">
        <v>50000</v>
      </c>
      <c r="C34" s="10">
        <v>2</v>
      </c>
      <c r="D34" s="2" t="s">
        <v>37</v>
      </c>
      <c r="E34" s="10">
        <v>1</v>
      </c>
      <c r="F34" s="20">
        <f t="shared" si="8"/>
        <v>136718</v>
      </c>
      <c r="G34" s="20">
        <f t="shared" si="8"/>
        <v>136718</v>
      </c>
      <c r="H34" s="20">
        <f t="shared" si="9"/>
        <v>37500</v>
      </c>
      <c r="I34" s="20">
        <f t="shared" si="9"/>
        <v>37500</v>
      </c>
      <c r="J34" s="20">
        <f t="shared" si="10"/>
        <v>510300</v>
      </c>
      <c r="K34" s="10">
        <v>1000</v>
      </c>
      <c r="M34" s="11">
        <v>118430.96597767646</v>
      </c>
      <c r="N34" s="10">
        <v>1350</v>
      </c>
      <c r="O34" s="10">
        <v>1</v>
      </c>
      <c r="P34" s="10">
        <v>35000</v>
      </c>
      <c r="Q34" s="10">
        <v>625</v>
      </c>
      <c r="R34" s="2">
        <v>0</v>
      </c>
      <c r="S34" s="10">
        <v>15000</v>
      </c>
      <c r="T34" s="2">
        <v>23000</v>
      </c>
      <c r="V34" s="10"/>
    </row>
    <row r="35" spans="1:22" x14ac:dyDescent="0.2">
      <c r="A35" s="2">
        <v>500000311</v>
      </c>
      <c r="B35" s="10">
        <v>50000</v>
      </c>
      <c r="C35" s="10">
        <v>3</v>
      </c>
      <c r="D35" s="2" t="s">
        <v>37</v>
      </c>
      <c r="E35" s="10">
        <v>1</v>
      </c>
      <c r="F35" s="20">
        <f t="shared" ref="F35:G62" si="15">ROUNDDOWN($P35/4*MIN($O35,4)*10*$N35/$N35*$Q35/400,0)</f>
        <v>136718</v>
      </c>
      <c r="G35" s="20">
        <f t="shared" si="15"/>
        <v>136718</v>
      </c>
      <c r="H35" s="20">
        <f t="shared" ref="H35:I62" si="16">ROUNDDOWN($S35/4*10,0)</f>
        <v>37500</v>
      </c>
      <c r="I35" s="20">
        <f t="shared" si="16"/>
        <v>37500</v>
      </c>
      <c r="J35" s="20">
        <f t="shared" si="10"/>
        <v>510300</v>
      </c>
      <c r="K35" s="10">
        <v>1000</v>
      </c>
      <c r="M35" s="11">
        <v>118430.96597767646</v>
      </c>
      <c r="N35" s="10">
        <v>1350</v>
      </c>
      <c r="O35" s="10">
        <v>1</v>
      </c>
      <c r="P35" s="10">
        <v>35000</v>
      </c>
      <c r="Q35" s="10">
        <v>625</v>
      </c>
      <c r="R35" s="2">
        <v>0</v>
      </c>
      <c r="S35" s="10">
        <v>15000</v>
      </c>
      <c r="T35" s="2">
        <v>23000</v>
      </c>
      <c r="V35" s="10"/>
    </row>
    <row r="36" spans="1:22" x14ac:dyDescent="0.2">
      <c r="A36" s="2">
        <v>500000411</v>
      </c>
      <c r="B36" s="10">
        <v>50000</v>
      </c>
      <c r="C36" s="10">
        <v>4</v>
      </c>
      <c r="D36" s="2" t="s">
        <v>37</v>
      </c>
      <c r="E36" s="10">
        <v>1</v>
      </c>
      <c r="F36" s="20">
        <f t="shared" si="15"/>
        <v>136718</v>
      </c>
      <c r="G36" s="20">
        <f t="shared" si="15"/>
        <v>136718</v>
      </c>
      <c r="H36" s="20">
        <f t="shared" si="16"/>
        <v>37500</v>
      </c>
      <c r="I36" s="20">
        <f t="shared" si="16"/>
        <v>37500</v>
      </c>
      <c r="J36" s="20">
        <f t="shared" si="10"/>
        <v>510300</v>
      </c>
      <c r="K36" s="10">
        <v>1000</v>
      </c>
      <c r="M36" s="11">
        <v>187550.58506807886</v>
      </c>
      <c r="N36" s="10">
        <v>1350</v>
      </c>
      <c r="O36" s="10">
        <v>1</v>
      </c>
      <c r="P36" s="10">
        <v>35000</v>
      </c>
      <c r="Q36" s="10">
        <v>625</v>
      </c>
      <c r="R36" s="2">
        <v>0</v>
      </c>
      <c r="S36" s="10">
        <v>15000</v>
      </c>
      <c r="T36" s="2">
        <v>26000</v>
      </c>
      <c r="V36" s="10"/>
    </row>
    <row r="37" spans="1:22" x14ac:dyDescent="0.2">
      <c r="A37" s="2">
        <v>500000511</v>
      </c>
      <c r="B37" s="10">
        <v>50000</v>
      </c>
      <c r="C37" s="10">
        <v>5</v>
      </c>
      <c r="D37" s="2" t="s">
        <v>37</v>
      </c>
      <c r="E37" s="10">
        <v>1</v>
      </c>
      <c r="F37" s="20">
        <f t="shared" si="15"/>
        <v>136718</v>
      </c>
      <c r="G37" s="20">
        <f t="shared" si="15"/>
        <v>136718</v>
      </c>
      <c r="H37" s="20">
        <f t="shared" si="16"/>
        <v>37500</v>
      </c>
      <c r="I37" s="20">
        <f t="shared" si="16"/>
        <v>37500</v>
      </c>
      <c r="J37" s="20">
        <f t="shared" si="10"/>
        <v>510300</v>
      </c>
      <c r="K37" s="10">
        <v>1000</v>
      </c>
      <c r="M37" s="11">
        <v>187550.58506807886</v>
      </c>
      <c r="N37" s="10">
        <v>1350</v>
      </c>
      <c r="O37" s="10">
        <v>1</v>
      </c>
      <c r="P37" s="10">
        <v>35000</v>
      </c>
      <c r="Q37" s="10">
        <v>625</v>
      </c>
      <c r="R37" s="2">
        <v>0</v>
      </c>
      <c r="S37" s="10">
        <v>15000</v>
      </c>
      <c r="T37" s="2">
        <v>26000</v>
      </c>
      <c r="V37" s="10"/>
    </row>
    <row r="38" spans="1:22" x14ac:dyDescent="0.2">
      <c r="A38" s="2">
        <v>500000611</v>
      </c>
      <c r="B38" s="10">
        <v>50000</v>
      </c>
      <c r="C38" s="10">
        <v>6</v>
      </c>
      <c r="D38" s="2" t="s">
        <v>37</v>
      </c>
      <c r="E38" s="10">
        <v>1</v>
      </c>
      <c r="F38" s="20">
        <f t="shared" si="15"/>
        <v>136718</v>
      </c>
      <c r="G38" s="20">
        <f t="shared" si="15"/>
        <v>136718</v>
      </c>
      <c r="H38" s="20">
        <f t="shared" si="16"/>
        <v>37500</v>
      </c>
      <c r="I38" s="20">
        <f t="shared" si="16"/>
        <v>37500</v>
      </c>
      <c r="J38" s="20">
        <f t="shared" si="10"/>
        <v>510300</v>
      </c>
      <c r="K38" s="10">
        <v>1000</v>
      </c>
      <c r="M38" s="11">
        <v>187550.58506807886</v>
      </c>
      <c r="N38" s="10">
        <v>1350</v>
      </c>
      <c r="O38" s="10">
        <v>1</v>
      </c>
      <c r="P38" s="10">
        <v>35000</v>
      </c>
      <c r="Q38" s="10">
        <v>625</v>
      </c>
      <c r="R38" s="2">
        <v>0</v>
      </c>
      <c r="S38" s="10">
        <v>15000</v>
      </c>
      <c r="T38" s="2">
        <v>26000</v>
      </c>
      <c r="V38" s="10"/>
    </row>
    <row r="39" spans="1:22" x14ac:dyDescent="0.2">
      <c r="A39" s="2">
        <v>500000711</v>
      </c>
      <c r="B39" s="10">
        <v>50000</v>
      </c>
      <c r="C39" s="10">
        <v>7</v>
      </c>
      <c r="D39" s="2" t="s">
        <v>37</v>
      </c>
      <c r="E39" s="10">
        <v>1</v>
      </c>
      <c r="F39" s="20">
        <f t="shared" si="15"/>
        <v>136718</v>
      </c>
      <c r="G39" s="20">
        <f t="shared" si="15"/>
        <v>136718</v>
      </c>
      <c r="H39" s="20">
        <f t="shared" si="16"/>
        <v>37500</v>
      </c>
      <c r="I39" s="20">
        <f t="shared" si="16"/>
        <v>37500</v>
      </c>
      <c r="J39" s="20">
        <f t="shared" si="10"/>
        <v>548800</v>
      </c>
      <c r="K39" s="10">
        <v>1000</v>
      </c>
      <c r="M39" s="11">
        <v>177211.86647041357</v>
      </c>
      <c r="N39" s="10">
        <v>1400</v>
      </c>
      <c r="O39" s="10">
        <v>1</v>
      </c>
      <c r="P39" s="10">
        <v>35000</v>
      </c>
      <c r="Q39" s="10">
        <v>625</v>
      </c>
      <c r="R39" s="2">
        <v>0</v>
      </c>
      <c r="S39" s="10">
        <v>15000</v>
      </c>
      <c r="T39" s="2">
        <v>28000</v>
      </c>
      <c r="V39" s="10"/>
    </row>
    <row r="40" spans="1:22" x14ac:dyDescent="0.2">
      <c r="A40" s="2">
        <v>500000811</v>
      </c>
      <c r="B40" s="10">
        <v>50000</v>
      </c>
      <c r="C40" s="10">
        <v>8</v>
      </c>
      <c r="D40" s="2" t="s">
        <v>37</v>
      </c>
      <c r="E40" s="10">
        <v>1</v>
      </c>
      <c r="F40" s="20">
        <f t="shared" si="15"/>
        <v>136718</v>
      </c>
      <c r="G40" s="20">
        <f t="shared" si="15"/>
        <v>136718</v>
      </c>
      <c r="H40" s="20">
        <f t="shared" si="16"/>
        <v>37500</v>
      </c>
      <c r="I40" s="20">
        <f t="shared" si="16"/>
        <v>37500</v>
      </c>
      <c r="J40" s="20">
        <f t="shared" si="10"/>
        <v>548800</v>
      </c>
      <c r="K40" s="10">
        <v>1000</v>
      </c>
      <c r="M40" s="11">
        <v>177211.86647041357</v>
      </c>
      <c r="N40" s="10">
        <v>1400</v>
      </c>
      <c r="O40" s="10">
        <v>1</v>
      </c>
      <c r="P40" s="10">
        <v>35000</v>
      </c>
      <c r="Q40" s="10">
        <v>625</v>
      </c>
      <c r="R40" s="2">
        <v>0</v>
      </c>
      <c r="S40" s="10">
        <v>15000</v>
      </c>
      <c r="T40" s="2">
        <v>28000</v>
      </c>
      <c r="V40" s="10"/>
    </row>
    <row r="41" spans="1:22" x14ac:dyDescent="0.2">
      <c r="A41" s="2">
        <v>500000911</v>
      </c>
      <c r="B41" s="10">
        <v>50000</v>
      </c>
      <c r="C41" s="10">
        <v>9</v>
      </c>
      <c r="D41" s="2" t="s">
        <v>37</v>
      </c>
      <c r="E41" s="10">
        <v>1</v>
      </c>
      <c r="F41" s="20">
        <f t="shared" si="15"/>
        <v>136718</v>
      </c>
      <c r="G41" s="20">
        <f t="shared" si="15"/>
        <v>136718</v>
      </c>
      <c r="H41" s="20">
        <f t="shared" si="16"/>
        <v>37500</v>
      </c>
      <c r="I41" s="20">
        <f t="shared" si="16"/>
        <v>37500</v>
      </c>
      <c r="J41" s="20">
        <f t="shared" si="10"/>
        <v>548800</v>
      </c>
      <c r="K41" s="10">
        <v>1000</v>
      </c>
      <c r="M41" s="11">
        <v>177211.86647041357</v>
      </c>
      <c r="N41" s="10">
        <v>1400</v>
      </c>
      <c r="O41" s="10">
        <v>1</v>
      </c>
      <c r="P41" s="10">
        <v>35000</v>
      </c>
      <c r="Q41" s="10">
        <v>625</v>
      </c>
      <c r="R41" s="2">
        <v>0</v>
      </c>
      <c r="S41" s="10">
        <v>15000</v>
      </c>
      <c r="T41" s="2">
        <v>28000</v>
      </c>
      <c r="V41" s="10"/>
    </row>
    <row r="42" spans="1:22" x14ac:dyDescent="0.2">
      <c r="A42" s="2">
        <v>500001010</v>
      </c>
      <c r="B42" s="10">
        <v>50000</v>
      </c>
      <c r="C42" s="10">
        <v>10</v>
      </c>
      <c r="D42" s="2" t="s">
        <v>37</v>
      </c>
      <c r="E42" s="10">
        <v>1</v>
      </c>
      <c r="F42" s="20">
        <f t="shared" si="15"/>
        <v>136718</v>
      </c>
      <c r="G42" s="20">
        <f t="shared" si="15"/>
        <v>136718</v>
      </c>
      <c r="H42" s="20">
        <f t="shared" si="16"/>
        <v>37500</v>
      </c>
      <c r="I42" s="20">
        <f t="shared" si="16"/>
        <v>37500</v>
      </c>
      <c r="J42" s="20">
        <f t="shared" si="10"/>
        <v>568575</v>
      </c>
      <c r="K42" s="10">
        <v>1000</v>
      </c>
      <c r="M42" s="11">
        <v>213457.7821256466</v>
      </c>
      <c r="N42" s="10">
        <v>1425</v>
      </c>
      <c r="O42" s="10">
        <v>1</v>
      </c>
      <c r="P42" s="10">
        <v>35000</v>
      </c>
      <c r="Q42" s="10">
        <v>625</v>
      </c>
      <c r="R42" s="2">
        <v>0</v>
      </c>
      <c r="S42" s="10">
        <v>15000</v>
      </c>
      <c r="T42" s="2">
        <v>29000</v>
      </c>
      <c r="V42" s="10"/>
    </row>
    <row r="43" spans="1:22" x14ac:dyDescent="0.2">
      <c r="A43" s="2">
        <v>500001100</v>
      </c>
      <c r="B43" s="10">
        <v>50000</v>
      </c>
      <c r="C43" s="10">
        <v>11</v>
      </c>
      <c r="D43" s="2" t="s">
        <v>37</v>
      </c>
      <c r="E43" s="10">
        <v>1</v>
      </c>
      <c r="F43" s="20">
        <f t="shared" si="15"/>
        <v>136718</v>
      </c>
      <c r="G43" s="20">
        <f t="shared" si="15"/>
        <v>136718</v>
      </c>
      <c r="H43" s="20">
        <f t="shared" si="16"/>
        <v>37500</v>
      </c>
      <c r="I43" s="20">
        <f t="shared" si="16"/>
        <v>37500</v>
      </c>
      <c r="J43" s="20">
        <f t="shared" si="10"/>
        <v>568575</v>
      </c>
      <c r="K43" s="10">
        <v>1000</v>
      </c>
      <c r="M43" s="11">
        <v>213457.7821256466</v>
      </c>
      <c r="N43" s="10">
        <v>1425</v>
      </c>
      <c r="O43" s="10">
        <v>1</v>
      </c>
      <c r="P43" s="10">
        <v>35000</v>
      </c>
      <c r="Q43" s="10">
        <v>625</v>
      </c>
      <c r="R43" s="2">
        <v>0</v>
      </c>
      <c r="S43" s="10">
        <v>15000</v>
      </c>
      <c r="T43" s="2">
        <v>29000</v>
      </c>
      <c r="V43" s="10"/>
    </row>
    <row r="44" spans="1:22" x14ac:dyDescent="0.2">
      <c r="A44" s="2">
        <v>500050100</v>
      </c>
      <c r="B44" s="18">
        <v>50000</v>
      </c>
      <c r="C44" s="18">
        <v>501</v>
      </c>
      <c r="E44" s="18">
        <v>1</v>
      </c>
      <c r="F44" s="20">
        <f t="shared" si="15"/>
        <v>171875</v>
      </c>
      <c r="G44" s="20">
        <f t="shared" si="15"/>
        <v>171875</v>
      </c>
      <c r="H44" s="20">
        <f t="shared" si="16"/>
        <v>2500</v>
      </c>
      <c r="I44" s="20">
        <f t="shared" si="16"/>
        <v>2500</v>
      </c>
      <c r="J44" s="20">
        <f t="shared" si="10"/>
        <v>1640909</v>
      </c>
      <c r="K44" s="18">
        <v>1000</v>
      </c>
      <c r="L44" s="18"/>
      <c r="M44" s="11">
        <v>102983.44867624041</v>
      </c>
      <c r="N44" s="18">
        <v>1900</v>
      </c>
      <c r="O44" s="18">
        <v>1</v>
      </c>
      <c r="P44" s="18">
        <v>50000</v>
      </c>
      <c r="Q44" s="18">
        <v>550</v>
      </c>
      <c r="R44" s="2" t="s">
        <v>47</v>
      </c>
      <c r="S44" s="18">
        <v>1000</v>
      </c>
      <c r="T44" s="18">
        <v>1000</v>
      </c>
      <c r="U44" s="18"/>
      <c r="V44" s="18"/>
    </row>
    <row r="45" spans="1:22" x14ac:dyDescent="0.2">
      <c r="A45" s="2">
        <v>500050200</v>
      </c>
      <c r="B45" s="18">
        <v>50000</v>
      </c>
      <c r="C45" s="18">
        <v>502</v>
      </c>
      <c r="E45" s="18">
        <v>2</v>
      </c>
      <c r="F45" s="20">
        <f t="shared" si="15"/>
        <v>262500</v>
      </c>
      <c r="G45" s="20">
        <f t="shared" si="15"/>
        <v>262500</v>
      </c>
      <c r="H45" s="20">
        <f t="shared" si="16"/>
        <v>2500</v>
      </c>
      <c r="I45" s="20">
        <f t="shared" si="16"/>
        <v>2500</v>
      </c>
      <c r="J45" s="20">
        <f t="shared" si="10"/>
        <v>3085833</v>
      </c>
      <c r="K45" s="18">
        <v>1000</v>
      </c>
      <c r="L45" s="18"/>
      <c r="M45" s="11">
        <v>113281.79354386446</v>
      </c>
      <c r="N45" s="18">
        <v>2300</v>
      </c>
      <c r="O45" s="18">
        <v>1</v>
      </c>
      <c r="P45" s="18">
        <v>70000</v>
      </c>
      <c r="Q45" s="18">
        <v>600</v>
      </c>
      <c r="R45" s="2" t="s">
        <v>48</v>
      </c>
      <c r="S45" s="18">
        <v>1000</v>
      </c>
      <c r="T45" s="18">
        <v>1000</v>
      </c>
      <c r="U45" s="18"/>
      <c r="V45" s="18"/>
    </row>
    <row r="46" spans="1:22" x14ac:dyDescent="0.2">
      <c r="A46" s="2">
        <v>500050300</v>
      </c>
      <c r="B46" s="18">
        <v>50000</v>
      </c>
      <c r="C46" s="18">
        <v>503</v>
      </c>
      <c r="E46" s="18">
        <v>3</v>
      </c>
      <c r="F46" s="20">
        <f t="shared" si="15"/>
        <v>406250</v>
      </c>
      <c r="G46" s="20">
        <f t="shared" si="15"/>
        <v>406250</v>
      </c>
      <c r="H46" s="20">
        <f t="shared" si="16"/>
        <v>2500</v>
      </c>
      <c r="I46" s="20">
        <f t="shared" si="16"/>
        <v>2500</v>
      </c>
      <c r="J46" s="20">
        <f t="shared" si="10"/>
        <v>5607692</v>
      </c>
      <c r="K46" s="18">
        <v>1000</v>
      </c>
      <c r="L46" s="18"/>
      <c r="M46" s="11">
        <v>124609.97289825091</v>
      </c>
      <c r="N46" s="18">
        <v>2700</v>
      </c>
      <c r="O46" s="18">
        <v>1</v>
      </c>
      <c r="P46" s="18">
        <v>100000</v>
      </c>
      <c r="Q46" s="18">
        <v>650</v>
      </c>
      <c r="R46" s="2" t="s">
        <v>49</v>
      </c>
      <c r="S46" s="18">
        <v>1000</v>
      </c>
      <c r="T46" s="18">
        <v>1000</v>
      </c>
      <c r="U46" s="18"/>
      <c r="V46" s="18"/>
    </row>
    <row r="47" spans="1:22" x14ac:dyDescent="0.2">
      <c r="A47" s="2">
        <v>500050400</v>
      </c>
      <c r="B47" s="18">
        <v>50000</v>
      </c>
      <c r="C47" s="18">
        <v>504</v>
      </c>
      <c r="E47" s="18">
        <v>4</v>
      </c>
      <c r="F47" s="20">
        <f t="shared" si="15"/>
        <v>525000</v>
      </c>
      <c r="G47" s="20">
        <f t="shared" si="15"/>
        <v>525000</v>
      </c>
      <c r="H47" s="20">
        <f t="shared" si="16"/>
        <v>2500</v>
      </c>
      <c r="I47" s="20">
        <f t="shared" si="16"/>
        <v>2500</v>
      </c>
      <c r="J47" s="20">
        <f t="shared" si="10"/>
        <v>7714285</v>
      </c>
      <c r="K47" s="18">
        <v>1000</v>
      </c>
      <c r="L47" s="18"/>
      <c r="M47" s="11">
        <v>137070.97018807603</v>
      </c>
      <c r="N47" s="18">
        <v>3000</v>
      </c>
      <c r="O47" s="18">
        <v>1</v>
      </c>
      <c r="P47" s="18">
        <v>120000</v>
      </c>
      <c r="Q47" s="18">
        <v>700</v>
      </c>
      <c r="R47" s="2" t="s">
        <v>50</v>
      </c>
      <c r="S47" s="18">
        <v>1000</v>
      </c>
      <c r="T47" s="18">
        <v>1000</v>
      </c>
      <c r="U47" s="18"/>
      <c r="V47" s="18"/>
    </row>
    <row r="48" spans="1:22" x14ac:dyDescent="0.2">
      <c r="A48" s="2">
        <v>500050500</v>
      </c>
      <c r="B48" s="18">
        <v>50000</v>
      </c>
      <c r="C48" s="18">
        <v>505</v>
      </c>
      <c r="E48" s="18">
        <v>5</v>
      </c>
      <c r="F48" s="20">
        <f t="shared" si="15"/>
        <v>726562</v>
      </c>
      <c r="G48" s="20">
        <f t="shared" si="15"/>
        <v>726562</v>
      </c>
      <c r="H48" s="20">
        <f t="shared" si="16"/>
        <v>2500</v>
      </c>
      <c r="I48" s="20">
        <f t="shared" si="16"/>
        <v>2500</v>
      </c>
      <c r="J48" s="20">
        <f t="shared" si="10"/>
        <v>14921333</v>
      </c>
      <c r="K48" s="18">
        <v>1000</v>
      </c>
      <c r="L48" s="18"/>
      <c r="M48" s="11">
        <v>150778.06720688366</v>
      </c>
      <c r="N48" s="18">
        <v>3800</v>
      </c>
      <c r="O48" s="18">
        <v>1</v>
      </c>
      <c r="P48" s="18">
        <v>155000</v>
      </c>
      <c r="Q48" s="18">
        <v>750</v>
      </c>
      <c r="R48" s="2" t="s">
        <v>51</v>
      </c>
      <c r="S48" s="18">
        <v>1000</v>
      </c>
      <c r="T48" s="18">
        <v>1000</v>
      </c>
      <c r="U48" s="18"/>
      <c r="V48" s="18"/>
    </row>
    <row r="49" spans="1:22" x14ac:dyDescent="0.2">
      <c r="A49" s="2">
        <v>500050600</v>
      </c>
      <c r="B49" s="18">
        <v>50000</v>
      </c>
      <c r="C49" s="18">
        <v>506</v>
      </c>
      <c r="E49" s="18">
        <v>6</v>
      </c>
      <c r="F49" s="20">
        <f t="shared" si="15"/>
        <v>850000</v>
      </c>
      <c r="G49" s="20">
        <f t="shared" si="15"/>
        <v>850000</v>
      </c>
      <c r="H49" s="20">
        <f t="shared" si="16"/>
        <v>2500</v>
      </c>
      <c r="I49" s="20">
        <f t="shared" si="16"/>
        <v>2500</v>
      </c>
      <c r="J49" s="20">
        <f t="shared" si="10"/>
        <v>19645625</v>
      </c>
      <c r="K49" s="18">
        <v>1000</v>
      </c>
      <c r="L49" s="18"/>
      <c r="M49" s="11">
        <v>165855.87392757201</v>
      </c>
      <c r="N49" s="18">
        <v>4300</v>
      </c>
      <c r="O49" s="18">
        <v>1</v>
      </c>
      <c r="P49" s="18">
        <v>170000</v>
      </c>
      <c r="Q49" s="18">
        <v>800</v>
      </c>
      <c r="R49" s="2" t="s">
        <v>52</v>
      </c>
      <c r="S49" s="18">
        <v>1000</v>
      </c>
      <c r="T49" s="18">
        <v>1000</v>
      </c>
      <c r="U49" s="18"/>
      <c r="V49" s="18"/>
    </row>
    <row r="50" spans="1:22" x14ac:dyDescent="0.2">
      <c r="A50" s="2">
        <v>500050700</v>
      </c>
      <c r="B50" s="18">
        <v>50000</v>
      </c>
      <c r="C50" s="18">
        <v>507</v>
      </c>
      <c r="E50" s="18">
        <v>7</v>
      </c>
      <c r="F50" s="20">
        <f t="shared" si="15"/>
        <v>1035937</v>
      </c>
      <c r="G50" s="20">
        <f t="shared" si="15"/>
        <v>1035937</v>
      </c>
      <c r="H50" s="20">
        <f t="shared" si="16"/>
        <v>2500</v>
      </c>
      <c r="I50" s="20">
        <f t="shared" si="16"/>
        <v>2500</v>
      </c>
      <c r="J50" s="20">
        <f t="shared" si="10"/>
        <v>28676470</v>
      </c>
      <c r="K50" s="18">
        <v>1000</v>
      </c>
      <c r="L50" s="18"/>
      <c r="M50" s="11">
        <v>182441.46132032925</v>
      </c>
      <c r="N50" s="18">
        <v>5000</v>
      </c>
      <c r="O50" s="18">
        <v>1</v>
      </c>
      <c r="P50" s="18">
        <v>195000</v>
      </c>
      <c r="Q50" s="18">
        <v>850</v>
      </c>
      <c r="R50" s="2" t="s">
        <v>53</v>
      </c>
      <c r="S50" s="18">
        <v>1000</v>
      </c>
      <c r="T50" s="18">
        <v>1000</v>
      </c>
      <c r="U50" s="18"/>
      <c r="V50" s="18"/>
    </row>
    <row r="51" spans="1:22" x14ac:dyDescent="0.2">
      <c r="A51" s="2" t="s">
        <v>109</v>
      </c>
      <c r="B51" s="18">
        <v>50000</v>
      </c>
      <c r="C51" s="18">
        <v>508</v>
      </c>
      <c r="E51" s="18">
        <v>8</v>
      </c>
      <c r="F51" s="20">
        <f t="shared" si="15"/>
        <v>1306250</v>
      </c>
      <c r="G51" s="20">
        <f t="shared" si="15"/>
        <v>1306250</v>
      </c>
      <c r="H51" s="20">
        <f t="shared" si="16"/>
        <v>2500</v>
      </c>
      <c r="I51" s="20">
        <f t="shared" si="16"/>
        <v>2500</v>
      </c>
      <c r="J51" s="20">
        <f t="shared" si="10"/>
        <v>37620000</v>
      </c>
      <c r="K51" s="18">
        <v>1000</v>
      </c>
      <c r="L51" s="18"/>
      <c r="M51" s="11">
        <v>165855.87392757201</v>
      </c>
      <c r="N51" s="18">
        <v>5700</v>
      </c>
      <c r="O51" s="18">
        <v>1</v>
      </c>
      <c r="P51" s="18">
        <v>220000</v>
      </c>
      <c r="Q51" s="18">
        <v>950</v>
      </c>
      <c r="R51" s="2" t="s">
        <v>110</v>
      </c>
      <c r="S51" s="18">
        <v>1000</v>
      </c>
      <c r="T51" s="18">
        <v>1000</v>
      </c>
      <c r="U51" s="18"/>
      <c r="V51" s="18"/>
    </row>
    <row r="52" spans="1:22" x14ac:dyDescent="0.2">
      <c r="A52" s="2" t="s">
        <v>111</v>
      </c>
      <c r="B52" s="18">
        <v>50000</v>
      </c>
      <c r="C52" s="18">
        <v>509</v>
      </c>
      <c r="E52" s="18">
        <v>9</v>
      </c>
      <c r="F52" s="20">
        <f t="shared" si="15"/>
        <v>1640625</v>
      </c>
      <c r="G52" s="20">
        <f t="shared" si="15"/>
        <v>1640625</v>
      </c>
      <c r="H52" s="20">
        <f t="shared" si="16"/>
        <v>2500</v>
      </c>
      <c r="I52" s="20">
        <f t="shared" si="16"/>
        <v>2500</v>
      </c>
      <c r="J52" s="20">
        <f t="shared" si="10"/>
        <v>48761904</v>
      </c>
      <c r="K52" s="18">
        <v>1000</v>
      </c>
      <c r="L52" s="18"/>
      <c r="M52" s="11">
        <v>182441.46132032925</v>
      </c>
      <c r="N52" s="18">
        <v>6400</v>
      </c>
      <c r="O52" s="18">
        <v>1</v>
      </c>
      <c r="P52" s="18">
        <v>250000</v>
      </c>
      <c r="Q52" s="18">
        <v>1050</v>
      </c>
      <c r="R52" s="2" t="s">
        <v>112</v>
      </c>
      <c r="S52" s="18">
        <v>1000</v>
      </c>
      <c r="T52" s="18">
        <v>1000</v>
      </c>
      <c r="U52" s="18"/>
      <c r="V52" s="18"/>
    </row>
    <row r="53" spans="1:22" x14ac:dyDescent="0.2">
      <c r="A53" s="2" t="s">
        <v>36</v>
      </c>
      <c r="B53" s="10">
        <v>50000</v>
      </c>
      <c r="C53" s="10">
        <v>601</v>
      </c>
      <c r="D53" s="19" t="s">
        <v>28</v>
      </c>
      <c r="E53" s="10">
        <v>1</v>
      </c>
      <c r="F53" s="20">
        <f t="shared" si="15"/>
        <v>262500</v>
      </c>
      <c r="G53" s="20">
        <f t="shared" si="15"/>
        <v>262500</v>
      </c>
      <c r="H53" s="20">
        <f t="shared" si="16"/>
        <v>2500</v>
      </c>
      <c r="I53" s="20">
        <f t="shared" si="16"/>
        <v>2500</v>
      </c>
      <c r="J53" s="20">
        <f t="shared" si="10"/>
        <v>2142857</v>
      </c>
      <c r="K53" s="10">
        <v>3000</v>
      </c>
      <c r="M53" s="11">
        <v>1306857.8492317023</v>
      </c>
      <c r="N53" s="10">
        <v>1000</v>
      </c>
      <c r="O53" s="2" t="s">
        <v>83</v>
      </c>
      <c r="P53" s="2" t="s">
        <v>84</v>
      </c>
      <c r="Q53" s="10">
        <v>350</v>
      </c>
      <c r="R53" s="2" t="s">
        <v>40</v>
      </c>
      <c r="S53" s="10">
        <v>1000</v>
      </c>
      <c r="T53" s="10">
        <v>1000</v>
      </c>
      <c r="V53" s="10"/>
    </row>
    <row r="54" spans="1:22" x14ac:dyDescent="0.2">
      <c r="A54" s="2" t="s">
        <v>62</v>
      </c>
      <c r="B54" s="10">
        <v>50000</v>
      </c>
      <c r="C54" s="10">
        <v>601</v>
      </c>
      <c r="D54" s="19"/>
      <c r="E54" s="10">
        <v>1</v>
      </c>
      <c r="F54" s="20">
        <f t="shared" si="15"/>
        <v>262500</v>
      </c>
      <c r="G54" s="20">
        <f t="shared" si="15"/>
        <v>262500</v>
      </c>
      <c r="H54" s="20">
        <f t="shared" si="16"/>
        <v>2500</v>
      </c>
      <c r="I54" s="20">
        <f t="shared" si="16"/>
        <v>2500</v>
      </c>
      <c r="J54" s="20">
        <f t="shared" si="10"/>
        <v>2142857</v>
      </c>
      <c r="K54" s="10">
        <v>3000</v>
      </c>
      <c r="M54" s="11">
        <v>1306857.8492317023</v>
      </c>
      <c r="N54" s="10">
        <v>1000</v>
      </c>
      <c r="O54" s="2" t="s">
        <v>83</v>
      </c>
      <c r="P54" s="2" t="s">
        <v>84</v>
      </c>
      <c r="Q54" s="10">
        <v>350</v>
      </c>
      <c r="R54" s="2" t="s">
        <v>61</v>
      </c>
      <c r="S54" s="10">
        <v>1000</v>
      </c>
      <c r="T54" s="10">
        <v>1000</v>
      </c>
      <c r="V54" s="10"/>
    </row>
    <row r="55" spans="1:22" x14ac:dyDescent="0.2">
      <c r="A55" s="2">
        <v>500060200</v>
      </c>
      <c r="B55" s="10">
        <v>50000</v>
      </c>
      <c r="C55" s="10">
        <v>602</v>
      </c>
      <c r="E55" s="10">
        <v>2</v>
      </c>
      <c r="F55" s="20">
        <f t="shared" si="15"/>
        <v>633750</v>
      </c>
      <c r="G55" s="20">
        <f t="shared" si="15"/>
        <v>633750</v>
      </c>
      <c r="H55" s="20">
        <f t="shared" si="16"/>
        <v>2500</v>
      </c>
      <c r="I55" s="20">
        <f t="shared" si="16"/>
        <v>2500</v>
      </c>
      <c r="J55" s="20">
        <f t="shared" si="10"/>
        <v>8656666</v>
      </c>
      <c r="K55" s="10">
        <v>4000</v>
      </c>
      <c r="M55" s="11">
        <v>242829.58501735827</v>
      </c>
      <c r="N55" s="10">
        <v>1400</v>
      </c>
      <c r="O55" s="2" t="s">
        <v>71</v>
      </c>
      <c r="P55" s="2" t="s">
        <v>65</v>
      </c>
      <c r="Q55" s="10">
        <v>390</v>
      </c>
      <c r="R55" s="2" t="s">
        <v>41</v>
      </c>
      <c r="S55" s="10">
        <v>1000</v>
      </c>
      <c r="T55" s="10">
        <v>1000</v>
      </c>
      <c r="V55" s="10"/>
    </row>
    <row r="56" spans="1:22" x14ac:dyDescent="0.2">
      <c r="A56" s="2">
        <v>500060300</v>
      </c>
      <c r="B56" s="10">
        <v>50000</v>
      </c>
      <c r="C56" s="10">
        <v>603</v>
      </c>
      <c r="E56" s="10">
        <v>3</v>
      </c>
      <c r="F56" s="20">
        <f t="shared" si="15"/>
        <v>1050000</v>
      </c>
      <c r="G56" s="20">
        <f t="shared" si="15"/>
        <v>1050000</v>
      </c>
      <c r="H56" s="20">
        <f t="shared" si="16"/>
        <v>2500</v>
      </c>
      <c r="I56" s="20">
        <f t="shared" si="16"/>
        <v>2500</v>
      </c>
      <c r="J56" s="20">
        <f t="shared" si="10"/>
        <v>17676190</v>
      </c>
      <c r="K56" s="10">
        <v>5000</v>
      </c>
      <c r="M56" s="11">
        <v>242829.58501735827</v>
      </c>
      <c r="N56" s="10">
        <v>1600</v>
      </c>
      <c r="O56" s="2" t="s">
        <v>72</v>
      </c>
      <c r="P56" s="2" t="s">
        <v>66</v>
      </c>
      <c r="Q56" s="10">
        <v>420</v>
      </c>
      <c r="R56" s="2" t="s">
        <v>42</v>
      </c>
      <c r="S56" s="10">
        <v>1000</v>
      </c>
      <c r="T56" s="10">
        <v>1000</v>
      </c>
      <c r="V56" s="10"/>
    </row>
    <row r="57" spans="1:22" x14ac:dyDescent="0.2">
      <c r="A57" s="2">
        <v>500060400</v>
      </c>
      <c r="B57" s="10">
        <v>50000</v>
      </c>
      <c r="C57" s="10">
        <v>604</v>
      </c>
      <c r="E57" s="10">
        <v>4</v>
      </c>
      <c r="F57" s="20">
        <f t="shared" si="15"/>
        <v>1540000</v>
      </c>
      <c r="G57" s="20">
        <f t="shared" si="15"/>
        <v>1540000</v>
      </c>
      <c r="H57" s="20">
        <f t="shared" si="16"/>
        <v>2500</v>
      </c>
      <c r="I57" s="20">
        <f t="shared" si="16"/>
        <v>2500</v>
      </c>
      <c r="J57" s="20">
        <f t="shared" si="10"/>
        <v>29896363</v>
      </c>
      <c r="K57" s="10">
        <v>6000</v>
      </c>
      <c r="M57" s="11">
        <v>242829.58501735827</v>
      </c>
      <c r="N57" s="10">
        <v>1800</v>
      </c>
      <c r="O57" s="2" t="s">
        <v>72</v>
      </c>
      <c r="P57" s="2" t="s">
        <v>64</v>
      </c>
      <c r="Q57" s="10">
        <v>440</v>
      </c>
      <c r="R57" s="2" t="s">
        <v>43</v>
      </c>
      <c r="S57" s="10">
        <v>1000</v>
      </c>
      <c r="T57" s="10">
        <v>1000</v>
      </c>
      <c r="V57" s="10"/>
    </row>
    <row r="58" spans="1:22" x14ac:dyDescent="0.2">
      <c r="A58" s="2">
        <v>500060500</v>
      </c>
      <c r="B58" s="10">
        <v>50000</v>
      </c>
      <c r="C58" s="10">
        <v>605</v>
      </c>
      <c r="E58" s="10">
        <v>5</v>
      </c>
      <c r="F58" s="20">
        <f t="shared" si="15"/>
        <v>1980000</v>
      </c>
      <c r="G58" s="20">
        <f t="shared" si="15"/>
        <v>1980000</v>
      </c>
      <c r="H58" s="20">
        <f t="shared" si="16"/>
        <v>2500</v>
      </c>
      <c r="I58" s="20">
        <f t="shared" si="16"/>
        <v>2500</v>
      </c>
      <c r="J58" s="20">
        <f t="shared" si="10"/>
        <v>51545454</v>
      </c>
      <c r="K58" s="10">
        <v>7000</v>
      </c>
      <c r="M58" s="11">
        <v>242829.58501735827</v>
      </c>
      <c r="N58" s="10">
        <v>2000</v>
      </c>
      <c r="O58" s="2" t="s">
        <v>73</v>
      </c>
      <c r="P58" s="2" t="s">
        <v>67</v>
      </c>
      <c r="Q58" s="10">
        <v>440</v>
      </c>
      <c r="R58" s="2" t="s">
        <v>44</v>
      </c>
      <c r="S58" s="10">
        <v>1000</v>
      </c>
      <c r="T58" s="10">
        <v>1000</v>
      </c>
      <c r="V58" s="10"/>
    </row>
    <row r="59" spans="1:22" x14ac:dyDescent="0.2">
      <c r="A59" s="2">
        <v>500060600</v>
      </c>
      <c r="B59" s="10">
        <v>50000</v>
      </c>
      <c r="C59" s="10">
        <v>606</v>
      </c>
      <c r="E59" s="10">
        <v>6</v>
      </c>
      <c r="F59" s="20">
        <f t="shared" si="15"/>
        <v>2820000</v>
      </c>
      <c r="G59" s="20">
        <f t="shared" si="15"/>
        <v>2820000</v>
      </c>
      <c r="H59" s="20">
        <f t="shared" si="16"/>
        <v>2500</v>
      </c>
      <c r="I59" s="20">
        <f t="shared" si="16"/>
        <v>2500</v>
      </c>
      <c r="J59" s="20">
        <f t="shared" si="10"/>
        <v>74641875</v>
      </c>
      <c r="K59" s="10">
        <v>8000</v>
      </c>
      <c r="M59" s="11">
        <v>242829.58501735827</v>
      </c>
      <c r="N59" s="10">
        <v>2200</v>
      </c>
      <c r="O59" s="2" t="s">
        <v>73</v>
      </c>
      <c r="P59" s="2" t="s">
        <v>68</v>
      </c>
      <c r="Q59" s="10">
        <v>480</v>
      </c>
      <c r="R59" s="2" t="s">
        <v>45</v>
      </c>
      <c r="S59" s="10">
        <v>1000</v>
      </c>
      <c r="T59" s="10">
        <v>1000</v>
      </c>
      <c r="V59" s="10"/>
    </row>
    <row r="60" spans="1:22" x14ac:dyDescent="0.2">
      <c r="A60" s="2">
        <v>500060700</v>
      </c>
      <c r="B60" s="10">
        <v>50000</v>
      </c>
      <c r="C60" s="10">
        <v>607</v>
      </c>
      <c r="E60" s="10">
        <v>7</v>
      </c>
      <c r="F60" s="20">
        <f t="shared" si="15"/>
        <v>4140000</v>
      </c>
      <c r="G60" s="20">
        <f t="shared" si="15"/>
        <v>4140000</v>
      </c>
      <c r="H60" s="20">
        <f t="shared" si="16"/>
        <v>2500</v>
      </c>
      <c r="I60" s="20">
        <f t="shared" si="16"/>
        <v>2500</v>
      </c>
      <c r="J60" s="20">
        <f t="shared" si="10"/>
        <v>157226562</v>
      </c>
      <c r="K60" s="10">
        <v>9000</v>
      </c>
      <c r="M60" s="11">
        <v>242829.58501735827</v>
      </c>
      <c r="N60" s="10">
        <v>2500</v>
      </c>
      <c r="O60" s="2" t="s">
        <v>70</v>
      </c>
      <c r="P60" s="2" t="s">
        <v>69</v>
      </c>
      <c r="Q60" s="10">
        <v>480</v>
      </c>
      <c r="R60" s="2" t="s">
        <v>46</v>
      </c>
      <c r="S60" s="10">
        <v>1000</v>
      </c>
      <c r="T60" s="10">
        <v>1000</v>
      </c>
      <c r="V60" s="10"/>
    </row>
    <row r="61" spans="1:22" x14ac:dyDescent="0.2">
      <c r="A61" s="2" t="s">
        <v>100</v>
      </c>
      <c r="B61" s="10">
        <v>50000</v>
      </c>
      <c r="C61" s="10">
        <v>608</v>
      </c>
      <c r="E61" s="10">
        <v>8</v>
      </c>
      <c r="F61" s="20">
        <f t="shared" si="15"/>
        <v>5400000</v>
      </c>
      <c r="G61" s="20">
        <f t="shared" si="15"/>
        <v>5400000</v>
      </c>
      <c r="H61" s="20">
        <f t="shared" si="16"/>
        <v>2500</v>
      </c>
      <c r="I61" s="20">
        <f t="shared" si="16"/>
        <v>2500</v>
      </c>
      <c r="J61" s="20">
        <f t="shared" si="10"/>
        <v>205078125</v>
      </c>
      <c r="K61" s="10">
        <v>9000</v>
      </c>
      <c r="M61" s="11">
        <v>242829.58501735827</v>
      </c>
      <c r="N61" s="10">
        <v>2500</v>
      </c>
      <c r="O61" s="2" t="s">
        <v>70</v>
      </c>
      <c r="P61" s="2" t="s">
        <v>102</v>
      </c>
      <c r="Q61" s="10">
        <v>480</v>
      </c>
      <c r="R61" s="2" t="s">
        <v>113</v>
      </c>
      <c r="S61" s="10">
        <v>1000</v>
      </c>
      <c r="T61" s="10">
        <v>1000</v>
      </c>
      <c r="V61" s="10"/>
    </row>
    <row r="62" spans="1:22" x14ac:dyDescent="0.2">
      <c r="A62" s="2" t="s">
        <v>101</v>
      </c>
      <c r="B62" s="10">
        <v>50000</v>
      </c>
      <c r="C62" s="10">
        <v>609</v>
      </c>
      <c r="E62" s="10">
        <v>9</v>
      </c>
      <c r="F62" s="20">
        <f t="shared" si="15"/>
        <v>6720000</v>
      </c>
      <c r="G62" s="20">
        <f t="shared" si="15"/>
        <v>6720000</v>
      </c>
      <c r="H62" s="20">
        <f t="shared" si="16"/>
        <v>2500</v>
      </c>
      <c r="I62" s="20">
        <f t="shared" si="16"/>
        <v>2500</v>
      </c>
      <c r="J62" s="20">
        <f t="shared" si="10"/>
        <v>276033333</v>
      </c>
      <c r="K62" s="10">
        <v>9000</v>
      </c>
      <c r="M62" s="11">
        <v>242829.58501735827</v>
      </c>
      <c r="N62" s="10">
        <v>2600</v>
      </c>
      <c r="O62" s="2" t="s">
        <v>70</v>
      </c>
      <c r="P62" s="2" t="s">
        <v>103</v>
      </c>
      <c r="Q62" s="10">
        <v>480</v>
      </c>
      <c r="R62" s="2" t="s">
        <v>114</v>
      </c>
      <c r="S62" s="10">
        <v>1000</v>
      </c>
      <c r="T62" s="10">
        <v>1000</v>
      </c>
      <c r="V62" s="10"/>
    </row>
    <row r="63" spans="1:22" ht="20.25" x14ac:dyDescent="0.2">
      <c r="A63" s="19" t="str">
        <f t="shared" ref="A63" si="17">IF(B63="","",CONCATENATE(B63,CONCATENATE(REPT(0,2-LEN(C63)),C63),IF(OR(D63="Easy",D63=""),1,IF(D63="Normal",2,IF(D63="Hard",3,IF(D63="Hell",4,"error")))),E63))</f>
        <v/>
      </c>
      <c r="B63" s="27"/>
      <c r="C63" s="22" t="s">
        <v>35</v>
      </c>
      <c r="D63" s="21"/>
      <c r="E63" s="21"/>
      <c r="F63" s="21"/>
      <c r="G63" s="21"/>
      <c r="H63" s="21"/>
      <c r="I63" s="21"/>
      <c r="J63" s="21"/>
      <c r="K63" s="20"/>
      <c r="L63" s="21"/>
      <c r="M63" s="14"/>
      <c r="N63" s="21"/>
      <c r="O63" s="21"/>
      <c r="P63" s="21"/>
      <c r="Q63" s="21"/>
      <c r="R63" s="21"/>
      <c r="S63" s="23"/>
    </row>
    <row r="64" spans="1:22" x14ac:dyDescent="0.2">
      <c r="A64" s="2">
        <v>500000120</v>
      </c>
      <c r="B64" s="10">
        <v>50000</v>
      </c>
      <c r="C64" s="10">
        <v>1</v>
      </c>
      <c r="D64" s="19" t="s">
        <v>28</v>
      </c>
      <c r="E64" s="10">
        <v>1</v>
      </c>
      <c r="F64" s="20">
        <f t="shared" ref="F64:G79" si="18">ROUNDDOWN($P64/4*MIN($O64,4)*10*$N64/$N64*$Q64/400,0)</f>
        <v>495000</v>
      </c>
      <c r="G64" s="20">
        <f t="shared" si="18"/>
        <v>495000</v>
      </c>
      <c r="H64" s="20">
        <f t="shared" ref="H64:I79" si="19">ROUNDDOWN($S64/4*10,0)</f>
        <v>50000</v>
      </c>
      <c r="I64" s="20">
        <f t="shared" si="19"/>
        <v>50000</v>
      </c>
      <c r="J64" s="20">
        <f t="shared" si="10"/>
        <v>1443272</v>
      </c>
      <c r="K64" s="10">
        <v>1000</v>
      </c>
      <c r="M64" s="11">
        <v>383848.88475333602</v>
      </c>
      <c r="N64" s="10">
        <v>1050</v>
      </c>
      <c r="O64" s="2">
        <v>3</v>
      </c>
      <c r="P64" s="10">
        <v>48000</v>
      </c>
      <c r="Q64" s="10">
        <v>550</v>
      </c>
      <c r="S64" s="10">
        <v>20000</v>
      </c>
      <c r="T64" s="2">
        <v>20000</v>
      </c>
      <c r="V64" s="10"/>
    </row>
    <row r="65" spans="1:22" x14ac:dyDescent="0.2">
      <c r="A65" s="2">
        <v>500000220</v>
      </c>
      <c r="B65" s="10">
        <v>50000</v>
      </c>
      <c r="C65" s="10">
        <v>2</v>
      </c>
      <c r="D65" s="19" t="s">
        <v>28</v>
      </c>
      <c r="E65" s="10">
        <v>1</v>
      </c>
      <c r="F65" s="20">
        <f t="shared" si="18"/>
        <v>503250</v>
      </c>
      <c r="G65" s="20">
        <f t="shared" si="18"/>
        <v>503250</v>
      </c>
      <c r="H65" s="20">
        <f t="shared" si="19"/>
        <v>50000</v>
      </c>
      <c r="I65" s="20">
        <f t="shared" si="19"/>
        <v>50000</v>
      </c>
      <c r="J65" s="20">
        <f t="shared" si="10"/>
        <v>1467327</v>
      </c>
      <c r="K65" s="10">
        <v>1000</v>
      </c>
      <c r="M65" s="11">
        <v>383848.88475333602</v>
      </c>
      <c r="N65" s="10">
        <v>1050</v>
      </c>
      <c r="O65" s="10">
        <v>3.05</v>
      </c>
      <c r="P65" s="10">
        <v>48000</v>
      </c>
      <c r="Q65" s="10">
        <v>550</v>
      </c>
      <c r="S65" s="10">
        <v>20000</v>
      </c>
      <c r="T65" s="2">
        <v>20000</v>
      </c>
      <c r="V65" s="10"/>
    </row>
    <row r="66" spans="1:22" x14ac:dyDescent="0.2">
      <c r="A66" s="2">
        <v>500000320</v>
      </c>
      <c r="B66" s="10">
        <v>50000</v>
      </c>
      <c r="C66" s="10">
        <v>3</v>
      </c>
      <c r="D66" s="19" t="s">
        <v>28</v>
      </c>
      <c r="E66" s="10">
        <v>1</v>
      </c>
      <c r="F66" s="20">
        <f t="shared" si="18"/>
        <v>511500</v>
      </c>
      <c r="G66" s="20">
        <f t="shared" si="18"/>
        <v>511500</v>
      </c>
      <c r="H66" s="20">
        <f t="shared" si="19"/>
        <v>50000</v>
      </c>
      <c r="I66" s="20">
        <f t="shared" si="19"/>
        <v>50000</v>
      </c>
      <c r="J66" s="20">
        <f t="shared" si="10"/>
        <v>1491381</v>
      </c>
      <c r="K66" s="10">
        <v>1000</v>
      </c>
      <c r="M66" s="11">
        <v>383848.88475333602</v>
      </c>
      <c r="N66" s="10">
        <v>1050</v>
      </c>
      <c r="O66" s="10">
        <v>3.1</v>
      </c>
      <c r="P66" s="10">
        <v>48000</v>
      </c>
      <c r="Q66" s="10">
        <v>550</v>
      </c>
      <c r="S66" s="10">
        <v>20000</v>
      </c>
      <c r="T66" s="2">
        <v>20000</v>
      </c>
      <c r="V66" s="10"/>
    </row>
    <row r="67" spans="1:22" x14ac:dyDescent="0.2">
      <c r="A67" s="2">
        <v>500000420</v>
      </c>
      <c r="B67" s="10">
        <v>50000</v>
      </c>
      <c r="C67" s="10">
        <v>4</v>
      </c>
      <c r="D67" s="19" t="s">
        <v>28</v>
      </c>
      <c r="E67" s="10">
        <v>1</v>
      </c>
      <c r="F67" s="20">
        <f t="shared" si="18"/>
        <v>632500</v>
      </c>
      <c r="G67" s="20">
        <f t="shared" si="18"/>
        <v>632500</v>
      </c>
      <c r="H67" s="20">
        <f t="shared" si="19"/>
        <v>57500</v>
      </c>
      <c r="I67" s="20">
        <f t="shared" si="19"/>
        <v>57500</v>
      </c>
      <c r="J67" s="20">
        <f t="shared" si="10"/>
        <v>1672727</v>
      </c>
      <c r="K67" s="10">
        <v>1000</v>
      </c>
      <c r="M67" s="11">
        <v>646136.62534355116</v>
      </c>
      <c r="N67" s="10">
        <v>1000</v>
      </c>
      <c r="O67" s="10">
        <v>4</v>
      </c>
      <c r="P67" s="10">
        <v>46000</v>
      </c>
      <c r="Q67" s="10">
        <v>550</v>
      </c>
      <c r="S67" s="10">
        <v>23000</v>
      </c>
      <c r="T67" s="2">
        <v>23000</v>
      </c>
      <c r="V67" s="10"/>
    </row>
    <row r="68" spans="1:22" x14ac:dyDescent="0.2">
      <c r="A68" s="2">
        <v>500000520</v>
      </c>
      <c r="B68" s="10">
        <v>50000</v>
      </c>
      <c r="C68" s="10">
        <v>5</v>
      </c>
      <c r="D68" s="19" t="s">
        <v>28</v>
      </c>
      <c r="E68" s="10">
        <v>1</v>
      </c>
      <c r="F68" s="20">
        <f t="shared" si="18"/>
        <v>660000</v>
      </c>
      <c r="G68" s="20">
        <f t="shared" si="18"/>
        <v>660000</v>
      </c>
      <c r="H68" s="20">
        <f t="shared" si="19"/>
        <v>57500</v>
      </c>
      <c r="I68" s="20">
        <f t="shared" si="19"/>
        <v>57500</v>
      </c>
      <c r="J68" s="20">
        <f t="shared" si="10"/>
        <v>1856740</v>
      </c>
      <c r="K68" s="10">
        <v>1000</v>
      </c>
      <c r="M68" s="11">
        <v>646136.62534355116</v>
      </c>
      <c r="N68" s="10">
        <v>1025</v>
      </c>
      <c r="O68" s="10">
        <v>4.05</v>
      </c>
      <c r="P68" s="10">
        <v>48000</v>
      </c>
      <c r="Q68" s="10">
        <v>550</v>
      </c>
      <c r="S68" s="10">
        <v>23000</v>
      </c>
      <c r="T68" s="2">
        <v>23000</v>
      </c>
      <c r="V68" s="10"/>
    </row>
    <row r="69" spans="1:22" x14ac:dyDescent="0.2">
      <c r="A69" s="2">
        <v>500000620</v>
      </c>
      <c r="B69" s="10">
        <v>50000</v>
      </c>
      <c r="C69" s="10">
        <v>6</v>
      </c>
      <c r="D69" s="19" t="s">
        <v>28</v>
      </c>
      <c r="E69" s="10">
        <v>1</v>
      </c>
      <c r="F69" s="20">
        <f t="shared" si="18"/>
        <v>687500</v>
      </c>
      <c r="G69" s="20">
        <f t="shared" si="18"/>
        <v>687500</v>
      </c>
      <c r="H69" s="20">
        <f t="shared" si="19"/>
        <v>57500</v>
      </c>
      <c r="I69" s="20">
        <f t="shared" si="19"/>
        <v>57500</v>
      </c>
      <c r="J69" s="20">
        <f t="shared" si="10"/>
        <v>2054659</v>
      </c>
      <c r="K69" s="10">
        <v>1000</v>
      </c>
      <c r="M69" s="11">
        <v>646136.62534355116</v>
      </c>
      <c r="N69" s="10">
        <v>1050</v>
      </c>
      <c r="O69" s="10">
        <v>4.0999999999999996</v>
      </c>
      <c r="P69" s="10">
        <v>50000</v>
      </c>
      <c r="Q69" s="10">
        <v>550</v>
      </c>
      <c r="S69" s="10">
        <v>23000</v>
      </c>
      <c r="T69" s="2">
        <v>23000</v>
      </c>
      <c r="V69" s="10"/>
    </row>
    <row r="70" spans="1:22" x14ac:dyDescent="0.2">
      <c r="A70" s="2">
        <v>500000720</v>
      </c>
      <c r="B70" s="10">
        <v>50000</v>
      </c>
      <c r="C70" s="10">
        <v>7</v>
      </c>
      <c r="D70" s="19" t="s">
        <v>28</v>
      </c>
      <c r="E70" s="10">
        <v>1</v>
      </c>
      <c r="F70" s="20">
        <f t="shared" si="18"/>
        <v>206250</v>
      </c>
      <c r="G70" s="20">
        <f t="shared" si="18"/>
        <v>206250</v>
      </c>
      <c r="H70" s="20">
        <f t="shared" si="19"/>
        <v>35000</v>
      </c>
      <c r="I70" s="20">
        <f t="shared" si="19"/>
        <v>35000</v>
      </c>
      <c r="J70" s="20">
        <f t="shared" si="10"/>
        <v>626420</v>
      </c>
      <c r="K70" s="10">
        <v>1000</v>
      </c>
      <c r="M70" s="11">
        <v>1120163.5248255308</v>
      </c>
      <c r="N70" s="10">
        <v>875</v>
      </c>
      <c r="O70" s="2" t="s">
        <v>82</v>
      </c>
      <c r="P70" s="10">
        <v>15000</v>
      </c>
      <c r="Q70" s="10">
        <v>550</v>
      </c>
      <c r="S70" s="10">
        <v>14000</v>
      </c>
      <c r="T70" s="10">
        <v>14000</v>
      </c>
      <c r="V70" s="10"/>
    </row>
    <row r="71" spans="1:22" x14ac:dyDescent="0.2">
      <c r="A71" s="2">
        <v>500000820</v>
      </c>
      <c r="B71" s="10">
        <v>50000</v>
      </c>
      <c r="C71" s="10">
        <v>8</v>
      </c>
      <c r="D71" s="19" t="s">
        <v>28</v>
      </c>
      <c r="E71" s="10">
        <v>1</v>
      </c>
      <c r="F71" s="20">
        <f t="shared" si="18"/>
        <v>790625</v>
      </c>
      <c r="G71" s="20">
        <f t="shared" si="18"/>
        <v>790625</v>
      </c>
      <c r="H71" s="20">
        <f t="shared" si="19"/>
        <v>70000</v>
      </c>
      <c r="I71" s="20">
        <f t="shared" si="19"/>
        <v>70000</v>
      </c>
      <c r="J71" s="20">
        <f t="shared" si="10"/>
        <v>2421289</v>
      </c>
      <c r="K71" s="10">
        <v>1000</v>
      </c>
      <c r="M71" s="11">
        <v>1120163.5248255308</v>
      </c>
      <c r="N71" s="10">
        <v>875</v>
      </c>
      <c r="O71" s="10">
        <v>6.05</v>
      </c>
      <c r="P71" s="10">
        <v>57500</v>
      </c>
      <c r="Q71" s="10">
        <v>550</v>
      </c>
      <c r="S71" s="10">
        <v>28000</v>
      </c>
      <c r="T71" s="2">
        <v>28000</v>
      </c>
      <c r="V71" s="10"/>
    </row>
    <row r="72" spans="1:22" x14ac:dyDescent="0.2">
      <c r="A72" s="2">
        <v>500000920</v>
      </c>
      <c r="B72" s="10">
        <v>50000</v>
      </c>
      <c r="C72" s="10">
        <v>9</v>
      </c>
      <c r="D72" s="19" t="s">
        <v>28</v>
      </c>
      <c r="E72" s="10">
        <v>1</v>
      </c>
      <c r="F72" s="20">
        <f t="shared" si="18"/>
        <v>825000</v>
      </c>
      <c r="G72" s="20">
        <f t="shared" si="18"/>
        <v>825000</v>
      </c>
      <c r="H72" s="20">
        <f t="shared" si="19"/>
        <v>70000</v>
      </c>
      <c r="I72" s="20">
        <f t="shared" si="19"/>
        <v>70000</v>
      </c>
      <c r="J72" s="20">
        <f t="shared" si="10"/>
        <v>2576640</v>
      </c>
      <c r="K72" s="10">
        <v>1000</v>
      </c>
      <c r="M72" s="11">
        <v>1120163.5248255308</v>
      </c>
      <c r="N72" s="10">
        <v>880</v>
      </c>
      <c r="O72" s="10">
        <v>6.1</v>
      </c>
      <c r="P72" s="10">
        <v>60000</v>
      </c>
      <c r="Q72" s="10">
        <v>550</v>
      </c>
      <c r="S72" s="10">
        <v>28000</v>
      </c>
      <c r="T72" s="2">
        <v>28000</v>
      </c>
      <c r="V72" s="10"/>
    </row>
    <row r="73" spans="1:22" x14ac:dyDescent="0.2">
      <c r="A73" s="2">
        <v>500021010</v>
      </c>
      <c r="B73" s="10">
        <v>50000</v>
      </c>
      <c r="C73" s="10">
        <v>210</v>
      </c>
      <c r="D73" s="19" t="s">
        <v>28</v>
      </c>
      <c r="E73" s="10">
        <v>1</v>
      </c>
      <c r="F73" s="20">
        <f t="shared" si="18"/>
        <v>756250</v>
      </c>
      <c r="G73" s="20">
        <f t="shared" si="18"/>
        <v>756250</v>
      </c>
      <c r="H73" s="20">
        <f t="shared" si="19"/>
        <v>70000</v>
      </c>
      <c r="I73" s="20">
        <f t="shared" si="19"/>
        <v>70000</v>
      </c>
      <c r="J73" s="20">
        <f t="shared" si="10"/>
        <v>2588600</v>
      </c>
      <c r="K73" s="10">
        <v>1000</v>
      </c>
      <c r="L73" s="20"/>
      <c r="M73" s="11">
        <v>1306857.8492317023</v>
      </c>
      <c r="N73" s="10">
        <v>860</v>
      </c>
      <c r="O73" s="2">
        <v>7</v>
      </c>
      <c r="P73" s="10">
        <v>55000</v>
      </c>
      <c r="Q73" s="10">
        <v>550</v>
      </c>
      <c r="S73" s="10">
        <v>28000</v>
      </c>
      <c r="T73" s="2">
        <v>28000</v>
      </c>
      <c r="V73" s="10"/>
    </row>
    <row r="74" spans="1:22" x14ac:dyDescent="0.2">
      <c r="A74" s="2">
        <v>500000121</v>
      </c>
      <c r="B74" s="10">
        <v>50000</v>
      </c>
      <c r="C74" s="10">
        <v>1</v>
      </c>
      <c r="D74" s="2" t="s">
        <v>37</v>
      </c>
      <c r="E74" s="10">
        <v>1</v>
      </c>
      <c r="F74" s="20">
        <f t="shared" si="18"/>
        <v>545531</v>
      </c>
      <c r="G74" s="20">
        <f t="shared" si="18"/>
        <v>545531</v>
      </c>
      <c r="H74" s="20">
        <f t="shared" si="19"/>
        <v>57500</v>
      </c>
      <c r="I74" s="20">
        <f t="shared" si="19"/>
        <v>57500</v>
      </c>
      <c r="J74" s="20">
        <f t="shared" si="10"/>
        <v>3466152</v>
      </c>
      <c r="K74" s="10">
        <v>1000</v>
      </c>
      <c r="L74" s="20"/>
      <c r="M74" s="11">
        <v>441426.21746633638</v>
      </c>
      <c r="N74" s="10">
        <v>1550</v>
      </c>
      <c r="O74" s="10">
        <v>3.45</v>
      </c>
      <c r="P74" s="10">
        <v>46000</v>
      </c>
      <c r="Q74" s="10">
        <v>550</v>
      </c>
      <c r="R74" s="2">
        <v>0</v>
      </c>
      <c r="S74" s="10">
        <v>23000</v>
      </c>
      <c r="T74" s="2">
        <v>23000</v>
      </c>
      <c r="V74" s="10"/>
    </row>
    <row r="75" spans="1:22" x14ac:dyDescent="0.2">
      <c r="A75" s="2">
        <v>500000221</v>
      </c>
      <c r="B75" s="10">
        <v>50000</v>
      </c>
      <c r="C75" s="10">
        <v>2</v>
      </c>
      <c r="D75" s="2" t="s">
        <v>37</v>
      </c>
      <c r="E75" s="10">
        <v>1</v>
      </c>
      <c r="F75" s="20">
        <f t="shared" si="18"/>
        <v>577500</v>
      </c>
      <c r="G75" s="20">
        <f t="shared" si="18"/>
        <v>577500</v>
      </c>
      <c r="H75" s="20">
        <f t="shared" si="19"/>
        <v>57500</v>
      </c>
      <c r="I75" s="20">
        <f t="shared" si="19"/>
        <v>57500</v>
      </c>
      <c r="J75" s="20">
        <f t="shared" si="10"/>
        <v>3788590</v>
      </c>
      <c r="K75" s="10">
        <v>1000</v>
      </c>
      <c r="L75" s="20"/>
      <c r="M75" s="11">
        <v>441426.21746633638</v>
      </c>
      <c r="N75" s="10">
        <v>1575</v>
      </c>
      <c r="O75" s="10">
        <v>3.5</v>
      </c>
      <c r="P75" s="10">
        <v>48000</v>
      </c>
      <c r="Q75" s="10">
        <v>550</v>
      </c>
      <c r="R75" s="2">
        <v>0</v>
      </c>
      <c r="S75" s="10">
        <v>23000</v>
      </c>
      <c r="T75" s="2">
        <v>23000</v>
      </c>
      <c r="V75" s="10"/>
    </row>
    <row r="76" spans="1:22" x14ac:dyDescent="0.2">
      <c r="A76" s="2">
        <v>500000321</v>
      </c>
      <c r="B76" s="10">
        <v>50000</v>
      </c>
      <c r="C76" s="10">
        <v>3</v>
      </c>
      <c r="D76" s="2" t="s">
        <v>37</v>
      </c>
      <c r="E76" s="10">
        <v>1</v>
      </c>
      <c r="F76" s="20">
        <f t="shared" si="18"/>
        <v>257812</v>
      </c>
      <c r="G76" s="20">
        <f t="shared" si="18"/>
        <v>257812</v>
      </c>
      <c r="H76" s="20">
        <f t="shared" si="19"/>
        <v>37500</v>
      </c>
      <c r="I76" s="20">
        <f t="shared" si="19"/>
        <v>37500</v>
      </c>
      <c r="J76" s="20">
        <f t="shared" si="10"/>
        <v>1745454</v>
      </c>
      <c r="K76" s="10">
        <v>1000</v>
      </c>
      <c r="L76" s="20"/>
      <c r="M76" s="11">
        <v>441426.21746633638</v>
      </c>
      <c r="N76" s="10">
        <v>1600</v>
      </c>
      <c r="O76" s="10">
        <v>3</v>
      </c>
      <c r="P76" s="10">
        <v>25000</v>
      </c>
      <c r="Q76" s="10">
        <v>550</v>
      </c>
      <c r="R76" s="2">
        <v>0</v>
      </c>
      <c r="S76" s="10">
        <v>15000</v>
      </c>
      <c r="T76" s="10">
        <v>15000</v>
      </c>
      <c r="V76" s="10"/>
    </row>
    <row r="77" spans="1:22" x14ac:dyDescent="0.2">
      <c r="A77" s="2">
        <v>500000421</v>
      </c>
      <c r="B77" s="10">
        <v>50000</v>
      </c>
      <c r="C77" s="10">
        <v>4</v>
      </c>
      <c r="D77" s="2" t="s">
        <v>37</v>
      </c>
      <c r="E77" s="10">
        <v>1</v>
      </c>
      <c r="F77" s="20">
        <f t="shared" si="18"/>
        <v>728750</v>
      </c>
      <c r="G77" s="20">
        <f t="shared" si="18"/>
        <v>728750</v>
      </c>
      <c r="H77" s="20">
        <f t="shared" si="19"/>
        <v>67500</v>
      </c>
      <c r="I77" s="20">
        <f t="shared" si="19"/>
        <v>67500</v>
      </c>
      <c r="J77" s="20">
        <f t="shared" si="10"/>
        <v>4500603</v>
      </c>
      <c r="K77" s="10">
        <v>1000</v>
      </c>
      <c r="L77" s="20"/>
      <c r="M77" s="11">
        <v>743057.11914508382</v>
      </c>
      <c r="N77" s="10">
        <v>1425</v>
      </c>
      <c r="O77" s="2">
        <v>4.5999999999999996</v>
      </c>
      <c r="P77" s="10">
        <v>53000</v>
      </c>
      <c r="Q77" s="10">
        <v>550</v>
      </c>
      <c r="R77" s="2">
        <v>0</v>
      </c>
      <c r="S77" s="10">
        <v>27000</v>
      </c>
      <c r="T77" s="2">
        <v>27000</v>
      </c>
      <c r="V77" s="10"/>
    </row>
    <row r="78" spans="1:22" x14ac:dyDescent="0.2">
      <c r="A78" s="2">
        <v>500000521</v>
      </c>
      <c r="B78" s="10">
        <v>50000</v>
      </c>
      <c r="C78" s="10">
        <v>5</v>
      </c>
      <c r="D78" s="2" t="s">
        <v>37</v>
      </c>
      <c r="E78" s="10">
        <v>1</v>
      </c>
      <c r="F78" s="20">
        <f t="shared" si="18"/>
        <v>756250</v>
      </c>
      <c r="G78" s="20">
        <f t="shared" si="18"/>
        <v>756250</v>
      </c>
      <c r="H78" s="20">
        <f t="shared" si="19"/>
        <v>67500</v>
      </c>
      <c r="I78" s="20">
        <f t="shared" si="19"/>
        <v>67500</v>
      </c>
      <c r="J78" s="20">
        <f t="shared" si="10"/>
        <v>4888312</v>
      </c>
      <c r="K78" s="10">
        <v>1000</v>
      </c>
      <c r="L78" s="20"/>
      <c r="M78" s="11">
        <v>743057.11914508382</v>
      </c>
      <c r="N78" s="10">
        <v>1450</v>
      </c>
      <c r="O78" s="10">
        <v>4.6500000000000004</v>
      </c>
      <c r="P78" s="10">
        <v>55000</v>
      </c>
      <c r="Q78" s="10">
        <v>550</v>
      </c>
      <c r="R78" s="2">
        <v>0</v>
      </c>
      <c r="S78" s="10">
        <v>27000</v>
      </c>
      <c r="T78" s="2">
        <v>27000</v>
      </c>
      <c r="V78" s="10"/>
    </row>
    <row r="79" spans="1:22" x14ac:dyDescent="0.2">
      <c r="A79" s="2">
        <v>500000621</v>
      </c>
      <c r="B79" s="10">
        <v>50000</v>
      </c>
      <c r="C79" s="10">
        <v>6</v>
      </c>
      <c r="D79" s="2" t="s">
        <v>37</v>
      </c>
      <c r="E79" s="10">
        <v>1</v>
      </c>
      <c r="F79" s="20">
        <f t="shared" si="18"/>
        <v>783750</v>
      </c>
      <c r="G79" s="20">
        <f t="shared" si="18"/>
        <v>783750</v>
      </c>
      <c r="H79" s="20">
        <f t="shared" si="19"/>
        <v>67500</v>
      </c>
      <c r="I79" s="20">
        <f t="shared" si="19"/>
        <v>67500</v>
      </c>
      <c r="J79" s="20">
        <f t="shared" si="10"/>
        <v>5298635</v>
      </c>
      <c r="K79" s="10">
        <v>1000</v>
      </c>
      <c r="L79" s="20"/>
      <c r="M79" s="11">
        <v>743057.11914508382</v>
      </c>
      <c r="N79" s="10">
        <v>1475</v>
      </c>
      <c r="O79" s="10">
        <v>4.7</v>
      </c>
      <c r="P79" s="10">
        <v>57000</v>
      </c>
      <c r="Q79" s="10">
        <v>550</v>
      </c>
      <c r="R79" s="2">
        <v>0</v>
      </c>
      <c r="S79" s="10">
        <v>27000</v>
      </c>
      <c r="T79" s="2">
        <v>27000</v>
      </c>
      <c r="V79" s="10"/>
    </row>
    <row r="80" spans="1:22" x14ac:dyDescent="0.2">
      <c r="A80" s="2">
        <v>500000721</v>
      </c>
      <c r="B80" s="10">
        <v>50000</v>
      </c>
      <c r="C80" s="10">
        <v>7</v>
      </c>
      <c r="D80" s="2" t="s">
        <v>37</v>
      </c>
      <c r="E80" s="10">
        <v>1</v>
      </c>
      <c r="F80" s="20">
        <f t="shared" ref="F80:G88" si="20">ROUNDDOWN($P80/4*MIN($O80,4)*10*$N80/$N80*$Q80/400,0)</f>
        <v>866250</v>
      </c>
      <c r="G80" s="20">
        <f t="shared" si="20"/>
        <v>866250</v>
      </c>
      <c r="H80" s="20">
        <f t="shared" ref="H80:I95" si="21">ROUNDDOWN($S80/4*10,0)</f>
        <v>80000</v>
      </c>
      <c r="I80" s="20">
        <f t="shared" si="21"/>
        <v>80000</v>
      </c>
      <c r="J80" s="20">
        <f t="shared" si="10"/>
        <v>5455978</v>
      </c>
      <c r="K80" s="10">
        <v>1000</v>
      </c>
      <c r="L80" s="20"/>
      <c r="M80" s="11">
        <v>1288188.0535493603</v>
      </c>
      <c r="N80" s="10">
        <v>1175</v>
      </c>
      <c r="O80" s="10">
        <v>6.9</v>
      </c>
      <c r="P80" s="10">
        <v>63000</v>
      </c>
      <c r="Q80" s="10">
        <v>550</v>
      </c>
      <c r="R80" s="2">
        <v>0</v>
      </c>
      <c r="S80" s="10">
        <v>32000</v>
      </c>
      <c r="T80" s="2">
        <v>32000</v>
      </c>
      <c r="V80" s="10"/>
    </row>
    <row r="81" spans="1:22" x14ac:dyDescent="0.2">
      <c r="A81" s="2">
        <v>500000821</v>
      </c>
      <c r="B81" s="10">
        <v>50000</v>
      </c>
      <c r="C81" s="10">
        <v>8</v>
      </c>
      <c r="D81" s="2" t="s">
        <v>37</v>
      </c>
      <c r="E81" s="10">
        <v>1</v>
      </c>
      <c r="F81" s="20">
        <f t="shared" si="20"/>
        <v>893750</v>
      </c>
      <c r="G81" s="20">
        <f t="shared" si="20"/>
        <v>893750</v>
      </c>
      <c r="H81" s="20">
        <f t="shared" si="21"/>
        <v>80000</v>
      </c>
      <c r="I81" s="20">
        <f t="shared" si="21"/>
        <v>80000</v>
      </c>
      <c r="J81" s="20">
        <f t="shared" si="10"/>
        <v>5669975</v>
      </c>
      <c r="K81" s="10">
        <v>1000</v>
      </c>
      <c r="L81" s="20"/>
      <c r="M81" s="11">
        <v>1288188.0535493603</v>
      </c>
      <c r="N81" s="10">
        <v>1175</v>
      </c>
      <c r="O81" s="10">
        <v>6.95</v>
      </c>
      <c r="P81" s="10">
        <v>65000</v>
      </c>
      <c r="Q81" s="10">
        <v>550</v>
      </c>
      <c r="R81" s="2">
        <v>0</v>
      </c>
      <c r="S81" s="10">
        <v>32000</v>
      </c>
      <c r="T81" s="2">
        <v>32000</v>
      </c>
      <c r="V81" s="10"/>
    </row>
    <row r="82" spans="1:22" x14ac:dyDescent="0.2">
      <c r="A82" s="2">
        <v>500000921</v>
      </c>
      <c r="B82" s="10">
        <v>50000</v>
      </c>
      <c r="C82" s="10">
        <v>9</v>
      </c>
      <c r="D82" s="2" t="s">
        <v>37</v>
      </c>
      <c r="E82" s="10">
        <v>1</v>
      </c>
      <c r="F82" s="20">
        <f t="shared" si="20"/>
        <v>921250</v>
      </c>
      <c r="G82" s="20">
        <f t="shared" si="20"/>
        <v>921250</v>
      </c>
      <c r="H82" s="20">
        <f t="shared" si="21"/>
        <v>80000</v>
      </c>
      <c r="I82" s="20">
        <f t="shared" si="21"/>
        <v>80000</v>
      </c>
      <c r="J82" s="20">
        <f t="shared" ref="J82:J88" si="22">ROUNDDOWN($P82/4*$O82*10*$N82/$Q82*$N82/400*0.8,0)</f>
        <v>5886482</v>
      </c>
      <c r="K82" s="10">
        <v>1000</v>
      </c>
      <c r="L82" s="20"/>
      <c r="M82" s="11">
        <v>1288188.0535493603</v>
      </c>
      <c r="N82" s="10">
        <v>1175</v>
      </c>
      <c r="O82" s="10">
        <v>7</v>
      </c>
      <c r="P82" s="10">
        <v>67000</v>
      </c>
      <c r="Q82" s="10">
        <v>550</v>
      </c>
      <c r="R82" s="2">
        <v>0</v>
      </c>
      <c r="S82" s="10">
        <v>32000</v>
      </c>
      <c r="T82" s="2">
        <v>32000</v>
      </c>
      <c r="V82" s="10"/>
    </row>
    <row r="83" spans="1:22" x14ac:dyDescent="0.2">
      <c r="A83" s="2">
        <v>500001020</v>
      </c>
      <c r="B83" s="10">
        <v>50000</v>
      </c>
      <c r="C83" s="10">
        <v>10</v>
      </c>
      <c r="D83" s="2" t="s">
        <v>37</v>
      </c>
      <c r="E83" s="10">
        <v>1</v>
      </c>
      <c r="F83" s="20">
        <f t="shared" si="20"/>
        <v>4550000</v>
      </c>
      <c r="G83" s="20">
        <f t="shared" si="20"/>
        <v>4550000</v>
      </c>
      <c r="H83" s="20">
        <f t="shared" si="21"/>
        <v>105000</v>
      </c>
      <c r="I83" s="20">
        <f t="shared" si="21"/>
        <v>105000</v>
      </c>
      <c r="J83" s="20">
        <f t="shared" si="22"/>
        <v>1216470</v>
      </c>
      <c r="K83" s="10">
        <v>3000</v>
      </c>
      <c r="L83" s="20"/>
      <c r="M83" s="11">
        <v>1960286.7738475534</v>
      </c>
      <c r="N83" s="10">
        <v>525</v>
      </c>
      <c r="O83" s="10">
        <v>4.8499999999999996</v>
      </c>
      <c r="P83" s="10">
        <v>182000</v>
      </c>
      <c r="Q83" s="10">
        <v>1000</v>
      </c>
      <c r="R83" s="2">
        <v>0</v>
      </c>
      <c r="S83" s="10">
        <v>42000</v>
      </c>
      <c r="T83" s="2">
        <v>42000</v>
      </c>
      <c r="V83" s="10"/>
    </row>
    <row r="84" spans="1:22" x14ac:dyDescent="0.2">
      <c r="A84" s="2" t="s">
        <v>39</v>
      </c>
      <c r="B84" s="10">
        <v>50000</v>
      </c>
      <c r="C84" s="10">
        <v>10</v>
      </c>
      <c r="D84" s="2" t="s">
        <v>37</v>
      </c>
      <c r="E84" s="10">
        <v>2</v>
      </c>
      <c r="F84" s="20">
        <f t="shared" si="20"/>
        <v>532500</v>
      </c>
      <c r="G84" s="20">
        <f t="shared" si="20"/>
        <v>532500</v>
      </c>
      <c r="H84" s="20">
        <f t="shared" si="21"/>
        <v>105000</v>
      </c>
      <c r="I84" s="20">
        <f t="shared" si="21"/>
        <v>105000</v>
      </c>
      <c r="J84" s="20">
        <f t="shared" si="22"/>
        <v>9403050</v>
      </c>
      <c r="K84" s="10">
        <v>3000</v>
      </c>
      <c r="L84" s="20"/>
      <c r="M84" s="11">
        <v>1960286.7738475534</v>
      </c>
      <c r="N84" s="10">
        <v>640</v>
      </c>
      <c r="O84" s="10">
        <v>4.8499999999999996</v>
      </c>
      <c r="P84" s="10">
        <v>142000</v>
      </c>
      <c r="Q84" s="10">
        <v>150</v>
      </c>
      <c r="R84" s="2">
        <v>0</v>
      </c>
      <c r="S84" s="10">
        <v>42000</v>
      </c>
      <c r="T84" s="2">
        <v>42000</v>
      </c>
      <c r="V84" s="10"/>
    </row>
    <row r="85" spans="1:22" x14ac:dyDescent="0.2">
      <c r="A85" s="2" t="s">
        <v>63</v>
      </c>
      <c r="B85" s="10">
        <v>50000</v>
      </c>
      <c r="C85" s="10">
        <v>10</v>
      </c>
      <c r="D85" s="2" t="s">
        <v>37</v>
      </c>
      <c r="E85" s="10">
        <v>1</v>
      </c>
      <c r="F85" s="20">
        <f t="shared" si="20"/>
        <v>18960000</v>
      </c>
      <c r="G85" s="20">
        <f t="shared" si="20"/>
        <v>18960000</v>
      </c>
      <c r="H85" s="20">
        <f t="shared" si="21"/>
        <v>155000</v>
      </c>
      <c r="I85" s="20">
        <f t="shared" si="21"/>
        <v>155000</v>
      </c>
      <c r="J85" s="20">
        <f t="shared" si="22"/>
        <v>4988932</v>
      </c>
      <c r="K85" s="10">
        <v>3000</v>
      </c>
      <c r="L85" s="20"/>
      <c r="M85" s="11">
        <v>1960286.7738475534</v>
      </c>
      <c r="N85" s="10">
        <v>625</v>
      </c>
      <c r="O85" s="10">
        <v>4.8499999999999996</v>
      </c>
      <c r="P85" s="10">
        <v>632000</v>
      </c>
      <c r="Q85" s="10">
        <v>1200</v>
      </c>
      <c r="R85" s="2">
        <v>0</v>
      </c>
      <c r="S85" s="10">
        <v>62000</v>
      </c>
      <c r="T85" s="10">
        <v>62000</v>
      </c>
      <c r="V85" s="10"/>
    </row>
    <row r="86" spans="1:22" x14ac:dyDescent="0.2">
      <c r="A86" s="2">
        <v>500001110</v>
      </c>
      <c r="B86" s="10">
        <v>50000</v>
      </c>
      <c r="C86" s="10">
        <v>11</v>
      </c>
      <c r="D86" s="2" t="s">
        <v>37</v>
      </c>
      <c r="E86" s="10">
        <v>1</v>
      </c>
      <c r="F86" s="20">
        <f t="shared" si="20"/>
        <v>1155000</v>
      </c>
      <c r="G86" s="20">
        <f t="shared" si="20"/>
        <v>1155000</v>
      </c>
      <c r="H86" s="20">
        <f t="shared" si="21"/>
        <v>105000</v>
      </c>
      <c r="I86" s="20">
        <f t="shared" si="21"/>
        <v>105000</v>
      </c>
      <c r="J86" s="20">
        <f t="shared" si="22"/>
        <v>5846590</v>
      </c>
      <c r="K86" s="10">
        <v>3000</v>
      </c>
      <c r="L86" s="20"/>
      <c r="M86" s="11">
        <v>1960286.7738475534</v>
      </c>
      <c r="N86" s="10">
        <v>1250</v>
      </c>
      <c r="O86" s="10">
        <v>4.9000000000000004</v>
      </c>
      <c r="P86" s="10">
        <v>84000</v>
      </c>
      <c r="Q86" s="10">
        <v>550</v>
      </c>
      <c r="R86" s="2">
        <v>0</v>
      </c>
      <c r="S86" s="10">
        <v>42000</v>
      </c>
      <c r="T86" s="2">
        <v>42000</v>
      </c>
      <c r="V86" s="10"/>
    </row>
    <row r="87" spans="1:22" x14ac:dyDescent="0.2">
      <c r="A87" s="2">
        <v>500050110</v>
      </c>
      <c r="B87" s="10">
        <v>50000</v>
      </c>
      <c r="C87" s="10">
        <v>501</v>
      </c>
      <c r="E87" s="10">
        <v>1</v>
      </c>
      <c r="F87" s="20">
        <f t="shared" si="20"/>
        <v>637500</v>
      </c>
      <c r="G87" s="20">
        <f t="shared" si="20"/>
        <v>637500</v>
      </c>
      <c r="H87" s="20">
        <f t="shared" si="21"/>
        <v>2500</v>
      </c>
      <c r="I87" s="20">
        <f t="shared" si="21"/>
        <v>2500</v>
      </c>
      <c r="J87" s="20">
        <f t="shared" si="22"/>
        <v>4781250</v>
      </c>
      <c r="K87" s="10">
        <v>3000</v>
      </c>
      <c r="L87" s="20"/>
      <c r="M87" s="11">
        <v>1375399.9539495662</v>
      </c>
      <c r="N87" s="10">
        <v>850</v>
      </c>
      <c r="O87" s="10">
        <v>6</v>
      </c>
      <c r="P87" s="2" t="s">
        <v>75</v>
      </c>
      <c r="Q87" s="10">
        <v>340</v>
      </c>
      <c r="R87" s="2" t="s">
        <v>54</v>
      </c>
      <c r="S87" s="10">
        <v>1000</v>
      </c>
      <c r="T87" s="10">
        <v>1000</v>
      </c>
      <c r="V87" s="10"/>
    </row>
    <row r="88" spans="1:22" x14ac:dyDescent="0.2">
      <c r="A88" s="2">
        <v>500050210</v>
      </c>
      <c r="B88" s="10">
        <v>50000</v>
      </c>
      <c r="C88" s="10">
        <v>502</v>
      </c>
      <c r="E88" s="10">
        <v>2</v>
      </c>
      <c r="F88" s="20">
        <f t="shared" si="20"/>
        <v>918750</v>
      </c>
      <c r="G88" s="20">
        <f t="shared" si="20"/>
        <v>918750</v>
      </c>
      <c r="H88" s="20">
        <f t="shared" si="21"/>
        <v>2500</v>
      </c>
      <c r="I88" s="20">
        <f t="shared" si="21"/>
        <v>2500</v>
      </c>
      <c r="J88" s="20">
        <f t="shared" si="22"/>
        <v>9000000</v>
      </c>
      <c r="K88" s="10">
        <v>4000</v>
      </c>
      <c r="L88" s="20"/>
      <c r="M88" s="11">
        <v>1375399.9539495662</v>
      </c>
      <c r="N88" s="10">
        <v>1000</v>
      </c>
      <c r="O88" s="10">
        <v>6</v>
      </c>
      <c r="P88" s="2" t="s">
        <v>76</v>
      </c>
      <c r="Q88" s="10">
        <v>350</v>
      </c>
      <c r="R88" s="2" t="s">
        <v>55</v>
      </c>
      <c r="S88" s="10">
        <v>1000</v>
      </c>
      <c r="T88" s="10">
        <v>1000</v>
      </c>
      <c r="V88" s="10"/>
    </row>
    <row r="89" spans="1:22" x14ac:dyDescent="0.2">
      <c r="A89" s="2">
        <v>500050310</v>
      </c>
      <c r="B89" s="10">
        <v>50000</v>
      </c>
      <c r="C89" s="10">
        <v>503</v>
      </c>
      <c r="E89" s="10">
        <v>3</v>
      </c>
      <c r="F89" s="20">
        <f t="shared" ref="F89:G95" si="23">ROUNDDOWN($P89/4*MIN($O89,4)*10*$N89/$N89*$Q89/400,0)</f>
        <v>1425000</v>
      </c>
      <c r="G89" s="20">
        <f t="shared" si="23"/>
        <v>1425000</v>
      </c>
      <c r="H89" s="20">
        <f t="shared" si="21"/>
        <v>2500</v>
      </c>
      <c r="I89" s="20">
        <f t="shared" si="21"/>
        <v>2500</v>
      </c>
      <c r="J89" s="20">
        <f>ROUNDDOWN($P89/4*$O89*10*$N89/$Q89*$N89/400*0.8,0)</f>
        <v>20013157</v>
      </c>
      <c r="K89" s="10">
        <v>5000</v>
      </c>
      <c r="L89" s="20"/>
      <c r="M89" s="11">
        <v>1375399.9539495662</v>
      </c>
      <c r="N89" s="10">
        <v>1300</v>
      </c>
      <c r="O89" s="10">
        <v>6</v>
      </c>
      <c r="P89" s="2" t="s">
        <v>77</v>
      </c>
      <c r="Q89" s="10">
        <v>380</v>
      </c>
      <c r="R89" s="2" t="s">
        <v>56</v>
      </c>
      <c r="S89" s="10">
        <v>1000</v>
      </c>
      <c r="T89" s="10">
        <v>1000</v>
      </c>
      <c r="V89" s="10"/>
    </row>
    <row r="90" spans="1:22" x14ac:dyDescent="0.2">
      <c r="A90" s="2">
        <v>500050410</v>
      </c>
      <c r="B90" s="10">
        <v>50000</v>
      </c>
      <c r="C90" s="10">
        <v>504</v>
      </c>
      <c r="E90" s="10">
        <v>4</v>
      </c>
      <c r="F90" s="20">
        <f t="shared" si="23"/>
        <v>1950000</v>
      </c>
      <c r="G90" s="20">
        <f t="shared" si="23"/>
        <v>1950000</v>
      </c>
      <c r="H90" s="20">
        <f t="shared" si="21"/>
        <v>2500</v>
      </c>
      <c r="I90" s="20">
        <f t="shared" si="21"/>
        <v>2500</v>
      </c>
      <c r="J90" s="20">
        <f>ROUNDDOWN($P90/4*$O90*10*$N90/$Q90*$N90/400*0.8,0)</f>
        <v>37440000</v>
      </c>
      <c r="K90" s="10">
        <v>6000</v>
      </c>
      <c r="L90" s="20"/>
      <c r="M90" s="11">
        <v>1375399.9539495662</v>
      </c>
      <c r="N90" s="10">
        <v>1600</v>
      </c>
      <c r="O90" s="10">
        <v>6</v>
      </c>
      <c r="P90" s="2" t="s">
        <v>78</v>
      </c>
      <c r="Q90" s="10">
        <v>400</v>
      </c>
      <c r="R90" s="2" t="s">
        <v>57</v>
      </c>
      <c r="S90" s="10">
        <v>1000</v>
      </c>
      <c r="T90" s="10">
        <v>1000</v>
      </c>
      <c r="V90" s="10"/>
    </row>
    <row r="91" spans="1:22" x14ac:dyDescent="0.2">
      <c r="A91" s="2">
        <v>500050510</v>
      </c>
      <c r="B91" s="10">
        <v>50000</v>
      </c>
      <c r="C91" s="10">
        <v>505</v>
      </c>
      <c r="E91" s="10">
        <v>5</v>
      </c>
      <c r="F91" s="20">
        <f t="shared" si="23"/>
        <v>2460000</v>
      </c>
      <c r="G91" s="20">
        <f t="shared" si="23"/>
        <v>2460000</v>
      </c>
      <c r="H91" s="20">
        <f t="shared" si="21"/>
        <v>2500</v>
      </c>
      <c r="I91" s="20">
        <f t="shared" si="21"/>
        <v>2500</v>
      </c>
      <c r="J91" s="20">
        <f>ROUNDDOWN($P91/4*$O91*10*$N91/$Q91*$N91/400*0.8,0)</f>
        <v>70243902</v>
      </c>
      <c r="K91" s="10">
        <v>7000</v>
      </c>
      <c r="L91" s="20"/>
      <c r="M91" s="11">
        <v>1375399.9539495662</v>
      </c>
      <c r="N91" s="10">
        <v>2000</v>
      </c>
      <c r="O91" s="10">
        <v>6</v>
      </c>
      <c r="P91" s="2" t="s">
        <v>79</v>
      </c>
      <c r="Q91" s="10">
        <v>410</v>
      </c>
      <c r="R91" s="2" t="s">
        <v>58</v>
      </c>
      <c r="S91" s="10">
        <v>1000</v>
      </c>
      <c r="T91" s="10">
        <v>1000</v>
      </c>
      <c r="V91" s="10"/>
    </row>
    <row r="92" spans="1:22" x14ac:dyDescent="0.2">
      <c r="A92" s="2">
        <v>500050610</v>
      </c>
      <c r="B92" s="10">
        <v>50000</v>
      </c>
      <c r="C92" s="10">
        <v>506</v>
      </c>
      <c r="E92" s="10">
        <v>6</v>
      </c>
      <c r="F92" s="20">
        <f t="shared" si="23"/>
        <v>3440000</v>
      </c>
      <c r="G92" s="20">
        <f t="shared" si="23"/>
        <v>3440000</v>
      </c>
      <c r="H92" s="20">
        <f t="shared" si="21"/>
        <v>2500</v>
      </c>
      <c r="I92" s="20">
        <f t="shared" si="21"/>
        <v>2500</v>
      </c>
      <c r="J92" s="20">
        <f>ROUNDDOWN($P92/4*$O92*10*$N92/$Q92*$N92/400*0.8,0)</f>
        <v>108055813</v>
      </c>
      <c r="K92" s="10">
        <v>8000</v>
      </c>
      <c r="L92" s="20"/>
      <c r="M92" s="11">
        <v>1375399.9539495662</v>
      </c>
      <c r="N92" s="10">
        <v>2200</v>
      </c>
      <c r="O92" s="10">
        <v>6</v>
      </c>
      <c r="P92" s="2" t="s">
        <v>74</v>
      </c>
      <c r="Q92" s="10">
        <v>430</v>
      </c>
      <c r="R92" s="2" t="s">
        <v>59</v>
      </c>
      <c r="S92" s="10">
        <v>1000</v>
      </c>
      <c r="T92" s="10">
        <v>1000</v>
      </c>
      <c r="V92" s="10"/>
    </row>
    <row r="93" spans="1:22" x14ac:dyDescent="0.2">
      <c r="A93" s="2">
        <v>500050710</v>
      </c>
      <c r="B93" s="10">
        <v>50000</v>
      </c>
      <c r="C93" s="10">
        <v>507</v>
      </c>
      <c r="E93" s="10">
        <v>7</v>
      </c>
      <c r="F93" s="20">
        <f t="shared" si="23"/>
        <v>4387500</v>
      </c>
      <c r="G93" s="20">
        <f t="shared" si="23"/>
        <v>4387500</v>
      </c>
      <c r="H93" s="20">
        <f t="shared" si="21"/>
        <v>2500</v>
      </c>
      <c r="I93" s="20">
        <f t="shared" si="21"/>
        <v>2500</v>
      </c>
      <c r="J93" s="20">
        <f>ROUNDDOWN($P93/4*$O93*10*$N93/$Q93*$N93/400*0.8,0)</f>
        <v>162500000</v>
      </c>
      <c r="K93" s="10">
        <v>9000</v>
      </c>
      <c r="L93" s="20"/>
      <c r="M93" s="11">
        <v>1375399.9539495662</v>
      </c>
      <c r="N93" s="10">
        <v>2500</v>
      </c>
      <c r="O93" s="10">
        <v>6</v>
      </c>
      <c r="P93" s="2" t="s">
        <v>80</v>
      </c>
      <c r="Q93" s="10">
        <v>450</v>
      </c>
      <c r="R93" s="2" t="s">
        <v>60</v>
      </c>
      <c r="S93" s="10">
        <v>1000</v>
      </c>
      <c r="T93" s="10">
        <v>1000</v>
      </c>
      <c r="V93" s="10"/>
    </row>
    <row r="94" spans="1:22" x14ac:dyDescent="0.2">
      <c r="A94" s="19">
        <v>500050810</v>
      </c>
      <c r="B94" s="18">
        <v>50000</v>
      </c>
      <c r="C94" s="18">
        <v>508</v>
      </c>
      <c r="E94" s="18">
        <v>8</v>
      </c>
      <c r="F94" s="20">
        <f t="shared" si="23"/>
        <v>6050000</v>
      </c>
      <c r="G94" s="20">
        <f t="shared" si="23"/>
        <v>6050000</v>
      </c>
      <c r="H94" s="20">
        <f t="shared" si="21"/>
        <v>2500</v>
      </c>
      <c r="I94" s="20">
        <f t="shared" si="21"/>
        <v>2500</v>
      </c>
      <c r="J94" s="20">
        <f t="shared" ref="J94:J95" si="24">ROUNDDOWN($P94/4*$O94*10*$N94/$Q94*$N94/400*0.8,0)</f>
        <v>230640000</v>
      </c>
      <c r="K94" s="10">
        <v>9000</v>
      </c>
      <c r="L94" s="20"/>
      <c r="M94" s="11">
        <v>1375399.9539495662</v>
      </c>
      <c r="N94" s="18">
        <v>3100</v>
      </c>
      <c r="O94" s="18">
        <v>6</v>
      </c>
      <c r="P94" s="2" t="s">
        <v>115</v>
      </c>
      <c r="Q94" s="18">
        <v>550</v>
      </c>
      <c r="R94" s="2" t="s">
        <v>106</v>
      </c>
      <c r="S94" s="18">
        <v>1000</v>
      </c>
      <c r="T94" s="18">
        <v>1000</v>
      </c>
      <c r="U94" s="18"/>
      <c r="V94" s="18"/>
    </row>
    <row r="95" spans="1:22" x14ac:dyDescent="0.2">
      <c r="A95" s="2" t="s">
        <v>107</v>
      </c>
      <c r="B95" s="18">
        <v>50000</v>
      </c>
      <c r="C95" s="18">
        <v>509</v>
      </c>
      <c r="E95" s="18">
        <v>9</v>
      </c>
      <c r="F95" s="20">
        <f t="shared" si="23"/>
        <v>8937500</v>
      </c>
      <c r="G95" s="20">
        <f t="shared" si="23"/>
        <v>8937500</v>
      </c>
      <c r="H95" s="20">
        <f t="shared" si="21"/>
        <v>2500</v>
      </c>
      <c r="I95" s="20">
        <f t="shared" si="21"/>
        <v>2500</v>
      </c>
      <c r="J95" s="20">
        <f t="shared" si="24"/>
        <v>328984615</v>
      </c>
      <c r="K95" s="10">
        <v>9000</v>
      </c>
      <c r="L95" s="20"/>
      <c r="M95" s="11">
        <v>1375399.9539495662</v>
      </c>
      <c r="N95" s="18">
        <v>3600</v>
      </c>
      <c r="O95" s="18">
        <v>6</v>
      </c>
      <c r="P95" s="2" t="s">
        <v>116</v>
      </c>
      <c r="Q95" s="18">
        <v>650</v>
      </c>
      <c r="R95" s="2" t="s">
        <v>108</v>
      </c>
      <c r="S95" s="18">
        <v>1000</v>
      </c>
      <c r="T95" s="18">
        <v>1000</v>
      </c>
      <c r="U95" s="18"/>
      <c r="V95" s="18"/>
    </row>
    <row r="96" spans="1:22" ht="20.25" x14ac:dyDescent="0.2">
      <c r="A96" s="19" t="str">
        <f t="shared" ref="A96" si="25">IF(B96="","",CONCATENATE(B96,CONCATENATE(REPT(0,2-LEN(C96)),C96),IF(OR(D96="Easy",D96=""),1,IF(D96="Normal",2,IF(D96="Hard",3,IF(D96="Hell",4,"error")))),E96))</f>
        <v/>
      </c>
      <c r="B96" s="27"/>
      <c r="C96" s="22" t="s">
        <v>85</v>
      </c>
      <c r="D96" s="21"/>
      <c r="E96" s="21"/>
      <c r="F96" s="21"/>
      <c r="G96" s="21"/>
      <c r="H96" s="21"/>
      <c r="I96" s="21"/>
      <c r="J96" s="21"/>
      <c r="K96" s="20"/>
      <c r="L96" s="21"/>
      <c r="M96" s="14"/>
      <c r="N96" s="21"/>
      <c r="O96" s="21"/>
      <c r="P96" s="21"/>
      <c r="Q96" s="21"/>
      <c r="R96" s="21"/>
      <c r="S96" s="23"/>
    </row>
    <row r="97" spans="1:20" ht="16.5" x14ac:dyDescent="0.2">
      <c r="A97" s="19" t="str">
        <f>IF(B97="","",CONCATENATE(B97,CONCATENATE(REPT(0,4-LEN(C97)),C97),IF(OR(D97="Easy",D97=""),1,IF(D97="Normal",2,IF(D97="Hard",3,IF(D97="Hell",4,"error")))),E97))</f>
        <v>10100011</v>
      </c>
      <c r="B97" s="29">
        <v>10</v>
      </c>
      <c r="C97" s="19">
        <v>1000</v>
      </c>
      <c r="D97" s="19"/>
      <c r="E97" s="19">
        <v>1</v>
      </c>
      <c r="F97" s="20">
        <f t="shared" ref="F97:G115" si="26">ROUNDDOWN($P97/4*$O97*10*$N97/$N97*$Q97/400,0)</f>
        <v>810468</v>
      </c>
      <c r="G97" s="20">
        <f t="shared" si="26"/>
        <v>810468</v>
      </c>
      <c r="H97" s="20">
        <f t="shared" ref="H97:I115" si="27">ROUNDDOWN($S97/4*10,0)</f>
        <v>56250</v>
      </c>
      <c r="I97" s="20">
        <f t="shared" si="27"/>
        <v>56250</v>
      </c>
      <c r="J97" s="20">
        <f t="shared" ref="J97:J115" si="28">ROUNDDOWN($P97/4*$O97*10*$N97/$Q97*$N97/400,0)</f>
        <v>72740131</v>
      </c>
      <c r="K97" s="20">
        <v>1000</v>
      </c>
      <c r="L97" s="20"/>
      <c r="M97" s="14">
        <f t="shared" ref="M97" si="29">(F97*J97*((H97+I97)/2)/1000)^(1/2)/10*0.8</f>
        <v>4606872.8500872348</v>
      </c>
      <c r="N97" s="15">
        <v>1800</v>
      </c>
      <c r="O97" s="18">
        <v>10.5</v>
      </c>
      <c r="P97" s="16">
        <v>65000</v>
      </c>
      <c r="Q97" s="17" t="s">
        <v>97</v>
      </c>
      <c r="R97" s="16"/>
      <c r="S97" s="18">
        <v>22500</v>
      </c>
      <c r="T97" s="18">
        <f t="shared" ref="T97" si="30">S97</f>
        <v>22500</v>
      </c>
    </row>
    <row r="98" spans="1:20" ht="16.5" x14ac:dyDescent="0.2">
      <c r="A98" s="19" t="str">
        <f>IF(B98="","",CONCATENATE(B98,CONCATENATE(REPT(0,4-LEN(C98)),C98),IF(OR(D98="Easy",D98=""),1,IF(D98="Normal",2,IF(D98="Hard",3,IF(D98="Hell",4,"error")))),E98))</f>
        <v>10100111</v>
      </c>
      <c r="B98" s="29">
        <v>10</v>
      </c>
      <c r="C98" s="19">
        <v>1001</v>
      </c>
      <c r="D98" s="19"/>
      <c r="E98" s="19">
        <v>1</v>
      </c>
      <c r="F98" s="20">
        <f t="shared" si="26"/>
        <v>972562</v>
      </c>
      <c r="G98" s="20">
        <f t="shared" si="26"/>
        <v>972562</v>
      </c>
      <c r="H98" s="20">
        <f t="shared" si="27"/>
        <v>55000</v>
      </c>
      <c r="I98" s="20">
        <f t="shared" si="27"/>
        <v>55000</v>
      </c>
      <c r="J98" s="20">
        <f t="shared" si="28"/>
        <v>92204851</v>
      </c>
      <c r="K98" s="20">
        <v>1000</v>
      </c>
      <c r="L98" s="20"/>
      <c r="M98" s="14">
        <f t="shared" ref="M98" si="31">(F98*J98*((H98+I98)/2)/1000)^(1/2)/10*0.8</f>
        <v>5618325.0949894516</v>
      </c>
      <c r="N98" s="15">
        <v>1850</v>
      </c>
      <c r="O98" s="18">
        <v>10.5</v>
      </c>
      <c r="P98" s="16">
        <v>78000</v>
      </c>
      <c r="Q98" s="17" t="s">
        <v>97</v>
      </c>
      <c r="R98" s="16"/>
      <c r="S98" s="18">
        <v>22000</v>
      </c>
      <c r="T98" s="18">
        <f t="shared" ref="T98" si="32">S98</f>
        <v>22000</v>
      </c>
    </row>
    <row r="99" spans="1:20" ht="16.5" x14ac:dyDescent="0.2">
      <c r="A99" s="19" t="str">
        <f t="shared" ref="A99:A108" si="33">IF(B99="","",CONCATENATE(B99,CONCATENATE(REPT(0,4-LEN(C99)),C99),IF(OR(D99="Easy",D99=""),1,IF(D99="Normal",2,IF(D99="Hard",3,IF(D99="Hell",4,"error")))),E99))</f>
        <v>10100211</v>
      </c>
      <c r="B99" s="29">
        <v>10</v>
      </c>
      <c r="C99" s="19">
        <v>1002</v>
      </c>
      <c r="D99" s="19"/>
      <c r="E99" s="19">
        <v>1</v>
      </c>
      <c r="F99" s="20">
        <f t="shared" si="26"/>
        <v>1063125</v>
      </c>
      <c r="G99" s="20">
        <f t="shared" si="26"/>
        <v>1063125</v>
      </c>
      <c r="H99" s="20">
        <f t="shared" si="27"/>
        <v>52500</v>
      </c>
      <c r="I99" s="20">
        <f t="shared" si="27"/>
        <v>52500</v>
      </c>
      <c r="J99" s="20">
        <f t="shared" si="28"/>
        <v>98204531</v>
      </c>
      <c r="K99" s="20">
        <v>1000</v>
      </c>
      <c r="L99" s="20"/>
      <c r="M99" s="14">
        <f t="shared" ref="M99:M108" si="34">(F99*J99*((H99+I99)/2)/1000)^(1/2)/10*0.8</f>
        <v>5922806.8108380847</v>
      </c>
      <c r="N99" s="15">
        <v>1730</v>
      </c>
      <c r="O99" s="18">
        <v>10.5</v>
      </c>
      <c r="P99" s="16">
        <v>90000</v>
      </c>
      <c r="Q99" s="17" t="s">
        <v>104</v>
      </c>
      <c r="R99" s="16"/>
      <c r="S99" s="18">
        <v>21000</v>
      </c>
      <c r="T99" s="18">
        <f t="shared" ref="T99:T104" si="35">S99</f>
        <v>21000</v>
      </c>
    </row>
    <row r="100" spans="1:20" ht="16.5" x14ac:dyDescent="0.2">
      <c r="A100" s="19" t="str">
        <f t="shared" si="33"/>
        <v>10100311</v>
      </c>
      <c r="B100" s="29">
        <v>10</v>
      </c>
      <c r="C100" s="19">
        <v>1003</v>
      </c>
      <c r="D100" s="19"/>
      <c r="E100" s="19">
        <v>1</v>
      </c>
      <c r="F100" s="20">
        <f t="shared" si="26"/>
        <v>966328</v>
      </c>
      <c r="G100" s="20">
        <f t="shared" si="26"/>
        <v>966328</v>
      </c>
      <c r="H100" s="20">
        <f t="shared" si="27"/>
        <v>50000</v>
      </c>
      <c r="I100" s="20">
        <f t="shared" si="27"/>
        <v>50000</v>
      </c>
      <c r="J100" s="20">
        <f t="shared" si="28"/>
        <v>109503780</v>
      </c>
      <c r="K100" s="20">
        <v>1000</v>
      </c>
      <c r="L100" s="20"/>
      <c r="M100" s="14">
        <f t="shared" si="34"/>
        <v>5819046.484635504</v>
      </c>
      <c r="N100" s="15">
        <v>1650</v>
      </c>
      <c r="O100" s="18">
        <v>10.5</v>
      </c>
      <c r="P100" s="16">
        <v>95000</v>
      </c>
      <c r="Q100" s="17" t="s">
        <v>105</v>
      </c>
      <c r="R100" s="16"/>
      <c r="S100" s="18">
        <v>20000</v>
      </c>
      <c r="T100" s="18">
        <f t="shared" si="35"/>
        <v>20000</v>
      </c>
    </row>
    <row r="101" spans="1:20" ht="16.5" x14ac:dyDescent="0.2">
      <c r="A101" s="19" t="str">
        <f t="shared" si="33"/>
        <v>10100411</v>
      </c>
      <c r="B101" s="29">
        <v>10</v>
      </c>
      <c r="C101" s="19">
        <v>1004</v>
      </c>
      <c r="D101" s="19"/>
      <c r="E101" s="19">
        <v>1</v>
      </c>
      <c r="F101" s="20">
        <f t="shared" si="26"/>
        <v>937500</v>
      </c>
      <c r="G101" s="20">
        <f t="shared" si="26"/>
        <v>937500</v>
      </c>
      <c r="H101" s="20">
        <f t="shared" si="27"/>
        <v>48750</v>
      </c>
      <c r="I101" s="20">
        <f t="shared" si="27"/>
        <v>48750</v>
      </c>
      <c r="J101" s="20">
        <f t="shared" si="28"/>
        <v>101400000</v>
      </c>
      <c r="K101" s="20">
        <v>1000</v>
      </c>
      <c r="L101" s="20"/>
      <c r="M101" s="14">
        <f t="shared" si="34"/>
        <v>5446053.6170698889</v>
      </c>
      <c r="N101" s="15">
        <v>1560</v>
      </c>
      <c r="O101" s="18">
        <v>10</v>
      </c>
      <c r="P101" s="16">
        <v>100000</v>
      </c>
      <c r="Q101" s="17" t="s">
        <v>91</v>
      </c>
      <c r="R101" s="16"/>
      <c r="S101" s="18">
        <v>19500</v>
      </c>
      <c r="T101" s="18">
        <f t="shared" si="35"/>
        <v>19500</v>
      </c>
    </row>
    <row r="102" spans="1:20" ht="16.5" x14ac:dyDescent="0.2">
      <c r="A102" s="19" t="str">
        <f t="shared" ref="A102" si="36">IF(B102="","",CONCATENATE(B102,CONCATENATE(REPT(0,4-LEN(C102)),C102),IF(OR(D102="Easy",D102=""),1,IF(D102="Normal",2,IF(D102="Hard",3,IF(D102="Hell",4,"error")))),E102))</f>
        <v>10100511</v>
      </c>
      <c r="B102" s="29">
        <v>10</v>
      </c>
      <c r="C102" s="19">
        <v>1005</v>
      </c>
      <c r="D102" s="19"/>
      <c r="E102" s="19">
        <v>1</v>
      </c>
      <c r="F102" s="20">
        <f t="shared" si="26"/>
        <v>1237500</v>
      </c>
      <c r="G102" s="20">
        <f t="shared" si="26"/>
        <v>1237500</v>
      </c>
      <c r="H102" s="20">
        <f t="shared" si="27"/>
        <v>47500</v>
      </c>
      <c r="I102" s="20">
        <f t="shared" si="27"/>
        <v>47500</v>
      </c>
      <c r="J102" s="20">
        <f t="shared" si="28"/>
        <v>132137500</v>
      </c>
      <c r="K102" s="20">
        <v>1000</v>
      </c>
      <c r="L102" s="20"/>
      <c r="M102" s="14">
        <f t="shared" ref="M102" si="37">(F102*J102*((H102+I102)/2)/1000)^(1/2)/10*0.8</f>
        <v>7050540.9366941489</v>
      </c>
      <c r="N102" s="15">
        <v>1550</v>
      </c>
      <c r="O102" s="18">
        <v>11</v>
      </c>
      <c r="P102" s="16">
        <v>120000</v>
      </c>
      <c r="Q102" s="17" t="s">
        <v>91</v>
      </c>
      <c r="R102" s="16"/>
      <c r="S102" s="18">
        <v>19000</v>
      </c>
      <c r="T102" s="18">
        <f t="shared" ref="T102" si="38">S102</f>
        <v>19000</v>
      </c>
    </row>
    <row r="103" spans="1:20" ht="16.5" x14ac:dyDescent="0.2">
      <c r="A103" s="19" t="str">
        <f t="shared" si="33"/>
        <v>10100611</v>
      </c>
      <c r="B103" s="29">
        <v>10</v>
      </c>
      <c r="C103" s="19">
        <v>1006</v>
      </c>
      <c r="D103" s="19"/>
      <c r="E103" s="19">
        <v>1</v>
      </c>
      <c r="F103" s="20">
        <f t="shared" si="26"/>
        <v>1134375</v>
      </c>
      <c r="G103" s="20">
        <f t="shared" si="26"/>
        <v>1134375</v>
      </c>
      <c r="H103" s="20">
        <f t="shared" si="27"/>
        <v>47500</v>
      </c>
      <c r="I103" s="20">
        <f t="shared" si="27"/>
        <v>47500</v>
      </c>
      <c r="J103" s="20">
        <f t="shared" si="28"/>
        <v>121126041</v>
      </c>
      <c r="K103" s="20">
        <v>1000</v>
      </c>
      <c r="L103" s="20"/>
      <c r="M103" s="14">
        <f t="shared" si="34"/>
        <v>6462995.8408504333</v>
      </c>
      <c r="N103" s="15">
        <v>1550</v>
      </c>
      <c r="O103" s="18">
        <v>11</v>
      </c>
      <c r="P103" s="16">
        <v>110000</v>
      </c>
      <c r="Q103" s="17" t="s">
        <v>91</v>
      </c>
      <c r="R103" s="16"/>
      <c r="S103" s="18">
        <v>19000</v>
      </c>
      <c r="T103" s="18">
        <f t="shared" si="35"/>
        <v>19000</v>
      </c>
    </row>
    <row r="104" spans="1:20" ht="16.5" x14ac:dyDescent="0.2">
      <c r="A104" s="19" t="str">
        <f t="shared" si="33"/>
        <v>10100711</v>
      </c>
      <c r="B104" s="29">
        <v>10</v>
      </c>
      <c r="C104" s="19">
        <v>1007</v>
      </c>
      <c r="D104" s="19"/>
      <c r="E104" s="19">
        <v>1</v>
      </c>
      <c r="F104" s="20">
        <f t="shared" si="26"/>
        <v>1289062</v>
      </c>
      <c r="G104" s="20">
        <f t="shared" si="26"/>
        <v>1289062</v>
      </c>
      <c r="H104" s="20">
        <f t="shared" si="27"/>
        <v>50000</v>
      </c>
      <c r="I104" s="20">
        <f t="shared" si="27"/>
        <v>50000</v>
      </c>
      <c r="J104" s="20">
        <f t="shared" si="28"/>
        <v>146666666</v>
      </c>
      <c r="K104" s="20">
        <v>1000</v>
      </c>
      <c r="L104" s="20"/>
      <c r="M104" s="14">
        <f t="shared" si="34"/>
        <v>7778173.0668797437</v>
      </c>
      <c r="N104" s="15">
        <v>1600</v>
      </c>
      <c r="O104" s="18">
        <v>11</v>
      </c>
      <c r="P104" s="16">
        <v>125000</v>
      </c>
      <c r="Q104" s="17" t="s">
        <v>91</v>
      </c>
      <c r="R104" s="16"/>
      <c r="S104" s="18">
        <v>20000</v>
      </c>
      <c r="T104" s="18">
        <f t="shared" si="35"/>
        <v>20000</v>
      </c>
    </row>
    <row r="105" spans="1:20" ht="16.5" x14ac:dyDescent="0.2">
      <c r="A105" s="19" t="str">
        <f t="shared" ref="A105" si="39">IF(B105="","",CONCATENATE(B105,CONCATENATE(REPT(0,4-LEN(C105)),C105),IF(OR(D105="Easy",D105=""),1,IF(D105="Normal",2,IF(D105="Hard",3,IF(D105="Hell",4,"error")))),E105))</f>
        <v>10100811</v>
      </c>
      <c r="B105" s="29">
        <v>10</v>
      </c>
      <c r="C105" s="19">
        <v>1008</v>
      </c>
      <c r="D105" s="19"/>
      <c r="E105" s="19">
        <v>1</v>
      </c>
      <c r="F105" s="20">
        <f t="shared" si="26"/>
        <v>1495312</v>
      </c>
      <c r="G105" s="20">
        <f t="shared" si="26"/>
        <v>1495312</v>
      </c>
      <c r="H105" s="20">
        <f t="shared" si="27"/>
        <v>52500</v>
      </c>
      <c r="I105" s="20">
        <f t="shared" si="27"/>
        <v>52500</v>
      </c>
      <c r="J105" s="20">
        <f t="shared" si="28"/>
        <v>180932812</v>
      </c>
      <c r="K105" s="20">
        <v>1000</v>
      </c>
      <c r="L105" s="20"/>
      <c r="M105" s="14">
        <f t="shared" ref="M105" si="40">(F105*J105*((H105+I105)/2)/1000)^(1/2)/10*0.8</f>
        <v>9534418.5807204619</v>
      </c>
      <c r="N105" s="15">
        <v>1650</v>
      </c>
      <c r="O105" s="18">
        <v>11</v>
      </c>
      <c r="P105" s="16">
        <v>145000</v>
      </c>
      <c r="Q105" s="17" t="s">
        <v>91</v>
      </c>
      <c r="R105" s="16"/>
      <c r="S105" s="18">
        <v>21000</v>
      </c>
      <c r="T105" s="18">
        <f t="shared" ref="T105" si="41">S105</f>
        <v>21000</v>
      </c>
    </row>
    <row r="106" spans="1:20" ht="20.25" x14ac:dyDescent="0.2">
      <c r="A106" s="19" t="str">
        <f t="shared" ref="A106" si="42">IF(B106="","",CONCATENATE(B106,CONCATENATE(REPT(0,2-LEN(C106)),C106),IF(OR(D106="Easy",D106=""),1,IF(D106="Normal",2,IF(D106="Hard",3,IF(D106="Hell",4,"error")))),E106))</f>
        <v/>
      </c>
      <c r="B106" s="27"/>
      <c r="C106" s="22" t="s">
        <v>86</v>
      </c>
      <c r="D106" s="21"/>
      <c r="E106" s="21"/>
      <c r="F106" s="21"/>
      <c r="G106" s="21"/>
      <c r="H106" s="21"/>
      <c r="I106" s="21"/>
      <c r="J106" s="21"/>
      <c r="K106" s="20"/>
      <c r="L106" s="21"/>
      <c r="M106" s="14"/>
      <c r="N106" s="21"/>
      <c r="O106" s="21"/>
      <c r="P106" s="21"/>
      <c r="Q106" s="21"/>
      <c r="R106" s="21"/>
      <c r="S106" s="23"/>
    </row>
    <row r="107" spans="1:20" ht="16.5" x14ac:dyDescent="0.2">
      <c r="A107" s="19" t="str">
        <f t="shared" ref="A107" si="43">IF(B107="","",CONCATENATE(B107,CONCATENATE(REPT(0,4-LEN(C107)),C107),IF(OR(D107="Easy",D107=""),1,IF(D107="Normal",2,IF(D107="Hard",3,IF(D107="Hell",4,"error")))),E107))</f>
        <v>10110011</v>
      </c>
      <c r="B107" s="29">
        <v>10</v>
      </c>
      <c r="C107" s="19">
        <v>1100</v>
      </c>
      <c r="D107" s="19"/>
      <c r="E107" s="19">
        <v>1</v>
      </c>
      <c r="F107" s="20">
        <f t="shared" si="26"/>
        <v>312500</v>
      </c>
      <c r="G107" s="20">
        <f t="shared" si="26"/>
        <v>312500</v>
      </c>
      <c r="H107" s="20">
        <f t="shared" si="27"/>
        <v>63750</v>
      </c>
      <c r="I107" s="20">
        <f t="shared" si="27"/>
        <v>63750</v>
      </c>
      <c r="J107" s="20">
        <f t="shared" si="28"/>
        <v>17298000</v>
      </c>
      <c r="K107" s="20">
        <v>1000</v>
      </c>
      <c r="L107" s="20"/>
      <c r="M107" s="14">
        <f t="shared" ref="M107" si="44">(F107*J107*((H107+I107)/2)/1000)^(1/2)/10*0.8</f>
        <v>1485090.9063084321</v>
      </c>
      <c r="N107" s="15">
        <v>930</v>
      </c>
      <c r="O107" s="18">
        <v>8</v>
      </c>
      <c r="P107" s="16">
        <v>50000</v>
      </c>
      <c r="Q107" s="17" t="s">
        <v>99</v>
      </c>
      <c r="S107" s="18">
        <v>25500</v>
      </c>
      <c r="T107" s="18">
        <f t="shared" ref="T107" si="45">S107</f>
        <v>25500</v>
      </c>
    </row>
    <row r="108" spans="1:20" ht="16.5" x14ac:dyDescent="0.2">
      <c r="A108" s="19" t="str">
        <f t="shared" si="33"/>
        <v>10110111</v>
      </c>
      <c r="B108" s="29">
        <v>10</v>
      </c>
      <c r="C108" s="19">
        <v>1101</v>
      </c>
      <c r="D108" s="19"/>
      <c r="E108" s="19">
        <v>1</v>
      </c>
      <c r="F108" s="20">
        <f t="shared" si="26"/>
        <v>375000</v>
      </c>
      <c r="G108" s="20">
        <f t="shared" si="26"/>
        <v>375000</v>
      </c>
      <c r="H108" s="20">
        <f t="shared" si="27"/>
        <v>62500</v>
      </c>
      <c r="I108" s="20">
        <f t="shared" si="27"/>
        <v>62500</v>
      </c>
      <c r="J108" s="20">
        <f t="shared" si="28"/>
        <v>20757600</v>
      </c>
      <c r="K108" s="20">
        <v>1000</v>
      </c>
      <c r="L108" s="20"/>
      <c r="M108" s="14">
        <f t="shared" si="34"/>
        <v>1764550.9343739559</v>
      </c>
      <c r="N108" s="15">
        <v>930</v>
      </c>
      <c r="O108" s="18">
        <v>8</v>
      </c>
      <c r="P108" s="16">
        <v>60000</v>
      </c>
      <c r="Q108" s="17" t="s">
        <v>99</v>
      </c>
      <c r="S108" s="18">
        <v>25000</v>
      </c>
      <c r="T108" s="18">
        <f t="shared" ref="T108:T113" si="46">S108</f>
        <v>25000</v>
      </c>
    </row>
    <row r="109" spans="1:20" ht="16.5" x14ac:dyDescent="0.2">
      <c r="A109" s="19" t="str">
        <f t="shared" ref="A109:A114" si="47">IF(B109="","",CONCATENATE(B109,CONCATENATE(REPT(0,4-LEN(C109)),C109),IF(OR(D109="Easy",D109=""),1,IF(D109="Normal",2,IF(D109="Hard",3,IF(D109="Hell",4,"error")))),E109))</f>
        <v>10110211</v>
      </c>
      <c r="B109" s="29">
        <v>10</v>
      </c>
      <c r="C109" s="19">
        <v>1102</v>
      </c>
      <c r="D109" s="19"/>
      <c r="E109" s="19">
        <v>1</v>
      </c>
      <c r="F109" s="20">
        <f t="shared" si="26"/>
        <v>362500</v>
      </c>
      <c r="G109" s="20">
        <f t="shared" si="26"/>
        <v>362500</v>
      </c>
      <c r="H109" s="20">
        <f t="shared" si="27"/>
        <v>60000</v>
      </c>
      <c r="I109" s="20">
        <f t="shared" si="27"/>
        <v>60000</v>
      </c>
      <c r="J109" s="20">
        <f t="shared" si="28"/>
        <v>20065680</v>
      </c>
      <c r="K109" s="20">
        <v>1000</v>
      </c>
      <c r="L109" s="20"/>
      <c r="M109" s="14">
        <f t="shared" ref="M109:M114" si="48">(F109*J109*((H109+I109)/2)/1000)^(1/2)/10*0.8</f>
        <v>1671269.7735554245</v>
      </c>
      <c r="N109" s="15">
        <v>930</v>
      </c>
      <c r="O109" s="18">
        <v>8</v>
      </c>
      <c r="P109" s="16">
        <v>58000</v>
      </c>
      <c r="Q109" s="17" t="s">
        <v>99</v>
      </c>
      <c r="S109" s="18">
        <v>24000</v>
      </c>
      <c r="T109" s="18">
        <f t="shared" si="46"/>
        <v>24000</v>
      </c>
    </row>
    <row r="110" spans="1:20" ht="16.5" x14ac:dyDescent="0.2">
      <c r="A110" s="19" t="str">
        <f t="shared" si="47"/>
        <v>10110311</v>
      </c>
      <c r="B110" s="29">
        <v>10</v>
      </c>
      <c r="C110" s="19">
        <v>1103</v>
      </c>
      <c r="D110" s="19"/>
      <c r="E110" s="19">
        <v>1</v>
      </c>
      <c r="F110" s="20">
        <f t="shared" si="26"/>
        <v>367031</v>
      </c>
      <c r="G110" s="20">
        <f t="shared" si="26"/>
        <v>367031</v>
      </c>
      <c r="H110" s="20">
        <f t="shared" si="27"/>
        <v>55000</v>
      </c>
      <c r="I110" s="20">
        <f t="shared" si="27"/>
        <v>55000</v>
      </c>
      <c r="J110" s="20">
        <f t="shared" si="28"/>
        <v>20316501</v>
      </c>
      <c r="K110" s="20">
        <v>1000</v>
      </c>
      <c r="L110" s="20"/>
      <c r="M110" s="14">
        <f t="shared" si="48"/>
        <v>1620119.921130196</v>
      </c>
      <c r="N110" s="15">
        <v>930</v>
      </c>
      <c r="O110" s="18">
        <v>8.1</v>
      </c>
      <c r="P110" s="16">
        <v>58000</v>
      </c>
      <c r="Q110" s="17" t="s">
        <v>99</v>
      </c>
      <c r="S110" s="18">
        <v>22000</v>
      </c>
      <c r="T110" s="18">
        <f t="shared" si="46"/>
        <v>22000</v>
      </c>
    </row>
    <row r="111" spans="1:20" ht="16.5" x14ac:dyDescent="0.2">
      <c r="A111" s="19" t="str">
        <f t="shared" si="47"/>
        <v>10110411</v>
      </c>
      <c r="B111" s="29">
        <v>10</v>
      </c>
      <c r="C111" s="19">
        <v>1104</v>
      </c>
      <c r="D111" s="19"/>
      <c r="E111" s="19">
        <v>1</v>
      </c>
      <c r="F111" s="20">
        <f t="shared" si="26"/>
        <v>418500</v>
      </c>
      <c r="G111" s="20">
        <f t="shared" si="26"/>
        <v>418500</v>
      </c>
      <c r="H111" s="20">
        <f t="shared" si="27"/>
        <v>50000</v>
      </c>
      <c r="I111" s="20">
        <f t="shared" si="27"/>
        <v>50000</v>
      </c>
      <c r="J111" s="20">
        <f t="shared" si="28"/>
        <v>21605851</v>
      </c>
      <c r="K111" s="20">
        <v>1000</v>
      </c>
      <c r="L111" s="20"/>
      <c r="M111" s="14">
        <f t="shared" si="48"/>
        <v>1701016.0392894596</v>
      </c>
      <c r="N111" s="15">
        <v>970</v>
      </c>
      <c r="O111" s="18">
        <v>8</v>
      </c>
      <c r="P111" s="16">
        <v>62000</v>
      </c>
      <c r="Q111" s="17" t="s">
        <v>94</v>
      </c>
      <c r="S111" s="18">
        <v>20000</v>
      </c>
      <c r="T111" s="18">
        <f t="shared" si="46"/>
        <v>20000</v>
      </c>
    </row>
    <row r="112" spans="1:20" ht="16.5" x14ac:dyDescent="0.2">
      <c r="A112" s="19" t="str">
        <f t="shared" ref="A112" si="49">IF(B112="","",CONCATENATE(B112,CONCATENATE(REPT(0,4-LEN(C112)),C112),IF(OR(D112="Easy",D112=""),1,IF(D112="Normal",2,IF(D112="Hard",3,IF(D112="Hell",4,"error")))),E112))</f>
        <v>10110511</v>
      </c>
      <c r="B112" s="29">
        <v>10</v>
      </c>
      <c r="C112" s="19">
        <v>1105</v>
      </c>
      <c r="D112" s="19"/>
      <c r="E112" s="19">
        <v>1</v>
      </c>
      <c r="F112" s="20">
        <f t="shared" si="26"/>
        <v>519750</v>
      </c>
      <c r="G112" s="20">
        <f t="shared" si="26"/>
        <v>519750</v>
      </c>
      <c r="H112" s="20">
        <f t="shared" si="27"/>
        <v>45000</v>
      </c>
      <c r="I112" s="20">
        <f t="shared" si="27"/>
        <v>45000</v>
      </c>
      <c r="J112" s="20">
        <f t="shared" si="28"/>
        <v>28518518</v>
      </c>
      <c r="K112" s="20">
        <v>1000</v>
      </c>
      <c r="L112" s="20"/>
      <c r="M112" s="14">
        <f t="shared" ref="M112" si="50">(F112*J112*((H112+I112)/2)/1000)^(1/2)/10*0.8</f>
        <v>2066126.7924268348</v>
      </c>
      <c r="N112" s="15">
        <v>1000</v>
      </c>
      <c r="O112" s="18">
        <v>8</v>
      </c>
      <c r="P112" s="16">
        <v>77000</v>
      </c>
      <c r="Q112" s="17" t="s">
        <v>94</v>
      </c>
      <c r="S112" s="18">
        <v>18000</v>
      </c>
      <c r="T112" s="18">
        <f t="shared" ref="T112" si="51">S112</f>
        <v>18000</v>
      </c>
    </row>
    <row r="113" spans="1:21" ht="16.5" x14ac:dyDescent="0.2">
      <c r="A113" s="19" t="str">
        <f t="shared" si="47"/>
        <v>10110611</v>
      </c>
      <c r="B113" s="29">
        <v>10</v>
      </c>
      <c r="C113" s="19">
        <v>1106</v>
      </c>
      <c r="D113" s="19"/>
      <c r="E113" s="19">
        <v>1</v>
      </c>
      <c r="F113" s="20">
        <f t="shared" si="26"/>
        <v>540000</v>
      </c>
      <c r="G113" s="20">
        <f t="shared" si="26"/>
        <v>540000</v>
      </c>
      <c r="H113" s="20">
        <f t="shared" si="27"/>
        <v>37500</v>
      </c>
      <c r="I113" s="20">
        <f t="shared" si="27"/>
        <v>37500</v>
      </c>
      <c r="J113" s="20">
        <f t="shared" si="28"/>
        <v>29629629</v>
      </c>
      <c r="K113" s="20">
        <v>1000</v>
      </c>
      <c r="L113" s="20"/>
      <c r="M113" s="14">
        <f t="shared" si="48"/>
        <v>1959591.7734058795</v>
      </c>
      <c r="N113" s="15">
        <v>1000</v>
      </c>
      <c r="O113" s="18">
        <v>8</v>
      </c>
      <c r="P113" s="16">
        <v>80000</v>
      </c>
      <c r="Q113" s="17" t="s">
        <v>94</v>
      </c>
      <c r="S113" s="18">
        <v>15000</v>
      </c>
      <c r="T113" s="18">
        <f t="shared" si="46"/>
        <v>15000</v>
      </c>
    </row>
    <row r="114" spans="1:21" ht="16.5" x14ac:dyDescent="0.2">
      <c r="A114" s="19" t="str">
        <f t="shared" si="47"/>
        <v>10110711</v>
      </c>
      <c r="B114" s="29">
        <v>10</v>
      </c>
      <c r="C114" s="19">
        <v>1107</v>
      </c>
      <c r="D114" s="19"/>
      <c r="E114" s="19">
        <v>1</v>
      </c>
      <c r="F114" s="20">
        <f t="shared" si="26"/>
        <v>594000</v>
      </c>
      <c r="G114" s="20">
        <f t="shared" si="26"/>
        <v>594000</v>
      </c>
      <c r="H114" s="20">
        <f t="shared" si="27"/>
        <v>27500</v>
      </c>
      <c r="I114" s="20">
        <f t="shared" si="27"/>
        <v>27500</v>
      </c>
      <c r="J114" s="20">
        <f t="shared" si="28"/>
        <v>38016000</v>
      </c>
      <c r="K114" s="20">
        <v>1000</v>
      </c>
      <c r="L114" s="20"/>
      <c r="M114" s="14">
        <f t="shared" si="48"/>
        <v>1993575.8586018244</v>
      </c>
      <c r="N114" s="15">
        <v>1080</v>
      </c>
      <c r="O114" s="18">
        <v>8</v>
      </c>
      <c r="P114" s="16">
        <v>88000</v>
      </c>
      <c r="Q114" s="17" t="s">
        <v>94</v>
      </c>
      <c r="S114" s="18">
        <v>11000</v>
      </c>
      <c r="T114" s="18">
        <f t="shared" ref="T114" si="52">S114</f>
        <v>11000</v>
      </c>
    </row>
    <row r="115" spans="1:21" ht="16.5" x14ac:dyDescent="0.2">
      <c r="A115" s="19" t="str">
        <f t="shared" ref="A115" si="53">IF(B115="","",CONCATENATE(B115,CONCATENATE(REPT(0,4-LEN(C115)),C115),IF(OR(D115="Easy",D115=""),1,IF(D115="Normal",2,IF(D115="Hard",3,IF(D115="Hell",4,"error")))),E115))</f>
        <v>10110811</v>
      </c>
      <c r="B115" s="29">
        <v>10</v>
      </c>
      <c r="C115" s="19">
        <v>1108</v>
      </c>
      <c r="D115" s="19"/>
      <c r="E115" s="19">
        <v>1</v>
      </c>
      <c r="F115" s="20">
        <f t="shared" si="26"/>
        <v>648000</v>
      </c>
      <c r="G115" s="20">
        <f t="shared" si="26"/>
        <v>648000</v>
      </c>
      <c r="H115" s="20">
        <f t="shared" si="27"/>
        <v>25000</v>
      </c>
      <c r="I115" s="20">
        <f t="shared" si="27"/>
        <v>25000</v>
      </c>
      <c r="J115" s="20">
        <f t="shared" si="28"/>
        <v>43808000</v>
      </c>
      <c r="K115" s="20">
        <v>1000</v>
      </c>
      <c r="L115" s="20"/>
      <c r="M115" s="14">
        <f t="shared" ref="M115" si="54">(F115*J115*((H115+I115)/2)/1000)^(1/2)/10*0.8</f>
        <v>2131200</v>
      </c>
      <c r="N115" s="15">
        <v>1110</v>
      </c>
      <c r="O115" s="18">
        <v>8</v>
      </c>
      <c r="P115" s="16">
        <v>96000</v>
      </c>
      <c r="Q115" s="17" t="s">
        <v>94</v>
      </c>
      <c r="S115" s="18">
        <v>10000</v>
      </c>
      <c r="T115" s="18">
        <f t="shared" ref="T115" si="55">S115</f>
        <v>10000</v>
      </c>
    </row>
    <row r="116" spans="1:21" ht="20.25" x14ac:dyDescent="0.2">
      <c r="A116" s="19" t="str">
        <f t="shared" ref="A116" si="56">IF(B116="","",CONCATENATE(B116,CONCATENATE(REPT(0,2-LEN(C116)),C116),IF(OR(D116="Easy",D116=""),1,IF(D116="Normal",2,IF(D116="Hard",3,IF(D116="Hell",4,"error")))),E116))</f>
        <v/>
      </c>
      <c r="B116" s="27"/>
      <c r="C116" s="22" t="s">
        <v>87</v>
      </c>
      <c r="D116" s="21"/>
      <c r="E116" s="21"/>
      <c r="F116" s="21"/>
      <c r="G116" s="21"/>
      <c r="H116" s="21"/>
      <c r="I116" s="21"/>
      <c r="J116" s="21"/>
      <c r="K116" s="20"/>
      <c r="L116" s="21"/>
      <c r="M116" s="14"/>
      <c r="N116" s="21"/>
      <c r="O116" s="21"/>
      <c r="P116" s="21"/>
      <c r="Q116" s="21"/>
      <c r="R116" s="21"/>
      <c r="S116" s="23"/>
      <c r="U116" s="18"/>
    </row>
    <row r="117" spans="1:21" ht="16.5" x14ac:dyDescent="0.2">
      <c r="A117" s="19" t="str">
        <f t="shared" ref="A117:A119" si="57">IF(B117="","",CONCATENATE(B117,CONCATENATE(REPT(0,4-LEN(C117)),C117),IF(OR(D117="Easy",D117=""),1,IF(D117="Normal",2,IF(D117="Hard",3,IF(D117="Hell",4,"error")))),E117))</f>
        <v>10120011</v>
      </c>
      <c r="B117" s="29">
        <v>10</v>
      </c>
      <c r="C117" s="19">
        <v>1200</v>
      </c>
      <c r="D117" s="19"/>
      <c r="E117" s="19">
        <v>1</v>
      </c>
      <c r="F117" s="20">
        <f t="shared" ref="F117:G117" si="58">ROUNDDOWN($P117/4*$O117*10*$N117/$N117*$Q117/400,0)</f>
        <v>875000</v>
      </c>
      <c r="G117" s="20">
        <f t="shared" si="58"/>
        <v>875000</v>
      </c>
      <c r="H117" s="20">
        <f t="shared" ref="H117:I117" si="59">ROUNDDOWN($S117/4*10,0)</f>
        <v>200000</v>
      </c>
      <c r="I117" s="20">
        <f t="shared" si="59"/>
        <v>200000</v>
      </c>
      <c r="J117" s="20">
        <f t="shared" ref="J117" si="60">ROUNDDOWN($P117/4*$O117*10*$N117/$Q117*$N117/400,0)</f>
        <v>17718750</v>
      </c>
      <c r="K117" s="20">
        <v>1000</v>
      </c>
      <c r="L117" s="20"/>
      <c r="M117" s="14">
        <f t="shared" ref="M117" si="61">(F117*J117*((H117+I117)/2)/1000)^(1/2)/10*0.8</f>
        <v>4454772.7214752501</v>
      </c>
      <c r="N117" s="15">
        <v>900</v>
      </c>
      <c r="O117" s="18">
        <v>7</v>
      </c>
      <c r="P117" s="16">
        <v>100000</v>
      </c>
      <c r="Q117" s="17" t="s">
        <v>95</v>
      </c>
      <c r="S117" s="18">
        <v>80000</v>
      </c>
      <c r="T117" s="18">
        <f t="shared" ref="T117" si="62">S117</f>
        <v>80000</v>
      </c>
      <c r="U117" s="18"/>
    </row>
    <row r="118" spans="1:21" ht="15.75" customHeight="1" x14ac:dyDescent="0.2">
      <c r="A118" s="19" t="str">
        <f t="shared" si="57"/>
        <v>10120012</v>
      </c>
      <c r="B118" s="29">
        <v>10</v>
      </c>
      <c r="C118" s="19">
        <v>1200</v>
      </c>
      <c r="D118" s="19"/>
      <c r="E118" s="19">
        <v>2</v>
      </c>
      <c r="F118" s="20">
        <f>ROUNDDOWN($P118/4*$O118*10*$N118/$N118*$Q118/400,0)</f>
        <v>459375</v>
      </c>
      <c r="G118" s="20">
        <f>ROUNDDOWN($P118/4*$O118*10*$N118/$N118*$Q118/400,0)</f>
        <v>459375</v>
      </c>
      <c r="H118" s="20">
        <f>ROUNDDOWN($S118/4*10,0)</f>
        <v>37500</v>
      </c>
      <c r="I118" s="20">
        <f>ROUNDDOWN($S118/4*10,0)</f>
        <v>37500</v>
      </c>
      <c r="J118" s="20">
        <f>ROUNDDOWN($P118/4*$O118*10*$N118/$Q118*$N118/400,0)</f>
        <v>2871093</v>
      </c>
      <c r="K118" s="20">
        <v>1000</v>
      </c>
      <c r="L118" s="20"/>
      <c r="M118" s="14">
        <f>(F118*J118*((H118+I118)/2)/1000)^(1/2)/10*0.8</f>
        <v>562617.10181081411</v>
      </c>
      <c r="N118" s="15">
        <v>750</v>
      </c>
      <c r="O118" s="18">
        <v>7</v>
      </c>
      <c r="P118" s="16">
        <v>35000</v>
      </c>
      <c r="Q118" s="17" t="s">
        <v>96</v>
      </c>
      <c r="R118" s="2" t="s">
        <v>88</v>
      </c>
      <c r="S118" s="18">
        <v>15000</v>
      </c>
      <c r="T118" s="18">
        <f>S118</f>
        <v>15000</v>
      </c>
      <c r="U118" s="18"/>
    </row>
    <row r="119" spans="1:21" ht="15.75" customHeight="1" x14ac:dyDescent="0.2">
      <c r="A119" s="19" t="str">
        <f t="shared" si="57"/>
        <v>10120013</v>
      </c>
      <c r="B119" s="29">
        <v>10</v>
      </c>
      <c r="C119" s="19">
        <v>1200</v>
      </c>
      <c r="D119" s="19"/>
      <c r="E119" s="19">
        <v>3</v>
      </c>
      <c r="F119" s="20">
        <f>ROUNDDOWN($P119/4*$O119*10*$N119/$N119*$Q119/400,0)</f>
        <v>459375</v>
      </c>
      <c r="G119" s="20">
        <f>ROUNDDOWN($P119/4*$O119*10*$N119/$N119*$Q119/400,0)</f>
        <v>459375</v>
      </c>
      <c r="H119" s="20">
        <f>ROUNDDOWN($S119/4*10,0)</f>
        <v>37500</v>
      </c>
      <c r="I119" s="20">
        <f>ROUNDDOWN($S119/4*10,0)</f>
        <v>37500</v>
      </c>
      <c r="J119" s="20">
        <f>ROUNDDOWN($P119/4*$O119*10*$N119/$Q119*$N119/400,0)</f>
        <v>2501041</v>
      </c>
      <c r="K119" s="20">
        <v>1000</v>
      </c>
      <c r="L119" s="20"/>
      <c r="M119" s="14">
        <f>(F119*J119*((H119+I119)/2)/1000)^(1/2)/10*0.8</f>
        <v>525109.29362371785</v>
      </c>
      <c r="N119" s="15">
        <v>700</v>
      </c>
      <c r="O119" s="18">
        <v>7</v>
      </c>
      <c r="P119" s="16">
        <v>35000</v>
      </c>
      <c r="Q119" s="17" t="s">
        <v>96</v>
      </c>
      <c r="R119" s="2" t="s">
        <v>90</v>
      </c>
      <c r="S119" s="18">
        <v>15000</v>
      </c>
      <c r="T119" s="18">
        <f>S119</f>
        <v>15000</v>
      </c>
      <c r="U119" s="18"/>
    </row>
    <row r="120" spans="1:21" ht="16.5" x14ac:dyDescent="0.2">
      <c r="A120" s="19" t="str">
        <f t="shared" ref="A120:A140" si="63">IF(B120="","",CONCATENATE(B120,CONCATENATE(REPT(0,4-LEN(C120)),C120),IF(OR(D120="Easy",D120=""),1,IF(D120="Normal",2,IF(D120="Hard",3,IF(D120="Hell",4,"error")))),E120))</f>
        <v>10120111</v>
      </c>
      <c r="B120" s="29">
        <v>10</v>
      </c>
      <c r="C120" s="19">
        <v>1201</v>
      </c>
      <c r="D120" s="19"/>
      <c r="E120" s="19">
        <v>1</v>
      </c>
      <c r="F120" s="20">
        <f t="shared" ref="F120:G141" si="64">ROUNDDOWN($P120/4*$O120*10*$N120/$N120*$Q120/400,0)</f>
        <v>962500</v>
      </c>
      <c r="G120" s="20">
        <f t="shared" si="64"/>
        <v>962500</v>
      </c>
      <c r="H120" s="20">
        <f t="shared" ref="H120:I141" si="65">ROUNDDOWN($S120/4*10,0)</f>
        <v>200000</v>
      </c>
      <c r="I120" s="20">
        <f t="shared" si="65"/>
        <v>200000</v>
      </c>
      <c r="J120" s="20">
        <f t="shared" ref="J120:J143" si="66">ROUNDDOWN($P120/4*$O120*10*$N120/$Q120*$N120/400,0)</f>
        <v>21716406</v>
      </c>
      <c r="K120" s="20">
        <v>1000</v>
      </c>
      <c r="L120" s="20"/>
      <c r="M120" s="14">
        <f t="shared" ref="M120" si="67">(F120*J120*((H120+I120)/2)/1000)^(1/2)/10*0.8</f>
        <v>5172486.0746066784</v>
      </c>
      <c r="N120" s="15">
        <v>950</v>
      </c>
      <c r="O120" s="18">
        <v>7</v>
      </c>
      <c r="P120" s="16">
        <v>110000</v>
      </c>
      <c r="Q120" s="17" t="s">
        <v>95</v>
      </c>
      <c r="S120" s="18">
        <v>80000</v>
      </c>
      <c r="T120" s="18">
        <f t="shared" ref="T120" si="68">S120</f>
        <v>80000</v>
      </c>
      <c r="U120" s="18"/>
    </row>
    <row r="121" spans="1:21" ht="15.75" customHeight="1" x14ac:dyDescent="0.2">
      <c r="A121" s="19" t="str">
        <f t="shared" si="63"/>
        <v>10120112</v>
      </c>
      <c r="B121" s="29">
        <v>10</v>
      </c>
      <c r="C121" s="19">
        <v>1201</v>
      </c>
      <c r="D121" s="19"/>
      <c r="E121" s="19">
        <v>2</v>
      </c>
      <c r="F121" s="20">
        <f>ROUNDDOWN($P121/4*$O121*10*$N121/$N121*$Q121/400,0)</f>
        <v>525000</v>
      </c>
      <c r="G121" s="20">
        <f>ROUNDDOWN($P121/4*$O121*10*$N121/$N121*$Q121/400,0)</f>
        <v>525000</v>
      </c>
      <c r="H121" s="20">
        <f>ROUNDDOWN($S121/4*10,0)</f>
        <v>37500</v>
      </c>
      <c r="I121" s="20">
        <f>ROUNDDOWN($S121/4*10,0)</f>
        <v>37500</v>
      </c>
      <c r="J121" s="20">
        <f>ROUNDDOWN($P121/4*$O121*10*$N121/$Q121*$N121/400,0)</f>
        <v>3733333</v>
      </c>
      <c r="K121" s="20">
        <v>1000</v>
      </c>
      <c r="L121" s="20"/>
      <c r="M121" s="14">
        <f>(F121*J121*((H121+I121)/2)/1000)^(1/2)/10*0.8</f>
        <v>685857.09736066742</v>
      </c>
      <c r="N121" s="15">
        <v>800</v>
      </c>
      <c r="O121" s="18">
        <v>7</v>
      </c>
      <c r="P121" s="16">
        <v>40000</v>
      </c>
      <c r="Q121" s="17" t="s">
        <v>96</v>
      </c>
      <c r="R121" s="2" t="s">
        <v>88</v>
      </c>
      <c r="S121" s="18">
        <v>15000</v>
      </c>
      <c r="T121" s="18">
        <f>S121</f>
        <v>15000</v>
      </c>
      <c r="U121" s="18"/>
    </row>
    <row r="122" spans="1:21" ht="15.75" customHeight="1" x14ac:dyDescent="0.2">
      <c r="A122" s="19" t="str">
        <f t="shared" si="63"/>
        <v>10120113</v>
      </c>
      <c r="B122" s="29">
        <v>10</v>
      </c>
      <c r="C122" s="19">
        <v>1201</v>
      </c>
      <c r="D122" s="19"/>
      <c r="E122" s="19">
        <v>3</v>
      </c>
      <c r="F122" s="20">
        <f>ROUNDDOWN($P122/4*$O122*10*$N122/$N122*$Q122/400,0)</f>
        <v>525000</v>
      </c>
      <c r="G122" s="20">
        <f>ROUNDDOWN($P122/4*$O122*10*$N122/$N122*$Q122/400,0)</f>
        <v>525000</v>
      </c>
      <c r="H122" s="20">
        <f>ROUNDDOWN($S122/4*10,0)</f>
        <v>37500</v>
      </c>
      <c r="I122" s="20">
        <f>ROUNDDOWN($S122/4*10,0)</f>
        <v>37500</v>
      </c>
      <c r="J122" s="20">
        <f>ROUNDDOWN($P122/4*$O122*10*$N122/$Q122*$N122/400,0)</f>
        <v>2464583</v>
      </c>
      <c r="K122" s="20">
        <v>1000</v>
      </c>
      <c r="L122" s="20"/>
      <c r="M122" s="14">
        <f>(F122*J122*((H122+I122)/2)/1000)^(1/2)/10*0.8</f>
        <v>557258.87879871414</v>
      </c>
      <c r="N122" s="15">
        <v>650</v>
      </c>
      <c r="O122" s="18">
        <v>7</v>
      </c>
      <c r="P122" s="16">
        <v>40000</v>
      </c>
      <c r="Q122" s="17" t="s">
        <v>96</v>
      </c>
      <c r="R122" s="2" t="s">
        <v>90</v>
      </c>
      <c r="S122" s="18">
        <v>15000</v>
      </c>
      <c r="T122" s="18">
        <f>S122</f>
        <v>15000</v>
      </c>
      <c r="U122" s="18"/>
    </row>
    <row r="123" spans="1:21" ht="16.5" x14ac:dyDescent="0.2">
      <c r="A123" s="19" t="str">
        <f t="shared" si="63"/>
        <v>10120211</v>
      </c>
      <c r="B123" s="29">
        <v>10</v>
      </c>
      <c r="C123" s="19">
        <v>1202</v>
      </c>
      <c r="D123" s="19"/>
      <c r="E123" s="19">
        <v>1</v>
      </c>
      <c r="F123" s="20">
        <f t="shared" si="64"/>
        <v>862625</v>
      </c>
      <c r="G123" s="20">
        <f t="shared" si="64"/>
        <v>862625</v>
      </c>
      <c r="H123" s="20">
        <f t="shared" si="65"/>
        <v>162500</v>
      </c>
      <c r="I123" s="20">
        <f t="shared" si="65"/>
        <v>162500</v>
      </c>
      <c r="J123" s="20">
        <f t="shared" si="66"/>
        <v>19462976</v>
      </c>
      <c r="K123" s="20">
        <v>1000</v>
      </c>
      <c r="L123" s="20"/>
      <c r="M123" s="14">
        <f t="shared" ref="M123:M140" si="69">(F123*J123*((H123+I123)/2)/1000)^(1/2)/10*0.8</f>
        <v>4178614.5621342007</v>
      </c>
      <c r="N123" s="15">
        <v>950</v>
      </c>
      <c r="O123" s="18">
        <v>6.7</v>
      </c>
      <c r="P123" s="16">
        <v>103000</v>
      </c>
      <c r="Q123" s="17" t="s">
        <v>95</v>
      </c>
      <c r="S123" s="18">
        <v>65000</v>
      </c>
      <c r="T123" s="18">
        <f t="shared" ref="T123:T140" si="70">S123</f>
        <v>65000</v>
      </c>
      <c r="U123" s="18"/>
    </row>
    <row r="124" spans="1:21" ht="16.5" x14ac:dyDescent="0.2">
      <c r="A124" s="19" t="str">
        <f>IF(B124="","",CONCATENATE(B124,CONCATENATE(REPT(0,4-LEN(C124)),C124),IF(OR(D124="Easy",D124=""),1,IF(D124="Normal",2,IF(D124="Hard",3,IF(D124="Hell",4,"error")))),E124))</f>
        <v>10120212</v>
      </c>
      <c r="B124" s="29">
        <v>10</v>
      </c>
      <c r="C124" s="19">
        <v>1202</v>
      </c>
      <c r="D124" s="19"/>
      <c r="E124" s="19">
        <v>2</v>
      </c>
      <c r="F124" s="20">
        <f>ROUNDDOWN($P124/4*$O124*10*$N124/$N124*$Q124/400,0)</f>
        <v>540187</v>
      </c>
      <c r="G124" s="20">
        <f>ROUNDDOWN($P124/4*$O124*10*$N124/$N124*$Q124/400,0)</f>
        <v>540187</v>
      </c>
      <c r="H124" s="20">
        <f>ROUNDDOWN($S124/4*10,0)</f>
        <v>35000</v>
      </c>
      <c r="I124" s="20">
        <f>ROUNDDOWN($S124/4*10,0)</f>
        <v>35000</v>
      </c>
      <c r="J124" s="20">
        <f>ROUNDDOWN($P124/4*$O124*10*$N124/$Q124*$N124/400,0)</f>
        <v>3376171</v>
      </c>
      <c r="K124" s="20">
        <v>1000</v>
      </c>
      <c r="L124" s="20"/>
      <c r="M124" s="14">
        <f>(F124*J124*((H124+I124)/2)/1000)^(1/2)/10*0.8</f>
        <v>639158.09093748312</v>
      </c>
      <c r="N124" s="15">
        <v>750</v>
      </c>
      <c r="O124" s="18">
        <v>6.7</v>
      </c>
      <c r="P124" s="16">
        <v>43000</v>
      </c>
      <c r="Q124" s="17" t="s">
        <v>96</v>
      </c>
      <c r="R124" s="2" t="s">
        <v>88</v>
      </c>
      <c r="S124" s="18">
        <v>14000</v>
      </c>
      <c r="T124" s="18">
        <f>S124</f>
        <v>14000</v>
      </c>
      <c r="U124" s="18"/>
    </row>
    <row r="125" spans="1:21" ht="16.5" x14ac:dyDescent="0.2">
      <c r="A125" s="19" t="str">
        <f>IF(B125="","",CONCATENATE(B125,CONCATENATE(REPT(0,4-LEN(C125)),C125),IF(OR(D125="Easy",D125=""),1,IF(D125="Normal",2,IF(D125="Hard",3,IF(D125="Hell",4,"error")))),E125))</f>
        <v>10120213</v>
      </c>
      <c r="B125" s="29">
        <v>10</v>
      </c>
      <c r="C125" s="19">
        <v>1202</v>
      </c>
      <c r="D125" s="19"/>
      <c r="E125" s="19">
        <v>3</v>
      </c>
      <c r="F125" s="20">
        <f>ROUNDDOWN($P125/4*$O125*10*$N125/$N125*$Q125/400,0)</f>
        <v>540187</v>
      </c>
      <c r="G125" s="20">
        <f>ROUNDDOWN($P125/4*$O125*10*$N125/$N125*$Q125/400,0)</f>
        <v>540187</v>
      </c>
      <c r="H125" s="20">
        <f>ROUNDDOWN($S125/4*10,0)</f>
        <v>35000</v>
      </c>
      <c r="I125" s="20">
        <f>ROUNDDOWN($S125/4*10,0)</f>
        <v>35000</v>
      </c>
      <c r="J125" s="20">
        <f>ROUNDDOWN($P125/4*$O125*10*$N125/$Q125*$N125/400,0)</f>
        <v>2160750</v>
      </c>
      <c r="K125" s="20">
        <v>1000</v>
      </c>
      <c r="L125" s="20"/>
      <c r="M125" s="14">
        <f>(F125*J125*((H125+I125)/2)/1000)^(1/2)/10*0.8</f>
        <v>511326.53901005373</v>
      </c>
      <c r="N125" s="15">
        <v>600</v>
      </c>
      <c r="O125" s="18">
        <v>6.7</v>
      </c>
      <c r="P125" s="16">
        <v>43000</v>
      </c>
      <c r="Q125" s="17" t="s">
        <v>96</v>
      </c>
      <c r="R125" s="2" t="s">
        <v>90</v>
      </c>
      <c r="S125" s="18">
        <v>14000</v>
      </c>
      <c r="T125" s="18">
        <f>S125</f>
        <v>14000</v>
      </c>
      <c r="U125" s="18"/>
    </row>
    <row r="126" spans="1:21" ht="16.5" x14ac:dyDescent="0.2">
      <c r="A126" s="19" t="str">
        <f t="shared" ref="A126" si="71">IF(B126="","",CONCATENATE(B126,CONCATENATE(REPT(0,4-LEN(C126)),C126),IF(OR(D126="Easy",D126=""),1,IF(D126="Normal",2,IF(D126="Hard",3,IF(D126="Hell",4,"error")))),E126))</f>
        <v>10120311</v>
      </c>
      <c r="B126" s="29">
        <v>10</v>
      </c>
      <c r="C126" s="19">
        <v>1203</v>
      </c>
      <c r="D126" s="19"/>
      <c r="E126" s="19">
        <v>1</v>
      </c>
      <c r="F126" s="20">
        <f t="shared" si="64"/>
        <v>756437</v>
      </c>
      <c r="G126" s="20">
        <f t="shared" si="64"/>
        <v>756437</v>
      </c>
      <c r="H126" s="20">
        <f t="shared" si="65"/>
        <v>125000</v>
      </c>
      <c r="I126" s="20">
        <f t="shared" si="65"/>
        <v>125000</v>
      </c>
      <c r="J126" s="20">
        <f t="shared" si="66"/>
        <v>16972697</v>
      </c>
      <c r="K126" s="20">
        <v>1000</v>
      </c>
      <c r="L126" s="20"/>
      <c r="M126" s="14">
        <f t="shared" ref="M126" si="72">(F126*J126*((H126+I126)/2)/1000)^(1/2)/10*0.8</f>
        <v>3204843.334778036</v>
      </c>
      <c r="N126" s="15">
        <v>900</v>
      </c>
      <c r="O126" s="18">
        <v>6.5</v>
      </c>
      <c r="P126" s="16">
        <v>98000</v>
      </c>
      <c r="Q126" s="17" t="s">
        <v>97</v>
      </c>
      <c r="S126" s="18">
        <v>50000</v>
      </c>
      <c r="T126" s="18">
        <f t="shared" ref="T126" si="73">S126</f>
        <v>50000</v>
      </c>
      <c r="U126" s="18"/>
    </row>
    <row r="127" spans="1:21" ht="16.5" x14ac:dyDescent="0.2">
      <c r="A127" s="19" t="str">
        <f>IF(B127="","",CONCATENATE(B127,CONCATENATE(REPT(0,4-LEN(C127)),C127),IF(OR(D127="Easy",D127=""),1,IF(D127="Normal",2,IF(D127="Hard",3,IF(D127="Hell",4,"error")))),E127))</f>
        <v>10120312</v>
      </c>
      <c r="B127" s="29">
        <v>10</v>
      </c>
      <c r="C127" s="19">
        <v>1203</v>
      </c>
      <c r="D127" s="19"/>
      <c r="E127" s="19">
        <v>2</v>
      </c>
      <c r="F127" s="20">
        <f>ROUNDDOWN($P127/4*$O127*10*$N127/$N127*$Q127/400,0)</f>
        <v>548437</v>
      </c>
      <c r="G127" s="20">
        <f>ROUNDDOWN($P127/4*$O127*10*$N127/$N127*$Q127/400,0)</f>
        <v>548437</v>
      </c>
      <c r="H127" s="20">
        <f>ROUNDDOWN($S127/4*10,0)</f>
        <v>28750</v>
      </c>
      <c r="I127" s="20">
        <f>ROUNDDOWN($S127/4*10,0)</f>
        <v>28750</v>
      </c>
      <c r="J127" s="20">
        <f>ROUNDDOWN($P127/4*$O127*10*$N127/$Q127*$N127/400,0)</f>
        <v>2985937</v>
      </c>
      <c r="K127" s="20">
        <v>1000</v>
      </c>
      <c r="L127" s="20"/>
      <c r="M127" s="14">
        <f>(F127*J127*((H127+I127)/2)/1000)^(1/2)/10*0.8</f>
        <v>548924.48734438512</v>
      </c>
      <c r="N127" s="15">
        <v>700</v>
      </c>
      <c r="O127" s="18">
        <v>6.5</v>
      </c>
      <c r="P127" s="16">
        <v>45000</v>
      </c>
      <c r="Q127" s="17" t="s">
        <v>96</v>
      </c>
      <c r="R127" s="2" t="s">
        <v>88</v>
      </c>
      <c r="S127" s="18">
        <v>11500</v>
      </c>
      <c r="T127" s="18">
        <f>S127</f>
        <v>11500</v>
      </c>
      <c r="U127" s="18"/>
    </row>
    <row r="128" spans="1:21" ht="16.5" x14ac:dyDescent="0.2">
      <c r="A128" s="19" t="str">
        <f>IF(B128="","",CONCATENATE(B128,CONCATENATE(REPT(0,4-LEN(C128)),C128),IF(OR(D128="Easy",D128=""),1,IF(D128="Normal",2,IF(D128="Hard",3,IF(D128="Hell",4,"error")))),E128))</f>
        <v>10120313</v>
      </c>
      <c r="B128" s="29">
        <v>10</v>
      </c>
      <c r="C128" s="19">
        <v>1203</v>
      </c>
      <c r="D128" s="19"/>
      <c r="E128" s="19">
        <v>3</v>
      </c>
      <c r="F128" s="20">
        <f>ROUNDDOWN($P128/4*$O128*10*$N128/$N128*$Q128/400,0)</f>
        <v>548437</v>
      </c>
      <c r="G128" s="20">
        <f>ROUNDDOWN($P128/4*$O128*10*$N128/$N128*$Q128/400,0)</f>
        <v>548437</v>
      </c>
      <c r="H128" s="20">
        <f>ROUNDDOWN($S128/4*10,0)</f>
        <v>28750</v>
      </c>
      <c r="I128" s="20">
        <f>ROUNDDOWN($S128/4*10,0)</f>
        <v>28750</v>
      </c>
      <c r="J128" s="20">
        <f>ROUNDDOWN($P128/4*$O128*10*$N128/$Q128*$N128/400,0)</f>
        <v>2049937</v>
      </c>
      <c r="K128" s="20">
        <v>1000</v>
      </c>
      <c r="L128" s="20"/>
      <c r="M128" s="14">
        <f>(F128*J128*((H128+I128)/2)/1000)^(1/2)/10*0.8</f>
        <v>454823.12926927547</v>
      </c>
      <c r="N128" s="15">
        <v>580</v>
      </c>
      <c r="O128" s="18">
        <v>6.5</v>
      </c>
      <c r="P128" s="16">
        <v>45000</v>
      </c>
      <c r="Q128" s="17" t="s">
        <v>96</v>
      </c>
      <c r="R128" s="2" t="s">
        <v>90</v>
      </c>
      <c r="S128" s="18">
        <v>11500</v>
      </c>
      <c r="T128" s="18">
        <f>S128</f>
        <v>11500</v>
      </c>
      <c r="U128" s="18"/>
    </row>
    <row r="129" spans="1:21" ht="16.5" x14ac:dyDescent="0.2">
      <c r="A129" s="19" t="str">
        <f t="shared" ref="A129" si="74">IF(B129="","",CONCATENATE(B129,CONCATENATE(REPT(0,4-LEN(C129)),C129),IF(OR(D129="Easy",D129=""),1,IF(D129="Normal",2,IF(D129="Hard",3,IF(D129="Hell",4,"error")))),E129))</f>
        <v>10120411</v>
      </c>
      <c r="B129" s="29">
        <v>10</v>
      </c>
      <c r="C129" s="19">
        <v>1204</v>
      </c>
      <c r="D129" s="19"/>
      <c r="E129" s="19">
        <v>1</v>
      </c>
      <c r="F129" s="20">
        <f t="shared" si="64"/>
        <v>435750</v>
      </c>
      <c r="G129" s="20">
        <f t="shared" si="64"/>
        <v>435750</v>
      </c>
      <c r="H129" s="20">
        <f t="shared" si="65"/>
        <v>100000</v>
      </c>
      <c r="I129" s="20">
        <f t="shared" si="65"/>
        <v>100000</v>
      </c>
      <c r="J129" s="20">
        <f t="shared" si="66"/>
        <v>18008035</v>
      </c>
      <c r="K129" s="20">
        <v>1000</v>
      </c>
      <c r="L129" s="20"/>
      <c r="M129" s="14">
        <f t="shared" ref="M129" si="75">(F129*J129*((H129+I129)/2)/1000)^(1/2)/10*0.8</f>
        <v>2240999.9555555549</v>
      </c>
      <c r="N129" s="15">
        <v>900</v>
      </c>
      <c r="O129" s="18">
        <v>6</v>
      </c>
      <c r="P129" s="16">
        <v>83000</v>
      </c>
      <c r="Q129" s="17" t="s">
        <v>92</v>
      </c>
      <c r="S129" s="18">
        <v>40000</v>
      </c>
      <c r="T129" s="18">
        <f t="shared" ref="T129" si="76">S129</f>
        <v>40000</v>
      </c>
      <c r="U129" s="18"/>
    </row>
    <row r="130" spans="1:21" ht="16.5" x14ac:dyDescent="0.2">
      <c r="A130" s="19" t="str">
        <f>IF(B130="","",CONCATENATE(B130,CONCATENATE(REPT(0,4-LEN(C130)),C130),IF(OR(D130="Easy",D130=""),1,IF(D130="Normal",2,IF(D130="Hard",3,IF(D130="Hell",4,"error")))),E130))</f>
        <v>10120412</v>
      </c>
      <c r="B130" s="29">
        <v>10</v>
      </c>
      <c r="C130" s="19">
        <v>1204</v>
      </c>
      <c r="D130" s="19"/>
      <c r="E130" s="19">
        <v>2</v>
      </c>
      <c r="F130" s="20">
        <f>ROUNDDOWN($P130/4*$O130*10*$N130/$N130*$Q130/400,0)</f>
        <v>433125</v>
      </c>
      <c r="G130" s="20">
        <f>ROUNDDOWN($P130/4*$O130*10*$N130/$N130*$Q130/400,0)</f>
        <v>433125</v>
      </c>
      <c r="H130" s="20">
        <f>ROUNDDOWN($S130/4*10,0)</f>
        <v>22500</v>
      </c>
      <c r="I130" s="20">
        <f>ROUNDDOWN($S130/4*10,0)</f>
        <v>22500</v>
      </c>
      <c r="J130" s="20">
        <f>ROUNDDOWN($P130/4*$O130*10*$N130/$Q130*$N130/400,0)</f>
        <v>2273154</v>
      </c>
      <c r="K130" s="20">
        <v>1000</v>
      </c>
      <c r="L130" s="20"/>
      <c r="M130" s="14">
        <f>(F130*J130*((H130+I130)/2)/1000)^(1/2)/10*0.8</f>
        <v>376532.35582085117</v>
      </c>
      <c r="N130" s="15">
        <v>630</v>
      </c>
      <c r="O130" s="18">
        <v>6</v>
      </c>
      <c r="P130" s="16">
        <v>42000</v>
      </c>
      <c r="Q130" s="17" t="s">
        <v>98</v>
      </c>
      <c r="R130" s="2" t="s">
        <v>88</v>
      </c>
      <c r="S130" s="18">
        <v>9000</v>
      </c>
      <c r="T130" s="18">
        <f>S130</f>
        <v>9000</v>
      </c>
      <c r="U130" s="18"/>
    </row>
    <row r="131" spans="1:21" ht="16.5" x14ac:dyDescent="0.2">
      <c r="A131" s="19" t="str">
        <f>IF(B131="","",CONCATENATE(B131,CONCATENATE(REPT(0,4-LEN(C131)),C131),IF(OR(D131="Easy",D131=""),1,IF(D131="Normal",2,IF(D131="Hard",3,IF(D131="Hell",4,"error")))),E131))</f>
        <v>10120413</v>
      </c>
      <c r="B131" s="29">
        <v>10</v>
      </c>
      <c r="C131" s="19">
        <v>1204</v>
      </c>
      <c r="D131" s="19"/>
      <c r="E131" s="19">
        <v>3</v>
      </c>
      <c r="F131" s="20">
        <f>ROUNDDOWN($P131/4*$O131*10*$N131/$N131*$Q131/400,0)</f>
        <v>433125</v>
      </c>
      <c r="G131" s="20">
        <f>ROUNDDOWN($P131/4*$O131*10*$N131/$N131*$Q131/400,0)</f>
        <v>433125</v>
      </c>
      <c r="H131" s="20">
        <f>ROUNDDOWN($S131/4*10,0)</f>
        <v>22500</v>
      </c>
      <c r="I131" s="20">
        <f>ROUNDDOWN($S131/4*10,0)</f>
        <v>22500</v>
      </c>
      <c r="J131" s="20">
        <f>ROUNDDOWN($P131/4*$O131*10*$N131/$Q131*$N131/400,0)</f>
        <v>1319563</v>
      </c>
      <c r="K131" s="20">
        <v>1000</v>
      </c>
      <c r="L131" s="20"/>
      <c r="M131" s="14">
        <f>(F131*J131*((H131+I131)/2)/1000)^(1/2)/10*0.8</f>
        <v>286881.76015564328</v>
      </c>
      <c r="N131" s="15">
        <v>480</v>
      </c>
      <c r="O131" s="18">
        <v>6</v>
      </c>
      <c r="P131" s="16">
        <v>42000</v>
      </c>
      <c r="Q131" s="17" t="s">
        <v>98</v>
      </c>
      <c r="R131" s="2" t="s">
        <v>90</v>
      </c>
      <c r="S131" s="18">
        <v>9000</v>
      </c>
      <c r="T131" s="18">
        <f>S131</f>
        <v>9000</v>
      </c>
      <c r="U131" s="18"/>
    </row>
    <row r="132" spans="1:21" ht="16.5" x14ac:dyDescent="0.2">
      <c r="A132" s="19" t="str">
        <f t="shared" si="63"/>
        <v>10120511</v>
      </c>
      <c r="B132" s="29">
        <v>10</v>
      </c>
      <c r="C132" s="19">
        <v>1205</v>
      </c>
      <c r="D132" s="19"/>
      <c r="E132" s="19">
        <v>1</v>
      </c>
      <c r="F132" s="20">
        <f t="shared" si="64"/>
        <v>445500</v>
      </c>
      <c r="G132" s="20">
        <f t="shared" si="64"/>
        <v>445500</v>
      </c>
      <c r="H132" s="20">
        <f t="shared" si="65"/>
        <v>92500</v>
      </c>
      <c r="I132" s="20">
        <f t="shared" si="65"/>
        <v>92500</v>
      </c>
      <c r="J132" s="20">
        <f t="shared" si="66"/>
        <v>19800000</v>
      </c>
      <c r="K132" s="20">
        <v>1000</v>
      </c>
      <c r="L132" s="20"/>
      <c r="M132" s="14">
        <f t="shared" si="69"/>
        <v>2285163.626526556</v>
      </c>
      <c r="N132" s="15">
        <v>900</v>
      </c>
      <c r="O132" s="18">
        <v>6</v>
      </c>
      <c r="P132" s="16">
        <v>88000</v>
      </c>
      <c r="Q132" s="17" t="s">
        <v>94</v>
      </c>
      <c r="S132" s="18">
        <v>37000</v>
      </c>
      <c r="T132" s="18">
        <f t="shared" si="70"/>
        <v>37000</v>
      </c>
      <c r="U132" s="18"/>
    </row>
    <row r="133" spans="1:21" ht="16.5" x14ac:dyDescent="0.2">
      <c r="A133" s="19" t="str">
        <f t="shared" si="63"/>
        <v>10120512</v>
      </c>
      <c r="B133" s="29">
        <v>10</v>
      </c>
      <c r="C133" s="19">
        <v>1205</v>
      </c>
      <c r="D133" s="19"/>
      <c r="E133" s="19">
        <v>2</v>
      </c>
      <c r="F133" s="20">
        <f t="shared" si="64"/>
        <v>431250</v>
      </c>
      <c r="G133" s="20">
        <f t="shared" si="64"/>
        <v>431250</v>
      </c>
      <c r="H133" s="20">
        <f t="shared" si="65"/>
        <v>17500</v>
      </c>
      <c r="I133" s="20">
        <f t="shared" si="65"/>
        <v>17500</v>
      </c>
      <c r="J133" s="20">
        <f t="shared" si="66"/>
        <v>2321160</v>
      </c>
      <c r="K133" s="20">
        <v>1000</v>
      </c>
      <c r="L133" s="20"/>
      <c r="M133" s="14">
        <f t="shared" si="69"/>
        <v>334831.34261893708</v>
      </c>
      <c r="N133" s="15">
        <v>580</v>
      </c>
      <c r="O133" s="18">
        <v>6</v>
      </c>
      <c r="P133" s="16">
        <v>46000</v>
      </c>
      <c r="Q133" s="17" t="s">
        <v>89</v>
      </c>
      <c r="R133" s="2" t="s">
        <v>88</v>
      </c>
      <c r="S133" s="18">
        <v>7000</v>
      </c>
      <c r="T133" s="18">
        <f t="shared" si="70"/>
        <v>7000</v>
      </c>
      <c r="U133" s="18"/>
    </row>
    <row r="134" spans="1:21" ht="16.5" x14ac:dyDescent="0.2">
      <c r="A134" s="19" t="str">
        <f t="shared" si="63"/>
        <v>10120513</v>
      </c>
      <c r="B134" s="29">
        <v>10</v>
      </c>
      <c r="C134" s="19">
        <v>1205</v>
      </c>
      <c r="D134" s="19"/>
      <c r="E134" s="19">
        <v>3</v>
      </c>
      <c r="F134" s="20">
        <f t="shared" si="64"/>
        <v>431250</v>
      </c>
      <c r="G134" s="20">
        <f t="shared" si="64"/>
        <v>431250</v>
      </c>
      <c r="H134" s="20">
        <f t="shared" si="65"/>
        <v>17500</v>
      </c>
      <c r="I134" s="20">
        <f t="shared" si="65"/>
        <v>17500</v>
      </c>
      <c r="J134" s="20">
        <f t="shared" si="66"/>
        <v>1589760</v>
      </c>
      <c r="K134" s="20">
        <v>1000</v>
      </c>
      <c r="L134" s="20"/>
      <c r="M134" s="14">
        <f t="shared" si="69"/>
        <v>277101.80078808585</v>
      </c>
      <c r="N134" s="15">
        <v>480</v>
      </c>
      <c r="O134" s="18">
        <v>6</v>
      </c>
      <c r="P134" s="16">
        <v>46000</v>
      </c>
      <c r="Q134" s="17" t="s">
        <v>89</v>
      </c>
      <c r="R134" s="2" t="s">
        <v>90</v>
      </c>
      <c r="S134" s="18">
        <v>7000</v>
      </c>
      <c r="T134" s="18">
        <f t="shared" si="70"/>
        <v>7000</v>
      </c>
      <c r="U134" s="18"/>
    </row>
    <row r="135" spans="1:21" ht="16.5" x14ac:dyDescent="0.2">
      <c r="A135" s="19" t="str">
        <f t="shared" ref="A135:A137" si="77">IF(B135="","",CONCATENATE(B135,CONCATENATE(REPT(0,4-LEN(C135)),C135),IF(OR(D135="Easy",D135=""),1,IF(D135="Normal",2,IF(D135="Hard",3,IF(D135="Hell",4,"error")))),E135))</f>
        <v>10120611</v>
      </c>
      <c r="B135" s="29">
        <v>10</v>
      </c>
      <c r="C135" s="19">
        <v>1206</v>
      </c>
      <c r="D135" s="19"/>
      <c r="E135" s="19">
        <v>1</v>
      </c>
      <c r="F135" s="20">
        <f t="shared" si="64"/>
        <v>425250</v>
      </c>
      <c r="G135" s="20">
        <f t="shared" si="64"/>
        <v>425250</v>
      </c>
      <c r="H135" s="20">
        <f t="shared" si="65"/>
        <v>92500</v>
      </c>
      <c r="I135" s="20">
        <f t="shared" si="65"/>
        <v>92500</v>
      </c>
      <c r="J135" s="20">
        <f t="shared" si="66"/>
        <v>18900000</v>
      </c>
      <c r="K135" s="20">
        <v>1000</v>
      </c>
      <c r="L135" s="20"/>
      <c r="M135" s="14">
        <f t="shared" ref="M135:M137" si="78">(F135*J135*((H135+I135)/2)/1000)^(1/2)/10*0.8</f>
        <v>2181292.5525935306</v>
      </c>
      <c r="N135" s="15">
        <v>900</v>
      </c>
      <c r="O135" s="18">
        <v>6</v>
      </c>
      <c r="P135" s="16">
        <v>84000</v>
      </c>
      <c r="Q135" s="17" t="s">
        <v>94</v>
      </c>
      <c r="S135" s="18">
        <v>37000</v>
      </c>
      <c r="T135" s="18">
        <f t="shared" ref="T135:T137" si="79">S135</f>
        <v>37000</v>
      </c>
      <c r="U135" s="18"/>
    </row>
    <row r="136" spans="1:21" ht="16.5" x14ac:dyDescent="0.2">
      <c r="A136" s="19" t="str">
        <f t="shared" si="77"/>
        <v>10120612</v>
      </c>
      <c r="B136" s="29">
        <v>10</v>
      </c>
      <c r="C136" s="19">
        <v>1206</v>
      </c>
      <c r="D136" s="19"/>
      <c r="E136" s="19">
        <v>2</v>
      </c>
      <c r="F136" s="20">
        <f t="shared" si="64"/>
        <v>407812</v>
      </c>
      <c r="G136" s="20">
        <f t="shared" si="64"/>
        <v>407812</v>
      </c>
      <c r="H136" s="20">
        <f t="shared" si="65"/>
        <v>17500</v>
      </c>
      <c r="I136" s="20">
        <f t="shared" si="65"/>
        <v>17500</v>
      </c>
      <c r="J136" s="20">
        <f t="shared" si="66"/>
        <v>2195010</v>
      </c>
      <c r="K136" s="20">
        <v>1000</v>
      </c>
      <c r="L136" s="20"/>
      <c r="M136" s="14">
        <f t="shared" si="78"/>
        <v>316633.79293663526</v>
      </c>
      <c r="N136" s="15">
        <v>580</v>
      </c>
      <c r="O136" s="18">
        <v>6</v>
      </c>
      <c r="P136" s="16">
        <v>43500</v>
      </c>
      <c r="Q136" s="17" t="s">
        <v>89</v>
      </c>
      <c r="R136" s="2" t="s">
        <v>88</v>
      </c>
      <c r="S136" s="18">
        <v>7000</v>
      </c>
      <c r="T136" s="18">
        <f t="shared" si="79"/>
        <v>7000</v>
      </c>
      <c r="U136" s="18"/>
    </row>
    <row r="137" spans="1:21" ht="16.5" x14ac:dyDescent="0.2">
      <c r="A137" s="19" t="str">
        <f t="shared" si="77"/>
        <v>10120613</v>
      </c>
      <c r="B137" s="29">
        <v>10</v>
      </c>
      <c r="C137" s="19">
        <v>1206</v>
      </c>
      <c r="D137" s="19"/>
      <c r="E137" s="19">
        <v>3</v>
      </c>
      <c r="F137" s="20">
        <f t="shared" si="64"/>
        <v>407812</v>
      </c>
      <c r="G137" s="20">
        <f t="shared" si="64"/>
        <v>407812</v>
      </c>
      <c r="H137" s="20">
        <f t="shared" si="65"/>
        <v>17500</v>
      </c>
      <c r="I137" s="20">
        <f t="shared" si="65"/>
        <v>17500</v>
      </c>
      <c r="J137" s="20">
        <f t="shared" si="66"/>
        <v>1503360</v>
      </c>
      <c r="K137" s="20">
        <v>1000</v>
      </c>
      <c r="L137" s="20"/>
      <c r="M137" s="14">
        <f t="shared" si="78"/>
        <v>262041.75967169815</v>
      </c>
      <c r="N137" s="15">
        <v>480</v>
      </c>
      <c r="O137" s="18">
        <v>6</v>
      </c>
      <c r="P137" s="16">
        <v>43500</v>
      </c>
      <c r="Q137" s="17" t="s">
        <v>89</v>
      </c>
      <c r="R137" s="2" t="s">
        <v>90</v>
      </c>
      <c r="S137" s="18">
        <v>7000</v>
      </c>
      <c r="T137" s="18">
        <f t="shared" si="79"/>
        <v>7000</v>
      </c>
      <c r="U137" s="18"/>
    </row>
    <row r="138" spans="1:21" ht="16.5" x14ac:dyDescent="0.2">
      <c r="A138" s="19" t="str">
        <f t="shared" si="63"/>
        <v>10120711</v>
      </c>
      <c r="B138" s="29">
        <v>10</v>
      </c>
      <c r="C138" s="19">
        <v>1207</v>
      </c>
      <c r="D138" s="19"/>
      <c r="E138" s="19">
        <v>1</v>
      </c>
      <c r="F138" s="20">
        <f t="shared" si="64"/>
        <v>419250</v>
      </c>
      <c r="G138" s="20">
        <f t="shared" si="64"/>
        <v>419250</v>
      </c>
      <c r="H138" s="20">
        <f t="shared" si="65"/>
        <v>85000</v>
      </c>
      <c r="I138" s="20">
        <f t="shared" si="65"/>
        <v>85000</v>
      </c>
      <c r="J138" s="20">
        <f t="shared" si="66"/>
        <v>20094230</v>
      </c>
      <c r="K138" s="20">
        <v>1000</v>
      </c>
      <c r="L138" s="20"/>
      <c r="M138" s="14">
        <f t="shared" si="69"/>
        <v>2140778.182007655</v>
      </c>
      <c r="N138" s="15">
        <v>900</v>
      </c>
      <c r="O138" s="18">
        <v>6</v>
      </c>
      <c r="P138" s="16">
        <v>86000</v>
      </c>
      <c r="Q138" s="17" t="s">
        <v>93</v>
      </c>
      <c r="S138" s="18">
        <v>34000</v>
      </c>
      <c r="T138" s="18">
        <f t="shared" si="70"/>
        <v>34000</v>
      </c>
      <c r="U138" s="18"/>
    </row>
    <row r="139" spans="1:21" ht="16.5" x14ac:dyDescent="0.2">
      <c r="A139" s="19" t="str">
        <f t="shared" si="63"/>
        <v>10120712</v>
      </c>
      <c r="B139" s="29">
        <v>10</v>
      </c>
      <c r="C139" s="19">
        <v>1207</v>
      </c>
      <c r="D139" s="19"/>
      <c r="E139" s="19">
        <v>2</v>
      </c>
      <c r="F139" s="20">
        <f t="shared" si="64"/>
        <v>421875</v>
      </c>
      <c r="G139" s="20">
        <f t="shared" si="64"/>
        <v>421875</v>
      </c>
      <c r="H139" s="20">
        <f t="shared" si="65"/>
        <v>13750</v>
      </c>
      <c r="I139" s="20">
        <f t="shared" si="65"/>
        <v>13750</v>
      </c>
      <c r="J139" s="20">
        <f t="shared" si="66"/>
        <v>2041875</v>
      </c>
      <c r="K139" s="20">
        <v>1000</v>
      </c>
      <c r="L139" s="20"/>
      <c r="M139" s="14">
        <f t="shared" si="69"/>
        <v>275326.3688334265</v>
      </c>
      <c r="N139" s="15">
        <v>550</v>
      </c>
      <c r="O139" s="18">
        <v>6</v>
      </c>
      <c r="P139" s="16">
        <v>45000</v>
      </c>
      <c r="Q139" s="17" t="s">
        <v>89</v>
      </c>
      <c r="R139" s="2" t="s">
        <v>88</v>
      </c>
      <c r="S139" s="18">
        <v>5500</v>
      </c>
      <c r="T139" s="18">
        <f t="shared" si="70"/>
        <v>5500</v>
      </c>
      <c r="U139" s="18"/>
    </row>
    <row r="140" spans="1:21" ht="16.5" x14ac:dyDescent="0.2">
      <c r="A140" s="19" t="str">
        <f t="shared" si="63"/>
        <v>10120713</v>
      </c>
      <c r="B140" s="29">
        <v>10</v>
      </c>
      <c r="C140" s="19">
        <v>1207</v>
      </c>
      <c r="D140" s="19"/>
      <c r="E140" s="19">
        <v>3</v>
      </c>
      <c r="F140" s="20">
        <f t="shared" si="64"/>
        <v>421875</v>
      </c>
      <c r="G140" s="20">
        <f t="shared" si="64"/>
        <v>421875</v>
      </c>
      <c r="H140" s="20">
        <f t="shared" si="65"/>
        <v>13750</v>
      </c>
      <c r="I140" s="20">
        <f t="shared" si="65"/>
        <v>13750</v>
      </c>
      <c r="J140" s="20">
        <f t="shared" si="66"/>
        <v>1366875</v>
      </c>
      <c r="K140" s="20">
        <v>1000</v>
      </c>
      <c r="L140" s="20"/>
      <c r="M140" s="14">
        <f t="shared" si="69"/>
        <v>225267.02904553074</v>
      </c>
      <c r="N140" s="15">
        <v>450</v>
      </c>
      <c r="O140" s="18">
        <v>6</v>
      </c>
      <c r="P140" s="16">
        <v>45000</v>
      </c>
      <c r="Q140" s="17" t="s">
        <v>89</v>
      </c>
      <c r="R140" s="2" t="s">
        <v>90</v>
      </c>
      <c r="S140" s="18">
        <v>5500</v>
      </c>
      <c r="T140" s="18">
        <f t="shared" si="70"/>
        <v>5500</v>
      </c>
      <c r="U140" s="18"/>
    </row>
    <row r="141" spans="1:21" ht="16.5" x14ac:dyDescent="0.2">
      <c r="A141" s="19" t="str">
        <f t="shared" ref="A141:A143" si="80">IF(B141="","",CONCATENATE(B141,CONCATENATE(REPT(0,4-LEN(C141)),C141),IF(OR(D141="Easy",D141=""),1,IF(D141="Normal",2,IF(D141="Hard",3,IF(D141="Hell",4,"error")))),E141))</f>
        <v>10120811</v>
      </c>
      <c r="B141" s="29">
        <v>10</v>
      </c>
      <c r="C141" s="19">
        <v>1208</v>
      </c>
      <c r="D141" s="19"/>
      <c r="E141" s="19">
        <v>1</v>
      </c>
      <c r="F141" s="20">
        <f t="shared" si="64"/>
        <v>438750</v>
      </c>
      <c r="G141" s="20">
        <f t="shared" si="64"/>
        <v>438750</v>
      </c>
      <c r="H141" s="20">
        <f t="shared" si="65"/>
        <v>80000</v>
      </c>
      <c r="I141" s="20">
        <f t="shared" si="65"/>
        <v>80000</v>
      </c>
      <c r="J141" s="20">
        <f t="shared" si="66"/>
        <v>21028846</v>
      </c>
      <c r="K141" s="20">
        <v>1000</v>
      </c>
      <c r="L141" s="20"/>
      <c r="M141" s="14">
        <f t="shared" ref="M141:M143" si="81">(F141*J141*((H141+I141)/2)/1000)^(1/2)/10*0.8</f>
        <v>2173458.0661793314</v>
      </c>
      <c r="N141" s="15">
        <v>900</v>
      </c>
      <c r="O141" s="18">
        <v>6</v>
      </c>
      <c r="P141" s="16">
        <v>90000</v>
      </c>
      <c r="Q141" s="17" t="s">
        <v>93</v>
      </c>
      <c r="S141" s="18">
        <v>32000</v>
      </c>
      <c r="T141" s="18">
        <f t="shared" ref="T141:T143" si="82">S141</f>
        <v>32000</v>
      </c>
      <c r="U141" s="18"/>
    </row>
    <row r="142" spans="1:21" ht="16.5" x14ac:dyDescent="0.2">
      <c r="A142" s="19" t="str">
        <f t="shared" si="80"/>
        <v>10120812</v>
      </c>
      <c r="B142" s="29">
        <v>10</v>
      </c>
      <c r="C142" s="19">
        <v>1208</v>
      </c>
      <c r="D142" s="19"/>
      <c r="E142" s="19">
        <v>2</v>
      </c>
      <c r="F142" s="20">
        <f t="shared" ref="F142:G143" si="83">ROUNDDOWN($P142/4*$O142*10*$N142/$N142*$Q142/400,0)</f>
        <v>440625</v>
      </c>
      <c r="G142" s="20">
        <f t="shared" si="83"/>
        <v>440625</v>
      </c>
      <c r="H142" s="20">
        <f t="shared" ref="H142:I143" si="84">ROUNDDOWN($S142/4*10,0)</f>
        <v>12500</v>
      </c>
      <c r="I142" s="20">
        <f t="shared" si="84"/>
        <v>12500</v>
      </c>
      <c r="J142" s="20">
        <f t="shared" si="66"/>
        <v>2132625</v>
      </c>
      <c r="K142" s="20">
        <v>1000</v>
      </c>
      <c r="L142" s="20"/>
      <c r="M142" s="14">
        <f t="shared" si="81"/>
        <v>274180.6544050838</v>
      </c>
      <c r="N142" s="15">
        <v>550</v>
      </c>
      <c r="O142" s="18">
        <v>6</v>
      </c>
      <c r="P142" s="16">
        <v>47000</v>
      </c>
      <c r="Q142" s="17" t="s">
        <v>89</v>
      </c>
      <c r="R142" s="2" t="s">
        <v>88</v>
      </c>
      <c r="S142" s="18">
        <v>5000</v>
      </c>
      <c r="T142" s="18">
        <f t="shared" si="82"/>
        <v>5000</v>
      </c>
      <c r="U142" s="18"/>
    </row>
    <row r="143" spans="1:21" ht="16.5" x14ac:dyDescent="0.2">
      <c r="A143" s="19" t="str">
        <f t="shared" si="80"/>
        <v>10120813</v>
      </c>
      <c r="B143" s="29">
        <v>10</v>
      </c>
      <c r="C143" s="19">
        <v>1208</v>
      </c>
      <c r="D143" s="19"/>
      <c r="E143" s="19">
        <v>3</v>
      </c>
      <c r="F143" s="20">
        <f t="shared" si="83"/>
        <v>440625</v>
      </c>
      <c r="G143" s="20">
        <f t="shared" si="83"/>
        <v>440625</v>
      </c>
      <c r="H143" s="20">
        <f t="shared" si="84"/>
        <v>12500</v>
      </c>
      <c r="I143" s="20">
        <f t="shared" si="84"/>
        <v>12500</v>
      </c>
      <c r="J143" s="20">
        <f t="shared" si="66"/>
        <v>1427625</v>
      </c>
      <c r="K143" s="20">
        <v>1000</v>
      </c>
      <c r="L143" s="20"/>
      <c r="M143" s="14">
        <f t="shared" si="81"/>
        <v>224329.62633143223</v>
      </c>
      <c r="N143" s="15">
        <v>450</v>
      </c>
      <c r="O143" s="18">
        <v>6</v>
      </c>
      <c r="P143" s="16">
        <v>47000</v>
      </c>
      <c r="Q143" s="17" t="s">
        <v>89</v>
      </c>
      <c r="R143" s="2" t="s">
        <v>90</v>
      </c>
      <c r="S143" s="18">
        <v>5000</v>
      </c>
      <c r="T143" s="18">
        <f t="shared" si="82"/>
        <v>5000</v>
      </c>
      <c r="U143" s="18"/>
    </row>
    <row r="144" spans="1:21" ht="20.25" x14ac:dyDescent="0.2">
      <c r="A144" s="19" t="str">
        <f t="shared" ref="A144" si="85">IF(B144="","",CONCATENATE(B144,CONCATENATE(REPT(0,2-LEN(C144)),C144),IF(OR(D144="Easy",D144=""),1,IF(D144="Normal",2,IF(D144="Hard",3,IF(D144="Hell",4,"error")))),E144))</f>
        <v/>
      </c>
      <c r="B144" s="27"/>
      <c r="C144" s="22" t="s">
        <v>117</v>
      </c>
      <c r="D144" s="21"/>
      <c r="E144" s="21"/>
      <c r="F144" s="21"/>
      <c r="G144" s="21"/>
      <c r="H144" s="21"/>
      <c r="I144" s="21"/>
      <c r="J144" s="21"/>
      <c r="K144" s="20"/>
      <c r="L144" s="21"/>
      <c r="M144" s="14"/>
      <c r="N144" s="21"/>
      <c r="O144" s="21"/>
      <c r="P144" s="21"/>
      <c r="Q144" s="21"/>
      <c r="R144" s="21"/>
      <c r="S144" s="23"/>
    </row>
    <row r="145" spans="1:20" ht="16.5" x14ac:dyDescent="0.2">
      <c r="A145" s="19" t="str">
        <f>IF(B145="","",CONCATENATE(B145,CONCATENATE(REPT(0,4-LEN(C145)),C145),IF(OR(D145="Easy",D145=""),1,IF(D145="Normal",2,IF(D145="Hard",3,IF(D145="Hell",4,"error")))),E145))</f>
        <v>10300111</v>
      </c>
      <c r="B145" s="29">
        <v>10</v>
      </c>
      <c r="C145" s="19">
        <v>3001</v>
      </c>
      <c r="D145" s="19"/>
      <c r="E145" s="19">
        <v>1</v>
      </c>
      <c r="F145" s="20">
        <f t="shared" ref="F145:G156" si="86">ROUNDDOWN($P145/4*$O145*10*$N145/$N145*$Q145/400,0)</f>
        <v>324187</v>
      </c>
      <c r="G145" s="20">
        <f t="shared" si="86"/>
        <v>324187</v>
      </c>
      <c r="H145" s="20">
        <f t="shared" ref="H145:I156" si="87">ROUNDDOWN($S145/4*10,0)</f>
        <v>22500</v>
      </c>
      <c r="I145" s="20">
        <f t="shared" si="87"/>
        <v>22500</v>
      </c>
      <c r="J145" s="20">
        <f t="shared" ref="J145:J156" si="88">ROUNDDOWN($P145/4*$O145*10*$N145/$Q145*$N145/400,0)</f>
        <v>29096052</v>
      </c>
      <c r="K145" s="20">
        <v>1000</v>
      </c>
      <c r="L145" s="20"/>
      <c r="M145" s="14">
        <f t="shared" ref="M145:M153" si="89">(F145*J145*((H145+I145)/2)/1000)^(1/2)/10*0.8</f>
        <v>1165456.5202530108</v>
      </c>
      <c r="N145" s="15">
        <v>1800</v>
      </c>
      <c r="O145" s="18">
        <v>10.5</v>
      </c>
      <c r="P145" s="16">
        <v>26000</v>
      </c>
      <c r="Q145" s="17" t="s">
        <v>97</v>
      </c>
      <c r="R145" s="36" t="s">
        <v>118</v>
      </c>
      <c r="S145" s="18">
        <v>9000</v>
      </c>
      <c r="T145" s="18">
        <f t="shared" ref="T145:T156" si="90">S145</f>
        <v>9000</v>
      </c>
    </row>
    <row r="146" spans="1:20" ht="16.5" x14ac:dyDescent="0.2">
      <c r="A146" s="19" t="str">
        <f>IF(B146="","",CONCATENATE(B146,CONCATENATE(REPT(0,4-LEN(C146)),C146),IF(OR(D146="Easy",D146=""),1,IF(D146="Normal",2,IF(D146="Hard",3,IF(D146="Hell",4,"error")))),E146))</f>
        <v>10300112</v>
      </c>
      <c r="B146" s="29">
        <v>10</v>
      </c>
      <c r="C146" s="19">
        <v>3001</v>
      </c>
      <c r="D146" s="19"/>
      <c r="E146" s="19">
        <v>2</v>
      </c>
      <c r="F146" s="20">
        <f t="shared" si="86"/>
        <v>324187</v>
      </c>
      <c r="G146" s="20">
        <f t="shared" si="86"/>
        <v>324187</v>
      </c>
      <c r="H146" s="20">
        <f t="shared" si="87"/>
        <v>22500</v>
      </c>
      <c r="I146" s="20">
        <f t="shared" si="87"/>
        <v>22500</v>
      </c>
      <c r="J146" s="20">
        <f t="shared" si="88"/>
        <v>26567210</v>
      </c>
      <c r="K146" s="20">
        <v>1000</v>
      </c>
      <c r="L146" s="20"/>
      <c r="M146" s="14">
        <f t="shared" si="89"/>
        <v>1113658.453741936</v>
      </c>
      <c r="N146" s="15">
        <v>1720</v>
      </c>
      <c r="O146" s="18">
        <v>10.5</v>
      </c>
      <c r="P146" s="16">
        <v>26000</v>
      </c>
      <c r="Q146" s="17" t="s">
        <v>97</v>
      </c>
      <c r="R146" s="37" t="s">
        <v>119</v>
      </c>
      <c r="S146" s="18">
        <v>9000</v>
      </c>
      <c r="T146" s="18">
        <f t="shared" si="90"/>
        <v>9000</v>
      </c>
    </row>
    <row r="147" spans="1:20" ht="16.5" x14ac:dyDescent="0.2">
      <c r="A147" s="19" t="str">
        <f t="shared" ref="A147:A153" si="91">IF(B147="","",CONCATENATE(B147,CONCATENATE(REPT(0,4-LEN(C147)),C147),IF(OR(D147="Easy",D147=""),1,IF(D147="Normal",2,IF(D147="Hard",3,IF(D147="Hell",4,"error")))),E147))</f>
        <v>10300211</v>
      </c>
      <c r="B147" s="29">
        <v>10</v>
      </c>
      <c r="C147" s="19">
        <v>3002</v>
      </c>
      <c r="D147" s="19"/>
      <c r="E147" s="19">
        <v>1</v>
      </c>
      <c r="F147" s="20">
        <f t="shared" si="86"/>
        <v>389025</v>
      </c>
      <c r="G147" s="20">
        <f t="shared" si="86"/>
        <v>389025</v>
      </c>
      <c r="H147" s="20">
        <f t="shared" si="87"/>
        <v>22000</v>
      </c>
      <c r="I147" s="20">
        <f t="shared" si="87"/>
        <v>22000</v>
      </c>
      <c r="J147" s="20">
        <f t="shared" si="88"/>
        <v>36881940</v>
      </c>
      <c r="K147" s="20">
        <v>1000</v>
      </c>
      <c r="L147" s="20"/>
      <c r="M147" s="14">
        <f t="shared" si="89"/>
        <v>1421336.6724871348</v>
      </c>
      <c r="N147" s="15">
        <v>1850</v>
      </c>
      <c r="O147" s="18">
        <v>10.5</v>
      </c>
      <c r="P147" s="16">
        <v>31200</v>
      </c>
      <c r="Q147" s="17" t="s">
        <v>97</v>
      </c>
      <c r="R147" s="37" t="s">
        <v>120</v>
      </c>
      <c r="S147" s="18">
        <v>8800</v>
      </c>
      <c r="T147" s="18">
        <f t="shared" si="90"/>
        <v>8800</v>
      </c>
    </row>
    <row r="148" spans="1:20" ht="16.5" x14ac:dyDescent="0.2">
      <c r="A148" s="19" t="str">
        <f t="shared" si="91"/>
        <v>10300212</v>
      </c>
      <c r="B148" s="29">
        <v>10</v>
      </c>
      <c r="C148" s="19">
        <v>3002</v>
      </c>
      <c r="D148" s="19"/>
      <c r="E148" s="19">
        <v>2</v>
      </c>
      <c r="F148" s="20">
        <f t="shared" si="86"/>
        <v>389025</v>
      </c>
      <c r="G148" s="20">
        <f t="shared" si="86"/>
        <v>389025</v>
      </c>
      <c r="H148" s="20">
        <f t="shared" si="87"/>
        <v>22000</v>
      </c>
      <c r="I148" s="20">
        <f t="shared" si="87"/>
        <v>22000</v>
      </c>
      <c r="J148" s="20">
        <f t="shared" si="88"/>
        <v>33761119</v>
      </c>
      <c r="K148" s="20">
        <v>1000</v>
      </c>
      <c r="L148" s="20"/>
      <c r="M148" s="14">
        <f t="shared" si="89"/>
        <v>1359873.464742834</v>
      </c>
      <c r="N148" s="15">
        <v>1770</v>
      </c>
      <c r="O148" s="18">
        <v>10.5</v>
      </c>
      <c r="P148" s="16">
        <v>31200</v>
      </c>
      <c r="Q148" s="17" t="s">
        <v>97</v>
      </c>
      <c r="R148" s="37" t="s">
        <v>121</v>
      </c>
      <c r="S148" s="18">
        <v>8800</v>
      </c>
      <c r="T148" s="18">
        <f t="shared" si="90"/>
        <v>8800</v>
      </c>
    </row>
    <row r="149" spans="1:20" ht="16.5" x14ac:dyDescent="0.2">
      <c r="A149" s="19" t="str">
        <f t="shared" si="91"/>
        <v>10300311</v>
      </c>
      <c r="B149" s="29">
        <v>10</v>
      </c>
      <c r="C149" s="19">
        <v>3003</v>
      </c>
      <c r="D149" s="19"/>
      <c r="E149" s="19">
        <v>1</v>
      </c>
      <c r="F149" s="20">
        <f t="shared" si="86"/>
        <v>425250</v>
      </c>
      <c r="G149" s="20">
        <f t="shared" si="86"/>
        <v>425250</v>
      </c>
      <c r="H149" s="20">
        <f t="shared" si="87"/>
        <v>21000</v>
      </c>
      <c r="I149" s="20">
        <f t="shared" si="87"/>
        <v>21000</v>
      </c>
      <c r="J149" s="20">
        <f t="shared" si="88"/>
        <v>39281812</v>
      </c>
      <c r="K149" s="20">
        <v>1000</v>
      </c>
      <c r="L149" s="20"/>
      <c r="M149" s="14">
        <f t="shared" si="89"/>
        <v>1498364.7654437155</v>
      </c>
      <c r="N149" s="15">
        <v>1730</v>
      </c>
      <c r="O149" s="18">
        <v>10.5</v>
      </c>
      <c r="P149" s="16">
        <v>36000</v>
      </c>
      <c r="Q149" s="17" t="s">
        <v>104</v>
      </c>
      <c r="R149" s="37" t="s">
        <v>122</v>
      </c>
      <c r="S149" s="18">
        <v>8400</v>
      </c>
      <c r="T149" s="18">
        <f t="shared" si="90"/>
        <v>8400</v>
      </c>
    </row>
    <row r="150" spans="1:20" ht="16.5" x14ac:dyDescent="0.2">
      <c r="A150" s="19" t="str">
        <f t="shared" si="91"/>
        <v>10300312</v>
      </c>
      <c r="B150" s="29">
        <v>10</v>
      </c>
      <c r="C150" s="19">
        <v>3003</v>
      </c>
      <c r="D150" s="19"/>
      <c r="E150" s="19">
        <v>2</v>
      </c>
      <c r="F150" s="20">
        <f t="shared" si="86"/>
        <v>425250</v>
      </c>
      <c r="G150" s="20">
        <f t="shared" si="86"/>
        <v>425250</v>
      </c>
      <c r="H150" s="20">
        <f t="shared" si="87"/>
        <v>21000</v>
      </c>
      <c r="I150" s="20">
        <f t="shared" si="87"/>
        <v>21000</v>
      </c>
      <c r="J150" s="20">
        <f t="shared" si="88"/>
        <v>35732812</v>
      </c>
      <c r="K150" s="20">
        <v>1000</v>
      </c>
      <c r="L150" s="20"/>
      <c r="M150" s="14">
        <f t="shared" si="89"/>
        <v>1429076.2204736318</v>
      </c>
      <c r="N150" s="15">
        <v>1650</v>
      </c>
      <c r="O150" s="18">
        <v>10.5</v>
      </c>
      <c r="P150" s="16">
        <v>36000</v>
      </c>
      <c r="Q150" s="17" t="s">
        <v>104</v>
      </c>
      <c r="R150" s="37" t="s">
        <v>123</v>
      </c>
      <c r="S150" s="18">
        <v>8400</v>
      </c>
      <c r="T150" s="18">
        <f t="shared" si="90"/>
        <v>8400</v>
      </c>
    </row>
    <row r="151" spans="1:20" ht="16.5" x14ac:dyDescent="0.2">
      <c r="A151" s="19" t="str">
        <f t="shared" si="91"/>
        <v>10310111</v>
      </c>
      <c r="B151" s="29">
        <v>10</v>
      </c>
      <c r="C151" s="19">
        <v>3101</v>
      </c>
      <c r="D151" s="19"/>
      <c r="E151" s="19">
        <v>1</v>
      </c>
      <c r="F151" s="20">
        <f t="shared" si="86"/>
        <v>309375</v>
      </c>
      <c r="G151" s="20">
        <f t="shared" si="86"/>
        <v>309375</v>
      </c>
      <c r="H151" s="20">
        <f t="shared" si="87"/>
        <v>16250</v>
      </c>
      <c r="I151" s="20">
        <f t="shared" si="87"/>
        <v>16250</v>
      </c>
      <c r="J151" s="20">
        <f t="shared" si="88"/>
        <v>37434375</v>
      </c>
      <c r="K151" s="20">
        <v>1000</v>
      </c>
      <c r="L151" s="20"/>
      <c r="M151" s="14">
        <f t="shared" si="89"/>
        <v>1097474.8359871402</v>
      </c>
      <c r="N151" s="15">
        <v>1650</v>
      </c>
      <c r="O151" s="18">
        <v>10</v>
      </c>
      <c r="P151" s="16">
        <v>33000</v>
      </c>
      <c r="Q151" s="17" t="s">
        <v>91</v>
      </c>
      <c r="R151" s="37" t="s">
        <v>124</v>
      </c>
      <c r="S151" s="18">
        <v>6500</v>
      </c>
      <c r="T151" s="18">
        <f t="shared" si="90"/>
        <v>6500</v>
      </c>
    </row>
    <row r="152" spans="1:20" ht="16.5" x14ac:dyDescent="0.2">
      <c r="A152" s="19" t="str">
        <f t="shared" si="91"/>
        <v>10310112</v>
      </c>
      <c r="B152" s="29">
        <v>10</v>
      </c>
      <c r="C152" s="19">
        <v>3101</v>
      </c>
      <c r="D152" s="19"/>
      <c r="E152" s="19">
        <v>2</v>
      </c>
      <c r="F152" s="20">
        <f t="shared" si="86"/>
        <v>278437</v>
      </c>
      <c r="G152" s="20">
        <f t="shared" si="86"/>
        <v>278437</v>
      </c>
      <c r="H152" s="20">
        <f t="shared" si="87"/>
        <v>16250</v>
      </c>
      <c r="I152" s="20">
        <f t="shared" si="87"/>
        <v>16250</v>
      </c>
      <c r="J152" s="20">
        <f t="shared" si="88"/>
        <v>33690937</v>
      </c>
      <c r="K152" s="20">
        <v>1000</v>
      </c>
      <c r="L152" s="20"/>
      <c r="M152" s="14">
        <f t="shared" si="89"/>
        <v>987726.458210357</v>
      </c>
      <c r="N152" s="15">
        <v>1650</v>
      </c>
      <c r="O152" s="18">
        <v>10</v>
      </c>
      <c r="P152" s="16">
        <v>29700</v>
      </c>
      <c r="Q152" s="17" t="s">
        <v>91</v>
      </c>
      <c r="R152" s="37" t="s">
        <v>125</v>
      </c>
      <c r="S152" s="18">
        <v>6500</v>
      </c>
      <c r="T152" s="18">
        <f t="shared" si="90"/>
        <v>6500</v>
      </c>
    </row>
    <row r="153" spans="1:20" ht="16.5" x14ac:dyDescent="0.2">
      <c r="A153" s="19" t="str">
        <f t="shared" si="91"/>
        <v>10310211</v>
      </c>
      <c r="B153" s="29">
        <v>10</v>
      </c>
      <c r="C153" s="19">
        <v>3102</v>
      </c>
      <c r="D153" s="19"/>
      <c r="E153" s="19">
        <v>1</v>
      </c>
      <c r="F153" s="20">
        <f t="shared" si="86"/>
        <v>374343</v>
      </c>
      <c r="G153" s="20">
        <f t="shared" si="86"/>
        <v>374343</v>
      </c>
      <c r="H153" s="20">
        <f t="shared" si="87"/>
        <v>14250</v>
      </c>
      <c r="I153" s="20">
        <f t="shared" si="87"/>
        <v>14250</v>
      </c>
      <c r="J153" s="20">
        <f t="shared" si="88"/>
        <v>46400323</v>
      </c>
      <c r="K153" s="20">
        <v>1000</v>
      </c>
      <c r="L153" s="20"/>
      <c r="M153" s="14">
        <f t="shared" si="89"/>
        <v>1258614.6405816027</v>
      </c>
      <c r="N153" s="15">
        <v>1670</v>
      </c>
      <c r="O153" s="18">
        <v>11</v>
      </c>
      <c r="P153" s="16">
        <v>36300</v>
      </c>
      <c r="Q153" s="17" t="s">
        <v>91</v>
      </c>
      <c r="R153" s="37" t="s">
        <v>126</v>
      </c>
      <c r="S153" s="18">
        <v>5700</v>
      </c>
      <c r="T153" s="18">
        <f t="shared" si="90"/>
        <v>5700</v>
      </c>
    </row>
    <row r="154" spans="1:20" ht="16.5" x14ac:dyDescent="0.2">
      <c r="A154" s="19" t="str">
        <f t="shared" ref="A154:A156" si="92">IF(B154="","",CONCATENATE(B154,CONCATENATE(REPT(0,4-LEN(C154)),C154),IF(OR(D154="Easy",D154=""),1,IF(D154="Normal",2,IF(D154="Hard",3,IF(D154="Hell",4,"error")))),E154))</f>
        <v>10310212</v>
      </c>
      <c r="B154" s="29">
        <v>10</v>
      </c>
      <c r="C154" s="19">
        <v>3102</v>
      </c>
      <c r="D154" s="19"/>
      <c r="E154" s="19">
        <v>2</v>
      </c>
      <c r="F154" s="20">
        <f t="shared" si="86"/>
        <v>306281</v>
      </c>
      <c r="G154" s="20">
        <f t="shared" si="86"/>
        <v>306281</v>
      </c>
      <c r="H154" s="20">
        <f t="shared" si="87"/>
        <v>14250</v>
      </c>
      <c r="I154" s="20">
        <f t="shared" si="87"/>
        <v>14250</v>
      </c>
      <c r="J154" s="20">
        <f t="shared" si="88"/>
        <v>37963901</v>
      </c>
      <c r="K154" s="20">
        <v>1000</v>
      </c>
      <c r="L154" s="20"/>
      <c r="M154" s="14">
        <f t="shared" ref="M154:M156" si="93">(F154*J154*((H154+I154)/2)/1000)^(1/2)/10*0.8</f>
        <v>1029776.2312613879</v>
      </c>
      <c r="N154" s="15">
        <v>1670</v>
      </c>
      <c r="O154" s="18">
        <v>11</v>
      </c>
      <c r="P154" s="16">
        <v>29700</v>
      </c>
      <c r="Q154" s="17" t="s">
        <v>91</v>
      </c>
      <c r="R154" s="37" t="s">
        <v>127</v>
      </c>
      <c r="S154" s="18">
        <v>5700</v>
      </c>
      <c r="T154" s="18">
        <f t="shared" si="90"/>
        <v>5700</v>
      </c>
    </row>
    <row r="155" spans="1:20" ht="16.5" x14ac:dyDescent="0.2">
      <c r="A155" s="19" t="str">
        <f t="shared" si="92"/>
        <v>10310311</v>
      </c>
      <c r="B155" s="29">
        <v>10</v>
      </c>
      <c r="C155" s="19">
        <v>3103</v>
      </c>
      <c r="D155" s="19"/>
      <c r="E155" s="19">
        <v>1</v>
      </c>
      <c r="F155" s="20">
        <f t="shared" si="86"/>
        <v>340312</v>
      </c>
      <c r="G155" s="20">
        <f t="shared" si="86"/>
        <v>340312</v>
      </c>
      <c r="H155" s="20">
        <f t="shared" si="87"/>
        <v>8250</v>
      </c>
      <c r="I155" s="20">
        <f t="shared" si="87"/>
        <v>8250</v>
      </c>
      <c r="J155" s="20">
        <f t="shared" si="88"/>
        <v>34031250</v>
      </c>
      <c r="K155" s="20">
        <v>1000</v>
      </c>
      <c r="L155" s="20"/>
      <c r="M155" s="14">
        <f t="shared" si="93"/>
        <v>781978.01580351358</v>
      </c>
      <c r="N155" s="15">
        <v>1500</v>
      </c>
      <c r="O155" s="18">
        <v>11</v>
      </c>
      <c r="P155" s="16">
        <v>33000</v>
      </c>
      <c r="Q155" s="17" t="s">
        <v>91</v>
      </c>
      <c r="R155" s="37" t="s">
        <v>128</v>
      </c>
      <c r="S155" s="18">
        <v>3300</v>
      </c>
      <c r="T155" s="18">
        <f t="shared" si="90"/>
        <v>3300</v>
      </c>
    </row>
    <row r="156" spans="1:20" ht="16.5" x14ac:dyDescent="0.2">
      <c r="A156" s="19" t="str">
        <f t="shared" si="92"/>
        <v>10310312</v>
      </c>
      <c r="B156" s="29">
        <v>10</v>
      </c>
      <c r="C156" s="19">
        <v>3103</v>
      </c>
      <c r="D156" s="19"/>
      <c r="E156" s="19">
        <v>2</v>
      </c>
      <c r="F156" s="20">
        <f t="shared" si="86"/>
        <v>283593</v>
      </c>
      <c r="G156" s="20">
        <f t="shared" si="86"/>
        <v>283593</v>
      </c>
      <c r="H156" s="20">
        <f t="shared" si="87"/>
        <v>8250</v>
      </c>
      <c r="I156" s="20">
        <f t="shared" si="87"/>
        <v>8250</v>
      </c>
      <c r="J156" s="20">
        <f t="shared" si="88"/>
        <v>31864593</v>
      </c>
      <c r="K156" s="20">
        <v>1000</v>
      </c>
      <c r="L156" s="20"/>
      <c r="M156" s="14">
        <f t="shared" si="93"/>
        <v>690746.83321450511</v>
      </c>
      <c r="N156" s="15">
        <v>1590</v>
      </c>
      <c r="O156" s="18">
        <v>11</v>
      </c>
      <c r="P156" s="16">
        <v>27500</v>
      </c>
      <c r="Q156" s="17" t="s">
        <v>91</v>
      </c>
      <c r="R156" s="37" t="s">
        <v>129</v>
      </c>
      <c r="S156" s="18">
        <v>3300</v>
      </c>
      <c r="T156" s="18">
        <f t="shared" si="90"/>
        <v>3300</v>
      </c>
    </row>
    <row r="158" spans="1:20" x14ac:dyDescent="0.2">
      <c r="R158" s="36"/>
    </row>
    <row r="159" spans="1:20" x14ac:dyDescent="0.2">
      <c r="R159" s="37"/>
    </row>
    <row r="160" spans="1:20" x14ac:dyDescent="0.2">
      <c r="R160" s="37"/>
    </row>
    <row r="161" spans="6:18" x14ac:dyDescent="0.2">
      <c r="F161" s="38"/>
      <c r="G161" s="38"/>
      <c r="H161" s="38"/>
      <c r="R161" s="37"/>
    </row>
    <row r="162" spans="6:18" x14ac:dyDescent="0.2">
      <c r="F162" s="38"/>
      <c r="G162" s="38"/>
      <c r="H162" s="38"/>
      <c r="R162" s="37"/>
    </row>
    <row r="163" spans="6:18" x14ac:dyDescent="0.2">
      <c r="F163" s="38"/>
      <c r="G163" s="38"/>
      <c r="H163" s="38"/>
      <c r="R163" s="37"/>
    </row>
    <row r="164" spans="6:18" x14ac:dyDescent="0.2">
      <c r="F164" s="38"/>
      <c r="G164" s="38"/>
      <c r="H164" s="38"/>
      <c r="R164" s="37"/>
    </row>
    <row r="165" spans="6:18" x14ac:dyDescent="0.2">
      <c r="F165" s="38"/>
      <c r="G165" s="38"/>
      <c r="H165" s="38"/>
      <c r="R165" s="37"/>
    </row>
    <row r="166" spans="6:18" x14ac:dyDescent="0.2">
      <c r="F166" s="38"/>
      <c r="G166" s="38"/>
      <c r="H166" s="38"/>
      <c r="R166" s="37"/>
    </row>
    <row r="167" spans="6:18" x14ac:dyDescent="0.2">
      <c r="F167" s="38"/>
      <c r="G167" s="38"/>
      <c r="H167" s="38"/>
      <c r="R167" s="37"/>
    </row>
    <row r="168" spans="6:18" x14ac:dyDescent="0.2">
      <c r="F168" s="38"/>
      <c r="G168" s="38"/>
      <c r="H168" s="38"/>
      <c r="R168" s="37"/>
    </row>
    <row r="169" spans="6:18" x14ac:dyDescent="0.2">
      <c r="F169" s="38"/>
      <c r="G169" s="38"/>
      <c r="H169" s="38"/>
      <c r="R169" s="37"/>
    </row>
  </sheetData>
  <mergeCells count="1">
    <mergeCell ref="F1:L1"/>
  </mergeCells>
  <phoneticPr fontId="9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MonsterTierTable1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2021-05-20T12:01:48Z</dcterms:modified>
</cp:coreProperties>
</file>