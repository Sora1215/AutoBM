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filterPrivacy="1" codeName="현재_통합_문서" defaultThemeVersion="124226"/>
  <xr:revisionPtr revIDLastSave="0" documentId="13_ncr:1_{A73F8493-8176-4752-8C90-7E4F851158D6}" xr6:coauthVersionLast="45" xr6:coauthVersionMax="45" xr10:uidLastSave="{00000000-0000-0000-0000-000000000000}"/>
  <bookViews>
    <workbookView xWindow="28830" yWindow="30" windowWidth="28770" windowHeight="15570" xr2:uid="{00000000-000D-0000-FFFF-FFFF00000000}"/>
  </bookViews>
  <sheets>
    <sheet name="OrdealArenaBuff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8" i="3" l="1"/>
  <c r="I29" i="3"/>
  <c r="I20" i="3"/>
  <c r="I11" i="3"/>
</calcChain>
</file>

<file path=xl/sharedStrings.xml><?xml version="1.0" encoding="utf-8"?>
<sst xmlns="http://schemas.openxmlformats.org/spreadsheetml/2006/main" count="205" uniqueCount="117">
  <si>
    <t>Int</t>
    <phoneticPr fontId="6" type="noConversion"/>
  </si>
  <si>
    <t>String</t>
    <phoneticPr fontId="6" type="noConversion"/>
  </si>
  <si>
    <t>Index</t>
    <phoneticPr fontId="6" type="noConversion"/>
  </si>
  <si>
    <t>Name</t>
    <phoneticPr fontId="6" type="noConversion"/>
  </si>
  <si>
    <t>Grade</t>
    <phoneticPr fontId="6" type="noConversion"/>
  </si>
  <si>
    <t>Rate</t>
    <phoneticPr fontId="6" type="noConversion"/>
  </si>
  <si>
    <t>int</t>
    <phoneticPr fontId="6" type="noConversion"/>
  </si>
  <si>
    <t>string</t>
    <phoneticPr fontId="6" type="noConversion"/>
  </si>
  <si>
    <t>(desc)</t>
    <phoneticPr fontId="6" type="noConversion"/>
  </si>
  <si>
    <t>6</t>
    <phoneticPr fontId="6" type="noConversion"/>
  </si>
  <si>
    <t>Ordeal_Buff_6_1</t>
    <phoneticPr fontId="6" type="noConversion"/>
  </si>
  <si>
    <t>Ordeal_Buff_6_2</t>
  </si>
  <si>
    <t>Ordeal_Buff_6_3</t>
  </si>
  <si>
    <t>5</t>
    <phoneticPr fontId="6" type="noConversion"/>
  </si>
  <si>
    <t>공격력</t>
    <phoneticPr fontId="6" type="noConversion"/>
  </si>
  <si>
    <t>공격속도</t>
    <phoneticPr fontId="6" type="noConversion"/>
  </si>
  <si>
    <t>치명타확률</t>
    <phoneticPr fontId="6" type="noConversion"/>
  </si>
  <si>
    <t>치명타피해</t>
    <phoneticPr fontId="6" type="noConversion"/>
  </si>
  <si>
    <t>최대 체력</t>
    <phoneticPr fontId="6" type="noConversion"/>
  </si>
  <si>
    <t>모든 방어력</t>
    <phoneticPr fontId="6" type="noConversion"/>
  </si>
  <si>
    <t>모든 블록확률</t>
    <phoneticPr fontId="6" type="noConversion"/>
  </si>
  <si>
    <t>상태이상 적중률</t>
    <phoneticPr fontId="6" type="noConversion"/>
  </si>
  <si>
    <t>상태이상 저항</t>
    <phoneticPr fontId="6" type="noConversion"/>
  </si>
  <si>
    <t>3</t>
    <phoneticPr fontId="6" type="noConversion"/>
  </si>
  <si>
    <t>Ordeal_Buff_4_1</t>
    <phoneticPr fontId="6" type="noConversion"/>
  </si>
  <si>
    <t>Ordeal_Buff_4_2</t>
  </si>
  <si>
    <t>Ordeal_Buff_4_3</t>
  </si>
  <si>
    <t>Ordeal_Buff_4_4</t>
  </si>
  <si>
    <t>Ordeal_Buff_4_5</t>
  </si>
  <si>
    <t>Ordeal_Buff_4_6</t>
  </si>
  <si>
    <t>Ordeal_Buff_4_7</t>
  </si>
  <si>
    <t>Ordeal_Buff_4_8</t>
  </si>
  <si>
    <t>Ordeal_Buff_4_9</t>
  </si>
  <si>
    <t>Ordeal_Buff_5_1</t>
    <phoneticPr fontId="6" type="noConversion"/>
  </si>
  <si>
    <t>Ordeal_Buff_5_2</t>
  </si>
  <si>
    <t>Ordeal_Buff_5_3</t>
  </si>
  <si>
    <t>Ordeal_Buff_5_4</t>
  </si>
  <si>
    <t>Ordeal_Buff_5_5</t>
  </si>
  <si>
    <t>Ordeal_Buff_5_6</t>
  </si>
  <si>
    <t>Ordeal_Buff_5_7</t>
  </si>
  <si>
    <t>Ordeal_Buff_5_8</t>
  </si>
  <si>
    <t>Ordeal_Buff_5_9</t>
  </si>
  <si>
    <t>Ordeal_Buff_3_1</t>
    <phoneticPr fontId="6" type="noConversion"/>
  </si>
  <si>
    <t>Ordeal_Buff_3_2</t>
  </si>
  <si>
    <t>Ordeal_Buff_3_3</t>
  </si>
  <si>
    <t>Ordeal_Buff_3_4</t>
  </si>
  <si>
    <t>Ordeal_Buff_3_5</t>
  </si>
  <si>
    <t>Ordeal_Buff_3_6</t>
  </si>
  <si>
    <t>Ordeal_Buff_3_7</t>
  </si>
  <si>
    <t>Ordeal_Buff_3_8</t>
  </si>
  <si>
    <t>Ordeal_Buff_3_9</t>
  </si>
  <si>
    <t>4</t>
    <phoneticPr fontId="6" type="noConversion"/>
  </si>
  <si>
    <t>(RateCheck)</t>
    <phoneticPr fontId="6" type="noConversion"/>
  </si>
  <si>
    <t>OptionType</t>
  </si>
  <si>
    <t>UseSkill</t>
    <phoneticPr fontId="6" type="noConversion"/>
  </si>
  <si>
    <t>OptionValue</t>
    <phoneticPr fontId="6" type="noConversion"/>
  </si>
  <si>
    <t>ModPowerR</t>
    <phoneticPr fontId="6" type="noConversion"/>
  </si>
  <si>
    <t>ModAttackSpeed</t>
  </si>
  <si>
    <t>ModCriticalChance</t>
    <phoneticPr fontId="6" type="noConversion"/>
  </si>
  <si>
    <t>ModCriticalPower</t>
    <phoneticPr fontId="6" type="noConversion"/>
  </si>
  <si>
    <t>ModMaxHpR</t>
    <phoneticPr fontId="6" type="noConversion"/>
  </si>
  <si>
    <t>ModDefenceR</t>
    <phoneticPr fontId="6" type="noConversion"/>
  </si>
  <si>
    <t>ModBlockChance</t>
    <phoneticPr fontId="6" type="noConversion"/>
  </si>
  <si>
    <t>ModHitCcChance</t>
    <phoneticPr fontId="6" type="noConversion"/>
  </si>
  <si>
    <t>ModAntiCcChance</t>
    <phoneticPr fontId="6" type="noConversion"/>
  </si>
  <si>
    <t>타오르는 엘프의 화로</t>
    <phoneticPr fontId="6" type="noConversion"/>
  </si>
  <si>
    <t>황금 고양이 상</t>
    <phoneticPr fontId="6" type="noConversion"/>
  </si>
  <si>
    <t>고대 문명의 회중시계</t>
    <phoneticPr fontId="6" type="noConversion"/>
  </si>
  <si>
    <t>여신의 황금 사과</t>
    <phoneticPr fontId="6" type="noConversion"/>
  </si>
  <si>
    <t>고대 왕의 황금 가면</t>
    <phoneticPr fontId="6" type="noConversion"/>
  </si>
  <si>
    <t>영혼의 샘물</t>
    <phoneticPr fontId="6" type="noConversion"/>
  </si>
  <si>
    <t>저항의 주술부</t>
    <phoneticPr fontId="6" type="noConversion"/>
  </si>
  <si>
    <t>크리스마스 별장식</t>
    <phoneticPr fontId="6" type="noConversion"/>
  </si>
  <si>
    <t>Ordeal_Buff_6_4</t>
  </si>
  <si>
    <t>Ordeal_Buff_6_5</t>
  </si>
  <si>
    <t>Ordeal_Buff_6_6</t>
  </si>
  <si>
    <t>Ordeal_Buff_6_7</t>
  </si>
  <si>
    <t>Ordeal_Buff_6_8</t>
  </si>
  <si>
    <t>Ordeal_Buff_6_9</t>
  </si>
  <si>
    <t>70000200</t>
    <phoneticPr fontId="6" type="noConversion"/>
  </si>
  <si>
    <t>70000201</t>
  </si>
  <si>
    <t>70000202</t>
  </si>
  <si>
    <t>70000203</t>
  </si>
  <si>
    <t>70000204</t>
  </si>
  <si>
    <t>70000205</t>
  </si>
  <si>
    <t>70000206</t>
  </si>
  <si>
    <t>70000207</t>
  </si>
  <si>
    <t>70000208</t>
  </si>
  <si>
    <t>크리스탈 뮤직박스</t>
    <phoneticPr fontId="6" type="noConversion"/>
  </si>
  <si>
    <t>IconPath</t>
    <phoneticPr fontId="6" type="noConversion"/>
  </si>
  <si>
    <t>Icon/Skill/60000001</t>
  </si>
  <si>
    <t>Icon/Skill/60000001</t>
    <phoneticPr fontId="6" type="noConversion"/>
  </si>
  <si>
    <t>Icon/Skill/60000040</t>
  </si>
  <si>
    <t>Icon/Skill/60000040</t>
    <phoneticPr fontId="6" type="noConversion"/>
  </si>
  <si>
    <t>Icon/Skill/60000023</t>
  </si>
  <si>
    <t>Icon/Skill/60000023</t>
    <phoneticPr fontId="6" type="noConversion"/>
  </si>
  <si>
    <t>Icon/Skill/60000038</t>
  </si>
  <si>
    <t>Icon/Skill/60000038</t>
    <phoneticPr fontId="6" type="noConversion"/>
  </si>
  <si>
    <t>Icon/Skill/60000002</t>
  </si>
  <si>
    <t>Icon/Skill/60000002</t>
    <phoneticPr fontId="6" type="noConversion"/>
  </si>
  <si>
    <t>Icon/Skill/60000003</t>
  </si>
  <si>
    <t>Icon/Skill/60000003</t>
    <phoneticPr fontId="6" type="noConversion"/>
  </si>
  <si>
    <t>Icon/Skill/OrdealArena_ClearBuff_BlkChance</t>
  </si>
  <si>
    <t>Icon/Skill/OrdealArena_ClearBuff_BlkChance</t>
    <phoneticPr fontId="6" type="noConversion"/>
  </si>
  <si>
    <t>Icon/Skill/60000006</t>
  </si>
  <si>
    <t>Icon/Skill/60000006</t>
    <phoneticPr fontId="6" type="noConversion"/>
  </si>
  <si>
    <t>Icon/Skill/OrdealArena_ClearBuff_AntiCCChance</t>
  </si>
  <si>
    <t>Icon/Skill/OrdealArena_ClearBuff_AntiCCChance</t>
    <phoneticPr fontId="6" type="noConversion"/>
  </si>
  <si>
    <t>Icon/Item/ARTIFACT_UNIQUE_1</t>
    <phoneticPr fontId="6" type="noConversion"/>
  </si>
  <si>
    <t>Icon/Item/ARTIFACT_UNIQUE_4</t>
    <phoneticPr fontId="6" type="noConversion"/>
  </si>
  <si>
    <t>Icon/Item/ARTIFACT_UNIQUE_5</t>
    <phoneticPr fontId="6" type="noConversion"/>
  </si>
  <si>
    <t>Icon/Item/ARTIFACT_UNIQUE_9</t>
    <phoneticPr fontId="6" type="noConversion"/>
  </si>
  <si>
    <t>Icon/Item/ARTIFACT_UNIQUE_10</t>
    <phoneticPr fontId="6" type="noConversion"/>
  </si>
  <si>
    <t>Icon/Item/ARTIFACT_UNIQUE_19</t>
    <phoneticPr fontId="6" type="noConversion"/>
  </si>
  <si>
    <t>Icon/Item/ARTIFACT_UNIQUE_20</t>
    <phoneticPr fontId="6" type="noConversion"/>
  </si>
  <si>
    <t>Icon/Item/ARTIFACT_UNIQUE_55</t>
    <phoneticPr fontId="6" type="noConversion"/>
  </si>
  <si>
    <t>Icon/Item/ARTIFACT_UNIQUE_65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</si>
</sst>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8">
    <xf numFmtId="0" fontId="0" fillId="0" borderId="0"/>
    <xf numFmtId="0" fontId="5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49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 textRotation="90"/>
    </xf>
    <xf numFmtId="0" fontId="7" fillId="0" borderId="0" xfId="0" applyNumberFormat="1" applyFont="1" applyAlignment="1">
      <alignment horizontal="center"/>
    </xf>
    <xf numFmtId="49" fontId="9" fillId="2" borderId="2" xfId="1" applyNumberFormat="1" applyFont="1" applyFill="1" applyBorder="1" applyAlignment="1">
      <alignment horizontal="center" vertical="center" textRotation="90"/>
    </xf>
    <xf numFmtId="49" fontId="9" fillId="3" borderId="1" xfId="1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 textRotation="90"/>
    </xf>
    <xf numFmtId="49" fontId="9" fillId="3" borderId="0" xfId="0" applyNumberFormat="1" applyFont="1" applyFill="1" applyAlignment="1">
      <alignment horizontal="center" vertical="center"/>
    </xf>
    <xf numFmtId="49" fontId="9" fillId="2" borderId="2" xfId="0" applyNumberFormat="1" applyFont="1" applyFill="1" applyBorder="1" applyAlignment="1">
      <alignment horizontal="center" vertical="center" textRotation="90"/>
    </xf>
    <xf numFmtId="0" fontId="7" fillId="4" borderId="0" xfId="0" applyNumberFormat="1" applyFont="1" applyFill="1" applyAlignment="1">
      <alignment horizontal="center"/>
    </xf>
    <xf numFmtId="49" fontId="7" fillId="4" borderId="0" xfId="0" applyNumberFormat="1" applyFont="1" applyFill="1" applyAlignment="1">
      <alignment horizontal="center"/>
    </xf>
    <xf numFmtId="49" fontId="8" fillId="4" borderId="0" xfId="0" applyNumberFormat="1" applyFont="1" applyFill="1" applyAlignment="1">
      <alignment horizontal="left" vertical="top"/>
    </xf>
    <xf numFmtId="0" fontId="9" fillId="4" borderId="0" xfId="0" applyFont="1" applyFill="1" applyAlignment="1">
      <alignment horizontal="right" vertical="center"/>
    </xf>
    <xf numFmtId="0" fontId="0" fillId="4" borderId="0" xfId="0" applyFill="1" applyAlignment="1">
      <alignment horizontal="center"/>
    </xf>
    <xf numFmtId="0" fontId="11" fillId="4" borderId="0" xfId="0" applyFont="1" applyFill="1" applyAlignment="1">
      <alignment vertical="center" wrapText="1"/>
    </xf>
    <xf numFmtId="0" fontId="7" fillId="5" borderId="0" xfId="0" applyNumberFormat="1" applyFont="1" applyFill="1" applyAlignment="1">
      <alignment horizontal="center"/>
    </xf>
    <xf numFmtId="49" fontId="7" fillId="5" borderId="0" xfId="0" applyNumberFormat="1" applyFont="1" applyFill="1" applyAlignment="1">
      <alignment horizontal="center"/>
    </xf>
    <xf numFmtId="49" fontId="8" fillId="5" borderId="0" xfId="0" applyNumberFormat="1" applyFont="1" applyFill="1" applyAlignment="1">
      <alignment horizontal="left" vertical="top"/>
    </xf>
    <xf numFmtId="0" fontId="9" fillId="5" borderId="0" xfId="0" applyFont="1" applyFill="1" applyAlignment="1">
      <alignment horizontal="right" vertical="center"/>
    </xf>
    <xf numFmtId="0" fontId="0" fillId="5" borderId="0" xfId="0" applyFill="1" applyAlignment="1">
      <alignment horizontal="center"/>
    </xf>
    <xf numFmtId="0" fontId="11" fillId="5" borderId="0" xfId="0" applyFont="1" applyFill="1" applyAlignment="1">
      <alignment vertical="center" wrapText="1"/>
    </xf>
    <xf numFmtId="0" fontId="7" fillId="6" borderId="0" xfId="0" applyNumberFormat="1" applyFont="1" applyFill="1" applyAlignment="1">
      <alignment horizontal="center"/>
    </xf>
    <xf numFmtId="49" fontId="7" fillId="6" borderId="0" xfId="0" applyNumberFormat="1" applyFont="1" applyFill="1" applyAlignment="1">
      <alignment horizontal="center"/>
    </xf>
    <xf numFmtId="49" fontId="8" fillId="6" borderId="0" xfId="0" applyNumberFormat="1" applyFont="1" applyFill="1" applyAlignment="1">
      <alignment horizontal="left" vertical="top"/>
    </xf>
    <xf numFmtId="0" fontId="9" fillId="6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11" fillId="6" borderId="0" xfId="0" applyFont="1" applyFill="1" applyAlignment="1">
      <alignment vertical="center" wrapText="1"/>
    </xf>
    <xf numFmtId="0" fontId="7" fillId="7" borderId="0" xfId="0" applyNumberFormat="1" applyFont="1" applyFill="1" applyAlignment="1">
      <alignment horizontal="center"/>
    </xf>
    <xf numFmtId="49" fontId="7" fillId="7" borderId="0" xfId="0" applyNumberFormat="1" applyFont="1" applyFill="1" applyAlignment="1">
      <alignment horizontal="center"/>
    </xf>
    <xf numFmtId="49" fontId="8" fillId="7" borderId="0" xfId="0" applyNumberFormat="1" applyFont="1" applyFill="1" applyAlignment="1">
      <alignment horizontal="left" vertical="top"/>
    </xf>
    <xf numFmtId="0" fontId="0" fillId="7" borderId="0" xfId="0" applyFill="1" applyAlignment="1">
      <alignment horizontal="center"/>
    </xf>
    <xf numFmtId="0" fontId="11" fillId="7" borderId="0" xfId="0" applyFont="1" applyFill="1" applyAlignment="1">
      <alignment vertical="center" wrapText="1"/>
    </xf>
  </cellXfs>
  <cellStyles count="38">
    <cellStyle name="Text" xfId="36" xr:uid="{00000000-0005-0000-0000-000000000000}"/>
    <cellStyle name="표준" xfId="0" builtinId="0"/>
    <cellStyle name="표준 12" xfId="2" xr:uid="{00000000-0005-0000-0000-000002000000}"/>
    <cellStyle name="표준 2 2" xfId="1" xr:uid="{00000000-0005-0000-0000-000003000000}"/>
    <cellStyle name="표준 2 2 10" xfId="3" xr:uid="{00000000-0005-0000-0000-000004000000}"/>
    <cellStyle name="표준 2 2 10 10" xfId="23" xr:uid="{00000000-0005-0000-0000-000005000000}"/>
    <cellStyle name="표준 2 2 10 11" xfId="25" xr:uid="{00000000-0005-0000-0000-000006000000}"/>
    <cellStyle name="표준 2 2 10 12" xfId="27" xr:uid="{00000000-0005-0000-0000-000007000000}"/>
    <cellStyle name="표준 2 2 10 13" xfId="29" xr:uid="{00000000-0005-0000-0000-000008000000}"/>
    <cellStyle name="표준 2 2 10 14" xfId="31" xr:uid="{00000000-0005-0000-0000-000009000000}"/>
    <cellStyle name="표준 2 2 10 15" xfId="32" xr:uid="{00000000-0005-0000-0000-00000A000000}"/>
    <cellStyle name="표준 2 2 10 16" xfId="33" xr:uid="{00000000-0005-0000-0000-00000B000000}"/>
    <cellStyle name="표준 2 2 10 17" xfId="35" xr:uid="{00000000-0005-0000-0000-00000C000000}"/>
    <cellStyle name="표준 2 2 10 2" xfId="7" xr:uid="{00000000-0005-0000-0000-00000D000000}"/>
    <cellStyle name="표준 2 2 10 3" xfId="9" xr:uid="{00000000-0005-0000-0000-00000E000000}"/>
    <cellStyle name="표준 2 2 10 4" xfId="11" xr:uid="{00000000-0005-0000-0000-00000F000000}"/>
    <cellStyle name="표준 2 2 10 5" xfId="13" xr:uid="{00000000-0005-0000-0000-000010000000}"/>
    <cellStyle name="표준 2 2 10 6" xfId="15" xr:uid="{00000000-0005-0000-0000-000011000000}"/>
    <cellStyle name="표준 2 2 10 7" xfId="17" xr:uid="{00000000-0005-0000-0000-000012000000}"/>
    <cellStyle name="표준 2 2 10 8" xfId="19" xr:uid="{00000000-0005-0000-0000-000013000000}"/>
    <cellStyle name="표준 2 2 10 9" xfId="21" xr:uid="{00000000-0005-0000-0000-000014000000}"/>
    <cellStyle name="표준 2 2 11" xfId="18" xr:uid="{00000000-0005-0000-0000-000015000000}"/>
    <cellStyle name="표준 2 2 12" xfId="20" xr:uid="{00000000-0005-0000-0000-000016000000}"/>
    <cellStyle name="표준 2 2 13" xfId="22" xr:uid="{00000000-0005-0000-0000-000017000000}"/>
    <cellStyle name="표준 2 2 14" xfId="24" xr:uid="{00000000-0005-0000-0000-000018000000}"/>
    <cellStyle name="표준 2 2 15" xfId="26" xr:uid="{00000000-0005-0000-0000-000019000000}"/>
    <cellStyle name="표준 2 2 16" xfId="28" xr:uid="{00000000-0005-0000-0000-00001A000000}"/>
    <cellStyle name="표준 2 2 17" xfId="30" xr:uid="{00000000-0005-0000-0000-00001B000000}"/>
    <cellStyle name="표준 2 2 18" xfId="34" xr:uid="{00000000-0005-0000-0000-00001C000000}"/>
    <cellStyle name="표준 2 2 2" xfId="5" xr:uid="{00000000-0005-0000-0000-00001D000000}"/>
    <cellStyle name="표준 2 2 3" xfId="4" xr:uid="{00000000-0005-0000-0000-00001E000000}"/>
    <cellStyle name="표준 2 2 4" xfId="6" xr:uid="{00000000-0005-0000-0000-00001F000000}"/>
    <cellStyle name="표준 2 2 5" xfId="8" xr:uid="{00000000-0005-0000-0000-000020000000}"/>
    <cellStyle name="표준 2 2 6" xfId="10" xr:uid="{00000000-0005-0000-0000-000021000000}"/>
    <cellStyle name="표준 2 2 7" xfId="12" xr:uid="{00000000-0005-0000-0000-000022000000}"/>
    <cellStyle name="표준 2 2 8" xfId="14" xr:uid="{00000000-0005-0000-0000-000023000000}"/>
    <cellStyle name="표준 2 2 9" xfId="16" xr:uid="{00000000-0005-0000-0000-000024000000}"/>
    <cellStyle name="표준 8" xfId="37" xr:uid="{00000000-0005-0000-0000-000025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J38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J8" sqref="J8"/>
    </sheetView>
  </sheetViews>
  <sheetFormatPr defaultRowHeight="14.1" customHeight="1" x14ac:dyDescent="0.3"/>
  <cols>
    <col min="1" max="2" width="27.75" style="2" customWidth="1"/>
    <col min="3" max="3" width="16.375" style="4" bestFit="1" customWidth="1"/>
    <col min="4" max="4" width="5.875" style="1" customWidth="1"/>
    <col min="5" max="5" width="14.75" style="2" bestFit="1" customWidth="1"/>
    <col min="6" max="6" width="8.5" style="2" bestFit="1" customWidth="1"/>
    <col min="8" max="8" width="25" style="1" bestFit="1" customWidth="1"/>
    <col min="9" max="16384" width="9" style="1"/>
  </cols>
  <sheetData>
    <row r="1" spans="1:10" s="3" customFormat="1" ht="99.95" customHeight="1" x14ac:dyDescent="0.3">
      <c r="A1" s="5" t="s">
        <v>2</v>
      </c>
      <c r="B1" s="5" t="s">
        <v>8</v>
      </c>
      <c r="C1" s="3" t="s">
        <v>3</v>
      </c>
      <c r="D1" s="3" t="s">
        <v>4</v>
      </c>
      <c r="E1" s="3" t="s">
        <v>53</v>
      </c>
      <c r="F1" s="10" t="s">
        <v>55</v>
      </c>
      <c r="G1" s="3" t="s">
        <v>5</v>
      </c>
      <c r="H1" s="3" t="s">
        <v>89</v>
      </c>
      <c r="I1" s="3" t="s">
        <v>52</v>
      </c>
    </row>
    <row r="2" spans="1:10" s="8" customFormat="1" ht="18" customHeight="1" x14ac:dyDescent="0.3">
      <c r="A2" s="7" t="s">
        <v>6</v>
      </c>
      <c r="B2" s="7"/>
      <c r="C2" s="7" t="s">
        <v>1</v>
      </c>
      <c r="D2" s="6" t="s">
        <v>0</v>
      </c>
      <c r="E2" s="7" t="s">
        <v>1</v>
      </c>
      <c r="F2" s="6" t="s">
        <v>0</v>
      </c>
      <c r="G2" s="9" t="s">
        <v>6</v>
      </c>
      <c r="H2" s="9" t="s">
        <v>7</v>
      </c>
      <c r="I2" s="9"/>
    </row>
    <row r="3" spans="1:10" s="12" customFormat="1" ht="14.1" customHeight="1" x14ac:dyDescent="0.3">
      <c r="A3" s="11">
        <v>1</v>
      </c>
      <c r="B3" s="11" t="s">
        <v>14</v>
      </c>
      <c r="C3" s="12" t="s">
        <v>42</v>
      </c>
      <c r="D3" s="12" t="s">
        <v>23</v>
      </c>
      <c r="E3" s="13" t="s">
        <v>56</v>
      </c>
      <c r="F3" s="14">
        <v>50</v>
      </c>
      <c r="G3" s="15">
        <v>100</v>
      </c>
      <c r="H3" s="12" t="s">
        <v>91</v>
      </c>
      <c r="I3" s="16"/>
      <c r="J3" s="16"/>
    </row>
    <row r="4" spans="1:10" s="12" customFormat="1" ht="14.1" customHeight="1" x14ac:dyDescent="0.3">
      <c r="A4" s="11">
        <v>2</v>
      </c>
      <c r="B4" s="12" t="s">
        <v>15</v>
      </c>
      <c r="C4" s="12" t="s">
        <v>43</v>
      </c>
      <c r="D4" s="12" t="s">
        <v>23</v>
      </c>
      <c r="E4" s="13" t="s">
        <v>57</v>
      </c>
      <c r="F4" s="14">
        <v>50</v>
      </c>
      <c r="G4" s="15">
        <v>100</v>
      </c>
      <c r="H4" s="12" t="s">
        <v>93</v>
      </c>
      <c r="I4" s="16"/>
      <c r="J4" s="16"/>
    </row>
    <row r="5" spans="1:10" s="12" customFormat="1" ht="14.1" customHeight="1" x14ac:dyDescent="0.3">
      <c r="A5" s="11">
        <v>3</v>
      </c>
      <c r="B5" s="12" t="s">
        <v>16</v>
      </c>
      <c r="C5" s="12" t="s">
        <v>44</v>
      </c>
      <c r="D5" s="12" t="s">
        <v>23</v>
      </c>
      <c r="E5" s="13" t="s">
        <v>58</v>
      </c>
      <c r="F5" s="14">
        <v>50</v>
      </c>
      <c r="G5" s="15">
        <v>100</v>
      </c>
      <c r="H5" s="12" t="s">
        <v>95</v>
      </c>
      <c r="I5" s="16"/>
      <c r="J5" s="16"/>
    </row>
    <row r="6" spans="1:10" s="12" customFormat="1" ht="14.1" customHeight="1" x14ac:dyDescent="0.3">
      <c r="A6" s="11">
        <v>4</v>
      </c>
      <c r="B6" s="12" t="s">
        <v>17</v>
      </c>
      <c r="C6" s="12" t="s">
        <v>45</v>
      </c>
      <c r="D6" s="12" t="s">
        <v>23</v>
      </c>
      <c r="E6" s="13" t="s">
        <v>59</v>
      </c>
      <c r="F6" s="14">
        <v>50</v>
      </c>
      <c r="G6" s="15">
        <v>100</v>
      </c>
      <c r="H6" s="12" t="s">
        <v>97</v>
      </c>
      <c r="I6" s="16"/>
      <c r="J6" s="16"/>
    </row>
    <row r="7" spans="1:10" s="12" customFormat="1" ht="14.1" customHeight="1" x14ac:dyDescent="0.3">
      <c r="A7" s="11">
        <v>5</v>
      </c>
      <c r="B7" s="12" t="s">
        <v>18</v>
      </c>
      <c r="C7" s="12" t="s">
        <v>46</v>
      </c>
      <c r="D7" s="12" t="s">
        <v>23</v>
      </c>
      <c r="E7" s="13" t="s">
        <v>60</v>
      </c>
      <c r="F7" s="14">
        <v>50</v>
      </c>
      <c r="G7" s="15">
        <v>100</v>
      </c>
      <c r="H7" s="12" t="s">
        <v>99</v>
      </c>
      <c r="I7" s="16"/>
      <c r="J7" s="16"/>
    </row>
    <row r="8" spans="1:10" s="12" customFormat="1" ht="14.1" customHeight="1" x14ac:dyDescent="0.3">
      <c r="A8" s="11">
        <v>6</v>
      </c>
      <c r="B8" s="12" t="s">
        <v>19</v>
      </c>
      <c r="C8" s="12" t="s">
        <v>47</v>
      </c>
      <c r="D8" s="12" t="s">
        <v>23</v>
      </c>
      <c r="E8" s="13" t="s">
        <v>61</v>
      </c>
      <c r="F8" s="14">
        <v>50</v>
      </c>
      <c r="G8" s="15">
        <v>100</v>
      </c>
      <c r="H8" s="12" t="s">
        <v>101</v>
      </c>
      <c r="I8" s="16"/>
      <c r="J8" s="16"/>
    </row>
    <row r="9" spans="1:10" s="12" customFormat="1" ht="14.1" customHeight="1" x14ac:dyDescent="0.3">
      <c r="A9" s="11">
        <v>7</v>
      </c>
      <c r="B9" s="12" t="s">
        <v>20</v>
      </c>
      <c r="C9" s="12" t="s">
        <v>48</v>
      </c>
      <c r="D9" s="12" t="s">
        <v>23</v>
      </c>
      <c r="E9" s="13" t="s">
        <v>62</v>
      </c>
      <c r="F9" s="14">
        <v>50</v>
      </c>
      <c r="G9" s="15">
        <v>100</v>
      </c>
      <c r="H9" s="12" t="s">
        <v>103</v>
      </c>
      <c r="I9" s="16"/>
      <c r="J9" s="16"/>
    </row>
    <row r="10" spans="1:10" s="12" customFormat="1" ht="14.1" customHeight="1" x14ac:dyDescent="0.3">
      <c r="A10" s="11">
        <v>8</v>
      </c>
      <c r="B10" s="12" t="s">
        <v>21</v>
      </c>
      <c r="C10" s="12" t="s">
        <v>49</v>
      </c>
      <c r="D10" s="12" t="s">
        <v>23</v>
      </c>
      <c r="E10" s="13" t="s">
        <v>63</v>
      </c>
      <c r="F10" s="14">
        <v>50</v>
      </c>
      <c r="G10" s="15">
        <v>100</v>
      </c>
      <c r="H10" s="12" t="s">
        <v>105</v>
      </c>
      <c r="I10" s="16"/>
      <c r="J10" s="16"/>
    </row>
    <row r="11" spans="1:10" s="12" customFormat="1" ht="14.1" customHeight="1" x14ac:dyDescent="0.3">
      <c r="A11" s="11">
        <v>9</v>
      </c>
      <c r="B11" s="12" t="s">
        <v>22</v>
      </c>
      <c r="C11" s="12" t="s">
        <v>50</v>
      </c>
      <c r="D11" s="12" t="s">
        <v>23</v>
      </c>
      <c r="E11" s="13" t="s">
        <v>64</v>
      </c>
      <c r="F11" s="14">
        <v>50</v>
      </c>
      <c r="G11" s="15">
        <v>100</v>
      </c>
      <c r="H11" s="12" t="s">
        <v>107</v>
      </c>
      <c r="I11" s="16">
        <f>SUM(G3:G11)</f>
        <v>900</v>
      </c>
      <c r="J11" s="16"/>
    </row>
    <row r="12" spans="1:10" s="18" customFormat="1" ht="14.1" customHeight="1" x14ac:dyDescent="0.3">
      <c r="A12" s="17">
        <v>10</v>
      </c>
      <c r="B12" s="17" t="s">
        <v>14</v>
      </c>
      <c r="C12" s="18" t="s">
        <v>24</v>
      </c>
      <c r="D12" s="18" t="s">
        <v>51</v>
      </c>
      <c r="E12" s="19" t="s">
        <v>56</v>
      </c>
      <c r="F12" s="20">
        <v>80</v>
      </c>
      <c r="G12" s="21">
        <v>100</v>
      </c>
      <c r="H12" s="18" t="s">
        <v>90</v>
      </c>
      <c r="I12" s="22"/>
      <c r="J12" s="22"/>
    </row>
    <row r="13" spans="1:10" s="18" customFormat="1" ht="14.1" customHeight="1" x14ac:dyDescent="0.3">
      <c r="A13" s="17">
        <v>11</v>
      </c>
      <c r="B13" s="18" t="s">
        <v>15</v>
      </c>
      <c r="C13" s="18" t="s">
        <v>25</v>
      </c>
      <c r="D13" s="18" t="s">
        <v>51</v>
      </c>
      <c r="E13" s="19" t="s">
        <v>57</v>
      </c>
      <c r="F13" s="20">
        <v>80</v>
      </c>
      <c r="G13" s="21">
        <v>100</v>
      </c>
      <c r="H13" s="18" t="s">
        <v>92</v>
      </c>
      <c r="I13" s="22"/>
      <c r="J13" s="22"/>
    </row>
    <row r="14" spans="1:10" s="18" customFormat="1" ht="14.1" customHeight="1" x14ac:dyDescent="0.3">
      <c r="A14" s="17">
        <v>12</v>
      </c>
      <c r="B14" s="18" t="s">
        <v>16</v>
      </c>
      <c r="C14" s="18" t="s">
        <v>26</v>
      </c>
      <c r="D14" s="18" t="s">
        <v>51</v>
      </c>
      <c r="E14" s="19" t="s">
        <v>58</v>
      </c>
      <c r="F14" s="20">
        <v>80</v>
      </c>
      <c r="G14" s="21">
        <v>100</v>
      </c>
      <c r="H14" s="18" t="s">
        <v>94</v>
      </c>
      <c r="I14" s="22"/>
      <c r="J14" s="22"/>
    </row>
    <row r="15" spans="1:10" s="18" customFormat="1" ht="14.1" customHeight="1" x14ac:dyDescent="0.3">
      <c r="A15" s="17">
        <v>13</v>
      </c>
      <c r="B15" s="18" t="s">
        <v>17</v>
      </c>
      <c r="C15" s="18" t="s">
        <v>27</v>
      </c>
      <c r="D15" s="18" t="s">
        <v>51</v>
      </c>
      <c r="E15" s="19" t="s">
        <v>59</v>
      </c>
      <c r="F15" s="20">
        <v>80</v>
      </c>
      <c r="G15" s="21">
        <v>100</v>
      </c>
      <c r="H15" s="18" t="s">
        <v>96</v>
      </c>
      <c r="I15" s="22"/>
      <c r="J15" s="22"/>
    </row>
    <row r="16" spans="1:10" s="18" customFormat="1" ht="14.1" customHeight="1" x14ac:dyDescent="0.3">
      <c r="A16" s="17">
        <v>14</v>
      </c>
      <c r="B16" s="18" t="s">
        <v>18</v>
      </c>
      <c r="C16" s="18" t="s">
        <v>28</v>
      </c>
      <c r="D16" s="18" t="s">
        <v>51</v>
      </c>
      <c r="E16" s="19" t="s">
        <v>60</v>
      </c>
      <c r="F16" s="20">
        <v>80</v>
      </c>
      <c r="G16" s="21">
        <v>100</v>
      </c>
      <c r="H16" s="18" t="s">
        <v>98</v>
      </c>
      <c r="I16" s="22"/>
      <c r="J16" s="22"/>
    </row>
    <row r="17" spans="1:10" s="18" customFormat="1" ht="14.1" customHeight="1" x14ac:dyDescent="0.3">
      <c r="A17" s="17">
        <v>15</v>
      </c>
      <c r="B17" s="18" t="s">
        <v>19</v>
      </c>
      <c r="C17" s="18" t="s">
        <v>29</v>
      </c>
      <c r="D17" s="18" t="s">
        <v>51</v>
      </c>
      <c r="E17" s="19" t="s">
        <v>61</v>
      </c>
      <c r="F17" s="20">
        <v>80</v>
      </c>
      <c r="G17" s="21">
        <v>100</v>
      </c>
      <c r="H17" s="18" t="s">
        <v>100</v>
      </c>
      <c r="I17" s="22"/>
      <c r="J17" s="22"/>
    </row>
    <row r="18" spans="1:10" s="18" customFormat="1" ht="14.1" customHeight="1" x14ac:dyDescent="0.3">
      <c r="A18" s="17">
        <v>16</v>
      </c>
      <c r="B18" s="18" t="s">
        <v>20</v>
      </c>
      <c r="C18" s="18" t="s">
        <v>30</v>
      </c>
      <c r="D18" s="18" t="s">
        <v>51</v>
      </c>
      <c r="E18" s="19" t="s">
        <v>62</v>
      </c>
      <c r="F18" s="20">
        <v>80</v>
      </c>
      <c r="G18" s="21">
        <v>100</v>
      </c>
      <c r="H18" s="18" t="s">
        <v>102</v>
      </c>
      <c r="I18" s="22"/>
      <c r="J18" s="22"/>
    </row>
    <row r="19" spans="1:10" s="18" customFormat="1" ht="14.1" customHeight="1" x14ac:dyDescent="0.3">
      <c r="A19" s="17">
        <v>17</v>
      </c>
      <c r="B19" s="18" t="s">
        <v>21</v>
      </c>
      <c r="C19" s="18" t="s">
        <v>31</v>
      </c>
      <c r="D19" s="18" t="s">
        <v>51</v>
      </c>
      <c r="E19" s="19" t="s">
        <v>63</v>
      </c>
      <c r="F19" s="20">
        <v>80</v>
      </c>
      <c r="G19" s="21">
        <v>100</v>
      </c>
      <c r="H19" s="18" t="s">
        <v>104</v>
      </c>
      <c r="I19" s="22"/>
      <c r="J19" s="22"/>
    </row>
    <row r="20" spans="1:10" s="18" customFormat="1" ht="14.1" customHeight="1" x14ac:dyDescent="0.3">
      <c r="A20" s="17">
        <v>18</v>
      </c>
      <c r="B20" s="18" t="s">
        <v>22</v>
      </c>
      <c r="C20" s="18" t="s">
        <v>32</v>
      </c>
      <c r="D20" s="18" t="s">
        <v>51</v>
      </c>
      <c r="E20" s="19" t="s">
        <v>64</v>
      </c>
      <c r="F20" s="20">
        <v>80</v>
      </c>
      <c r="G20" s="21">
        <v>100</v>
      </c>
      <c r="H20" s="18" t="s">
        <v>106</v>
      </c>
      <c r="I20" s="22">
        <f>SUM(G12:G20)</f>
        <v>900</v>
      </c>
      <c r="J20" s="22"/>
    </row>
    <row r="21" spans="1:10" s="24" customFormat="1" ht="14.1" customHeight="1" x14ac:dyDescent="0.3">
      <c r="A21" s="23">
        <v>19</v>
      </c>
      <c r="B21" s="23" t="s">
        <v>14</v>
      </c>
      <c r="C21" s="24" t="s">
        <v>33</v>
      </c>
      <c r="D21" s="24" t="s">
        <v>13</v>
      </c>
      <c r="E21" s="25" t="s">
        <v>56</v>
      </c>
      <c r="F21" s="26">
        <v>100</v>
      </c>
      <c r="G21" s="27">
        <v>100</v>
      </c>
      <c r="H21" s="24" t="s">
        <v>90</v>
      </c>
      <c r="I21" s="28"/>
      <c r="J21" s="28"/>
    </row>
    <row r="22" spans="1:10" s="24" customFormat="1" ht="14.1" customHeight="1" x14ac:dyDescent="0.3">
      <c r="A22" s="23">
        <v>20</v>
      </c>
      <c r="B22" s="24" t="s">
        <v>15</v>
      </c>
      <c r="C22" s="24" t="s">
        <v>34</v>
      </c>
      <c r="D22" s="24" t="s">
        <v>13</v>
      </c>
      <c r="E22" s="25" t="s">
        <v>57</v>
      </c>
      <c r="F22" s="26">
        <v>100</v>
      </c>
      <c r="G22" s="27">
        <v>100</v>
      </c>
      <c r="H22" s="24" t="s">
        <v>92</v>
      </c>
      <c r="I22" s="28"/>
      <c r="J22" s="28"/>
    </row>
    <row r="23" spans="1:10" s="24" customFormat="1" ht="14.1" customHeight="1" x14ac:dyDescent="0.3">
      <c r="A23" s="23">
        <v>21</v>
      </c>
      <c r="B23" s="24" t="s">
        <v>16</v>
      </c>
      <c r="C23" s="24" t="s">
        <v>35</v>
      </c>
      <c r="D23" s="24" t="s">
        <v>13</v>
      </c>
      <c r="E23" s="25" t="s">
        <v>58</v>
      </c>
      <c r="F23" s="26">
        <v>100</v>
      </c>
      <c r="G23" s="27">
        <v>100</v>
      </c>
      <c r="H23" s="24" t="s">
        <v>94</v>
      </c>
      <c r="I23" s="28"/>
      <c r="J23" s="28"/>
    </row>
    <row r="24" spans="1:10" s="24" customFormat="1" ht="14.1" customHeight="1" x14ac:dyDescent="0.3">
      <c r="A24" s="23">
        <v>22</v>
      </c>
      <c r="B24" s="24" t="s">
        <v>17</v>
      </c>
      <c r="C24" s="24" t="s">
        <v>36</v>
      </c>
      <c r="D24" s="24" t="s">
        <v>13</v>
      </c>
      <c r="E24" s="25" t="s">
        <v>59</v>
      </c>
      <c r="F24" s="26">
        <v>100</v>
      </c>
      <c r="G24" s="27">
        <v>100</v>
      </c>
      <c r="H24" s="24" t="s">
        <v>96</v>
      </c>
      <c r="I24" s="28"/>
      <c r="J24" s="28"/>
    </row>
    <row r="25" spans="1:10" s="24" customFormat="1" ht="14.1" customHeight="1" x14ac:dyDescent="0.3">
      <c r="A25" s="23">
        <v>23</v>
      </c>
      <c r="B25" s="24" t="s">
        <v>18</v>
      </c>
      <c r="C25" s="24" t="s">
        <v>37</v>
      </c>
      <c r="D25" s="24" t="s">
        <v>13</v>
      </c>
      <c r="E25" s="25" t="s">
        <v>60</v>
      </c>
      <c r="F25" s="26">
        <v>100</v>
      </c>
      <c r="G25" s="27">
        <v>100</v>
      </c>
      <c r="H25" s="24" t="s">
        <v>98</v>
      </c>
      <c r="I25" s="28"/>
      <c r="J25" s="28"/>
    </row>
    <row r="26" spans="1:10" s="24" customFormat="1" ht="14.1" customHeight="1" x14ac:dyDescent="0.3">
      <c r="A26" s="23">
        <v>24</v>
      </c>
      <c r="B26" s="24" t="s">
        <v>19</v>
      </c>
      <c r="C26" s="24" t="s">
        <v>38</v>
      </c>
      <c r="D26" s="24" t="s">
        <v>13</v>
      </c>
      <c r="E26" s="25" t="s">
        <v>61</v>
      </c>
      <c r="F26" s="26">
        <v>100</v>
      </c>
      <c r="G26" s="27">
        <v>100</v>
      </c>
      <c r="H26" s="24" t="s">
        <v>100</v>
      </c>
      <c r="I26" s="28"/>
      <c r="J26" s="28"/>
    </row>
    <row r="27" spans="1:10" s="24" customFormat="1" ht="14.1" customHeight="1" x14ac:dyDescent="0.3">
      <c r="A27" s="23">
        <v>25</v>
      </c>
      <c r="B27" s="24" t="s">
        <v>20</v>
      </c>
      <c r="C27" s="24" t="s">
        <v>39</v>
      </c>
      <c r="D27" s="24" t="s">
        <v>13</v>
      </c>
      <c r="E27" s="25" t="s">
        <v>62</v>
      </c>
      <c r="F27" s="26">
        <v>100</v>
      </c>
      <c r="G27" s="27">
        <v>100</v>
      </c>
      <c r="H27" s="24" t="s">
        <v>102</v>
      </c>
      <c r="I27" s="28"/>
      <c r="J27" s="28"/>
    </row>
    <row r="28" spans="1:10" s="24" customFormat="1" ht="14.1" customHeight="1" x14ac:dyDescent="0.3">
      <c r="A28" s="23">
        <v>26</v>
      </c>
      <c r="B28" s="24" t="s">
        <v>21</v>
      </c>
      <c r="C28" s="24" t="s">
        <v>40</v>
      </c>
      <c r="D28" s="24" t="s">
        <v>13</v>
      </c>
      <c r="E28" s="25" t="s">
        <v>63</v>
      </c>
      <c r="F28" s="26">
        <v>100</v>
      </c>
      <c r="G28" s="27">
        <v>100</v>
      </c>
      <c r="H28" s="24" t="s">
        <v>104</v>
      </c>
      <c r="I28" s="28"/>
      <c r="J28" s="28"/>
    </row>
    <row r="29" spans="1:10" s="24" customFormat="1" ht="13.5" customHeight="1" x14ac:dyDescent="0.3">
      <c r="A29" s="23">
        <v>27</v>
      </c>
      <c r="B29" s="24" t="s">
        <v>22</v>
      </c>
      <c r="C29" s="24" t="s">
        <v>41</v>
      </c>
      <c r="D29" s="24" t="s">
        <v>13</v>
      </c>
      <c r="E29" s="25" t="s">
        <v>64</v>
      </c>
      <c r="F29" s="26">
        <v>100</v>
      </c>
      <c r="G29" s="27">
        <v>100</v>
      </c>
      <c r="H29" s="24" t="s">
        <v>106</v>
      </c>
      <c r="I29" s="28">
        <f>SUM(G21:G29)</f>
        <v>900</v>
      </c>
      <c r="J29" s="28"/>
    </row>
    <row r="30" spans="1:10" s="30" customFormat="1" ht="14.1" customHeight="1" x14ac:dyDescent="0.3">
      <c r="A30" s="29">
        <v>28</v>
      </c>
      <c r="B30" s="29" t="s">
        <v>65</v>
      </c>
      <c r="C30" s="30" t="s">
        <v>10</v>
      </c>
      <c r="D30" s="30" t="s">
        <v>9</v>
      </c>
      <c r="E30" s="31" t="s">
        <v>54</v>
      </c>
      <c r="F30" s="30" t="s">
        <v>79</v>
      </c>
      <c r="G30" s="32">
        <v>100</v>
      </c>
      <c r="H30" s="30" t="s">
        <v>108</v>
      </c>
    </row>
    <row r="31" spans="1:10" s="30" customFormat="1" ht="14.1" customHeight="1" x14ac:dyDescent="0.3">
      <c r="A31" s="29">
        <v>29</v>
      </c>
      <c r="B31" s="29" t="s">
        <v>66</v>
      </c>
      <c r="C31" s="30" t="s">
        <v>11</v>
      </c>
      <c r="D31" s="30" t="s">
        <v>9</v>
      </c>
      <c r="E31" s="31" t="s">
        <v>54</v>
      </c>
      <c r="F31" s="30" t="s">
        <v>80</v>
      </c>
      <c r="G31" s="32">
        <v>100</v>
      </c>
      <c r="H31" s="30" t="s">
        <v>109</v>
      </c>
    </row>
    <row r="32" spans="1:10" s="30" customFormat="1" ht="14.1" customHeight="1" x14ac:dyDescent="0.3">
      <c r="A32" s="29">
        <v>30</v>
      </c>
      <c r="B32" s="30" t="s">
        <v>67</v>
      </c>
      <c r="C32" s="30" t="s">
        <v>12</v>
      </c>
      <c r="D32" s="30" t="s">
        <v>9</v>
      </c>
      <c r="E32" s="31" t="s">
        <v>54</v>
      </c>
      <c r="F32" s="30" t="s">
        <v>81</v>
      </c>
      <c r="G32" s="32">
        <v>100</v>
      </c>
      <c r="H32" s="30" t="s">
        <v>110</v>
      </c>
    </row>
    <row r="33" spans="1:9" s="30" customFormat="1" ht="14.1" customHeight="1" x14ac:dyDescent="0.3">
      <c r="A33" s="29">
        <v>31</v>
      </c>
      <c r="B33" s="30" t="s">
        <v>68</v>
      </c>
      <c r="C33" s="30" t="s">
        <v>73</v>
      </c>
      <c r="D33" s="30" t="s">
        <v>9</v>
      </c>
      <c r="E33" s="31" t="s">
        <v>54</v>
      </c>
      <c r="F33" s="30" t="s">
        <v>82</v>
      </c>
      <c r="G33" s="32">
        <v>100</v>
      </c>
      <c r="H33" s="30" t="s">
        <v>111</v>
      </c>
      <c r="I33" s="29"/>
    </row>
    <row r="34" spans="1:9" s="30" customFormat="1" ht="14.1" customHeight="1" x14ac:dyDescent="0.3">
      <c r="A34" s="29">
        <v>32</v>
      </c>
      <c r="B34" s="30" t="s">
        <v>69</v>
      </c>
      <c r="C34" s="30" t="s">
        <v>74</v>
      </c>
      <c r="D34" s="30" t="s">
        <v>9</v>
      </c>
      <c r="E34" s="31" t="s">
        <v>54</v>
      </c>
      <c r="F34" s="30" t="s">
        <v>83</v>
      </c>
      <c r="G34" s="32">
        <v>100</v>
      </c>
      <c r="H34" s="30" t="s">
        <v>112</v>
      </c>
    </row>
    <row r="35" spans="1:9" s="30" customFormat="1" ht="14.1" customHeight="1" x14ac:dyDescent="0.3">
      <c r="A35" s="29">
        <v>33</v>
      </c>
      <c r="B35" s="30" t="s">
        <v>70</v>
      </c>
      <c r="C35" s="30" t="s">
        <v>75</v>
      </c>
      <c r="D35" s="30" t="s">
        <v>9</v>
      </c>
      <c r="E35" s="31" t="s">
        <v>54</v>
      </c>
      <c r="F35" s="30" t="s">
        <v>84</v>
      </c>
      <c r="G35" s="32">
        <v>100</v>
      </c>
      <c r="H35" s="30" t="s">
        <v>113</v>
      </c>
    </row>
    <row r="36" spans="1:9" s="30" customFormat="1" ht="14.1" customHeight="1" x14ac:dyDescent="0.3">
      <c r="A36" s="29">
        <v>34</v>
      </c>
      <c r="B36" s="30" t="s">
        <v>71</v>
      </c>
      <c r="C36" s="30" t="s">
        <v>76</v>
      </c>
      <c r="D36" s="30" t="s">
        <v>9</v>
      </c>
      <c r="E36" s="31" t="s">
        <v>54</v>
      </c>
      <c r="F36" s="30" t="s">
        <v>85</v>
      </c>
      <c r="G36" s="32">
        <v>100</v>
      </c>
      <c r="H36" s="30" t="s">
        <v>114</v>
      </c>
    </row>
    <row r="37" spans="1:9" s="30" customFormat="1" ht="14.1" customHeight="1" x14ac:dyDescent="0.3">
      <c r="A37" s="29">
        <v>35</v>
      </c>
      <c r="B37" s="30" t="s">
        <v>72</v>
      </c>
      <c r="C37" s="30" t="s">
        <v>77</v>
      </c>
      <c r="D37" s="30" t="s">
        <v>9</v>
      </c>
      <c r="E37" s="31" t="s">
        <v>54</v>
      </c>
      <c r="F37" s="30" t="s">
        <v>86</v>
      </c>
      <c r="G37" s="32">
        <v>100</v>
      </c>
      <c r="H37" s="30" t="s">
        <v>115</v>
      </c>
    </row>
    <row r="38" spans="1:9" s="30" customFormat="1" ht="14.1" customHeight="1" x14ac:dyDescent="0.3">
      <c r="A38" s="29">
        <v>36</v>
      </c>
      <c r="B38" s="30" t="s">
        <v>88</v>
      </c>
      <c r="C38" s="30" t="s">
        <v>78</v>
      </c>
      <c r="D38" s="30" t="s">
        <v>9</v>
      </c>
      <c r="E38" s="31" t="s">
        <v>54</v>
      </c>
      <c r="F38" s="30" t="s">
        <v>87</v>
      </c>
      <c r="G38" s="32">
        <v>100</v>
      </c>
      <c r="H38" s="30" t="s">
        <v>116</v>
      </c>
      <c r="I38" s="33">
        <f>SUM(G30:G38)</f>
        <v>900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OrdealArenaBuffTable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2020-11-02T05:42:14Z</dcterms:modified>
</cp:coreProperties>
</file>