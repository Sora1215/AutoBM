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4D1C537B-E38A-612A-F078-A93A15B4B7F4}"/>
  <workbookPr filterPrivacy="1" codeName="현재_통합_문서" defaultThemeVersion="124226"/>
  <xr:revisionPtr revIDLastSave="0" documentId="13_ncr:1_{611E2F19-9491-46C4-831E-5B58F628B9C8}" xr6:coauthVersionLast="47" xr6:coauthVersionMax="47" xr10:uidLastSave="{00000000-0000-0000-0000-000000000000}"/>
  <bookViews>
    <workbookView xWindow="-120" yWindow="-120" windowWidth="27420" windowHeight="16440" tabRatio="601" xr2:uid="{00000000-000D-0000-FFFF-FFFF00000000}"/>
  </bookViews>
  <sheets>
    <sheet name="EquipItemTable" sheetId="3" r:id="rId1"/>
    <sheet name="옵션그룹계산1" sheetId="4" r:id="rId2"/>
    <sheet name="옵션그룹계산2" sheetId="5" r:id="rId3"/>
    <sheet name="색인" sheetId="6" r:id="rId4"/>
  </sheets>
  <definedNames>
    <definedName name="_xlnm._FilterDatabase" localSheetId="0" hidden="1">EquipItemTable!$A$2:$BA$2643</definedName>
    <definedName name="_xlnm._FilterDatabase" localSheetId="2" hidden="1">옵션그룹계산2!$B$2:$L$110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06" i="3" l="1"/>
  <c r="X105" i="3"/>
  <c r="X104" i="3"/>
  <c r="X83" i="3" l="1"/>
  <c r="X103" i="3"/>
  <c r="X92" i="3" l="1"/>
  <c r="X91" i="3"/>
  <c r="X89" i="3" l="1"/>
  <c r="X86" i="3" l="1"/>
  <c r="O195" i="4" l="1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N197" i="4"/>
  <c r="O197" i="4"/>
  <c r="N198" i="4"/>
  <c r="O198" i="4"/>
  <c r="N199" i="4"/>
  <c r="O199" i="4"/>
  <c r="N200" i="4"/>
  <c r="O200" i="4"/>
  <c r="N201" i="4"/>
  <c r="O201" i="4"/>
  <c r="N202" i="4"/>
  <c r="O202" i="4"/>
  <c r="N203" i="4"/>
  <c r="O203" i="4"/>
  <c r="N204" i="4"/>
  <c r="O204" i="4"/>
  <c r="N205" i="4"/>
  <c r="O205" i="4"/>
  <c r="N206" i="4"/>
  <c r="O206" i="4"/>
  <c r="N207" i="4"/>
  <c r="O207" i="4"/>
  <c r="N208" i="4"/>
  <c r="O208" i="4"/>
  <c r="N209" i="4"/>
  <c r="O209" i="4"/>
  <c r="N210" i="4"/>
  <c r="O210" i="4"/>
  <c r="N211" i="4"/>
  <c r="O211" i="4"/>
  <c r="N212" i="4"/>
  <c r="O212" i="4"/>
  <c r="N213" i="4"/>
  <c r="O213" i="4"/>
  <c r="N214" i="4"/>
  <c r="O214" i="4"/>
  <c r="N215" i="4"/>
  <c r="O215" i="4"/>
  <c r="N216" i="4"/>
  <c r="O216" i="4"/>
  <c r="N217" i="4"/>
  <c r="O217" i="4"/>
  <c r="N218" i="4"/>
  <c r="O218" i="4"/>
  <c r="N219" i="4"/>
  <c r="O219" i="4"/>
  <c r="O196" i="4"/>
  <c r="N196" i="4"/>
  <c r="AD193" i="4" l="1"/>
  <c r="AD189" i="4"/>
  <c r="AD185" i="4"/>
  <c r="AD181" i="4"/>
  <c r="AD177" i="4"/>
  <c r="AD173" i="4"/>
  <c r="AD169" i="4"/>
  <c r="AD165" i="4"/>
  <c r="AD161" i="4"/>
  <c r="AD157" i="4"/>
  <c r="AD153" i="4"/>
  <c r="AD149" i="4"/>
  <c r="V203" i="4"/>
  <c r="U203" i="4"/>
  <c r="AD203" i="4" s="1"/>
  <c r="V202" i="4"/>
  <c r="U202" i="4"/>
  <c r="AD202" i="4" s="1"/>
  <c r="V201" i="4"/>
  <c r="U201" i="4"/>
  <c r="AD201" i="4" s="1"/>
  <c r="V200" i="4"/>
  <c r="U200" i="4"/>
  <c r="AD200" i="4" s="1"/>
  <c r="V199" i="4"/>
  <c r="U199" i="4"/>
  <c r="AD199" i="4" s="1"/>
  <c r="V198" i="4"/>
  <c r="U198" i="4"/>
  <c r="AD198" i="4" s="1"/>
  <c r="V197" i="4"/>
  <c r="U197" i="4"/>
  <c r="AD197" i="4" s="1"/>
  <c r="V196" i="4"/>
  <c r="U196" i="4"/>
  <c r="V195" i="4"/>
  <c r="U195" i="4"/>
  <c r="AD195" i="4" s="1"/>
  <c r="V194" i="4"/>
  <c r="U194" i="4"/>
  <c r="AD194" i="4" s="1"/>
  <c r="V193" i="4"/>
  <c r="U193" i="4"/>
  <c r="V192" i="4"/>
  <c r="U192" i="4"/>
  <c r="AD192" i="4" s="1"/>
  <c r="V191" i="4"/>
  <c r="U191" i="4"/>
  <c r="AD191" i="4" s="1"/>
  <c r="V190" i="4"/>
  <c r="U190" i="4"/>
  <c r="AD190" i="4" s="1"/>
  <c r="V189" i="4"/>
  <c r="U189" i="4"/>
  <c r="V188" i="4"/>
  <c r="U188" i="4"/>
  <c r="AD188" i="4" s="1"/>
  <c r="V187" i="4"/>
  <c r="U187" i="4"/>
  <c r="AD187" i="4" s="1"/>
  <c r="V186" i="4"/>
  <c r="U186" i="4"/>
  <c r="AD186" i="4" s="1"/>
  <c r="V185" i="4"/>
  <c r="U185" i="4"/>
  <c r="V184" i="4"/>
  <c r="U184" i="4"/>
  <c r="AD184" i="4" s="1"/>
  <c r="V183" i="4"/>
  <c r="U183" i="4"/>
  <c r="AD183" i="4" s="1"/>
  <c r="V182" i="4"/>
  <c r="U182" i="4"/>
  <c r="AD182" i="4" s="1"/>
  <c r="V181" i="4"/>
  <c r="U181" i="4"/>
  <c r="V180" i="4"/>
  <c r="U180" i="4"/>
  <c r="AD180" i="4" s="1"/>
  <c r="V179" i="4"/>
  <c r="U179" i="4"/>
  <c r="AD179" i="4" s="1"/>
  <c r="V178" i="4"/>
  <c r="U178" i="4"/>
  <c r="AD178" i="4" s="1"/>
  <c r="V177" i="4"/>
  <c r="U177" i="4"/>
  <c r="V176" i="4"/>
  <c r="U176" i="4"/>
  <c r="AD176" i="4" s="1"/>
  <c r="V175" i="4"/>
  <c r="U175" i="4"/>
  <c r="AD175" i="4" s="1"/>
  <c r="V174" i="4"/>
  <c r="U174" i="4"/>
  <c r="AD174" i="4" s="1"/>
  <c r="V173" i="4"/>
  <c r="U173" i="4"/>
  <c r="V172" i="4"/>
  <c r="U172" i="4"/>
  <c r="AD172" i="4" s="1"/>
  <c r="V171" i="4"/>
  <c r="U171" i="4"/>
  <c r="AD171" i="4" s="1"/>
  <c r="V170" i="4"/>
  <c r="U170" i="4"/>
  <c r="AD170" i="4" s="1"/>
  <c r="V169" i="4"/>
  <c r="U169" i="4"/>
  <c r="V168" i="4"/>
  <c r="U168" i="4"/>
  <c r="AD168" i="4" s="1"/>
  <c r="V167" i="4"/>
  <c r="U167" i="4"/>
  <c r="AD167" i="4" s="1"/>
  <c r="V166" i="4"/>
  <c r="U166" i="4"/>
  <c r="AD166" i="4" s="1"/>
  <c r="V165" i="4"/>
  <c r="U165" i="4"/>
  <c r="V164" i="4"/>
  <c r="U164" i="4"/>
  <c r="AD164" i="4" s="1"/>
  <c r="V163" i="4"/>
  <c r="U163" i="4"/>
  <c r="AD163" i="4" s="1"/>
  <c r="V162" i="4"/>
  <c r="U162" i="4"/>
  <c r="AD162" i="4" s="1"/>
  <c r="V161" i="4"/>
  <c r="U161" i="4"/>
  <c r="V160" i="4"/>
  <c r="U160" i="4"/>
  <c r="AD160" i="4" s="1"/>
  <c r="V159" i="4"/>
  <c r="U159" i="4"/>
  <c r="AD159" i="4" s="1"/>
  <c r="V158" i="4"/>
  <c r="U158" i="4"/>
  <c r="AD158" i="4" s="1"/>
  <c r="V157" i="4"/>
  <c r="U157" i="4"/>
  <c r="V156" i="4"/>
  <c r="U156" i="4"/>
  <c r="AD156" i="4" s="1"/>
  <c r="V155" i="4"/>
  <c r="U155" i="4"/>
  <c r="AD155" i="4" s="1"/>
  <c r="V154" i="4"/>
  <c r="U154" i="4"/>
  <c r="AD154" i="4" s="1"/>
  <c r="V153" i="4"/>
  <c r="U153" i="4"/>
  <c r="V152" i="4"/>
  <c r="U152" i="4"/>
  <c r="AD152" i="4" s="1"/>
  <c r="V151" i="4"/>
  <c r="U151" i="4"/>
  <c r="AD151" i="4" s="1"/>
  <c r="V150" i="4"/>
  <c r="U150" i="4"/>
  <c r="AD150" i="4" s="1"/>
  <c r="V149" i="4"/>
  <c r="U149" i="4"/>
  <c r="V148" i="4"/>
  <c r="U148" i="4"/>
  <c r="AD148" i="4" s="1"/>
  <c r="V147" i="4"/>
  <c r="U147" i="4"/>
  <c r="AD147" i="4" s="1"/>
  <c r="V146" i="4"/>
  <c r="U146" i="4"/>
  <c r="AD146" i="4" s="1"/>
  <c r="V145" i="4"/>
  <c r="U145" i="4"/>
  <c r="AD145" i="4" s="1"/>
  <c r="V144" i="4"/>
  <c r="U144" i="4"/>
  <c r="AD144" i="4" s="1"/>
  <c r="V143" i="4"/>
  <c r="U143" i="4"/>
  <c r="AD143" i="4" s="1"/>
  <c r="V142" i="4"/>
  <c r="U142" i="4"/>
  <c r="AD142" i="4" s="1"/>
  <c r="V141" i="4"/>
  <c r="U141" i="4"/>
  <c r="AD141" i="4" s="1"/>
  <c r="V140" i="4"/>
  <c r="U140" i="4"/>
  <c r="AD140" i="4" s="1"/>
  <c r="V139" i="4"/>
  <c r="U139" i="4"/>
  <c r="AD139" i="4" s="1"/>
  <c r="V138" i="4"/>
  <c r="U138" i="4"/>
  <c r="AD138" i="4" s="1"/>
  <c r="V137" i="4"/>
  <c r="U137" i="4"/>
  <c r="AD137" i="4" s="1"/>
  <c r="V136" i="4"/>
  <c r="U136" i="4"/>
  <c r="AD136" i="4" s="1"/>
  <c r="V135" i="4"/>
  <c r="U135" i="4"/>
  <c r="AD135" i="4" s="1"/>
  <c r="V134" i="4"/>
  <c r="U134" i="4"/>
  <c r="AD134" i="4" s="1"/>
  <c r="V133" i="4"/>
  <c r="U133" i="4"/>
  <c r="AD133" i="4" s="1"/>
  <c r="V132" i="4"/>
  <c r="U132" i="4"/>
  <c r="AD132" i="4" s="1"/>
  <c r="V131" i="4"/>
  <c r="U131" i="4"/>
  <c r="AD131" i="4" s="1"/>
  <c r="V130" i="4"/>
  <c r="U130" i="4"/>
  <c r="AD130" i="4" s="1"/>
  <c r="V129" i="4"/>
  <c r="U129" i="4"/>
  <c r="AD129" i="4" s="1"/>
  <c r="V128" i="4"/>
  <c r="U128" i="4"/>
  <c r="AD128" i="4" s="1"/>
  <c r="V127" i="4"/>
  <c r="U127" i="4"/>
  <c r="AD127" i="4" s="1"/>
  <c r="V126" i="4"/>
  <c r="U126" i="4"/>
  <c r="AD126" i="4" s="1"/>
  <c r="V125" i="4"/>
  <c r="U125" i="4"/>
  <c r="AD125" i="4" s="1"/>
  <c r="V124" i="4"/>
  <c r="U124" i="4"/>
  <c r="AD124" i="4" s="1"/>
  <c r="V123" i="4"/>
  <c r="U123" i="4"/>
  <c r="AD123" i="4" s="1"/>
  <c r="V122" i="4"/>
  <c r="U122" i="4"/>
  <c r="AD122" i="4" s="1"/>
  <c r="V121" i="4"/>
  <c r="U121" i="4"/>
  <c r="AD121" i="4" s="1"/>
  <c r="V120" i="4"/>
  <c r="U120" i="4"/>
  <c r="AD120" i="4" s="1"/>
  <c r="V119" i="4"/>
  <c r="U119" i="4"/>
  <c r="AD119" i="4" s="1"/>
  <c r="V118" i="4"/>
  <c r="U118" i="4"/>
  <c r="AD118" i="4" s="1"/>
  <c r="V117" i="4"/>
  <c r="U117" i="4"/>
  <c r="AD117" i="4" s="1"/>
  <c r="V116" i="4"/>
  <c r="U116" i="4"/>
  <c r="AD116" i="4" s="1"/>
  <c r="V115" i="4"/>
  <c r="U115" i="4"/>
  <c r="AD115" i="4" s="1"/>
  <c r="V114" i="4"/>
  <c r="U114" i="4"/>
  <c r="AD114" i="4" s="1"/>
  <c r="V113" i="4"/>
  <c r="U113" i="4"/>
  <c r="AD113" i="4" s="1"/>
  <c r="V112" i="4"/>
  <c r="U112" i="4"/>
  <c r="AD112" i="4" s="1"/>
  <c r="V111" i="4"/>
  <c r="U111" i="4"/>
  <c r="AD111" i="4" s="1"/>
  <c r="V110" i="4"/>
  <c r="U110" i="4"/>
  <c r="AD110" i="4" s="1"/>
  <c r="V109" i="4"/>
  <c r="U109" i="4"/>
  <c r="AD109" i="4" s="1"/>
  <c r="V108" i="4"/>
  <c r="U108" i="4"/>
  <c r="AD108" i="4" s="1"/>
  <c r="V107" i="4"/>
  <c r="U107" i="4"/>
  <c r="AD107" i="4" s="1"/>
  <c r="V106" i="4"/>
  <c r="U106" i="4"/>
  <c r="AD106" i="4" s="1"/>
  <c r="V105" i="4"/>
  <c r="U105" i="4"/>
  <c r="AD105" i="4" s="1"/>
  <c r="V104" i="4"/>
  <c r="U104" i="4"/>
  <c r="AD104" i="4" s="1"/>
  <c r="V103" i="4"/>
  <c r="U103" i="4"/>
  <c r="AD103" i="4" s="1"/>
  <c r="V102" i="4"/>
  <c r="U102" i="4"/>
  <c r="AD102" i="4" s="1"/>
  <c r="V101" i="4"/>
  <c r="U101" i="4"/>
  <c r="AD101" i="4" s="1"/>
  <c r="V100" i="4"/>
  <c r="U100" i="4"/>
  <c r="AD100" i="4" s="1"/>
  <c r="V99" i="4"/>
  <c r="U99" i="4"/>
  <c r="AD99" i="4" s="1"/>
  <c r="V98" i="4"/>
  <c r="U98" i="4"/>
  <c r="AD98" i="4" s="1"/>
  <c r="V97" i="4"/>
  <c r="U97" i="4"/>
  <c r="AD97" i="4" s="1"/>
  <c r="V96" i="4"/>
  <c r="U96" i="4"/>
  <c r="AD96" i="4" s="1"/>
  <c r="V95" i="4"/>
  <c r="U95" i="4"/>
  <c r="AD95" i="4" s="1"/>
  <c r="V94" i="4"/>
  <c r="U94" i="4"/>
  <c r="AD94" i="4" s="1"/>
  <c r="V93" i="4"/>
  <c r="U93" i="4"/>
  <c r="AD93" i="4" s="1"/>
  <c r="V92" i="4"/>
  <c r="U92" i="4"/>
  <c r="AD92" i="4" s="1"/>
  <c r="V91" i="4"/>
  <c r="U91" i="4"/>
  <c r="AD91" i="4" s="1"/>
  <c r="V90" i="4"/>
  <c r="U90" i="4"/>
  <c r="AD90" i="4" s="1"/>
  <c r="V89" i="4"/>
  <c r="U89" i="4"/>
  <c r="AD89" i="4" s="1"/>
  <c r="V88" i="4"/>
  <c r="U88" i="4"/>
  <c r="AD88" i="4" s="1"/>
  <c r="V87" i="4"/>
  <c r="U87" i="4"/>
  <c r="AD87" i="4" s="1"/>
  <c r="V86" i="4"/>
  <c r="U86" i="4"/>
  <c r="AD86" i="4" s="1"/>
  <c r="V85" i="4"/>
  <c r="U85" i="4"/>
  <c r="AD85" i="4" s="1"/>
  <c r="V84" i="4"/>
  <c r="U84" i="4"/>
  <c r="AD84" i="4" s="1"/>
  <c r="V83" i="4"/>
  <c r="U83" i="4"/>
  <c r="AD83" i="4" s="1"/>
  <c r="V82" i="4"/>
  <c r="U82" i="4"/>
  <c r="AD82" i="4" s="1"/>
  <c r="V81" i="4"/>
  <c r="U81" i="4"/>
  <c r="AD81" i="4" s="1"/>
  <c r="V80" i="4"/>
  <c r="U80" i="4"/>
  <c r="AD80" i="4" s="1"/>
  <c r="V79" i="4"/>
  <c r="U79" i="4"/>
  <c r="AD79" i="4" s="1"/>
  <c r="V78" i="4"/>
  <c r="U78" i="4"/>
  <c r="AD78" i="4" s="1"/>
  <c r="V77" i="4"/>
  <c r="U77" i="4"/>
  <c r="AD77" i="4" s="1"/>
  <c r="V76" i="4"/>
  <c r="U76" i="4"/>
  <c r="AD76" i="4" s="1"/>
  <c r="V75" i="4"/>
  <c r="U75" i="4"/>
  <c r="AD75" i="4" s="1"/>
  <c r="V74" i="4"/>
  <c r="U74" i="4"/>
  <c r="AD74" i="4" s="1"/>
  <c r="V73" i="4"/>
  <c r="U73" i="4"/>
  <c r="AD73" i="4" s="1"/>
  <c r="V72" i="4"/>
  <c r="U72" i="4"/>
  <c r="AD72" i="4" s="1"/>
  <c r="V71" i="4"/>
  <c r="U71" i="4"/>
  <c r="AD71" i="4" s="1"/>
  <c r="V70" i="4"/>
  <c r="U70" i="4"/>
  <c r="AD70" i="4" s="1"/>
  <c r="V69" i="4"/>
  <c r="U69" i="4"/>
  <c r="AD69" i="4" s="1"/>
  <c r="V68" i="4"/>
  <c r="U68" i="4"/>
  <c r="AD68" i="4" s="1"/>
  <c r="V67" i="4"/>
  <c r="U67" i="4"/>
  <c r="AD67" i="4" s="1"/>
  <c r="V66" i="4"/>
  <c r="U66" i="4"/>
  <c r="AD66" i="4" s="1"/>
  <c r="V65" i="4"/>
  <c r="U65" i="4"/>
  <c r="AD65" i="4" s="1"/>
  <c r="V64" i="4"/>
  <c r="U64" i="4"/>
  <c r="AD64" i="4" s="1"/>
  <c r="V63" i="4"/>
  <c r="U63" i="4"/>
  <c r="AD63" i="4" s="1"/>
  <c r="V62" i="4"/>
  <c r="U62" i="4"/>
  <c r="AD62" i="4" s="1"/>
  <c r="V61" i="4"/>
  <c r="U61" i="4"/>
  <c r="AD61" i="4" s="1"/>
  <c r="V60" i="4"/>
  <c r="U60" i="4"/>
  <c r="AD60" i="4" s="1"/>
  <c r="V59" i="4"/>
  <c r="U59" i="4"/>
  <c r="AD59" i="4" s="1"/>
  <c r="V58" i="4"/>
  <c r="U58" i="4"/>
  <c r="AD58" i="4" s="1"/>
  <c r="V57" i="4"/>
  <c r="U57" i="4"/>
  <c r="AD57" i="4" s="1"/>
  <c r="V56" i="4"/>
  <c r="U56" i="4"/>
  <c r="AD56" i="4" s="1"/>
  <c r="V55" i="4"/>
  <c r="U55" i="4"/>
  <c r="AD55" i="4" s="1"/>
  <c r="V54" i="4"/>
  <c r="U54" i="4"/>
  <c r="AD54" i="4" s="1"/>
  <c r="V53" i="4"/>
  <c r="U53" i="4"/>
  <c r="AD53" i="4" s="1"/>
  <c r="V52" i="4"/>
  <c r="U52" i="4"/>
  <c r="AD52" i="4" s="1"/>
  <c r="V51" i="4"/>
  <c r="U51" i="4"/>
  <c r="AD51" i="4" s="1"/>
  <c r="V50" i="4"/>
  <c r="U50" i="4"/>
  <c r="AD50" i="4" s="1"/>
  <c r="V49" i="4"/>
  <c r="U49" i="4"/>
  <c r="AD49" i="4" s="1"/>
  <c r="V48" i="4"/>
  <c r="U48" i="4"/>
  <c r="AD48" i="4" s="1"/>
  <c r="V47" i="4"/>
  <c r="U47" i="4"/>
  <c r="AD47" i="4" s="1"/>
  <c r="V46" i="4"/>
  <c r="U46" i="4"/>
  <c r="AD46" i="4" s="1"/>
  <c r="V45" i="4"/>
  <c r="U45" i="4"/>
  <c r="AD45" i="4" s="1"/>
  <c r="V44" i="4"/>
  <c r="U44" i="4"/>
  <c r="AD44" i="4" s="1"/>
  <c r="V43" i="4"/>
  <c r="U43" i="4"/>
  <c r="AD43" i="4" s="1"/>
  <c r="V42" i="4"/>
  <c r="U42" i="4"/>
  <c r="AD42" i="4" s="1"/>
  <c r="V41" i="4"/>
  <c r="U41" i="4"/>
  <c r="AD41" i="4" s="1"/>
  <c r="V40" i="4"/>
  <c r="U40" i="4"/>
  <c r="AD40" i="4" s="1"/>
  <c r="V39" i="4"/>
  <c r="U39" i="4"/>
  <c r="AD39" i="4" s="1"/>
  <c r="V38" i="4"/>
  <c r="U38" i="4"/>
  <c r="AD38" i="4" s="1"/>
  <c r="V37" i="4"/>
  <c r="U37" i="4"/>
  <c r="AD37" i="4" s="1"/>
  <c r="V36" i="4"/>
  <c r="U36" i="4"/>
  <c r="AD36" i="4" s="1"/>
  <c r="V35" i="4"/>
  <c r="U35" i="4"/>
  <c r="AD35" i="4" s="1"/>
  <c r="V34" i="4"/>
  <c r="U34" i="4"/>
  <c r="AD34" i="4" s="1"/>
  <c r="V33" i="4"/>
  <c r="U33" i="4"/>
  <c r="AD33" i="4" s="1"/>
  <c r="V32" i="4"/>
  <c r="U32" i="4"/>
  <c r="AD32" i="4" s="1"/>
  <c r="V31" i="4"/>
  <c r="U31" i="4"/>
  <c r="AD31" i="4" s="1"/>
  <c r="V30" i="4"/>
  <c r="U30" i="4"/>
  <c r="AD30" i="4" s="1"/>
  <c r="V29" i="4"/>
  <c r="U29" i="4"/>
  <c r="AD29" i="4" s="1"/>
  <c r="V28" i="4"/>
  <c r="U28" i="4"/>
  <c r="AD28" i="4" s="1"/>
  <c r="V27" i="4"/>
  <c r="U27" i="4"/>
  <c r="AD27" i="4" s="1"/>
  <c r="V26" i="4"/>
  <c r="U26" i="4"/>
  <c r="AD26" i="4" s="1"/>
  <c r="V25" i="4"/>
  <c r="U25" i="4"/>
  <c r="AD25" i="4" s="1"/>
  <c r="V24" i="4"/>
  <c r="U24" i="4"/>
  <c r="AD24" i="4" s="1"/>
  <c r="V23" i="4"/>
  <c r="U23" i="4"/>
  <c r="AD23" i="4" s="1"/>
  <c r="V22" i="4"/>
  <c r="U22" i="4"/>
  <c r="AD22" i="4" s="1"/>
  <c r="V21" i="4"/>
  <c r="U21" i="4"/>
  <c r="AD21" i="4" s="1"/>
  <c r="V20" i="4"/>
  <c r="U20" i="4"/>
  <c r="AD20" i="4" s="1"/>
  <c r="V19" i="4"/>
  <c r="U19" i="4"/>
  <c r="AD19" i="4" s="1"/>
  <c r="V18" i="4"/>
  <c r="U18" i="4"/>
  <c r="AD18" i="4" s="1"/>
  <c r="V17" i="4"/>
  <c r="U17" i="4"/>
  <c r="AD17" i="4" s="1"/>
  <c r="V16" i="4"/>
  <c r="U16" i="4"/>
  <c r="AD16" i="4" s="1"/>
  <c r="V15" i="4"/>
  <c r="U15" i="4"/>
  <c r="AD15" i="4" s="1"/>
  <c r="V14" i="4"/>
  <c r="U14" i="4"/>
  <c r="AD14" i="4" s="1"/>
  <c r="V13" i="4"/>
  <c r="U13" i="4"/>
  <c r="AD13" i="4" s="1"/>
  <c r="V12" i="4"/>
  <c r="U12" i="4"/>
  <c r="AD12" i="4" s="1"/>
  <c r="V11" i="4"/>
  <c r="U11" i="4"/>
  <c r="AD11" i="4" s="1"/>
  <c r="V10" i="4"/>
  <c r="U10" i="4"/>
  <c r="AD10" i="4" s="1"/>
  <c r="V9" i="4"/>
  <c r="U9" i="4"/>
  <c r="AD9" i="4" s="1"/>
  <c r="V8" i="4"/>
  <c r="U8" i="4"/>
  <c r="AD8" i="4" s="1"/>
  <c r="V7" i="4"/>
  <c r="U7" i="4"/>
  <c r="AD7" i="4" s="1"/>
  <c r="V6" i="4"/>
  <c r="U6" i="4"/>
  <c r="AD6" i="4" s="1"/>
  <c r="V5" i="4"/>
  <c r="U5" i="4"/>
  <c r="AD5" i="4" s="1"/>
  <c r="V4" i="4"/>
  <c r="U4" i="4"/>
  <c r="AD4" i="4" s="1"/>
  <c r="V219" i="4"/>
  <c r="U219" i="4"/>
  <c r="AD219" i="4" s="1"/>
  <c r="V218" i="4"/>
  <c r="U218" i="4"/>
  <c r="AD218" i="4" s="1"/>
  <c r="V217" i="4"/>
  <c r="U217" i="4"/>
  <c r="AD217" i="4" s="1"/>
  <c r="V216" i="4"/>
  <c r="U216" i="4"/>
  <c r="AD216" i="4" s="1"/>
  <c r="V215" i="4"/>
  <c r="U215" i="4"/>
  <c r="AD215" i="4" s="1"/>
  <c r="V214" i="4"/>
  <c r="U214" i="4"/>
  <c r="AD214" i="4" s="1"/>
  <c r="V213" i="4"/>
  <c r="U213" i="4"/>
  <c r="AD213" i="4" s="1"/>
  <c r="V212" i="4"/>
  <c r="U212" i="4"/>
  <c r="AD212" i="4" s="1"/>
  <c r="V211" i="4"/>
  <c r="U211" i="4"/>
  <c r="AD211" i="4" s="1"/>
  <c r="V210" i="4"/>
  <c r="U210" i="4"/>
  <c r="AD210" i="4" s="1"/>
  <c r="V209" i="4"/>
  <c r="U209" i="4"/>
  <c r="AD209" i="4" s="1"/>
  <c r="V208" i="4"/>
  <c r="U208" i="4"/>
  <c r="AD208" i="4" s="1"/>
  <c r="V207" i="4"/>
  <c r="U207" i="4"/>
  <c r="AD207" i="4" s="1"/>
  <c r="V206" i="4"/>
  <c r="U206" i="4"/>
  <c r="AD206" i="4" s="1"/>
  <c r="V205" i="4"/>
  <c r="U205" i="4"/>
  <c r="AD205" i="4" s="1"/>
  <c r="V204" i="4"/>
  <c r="U204" i="4"/>
  <c r="AD204" i="4" s="1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AD196" i="4" l="1"/>
  <c r="AZ520" i="3"/>
  <c r="AZ521" i="3"/>
  <c r="AZ522" i="3"/>
  <c r="AZ524" i="3"/>
  <c r="AZ525" i="3"/>
  <c r="AZ526" i="3"/>
  <c r="AZ528" i="3"/>
  <c r="AZ529" i="3"/>
  <c r="AZ530" i="3"/>
  <c r="AZ531" i="3"/>
  <c r="AZ532" i="3"/>
  <c r="AZ533" i="3"/>
  <c r="AZ534" i="3"/>
  <c r="AZ536" i="3"/>
  <c r="AZ537" i="3"/>
  <c r="AZ538" i="3"/>
  <c r="AZ539" i="3"/>
  <c r="AZ540" i="3"/>
  <c r="AZ541" i="3"/>
  <c r="AZ542" i="3"/>
  <c r="AZ544" i="3"/>
  <c r="AZ545" i="3"/>
  <c r="AZ546" i="3"/>
  <c r="AZ547" i="3"/>
  <c r="AZ548" i="3"/>
  <c r="AZ549" i="3"/>
  <c r="AZ550" i="3"/>
  <c r="AZ552" i="3"/>
  <c r="AZ553" i="3"/>
  <c r="AZ554" i="3"/>
  <c r="AZ555" i="3"/>
  <c r="AZ556" i="3"/>
  <c r="AZ557" i="3"/>
  <c r="AZ558" i="3"/>
  <c r="AZ559" i="3"/>
  <c r="AZ560" i="3"/>
  <c r="AZ561" i="3"/>
  <c r="AZ562" i="3"/>
  <c r="AZ563" i="3"/>
  <c r="AZ564" i="3"/>
  <c r="AZ565" i="3"/>
  <c r="AZ566" i="3"/>
  <c r="AZ567" i="3"/>
  <c r="AZ568" i="3"/>
  <c r="AZ569" i="3"/>
  <c r="AZ574" i="3"/>
  <c r="AZ575" i="3"/>
  <c r="AZ577" i="3"/>
  <c r="AZ578" i="3"/>
  <c r="AZ579" i="3"/>
  <c r="AZ580" i="3"/>
  <c r="AZ581" i="3"/>
  <c r="AZ582" i="3"/>
  <c r="AZ583" i="3"/>
  <c r="AZ584" i="3"/>
  <c r="AZ585" i="3"/>
  <c r="AZ586" i="3"/>
  <c r="AZ587" i="3"/>
  <c r="AZ588" i="3"/>
  <c r="AZ589" i="3"/>
  <c r="AZ590" i="3"/>
  <c r="AZ592" i="3"/>
  <c r="AZ593" i="3"/>
  <c r="AZ595" i="3"/>
  <c r="AZ596" i="3"/>
  <c r="AZ597" i="3"/>
  <c r="AZ599" i="3"/>
  <c r="AZ600" i="3"/>
  <c r="AZ601" i="3"/>
  <c r="AZ603" i="3"/>
  <c r="AZ604" i="3"/>
  <c r="AZ605" i="3"/>
  <c r="AZ606" i="3"/>
  <c r="AZ607" i="3"/>
  <c r="AZ608" i="3"/>
  <c r="AZ609" i="3"/>
  <c r="AZ611" i="3"/>
  <c r="AZ612" i="3"/>
  <c r="AZ613" i="3"/>
  <c r="AZ614" i="3"/>
  <c r="AZ615" i="3"/>
  <c r="AZ616" i="3"/>
  <c r="AZ617" i="3"/>
  <c r="AZ619" i="3"/>
  <c r="AZ620" i="3"/>
  <c r="AZ621" i="3"/>
  <c r="AZ622" i="3"/>
  <c r="AZ623" i="3"/>
  <c r="AZ624" i="3"/>
  <c r="AZ625" i="3"/>
  <c r="AZ627" i="3"/>
  <c r="AZ628" i="3"/>
  <c r="AZ629" i="3"/>
  <c r="AZ630" i="3"/>
  <c r="AZ631" i="3"/>
  <c r="AZ632" i="3"/>
  <c r="AZ633" i="3"/>
  <c r="AZ634" i="3"/>
  <c r="AZ635" i="3"/>
  <c r="AZ636" i="3"/>
  <c r="AZ637" i="3"/>
  <c r="AZ638" i="3"/>
  <c r="AZ639" i="3"/>
  <c r="AZ640" i="3"/>
  <c r="AZ641" i="3"/>
  <c r="AZ642" i="3"/>
  <c r="AZ643" i="3"/>
  <c r="AZ644" i="3"/>
  <c r="AZ649" i="3"/>
  <c r="AZ650" i="3"/>
  <c r="AZ652" i="3"/>
  <c r="AZ653" i="3"/>
  <c r="AZ654" i="3"/>
  <c r="AZ655" i="3"/>
  <c r="AZ656" i="3"/>
  <c r="AZ657" i="3"/>
  <c r="AZ658" i="3"/>
  <c r="AZ659" i="3"/>
  <c r="AZ660" i="3"/>
  <c r="AZ661" i="3"/>
  <c r="AZ662" i="3"/>
  <c r="AZ663" i="3"/>
  <c r="AZ664" i="3"/>
  <c r="AZ665" i="3"/>
  <c r="AZ667" i="3"/>
  <c r="AZ668" i="3"/>
  <c r="AZ671" i="3"/>
  <c r="AZ672" i="3"/>
  <c r="AZ673" i="3"/>
  <c r="AZ675" i="3"/>
  <c r="AZ676" i="3"/>
  <c r="AZ677" i="3"/>
  <c r="AZ679" i="3"/>
  <c r="AZ680" i="3"/>
  <c r="AZ681" i="3"/>
  <c r="AZ682" i="3"/>
  <c r="AZ683" i="3"/>
  <c r="AZ684" i="3"/>
  <c r="AZ685" i="3"/>
  <c r="AZ687" i="3"/>
  <c r="AZ688" i="3"/>
  <c r="AZ689" i="3"/>
  <c r="AZ690" i="3"/>
  <c r="AZ691" i="3"/>
  <c r="AZ692" i="3"/>
  <c r="AZ693" i="3"/>
  <c r="AZ695" i="3"/>
  <c r="AZ696" i="3"/>
  <c r="AZ697" i="3"/>
  <c r="AZ698" i="3"/>
  <c r="AZ699" i="3"/>
  <c r="AZ700" i="3"/>
  <c r="AZ701" i="3"/>
  <c r="AZ703" i="3"/>
  <c r="AZ704" i="3"/>
  <c r="AZ705" i="3"/>
  <c r="AZ706" i="3"/>
  <c r="AZ707" i="3"/>
  <c r="AZ708" i="3"/>
  <c r="AZ709" i="3"/>
  <c r="AZ710" i="3"/>
  <c r="AZ711" i="3"/>
  <c r="AZ712" i="3"/>
  <c r="AZ713" i="3"/>
  <c r="AZ714" i="3"/>
  <c r="AZ715" i="3"/>
  <c r="AZ716" i="3"/>
  <c r="AZ717" i="3"/>
  <c r="AZ718" i="3"/>
  <c r="AZ719" i="3"/>
  <c r="AZ720" i="3"/>
  <c r="AZ721" i="3"/>
  <c r="AZ726" i="3"/>
  <c r="AZ727" i="3"/>
  <c r="AZ729" i="3"/>
  <c r="AZ730" i="3"/>
  <c r="AZ731" i="3"/>
  <c r="AZ732" i="3"/>
  <c r="AZ733" i="3"/>
  <c r="AZ734" i="3"/>
  <c r="AZ735" i="3"/>
  <c r="AZ736" i="3"/>
  <c r="AZ737" i="3"/>
  <c r="AZ738" i="3"/>
  <c r="AZ739" i="3"/>
  <c r="AZ740" i="3"/>
  <c r="AZ741" i="3"/>
  <c r="AZ742" i="3"/>
  <c r="AZ744" i="3"/>
  <c r="AZ745" i="3"/>
  <c r="AZ747" i="3"/>
  <c r="AZ748" i="3"/>
  <c r="AZ749" i="3"/>
  <c r="AZ751" i="3"/>
  <c r="AZ752" i="3"/>
  <c r="AZ753" i="3"/>
  <c r="AZ755" i="3"/>
  <c r="AZ756" i="3"/>
  <c r="AZ757" i="3"/>
  <c r="AZ758" i="3"/>
  <c r="AZ759" i="3"/>
  <c r="AZ760" i="3"/>
  <c r="AZ761" i="3"/>
  <c r="AZ763" i="3"/>
  <c r="AZ764" i="3"/>
  <c r="AZ765" i="3"/>
  <c r="AZ766" i="3"/>
  <c r="AZ767" i="3"/>
  <c r="AZ768" i="3"/>
  <c r="AZ769" i="3"/>
  <c r="AZ771" i="3"/>
  <c r="AZ772" i="3"/>
  <c r="AZ773" i="3"/>
  <c r="AZ774" i="3"/>
  <c r="AZ775" i="3"/>
  <c r="AZ776" i="3"/>
  <c r="AZ777" i="3"/>
  <c r="AZ779" i="3"/>
  <c r="AZ780" i="3"/>
  <c r="AZ781" i="3"/>
  <c r="AZ782" i="3"/>
  <c r="AZ783" i="3"/>
  <c r="AZ784" i="3"/>
  <c r="AZ785" i="3"/>
  <c r="AZ786" i="3"/>
  <c r="AZ787" i="3"/>
  <c r="AZ788" i="3"/>
  <c r="AZ789" i="3"/>
  <c r="AZ790" i="3"/>
  <c r="AZ791" i="3"/>
  <c r="AZ792" i="3"/>
  <c r="AZ793" i="3"/>
  <c r="AZ794" i="3"/>
  <c r="AZ795" i="3"/>
  <c r="AZ796" i="3"/>
  <c r="AZ801" i="3"/>
  <c r="AZ802" i="3"/>
  <c r="AZ804" i="3"/>
  <c r="AZ805" i="3"/>
  <c r="AZ806" i="3"/>
  <c r="AZ807" i="3"/>
  <c r="AZ808" i="3"/>
  <c r="AZ809" i="3"/>
  <c r="AZ810" i="3"/>
  <c r="AZ811" i="3"/>
  <c r="AZ812" i="3"/>
  <c r="AZ813" i="3"/>
  <c r="AZ814" i="3"/>
  <c r="AZ815" i="3"/>
  <c r="AZ816" i="3"/>
  <c r="AZ817" i="3"/>
  <c r="AZ819" i="3"/>
  <c r="AZ820" i="3"/>
  <c r="AZ822" i="3"/>
  <c r="AZ823" i="3"/>
  <c r="AZ824" i="3"/>
  <c r="AZ826" i="3"/>
  <c r="AZ827" i="3"/>
  <c r="AZ828" i="3"/>
  <c r="AZ830" i="3"/>
  <c r="AZ831" i="3"/>
  <c r="AZ832" i="3"/>
  <c r="AZ833" i="3"/>
  <c r="AZ834" i="3"/>
  <c r="AZ835" i="3"/>
  <c r="AZ836" i="3"/>
  <c r="AZ838" i="3"/>
  <c r="AZ839" i="3"/>
  <c r="AZ840" i="3"/>
  <c r="AZ841" i="3"/>
  <c r="AZ842" i="3"/>
  <c r="AZ843" i="3"/>
  <c r="AZ844" i="3"/>
  <c r="AZ846" i="3"/>
  <c r="AZ847" i="3"/>
  <c r="AZ848" i="3"/>
  <c r="AZ849" i="3"/>
  <c r="AZ850" i="3"/>
  <c r="AZ851" i="3"/>
  <c r="AZ852" i="3"/>
  <c r="AZ854" i="3"/>
  <c r="AZ855" i="3"/>
  <c r="AZ856" i="3"/>
  <c r="AZ857" i="3"/>
  <c r="AZ858" i="3"/>
  <c r="AZ859" i="3"/>
  <c r="AZ860" i="3"/>
  <c r="AZ861" i="3"/>
  <c r="AZ862" i="3"/>
  <c r="AZ863" i="3"/>
  <c r="AZ864" i="3"/>
  <c r="AZ865" i="3"/>
  <c r="AZ866" i="3"/>
  <c r="AZ867" i="3"/>
  <c r="AZ868" i="3"/>
  <c r="AZ869" i="3"/>
  <c r="AZ870" i="3"/>
  <c r="AZ871" i="3"/>
  <c r="AZ876" i="3"/>
  <c r="AZ877" i="3"/>
  <c r="AZ879" i="3"/>
  <c r="AZ880" i="3"/>
  <c r="AZ881" i="3"/>
  <c r="AZ882" i="3"/>
  <c r="AZ883" i="3"/>
  <c r="AZ884" i="3"/>
  <c r="AZ885" i="3"/>
  <c r="AZ886" i="3"/>
  <c r="AZ887" i="3"/>
  <c r="AZ888" i="3"/>
  <c r="AZ889" i="3"/>
  <c r="AZ890" i="3"/>
  <c r="AZ891" i="3"/>
  <c r="AZ892" i="3"/>
  <c r="AZ894" i="3"/>
  <c r="AZ895" i="3"/>
  <c r="AZ897" i="3"/>
  <c r="AZ898" i="3"/>
  <c r="AZ899" i="3"/>
  <c r="AZ901" i="3"/>
  <c r="AZ902" i="3"/>
  <c r="AZ903" i="3"/>
  <c r="AZ905" i="3"/>
  <c r="AZ906" i="3"/>
  <c r="AZ907" i="3"/>
  <c r="AZ908" i="3"/>
  <c r="AZ909" i="3"/>
  <c r="AZ910" i="3"/>
  <c r="AZ911" i="3"/>
  <c r="AZ913" i="3"/>
  <c r="AZ914" i="3"/>
  <c r="AZ915" i="3"/>
  <c r="AZ916" i="3"/>
  <c r="AZ917" i="3"/>
  <c r="AZ918" i="3"/>
  <c r="AZ919" i="3"/>
  <c r="AZ921" i="3"/>
  <c r="AZ922" i="3"/>
  <c r="AZ923" i="3"/>
  <c r="AZ924" i="3"/>
  <c r="AZ925" i="3"/>
  <c r="AZ926" i="3"/>
  <c r="AZ927" i="3"/>
  <c r="AZ929" i="3"/>
  <c r="AZ930" i="3"/>
  <c r="AZ931" i="3"/>
  <c r="AZ932" i="3"/>
  <c r="AZ933" i="3"/>
  <c r="AZ934" i="3"/>
  <c r="AZ935" i="3"/>
  <c r="AZ936" i="3"/>
  <c r="AZ937" i="3"/>
  <c r="AZ938" i="3"/>
  <c r="AZ939" i="3"/>
  <c r="AZ940" i="3"/>
  <c r="AZ941" i="3"/>
  <c r="AZ942" i="3"/>
  <c r="AZ943" i="3"/>
  <c r="AZ944" i="3"/>
  <c r="AZ945" i="3"/>
  <c r="AZ946" i="3"/>
  <c r="AZ951" i="3"/>
  <c r="AZ952" i="3"/>
  <c r="AZ954" i="3"/>
  <c r="AZ955" i="3"/>
  <c r="AZ956" i="3"/>
  <c r="AZ957" i="3"/>
  <c r="AZ958" i="3"/>
  <c r="AZ959" i="3"/>
  <c r="AZ960" i="3"/>
  <c r="AZ961" i="3"/>
  <c r="AZ962" i="3"/>
  <c r="AZ963" i="3"/>
  <c r="AZ964" i="3"/>
  <c r="AZ965" i="3"/>
  <c r="AZ966" i="3"/>
  <c r="AZ967" i="3"/>
  <c r="AZ969" i="3"/>
  <c r="AZ970" i="3"/>
  <c r="AZ972" i="3"/>
  <c r="AZ973" i="3"/>
  <c r="AZ974" i="3"/>
  <c r="AZ976" i="3"/>
  <c r="AZ977" i="3"/>
  <c r="AZ978" i="3"/>
  <c r="AZ980" i="3"/>
  <c r="AZ981" i="3"/>
  <c r="AZ982" i="3"/>
  <c r="AZ983" i="3"/>
  <c r="AZ984" i="3"/>
  <c r="AZ985" i="3"/>
  <c r="AZ986" i="3"/>
  <c r="AZ988" i="3"/>
  <c r="AZ989" i="3"/>
  <c r="AZ990" i="3"/>
  <c r="AZ991" i="3"/>
  <c r="AZ992" i="3"/>
  <c r="AZ993" i="3"/>
  <c r="AZ994" i="3"/>
  <c r="AZ996" i="3"/>
  <c r="AZ997" i="3"/>
  <c r="AZ998" i="3"/>
  <c r="AZ999" i="3"/>
  <c r="AZ1000" i="3"/>
  <c r="AZ1001" i="3"/>
  <c r="AZ1002" i="3"/>
  <c r="AZ1004" i="3"/>
  <c r="AZ1005" i="3"/>
  <c r="AZ1006" i="3"/>
  <c r="AZ1007" i="3"/>
  <c r="AZ1008" i="3"/>
  <c r="AZ1009" i="3"/>
  <c r="AZ1010" i="3"/>
  <c r="AZ1011" i="3"/>
  <c r="AZ1012" i="3"/>
  <c r="AZ1013" i="3"/>
  <c r="AZ1014" i="3"/>
  <c r="AZ1015" i="3"/>
  <c r="AZ1016" i="3"/>
  <c r="AZ1017" i="3"/>
  <c r="AZ1018" i="3"/>
  <c r="AZ1019" i="3"/>
  <c r="AZ1020" i="3"/>
  <c r="AZ1021" i="3"/>
  <c r="AZ1026" i="3"/>
  <c r="AZ1027" i="3"/>
  <c r="AZ1029" i="3"/>
  <c r="AZ1030" i="3"/>
  <c r="AZ1031" i="3"/>
  <c r="AZ1032" i="3"/>
  <c r="AZ1033" i="3"/>
  <c r="AZ1034" i="3"/>
  <c r="AZ1035" i="3"/>
  <c r="AZ1036" i="3"/>
  <c r="AZ1037" i="3"/>
  <c r="AZ1038" i="3"/>
  <c r="AZ1039" i="3"/>
  <c r="AZ1040" i="3"/>
  <c r="AZ1041" i="3"/>
  <c r="AZ1042" i="3"/>
  <c r="AZ1044" i="3"/>
  <c r="AZ1045" i="3"/>
  <c r="AZ1047" i="3"/>
  <c r="AZ1048" i="3"/>
  <c r="AZ1049" i="3"/>
  <c r="AZ1051" i="3"/>
  <c r="AZ1052" i="3"/>
  <c r="AZ1053" i="3"/>
  <c r="AZ1055" i="3"/>
  <c r="AZ1056" i="3"/>
  <c r="AZ1057" i="3"/>
  <c r="AZ1058" i="3"/>
  <c r="AZ1059" i="3"/>
  <c r="AZ1060" i="3"/>
  <c r="AZ1061" i="3"/>
  <c r="AZ1063" i="3"/>
  <c r="AZ1064" i="3"/>
  <c r="AZ1065" i="3"/>
  <c r="AZ1066" i="3"/>
  <c r="AZ1067" i="3"/>
  <c r="AZ1068" i="3"/>
  <c r="AZ1069" i="3"/>
  <c r="AZ1071" i="3"/>
  <c r="AZ1072" i="3"/>
  <c r="AZ1073" i="3"/>
  <c r="AZ1074" i="3"/>
  <c r="AZ1075" i="3"/>
  <c r="AZ1076" i="3"/>
  <c r="AZ1077" i="3"/>
  <c r="AZ1079" i="3"/>
  <c r="AZ1080" i="3"/>
  <c r="AZ1081" i="3"/>
  <c r="AZ1082" i="3"/>
  <c r="AZ1083" i="3"/>
  <c r="AZ1084" i="3"/>
  <c r="AZ1085" i="3"/>
  <c r="AZ1086" i="3"/>
  <c r="AZ1087" i="3"/>
  <c r="AZ1088" i="3"/>
  <c r="AZ1089" i="3"/>
  <c r="AZ1090" i="3"/>
  <c r="AZ1091" i="3"/>
  <c r="AZ1092" i="3"/>
  <c r="AZ1093" i="3"/>
  <c r="AZ1094" i="3"/>
  <c r="AZ1095" i="3"/>
  <c r="AZ1096" i="3"/>
  <c r="AZ1101" i="3"/>
  <c r="AZ1102" i="3"/>
  <c r="AZ1104" i="3"/>
  <c r="AZ1105" i="3"/>
  <c r="AZ1106" i="3"/>
  <c r="AZ1107" i="3"/>
  <c r="AZ1108" i="3"/>
  <c r="AZ1109" i="3"/>
  <c r="AZ1110" i="3"/>
  <c r="AZ1111" i="3"/>
  <c r="AZ1112" i="3"/>
  <c r="AZ1113" i="3"/>
  <c r="AZ1114" i="3"/>
  <c r="AZ1115" i="3"/>
  <c r="AZ1116" i="3"/>
  <c r="AZ1117" i="3"/>
  <c r="AZ1119" i="3"/>
  <c r="AZ1120" i="3"/>
  <c r="AZ1122" i="3"/>
  <c r="AZ1123" i="3"/>
  <c r="AZ1124" i="3"/>
  <c r="AZ1126" i="3"/>
  <c r="AZ1127" i="3"/>
  <c r="AZ1128" i="3"/>
  <c r="AZ1130" i="3"/>
  <c r="AZ1131" i="3"/>
  <c r="AZ1132" i="3"/>
  <c r="AZ1133" i="3"/>
  <c r="AZ1134" i="3"/>
  <c r="AZ1135" i="3"/>
  <c r="AZ1136" i="3"/>
  <c r="AZ1138" i="3"/>
  <c r="AZ1139" i="3"/>
  <c r="AZ1140" i="3"/>
  <c r="AZ1141" i="3"/>
  <c r="AZ1142" i="3"/>
  <c r="AZ1143" i="3"/>
  <c r="AZ1144" i="3"/>
  <c r="AZ1146" i="3"/>
  <c r="AZ1147" i="3"/>
  <c r="AZ1148" i="3"/>
  <c r="AZ1149" i="3"/>
  <c r="AZ1150" i="3"/>
  <c r="AZ1151" i="3"/>
  <c r="AZ1152" i="3"/>
  <c r="AZ1154" i="3"/>
  <c r="AZ1155" i="3"/>
  <c r="AZ1156" i="3"/>
  <c r="AZ1157" i="3"/>
  <c r="AZ1158" i="3"/>
  <c r="AZ1159" i="3"/>
  <c r="AZ1160" i="3"/>
  <c r="AZ1161" i="3"/>
  <c r="AZ1162" i="3"/>
  <c r="AZ1163" i="3"/>
  <c r="AZ1164" i="3"/>
  <c r="AZ1165" i="3"/>
  <c r="AZ1166" i="3"/>
  <c r="AZ1167" i="3"/>
  <c r="AZ1168" i="3"/>
  <c r="AZ1169" i="3"/>
  <c r="AZ1170" i="3"/>
  <c r="AZ1171" i="3"/>
  <c r="AZ1176" i="3"/>
  <c r="AZ1177" i="3"/>
  <c r="AZ1179" i="3"/>
  <c r="AZ1180" i="3"/>
  <c r="AZ1181" i="3"/>
  <c r="AZ1182" i="3"/>
  <c r="AZ1183" i="3"/>
  <c r="AZ1184" i="3"/>
  <c r="AZ1185" i="3"/>
  <c r="AZ1186" i="3"/>
  <c r="AZ1187" i="3"/>
  <c r="AZ1188" i="3"/>
  <c r="AZ1189" i="3"/>
  <c r="AZ1190" i="3"/>
  <c r="AZ1191" i="3"/>
  <c r="AZ1192" i="3"/>
  <c r="AZ1194" i="3"/>
  <c r="AZ1195" i="3"/>
  <c r="AZ1197" i="3"/>
  <c r="AZ1198" i="3"/>
  <c r="AZ1199" i="3"/>
  <c r="AZ1201" i="3"/>
  <c r="AZ1202" i="3"/>
  <c r="AZ1203" i="3"/>
  <c r="AZ1205" i="3"/>
  <c r="AZ1206" i="3"/>
  <c r="AZ1207" i="3"/>
  <c r="AZ1208" i="3"/>
  <c r="AZ1209" i="3"/>
  <c r="AZ1210" i="3"/>
  <c r="AZ1211" i="3"/>
  <c r="AZ1213" i="3"/>
  <c r="AZ1214" i="3"/>
  <c r="AZ1215" i="3"/>
  <c r="AZ1216" i="3"/>
  <c r="AZ1217" i="3"/>
  <c r="AZ1218" i="3"/>
  <c r="AZ1219" i="3"/>
  <c r="AZ1221" i="3"/>
  <c r="AZ1222" i="3"/>
  <c r="AZ1223" i="3"/>
  <c r="AZ1224" i="3"/>
  <c r="AZ1225" i="3"/>
  <c r="AZ1226" i="3"/>
  <c r="AZ1227" i="3"/>
  <c r="AZ1229" i="3"/>
  <c r="AZ1230" i="3"/>
  <c r="AZ1231" i="3"/>
  <c r="AZ1232" i="3"/>
  <c r="AZ1233" i="3"/>
  <c r="AZ1234" i="3"/>
  <c r="AZ1235" i="3"/>
  <c r="AZ1236" i="3"/>
  <c r="AZ1237" i="3"/>
  <c r="AZ1238" i="3"/>
  <c r="AZ1239" i="3"/>
  <c r="AZ1240" i="3"/>
  <c r="AZ1241" i="3"/>
  <c r="AZ1242" i="3"/>
  <c r="AZ1243" i="3"/>
  <c r="AZ1244" i="3"/>
  <c r="AZ1245" i="3"/>
  <c r="AZ1246" i="3"/>
  <c r="AZ1251" i="3"/>
  <c r="AZ1252" i="3"/>
  <c r="AZ1254" i="3"/>
  <c r="AZ1255" i="3"/>
  <c r="AZ1256" i="3"/>
  <c r="AZ1257" i="3"/>
  <c r="AZ1258" i="3"/>
  <c r="AZ1259" i="3"/>
  <c r="AZ1260" i="3"/>
  <c r="AZ1261" i="3"/>
  <c r="AZ1262" i="3"/>
  <c r="AZ1263" i="3"/>
  <c r="AZ1264" i="3"/>
  <c r="AZ1265" i="3"/>
  <c r="AZ1266" i="3"/>
  <c r="AZ1267" i="3"/>
  <c r="AZ1269" i="3"/>
  <c r="AZ1270" i="3"/>
  <c r="AZ1272" i="3"/>
  <c r="AZ1273" i="3"/>
  <c r="AZ1274" i="3"/>
  <c r="AZ1276" i="3"/>
  <c r="AZ1277" i="3"/>
  <c r="AZ1278" i="3"/>
  <c r="AZ1280" i="3"/>
  <c r="AZ1281" i="3"/>
  <c r="AZ1282" i="3"/>
  <c r="AZ1283" i="3"/>
  <c r="AZ1284" i="3"/>
  <c r="AZ1285" i="3"/>
  <c r="AZ1286" i="3"/>
  <c r="AZ1288" i="3"/>
  <c r="AZ1289" i="3"/>
  <c r="AZ1290" i="3"/>
  <c r="AZ1291" i="3"/>
  <c r="AZ1292" i="3"/>
  <c r="AZ1293" i="3"/>
  <c r="AZ1294" i="3"/>
  <c r="AZ1296" i="3"/>
  <c r="AZ1297" i="3"/>
  <c r="AZ1298" i="3"/>
  <c r="AZ1299" i="3"/>
  <c r="AZ1300" i="3"/>
  <c r="AZ1301" i="3"/>
  <c r="AZ1302" i="3"/>
  <c r="AZ1304" i="3"/>
  <c r="AZ1305" i="3"/>
  <c r="AZ1306" i="3"/>
  <c r="AZ1307" i="3"/>
  <c r="AZ1308" i="3"/>
  <c r="AZ1309" i="3"/>
  <c r="AZ1310" i="3"/>
  <c r="AZ1311" i="3"/>
  <c r="AZ1312" i="3"/>
  <c r="AZ1313" i="3"/>
  <c r="AZ1314" i="3"/>
  <c r="AZ1315" i="3"/>
  <c r="AZ1316" i="3"/>
  <c r="AZ1317" i="3"/>
  <c r="AZ1318" i="3"/>
  <c r="AZ1319" i="3"/>
  <c r="AZ1320" i="3"/>
  <c r="AZ1321" i="3"/>
  <c r="AZ1326" i="3"/>
  <c r="AZ1327" i="3"/>
  <c r="AZ1329" i="3"/>
  <c r="AZ1330" i="3"/>
  <c r="AZ1331" i="3"/>
  <c r="AZ1332" i="3"/>
  <c r="AZ1333" i="3"/>
  <c r="AZ1334" i="3"/>
  <c r="AZ1335" i="3"/>
  <c r="AZ1336" i="3"/>
  <c r="AZ1337" i="3"/>
  <c r="AZ1338" i="3"/>
  <c r="AZ1339" i="3"/>
  <c r="AZ1340" i="3"/>
  <c r="AZ1341" i="3"/>
  <c r="AZ1342" i="3"/>
  <c r="AZ1344" i="3"/>
  <c r="AZ1345" i="3"/>
  <c r="AZ1347" i="3"/>
  <c r="AZ1348" i="3"/>
  <c r="AZ1349" i="3"/>
  <c r="AZ1351" i="3"/>
  <c r="AZ1352" i="3"/>
  <c r="AZ1353" i="3"/>
  <c r="AZ1355" i="3"/>
  <c r="AZ1356" i="3"/>
  <c r="AZ1357" i="3"/>
  <c r="AZ1358" i="3"/>
  <c r="AZ1359" i="3"/>
  <c r="AZ1360" i="3"/>
  <c r="AZ1361" i="3"/>
  <c r="AZ1363" i="3"/>
  <c r="AZ1364" i="3"/>
  <c r="AZ1365" i="3"/>
  <c r="AZ1366" i="3"/>
  <c r="AZ1367" i="3"/>
  <c r="AZ1368" i="3"/>
  <c r="AZ1369" i="3"/>
  <c r="AZ1371" i="3"/>
  <c r="AZ1372" i="3"/>
  <c r="AZ1373" i="3"/>
  <c r="AZ1374" i="3"/>
  <c r="AZ1375" i="3"/>
  <c r="AZ1376" i="3"/>
  <c r="AZ1377" i="3"/>
  <c r="AZ1379" i="3"/>
  <c r="AZ1380" i="3"/>
  <c r="AZ1381" i="3"/>
  <c r="AZ1382" i="3"/>
  <c r="AZ1383" i="3"/>
  <c r="AZ1384" i="3"/>
  <c r="AZ1385" i="3"/>
  <c r="AZ1386" i="3"/>
  <c r="AZ1387" i="3"/>
  <c r="AZ1388" i="3"/>
  <c r="AZ1389" i="3"/>
  <c r="AZ1390" i="3"/>
  <c r="AZ1391" i="3"/>
  <c r="AZ1392" i="3"/>
  <c r="AZ1393" i="3"/>
  <c r="AZ1394" i="3"/>
  <c r="AZ1395" i="3"/>
  <c r="AZ1396" i="3"/>
  <c r="AZ1401" i="3"/>
  <c r="AZ1402" i="3"/>
  <c r="AZ1404" i="3"/>
  <c r="AZ1405" i="3"/>
  <c r="AZ1406" i="3"/>
  <c r="AZ1407" i="3"/>
  <c r="AZ1408" i="3"/>
  <c r="AZ1409" i="3"/>
  <c r="AZ1410" i="3"/>
  <c r="AZ1411" i="3"/>
  <c r="AZ1412" i="3"/>
  <c r="AZ1413" i="3"/>
  <c r="AZ1414" i="3"/>
  <c r="AZ1415" i="3"/>
  <c r="AZ1416" i="3"/>
  <c r="AZ1417" i="3"/>
  <c r="AZ1419" i="3"/>
  <c r="AZ1420" i="3"/>
  <c r="AZ1422" i="3"/>
  <c r="AZ1423" i="3"/>
  <c r="AZ1424" i="3"/>
  <c r="AZ1426" i="3"/>
  <c r="AZ1427" i="3"/>
  <c r="AZ1428" i="3"/>
  <c r="AZ1430" i="3"/>
  <c r="AZ1431" i="3"/>
  <c r="AZ1432" i="3"/>
  <c r="AZ1434" i="3"/>
  <c r="AZ1435" i="3"/>
  <c r="AZ1436" i="3"/>
  <c r="AZ1438" i="3"/>
  <c r="AZ1439" i="3"/>
  <c r="AZ1440" i="3"/>
  <c r="AZ1442" i="3"/>
  <c r="AZ1443" i="3"/>
  <c r="AZ1444" i="3"/>
  <c r="AZ1445" i="3"/>
  <c r="AZ1446" i="3"/>
  <c r="AZ1447" i="3"/>
  <c r="AZ1448" i="3"/>
  <c r="AZ1449" i="3"/>
  <c r="AZ1450" i="3"/>
  <c r="AZ1451" i="3"/>
  <c r="AZ1452" i="3"/>
  <c r="AZ1453" i="3"/>
  <c r="AZ1454" i="3"/>
  <c r="AZ1455" i="3"/>
  <c r="AZ1456" i="3"/>
  <c r="AZ1457" i="3"/>
  <c r="AZ1458" i="3"/>
  <c r="AZ1459" i="3"/>
  <c r="AZ1460" i="3"/>
  <c r="AZ1461" i="3"/>
  <c r="AZ1462" i="3"/>
  <c r="AZ1463" i="3"/>
  <c r="AZ1464" i="3"/>
  <c r="AZ1465" i="3"/>
  <c r="AZ1466" i="3"/>
  <c r="AZ1467" i="3"/>
  <c r="AZ1468" i="3"/>
  <c r="AZ1469" i="3"/>
  <c r="AZ1470" i="3"/>
  <c r="AZ1471" i="3"/>
  <c r="AZ1472" i="3"/>
  <c r="AZ1473" i="3"/>
  <c r="AZ1475" i="3"/>
  <c r="AZ1476" i="3"/>
  <c r="AZ1477" i="3"/>
  <c r="AZ1478" i="3"/>
  <c r="AZ1479" i="3"/>
  <c r="AZ1480" i="3"/>
  <c r="AZ1481" i="3"/>
  <c r="AZ1482" i="3"/>
  <c r="AZ1483" i="3"/>
  <c r="AZ1484" i="3"/>
  <c r="AZ1485" i="3"/>
  <c r="AZ1486" i="3"/>
  <c r="AZ1487" i="3"/>
  <c r="AZ1488" i="3"/>
  <c r="AZ1489" i="3"/>
  <c r="AZ1490" i="3"/>
  <c r="AZ1492" i="3"/>
  <c r="AZ1493" i="3"/>
  <c r="AZ1494" i="3"/>
  <c r="AZ1496" i="3"/>
  <c r="AZ1497" i="3"/>
  <c r="AZ1498" i="3"/>
  <c r="AZ1500" i="3"/>
  <c r="AZ1501" i="3"/>
  <c r="AZ1502" i="3"/>
  <c r="AZ1504" i="3"/>
  <c r="AZ1505" i="3"/>
  <c r="AZ1506" i="3"/>
  <c r="AZ1508" i="3"/>
  <c r="AZ1509" i="3"/>
  <c r="AZ1510" i="3"/>
  <c r="AZ1512" i="3"/>
  <c r="AZ1513" i="3"/>
  <c r="AZ1514" i="3"/>
  <c r="AZ1515" i="3"/>
  <c r="AZ1516" i="3"/>
  <c r="AZ1517" i="3"/>
  <c r="AZ1518" i="3"/>
  <c r="AZ1519" i="3"/>
  <c r="AZ1520" i="3"/>
  <c r="AZ1521" i="3"/>
  <c r="AZ1522" i="3"/>
  <c r="AZ1523" i="3"/>
  <c r="AZ1524" i="3"/>
  <c r="AZ1525" i="3"/>
  <c r="AZ1526" i="3"/>
  <c r="AZ1527" i="3"/>
  <c r="AZ1528" i="3"/>
  <c r="AZ1529" i="3"/>
  <c r="AZ1530" i="3"/>
  <c r="AZ1531" i="3"/>
  <c r="AZ1532" i="3"/>
  <c r="AZ1533" i="3"/>
  <c r="AZ1534" i="3"/>
  <c r="AZ1535" i="3"/>
  <c r="AZ1536" i="3"/>
  <c r="AZ1537" i="3"/>
  <c r="AZ1538" i="3"/>
  <c r="AZ1539" i="3"/>
  <c r="AZ1540" i="3"/>
  <c r="AZ1541" i="3"/>
  <c r="AZ1542" i="3"/>
  <c r="AZ1543" i="3"/>
  <c r="AZ1544" i="3"/>
  <c r="AZ1546" i="3"/>
  <c r="AZ1547" i="3"/>
  <c r="AZ1548" i="3"/>
  <c r="AZ1549" i="3"/>
  <c r="AZ1550" i="3"/>
  <c r="AZ1551" i="3"/>
  <c r="AZ1552" i="3"/>
  <c r="AZ1553" i="3"/>
  <c r="AZ1554" i="3"/>
  <c r="AZ1555" i="3"/>
  <c r="AZ1556" i="3"/>
  <c r="AZ1557" i="3"/>
  <c r="AZ1558" i="3"/>
  <c r="AZ1559" i="3"/>
  <c r="AZ1560" i="3"/>
  <c r="AZ1561" i="3"/>
  <c r="AZ1563" i="3"/>
  <c r="AZ1564" i="3"/>
  <c r="AZ1565" i="3"/>
  <c r="AZ1567" i="3"/>
  <c r="AZ1568" i="3"/>
  <c r="AZ1569" i="3"/>
  <c r="AZ1571" i="3"/>
  <c r="AZ1572" i="3"/>
  <c r="AZ1573" i="3"/>
  <c r="AZ1575" i="3"/>
  <c r="AZ1576" i="3"/>
  <c r="AZ1577" i="3"/>
  <c r="AZ1579" i="3"/>
  <c r="AZ1580" i="3"/>
  <c r="AZ1581" i="3"/>
  <c r="AZ1583" i="3"/>
  <c r="AZ1584" i="3"/>
  <c r="AZ1585" i="3"/>
  <c r="AZ1586" i="3"/>
  <c r="AZ1587" i="3"/>
  <c r="AZ1588" i="3"/>
  <c r="AZ1589" i="3"/>
  <c r="AZ1590" i="3"/>
  <c r="AZ1591" i="3"/>
  <c r="AZ1592" i="3"/>
  <c r="AZ1593" i="3"/>
  <c r="AZ1594" i="3"/>
  <c r="AZ1595" i="3"/>
  <c r="AZ1596" i="3"/>
  <c r="AZ1597" i="3"/>
  <c r="AZ1598" i="3"/>
  <c r="AZ1599" i="3"/>
  <c r="AZ1600" i="3"/>
  <c r="AZ1601" i="3"/>
  <c r="AZ1602" i="3"/>
  <c r="AZ1603" i="3"/>
  <c r="AZ1604" i="3"/>
  <c r="AZ1605" i="3"/>
  <c r="AZ1606" i="3"/>
  <c r="AZ1607" i="3"/>
  <c r="AZ1608" i="3"/>
  <c r="AZ1609" i="3"/>
  <c r="AZ1610" i="3"/>
  <c r="AZ1611" i="3"/>
  <c r="AZ1612" i="3"/>
  <c r="AZ1613" i="3"/>
  <c r="AZ1614" i="3"/>
  <c r="AZ1616" i="3"/>
  <c r="AZ1617" i="3"/>
  <c r="AZ1618" i="3"/>
  <c r="AZ1619" i="3"/>
  <c r="AZ1620" i="3"/>
  <c r="AZ1621" i="3"/>
  <c r="AZ1622" i="3"/>
  <c r="AZ1623" i="3"/>
  <c r="AZ1624" i="3"/>
  <c r="AZ1625" i="3"/>
  <c r="AZ1626" i="3"/>
  <c r="AZ1627" i="3"/>
  <c r="AZ1628" i="3"/>
  <c r="AZ1629" i="3"/>
  <c r="AZ1630" i="3"/>
  <c r="AZ1631" i="3"/>
  <c r="AZ1633" i="3"/>
  <c r="AZ1634" i="3"/>
  <c r="AZ1635" i="3"/>
  <c r="AZ1637" i="3"/>
  <c r="AZ1638" i="3"/>
  <c r="AZ1639" i="3"/>
  <c r="AZ1641" i="3"/>
  <c r="AZ1642" i="3"/>
  <c r="AZ1643" i="3"/>
  <c r="AZ1645" i="3"/>
  <c r="AZ1646" i="3"/>
  <c r="AZ1647" i="3"/>
  <c r="AZ1649" i="3"/>
  <c r="AZ1650" i="3"/>
  <c r="AZ1651" i="3"/>
  <c r="AZ1653" i="3"/>
  <c r="AZ1654" i="3"/>
  <c r="AZ1655" i="3"/>
  <c r="AZ1656" i="3"/>
  <c r="AZ1657" i="3"/>
  <c r="AZ1658" i="3"/>
  <c r="AZ1659" i="3"/>
  <c r="AZ1660" i="3"/>
  <c r="AZ1661" i="3"/>
  <c r="AZ1662" i="3"/>
  <c r="AZ1663" i="3"/>
  <c r="AZ1664" i="3"/>
  <c r="AZ1665" i="3"/>
  <c r="AZ1666" i="3"/>
  <c r="AZ1667" i="3"/>
  <c r="AZ1668" i="3"/>
  <c r="AZ1669" i="3"/>
  <c r="AZ1670" i="3"/>
  <c r="AZ1671" i="3"/>
  <c r="AZ1672" i="3"/>
  <c r="AZ1673" i="3"/>
  <c r="AZ1674" i="3"/>
  <c r="AZ1675" i="3"/>
  <c r="AZ1676" i="3"/>
  <c r="AZ1677" i="3"/>
  <c r="AZ1678" i="3"/>
  <c r="AZ1679" i="3"/>
  <c r="AZ1680" i="3"/>
  <c r="AZ1681" i="3"/>
  <c r="AZ1682" i="3"/>
  <c r="AZ1683" i="3"/>
  <c r="AZ1684" i="3"/>
  <c r="AZ1686" i="3"/>
  <c r="AZ1687" i="3"/>
  <c r="AZ1688" i="3"/>
  <c r="AZ1689" i="3"/>
  <c r="AZ1690" i="3"/>
  <c r="AZ1691" i="3"/>
  <c r="AZ1692" i="3"/>
  <c r="AZ1693" i="3"/>
  <c r="AZ1694" i="3"/>
  <c r="AZ1695" i="3"/>
  <c r="AZ1696" i="3"/>
  <c r="AZ1697" i="3"/>
  <c r="AZ1698" i="3"/>
  <c r="AZ1699" i="3"/>
  <c r="AZ1700" i="3"/>
  <c r="AZ1701" i="3"/>
  <c r="AZ1703" i="3"/>
  <c r="AZ1704" i="3"/>
  <c r="AZ1705" i="3"/>
  <c r="AZ1706" i="3"/>
  <c r="AZ1707" i="3"/>
  <c r="AZ1708" i="3"/>
  <c r="AZ1709" i="3"/>
  <c r="AZ1711" i="3"/>
  <c r="AZ1712" i="3"/>
  <c r="AZ1713" i="3"/>
  <c r="AZ1714" i="3"/>
  <c r="AZ1715" i="3"/>
  <c r="AZ1716" i="3"/>
  <c r="AZ1717" i="3"/>
  <c r="AZ1719" i="3"/>
  <c r="AZ1720" i="3"/>
  <c r="AZ1721" i="3"/>
  <c r="AZ1722" i="3"/>
  <c r="AZ1723" i="3"/>
  <c r="AZ1724" i="3"/>
  <c r="AZ1725" i="3"/>
  <c r="AZ1726" i="3"/>
  <c r="AZ1727" i="3"/>
  <c r="AZ1728" i="3"/>
  <c r="AZ1729" i="3"/>
  <c r="AZ1730" i="3"/>
  <c r="AZ1731" i="3"/>
  <c r="AZ1732" i="3"/>
  <c r="AZ1733" i="3"/>
  <c r="AZ1734" i="3"/>
  <c r="AZ1735" i="3"/>
  <c r="AZ1736" i="3"/>
  <c r="AZ1737" i="3"/>
  <c r="AZ1738" i="3"/>
  <c r="AZ1739" i="3"/>
  <c r="AZ1740" i="3"/>
  <c r="AZ1741" i="3"/>
  <c r="AZ1742" i="3"/>
  <c r="AZ1743" i="3"/>
  <c r="AZ1930" i="3"/>
  <c r="AZ1932" i="3"/>
  <c r="AZ1933" i="3"/>
  <c r="AZ1934" i="3"/>
  <c r="AZ1935" i="3"/>
  <c r="AZ1936" i="3"/>
  <c r="AZ1937" i="3"/>
  <c r="AZ1938" i="3"/>
  <c r="AZ1939" i="3"/>
  <c r="AZ1940" i="3"/>
  <c r="AZ1942" i="3"/>
  <c r="AZ1943" i="3"/>
  <c r="AZ1944" i="3"/>
  <c r="AZ1945" i="3"/>
  <c r="AZ1946" i="3"/>
  <c r="AZ1947" i="3"/>
  <c r="AZ1948" i="3"/>
  <c r="AZ1949" i="3"/>
  <c r="AZ1950" i="3"/>
  <c r="AZ1952" i="3"/>
  <c r="AZ1953" i="3"/>
  <c r="AZ1954" i="3"/>
  <c r="AZ1955" i="3"/>
  <c r="AZ1956" i="3"/>
  <c r="AZ1957" i="3"/>
  <c r="AZ1958" i="3"/>
  <c r="AZ1959" i="3"/>
  <c r="AZ1960" i="3"/>
  <c r="AZ1962" i="3"/>
  <c r="AZ1963" i="3"/>
  <c r="AZ1964" i="3"/>
  <c r="AZ1965" i="3"/>
  <c r="AZ1966" i="3"/>
  <c r="AZ1967" i="3"/>
  <c r="AZ1968" i="3"/>
  <c r="AZ1969" i="3"/>
  <c r="AZ1970" i="3"/>
  <c r="AZ1972" i="3"/>
  <c r="AZ1973" i="3"/>
  <c r="AZ1974" i="3"/>
  <c r="AZ1975" i="3"/>
  <c r="AZ1976" i="3"/>
  <c r="AZ1977" i="3"/>
  <c r="AZ1978" i="3"/>
  <c r="AZ1979" i="3"/>
  <c r="AZ1980" i="3"/>
  <c r="AZ1982" i="3"/>
  <c r="AZ1983" i="3"/>
  <c r="AZ1984" i="3"/>
  <c r="AZ1985" i="3"/>
  <c r="AZ1986" i="3"/>
  <c r="AZ1987" i="3"/>
  <c r="AZ1988" i="3"/>
  <c r="AZ1989" i="3"/>
  <c r="AZ1990" i="3"/>
  <c r="AZ1992" i="3"/>
  <c r="AZ1993" i="3"/>
  <c r="AZ1994" i="3"/>
  <c r="AZ1995" i="3"/>
  <c r="AZ1996" i="3"/>
  <c r="AZ1997" i="3"/>
  <c r="AZ1998" i="3"/>
  <c r="AZ1999" i="3"/>
  <c r="AZ2000" i="3"/>
  <c r="AZ2002" i="3"/>
  <c r="AZ2003" i="3"/>
  <c r="AZ2004" i="3"/>
  <c r="AZ2005" i="3"/>
  <c r="AZ2006" i="3"/>
  <c r="AZ2007" i="3"/>
  <c r="AZ2008" i="3"/>
  <c r="AZ2009" i="3"/>
  <c r="AZ2010" i="3"/>
  <c r="AZ2012" i="3"/>
  <c r="AZ2013" i="3"/>
  <c r="AZ2014" i="3"/>
  <c r="AZ2015" i="3"/>
  <c r="AZ2016" i="3"/>
  <c r="AZ2017" i="3"/>
  <c r="AZ2018" i="3"/>
  <c r="AZ2019" i="3"/>
  <c r="AZ2020" i="3"/>
  <c r="AZ2022" i="3"/>
  <c r="AZ2023" i="3"/>
  <c r="AZ2024" i="3"/>
  <c r="AZ2025" i="3"/>
  <c r="AZ2026" i="3"/>
  <c r="AZ2027" i="3"/>
  <c r="AZ2028" i="3"/>
  <c r="AZ2029" i="3"/>
  <c r="AZ2030" i="3"/>
  <c r="AZ2032" i="3"/>
  <c r="AZ2033" i="3"/>
  <c r="AZ2034" i="3"/>
  <c r="AZ2035" i="3"/>
  <c r="AZ2036" i="3"/>
  <c r="AZ2037" i="3"/>
  <c r="AZ2038" i="3"/>
  <c r="AZ2039" i="3"/>
  <c r="AZ2040" i="3"/>
  <c r="AZ2042" i="3"/>
  <c r="AZ2043" i="3"/>
  <c r="AZ2044" i="3"/>
  <c r="AZ2045" i="3"/>
  <c r="AZ2046" i="3"/>
  <c r="AZ2047" i="3"/>
  <c r="AZ2048" i="3"/>
  <c r="AZ2049" i="3"/>
  <c r="AZ2050" i="3"/>
  <c r="AZ2052" i="3"/>
  <c r="AZ2053" i="3"/>
  <c r="AZ2054" i="3"/>
  <c r="AZ2055" i="3"/>
  <c r="AZ2056" i="3"/>
  <c r="AZ2057" i="3"/>
  <c r="AZ2058" i="3"/>
  <c r="AZ2059" i="3"/>
  <c r="AZ2060" i="3"/>
  <c r="AZ2062" i="3"/>
  <c r="AZ2063" i="3"/>
  <c r="AZ2064" i="3"/>
  <c r="AZ2065" i="3"/>
  <c r="AZ2066" i="3"/>
  <c r="AZ2067" i="3"/>
  <c r="AZ2068" i="3"/>
  <c r="AZ2069" i="3"/>
  <c r="AZ2070" i="3"/>
  <c r="AZ2072" i="3"/>
  <c r="AZ2073" i="3"/>
  <c r="AZ2074" i="3"/>
  <c r="AZ2075" i="3"/>
  <c r="AZ2076" i="3"/>
  <c r="AZ2077" i="3"/>
  <c r="AZ2078" i="3"/>
  <c r="AZ2079" i="3"/>
  <c r="AZ2080" i="3"/>
  <c r="AZ2082" i="3"/>
  <c r="AZ2083" i="3"/>
  <c r="AZ2084" i="3"/>
  <c r="AZ2085" i="3"/>
  <c r="AZ2086" i="3"/>
  <c r="AZ2087" i="3"/>
  <c r="AZ2088" i="3"/>
  <c r="AZ2089" i="3"/>
  <c r="AZ2090" i="3"/>
  <c r="AZ2092" i="3"/>
  <c r="AZ2093" i="3"/>
  <c r="AZ2094" i="3"/>
  <c r="AZ2095" i="3"/>
  <c r="AZ2096" i="3"/>
  <c r="AZ2097" i="3"/>
  <c r="AZ2098" i="3"/>
  <c r="AZ2099" i="3"/>
  <c r="AZ2100" i="3"/>
  <c r="AZ2101" i="3"/>
  <c r="AZ2102" i="3"/>
  <c r="AZ2103" i="3"/>
  <c r="AZ2104" i="3"/>
  <c r="AZ2105" i="3"/>
  <c r="AZ2106" i="3"/>
  <c r="AZ2107" i="3"/>
  <c r="AZ2108" i="3"/>
  <c r="AZ2109" i="3"/>
  <c r="AZ2110" i="3"/>
  <c r="AZ2111" i="3"/>
  <c r="AZ2112" i="3"/>
  <c r="AZ2113" i="3"/>
  <c r="AZ2114" i="3"/>
  <c r="AZ2115" i="3"/>
  <c r="AZ2116" i="3"/>
  <c r="AZ2117" i="3"/>
  <c r="AZ2118" i="3"/>
  <c r="AZ2119" i="3"/>
  <c r="AZ2120" i="3"/>
  <c r="AZ2121" i="3"/>
  <c r="AZ2122" i="3"/>
  <c r="AZ2123" i="3"/>
  <c r="AZ2124" i="3"/>
  <c r="AZ2125" i="3"/>
  <c r="AZ2126" i="3"/>
  <c r="AZ2127" i="3"/>
  <c r="AZ2128" i="3"/>
  <c r="AZ2129" i="3"/>
  <c r="AZ2130" i="3"/>
  <c r="AZ2131" i="3"/>
  <c r="AZ2132" i="3"/>
  <c r="AZ2133" i="3"/>
  <c r="AZ2134" i="3"/>
  <c r="AZ2135" i="3"/>
  <c r="AZ2136" i="3"/>
  <c r="AZ2137" i="3"/>
  <c r="AZ2138" i="3"/>
  <c r="AZ2139" i="3"/>
  <c r="AZ2140" i="3"/>
  <c r="AZ2141" i="3"/>
  <c r="AZ2142" i="3"/>
  <c r="AZ2143" i="3"/>
  <c r="AZ2144" i="3"/>
  <c r="AZ2145" i="3"/>
  <c r="AZ2146" i="3"/>
  <c r="AZ2147" i="3"/>
  <c r="AZ2148" i="3"/>
  <c r="AZ2149" i="3"/>
  <c r="AZ2150" i="3"/>
  <c r="AZ2151" i="3"/>
  <c r="AZ2152" i="3"/>
  <c r="AZ2153" i="3"/>
  <c r="AZ2154" i="3"/>
  <c r="AZ2155" i="3"/>
  <c r="AZ2156" i="3"/>
  <c r="AZ2157" i="3"/>
  <c r="AZ2158" i="3"/>
  <c r="AZ2159" i="3"/>
  <c r="AZ2160" i="3"/>
  <c r="AZ2161" i="3"/>
  <c r="AZ2162" i="3"/>
  <c r="AZ2163" i="3"/>
  <c r="AZ2164" i="3"/>
  <c r="AZ2165" i="3"/>
  <c r="AZ2166" i="3"/>
  <c r="AZ2167" i="3"/>
  <c r="AZ2168" i="3"/>
  <c r="AZ2169" i="3"/>
  <c r="AZ2170" i="3"/>
  <c r="AZ2171" i="3"/>
  <c r="AZ2172" i="3"/>
  <c r="AZ2173" i="3"/>
  <c r="AZ2174" i="3"/>
  <c r="AZ2175" i="3"/>
  <c r="AZ2176" i="3"/>
  <c r="AZ2177" i="3"/>
  <c r="AZ2178" i="3"/>
  <c r="AZ2179" i="3"/>
  <c r="AZ2180" i="3"/>
  <c r="AZ2181" i="3"/>
  <c r="AZ2182" i="3"/>
  <c r="AZ2183" i="3"/>
  <c r="AZ2184" i="3"/>
  <c r="AZ2185" i="3"/>
  <c r="AZ2186" i="3"/>
  <c r="AZ2187" i="3"/>
  <c r="AZ2188" i="3"/>
  <c r="AZ2189" i="3"/>
  <c r="AZ2190" i="3"/>
  <c r="AZ2191" i="3"/>
  <c r="AZ2192" i="3"/>
  <c r="AZ2193" i="3"/>
  <c r="AZ2194" i="3"/>
  <c r="AZ2195" i="3"/>
  <c r="AZ2196" i="3"/>
  <c r="AZ2197" i="3"/>
  <c r="AZ2198" i="3"/>
  <c r="AZ2199" i="3"/>
  <c r="AZ2200" i="3"/>
  <c r="AZ2201" i="3"/>
  <c r="AZ2202" i="3"/>
  <c r="AZ2203" i="3"/>
  <c r="AZ2204" i="3"/>
  <c r="AZ2205" i="3"/>
  <c r="AZ2206" i="3"/>
  <c r="AZ2207" i="3"/>
  <c r="AZ2208" i="3"/>
  <c r="AZ2209" i="3"/>
  <c r="AZ2210" i="3"/>
  <c r="AZ2211" i="3"/>
  <c r="AZ2212" i="3"/>
  <c r="AZ2213" i="3"/>
  <c r="AZ2214" i="3"/>
  <c r="AZ2215" i="3"/>
  <c r="AZ2216" i="3"/>
  <c r="AZ2217" i="3"/>
  <c r="AZ2218" i="3"/>
  <c r="AZ2219" i="3"/>
  <c r="AZ2220" i="3"/>
  <c r="AZ2221" i="3"/>
  <c r="AZ2222" i="3"/>
  <c r="AZ2223" i="3"/>
  <c r="AZ2224" i="3"/>
  <c r="AZ2225" i="3"/>
  <c r="AZ2226" i="3"/>
  <c r="AZ2227" i="3"/>
  <c r="AZ2228" i="3"/>
  <c r="AZ2229" i="3"/>
  <c r="AZ2230" i="3"/>
  <c r="AZ2231" i="3"/>
  <c r="AZ2232" i="3"/>
  <c r="AZ2233" i="3"/>
  <c r="AZ2234" i="3"/>
  <c r="AZ2235" i="3"/>
  <c r="AZ2236" i="3"/>
  <c r="AZ2237" i="3"/>
  <c r="AZ2238" i="3"/>
  <c r="AZ2239" i="3"/>
  <c r="AZ2240" i="3"/>
  <c r="AZ2241" i="3"/>
  <c r="AZ2242" i="3"/>
  <c r="AZ2243" i="3"/>
  <c r="AZ2244" i="3"/>
  <c r="AZ2245" i="3"/>
  <c r="AZ2246" i="3"/>
  <c r="AZ2247" i="3"/>
  <c r="AZ2248" i="3"/>
  <c r="AZ2249" i="3"/>
  <c r="AZ2250" i="3"/>
  <c r="AZ2251" i="3"/>
  <c r="AZ2252" i="3"/>
  <c r="AZ2253" i="3"/>
  <c r="AZ2254" i="3"/>
  <c r="AZ2255" i="3"/>
  <c r="AZ2256" i="3"/>
  <c r="AZ2257" i="3"/>
  <c r="AZ2258" i="3"/>
  <c r="AZ2259" i="3"/>
  <c r="AZ2260" i="3"/>
  <c r="AZ2261" i="3"/>
  <c r="AZ2262" i="3"/>
  <c r="AZ2263" i="3"/>
  <c r="AZ2264" i="3"/>
  <c r="AZ2265" i="3"/>
  <c r="AZ2266" i="3"/>
  <c r="AZ2267" i="3"/>
  <c r="AZ2268" i="3"/>
  <c r="AZ2269" i="3"/>
  <c r="AZ2270" i="3"/>
  <c r="AZ2271" i="3"/>
  <c r="AZ2272" i="3"/>
  <c r="AZ2273" i="3"/>
  <c r="AZ2274" i="3"/>
  <c r="AZ2275" i="3"/>
  <c r="AZ2276" i="3"/>
  <c r="AZ2277" i="3"/>
  <c r="AZ2278" i="3"/>
  <c r="AZ2279" i="3"/>
  <c r="AZ2280" i="3"/>
  <c r="AZ2281" i="3"/>
  <c r="AZ2282" i="3"/>
  <c r="AZ2283" i="3"/>
  <c r="AZ2284" i="3"/>
  <c r="AZ2285" i="3"/>
  <c r="AZ2286" i="3"/>
  <c r="AZ2287" i="3"/>
  <c r="AZ2288" i="3"/>
  <c r="AZ2289" i="3"/>
  <c r="AZ2290" i="3"/>
  <c r="AZ2291" i="3"/>
  <c r="AZ2292" i="3"/>
  <c r="AZ2293" i="3"/>
  <c r="AZ2294" i="3"/>
  <c r="AZ2295" i="3"/>
  <c r="AZ2296" i="3"/>
  <c r="AZ2297" i="3"/>
  <c r="AZ2298" i="3"/>
  <c r="AZ2299" i="3"/>
  <c r="AZ2300" i="3"/>
  <c r="AZ2301" i="3"/>
  <c r="AZ2302" i="3"/>
  <c r="AZ2303" i="3"/>
  <c r="AZ2304" i="3"/>
  <c r="AZ2305" i="3"/>
  <c r="AZ2306" i="3"/>
  <c r="AZ2307" i="3"/>
  <c r="AZ2308" i="3"/>
  <c r="AZ2309" i="3"/>
  <c r="AZ2310" i="3"/>
  <c r="AZ2311" i="3"/>
  <c r="AZ2312" i="3"/>
  <c r="AZ2313" i="3"/>
  <c r="AZ2314" i="3"/>
  <c r="AZ2315" i="3"/>
  <c r="AZ2316" i="3"/>
  <c r="AZ2317" i="3"/>
  <c r="AZ2318" i="3"/>
  <c r="AZ2319" i="3"/>
  <c r="AZ2320" i="3"/>
  <c r="AZ2321" i="3"/>
  <c r="AZ2322" i="3"/>
  <c r="AZ2323" i="3"/>
  <c r="AZ2324" i="3"/>
  <c r="AZ2325" i="3"/>
  <c r="AZ2326" i="3"/>
  <c r="AZ2327" i="3"/>
  <c r="AZ2328" i="3"/>
  <c r="AZ2329" i="3"/>
  <c r="AZ2330" i="3"/>
  <c r="AZ2331" i="3"/>
  <c r="AZ2332" i="3"/>
  <c r="AZ2333" i="3"/>
  <c r="AZ2334" i="3"/>
  <c r="AZ2335" i="3"/>
  <c r="AZ2336" i="3"/>
  <c r="AZ2337" i="3"/>
  <c r="AZ2338" i="3"/>
  <c r="AZ2339" i="3"/>
  <c r="AZ2340" i="3"/>
  <c r="AZ2341" i="3"/>
  <c r="AZ2342" i="3"/>
  <c r="AZ2343" i="3"/>
  <c r="AZ2344" i="3"/>
  <c r="AZ2345" i="3"/>
  <c r="AZ2346" i="3"/>
  <c r="AZ2347" i="3"/>
  <c r="AZ2348" i="3"/>
  <c r="I36" i="5"/>
  <c r="I110" i="5"/>
  <c r="I109" i="5"/>
  <c r="I108" i="5"/>
  <c r="I107" i="5"/>
  <c r="I94" i="5"/>
  <c r="I93" i="5"/>
  <c r="I92" i="5"/>
  <c r="I91" i="5"/>
  <c r="AA203" i="4"/>
  <c r="Z203" i="4"/>
  <c r="Y203" i="4"/>
  <c r="X203" i="4"/>
  <c r="W203" i="4"/>
  <c r="I203" i="4"/>
  <c r="H203" i="4"/>
  <c r="G203" i="4"/>
  <c r="AA202" i="4"/>
  <c r="Z202" i="4"/>
  <c r="Y202" i="4"/>
  <c r="X202" i="4"/>
  <c r="W202" i="4"/>
  <c r="I202" i="4"/>
  <c r="L202" i="4" s="1"/>
  <c r="S202" i="4" s="1"/>
  <c r="H202" i="4"/>
  <c r="G202" i="4"/>
  <c r="AA201" i="4"/>
  <c r="Z201" i="4"/>
  <c r="Y201" i="4"/>
  <c r="X201" i="4"/>
  <c r="W201" i="4"/>
  <c r="I201" i="4"/>
  <c r="K201" i="4" s="1"/>
  <c r="R201" i="4" s="1"/>
  <c r="H201" i="4"/>
  <c r="G201" i="4"/>
  <c r="AA200" i="4"/>
  <c r="Z200" i="4"/>
  <c r="Y200" i="4"/>
  <c r="X200" i="4"/>
  <c r="W200" i="4"/>
  <c r="I200" i="4"/>
  <c r="H200" i="4"/>
  <c r="G200" i="4"/>
  <c r="AA199" i="4"/>
  <c r="Z199" i="4"/>
  <c r="Y199" i="4"/>
  <c r="X199" i="4"/>
  <c r="W199" i="4"/>
  <c r="I199" i="4"/>
  <c r="M199" i="4" s="1"/>
  <c r="T199" i="4" s="1"/>
  <c r="H199" i="4"/>
  <c r="G199" i="4"/>
  <c r="AA198" i="4"/>
  <c r="Z198" i="4"/>
  <c r="Y198" i="4"/>
  <c r="X198" i="4"/>
  <c r="W198" i="4"/>
  <c r="I198" i="4"/>
  <c r="L198" i="4" s="1"/>
  <c r="S198" i="4" s="1"/>
  <c r="H198" i="4"/>
  <c r="G198" i="4"/>
  <c r="AA197" i="4"/>
  <c r="Z197" i="4"/>
  <c r="Y197" i="4"/>
  <c r="X197" i="4"/>
  <c r="W197" i="4"/>
  <c r="I197" i="4"/>
  <c r="K197" i="4" s="1"/>
  <c r="R197" i="4" s="1"/>
  <c r="H197" i="4"/>
  <c r="G197" i="4"/>
  <c r="AA196" i="4"/>
  <c r="Z196" i="4"/>
  <c r="Y196" i="4"/>
  <c r="X196" i="4"/>
  <c r="W196" i="4"/>
  <c r="I196" i="4"/>
  <c r="M196" i="4" s="1"/>
  <c r="T196" i="4" s="1"/>
  <c r="H196" i="4"/>
  <c r="G196" i="4"/>
  <c r="AA211" i="4"/>
  <c r="Z211" i="4"/>
  <c r="Y211" i="4"/>
  <c r="X211" i="4"/>
  <c r="W211" i="4"/>
  <c r="I211" i="4"/>
  <c r="M211" i="4" s="1"/>
  <c r="T211" i="4" s="1"/>
  <c r="H211" i="4"/>
  <c r="G211" i="4"/>
  <c r="AA210" i="4"/>
  <c r="Z210" i="4"/>
  <c r="Y210" i="4"/>
  <c r="X210" i="4"/>
  <c r="W210" i="4"/>
  <c r="I210" i="4"/>
  <c r="L210" i="4" s="1"/>
  <c r="S210" i="4" s="1"/>
  <c r="H210" i="4"/>
  <c r="G210" i="4"/>
  <c r="AA209" i="4"/>
  <c r="Z209" i="4"/>
  <c r="Y209" i="4"/>
  <c r="X209" i="4"/>
  <c r="W209" i="4"/>
  <c r="I209" i="4"/>
  <c r="K209" i="4" s="1"/>
  <c r="R209" i="4" s="1"/>
  <c r="H209" i="4"/>
  <c r="G209" i="4"/>
  <c r="AA208" i="4"/>
  <c r="Z208" i="4"/>
  <c r="Y208" i="4"/>
  <c r="X208" i="4"/>
  <c r="W208" i="4"/>
  <c r="I208" i="4"/>
  <c r="H208" i="4"/>
  <c r="G208" i="4"/>
  <c r="AA207" i="4"/>
  <c r="Z207" i="4"/>
  <c r="Y207" i="4"/>
  <c r="X207" i="4"/>
  <c r="W207" i="4"/>
  <c r="L207" i="4"/>
  <c r="S207" i="4" s="1"/>
  <c r="I207" i="4"/>
  <c r="M207" i="4" s="1"/>
  <c r="T207" i="4" s="1"/>
  <c r="H207" i="4"/>
  <c r="G207" i="4"/>
  <c r="AA206" i="4"/>
  <c r="Z206" i="4"/>
  <c r="Y206" i="4"/>
  <c r="X206" i="4"/>
  <c r="W206" i="4"/>
  <c r="I206" i="4"/>
  <c r="L206" i="4" s="1"/>
  <c r="S206" i="4" s="1"/>
  <c r="H206" i="4"/>
  <c r="G206" i="4"/>
  <c r="AA205" i="4"/>
  <c r="Z205" i="4"/>
  <c r="Y205" i="4"/>
  <c r="X205" i="4"/>
  <c r="W205" i="4"/>
  <c r="I205" i="4"/>
  <c r="K205" i="4" s="1"/>
  <c r="R205" i="4" s="1"/>
  <c r="H205" i="4"/>
  <c r="G205" i="4"/>
  <c r="AA204" i="4"/>
  <c r="Z204" i="4"/>
  <c r="Y204" i="4"/>
  <c r="X204" i="4"/>
  <c r="W204" i="4"/>
  <c r="I204" i="4"/>
  <c r="K204" i="4" s="1"/>
  <c r="R204" i="4" s="1"/>
  <c r="H204" i="4"/>
  <c r="G204" i="4"/>
  <c r="AX520" i="3"/>
  <c r="AY520" i="3" s="1"/>
  <c r="AX521" i="3"/>
  <c r="AY521" i="3" s="1"/>
  <c r="AX522" i="3"/>
  <c r="AY522" i="3" s="1"/>
  <c r="AX524" i="3"/>
  <c r="AY524" i="3" s="1"/>
  <c r="AX525" i="3"/>
  <c r="AY525" i="3" s="1"/>
  <c r="AX526" i="3"/>
  <c r="AY526" i="3" s="1"/>
  <c r="AX528" i="3"/>
  <c r="AY528" i="3" s="1"/>
  <c r="AX529" i="3"/>
  <c r="AY529" i="3" s="1"/>
  <c r="AX530" i="3"/>
  <c r="AY530" i="3" s="1"/>
  <c r="AX531" i="3"/>
  <c r="AY531" i="3" s="1"/>
  <c r="AX532" i="3"/>
  <c r="AY532" i="3" s="1"/>
  <c r="AX533" i="3"/>
  <c r="AX534" i="3"/>
  <c r="AX536" i="3"/>
  <c r="AY536" i="3" s="1"/>
  <c r="AX537" i="3"/>
  <c r="AY537" i="3" s="1"/>
  <c r="AX538" i="3"/>
  <c r="AY538" i="3" s="1"/>
  <c r="AX539" i="3"/>
  <c r="AX540" i="3"/>
  <c r="AY540" i="3" s="1"/>
  <c r="AX541" i="3"/>
  <c r="AY541" i="3" s="1"/>
  <c r="AX542" i="3"/>
  <c r="AY542" i="3" s="1"/>
  <c r="AX544" i="3"/>
  <c r="AY544" i="3" s="1"/>
  <c r="AX545" i="3"/>
  <c r="AY545" i="3" s="1"/>
  <c r="AX546" i="3"/>
  <c r="AY546" i="3" s="1"/>
  <c r="AX547" i="3"/>
  <c r="AX548" i="3"/>
  <c r="AX549" i="3"/>
  <c r="AY549" i="3" s="1"/>
  <c r="AX550" i="3"/>
  <c r="AY550" i="3" s="1"/>
  <c r="AX552" i="3"/>
  <c r="AY552" i="3" s="1"/>
  <c r="AX553" i="3"/>
  <c r="AY553" i="3" s="1"/>
  <c r="AX554" i="3"/>
  <c r="AY554" i="3" s="1"/>
  <c r="AX555" i="3"/>
  <c r="AY555" i="3" s="1"/>
  <c r="AX556" i="3"/>
  <c r="AY556" i="3" s="1"/>
  <c r="AX557" i="3"/>
  <c r="AY557" i="3" s="1"/>
  <c r="AX558" i="3"/>
  <c r="AY558" i="3" s="1"/>
  <c r="AX559" i="3"/>
  <c r="AY559" i="3" s="1"/>
  <c r="AX560" i="3"/>
  <c r="AY560" i="3" s="1"/>
  <c r="AX561" i="3"/>
  <c r="AY561" i="3" s="1"/>
  <c r="AX562" i="3"/>
  <c r="AY562" i="3" s="1"/>
  <c r="AX563" i="3"/>
  <c r="AY563" i="3" s="1"/>
  <c r="AX564" i="3"/>
  <c r="AY564" i="3" s="1"/>
  <c r="AX565" i="3"/>
  <c r="AY565" i="3" s="1"/>
  <c r="AX566" i="3"/>
  <c r="AY566" i="3" s="1"/>
  <c r="AX567" i="3"/>
  <c r="AY567" i="3" s="1"/>
  <c r="AX568" i="3"/>
  <c r="AY568" i="3" s="1"/>
  <c r="AX569" i="3"/>
  <c r="AY569" i="3" s="1"/>
  <c r="AX574" i="3"/>
  <c r="AY574" i="3" s="1"/>
  <c r="AX575" i="3"/>
  <c r="AY575" i="3" s="1"/>
  <c r="AX577" i="3"/>
  <c r="AY577" i="3" s="1"/>
  <c r="AX578" i="3"/>
  <c r="AY578" i="3" s="1"/>
  <c r="AX579" i="3"/>
  <c r="AY579" i="3" s="1"/>
  <c r="AX580" i="3"/>
  <c r="AY580" i="3" s="1"/>
  <c r="AX581" i="3"/>
  <c r="AY581" i="3" s="1"/>
  <c r="AX582" i="3"/>
  <c r="AY582" i="3" s="1"/>
  <c r="AX583" i="3"/>
  <c r="AY583" i="3" s="1"/>
  <c r="AX584" i="3"/>
  <c r="AY584" i="3" s="1"/>
  <c r="AX585" i="3"/>
  <c r="AY585" i="3" s="1"/>
  <c r="AX586" i="3"/>
  <c r="AY586" i="3" s="1"/>
  <c r="AX587" i="3"/>
  <c r="AY587" i="3" s="1"/>
  <c r="AX588" i="3"/>
  <c r="AY588" i="3" s="1"/>
  <c r="AX589" i="3"/>
  <c r="AY589" i="3" s="1"/>
  <c r="AX590" i="3"/>
  <c r="AY590" i="3" s="1"/>
  <c r="AX592" i="3"/>
  <c r="AY592" i="3" s="1"/>
  <c r="AX593" i="3"/>
  <c r="AY593" i="3" s="1"/>
  <c r="AX595" i="3"/>
  <c r="AY595" i="3" s="1"/>
  <c r="AX596" i="3"/>
  <c r="AY596" i="3" s="1"/>
  <c r="AX597" i="3"/>
  <c r="AY597" i="3" s="1"/>
  <c r="AX599" i="3"/>
  <c r="AY599" i="3" s="1"/>
  <c r="AX600" i="3"/>
  <c r="AY600" i="3" s="1"/>
  <c r="AX601" i="3"/>
  <c r="AY601" i="3" s="1"/>
  <c r="AX603" i="3"/>
  <c r="AY603" i="3" s="1"/>
  <c r="AX604" i="3"/>
  <c r="AY604" i="3" s="1"/>
  <c r="AX605" i="3"/>
  <c r="AY605" i="3" s="1"/>
  <c r="AX606" i="3"/>
  <c r="AX607" i="3"/>
  <c r="AY607" i="3" s="1"/>
  <c r="AX608" i="3"/>
  <c r="AY608" i="3" s="1"/>
  <c r="AX609" i="3"/>
  <c r="AY609" i="3" s="1"/>
  <c r="AX611" i="3"/>
  <c r="AY611" i="3" s="1"/>
  <c r="AX612" i="3"/>
  <c r="AY612" i="3" s="1"/>
  <c r="AX613" i="3"/>
  <c r="AY613" i="3" s="1"/>
  <c r="AX614" i="3"/>
  <c r="AY614" i="3" s="1"/>
  <c r="AX615" i="3"/>
  <c r="AX616" i="3"/>
  <c r="AY616" i="3" s="1"/>
  <c r="AX617" i="3"/>
  <c r="AY617" i="3" s="1"/>
  <c r="AX619" i="3"/>
  <c r="AY619" i="3" s="1"/>
  <c r="AX620" i="3"/>
  <c r="AY620" i="3" s="1"/>
  <c r="AX621" i="3"/>
  <c r="AY621" i="3" s="1"/>
  <c r="AX622" i="3"/>
  <c r="AX623" i="3"/>
  <c r="AX624" i="3"/>
  <c r="AX625" i="3"/>
  <c r="AY625" i="3" s="1"/>
  <c r="AX627" i="3"/>
  <c r="AY627" i="3" s="1"/>
  <c r="AX628" i="3"/>
  <c r="AY628" i="3" s="1"/>
  <c r="AX629" i="3"/>
  <c r="AY629" i="3" s="1"/>
  <c r="AX630" i="3"/>
  <c r="AY630" i="3" s="1"/>
  <c r="AX631" i="3"/>
  <c r="AY631" i="3" s="1"/>
  <c r="AX632" i="3"/>
  <c r="AY632" i="3" s="1"/>
  <c r="AX633" i="3"/>
  <c r="AY633" i="3" s="1"/>
  <c r="AX634" i="3"/>
  <c r="AY634" i="3" s="1"/>
  <c r="AX635" i="3"/>
  <c r="AY635" i="3" s="1"/>
  <c r="AX636" i="3"/>
  <c r="AY636" i="3" s="1"/>
  <c r="AX637" i="3"/>
  <c r="AY637" i="3" s="1"/>
  <c r="AX638" i="3"/>
  <c r="AY638" i="3" s="1"/>
  <c r="AX639" i="3"/>
  <c r="AY639" i="3" s="1"/>
  <c r="AX640" i="3"/>
  <c r="AY640" i="3" s="1"/>
  <c r="AX641" i="3"/>
  <c r="AY641" i="3" s="1"/>
  <c r="AX642" i="3"/>
  <c r="AY642" i="3" s="1"/>
  <c r="AX643" i="3"/>
  <c r="AY643" i="3" s="1"/>
  <c r="AX644" i="3"/>
  <c r="AY644" i="3" s="1"/>
  <c r="AX649" i="3"/>
  <c r="AY649" i="3" s="1"/>
  <c r="AX650" i="3"/>
  <c r="AY650" i="3" s="1"/>
  <c r="AX652" i="3"/>
  <c r="AY652" i="3" s="1"/>
  <c r="AX653" i="3"/>
  <c r="AY653" i="3" s="1"/>
  <c r="AX654" i="3"/>
  <c r="AY654" i="3" s="1"/>
  <c r="AX655" i="3"/>
  <c r="AY655" i="3" s="1"/>
  <c r="AX656" i="3"/>
  <c r="AY656" i="3" s="1"/>
  <c r="AX657" i="3"/>
  <c r="AY657" i="3" s="1"/>
  <c r="AX658" i="3"/>
  <c r="AY658" i="3" s="1"/>
  <c r="AX659" i="3"/>
  <c r="AY659" i="3" s="1"/>
  <c r="AX660" i="3"/>
  <c r="AY660" i="3" s="1"/>
  <c r="AX661" i="3"/>
  <c r="AY661" i="3" s="1"/>
  <c r="AX662" i="3"/>
  <c r="AY662" i="3" s="1"/>
  <c r="AX663" i="3"/>
  <c r="AY663" i="3" s="1"/>
  <c r="AX664" i="3"/>
  <c r="AY664" i="3" s="1"/>
  <c r="AX665" i="3"/>
  <c r="AY665" i="3" s="1"/>
  <c r="AX667" i="3"/>
  <c r="AY667" i="3" s="1"/>
  <c r="AX668" i="3"/>
  <c r="AY668" i="3" s="1"/>
  <c r="AX671" i="3"/>
  <c r="AY671" i="3" s="1"/>
  <c r="AX672" i="3"/>
  <c r="AY672" i="3" s="1"/>
  <c r="AX673" i="3"/>
  <c r="AY673" i="3" s="1"/>
  <c r="AX675" i="3"/>
  <c r="AY675" i="3" s="1"/>
  <c r="AX676" i="3"/>
  <c r="AY676" i="3" s="1"/>
  <c r="AX677" i="3"/>
  <c r="AY677" i="3" s="1"/>
  <c r="AX679" i="3"/>
  <c r="AY679" i="3" s="1"/>
  <c r="AX680" i="3"/>
  <c r="AY680" i="3" s="1"/>
  <c r="AX681" i="3"/>
  <c r="AY681" i="3" s="1"/>
  <c r="AX682" i="3"/>
  <c r="AX683" i="3"/>
  <c r="AX684" i="3"/>
  <c r="AY684" i="3" s="1"/>
  <c r="AX685" i="3"/>
  <c r="AY685" i="3" s="1"/>
  <c r="AX687" i="3"/>
  <c r="AY687" i="3" s="1"/>
  <c r="AX688" i="3"/>
  <c r="AY688" i="3" s="1"/>
  <c r="AX689" i="3"/>
  <c r="AY689" i="3" s="1"/>
  <c r="AX690" i="3"/>
  <c r="AX691" i="3"/>
  <c r="AX692" i="3"/>
  <c r="AX693" i="3"/>
  <c r="AY693" i="3" s="1"/>
  <c r="AX695" i="3"/>
  <c r="AY695" i="3" s="1"/>
  <c r="AX696" i="3"/>
  <c r="AY696" i="3" s="1"/>
  <c r="AX697" i="3"/>
  <c r="AY697" i="3" s="1"/>
  <c r="AX698" i="3"/>
  <c r="AX699" i="3"/>
  <c r="AX700" i="3"/>
  <c r="AX701" i="3"/>
  <c r="AX703" i="3"/>
  <c r="AY703" i="3" s="1"/>
  <c r="AX704" i="3"/>
  <c r="AY704" i="3" s="1"/>
  <c r="AX705" i="3"/>
  <c r="AY705" i="3" s="1"/>
  <c r="AX706" i="3"/>
  <c r="AY706" i="3" s="1"/>
  <c r="AX707" i="3"/>
  <c r="AY707" i="3" s="1"/>
  <c r="AX708" i="3"/>
  <c r="AY708" i="3" s="1"/>
  <c r="AX709" i="3"/>
  <c r="AY709" i="3" s="1"/>
  <c r="AX710" i="3"/>
  <c r="AY710" i="3" s="1"/>
  <c r="AX711" i="3"/>
  <c r="AY711" i="3" s="1"/>
  <c r="AX712" i="3"/>
  <c r="AY712" i="3" s="1"/>
  <c r="AX713" i="3"/>
  <c r="AY713" i="3" s="1"/>
  <c r="AX714" i="3"/>
  <c r="AY714" i="3" s="1"/>
  <c r="AX715" i="3"/>
  <c r="AY715" i="3" s="1"/>
  <c r="AX716" i="3"/>
  <c r="AY716" i="3" s="1"/>
  <c r="AX717" i="3"/>
  <c r="AY717" i="3" s="1"/>
  <c r="AX718" i="3"/>
  <c r="AY718" i="3" s="1"/>
  <c r="AX719" i="3"/>
  <c r="AY719" i="3" s="1"/>
  <c r="AX720" i="3"/>
  <c r="AY720" i="3" s="1"/>
  <c r="AX721" i="3"/>
  <c r="AY721" i="3" s="1"/>
  <c r="AX726" i="3"/>
  <c r="AY726" i="3" s="1"/>
  <c r="AX727" i="3"/>
  <c r="AY727" i="3" s="1"/>
  <c r="AX729" i="3"/>
  <c r="AY729" i="3" s="1"/>
  <c r="AX730" i="3"/>
  <c r="AY730" i="3" s="1"/>
  <c r="AX731" i="3"/>
  <c r="AY731" i="3" s="1"/>
  <c r="AX732" i="3"/>
  <c r="AY732" i="3" s="1"/>
  <c r="AX733" i="3"/>
  <c r="AY733" i="3" s="1"/>
  <c r="AX734" i="3"/>
  <c r="AY734" i="3" s="1"/>
  <c r="AX735" i="3"/>
  <c r="AY735" i="3" s="1"/>
  <c r="AX736" i="3"/>
  <c r="AY736" i="3" s="1"/>
  <c r="AX737" i="3"/>
  <c r="AY737" i="3" s="1"/>
  <c r="AX738" i="3"/>
  <c r="AY738" i="3" s="1"/>
  <c r="AX739" i="3"/>
  <c r="AY739" i="3" s="1"/>
  <c r="AX740" i="3"/>
  <c r="AY740" i="3" s="1"/>
  <c r="AX741" i="3"/>
  <c r="AY741" i="3" s="1"/>
  <c r="AX742" i="3"/>
  <c r="AY742" i="3" s="1"/>
  <c r="AX744" i="3"/>
  <c r="AY744" i="3" s="1"/>
  <c r="AX745" i="3"/>
  <c r="AY745" i="3" s="1"/>
  <c r="AX747" i="3"/>
  <c r="AY747" i="3" s="1"/>
  <c r="AX748" i="3"/>
  <c r="AY748" i="3" s="1"/>
  <c r="AX749" i="3"/>
  <c r="AY749" i="3" s="1"/>
  <c r="AX751" i="3"/>
  <c r="AY751" i="3" s="1"/>
  <c r="AX752" i="3"/>
  <c r="AY752" i="3" s="1"/>
  <c r="AX753" i="3"/>
  <c r="AY753" i="3" s="1"/>
  <c r="AX755" i="3"/>
  <c r="AY755" i="3" s="1"/>
  <c r="AX756" i="3"/>
  <c r="AY756" i="3" s="1"/>
  <c r="AX757" i="3"/>
  <c r="AY757" i="3" s="1"/>
  <c r="AX758" i="3"/>
  <c r="AX759" i="3"/>
  <c r="AX760" i="3"/>
  <c r="AY760" i="3" s="1"/>
  <c r="AX761" i="3"/>
  <c r="AY761" i="3" s="1"/>
  <c r="AX763" i="3"/>
  <c r="AY763" i="3" s="1"/>
  <c r="AX764" i="3"/>
  <c r="AY764" i="3" s="1"/>
  <c r="AX765" i="3"/>
  <c r="AY765" i="3" s="1"/>
  <c r="AX766" i="3"/>
  <c r="AX767" i="3"/>
  <c r="AX768" i="3"/>
  <c r="AX769" i="3"/>
  <c r="AY769" i="3" s="1"/>
  <c r="AX771" i="3"/>
  <c r="AY771" i="3" s="1"/>
  <c r="AX772" i="3"/>
  <c r="AY772" i="3" s="1"/>
  <c r="AX773" i="3"/>
  <c r="AY773" i="3" s="1"/>
  <c r="AX774" i="3"/>
  <c r="AX775" i="3"/>
  <c r="AX776" i="3"/>
  <c r="AX777" i="3"/>
  <c r="AX779" i="3"/>
  <c r="AY779" i="3" s="1"/>
  <c r="AX780" i="3"/>
  <c r="AY780" i="3" s="1"/>
  <c r="AX781" i="3"/>
  <c r="AY781" i="3" s="1"/>
  <c r="AX782" i="3"/>
  <c r="AY782" i="3" s="1"/>
  <c r="AX783" i="3"/>
  <c r="AY783" i="3" s="1"/>
  <c r="AX784" i="3"/>
  <c r="AY784" i="3" s="1"/>
  <c r="AX785" i="3"/>
  <c r="AY785" i="3" s="1"/>
  <c r="AX786" i="3"/>
  <c r="AY786" i="3" s="1"/>
  <c r="AX787" i="3"/>
  <c r="AY787" i="3" s="1"/>
  <c r="AX788" i="3"/>
  <c r="AY788" i="3" s="1"/>
  <c r="AX789" i="3"/>
  <c r="AY789" i="3" s="1"/>
  <c r="AX790" i="3"/>
  <c r="AY790" i="3" s="1"/>
  <c r="AX791" i="3"/>
  <c r="AY791" i="3" s="1"/>
  <c r="AX792" i="3"/>
  <c r="AY792" i="3" s="1"/>
  <c r="AX793" i="3"/>
  <c r="AY793" i="3" s="1"/>
  <c r="AX794" i="3"/>
  <c r="AY794" i="3" s="1"/>
  <c r="AX795" i="3"/>
  <c r="AY795" i="3" s="1"/>
  <c r="AX796" i="3"/>
  <c r="AY796" i="3" s="1"/>
  <c r="AX801" i="3"/>
  <c r="AY801" i="3" s="1"/>
  <c r="AX802" i="3"/>
  <c r="AY802" i="3" s="1"/>
  <c r="AX804" i="3"/>
  <c r="AY804" i="3" s="1"/>
  <c r="AX805" i="3"/>
  <c r="AY805" i="3" s="1"/>
  <c r="AX806" i="3"/>
  <c r="AY806" i="3" s="1"/>
  <c r="AX807" i="3"/>
  <c r="AY807" i="3" s="1"/>
  <c r="AX808" i="3"/>
  <c r="AY808" i="3" s="1"/>
  <c r="AX809" i="3"/>
  <c r="AY809" i="3" s="1"/>
  <c r="AX810" i="3"/>
  <c r="AY810" i="3" s="1"/>
  <c r="AX811" i="3"/>
  <c r="AY811" i="3" s="1"/>
  <c r="AX812" i="3"/>
  <c r="AY812" i="3" s="1"/>
  <c r="AX813" i="3"/>
  <c r="AY813" i="3" s="1"/>
  <c r="AX814" i="3"/>
  <c r="AY814" i="3" s="1"/>
  <c r="AX815" i="3"/>
  <c r="AY815" i="3" s="1"/>
  <c r="AX816" i="3"/>
  <c r="AY816" i="3" s="1"/>
  <c r="AX817" i="3"/>
  <c r="AY817" i="3" s="1"/>
  <c r="AX819" i="3"/>
  <c r="AY819" i="3" s="1"/>
  <c r="AX820" i="3"/>
  <c r="AY820" i="3" s="1"/>
  <c r="AX822" i="3"/>
  <c r="AY822" i="3" s="1"/>
  <c r="AX823" i="3"/>
  <c r="AY823" i="3" s="1"/>
  <c r="AX824" i="3"/>
  <c r="AY824" i="3" s="1"/>
  <c r="AX826" i="3"/>
  <c r="AY826" i="3" s="1"/>
  <c r="AX827" i="3"/>
  <c r="AY827" i="3" s="1"/>
  <c r="AX828" i="3"/>
  <c r="AY828" i="3" s="1"/>
  <c r="AX830" i="3"/>
  <c r="AY830" i="3" s="1"/>
  <c r="AX831" i="3"/>
  <c r="AY831" i="3" s="1"/>
  <c r="AX832" i="3"/>
  <c r="AY832" i="3" s="1"/>
  <c r="AX833" i="3"/>
  <c r="AX834" i="3"/>
  <c r="AX835" i="3"/>
  <c r="AX836" i="3"/>
  <c r="AY836" i="3" s="1"/>
  <c r="AX838" i="3"/>
  <c r="AY838" i="3" s="1"/>
  <c r="AX839" i="3"/>
  <c r="AY839" i="3" s="1"/>
  <c r="AX840" i="3"/>
  <c r="AY840" i="3" s="1"/>
  <c r="AX841" i="3"/>
  <c r="AX842" i="3"/>
  <c r="AX843" i="3"/>
  <c r="AX844" i="3"/>
  <c r="AX846" i="3"/>
  <c r="AY846" i="3" s="1"/>
  <c r="AX847" i="3"/>
  <c r="AY847" i="3" s="1"/>
  <c r="AX848" i="3"/>
  <c r="AY848" i="3" s="1"/>
  <c r="AX849" i="3"/>
  <c r="AX850" i="3"/>
  <c r="AY850" i="3" s="1"/>
  <c r="AX851" i="3"/>
  <c r="AY851" i="3" s="1"/>
  <c r="BA851" i="3" s="1"/>
  <c r="AX852" i="3"/>
  <c r="AY852" i="3" s="1"/>
  <c r="AX854" i="3"/>
  <c r="AY854" i="3" s="1"/>
  <c r="AX855" i="3"/>
  <c r="AY855" i="3" s="1"/>
  <c r="AX856" i="3"/>
  <c r="AY856" i="3" s="1"/>
  <c r="AX857" i="3"/>
  <c r="AY857" i="3" s="1"/>
  <c r="AX858" i="3"/>
  <c r="AY858" i="3" s="1"/>
  <c r="AX859" i="3"/>
  <c r="AY859" i="3" s="1"/>
  <c r="AX860" i="3"/>
  <c r="AY860" i="3" s="1"/>
  <c r="AX861" i="3"/>
  <c r="AY861" i="3" s="1"/>
  <c r="AX862" i="3"/>
  <c r="AY862" i="3" s="1"/>
  <c r="AX863" i="3"/>
  <c r="AY863" i="3" s="1"/>
  <c r="AX864" i="3"/>
  <c r="AY864" i="3" s="1"/>
  <c r="AX865" i="3"/>
  <c r="AY865" i="3" s="1"/>
  <c r="AX866" i="3"/>
  <c r="AY866" i="3" s="1"/>
  <c r="AX867" i="3"/>
  <c r="AY867" i="3" s="1"/>
  <c r="AX868" i="3"/>
  <c r="AY868" i="3" s="1"/>
  <c r="AX869" i="3"/>
  <c r="AY869" i="3" s="1"/>
  <c r="AX870" i="3"/>
  <c r="AY870" i="3" s="1"/>
  <c r="AX871" i="3"/>
  <c r="AY871" i="3" s="1"/>
  <c r="AX876" i="3"/>
  <c r="AY876" i="3" s="1"/>
  <c r="AX877" i="3"/>
  <c r="AY877" i="3" s="1"/>
  <c r="AX879" i="3"/>
  <c r="AY879" i="3" s="1"/>
  <c r="AX880" i="3"/>
  <c r="AY880" i="3" s="1"/>
  <c r="AX881" i="3"/>
  <c r="AY881" i="3" s="1"/>
  <c r="AX882" i="3"/>
  <c r="AY882" i="3" s="1"/>
  <c r="AX883" i="3"/>
  <c r="AY883" i="3" s="1"/>
  <c r="AX884" i="3"/>
  <c r="AY884" i="3" s="1"/>
  <c r="AX885" i="3"/>
  <c r="AY885" i="3" s="1"/>
  <c r="AX886" i="3"/>
  <c r="AY886" i="3" s="1"/>
  <c r="AX887" i="3"/>
  <c r="AY887" i="3" s="1"/>
  <c r="AX888" i="3"/>
  <c r="AY888" i="3" s="1"/>
  <c r="AX889" i="3"/>
  <c r="AY889" i="3" s="1"/>
  <c r="AX890" i="3"/>
  <c r="AY890" i="3" s="1"/>
  <c r="AX891" i="3"/>
  <c r="AY891" i="3" s="1"/>
  <c r="AX892" i="3"/>
  <c r="AY892" i="3" s="1"/>
  <c r="AX894" i="3"/>
  <c r="AY894" i="3" s="1"/>
  <c r="AX895" i="3"/>
  <c r="AY895" i="3" s="1"/>
  <c r="AX897" i="3"/>
  <c r="AY897" i="3" s="1"/>
  <c r="AX898" i="3"/>
  <c r="AY898" i="3" s="1"/>
  <c r="AX899" i="3"/>
  <c r="AY899" i="3" s="1"/>
  <c r="AX901" i="3"/>
  <c r="AY901" i="3" s="1"/>
  <c r="AX902" i="3"/>
  <c r="AY902" i="3" s="1"/>
  <c r="AX903" i="3"/>
  <c r="AY903" i="3" s="1"/>
  <c r="AX905" i="3"/>
  <c r="AY905" i="3" s="1"/>
  <c r="AX906" i="3"/>
  <c r="AY906" i="3" s="1"/>
  <c r="AX907" i="3"/>
  <c r="AY907" i="3" s="1"/>
  <c r="AX908" i="3"/>
  <c r="AX909" i="3"/>
  <c r="AX910" i="3"/>
  <c r="AX911" i="3"/>
  <c r="AX913" i="3"/>
  <c r="AY913" i="3" s="1"/>
  <c r="AX914" i="3"/>
  <c r="AY914" i="3" s="1"/>
  <c r="AX915" i="3"/>
  <c r="AY915" i="3" s="1"/>
  <c r="AX916" i="3"/>
  <c r="AX917" i="3"/>
  <c r="AY917" i="3" s="1"/>
  <c r="AX918" i="3"/>
  <c r="AY918" i="3" s="1"/>
  <c r="AX919" i="3"/>
  <c r="AY919" i="3" s="1"/>
  <c r="AX921" i="3"/>
  <c r="AY921" i="3" s="1"/>
  <c r="AX922" i="3"/>
  <c r="AY922" i="3" s="1"/>
  <c r="AX923" i="3"/>
  <c r="AY923" i="3" s="1"/>
  <c r="AX924" i="3"/>
  <c r="AX925" i="3"/>
  <c r="AX926" i="3"/>
  <c r="AY926" i="3" s="1"/>
  <c r="AX927" i="3"/>
  <c r="AY927" i="3" s="1"/>
  <c r="BA927" i="3" s="1"/>
  <c r="AX929" i="3"/>
  <c r="AY929" i="3" s="1"/>
  <c r="AX930" i="3"/>
  <c r="AY930" i="3" s="1"/>
  <c r="AX931" i="3"/>
  <c r="AY931" i="3" s="1"/>
  <c r="AX932" i="3"/>
  <c r="AY932" i="3" s="1"/>
  <c r="AX933" i="3"/>
  <c r="AY933" i="3" s="1"/>
  <c r="AX934" i="3"/>
  <c r="AY934" i="3" s="1"/>
  <c r="AX935" i="3"/>
  <c r="AY935" i="3" s="1"/>
  <c r="AX936" i="3"/>
  <c r="AY936" i="3" s="1"/>
  <c r="AX937" i="3"/>
  <c r="AY937" i="3" s="1"/>
  <c r="AX938" i="3"/>
  <c r="AY938" i="3" s="1"/>
  <c r="AX939" i="3"/>
  <c r="AY939" i="3" s="1"/>
  <c r="AX940" i="3"/>
  <c r="AY940" i="3" s="1"/>
  <c r="AX941" i="3"/>
  <c r="AY941" i="3" s="1"/>
  <c r="AX942" i="3"/>
  <c r="AY942" i="3" s="1"/>
  <c r="AX943" i="3"/>
  <c r="AY943" i="3" s="1"/>
  <c r="AX944" i="3"/>
  <c r="AY944" i="3" s="1"/>
  <c r="AX945" i="3"/>
  <c r="AY945" i="3" s="1"/>
  <c r="AX946" i="3"/>
  <c r="AY946" i="3" s="1"/>
  <c r="AX951" i="3"/>
  <c r="AY951" i="3" s="1"/>
  <c r="AX952" i="3"/>
  <c r="AY952" i="3" s="1"/>
  <c r="AX954" i="3"/>
  <c r="AY954" i="3" s="1"/>
  <c r="AX955" i="3"/>
  <c r="AY955" i="3" s="1"/>
  <c r="AX956" i="3"/>
  <c r="AY956" i="3" s="1"/>
  <c r="AX957" i="3"/>
  <c r="AY957" i="3" s="1"/>
  <c r="AX958" i="3"/>
  <c r="AY958" i="3" s="1"/>
  <c r="AX959" i="3"/>
  <c r="AY959" i="3" s="1"/>
  <c r="AX960" i="3"/>
  <c r="AY960" i="3" s="1"/>
  <c r="AX961" i="3"/>
  <c r="AY961" i="3" s="1"/>
  <c r="AX962" i="3"/>
  <c r="AY962" i="3" s="1"/>
  <c r="AX963" i="3"/>
  <c r="AY963" i="3" s="1"/>
  <c r="AX964" i="3"/>
  <c r="AY964" i="3" s="1"/>
  <c r="AX965" i="3"/>
  <c r="AY965" i="3" s="1"/>
  <c r="AX966" i="3"/>
  <c r="AY966" i="3" s="1"/>
  <c r="AX967" i="3"/>
  <c r="AY967" i="3" s="1"/>
  <c r="AX969" i="3"/>
  <c r="AY969" i="3" s="1"/>
  <c r="AX970" i="3"/>
  <c r="AY970" i="3" s="1"/>
  <c r="AX972" i="3"/>
  <c r="AY972" i="3" s="1"/>
  <c r="AX973" i="3"/>
  <c r="AY973" i="3" s="1"/>
  <c r="AX974" i="3"/>
  <c r="AY974" i="3" s="1"/>
  <c r="AX976" i="3"/>
  <c r="AY976" i="3" s="1"/>
  <c r="AX977" i="3"/>
  <c r="AY977" i="3" s="1"/>
  <c r="AX978" i="3"/>
  <c r="AY978" i="3" s="1"/>
  <c r="AX980" i="3"/>
  <c r="AY980" i="3" s="1"/>
  <c r="AX981" i="3"/>
  <c r="AY981" i="3" s="1"/>
  <c r="AX982" i="3"/>
  <c r="AY982" i="3" s="1"/>
  <c r="AX983" i="3"/>
  <c r="AX984" i="3"/>
  <c r="AY984" i="3" s="1"/>
  <c r="AX985" i="3"/>
  <c r="AY985" i="3" s="1"/>
  <c r="AX986" i="3"/>
  <c r="AY986" i="3" s="1"/>
  <c r="AX988" i="3"/>
  <c r="AY988" i="3" s="1"/>
  <c r="AX989" i="3"/>
  <c r="AY989" i="3" s="1"/>
  <c r="AX990" i="3"/>
  <c r="AY990" i="3" s="1"/>
  <c r="AX991" i="3"/>
  <c r="AX992" i="3"/>
  <c r="AX993" i="3"/>
  <c r="AY993" i="3" s="1"/>
  <c r="AX994" i="3"/>
  <c r="AY994" i="3" s="1"/>
  <c r="AX996" i="3"/>
  <c r="AY996" i="3" s="1"/>
  <c r="AX997" i="3"/>
  <c r="AY997" i="3" s="1"/>
  <c r="AX998" i="3"/>
  <c r="AY998" i="3" s="1"/>
  <c r="AX999" i="3"/>
  <c r="AX1000" i="3"/>
  <c r="AX1001" i="3"/>
  <c r="AX1002" i="3"/>
  <c r="AY1002" i="3" s="1"/>
  <c r="AX1004" i="3"/>
  <c r="AY1004" i="3" s="1"/>
  <c r="AX1005" i="3"/>
  <c r="AY1005" i="3" s="1"/>
  <c r="AX1006" i="3"/>
  <c r="AY1006" i="3" s="1"/>
  <c r="AX1007" i="3"/>
  <c r="AY1007" i="3" s="1"/>
  <c r="AX1008" i="3"/>
  <c r="AY1008" i="3" s="1"/>
  <c r="AX1009" i="3"/>
  <c r="AY1009" i="3" s="1"/>
  <c r="AX1010" i="3"/>
  <c r="AY1010" i="3" s="1"/>
  <c r="AX1011" i="3"/>
  <c r="AY1011" i="3" s="1"/>
  <c r="AX1012" i="3"/>
  <c r="AY1012" i="3" s="1"/>
  <c r="AX1013" i="3"/>
  <c r="AY1013" i="3" s="1"/>
  <c r="AX1014" i="3"/>
  <c r="AY1014" i="3" s="1"/>
  <c r="AX1015" i="3"/>
  <c r="AY1015" i="3" s="1"/>
  <c r="AX1016" i="3"/>
  <c r="AY1016" i="3" s="1"/>
  <c r="AX1017" i="3"/>
  <c r="AY1017" i="3" s="1"/>
  <c r="AX1018" i="3"/>
  <c r="AY1018" i="3" s="1"/>
  <c r="AX1019" i="3"/>
  <c r="AY1019" i="3" s="1"/>
  <c r="AX1020" i="3"/>
  <c r="AY1020" i="3" s="1"/>
  <c r="AX1021" i="3"/>
  <c r="AY1021" i="3" s="1"/>
  <c r="AX1026" i="3"/>
  <c r="AY1026" i="3" s="1"/>
  <c r="AX1027" i="3"/>
  <c r="AY1027" i="3" s="1"/>
  <c r="AX1029" i="3"/>
  <c r="AY1029" i="3" s="1"/>
  <c r="AX1030" i="3"/>
  <c r="AY1030" i="3" s="1"/>
  <c r="AX1031" i="3"/>
  <c r="AY1031" i="3" s="1"/>
  <c r="AX1032" i="3"/>
  <c r="AY1032" i="3" s="1"/>
  <c r="AX1033" i="3"/>
  <c r="AY1033" i="3" s="1"/>
  <c r="AX1034" i="3"/>
  <c r="AY1034" i="3" s="1"/>
  <c r="AX1035" i="3"/>
  <c r="AY1035" i="3" s="1"/>
  <c r="AX1036" i="3"/>
  <c r="AY1036" i="3" s="1"/>
  <c r="AX1037" i="3"/>
  <c r="AY1037" i="3" s="1"/>
  <c r="AX1038" i="3"/>
  <c r="AY1038" i="3" s="1"/>
  <c r="AX1039" i="3"/>
  <c r="AY1039" i="3" s="1"/>
  <c r="AX1040" i="3"/>
  <c r="AY1040" i="3" s="1"/>
  <c r="AX1041" i="3"/>
  <c r="AY1041" i="3" s="1"/>
  <c r="AX1042" i="3"/>
  <c r="AY1042" i="3" s="1"/>
  <c r="AX1044" i="3"/>
  <c r="AY1044" i="3" s="1"/>
  <c r="AX1045" i="3"/>
  <c r="AY1045" i="3" s="1"/>
  <c r="AX1047" i="3"/>
  <c r="AY1047" i="3" s="1"/>
  <c r="AX1048" i="3"/>
  <c r="AY1048" i="3" s="1"/>
  <c r="AX1049" i="3"/>
  <c r="AY1049" i="3" s="1"/>
  <c r="AX1051" i="3"/>
  <c r="AY1051" i="3" s="1"/>
  <c r="AX1052" i="3"/>
  <c r="AY1052" i="3" s="1"/>
  <c r="AX1053" i="3"/>
  <c r="AY1053" i="3" s="1"/>
  <c r="AX1055" i="3"/>
  <c r="AY1055" i="3" s="1"/>
  <c r="AX1056" i="3"/>
  <c r="AY1056" i="3" s="1"/>
  <c r="AX1057" i="3"/>
  <c r="AY1057" i="3" s="1"/>
  <c r="AX1058" i="3"/>
  <c r="AX1059" i="3"/>
  <c r="AX1060" i="3"/>
  <c r="AY1060" i="3" s="1"/>
  <c r="AX1061" i="3"/>
  <c r="AY1061" i="3" s="1"/>
  <c r="AX1063" i="3"/>
  <c r="AY1063" i="3" s="1"/>
  <c r="AX1064" i="3"/>
  <c r="AY1064" i="3" s="1"/>
  <c r="AX1065" i="3"/>
  <c r="AY1065" i="3" s="1"/>
  <c r="AX1066" i="3"/>
  <c r="AX1067" i="3"/>
  <c r="AX1068" i="3"/>
  <c r="AX1069" i="3"/>
  <c r="AY1069" i="3" s="1"/>
  <c r="AX1071" i="3"/>
  <c r="AY1071" i="3" s="1"/>
  <c r="AX1072" i="3"/>
  <c r="AY1072" i="3" s="1"/>
  <c r="AX1073" i="3"/>
  <c r="AY1073" i="3" s="1"/>
  <c r="AX1074" i="3"/>
  <c r="AX1075" i="3"/>
  <c r="AX1076" i="3"/>
  <c r="AX1077" i="3"/>
  <c r="AX1079" i="3"/>
  <c r="AY1079" i="3" s="1"/>
  <c r="AX1080" i="3"/>
  <c r="AY1080" i="3" s="1"/>
  <c r="AX1081" i="3"/>
  <c r="AY1081" i="3" s="1"/>
  <c r="AX1082" i="3"/>
  <c r="AY1082" i="3" s="1"/>
  <c r="AX1083" i="3"/>
  <c r="AY1083" i="3" s="1"/>
  <c r="AX1084" i="3"/>
  <c r="AY1084" i="3" s="1"/>
  <c r="AX1085" i="3"/>
  <c r="AY1085" i="3" s="1"/>
  <c r="AX1086" i="3"/>
  <c r="AY1086" i="3" s="1"/>
  <c r="AX1087" i="3"/>
  <c r="AY1087" i="3" s="1"/>
  <c r="AX1088" i="3"/>
  <c r="AY1088" i="3" s="1"/>
  <c r="AX1089" i="3"/>
  <c r="AY1089" i="3" s="1"/>
  <c r="AX1090" i="3"/>
  <c r="AY1090" i="3" s="1"/>
  <c r="AX1091" i="3"/>
  <c r="AY1091" i="3" s="1"/>
  <c r="AX1092" i="3"/>
  <c r="AY1092" i="3" s="1"/>
  <c r="AX1093" i="3"/>
  <c r="AY1093" i="3" s="1"/>
  <c r="AX1094" i="3"/>
  <c r="AY1094" i="3" s="1"/>
  <c r="AX1095" i="3"/>
  <c r="AY1095" i="3" s="1"/>
  <c r="AX1096" i="3"/>
  <c r="AY1096" i="3" s="1"/>
  <c r="AX1101" i="3"/>
  <c r="AY1101" i="3" s="1"/>
  <c r="AX1102" i="3"/>
  <c r="AY1102" i="3" s="1"/>
  <c r="AX1104" i="3"/>
  <c r="AY1104" i="3" s="1"/>
  <c r="AX1105" i="3"/>
  <c r="AY1105" i="3" s="1"/>
  <c r="AX1106" i="3"/>
  <c r="AY1106" i="3" s="1"/>
  <c r="AX1107" i="3"/>
  <c r="AY1107" i="3" s="1"/>
  <c r="AX1108" i="3"/>
  <c r="AY1108" i="3" s="1"/>
  <c r="AX1109" i="3"/>
  <c r="AY1109" i="3" s="1"/>
  <c r="AX1110" i="3"/>
  <c r="AY1110" i="3" s="1"/>
  <c r="AX1111" i="3"/>
  <c r="AY1111" i="3" s="1"/>
  <c r="AX1112" i="3"/>
  <c r="AY1112" i="3" s="1"/>
  <c r="AX1113" i="3"/>
  <c r="AY1113" i="3" s="1"/>
  <c r="AX1114" i="3"/>
  <c r="AY1114" i="3" s="1"/>
  <c r="AX1115" i="3"/>
  <c r="AY1115" i="3" s="1"/>
  <c r="AX1116" i="3"/>
  <c r="AY1116" i="3" s="1"/>
  <c r="AX1117" i="3"/>
  <c r="AY1117" i="3" s="1"/>
  <c r="AX1119" i="3"/>
  <c r="AY1119" i="3" s="1"/>
  <c r="AX1120" i="3"/>
  <c r="AY1120" i="3" s="1"/>
  <c r="AX1122" i="3"/>
  <c r="AY1122" i="3" s="1"/>
  <c r="AX1123" i="3"/>
  <c r="AY1123" i="3" s="1"/>
  <c r="AX1124" i="3"/>
  <c r="AY1124" i="3" s="1"/>
  <c r="AX1126" i="3"/>
  <c r="AY1126" i="3" s="1"/>
  <c r="AX1127" i="3"/>
  <c r="AY1127" i="3" s="1"/>
  <c r="AX1128" i="3"/>
  <c r="AY1128" i="3" s="1"/>
  <c r="AX1130" i="3"/>
  <c r="AY1130" i="3" s="1"/>
  <c r="AX1131" i="3"/>
  <c r="AY1131" i="3" s="1"/>
  <c r="AX1132" i="3"/>
  <c r="AY1132" i="3" s="1"/>
  <c r="AX1133" i="3"/>
  <c r="AX1134" i="3"/>
  <c r="AX1135" i="3"/>
  <c r="AX1136" i="3"/>
  <c r="AY1136" i="3" s="1"/>
  <c r="AX1138" i="3"/>
  <c r="AY1138" i="3" s="1"/>
  <c r="AX1139" i="3"/>
  <c r="AY1139" i="3" s="1"/>
  <c r="AX1140" i="3"/>
  <c r="AY1140" i="3" s="1"/>
  <c r="AX1141" i="3"/>
  <c r="AX1142" i="3"/>
  <c r="AX1143" i="3"/>
  <c r="AX1144" i="3"/>
  <c r="AX1146" i="3"/>
  <c r="AY1146" i="3" s="1"/>
  <c r="AX1147" i="3"/>
  <c r="AY1147" i="3" s="1"/>
  <c r="AX1148" i="3"/>
  <c r="AY1148" i="3" s="1"/>
  <c r="AX1149" i="3"/>
  <c r="AX1150" i="3"/>
  <c r="AY1150" i="3" s="1"/>
  <c r="AX1151" i="3"/>
  <c r="AY1151" i="3" s="1"/>
  <c r="AX1152" i="3"/>
  <c r="AY1152" i="3" s="1"/>
  <c r="AX1154" i="3"/>
  <c r="AY1154" i="3" s="1"/>
  <c r="AX1155" i="3"/>
  <c r="AY1155" i="3" s="1"/>
  <c r="AX1156" i="3"/>
  <c r="AY1156" i="3" s="1"/>
  <c r="AX1157" i="3"/>
  <c r="AY1157" i="3" s="1"/>
  <c r="AX1158" i="3"/>
  <c r="AY1158" i="3" s="1"/>
  <c r="AX1159" i="3"/>
  <c r="AY1159" i="3" s="1"/>
  <c r="AX1160" i="3"/>
  <c r="AY1160" i="3" s="1"/>
  <c r="AX1161" i="3"/>
  <c r="AY1161" i="3" s="1"/>
  <c r="AX1162" i="3"/>
  <c r="AY1162" i="3" s="1"/>
  <c r="AX1163" i="3"/>
  <c r="AY1163" i="3" s="1"/>
  <c r="AX1164" i="3"/>
  <c r="AY1164" i="3" s="1"/>
  <c r="AX1165" i="3"/>
  <c r="AY1165" i="3" s="1"/>
  <c r="AX1166" i="3"/>
  <c r="AY1166" i="3" s="1"/>
  <c r="AX1167" i="3"/>
  <c r="AY1167" i="3" s="1"/>
  <c r="AX1168" i="3"/>
  <c r="AY1168" i="3" s="1"/>
  <c r="AX1169" i="3"/>
  <c r="AY1169" i="3" s="1"/>
  <c r="AX1170" i="3"/>
  <c r="AY1170" i="3" s="1"/>
  <c r="AX1171" i="3"/>
  <c r="AY1171" i="3" s="1"/>
  <c r="AX1176" i="3"/>
  <c r="AY1176" i="3" s="1"/>
  <c r="AX1177" i="3"/>
  <c r="AY1177" i="3" s="1"/>
  <c r="AX1179" i="3"/>
  <c r="AY1179" i="3" s="1"/>
  <c r="AX1180" i="3"/>
  <c r="AY1180" i="3" s="1"/>
  <c r="AX1181" i="3"/>
  <c r="AY1181" i="3" s="1"/>
  <c r="AX1182" i="3"/>
  <c r="AY1182" i="3" s="1"/>
  <c r="AX1183" i="3"/>
  <c r="AY1183" i="3" s="1"/>
  <c r="AX1184" i="3"/>
  <c r="AY1184" i="3" s="1"/>
  <c r="AX1185" i="3"/>
  <c r="AY1185" i="3" s="1"/>
  <c r="AX1186" i="3"/>
  <c r="AY1186" i="3" s="1"/>
  <c r="AX1187" i="3"/>
  <c r="AY1187" i="3" s="1"/>
  <c r="AX1188" i="3"/>
  <c r="AY1188" i="3" s="1"/>
  <c r="AX1189" i="3"/>
  <c r="AY1189" i="3" s="1"/>
  <c r="AX1190" i="3"/>
  <c r="AY1190" i="3" s="1"/>
  <c r="AX1191" i="3"/>
  <c r="AY1191" i="3" s="1"/>
  <c r="AX1192" i="3"/>
  <c r="AY1192" i="3" s="1"/>
  <c r="AX1194" i="3"/>
  <c r="AY1194" i="3" s="1"/>
  <c r="AX1195" i="3"/>
  <c r="AY1195" i="3" s="1"/>
  <c r="AX1197" i="3"/>
  <c r="AY1197" i="3" s="1"/>
  <c r="AX1198" i="3"/>
  <c r="AY1198" i="3" s="1"/>
  <c r="AX1199" i="3"/>
  <c r="AY1199" i="3" s="1"/>
  <c r="AX1201" i="3"/>
  <c r="AY1201" i="3" s="1"/>
  <c r="AX1202" i="3"/>
  <c r="AY1202" i="3" s="1"/>
  <c r="AX1203" i="3"/>
  <c r="AY1203" i="3" s="1"/>
  <c r="AX1205" i="3"/>
  <c r="AY1205" i="3" s="1"/>
  <c r="AX1206" i="3"/>
  <c r="AY1206" i="3" s="1"/>
  <c r="AX1207" i="3"/>
  <c r="AY1207" i="3" s="1"/>
  <c r="AX1208" i="3"/>
  <c r="AX1209" i="3"/>
  <c r="AX1210" i="3"/>
  <c r="AX1211" i="3"/>
  <c r="AX1213" i="3"/>
  <c r="AY1213" i="3" s="1"/>
  <c r="AX1214" i="3"/>
  <c r="AY1214" i="3" s="1"/>
  <c r="AX1215" i="3"/>
  <c r="AY1215" i="3" s="1"/>
  <c r="AX1216" i="3"/>
  <c r="AX1217" i="3"/>
  <c r="AY1217" i="3" s="1"/>
  <c r="AX1218" i="3"/>
  <c r="AY1218" i="3" s="1"/>
  <c r="AX1219" i="3"/>
  <c r="AY1219" i="3" s="1"/>
  <c r="AX1221" i="3"/>
  <c r="AY1221" i="3" s="1"/>
  <c r="AX1222" i="3"/>
  <c r="AY1222" i="3" s="1"/>
  <c r="AX1223" i="3"/>
  <c r="AY1223" i="3" s="1"/>
  <c r="AX1224" i="3"/>
  <c r="AX1225" i="3"/>
  <c r="AX1226" i="3"/>
  <c r="AY1226" i="3" s="1"/>
  <c r="AX1227" i="3"/>
  <c r="AY1227" i="3" s="1"/>
  <c r="AX1229" i="3"/>
  <c r="AY1229" i="3" s="1"/>
  <c r="AX1230" i="3"/>
  <c r="AY1230" i="3" s="1"/>
  <c r="AX1231" i="3"/>
  <c r="AY1231" i="3" s="1"/>
  <c r="AX1232" i="3"/>
  <c r="AY1232" i="3" s="1"/>
  <c r="AX1233" i="3"/>
  <c r="AY1233" i="3" s="1"/>
  <c r="AX1234" i="3"/>
  <c r="AY1234" i="3" s="1"/>
  <c r="AX1235" i="3"/>
  <c r="AY1235" i="3" s="1"/>
  <c r="AX1236" i="3"/>
  <c r="AY1236" i="3" s="1"/>
  <c r="AX1237" i="3"/>
  <c r="AY1237" i="3" s="1"/>
  <c r="AX1238" i="3"/>
  <c r="AY1238" i="3" s="1"/>
  <c r="AX1239" i="3"/>
  <c r="AY1239" i="3" s="1"/>
  <c r="AX1240" i="3"/>
  <c r="AY1240" i="3" s="1"/>
  <c r="AX1241" i="3"/>
  <c r="AY1241" i="3" s="1"/>
  <c r="AX1242" i="3"/>
  <c r="AY1242" i="3" s="1"/>
  <c r="AX1243" i="3"/>
  <c r="AY1243" i="3" s="1"/>
  <c r="AX1244" i="3"/>
  <c r="AY1244" i="3" s="1"/>
  <c r="AX1245" i="3"/>
  <c r="AY1245" i="3" s="1"/>
  <c r="AX1246" i="3"/>
  <c r="AY1246" i="3" s="1"/>
  <c r="AX1251" i="3"/>
  <c r="AY1251" i="3" s="1"/>
  <c r="AX1252" i="3"/>
  <c r="AY1252" i="3" s="1"/>
  <c r="AX1254" i="3"/>
  <c r="AY1254" i="3" s="1"/>
  <c r="AX1255" i="3"/>
  <c r="AY1255" i="3" s="1"/>
  <c r="AX1256" i="3"/>
  <c r="AY1256" i="3" s="1"/>
  <c r="AX1257" i="3"/>
  <c r="AY1257" i="3" s="1"/>
  <c r="AX1258" i="3"/>
  <c r="AY1258" i="3" s="1"/>
  <c r="AX1259" i="3"/>
  <c r="AY1259" i="3" s="1"/>
  <c r="AX1260" i="3"/>
  <c r="AY1260" i="3" s="1"/>
  <c r="AX1261" i="3"/>
  <c r="AY1261" i="3" s="1"/>
  <c r="AX1262" i="3"/>
  <c r="AY1262" i="3" s="1"/>
  <c r="AX1263" i="3"/>
  <c r="AY1263" i="3" s="1"/>
  <c r="AX1264" i="3"/>
  <c r="AY1264" i="3" s="1"/>
  <c r="AX1265" i="3"/>
  <c r="AY1265" i="3" s="1"/>
  <c r="AX1266" i="3"/>
  <c r="AY1266" i="3" s="1"/>
  <c r="AX1267" i="3"/>
  <c r="AY1267" i="3" s="1"/>
  <c r="AX1269" i="3"/>
  <c r="AY1269" i="3" s="1"/>
  <c r="AX1270" i="3"/>
  <c r="AY1270" i="3" s="1"/>
  <c r="AX1272" i="3"/>
  <c r="AY1272" i="3" s="1"/>
  <c r="AX1273" i="3"/>
  <c r="AY1273" i="3" s="1"/>
  <c r="AX1274" i="3"/>
  <c r="AY1274" i="3" s="1"/>
  <c r="AX1276" i="3"/>
  <c r="AY1276" i="3" s="1"/>
  <c r="AX1277" i="3"/>
  <c r="AY1277" i="3" s="1"/>
  <c r="AX1278" i="3"/>
  <c r="AY1278" i="3" s="1"/>
  <c r="AX1280" i="3"/>
  <c r="AY1280" i="3" s="1"/>
  <c r="AX1281" i="3"/>
  <c r="AY1281" i="3" s="1"/>
  <c r="AX1282" i="3"/>
  <c r="AY1282" i="3" s="1"/>
  <c r="AX1283" i="3"/>
  <c r="AX1284" i="3"/>
  <c r="AY1284" i="3" s="1"/>
  <c r="AX1285" i="3"/>
  <c r="AY1285" i="3" s="1"/>
  <c r="AX1286" i="3"/>
  <c r="AX1288" i="3"/>
  <c r="AY1288" i="3" s="1"/>
  <c r="AX1289" i="3"/>
  <c r="AY1289" i="3" s="1"/>
  <c r="AX1290" i="3"/>
  <c r="AY1290" i="3" s="1"/>
  <c r="AX1291" i="3"/>
  <c r="AX1292" i="3"/>
  <c r="AX1293" i="3"/>
  <c r="AY1293" i="3" s="1"/>
  <c r="AX1294" i="3"/>
  <c r="AY1294" i="3" s="1"/>
  <c r="AX1296" i="3"/>
  <c r="AY1296" i="3" s="1"/>
  <c r="AX1297" i="3"/>
  <c r="AY1297" i="3" s="1"/>
  <c r="AX1298" i="3"/>
  <c r="AY1298" i="3" s="1"/>
  <c r="AX1299" i="3"/>
  <c r="AX1300" i="3"/>
  <c r="AX1301" i="3"/>
  <c r="AX1302" i="3"/>
  <c r="AY1302" i="3" s="1"/>
  <c r="AX1304" i="3"/>
  <c r="AY1304" i="3" s="1"/>
  <c r="AX1305" i="3"/>
  <c r="AY1305" i="3" s="1"/>
  <c r="AX1306" i="3"/>
  <c r="AY1306" i="3" s="1"/>
  <c r="AX1307" i="3"/>
  <c r="AY1307" i="3" s="1"/>
  <c r="AX1308" i="3"/>
  <c r="AY1308" i="3" s="1"/>
  <c r="AX1309" i="3"/>
  <c r="AY1309" i="3" s="1"/>
  <c r="AX1310" i="3"/>
  <c r="AY1310" i="3" s="1"/>
  <c r="AX1311" i="3"/>
  <c r="AY1311" i="3" s="1"/>
  <c r="AX1312" i="3"/>
  <c r="AY1312" i="3" s="1"/>
  <c r="AX1313" i="3"/>
  <c r="AY1313" i="3" s="1"/>
  <c r="AX1314" i="3"/>
  <c r="AY1314" i="3" s="1"/>
  <c r="AX1315" i="3"/>
  <c r="AY1315" i="3" s="1"/>
  <c r="AX1316" i="3"/>
  <c r="AY1316" i="3" s="1"/>
  <c r="AX1317" i="3"/>
  <c r="AY1317" i="3" s="1"/>
  <c r="AX1318" i="3"/>
  <c r="AY1318" i="3" s="1"/>
  <c r="AX1319" i="3"/>
  <c r="AY1319" i="3" s="1"/>
  <c r="AX1320" i="3"/>
  <c r="AY1320" i="3" s="1"/>
  <c r="AX1321" i="3"/>
  <c r="AY1321" i="3" s="1"/>
  <c r="AX1326" i="3"/>
  <c r="AY1326" i="3" s="1"/>
  <c r="AX1327" i="3"/>
  <c r="AY1327" i="3" s="1"/>
  <c r="AX1329" i="3"/>
  <c r="AY1329" i="3" s="1"/>
  <c r="AX1330" i="3"/>
  <c r="AY1330" i="3" s="1"/>
  <c r="AX1331" i="3"/>
  <c r="AY1331" i="3" s="1"/>
  <c r="AX1332" i="3"/>
  <c r="AY1332" i="3" s="1"/>
  <c r="AX1333" i="3"/>
  <c r="AY1333" i="3" s="1"/>
  <c r="AX1334" i="3"/>
  <c r="AY1334" i="3" s="1"/>
  <c r="AX1335" i="3"/>
  <c r="AY1335" i="3" s="1"/>
  <c r="AX1336" i="3"/>
  <c r="AY1336" i="3" s="1"/>
  <c r="AX1337" i="3"/>
  <c r="AY1337" i="3" s="1"/>
  <c r="AX1338" i="3"/>
  <c r="AY1338" i="3" s="1"/>
  <c r="AX1339" i="3"/>
  <c r="AY1339" i="3" s="1"/>
  <c r="AX1340" i="3"/>
  <c r="AY1340" i="3" s="1"/>
  <c r="AX1341" i="3"/>
  <c r="AY1341" i="3" s="1"/>
  <c r="AX1342" i="3"/>
  <c r="AY1342" i="3" s="1"/>
  <c r="AX1344" i="3"/>
  <c r="AY1344" i="3" s="1"/>
  <c r="AX1345" i="3"/>
  <c r="AY1345" i="3" s="1"/>
  <c r="AX1347" i="3"/>
  <c r="AY1347" i="3" s="1"/>
  <c r="AX1348" i="3"/>
  <c r="AY1348" i="3" s="1"/>
  <c r="AX1349" i="3"/>
  <c r="AY1349" i="3" s="1"/>
  <c r="AX1351" i="3"/>
  <c r="AY1351" i="3" s="1"/>
  <c r="AX1352" i="3"/>
  <c r="AY1352" i="3" s="1"/>
  <c r="AX1353" i="3"/>
  <c r="AY1353" i="3" s="1"/>
  <c r="AX1355" i="3"/>
  <c r="AY1355" i="3" s="1"/>
  <c r="AX1356" i="3"/>
  <c r="AY1356" i="3" s="1"/>
  <c r="AX1357" i="3"/>
  <c r="AY1357" i="3" s="1"/>
  <c r="AX1358" i="3"/>
  <c r="AX1359" i="3"/>
  <c r="AX1360" i="3"/>
  <c r="AY1360" i="3" s="1"/>
  <c r="AX1361" i="3"/>
  <c r="AY1361" i="3" s="1"/>
  <c r="AX1363" i="3"/>
  <c r="AY1363" i="3" s="1"/>
  <c r="AX1364" i="3"/>
  <c r="AY1364" i="3" s="1"/>
  <c r="AX1365" i="3"/>
  <c r="AY1365" i="3" s="1"/>
  <c r="AX1366" i="3"/>
  <c r="AX1367" i="3"/>
  <c r="AX1368" i="3"/>
  <c r="AX1369" i="3"/>
  <c r="AY1369" i="3" s="1"/>
  <c r="AX1371" i="3"/>
  <c r="AY1371" i="3" s="1"/>
  <c r="AX1372" i="3"/>
  <c r="AY1372" i="3" s="1"/>
  <c r="AX1373" i="3"/>
  <c r="AY1373" i="3" s="1"/>
  <c r="AX1374" i="3"/>
  <c r="AX1375" i="3"/>
  <c r="AX1376" i="3"/>
  <c r="AX1377" i="3"/>
  <c r="AX1379" i="3"/>
  <c r="AY1379" i="3" s="1"/>
  <c r="AX1380" i="3"/>
  <c r="AY1380" i="3" s="1"/>
  <c r="AX1381" i="3"/>
  <c r="AY1381" i="3" s="1"/>
  <c r="AX1382" i="3"/>
  <c r="AY1382" i="3" s="1"/>
  <c r="AX1383" i="3"/>
  <c r="AY1383" i="3" s="1"/>
  <c r="AX1384" i="3"/>
  <c r="AY1384" i="3" s="1"/>
  <c r="AX1385" i="3"/>
  <c r="AY1385" i="3" s="1"/>
  <c r="AX1386" i="3"/>
  <c r="AY1386" i="3" s="1"/>
  <c r="AX1387" i="3"/>
  <c r="AY1387" i="3" s="1"/>
  <c r="AX1388" i="3"/>
  <c r="AY1388" i="3" s="1"/>
  <c r="AX1389" i="3"/>
  <c r="AY1389" i="3" s="1"/>
  <c r="AX1390" i="3"/>
  <c r="AY1390" i="3" s="1"/>
  <c r="AX1391" i="3"/>
  <c r="AY1391" i="3" s="1"/>
  <c r="AX1392" i="3"/>
  <c r="AY1392" i="3" s="1"/>
  <c r="AX1393" i="3"/>
  <c r="AY1393" i="3" s="1"/>
  <c r="AX1394" i="3"/>
  <c r="AY1394" i="3" s="1"/>
  <c r="AX1395" i="3"/>
  <c r="AY1395" i="3" s="1"/>
  <c r="AX1396" i="3"/>
  <c r="AY1396" i="3" s="1"/>
  <c r="AX1401" i="3"/>
  <c r="AY1401" i="3" s="1"/>
  <c r="AX1402" i="3"/>
  <c r="AY1402" i="3" s="1"/>
  <c r="AX1404" i="3"/>
  <c r="AY1404" i="3" s="1"/>
  <c r="AX1405" i="3"/>
  <c r="AY1405" i="3" s="1"/>
  <c r="AX1406" i="3"/>
  <c r="AY1406" i="3" s="1"/>
  <c r="AX1407" i="3"/>
  <c r="AY1407" i="3" s="1"/>
  <c r="AX1408" i="3"/>
  <c r="AY1408" i="3" s="1"/>
  <c r="AX1409" i="3"/>
  <c r="AY1409" i="3" s="1"/>
  <c r="AX1410" i="3"/>
  <c r="AY1410" i="3" s="1"/>
  <c r="AX1411" i="3"/>
  <c r="AY1411" i="3" s="1"/>
  <c r="AX1412" i="3"/>
  <c r="AY1412" i="3" s="1"/>
  <c r="AX1413" i="3"/>
  <c r="AY1413" i="3" s="1"/>
  <c r="AX1414" i="3"/>
  <c r="AY1414" i="3" s="1"/>
  <c r="AX1415" i="3"/>
  <c r="AY1415" i="3" s="1"/>
  <c r="AX1416" i="3"/>
  <c r="AY1416" i="3" s="1"/>
  <c r="AX1417" i="3"/>
  <c r="AY1417" i="3" s="1"/>
  <c r="AX1419" i="3"/>
  <c r="AY1419" i="3" s="1"/>
  <c r="AX1420" i="3"/>
  <c r="AY1420" i="3" s="1"/>
  <c r="AX1422" i="3"/>
  <c r="AY1422" i="3" s="1"/>
  <c r="AX1423" i="3"/>
  <c r="AY1423" i="3" s="1"/>
  <c r="AX1424" i="3"/>
  <c r="AY1424" i="3" s="1"/>
  <c r="AX1426" i="3"/>
  <c r="AY1426" i="3" s="1"/>
  <c r="AX1427" i="3"/>
  <c r="AY1427" i="3" s="1"/>
  <c r="AX1428" i="3"/>
  <c r="AY1428" i="3" s="1"/>
  <c r="AX1430" i="3"/>
  <c r="AY1430" i="3" s="1"/>
  <c r="AX1431" i="3"/>
  <c r="AY1431" i="3" s="1"/>
  <c r="AX1432" i="3"/>
  <c r="AY1432" i="3" s="1"/>
  <c r="AX1434" i="3"/>
  <c r="AY1434" i="3" s="1"/>
  <c r="AX1435" i="3"/>
  <c r="AY1435" i="3" s="1"/>
  <c r="AX1436" i="3"/>
  <c r="AY1436" i="3" s="1"/>
  <c r="AX1438" i="3"/>
  <c r="AY1438" i="3" s="1"/>
  <c r="AX1439" i="3"/>
  <c r="AY1439" i="3" s="1"/>
  <c r="AX1440" i="3"/>
  <c r="AY1440" i="3" s="1"/>
  <c r="AX1442" i="3"/>
  <c r="AY1442" i="3" s="1"/>
  <c r="AX1443" i="3"/>
  <c r="AY1443" i="3" s="1"/>
  <c r="AX1444" i="3"/>
  <c r="AY1444" i="3" s="1"/>
  <c r="AX1445" i="3"/>
  <c r="AX1446" i="3"/>
  <c r="AX1447" i="3"/>
  <c r="AY1447" i="3" s="1"/>
  <c r="AX1448" i="3"/>
  <c r="AY1448" i="3" s="1"/>
  <c r="AX1449" i="3"/>
  <c r="AX1450" i="3"/>
  <c r="AX1451" i="3"/>
  <c r="AY1451" i="3" s="1"/>
  <c r="AX1452" i="3"/>
  <c r="AY1452" i="3" s="1"/>
  <c r="AX1453" i="3"/>
  <c r="AX1454" i="3"/>
  <c r="AX1455" i="3"/>
  <c r="AY1455" i="3" s="1"/>
  <c r="AX1456" i="3"/>
  <c r="AY1456" i="3" s="1"/>
  <c r="AX1457" i="3"/>
  <c r="AY1457" i="3" s="1"/>
  <c r="AX1458" i="3"/>
  <c r="AY1458" i="3" s="1"/>
  <c r="AX1459" i="3"/>
  <c r="AY1459" i="3" s="1"/>
  <c r="AX1460" i="3"/>
  <c r="AY1460" i="3" s="1"/>
  <c r="AX1461" i="3"/>
  <c r="AY1461" i="3" s="1"/>
  <c r="AX1462" i="3"/>
  <c r="AY1462" i="3" s="1"/>
  <c r="AX1463" i="3"/>
  <c r="AY1463" i="3" s="1"/>
  <c r="AX1464" i="3"/>
  <c r="AY1464" i="3" s="1"/>
  <c r="AX1465" i="3"/>
  <c r="AY1465" i="3" s="1"/>
  <c r="AX1466" i="3"/>
  <c r="AY1466" i="3" s="1"/>
  <c r="AX1467" i="3"/>
  <c r="AY1467" i="3" s="1"/>
  <c r="AX1468" i="3"/>
  <c r="AY1468" i="3" s="1"/>
  <c r="AX1469" i="3"/>
  <c r="AY1469" i="3" s="1"/>
  <c r="AX1470" i="3"/>
  <c r="AY1470" i="3" s="1"/>
  <c r="AX1471" i="3"/>
  <c r="AY1471" i="3" s="1"/>
  <c r="AX1472" i="3"/>
  <c r="AY1472" i="3" s="1"/>
  <c r="AX1473" i="3"/>
  <c r="AY1473" i="3" s="1"/>
  <c r="AX1475" i="3"/>
  <c r="AY1475" i="3" s="1"/>
  <c r="AX1476" i="3"/>
  <c r="AY1476" i="3" s="1"/>
  <c r="AX1477" i="3"/>
  <c r="AY1477" i="3" s="1"/>
  <c r="AX1478" i="3"/>
  <c r="AY1478" i="3" s="1"/>
  <c r="AX1479" i="3"/>
  <c r="AY1479" i="3" s="1"/>
  <c r="AX1480" i="3"/>
  <c r="AY1480" i="3" s="1"/>
  <c r="AX1481" i="3"/>
  <c r="AY1481" i="3" s="1"/>
  <c r="AX1482" i="3"/>
  <c r="AY1482" i="3" s="1"/>
  <c r="AX1483" i="3"/>
  <c r="AY1483" i="3" s="1"/>
  <c r="AX1484" i="3"/>
  <c r="AY1484" i="3" s="1"/>
  <c r="AX1485" i="3"/>
  <c r="AY1485" i="3" s="1"/>
  <c r="AX1486" i="3"/>
  <c r="AY1486" i="3" s="1"/>
  <c r="AX1487" i="3"/>
  <c r="AY1487" i="3" s="1"/>
  <c r="AX1488" i="3"/>
  <c r="AY1488" i="3" s="1"/>
  <c r="AX1489" i="3"/>
  <c r="AY1489" i="3" s="1"/>
  <c r="AX1490" i="3"/>
  <c r="AY1490" i="3" s="1"/>
  <c r="AX1492" i="3"/>
  <c r="AY1492" i="3" s="1"/>
  <c r="AX1493" i="3"/>
  <c r="AY1493" i="3" s="1"/>
  <c r="AX1494" i="3"/>
  <c r="AY1494" i="3" s="1"/>
  <c r="AX1496" i="3"/>
  <c r="AY1496" i="3" s="1"/>
  <c r="AX1497" i="3"/>
  <c r="AY1497" i="3" s="1"/>
  <c r="AX1498" i="3"/>
  <c r="AY1498" i="3" s="1"/>
  <c r="AX1500" i="3"/>
  <c r="AY1500" i="3" s="1"/>
  <c r="AX1501" i="3"/>
  <c r="AY1501" i="3" s="1"/>
  <c r="AX1502" i="3"/>
  <c r="AY1502" i="3" s="1"/>
  <c r="AX1504" i="3"/>
  <c r="AY1504" i="3" s="1"/>
  <c r="AX1505" i="3"/>
  <c r="AY1505" i="3" s="1"/>
  <c r="AX1506" i="3"/>
  <c r="AY1506" i="3" s="1"/>
  <c r="AX1508" i="3"/>
  <c r="AY1508" i="3" s="1"/>
  <c r="AX1509" i="3"/>
  <c r="AY1509" i="3" s="1"/>
  <c r="AX1510" i="3"/>
  <c r="AY1510" i="3" s="1"/>
  <c r="AX1512" i="3"/>
  <c r="AY1512" i="3" s="1"/>
  <c r="AX1513" i="3"/>
  <c r="AY1513" i="3" s="1"/>
  <c r="AX1514" i="3"/>
  <c r="AY1514" i="3" s="1"/>
  <c r="AX1515" i="3"/>
  <c r="AX1516" i="3"/>
  <c r="AX1517" i="3"/>
  <c r="AX1518" i="3"/>
  <c r="AY1518" i="3" s="1"/>
  <c r="AX1519" i="3"/>
  <c r="AX1520" i="3"/>
  <c r="AX1521" i="3"/>
  <c r="AX1522" i="3"/>
  <c r="AY1522" i="3" s="1"/>
  <c r="AX1523" i="3"/>
  <c r="AX1524" i="3"/>
  <c r="AX1525" i="3"/>
  <c r="AX1526" i="3"/>
  <c r="AY1526" i="3" s="1"/>
  <c r="AX1527" i="3"/>
  <c r="AY1527" i="3" s="1"/>
  <c r="AX1528" i="3"/>
  <c r="AY1528" i="3" s="1"/>
  <c r="AX1529" i="3"/>
  <c r="AY1529" i="3" s="1"/>
  <c r="AX1530" i="3"/>
  <c r="AY1530" i="3" s="1"/>
  <c r="AX1531" i="3"/>
  <c r="AY1531" i="3" s="1"/>
  <c r="AX1532" i="3"/>
  <c r="AY1532" i="3" s="1"/>
  <c r="AX1533" i="3"/>
  <c r="AY1533" i="3" s="1"/>
  <c r="AX1534" i="3"/>
  <c r="AY1534" i="3" s="1"/>
  <c r="AX1535" i="3"/>
  <c r="AY1535" i="3" s="1"/>
  <c r="AX1536" i="3"/>
  <c r="AY1536" i="3" s="1"/>
  <c r="AX1537" i="3"/>
  <c r="AY1537" i="3" s="1"/>
  <c r="AX1538" i="3"/>
  <c r="AY1538" i="3" s="1"/>
  <c r="AX1539" i="3"/>
  <c r="AY1539" i="3" s="1"/>
  <c r="AX1540" i="3"/>
  <c r="AY1540" i="3" s="1"/>
  <c r="AX1541" i="3"/>
  <c r="AY1541" i="3" s="1"/>
  <c r="AX1542" i="3"/>
  <c r="AY1542" i="3" s="1"/>
  <c r="AX1543" i="3"/>
  <c r="AY1543" i="3" s="1"/>
  <c r="AX1544" i="3"/>
  <c r="AY1544" i="3" s="1"/>
  <c r="AX1546" i="3"/>
  <c r="AY1546" i="3" s="1"/>
  <c r="AX1547" i="3"/>
  <c r="AY1547" i="3" s="1"/>
  <c r="AX1548" i="3"/>
  <c r="AY1548" i="3" s="1"/>
  <c r="AX1549" i="3"/>
  <c r="AY1549" i="3" s="1"/>
  <c r="AX1550" i="3"/>
  <c r="AY1550" i="3" s="1"/>
  <c r="AX1551" i="3"/>
  <c r="AY1551" i="3" s="1"/>
  <c r="AX1552" i="3"/>
  <c r="AY1552" i="3" s="1"/>
  <c r="AX1553" i="3"/>
  <c r="AY1553" i="3" s="1"/>
  <c r="AX1554" i="3"/>
  <c r="AY1554" i="3" s="1"/>
  <c r="AX1555" i="3"/>
  <c r="AY1555" i="3" s="1"/>
  <c r="AX1556" i="3"/>
  <c r="AY1556" i="3" s="1"/>
  <c r="AX1557" i="3"/>
  <c r="AY1557" i="3" s="1"/>
  <c r="AX1558" i="3"/>
  <c r="AY1558" i="3" s="1"/>
  <c r="AX1559" i="3"/>
  <c r="AY1559" i="3" s="1"/>
  <c r="AX1560" i="3"/>
  <c r="AY1560" i="3" s="1"/>
  <c r="AX1561" i="3"/>
  <c r="AY1561" i="3" s="1"/>
  <c r="AX1563" i="3"/>
  <c r="AY1563" i="3" s="1"/>
  <c r="AX1564" i="3"/>
  <c r="AY1564" i="3" s="1"/>
  <c r="AX1565" i="3"/>
  <c r="AY1565" i="3" s="1"/>
  <c r="AX1567" i="3"/>
  <c r="AY1567" i="3" s="1"/>
  <c r="AX1568" i="3"/>
  <c r="AY1568" i="3" s="1"/>
  <c r="AX1569" i="3"/>
  <c r="AY1569" i="3" s="1"/>
  <c r="AX1571" i="3"/>
  <c r="AY1571" i="3" s="1"/>
  <c r="AX1572" i="3"/>
  <c r="AY1572" i="3" s="1"/>
  <c r="AX1573" i="3"/>
  <c r="AY1573" i="3" s="1"/>
  <c r="AX1575" i="3"/>
  <c r="AY1575" i="3" s="1"/>
  <c r="AX1576" i="3"/>
  <c r="AY1576" i="3" s="1"/>
  <c r="AX1577" i="3"/>
  <c r="AY1577" i="3" s="1"/>
  <c r="AX1579" i="3"/>
  <c r="AY1579" i="3" s="1"/>
  <c r="AX1580" i="3"/>
  <c r="AY1580" i="3" s="1"/>
  <c r="AX1581" i="3"/>
  <c r="AY1581" i="3" s="1"/>
  <c r="AX1583" i="3"/>
  <c r="AY1583" i="3" s="1"/>
  <c r="AX1584" i="3"/>
  <c r="AY1584" i="3" s="1"/>
  <c r="AX1585" i="3"/>
  <c r="AY1585" i="3" s="1"/>
  <c r="AX1586" i="3"/>
  <c r="AX1587" i="3"/>
  <c r="AX1588" i="3"/>
  <c r="AX1589" i="3"/>
  <c r="AY1589" i="3" s="1"/>
  <c r="AX1590" i="3"/>
  <c r="AX1591" i="3"/>
  <c r="AX1592" i="3"/>
  <c r="AX1593" i="3"/>
  <c r="AY1593" i="3" s="1"/>
  <c r="AX1594" i="3"/>
  <c r="AX1595" i="3"/>
  <c r="AX1596" i="3"/>
  <c r="AX1597" i="3"/>
  <c r="AY1597" i="3" s="1"/>
  <c r="AX1598" i="3"/>
  <c r="AY1598" i="3" s="1"/>
  <c r="AX1599" i="3"/>
  <c r="AY1599" i="3" s="1"/>
  <c r="AX1600" i="3"/>
  <c r="AY1600" i="3" s="1"/>
  <c r="AX1601" i="3"/>
  <c r="AY1601" i="3" s="1"/>
  <c r="AX1602" i="3"/>
  <c r="AY1602" i="3" s="1"/>
  <c r="AX1603" i="3"/>
  <c r="AY1603" i="3" s="1"/>
  <c r="AX1604" i="3"/>
  <c r="AY1604" i="3" s="1"/>
  <c r="AX1605" i="3"/>
  <c r="AY1605" i="3" s="1"/>
  <c r="AX1606" i="3"/>
  <c r="AY1606" i="3" s="1"/>
  <c r="AX1607" i="3"/>
  <c r="AY1607" i="3" s="1"/>
  <c r="AX1608" i="3"/>
  <c r="AY1608" i="3" s="1"/>
  <c r="AX1609" i="3"/>
  <c r="AY1609" i="3" s="1"/>
  <c r="AX1610" i="3"/>
  <c r="AY1610" i="3" s="1"/>
  <c r="AX1611" i="3"/>
  <c r="AY1611" i="3" s="1"/>
  <c r="AX1612" i="3"/>
  <c r="AY1612" i="3" s="1"/>
  <c r="AX1613" i="3"/>
  <c r="AY1613" i="3" s="1"/>
  <c r="AX1614" i="3"/>
  <c r="AY1614" i="3" s="1"/>
  <c r="AX1616" i="3"/>
  <c r="AY1616" i="3" s="1"/>
  <c r="AX1617" i="3"/>
  <c r="AY1617" i="3" s="1"/>
  <c r="AX1618" i="3"/>
  <c r="AY1618" i="3" s="1"/>
  <c r="AX1619" i="3"/>
  <c r="AY1619" i="3" s="1"/>
  <c r="AX1620" i="3"/>
  <c r="AY1620" i="3" s="1"/>
  <c r="AX1621" i="3"/>
  <c r="AY1621" i="3" s="1"/>
  <c r="AX1622" i="3"/>
  <c r="AY1622" i="3" s="1"/>
  <c r="AX1623" i="3"/>
  <c r="AY1623" i="3" s="1"/>
  <c r="AX1624" i="3"/>
  <c r="AY1624" i="3" s="1"/>
  <c r="AX1625" i="3"/>
  <c r="AY1625" i="3" s="1"/>
  <c r="AX1626" i="3"/>
  <c r="AY1626" i="3" s="1"/>
  <c r="AX1627" i="3"/>
  <c r="AY1627" i="3" s="1"/>
  <c r="AX1628" i="3"/>
  <c r="AY1628" i="3" s="1"/>
  <c r="AX1629" i="3"/>
  <c r="AY1629" i="3" s="1"/>
  <c r="AX1630" i="3"/>
  <c r="AY1630" i="3" s="1"/>
  <c r="AX1631" i="3"/>
  <c r="AY1631" i="3" s="1"/>
  <c r="AX1633" i="3"/>
  <c r="AY1633" i="3" s="1"/>
  <c r="AX1634" i="3"/>
  <c r="AY1634" i="3" s="1"/>
  <c r="AX1635" i="3"/>
  <c r="AY1635" i="3" s="1"/>
  <c r="AX1637" i="3"/>
  <c r="AY1637" i="3" s="1"/>
  <c r="AX1638" i="3"/>
  <c r="AY1638" i="3" s="1"/>
  <c r="AX1639" i="3"/>
  <c r="AY1639" i="3" s="1"/>
  <c r="AX1641" i="3"/>
  <c r="AY1641" i="3" s="1"/>
  <c r="AX1642" i="3"/>
  <c r="AY1642" i="3" s="1"/>
  <c r="AX1643" i="3"/>
  <c r="AY1643" i="3" s="1"/>
  <c r="AX1645" i="3"/>
  <c r="AY1645" i="3" s="1"/>
  <c r="AX1646" i="3"/>
  <c r="AY1646" i="3" s="1"/>
  <c r="AX1647" i="3"/>
  <c r="AY1647" i="3" s="1"/>
  <c r="AX1649" i="3"/>
  <c r="AY1649" i="3" s="1"/>
  <c r="AX1650" i="3"/>
  <c r="AY1650" i="3" s="1"/>
  <c r="AX1651" i="3"/>
  <c r="AY1651" i="3" s="1"/>
  <c r="AX1653" i="3"/>
  <c r="AY1653" i="3" s="1"/>
  <c r="AX1654" i="3"/>
  <c r="AY1654" i="3" s="1"/>
  <c r="AX1655" i="3"/>
  <c r="AY1655" i="3" s="1"/>
  <c r="AX1656" i="3"/>
  <c r="AX1657" i="3"/>
  <c r="AX1658" i="3"/>
  <c r="AX1659" i="3"/>
  <c r="AX1660" i="3"/>
  <c r="AX1661" i="3"/>
  <c r="AX1662" i="3"/>
  <c r="AX1663" i="3"/>
  <c r="AX1664" i="3"/>
  <c r="AX1665" i="3"/>
  <c r="AX1666" i="3"/>
  <c r="AX1667" i="3"/>
  <c r="AX1668" i="3"/>
  <c r="AY1668" i="3" s="1"/>
  <c r="AX1669" i="3"/>
  <c r="AY1669" i="3" s="1"/>
  <c r="AX1670" i="3"/>
  <c r="AY1670" i="3" s="1"/>
  <c r="AX1671" i="3"/>
  <c r="AY1671" i="3" s="1"/>
  <c r="AX1672" i="3"/>
  <c r="AY1672" i="3" s="1"/>
  <c r="AX1673" i="3"/>
  <c r="AY1673" i="3" s="1"/>
  <c r="AX1674" i="3"/>
  <c r="AY1674" i="3" s="1"/>
  <c r="AX1675" i="3"/>
  <c r="AY1675" i="3" s="1"/>
  <c r="AX1676" i="3"/>
  <c r="AY1676" i="3" s="1"/>
  <c r="AX1677" i="3"/>
  <c r="AY1677" i="3" s="1"/>
  <c r="AX1678" i="3"/>
  <c r="AY1678" i="3" s="1"/>
  <c r="AX1679" i="3"/>
  <c r="AY1679" i="3" s="1"/>
  <c r="AX1680" i="3"/>
  <c r="AY1680" i="3" s="1"/>
  <c r="AX1681" i="3"/>
  <c r="AY1681" i="3" s="1"/>
  <c r="AX1682" i="3"/>
  <c r="AY1682" i="3" s="1"/>
  <c r="AX1683" i="3"/>
  <c r="AY1683" i="3" s="1"/>
  <c r="AX1684" i="3"/>
  <c r="AY1684" i="3" s="1"/>
  <c r="AX1686" i="3"/>
  <c r="AY1686" i="3" s="1"/>
  <c r="AX1687" i="3"/>
  <c r="AY1687" i="3" s="1"/>
  <c r="AX1688" i="3"/>
  <c r="AY1688" i="3" s="1"/>
  <c r="AX1689" i="3"/>
  <c r="AY1689" i="3" s="1"/>
  <c r="AX1690" i="3"/>
  <c r="AY1690" i="3" s="1"/>
  <c r="AX1691" i="3"/>
  <c r="AY1691" i="3" s="1"/>
  <c r="AX1692" i="3"/>
  <c r="AY1692" i="3" s="1"/>
  <c r="AX1693" i="3"/>
  <c r="AY1693" i="3" s="1"/>
  <c r="AX1694" i="3"/>
  <c r="AY1694" i="3" s="1"/>
  <c r="AX1695" i="3"/>
  <c r="AY1695" i="3" s="1"/>
  <c r="AX1696" i="3"/>
  <c r="AY1696" i="3" s="1"/>
  <c r="AX1697" i="3"/>
  <c r="AY1697" i="3" s="1"/>
  <c r="AX1698" i="3"/>
  <c r="AY1698" i="3" s="1"/>
  <c r="AX1699" i="3"/>
  <c r="AY1699" i="3" s="1"/>
  <c r="AX1700" i="3"/>
  <c r="AY1700" i="3" s="1"/>
  <c r="AX1701" i="3"/>
  <c r="AY1701" i="3" s="1"/>
  <c r="AX1703" i="3"/>
  <c r="AY1703" i="3" s="1"/>
  <c r="AX1704" i="3"/>
  <c r="AY1704" i="3" s="1"/>
  <c r="AX1705" i="3"/>
  <c r="AY1705" i="3" s="1"/>
  <c r="AX1706" i="3"/>
  <c r="AX1707" i="3"/>
  <c r="AX1708" i="3"/>
  <c r="AX1709" i="3"/>
  <c r="AX1711" i="3"/>
  <c r="AY1711" i="3" s="1"/>
  <c r="AX1712" i="3"/>
  <c r="AY1712" i="3" s="1"/>
  <c r="AX1713" i="3"/>
  <c r="AY1713" i="3" s="1"/>
  <c r="AX1714" i="3"/>
  <c r="AY1714" i="3" s="1"/>
  <c r="AX1715" i="3"/>
  <c r="AY1715" i="3" s="1"/>
  <c r="AX1716" i="3"/>
  <c r="AY1716" i="3" s="1"/>
  <c r="AX1717" i="3"/>
  <c r="AY1717" i="3" s="1"/>
  <c r="AX1719" i="3"/>
  <c r="AY1719" i="3" s="1"/>
  <c r="AX1720" i="3"/>
  <c r="AY1720" i="3" s="1"/>
  <c r="AX1721" i="3"/>
  <c r="AY1721" i="3" s="1"/>
  <c r="AX1722" i="3"/>
  <c r="AY1722" i="3" s="1"/>
  <c r="AX1723" i="3"/>
  <c r="AY1723" i="3" s="1"/>
  <c r="AX1724" i="3"/>
  <c r="AY1724" i="3" s="1"/>
  <c r="AX1725" i="3"/>
  <c r="AY1725" i="3" s="1"/>
  <c r="AX1726" i="3"/>
  <c r="AY1726" i="3" s="1"/>
  <c r="AX1727" i="3"/>
  <c r="AY1727" i="3" s="1"/>
  <c r="AX1728" i="3"/>
  <c r="AY1728" i="3" s="1"/>
  <c r="AX1729" i="3"/>
  <c r="AY1729" i="3" s="1"/>
  <c r="AX1730" i="3"/>
  <c r="AY1730" i="3" s="1"/>
  <c r="AX1731" i="3"/>
  <c r="AY1731" i="3" s="1"/>
  <c r="AX1732" i="3"/>
  <c r="AY1732" i="3" s="1"/>
  <c r="AX1733" i="3"/>
  <c r="AY1733" i="3" s="1"/>
  <c r="AX1734" i="3"/>
  <c r="AY1734" i="3" s="1"/>
  <c r="AX1735" i="3"/>
  <c r="AY1735" i="3" s="1"/>
  <c r="AX1736" i="3"/>
  <c r="AY1736" i="3" s="1"/>
  <c r="AX1737" i="3"/>
  <c r="AY1737" i="3" s="1"/>
  <c r="AX1738" i="3"/>
  <c r="AY1738" i="3" s="1"/>
  <c r="AX1739" i="3"/>
  <c r="AY1739" i="3" s="1"/>
  <c r="AX1740" i="3"/>
  <c r="AY1740" i="3" s="1"/>
  <c r="AX1741" i="3"/>
  <c r="AY1741" i="3" s="1"/>
  <c r="AX1742" i="3"/>
  <c r="AY1742" i="3" s="1"/>
  <c r="AX1743" i="3"/>
  <c r="AY1743" i="3" s="1"/>
  <c r="AX1930" i="3"/>
  <c r="AY1930" i="3" s="1"/>
  <c r="AX1932" i="3"/>
  <c r="AY1932" i="3" s="1"/>
  <c r="AX1933" i="3"/>
  <c r="AY1933" i="3" s="1"/>
  <c r="AX1934" i="3"/>
  <c r="AY1934" i="3" s="1"/>
  <c r="AX1935" i="3"/>
  <c r="AY1935" i="3" s="1"/>
  <c r="AX1936" i="3"/>
  <c r="AY1936" i="3" s="1"/>
  <c r="AX1937" i="3"/>
  <c r="AY1937" i="3" s="1"/>
  <c r="AX1938" i="3"/>
  <c r="AY1938" i="3" s="1"/>
  <c r="AX1939" i="3"/>
  <c r="AY1939" i="3" s="1"/>
  <c r="AX1940" i="3"/>
  <c r="AY1940" i="3" s="1"/>
  <c r="AX1942" i="3"/>
  <c r="AY1942" i="3" s="1"/>
  <c r="AX1943" i="3"/>
  <c r="AY1943" i="3" s="1"/>
  <c r="AX1944" i="3"/>
  <c r="AY1944" i="3" s="1"/>
  <c r="AX1945" i="3"/>
  <c r="AY1945" i="3" s="1"/>
  <c r="AX1946" i="3"/>
  <c r="AY1946" i="3" s="1"/>
  <c r="AX1947" i="3"/>
  <c r="AY1947" i="3" s="1"/>
  <c r="AX1948" i="3"/>
  <c r="AY1948" i="3" s="1"/>
  <c r="AX1949" i="3"/>
  <c r="AY1949" i="3" s="1"/>
  <c r="AX1950" i="3"/>
  <c r="AY1950" i="3" s="1"/>
  <c r="AX1952" i="3"/>
  <c r="AY1952" i="3" s="1"/>
  <c r="AX1953" i="3"/>
  <c r="AY1953" i="3" s="1"/>
  <c r="AX1954" i="3"/>
  <c r="AY1954" i="3" s="1"/>
  <c r="AX1955" i="3"/>
  <c r="AY1955" i="3" s="1"/>
  <c r="AX1956" i="3"/>
  <c r="AY1956" i="3" s="1"/>
  <c r="AX1957" i="3"/>
  <c r="AY1957" i="3" s="1"/>
  <c r="AX1958" i="3"/>
  <c r="AY1958" i="3" s="1"/>
  <c r="AX1959" i="3"/>
  <c r="AY1959" i="3" s="1"/>
  <c r="AX1960" i="3"/>
  <c r="AY1960" i="3" s="1"/>
  <c r="AX1962" i="3"/>
  <c r="AY1962" i="3" s="1"/>
  <c r="AX1963" i="3"/>
  <c r="AY1963" i="3" s="1"/>
  <c r="AX1964" i="3"/>
  <c r="AY1964" i="3" s="1"/>
  <c r="AX1965" i="3"/>
  <c r="AY1965" i="3" s="1"/>
  <c r="AX1966" i="3"/>
  <c r="AY1966" i="3" s="1"/>
  <c r="AX1967" i="3"/>
  <c r="AY1967" i="3" s="1"/>
  <c r="AX1968" i="3"/>
  <c r="AY1968" i="3" s="1"/>
  <c r="AX1969" i="3"/>
  <c r="AY1969" i="3" s="1"/>
  <c r="AX1970" i="3"/>
  <c r="AY1970" i="3" s="1"/>
  <c r="AX1972" i="3"/>
  <c r="AY1972" i="3" s="1"/>
  <c r="AX1973" i="3"/>
  <c r="AY1973" i="3" s="1"/>
  <c r="AX1974" i="3"/>
  <c r="AY1974" i="3" s="1"/>
  <c r="AX1975" i="3"/>
  <c r="AY1975" i="3" s="1"/>
  <c r="AX1976" i="3"/>
  <c r="AY1976" i="3" s="1"/>
  <c r="AX1977" i="3"/>
  <c r="AY1977" i="3" s="1"/>
  <c r="AX1978" i="3"/>
  <c r="AY1978" i="3" s="1"/>
  <c r="AX1979" i="3"/>
  <c r="AY1979" i="3" s="1"/>
  <c r="AX1980" i="3"/>
  <c r="AY1980" i="3" s="1"/>
  <c r="AX1982" i="3"/>
  <c r="AY1982" i="3" s="1"/>
  <c r="AX1983" i="3"/>
  <c r="AY1983" i="3" s="1"/>
  <c r="AX1984" i="3"/>
  <c r="AY1984" i="3" s="1"/>
  <c r="AX1985" i="3"/>
  <c r="AY1985" i="3" s="1"/>
  <c r="AX1986" i="3"/>
  <c r="AY1986" i="3" s="1"/>
  <c r="AX1987" i="3"/>
  <c r="AY1987" i="3" s="1"/>
  <c r="AX1988" i="3"/>
  <c r="AY1988" i="3" s="1"/>
  <c r="AX1989" i="3"/>
  <c r="AY1989" i="3" s="1"/>
  <c r="AX1990" i="3"/>
  <c r="AY1990" i="3" s="1"/>
  <c r="AX1992" i="3"/>
  <c r="AY1992" i="3" s="1"/>
  <c r="AX1993" i="3"/>
  <c r="AY1993" i="3" s="1"/>
  <c r="AX1994" i="3"/>
  <c r="AY1994" i="3" s="1"/>
  <c r="AX1995" i="3"/>
  <c r="AY1995" i="3" s="1"/>
  <c r="AX1996" i="3"/>
  <c r="AY1996" i="3" s="1"/>
  <c r="AX1997" i="3"/>
  <c r="AY1997" i="3" s="1"/>
  <c r="AX1998" i="3"/>
  <c r="AY1998" i="3" s="1"/>
  <c r="AX1999" i="3"/>
  <c r="AY1999" i="3" s="1"/>
  <c r="AX2000" i="3"/>
  <c r="AY2000" i="3" s="1"/>
  <c r="AX2002" i="3"/>
  <c r="AY2002" i="3" s="1"/>
  <c r="AX2003" i="3"/>
  <c r="AY2003" i="3" s="1"/>
  <c r="AX2004" i="3"/>
  <c r="AY2004" i="3" s="1"/>
  <c r="AX2005" i="3"/>
  <c r="AY2005" i="3" s="1"/>
  <c r="AX2006" i="3"/>
  <c r="AY2006" i="3" s="1"/>
  <c r="AX2007" i="3"/>
  <c r="AY2007" i="3" s="1"/>
  <c r="AX2008" i="3"/>
  <c r="AY2008" i="3" s="1"/>
  <c r="AX2009" i="3"/>
  <c r="AY2009" i="3" s="1"/>
  <c r="AX2010" i="3"/>
  <c r="AY2010" i="3" s="1"/>
  <c r="AX2012" i="3"/>
  <c r="AY2012" i="3" s="1"/>
  <c r="AX2013" i="3"/>
  <c r="AY2013" i="3" s="1"/>
  <c r="AX2014" i="3"/>
  <c r="AY2014" i="3" s="1"/>
  <c r="AX2015" i="3"/>
  <c r="AY2015" i="3" s="1"/>
  <c r="AX2016" i="3"/>
  <c r="AY2016" i="3" s="1"/>
  <c r="AX2017" i="3"/>
  <c r="AY2017" i="3" s="1"/>
  <c r="AX2018" i="3"/>
  <c r="AY2018" i="3" s="1"/>
  <c r="AX2019" i="3"/>
  <c r="AY2019" i="3" s="1"/>
  <c r="AX2020" i="3"/>
  <c r="AY2020" i="3" s="1"/>
  <c r="AX2022" i="3"/>
  <c r="AY2022" i="3" s="1"/>
  <c r="AX2023" i="3"/>
  <c r="AY2023" i="3" s="1"/>
  <c r="AX2024" i="3"/>
  <c r="AY2024" i="3" s="1"/>
  <c r="AX2025" i="3"/>
  <c r="AY2025" i="3" s="1"/>
  <c r="AX2026" i="3"/>
  <c r="AY2026" i="3" s="1"/>
  <c r="AX2027" i="3"/>
  <c r="AY2027" i="3" s="1"/>
  <c r="AX2028" i="3"/>
  <c r="AY2028" i="3" s="1"/>
  <c r="AX2029" i="3"/>
  <c r="AY2029" i="3" s="1"/>
  <c r="AX2030" i="3"/>
  <c r="AY2030" i="3" s="1"/>
  <c r="AX2032" i="3"/>
  <c r="AY2032" i="3" s="1"/>
  <c r="AX2033" i="3"/>
  <c r="AY2033" i="3" s="1"/>
  <c r="AX2034" i="3"/>
  <c r="AY2034" i="3" s="1"/>
  <c r="AX2035" i="3"/>
  <c r="AY2035" i="3" s="1"/>
  <c r="AX2036" i="3"/>
  <c r="AY2036" i="3" s="1"/>
  <c r="AX2037" i="3"/>
  <c r="AY2037" i="3" s="1"/>
  <c r="AX2038" i="3"/>
  <c r="AY2038" i="3" s="1"/>
  <c r="AX2039" i="3"/>
  <c r="AY2039" i="3" s="1"/>
  <c r="AX2040" i="3"/>
  <c r="AY2040" i="3" s="1"/>
  <c r="AX2042" i="3"/>
  <c r="AY2042" i="3" s="1"/>
  <c r="AX2043" i="3"/>
  <c r="AY2043" i="3" s="1"/>
  <c r="AX2044" i="3"/>
  <c r="AY2044" i="3" s="1"/>
  <c r="AX2045" i="3"/>
  <c r="AY2045" i="3" s="1"/>
  <c r="AX2046" i="3"/>
  <c r="AY2046" i="3" s="1"/>
  <c r="AX2047" i="3"/>
  <c r="AY2047" i="3" s="1"/>
  <c r="AX2048" i="3"/>
  <c r="AY2048" i="3" s="1"/>
  <c r="AX2049" i="3"/>
  <c r="AY2049" i="3" s="1"/>
  <c r="AX2050" i="3"/>
  <c r="AY2050" i="3" s="1"/>
  <c r="AX2052" i="3"/>
  <c r="AY2052" i="3" s="1"/>
  <c r="AX2053" i="3"/>
  <c r="AY2053" i="3" s="1"/>
  <c r="AX2054" i="3"/>
  <c r="AY2054" i="3" s="1"/>
  <c r="AX2055" i="3"/>
  <c r="AY2055" i="3" s="1"/>
  <c r="AX2056" i="3"/>
  <c r="AY2056" i="3" s="1"/>
  <c r="AX2057" i="3"/>
  <c r="AY2057" i="3" s="1"/>
  <c r="AX2058" i="3"/>
  <c r="AY2058" i="3" s="1"/>
  <c r="AX2059" i="3"/>
  <c r="AY2059" i="3" s="1"/>
  <c r="AX2060" i="3"/>
  <c r="AY2060" i="3" s="1"/>
  <c r="AX2062" i="3"/>
  <c r="AY2062" i="3" s="1"/>
  <c r="AX2063" i="3"/>
  <c r="AY2063" i="3" s="1"/>
  <c r="AX2064" i="3"/>
  <c r="AY2064" i="3" s="1"/>
  <c r="AX2065" i="3"/>
  <c r="AY2065" i="3" s="1"/>
  <c r="AX2066" i="3"/>
  <c r="AY2066" i="3" s="1"/>
  <c r="AX2067" i="3"/>
  <c r="AY2067" i="3" s="1"/>
  <c r="AX2068" i="3"/>
  <c r="AY2068" i="3" s="1"/>
  <c r="AX2069" i="3"/>
  <c r="AY2069" i="3" s="1"/>
  <c r="AX2070" i="3"/>
  <c r="AY2070" i="3" s="1"/>
  <c r="AX2072" i="3"/>
  <c r="AY2072" i="3" s="1"/>
  <c r="AX2073" i="3"/>
  <c r="AY2073" i="3" s="1"/>
  <c r="AX2074" i="3"/>
  <c r="AY2074" i="3" s="1"/>
  <c r="AX2075" i="3"/>
  <c r="AY2075" i="3" s="1"/>
  <c r="AX2076" i="3"/>
  <c r="AY2076" i="3" s="1"/>
  <c r="AX2077" i="3"/>
  <c r="AY2077" i="3" s="1"/>
  <c r="AX2078" i="3"/>
  <c r="AY2078" i="3" s="1"/>
  <c r="AX2079" i="3"/>
  <c r="AY2079" i="3" s="1"/>
  <c r="AX2080" i="3"/>
  <c r="AY2080" i="3" s="1"/>
  <c r="AX2082" i="3"/>
  <c r="AY2082" i="3" s="1"/>
  <c r="AX2083" i="3"/>
  <c r="AY2083" i="3" s="1"/>
  <c r="AX2084" i="3"/>
  <c r="AY2084" i="3" s="1"/>
  <c r="AX2085" i="3"/>
  <c r="AY2085" i="3" s="1"/>
  <c r="AX2086" i="3"/>
  <c r="AY2086" i="3" s="1"/>
  <c r="AX2087" i="3"/>
  <c r="AY2087" i="3" s="1"/>
  <c r="AX2088" i="3"/>
  <c r="AY2088" i="3" s="1"/>
  <c r="AX2089" i="3"/>
  <c r="AY2089" i="3" s="1"/>
  <c r="AX2090" i="3"/>
  <c r="AY2090" i="3" s="1"/>
  <c r="AX2092" i="3"/>
  <c r="AY2092" i="3" s="1"/>
  <c r="AX2093" i="3"/>
  <c r="AY2093" i="3" s="1"/>
  <c r="AX2094" i="3"/>
  <c r="AY2094" i="3" s="1"/>
  <c r="AX2095" i="3"/>
  <c r="AY2095" i="3" s="1"/>
  <c r="AX2096" i="3"/>
  <c r="AY2096" i="3" s="1"/>
  <c r="AX2097" i="3"/>
  <c r="AY2097" i="3" s="1"/>
  <c r="AX2098" i="3"/>
  <c r="AY2098" i="3" s="1"/>
  <c r="AX2099" i="3"/>
  <c r="AY2099" i="3" s="1"/>
  <c r="AX2100" i="3"/>
  <c r="AY2100" i="3" s="1"/>
  <c r="AX2101" i="3"/>
  <c r="AY2101" i="3" s="1"/>
  <c r="AX2102" i="3"/>
  <c r="AY2102" i="3" s="1"/>
  <c r="AX2103" i="3"/>
  <c r="AY2103" i="3" s="1"/>
  <c r="AX2104" i="3"/>
  <c r="AY2104" i="3" s="1"/>
  <c r="AX2105" i="3"/>
  <c r="AY2105" i="3" s="1"/>
  <c r="AX2106" i="3"/>
  <c r="AY2106" i="3" s="1"/>
  <c r="AX2107" i="3"/>
  <c r="AY2107" i="3" s="1"/>
  <c r="AX2108" i="3"/>
  <c r="AY2108" i="3" s="1"/>
  <c r="AX2109" i="3"/>
  <c r="AY2109" i="3" s="1"/>
  <c r="AX2110" i="3"/>
  <c r="AY2110" i="3" s="1"/>
  <c r="AX2111" i="3"/>
  <c r="AY2111" i="3" s="1"/>
  <c r="AX2112" i="3"/>
  <c r="AY2112" i="3" s="1"/>
  <c r="AX2113" i="3"/>
  <c r="AY2113" i="3" s="1"/>
  <c r="AX2114" i="3"/>
  <c r="AY2114" i="3" s="1"/>
  <c r="AX2115" i="3"/>
  <c r="AY2115" i="3" s="1"/>
  <c r="AX2116" i="3"/>
  <c r="AY2116" i="3" s="1"/>
  <c r="AX2117" i="3"/>
  <c r="AY2117" i="3" s="1"/>
  <c r="AX2118" i="3"/>
  <c r="AY2118" i="3" s="1"/>
  <c r="AX2119" i="3"/>
  <c r="AY2119" i="3" s="1"/>
  <c r="AX2120" i="3"/>
  <c r="AY2120" i="3" s="1"/>
  <c r="AX2121" i="3"/>
  <c r="AY2121" i="3" s="1"/>
  <c r="AX2122" i="3"/>
  <c r="AY2122" i="3" s="1"/>
  <c r="AX2123" i="3"/>
  <c r="AY2123" i="3" s="1"/>
  <c r="AX2124" i="3"/>
  <c r="AY2124" i="3" s="1"/>
  <c r="AX2125" i="3"/>
  <c r="AY2125" i="3" s="1"/>
  <c r="AX2126" i="3"/>
  <c r="AY2126" i="3" s="1"/>
  <c r="AX2127" i="3"/>
  <c r="AY2127" i="3" s="1"/>
  <c r="AX2128" i="3"/>
  <c r="AY2128" i="3" s="1"/>
  <c r="AX2129" i="3"/>
  <c r="AY2129" i="3" s="1"/>
  <c r="AX2130" i="3"/>
  <c r="AY2130" i="3" s="1"/>
  <c r="AX2131" i="3"/>
  <c r="AY2131" i="3" s="1"/>
  <c r="AX2132" i="3"/>
  <c r="AY2132" i="3" s="1"/>
  <c r="AX2133" i="3"/>
  <c r="AY2133" i="3" s="1"/>
  <c r="AX2134" i="3"/>
  <c r="AY2134" i="3" s="1"/>
  <c r="AX2135" i="3"/>
  <c r="AY2135" i="3" s="1"/>
  <c r="AX2136" i="3"/>
  <c r="AY2136" i="3" s="1"/>
  <c r="AX2137" i="3"/>
  <c r="AY2137" i="3" s="1"/>
  <c r="AX2138" i="3"/>
  <c r="AY2138" i="3" s="1"/>
  <c r="AX2139" i="3"/>
  <c r="AY2139" i="3" s="1"/>
  <c r="AX2140" i="3"/>
  <c r="AY2140" i="3" s="1"/>
  <c r="AX2141" i="3"/>
  <c r="AY2141" i="3" s="1"/>
  <c r="AX2142" i="3"/>
  <c r="AY2142" i="3" s="1"/>
  <c r="AX2143" i="3"/>
  <c r="AY2143" i="3" s="1"/>
  <c r="AX2144" i="3"/>
  <c r="AY2144" i="3" s="1"/>
  <c r="AX2145" i="3"/>
  <c r="AY2145" i="3" s="1"/>
  <c r="AX2146" i="3"/>
  <c r="AY2146" i="3" s="1"/>
  <c r="AX2147" i="3"/>
  <c r="AY2147" i="3" s="1"/>
  <c r="AX2148" i="3"/>
  <c r="AY2148" i="3" s="1"/>
  <c r="AX2149" i="3"/>
  <c r="AY2149" i="3" s="1"/>
  <c r="AX2150" i="3"/>
  <c r="AY2150" i="3" s="1"/>
  <c r="AX2151" i="3"/>
  <c r="AY2151" i="3" s="1"/>
  <c r="AX2152" i="3"/>
  <c r="AY2152" i="3" s="1"/>
  <c r="AX2153" i="3"/>
  <c r="AY2153" i="3" s="1"/>
  <c r="AX2154" i="3"/>
  <c r="AY2154" i="3" s="1"/>
  <c r="AX2155" i="3"/>
  <c r="AY2155" i="3" s="1"/>
  <c r="AX2156" i="3"/>
  <c r="AY2156" i="3" s="1"/>
  <c r="AX2157" i="3"/>
  <c r="AY2157" i="3" s="1"/>
  <c r="AX2158" i="3"/>
  <c r="AY2158" i="3" s="1"/>
  <c r="AX2159" i="3"/>
  <c r="AY2159" i="3" s="1"/>
  <c r="AX2160" i="3"/>
  <c r="AY2160" i="3" s="1"/>
  <c r="AX2161" i="3"/>
  <c r="AY2161" i="3" s="1"/>
  <c r="AX2162" i="3"/>
  <c r="AY2162" i="3" s="1"/>
  <c r="AX2163" i="3"/>
  <c r="AY2163" i="3" s="1"/>
  <c r="AX2164" i="3"/>
  <c r="AY2164" i="3" s="1"/>
  <c r="AX2165" i="3"/>
  <c r="AY2165" i="3" s="1"/>
  <c r="AX2166" i="3"/>
  <c r="AY2166" i="3" s="1"/>
  <c r="AX2167" i="3"/>
  <c r="AY2167" i="3" s="1"/>
  <c r="AX2168" i="3"/>
  <c r="AY2168" i="3" s="1"/>
  <c r="AX2169" i="3"/>
  <c r="AY2169" i="3" s="1"/>
  <c r="AX2170" i="3"/>
  <c r="AY2170" i="3" s="1"/>
  <c r="AX2171" i="3"/>
  <c r="AY2171" i="3" s="1"/>
  <c r="AX2172" i="3"/>
  <c r="AY2172" i="3" s="1"/>
  <c r="AX2173" i="3"/>
  <c r="AY2173" i="3" s="1"/>
  <c r="AX2174" i="3"/>
  <c r="AY2174" i="3" s="1"/>
  <c r="AX2175" i="3"/>
  <c r="AY2175" i="3" s="1"/>
  <c r="AX2176" i="3"/>
  <c r="AY2176" i="3" s="1"/>
  <c r="AX2177" i="3"/>
  <c r="AY2177" i="3" s="1"/>
  <c r="AX2178" i="3"/>
  <c r="AY2178" i="3" s="1"/>
  <c r="AX2179" i="3"/>
  <c r="AY2179" i="3" s="1"/>
  <c r="AX2180" i="3"/>
  <c r="AY2180" i="3" s="1"/>
  <c r="AX2181" i="3"/>
  <c r="AY2181" i="3" s="1"/>
  <c r="AX2182" i="3"/>
  <c r="AY2182" i="3" s="1"/>
  <c r="AX2183" i="3"/>
  <c r="AY2183" i="3" s="1"/>
  <c r="AX2184" i="3"/>
  <c r="AY2184" i="3" s="1"/>
  <c r="AX2185" i="3"/>
  <c r="AY2185" i="3" s="1"/>
  <c r="AX2186" i="3"/>
  <c r="AY2186" i="3" s="1"/>
  <c r="AX2187" i="3"/>
  <c r="AY2187" i="3" s="1"/>
  <c r="AX2188" i="3"/>
  <c r="AY2188" i="3" s="1"/>
  <c r="AX2189" i="3"/>
  <c r="AY2189" i="3" s="1"/>
  <c r="AX2190" i="3"/>
  <c r="AY2190" i="3" s="1"/>
  <c r="AX2191" i="3"/>
  <c r="AY2191" i="3" s="1"/>
  <c r="AX2192" i="3"/>
  <c r="AY2192" i="3" s="1"/>
  <c r="AX2193" i="3"/>
  <c r="AY2193" i="3" s="1"/>
  <c r="AX2194" i="3"/>
  <c r="AY2194" i="3" s="1"/>
  <c r="AX2195" i="3"/>
  <c r="AY2195" i="3" s="1"/>
  <c r="AX2196" i="3"/>
  <c r="AY2196" i="3" s="1"/>
  <c r="AX2197" i="3"/>
  <c r="AY2197" i="3" s="1"/>
  <c r="AX2198" i="3"/>
  <c r="AY2198" i="3" s="1"/>
  <c r="AX2199" i="3"/>
  <c r="AY2199" i="3" s="1"/>
  <c r="AX2200" i="3"/>
  <c r="AY2200" i="3" s="1"/>
  <c r="AX2201" i="3"/>
  <c r="AY2201" i="3" s="1"/>
  <c r="AX2202" i="3"/>
  <c r="AY2202" i="3" s="1"/>
  <c r="AX2203" i="3"/>
  <c r="AY2203" i="3" s="1"/>
  <c r="AX2204" i="3"/>
  <c r="AY2204" i="3" s="1"/>
  <c r="AX2205" i="3"/>
  <c r="AY2205" i="3" s="1"/>
  <c r="AX2206" i="3"/>
  <c r="AY2206" i="3" s="1"/>
  <c r="AX2207" i="3"/>
  <c r="AY2207" i="3" s="1"/>
  <c r="AX2208" i="3"/>
  <c r="AY2208" i="3" s="1"/>
  <c r="AX2209" i="3"/>
  <c r="AY2209" i="3" s="1"/>
  <c r="AX2210" i="3"/>
  <c r="AY2210" i="3" s="1"/>
  <c r="AX2211" i="3"/>
  <c r="AY2211" i="3" s="1"/>
  <c r="AX2212" i="3"/>
  <c r="AY2212" i="3" s="1"/>
  <c r="AX2213" i="3"/>
  <c r="AY2213" i="3" s="1"/>
  <c r="AX2214" i="3"/>
  <c r="AY2214" i="3" s="1"/>
  <c r="AX2215" i="3"/>
  <c r="AY2215" i="3" s="1"/>
  <c r="AX2216" i="3"/>
  <c r="AY2216" i="3" s="1"/>
  <c r="AX2217" i="3"/>
  <c r="AY2217" i="3" s="1"/>
  <c r="AX2218" i="3"/>
  <c r="AY2218" i="3" s="1"/>
  <c r="AX2219" i="3"/>
  <c r="AY2219" i="3" s="1"/>
  <c r="AX2220" i="3"/>
  <c r="AY2220" i="3" s="1"/>
  <c r="AX2221" i="3"/>
  <c r="AY2221" i="3" s="1"/>
  <c r="AX2222" i="3"/>
  <c r="AY2222" i="3" s="1"/>
  <c r="AX2223" i="3"/>
  <c r="AY2223" i="3" s="1"/>
  <c r="AX2224" i="3"/>
  <c r="AY2224" i="3" s="1"/>
  <c r="AX2225" i="3"/>
  <c r="AY2225" i="3" s="1"/>
  <c r="AX2226" i="3"/>
  <c r="AY2226" i="3" s="1"/>
  <c r="AX2227" i="3"/>
  <c r="AY2227" i="3" s="1"/>
  <c r="AX2228" i="3"/>
  <c r="AY2228" i="3" s="1"/>
  <c r="AX2229" i="3"/>
  <c r="AY2229" i="3" s="1"/>
  <c r="AX2230" i="3"/>
  <c r="AY2230" i="3" s="1"/>
  <c r="AX2231" i="3"/>
  <c r="AY2231" i="3" s="1"/>
  <c r="AX2232" i="3"/>
  <c r="AY2232" i="3" s="1"/>
  <c r="AX2233" i="3"/>
  <c r="AY2233" i="3" s="1"/>
  <c r="AX2234" i="3"/>
  <c r="AY2234" i="3" s="1"/>
  <c r="AX2235" i="3"/>
  <c r="AY2235" i="3" s="1"/>
  <c r="AX2236" i="3"/>
  <c r="AY2236" i="3" s="1"/>
  <c r="AX2237" i="3"/>
  <c r="AY2237" i="3" s="1"/>
  <c r="AX2238" i="3"/>
  <c r="AY2238" i="3" s="1"/>
  <c r="AX2239" i="3"/>
  <c r="AY2239" i="3" s="1"/>
  <c r="AX2240" i="3"/>
  <c r="AY2240" i="3" s="1"/>
  <c r="AX2241" i="3"/>
  <c r="AY2241" i="3" s="1"/>
  <c r="AX2242" i="3"/>
  <c r="AY2242" i="3" s="1"/>
  <c r="AX2243" i="3"/>
  <c r="AY2243" i="3" s="1"/>
  <c r="AX2244" i="3"/>
  <c r="AY2244" i="3" s="1"/>
  <c r="AX2245" i="3"/>
  <c r="AY2245" i="3" s="1"/>
  <c r="AX2246" i="3"/>
  <c r="AY2246" i="3" s="1"/>
  <c r="AX2247" i="3"/>
  <c r="AY2247" i="3" s="1"/>
  <c r="AX2248" i="3"/>
  <c r="AY2248" i="3" s="1"/>
  <c r="AX2249" i="3"/>
  <c r="AY2249" i="3" s="1"/>
  <c r="AX2250" i="3"/>
  <c r="AY2250" i="3" s="1"/>
  <c r="AX2251" i="3"/>
  <c r="AY2251" i="3" s="1"/>
  <c r="AX2252" i="3"/>
  <c r="AY2252" i="3" s="1"/>
  <c r="AX2253" i="3"/>
  <c r="AY2253" i="3" s="1"/>
  <c r="AX2254" i="3"/>
  <c r="AY2254" i="3" s="1"/>
  <c r="AX2255" i="3"/>
  <c r="AY2255" i="3" s="1"/>
  <c r="AX2256" i="3"/>
  <c r="AY2256" i="3" s="1"/>
  <c r="AX2257" i="3"/>
  <c r="AY2257" i="3" s="1"/>
  <c r="AX2258" i="3"/>
  <c r="AY2258" i="3" s="1"/>
  <c r="AX2259" i="3"/>
  <c r="AY2259" i="3" s="1"/>
  <c r="AX2260" i="3"/>
  <c r="AY2260" i="3" s="1"/>
  <c r="AX2261" i="3"/>
  <c r="AY2261" i="3" s="1"/>
  <c r="AX2262" i="3"/>
  <c r="AY2262" i="3" s="1"/>
  <c r="AX2263" i="3"/>
  <c r="AY2263" i="3" s="1"/>
  <c r="AX2264" i="3"/>
  <c r="AY2264" i="3" s="1"/>
  <c r="AX2265" i="3"/>
  <c r="AY2265" i="3" s="1"/>
  <c r="AX2266" i="3"/>
  <c r="AY2266" i="3" s="1"/>
  <c r="AX2267" i="3"/>
  <c r="AY2267" i="3" s="1"/>
  <c r="AX2268" i="3"/>
  <c r="AY2268" i="3" s="1"/>
  <c r="AX2269" i="3"/>
  <c r="AY2269" i="3" s="1"/>
  <c r="AX2270" i="3"/>
  <c r="AY2270" i="3" s="1"/>
  <c r="AX2271" i="3"/>
  <c r="AY2271" i="3" s="1"/>
  <c r="AX2272" i="3"/>
  <c r="AY2272" i="3" s="1"/>
  <c r="AX2273" i="3"/>
  <c r="AY2273" i="3" s="1"/>
  <c r="AX2274" i="3"/>
  <c r="AY2274" i="3" s="1"/>
  <c r="AX2275" i="3"/>
  <c r="AY2275" i="3" s="1"/>
  <c r="AX2276" i="3"/>
  <c r="AY2276" i="3" s="1"/>
  <c r="AX2277" i="3"/>
  <c r="AY2277" i="3" s="1"/>
  <c r="AX2278" i="3"/>
  <c r="AY2278" i="3" s="1"/>
  <c r="AX2279" i="3"/>
  <c r="AY2279" i="3" s="1"/>
  <c r="AX2280" i="3"/>
  <c r="AY2280" i="3" s="1"/>
  <c r="AX2281" i="3"/>
  <c r="AY2281" i="3" s="1"/>
  <c r="AX2282" i="3"/>
  <c r="AY2282" i="3" s="1"/>
  <c r="AX2283" i="3"/>
  <c r="AY2283" i="3" s="1"/>
  <c r="AX2284" i="3"/>
  <c r="AY2284" i="3" s="1"/>
  <c r="AX2285" i="3"/>
  <c r="AY2285" i="3" s="1"/>
  <c r="AX2286" i="3"/>
  <c r="AY2286" i="3" s="1"/>
  <c r="AX2287" i="3"/>
  <c r="AY2287" i="3" s="1"/>
  <c r="AX2288" i="3"/>
  <c r="AY2288" i="3" s="1"/>
  <c r="AX2289" i="3"/>
  <c r="AY2289" i="3" s="1"/>
  <c r="AX2290" i="3"/>
  <c r="AY2290" i="3" s="1"/>
  <c r="AX2291" i="3"/>
  <c r="AY2291" i="3" s="1"/>
  <c r="AX2292" i="3"/>
  <c r="AY2292" i="3" s="1"/>
  <c r="AX2293" i="3"/>
  <c r="AY2293" i="3" s="1"/>
  <c r="AX2294" i="3"/>
  <c r="AY2294" i="3" s="1"/>
  <c r="AX2295" i="3"/>
  <c r="AY2295" i="3" s="1"/>
  <c r="AX2296" i="3"/>
  <c r="AY2296" i="3" s="1"/>
  <c r="AX2297" i="3"/>
  <c r="AY2297" i="3" s="1"/>
  <c r="AX2298" i="3"/>
  <c r="AY2298" i="3" s="1"/>
  <c r="AX2299" i="3"/>
  <c r="AY2299" i="3" s="1"/>
  <c r="AX2300" i="3"/>
  <c r="AY2300" i="3" s="1"/>
  <c r="AX2301" i="3"/>
  <c r="AY2301" i="3" s="1"/>
  <c r="AX2302" i="3"/>
  <c r="AY2302" i="3" s="1"/>
  <c r="AX2303" i="3"/>
  <c r="AY2303" i="3" s="1"/>
  <c r="AX2304" i="3"/>
  <c r="AY2304" i="3" s="1"/>
  <c r="AX2305" i="3"/>
  <c r="AY2305" i="3" s="1"/>
  <c r="AX2306" i="3"/>
  <c r="AY2306" i="3" s="1"/>
  <c r="AX2307" i="3"/>
  <c r="AY2307" i="3" s="1"/>
  <c r="AX2308" i="3"/>
  <c r="AY2308" i="3" s="1"/>
  <c r="AX2309" i="3"/>
  <c r="AY2309" i="3" s="1"/>
  <c r="AX2310" i="3"/>
  <c r="AY2310" i="3" s="1"/>
  <c r="AX2311" i="3"/>
  <c r="AY2311" i="3" s="1"/>
  <c r="AX2312" i="3"/>
  <c r="AY2312" i="3" s="1"/>
  <c r="AX2313" i="3"/>
  <c r="AY2313" i="3" s="1"/>
  <c r="AX2314" i="3"/>
  <c r="AY2314" i="3" s="1"/>
  <c r="AX2315" i="3"/>
  <c r="AY2315" i="3" s="1"/>
  <c r="AX2316" i="3"/>
  <c r="AY2316" i="3" s="1"/>
  <c r="AX2317" i="3"/>
  <c r="AY2317" i="3" s="1"/>
  <c r="AX2318" i="3"/>
  <c r="AY2318" i="3" s="1"/>
  <c r="AX2319" i="3"/>
  <c r="AY2319" i="3" s="1"/>
  <c r="AX2320" i="3"/>
  <c r="AY2320" i="3" s="1"/>
  <c r="AX2321" i="3"/>
  <c r="AY2321" i="3" s="1"/>
  <c r="AX2322" i="3"/>
  <c r="AY2322" i="3" s="1"/>
  <c r="AX2323" i="3"/>
  <c r="AY2323" i="3" s="1"/>
  <c r="AX2324" i="3"/>
  <c r="AY2324" i="3" s="1"/>
  <c r="AX2325" i="3"/>
  <c r="AY2325" i="3" s="1"/>
  <c r="AX2326" i="3"/>
  <c r="AY2326" i="3" s="1"/>
  <c r="AX2327" i="3"/>
  <c r="AY2327" i="3" s="1"/>
  <c r="AX2328" i="3"/>
  <c r="AY2328" i="3" s="1"/>
  <c r="AX2329" i="3"/>
  <c r="AY2329" i="3" s="1"/>
  <c r="AX2330" i="3"/>
  <c r="AY2330" i="3" s="1"/>
  <c r="AX2331" i="3"/>
  <c r="AY2331" i="3" s="1"/>
  <c r="AX2332" i="3"/>
  <c r="AY2332" i="3" s="1"/>
  <c r="AX2333" i="3"/>
  <c r="AY2333" i="3" s="1"/>
  <c r="AX2334" i="3"/>
  <c r="AY2334" i="3" s="1"/>
  <c r="AX2335" i="3"/>
  <c r="AY2335" i="3" s="1"/>
  <c r="AX2336" i="3"/>
  <c r="AY2336" i="3" s="1"/>
  <c r="AX2337" i="3"/>
  <c r="AY2337" i="3" s="1"/>
  <c r="AX2338" i="3"/>
  <c r="AY2338" i="3" s="1"/>
  <c r="AX2339" i="3"/>
  <c r="AY2339" i="3" s="1"/>
  <c r="AX2340" i="3"/>
  <c r="AY2340" i="3" s="1"/>
  <c r="AX2341" i="3"/>
  <c r="AY2341" i="3" s="1"/>
  <c r="AX2342" i="3"/>
  <c r="AY2342" i="3" s="1"/>
  <c r="AX2343" i="3"/>
  <c r="AY2343" i="3" s="1"/>
  <c r="AX2344" i="3"/>
  <c r="AY2344" i="3" s="1"/>
  <c r="AX2345" i="3"/>
  <c r="AY2345" i="3" s="1"/>
  <c r="AX2346" i="3"/>
  <c r="AY2346" i="3" s="1"/>
  <c r="AX2347" i="3"/>
  <c r="AY2347" i="3" s="1"/>
  <c r="AX2348" i="3"/>
  <c r="AY2348" i="3" s="1"/>
  <c r="E4" i="6"/>
  <c r="L4" i="6"/>
  <c r="E5" i="6"/>
  <c r="L5" i="6"/>
  <c r="E6" i="6"/>
  <c r="L6" i="6"/>
  <c r="E7" i="6"/>
  <c r="L7" i="6"/>
  <c r="E8" i="6"/>
  <c r="L8" i="6"/>
  <c r="E9" i="6"/>
  <c r="L9" i="6"/>
  <c r="E10" i="6"/>
  <c r="L10" i="6"/>
  <c r="E11" i="6"/>
  <c r="L11" i="6"/>
  <c r="E12" i="6"/>
  <c r="G12" i="6"/>
  <c r="E13" i="6"/>
  <c r="G13" i="6"/>
  <c r="E14" i="6"/>
  <c r="G14" i="6"/>
  <c r="E15" i="6"/>
  <c r="G15" i="6"/>
  <c r="E16" i="6"/>
  <c r="G16" i="6"/>
  <c r="E17" i="6"/>
  <c r="G17" i="6"/>
  <c r="E18" i="6"/>
  <c r="G18" i="6"/>
  <c r="E19" i="6"/>
  <c r="G19" i="6"/>
  <c r="E20" i="6"/>
  <c r="G20" i="6"/>
  <c r="E21" i="6"/>
  <c r="G21" i="6"/>
  <c r="E22" i="6"/>
  <c r="G22" i="6"/>
  <c r="E23" i="6"/>
  <c r="G23" i="6"/>
  <c r="E24" i="6"/>
  <c r="G24" i="6"/>
  <c r="E25" i="6"/>
  <c r="G25" i="6"/>
  <c r="E26" i="6"/>
  <c r="G26" i="6"/>
  <c r="E27" i="6"/>
  <c r="G27" i="6"/>
  <c r="E28" i="6"/>
  <c r="G28" i="6"/>
  <c r="E29" i="6"/>
  <c r="G29" i="6"/>
  <c r="E30" i="6"/>
  <c r="G30" i="6"/>
  <c r="E31" i="6"/>
  <c r="G31" i="6"/>
  <c r="E32" i="6"/>
  <c r="G32" i="6"/>
  <c r="E33" i="6"/>
  <c r="G33" i="6"/>
  <c r="E34" i="6"/>
  <c r="G34" i="6"/>
  <c r="E35" i="6"/>
  <c r="G35" i="6"/>
  <c r="E36" i="6"/>
  <c r="G36" i="6"/>
  <c r="E37" i="6"/>
  <c r="G37" i="6"/>
  <c r="E38" i="6"/>
  <c r="G38" i="6"/>
  <c r="E39" i="6"/>
  <c r="G39" i="6"/>
  <c r="E40" i="6"/>
  <c r="G40" i="6"/>
  <c r="E41" i="6"/>
  <c r="G41" i="6"/>
  <c r="E42" i="6"/>
  <c r="G42" i="6"/>
  <c r="E43" i="6"/>
  <c r="G43" i="6"/>
  <c r="E44" i="6"/>
  <c r="G44" i="6"/>
  <c r="E45" i="6"/>
  <c r="G45" i="6"/>
  <c r="E46" i="6"/>
  <c r="G46" i="6"/>
  <c r="E47" i="6"/>
  <c r="G47" i="6"/>
  <c r="E48" i="6"/>
  <c r="G48" i="6"/>
  <c r="E49" i="6"/>
  <c r="G49" i="6"/>
  <c r="E50" i="6"/>
  <c r="G50" i="6"/>
  <c r="E51" i="6"/>
  <c r="G51" i="6"/>
  <c r="E52" i="6"/>
  <c r="G52" i="6"/>
  <c r="E53" i="6"/>
  <c r="G53" i="6"/>
  <c r="G61" i="6" s="1"/>
  <c r="G69" i="6" s="1"/>
  <c r="G77" i="6" s="1"/>
  <c r="E54" i="6"/>
  <c r="G54" i="6"/>
  <c r="E55" i="6"/>
  <c r="G55" i="6"/>
  <c r="E56" i="6"/>
  <c r="G56" i="6"/>
  <c r="E57" i="6"/>
  <c r="G57" i="6"/>
  <c r="G65" i="6" s="1"/>
  <c r="G73" i="6" s="1"/>
  <c r="G81" i="6" s="1"/>
  <c r="E58" i="6"/>
  <c r="G58" i="6"/>
  <c r="E59" i="6"/>
  <c r="G59" i="6"/>
  <c r="G67" i="6" s="1"/>
  <c r="G75" i="6" s="1"/>
  <c r="G60" i="6"/>
  <c r="G62" i="6"/>
  <c r="G63" i="6"/>
  <c r="G71" i="6" s="1"/>
  <c r="G79" i="6" s="1"/>
  <c r="G64" i="6"/>
  <c r="G66" i="6"/>
  <c r="G68" i="6"/>
  <c r="G70" i="6"/>
  <c r="G72" i="6"/>
  <c r="G74" i="6"/>
  <c r="G76" i="6"/>
  <c r="G78" i="6"/>
  <c r="G80" i="6"/>
  <c r="G82" i="6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9" i="5"/>
  <c r="I80" i="5"/>
  <c r="I81" i="5"/>
  <c r="I82" i="5"/>
  <c r="I83" i="5"/>
  <c r="I84" i="5"/>
  <c r="I85" i="5"/>
  <c r="I86" i="5"/>
  <c r="I87" i="5"/>
  <c r="I88" i="5"/>
  <c r="I89" i="5"/>
  <c r="I90" i="5"/>
  <c r="I95" i="5"/>
  <c r="I96" i="5"/>
  <c r="I97" i="5"/>
  <c r="I98" i="5"/>
  <c r="I99" i="5"/>
  <c r="I100" i="5"/>
  <c r="I101" i="5"/>
  <c r="I102" i="5"/>
  <c r="I103" i="5"/>
  <c r="I104" i="5"/>
  <c r="I105" i="5"/>
  <c r="I106" i="5"/>
  <c r="I75" i="5"/>
  <c r="I76" i="5"/>
  <c r="I77" i="5"/>
  <c r="I78" i="5"/>
  <c r="G4" i="4"/>
  <c r="H4" i="4"/>
  <c r="I4" i="4"/>
  <c r="K4" i="4"/>
  <c r="R4" i="4" s="1"/>
  <c r="L4" i="4"/>
  <c r="S4" i="4" s="1"/>
  <c r="M4" i="4"/>
  <c r="T4" i="4" s="1"/>
  <c r="W4" i="4"/>
  <c r="X4" i="4"/>
  <c r="Y4" i="4"/>
  <c r="Z4" i="4"/>
  <c r="AA4" i="4"/>
  <c r="G5" i="4"/>
  <c r="H5" i="4"/>
  <c r="I5" i="4"/>
  <c r="J5" i="4" s="1"/>
  <c r="Q5" i="4" s="1"/>
  <c r="K5" i="4"/>
  <c r="R5" i="4" s="1"/>
  <c r="L5" i="4"/>
  <c r="S5" i="4" s="1"/>
  <c r="M5" i="4"/>
  <c r="T5" i="4" s="1"/>
  <c r="W5" i="4"/>
  <c r="X5" i="4"/>
  <c r="Y5" i="4"/>
  <c r="Z5" i="4"/>
  <c r="AA5" i="4"/>
  <c r="G6" i="4"/>
  <c r="H6" i="4"/>
  <c r="I6" i="4"/>
  <c r="K6" i="4"/>
  <c r="R6" i="4" s="1"/>
  <c r="L6" i="4"/>
  <c r="S6" i="4" s="1"/>
  <c r="M6" i="4"/>
  <c r="T6" i="4" s="1"/>
  <c r="W6" i="4"/>
  <c r="X6" i="4"/>
  <c r="Y6" i="4"/>
  <c r="Z6" i="4"/>
  <c r="AA6" i="4"/>
  <c r="G7" i="4"/>
  <c r="H7" i="4"/>
  <c r="I7" i="4"/>
  <c r="K7" i="4"/>
  <c r="R7" i="4" s="1"/>
  <c r="L7" i="4"/>
  <c r="S7" i="4" s="1"/>
  <c r="M7" i="4"/>
  <c r="T7" i="4" s="1"/>
  <c r="W7" i="4"/>
  <c r="X7" i="4"/>
  <c r="Y7" i="4"/>
  <c r="Z7" i="4"/>
  <c r="AA7" i="4"/>
  <c r="G8" i="4"/>
  <c r="H8" i="4"/>
  <c r="I8" i="4"/>
  <c r="K8" i="4"/>
  <c r="R8" i="4" s="1"/>
  <c r="L8" i="4"/>
  <c r="S8" i="4" s="1"/>
  <c r="M8" i="4"/>
  <c r="T8" i="4" s="1"/>
  <c r="W8" i="4"/>
  <c r="X8" i="4"/>
  <c r="Y8" i="4"/>
  <c r="Z8" i="4"/>
  <c r="AA8" i="4"/>
  <c r="G9" i="4"/>
  <c r="H9" i="4"/>
  <c r="I9" i="4"/>
  <c r="K9" i="4"/>
  <c r="R9" i="4" s="1"/>
  <c r="L9" i="4"/>
  <c r="S9" i="4" s="1"/>
  <c r="M9" i="4"/>
  <c r="T9" i="4" s="1"/>
  <c r="W9" i="4"/>
  <c r="X9" i="4"/>
  <c r="Y9" i="4"/>
  <c r="Z9" i="4"/>
  <c r="AA9" i="4"/>
  <c r="G10" i="4"/>
  <c r="H10" i="4"/>
  <c r="I10" i="4"/>
  <c r="K10" i="4"/>
  <c r="L10" i="4"/>
  <c r="S10" i="4" s="1"/>
  <c r="M10" i="4"/>
  <c r="T10" i="4" s="1"/>
  <c r="W10" i="4"/>
  <c r="X10" i="4"/>
  <c r="Y10" i="4"/>
  <c r="Z10" i="4"/>
  <c r="AA10" i="4"/>
  <c r="G11" i="4"/>
  <c r="H11" i="4"/>
  <c r="I11" i="4"/>
  <c r="J11" i="4" s="1"/>
  <c r="Q11" i="4" s="1"/>
  <c r="K11" i="4"/>
  <c r="R11" i="4" s="1"/>
  <c r="L11" i="4"/>
  <c r="S11" i="4" s="1"/>
  <c r="M11" i="4"/>
  <c r="T11" i="4" s="1"/>
  <c r="W11" i="4"/>
  <c r="X11" i="4"/>
  <c r="Y11" i="4"/>
  <c r="Z11" i="4"/>
  <c r="AA11" i="4"/>
  <c r="G12" i="4"/>
  <c r="H12" i="4"/>
  <c r="I12" i="4"/>
  <c r="L12" i="4"/>
  <c r="S12" i="4" s="1"/>
  <c r="M12" i="4"/>
  <c r="T12" i="4" s="1"/>
  <c r="W12" i="4"/>
  <c r="X12" i="4"/>
  <c r="Y12" i="4"/>
  <c r="Z12" i="4"/>
  <c r="AA12" i="4"/>
  <c r="G13" i="4"/>
  <c r="H13" i="4"/>
  <c r="I13" i="4"/>
  <c r="K13" i="4" s="1"/>
  <c r="L13" i="4"/>
  <c r="S13" i="4" s="1"/>
  <c r="M13" i="4"/>
  <c r="T13" i="4" s="1"/>
  <c r="W13" i="4"/>
  <c r="X13" i="4"/>
  <c r="Y13" i="4"/>
  <c r="Z13" i="4"/>
  <c r="AA13" i="4"/>
  <c r="G14" i="4"/>
  <c r="H14" i="4"/>
  <c r="I14" i="4"/>
  <c r="L14" i="4"/>
  <c r="S14" i="4" s="1"/>
  <c r="M14" i="4"/>
  <c r="T14" i="4" s="1"/>
  <c r="W14" i="4"/>
  <c r="X14" i="4"/>
  <c r="Y14" i="4"/>
  <c r="Z14" i="4"/>
  <c r="AA14" i="4"/>
  <c r="G15" i="4"/>
  <c r="H15" i="4"/>
  <c r="I15" i="4"/>
  <c r="L15" i="4"/>
  <c r="S15" i="4" s="1"/>
  <c r="M15" i="4"/>
  <c r="T15" i="4" s="1"/>
  <c r="W15" i="4"/>
  <c r="X15" i="4"/>
  <c r="Y15" i="4"/>
  <c r="Z15" i="4"/>
  <c r="AA15" i="4"/>
  <c r="G16" i="4"/>
  <c r="H16" i="4"/>
  <c r="I16" i="4"/>
  <c r="L16" i="4"/>
  <c r="S16" i="4" s="1"/>
  <c r="M16" i="4"/>
  <c r="T16" i="4" s="1"/>
  <c r="W16" i="4"/>
  <c r="X16" i="4"/>
  <c r="Y16" i="4"/>
  <c r="Z16" i="4"/>
  <c r="AA16" i="4"/>
  <c r="G17" i="4"/>
  <c r="H17" i="4"/>
  <c r="I17" i="4"/>
  <c r="J17" i="4" s="1"/>
  <c r="Q17" i="4" s="1"/>
  <c r="L17" i="4"/>
  <c r="S17" i="4" s="1"/>
  <c r="M17" i="4"/>
  <c r="T17" i="4" s="1"/>
  <c r="W17" i="4"/>
  <c r="X17" i="4"/>
  <c r="Y17" i="4"/>
  <c r="Z17" i="4"/>
  <c r="AA17" i="4"/>
  <c r="G18" i="4"/>
  <c r="H18" i="4"/>
  <c r="I18" i="4"/>
  <c r="K18" i="4" s="1"/>
  <c r="R18" i="4" s="1"/>
  <c r="L18" i="4"/>
  <c r="S18" i="4" s="1"/>
  <c r="M18" i="4"/>
  <c r="T18" i="4" s="1"/>
  <c r="W18" i="4"/>
  <c r="X18" i="4"/>
  <c r="Y18" i="4"/>
  <c r="Z18" i="4"/>
  <c r="AA18" i="4"/>
  <c r="G19" i="4"/>
  <c r="H19" i="4"/>
  <c r="I19" i="4"/>
  <c r="L19" i="4"/>
  <c r="S19" i="4" s="1"/>
  <c r="M19" i="4"/>
  <c r="T19" i="4" s="1"/>
  <c r="W19" i="4"/>
  <c r="X19" i="4"/>
  <c r="Y19" i="4"/>
  <c r="Z19" i="4"/>
  <c r="AA19" i="4"/>
  <c r="G20" i="4"/>
  <c r="H20" i="4"/>
  <c r="I20" i="4"/>
  <c r="M20" i="4"/>
  <c r="T20" i="4" s="1"/>
  <c r="W20" i="4"/>
  <c r="X20" i="4"/>
  <c r="Y20" i="4"/>
  <c r="Z20" i="4"/>
  <c r="AA20" i="4"/>
  <c r="G21" i="4"/>
  <c r="H21" i="4"/>
  <c r="I21" i="4"/>
  <c r="M21" i="4"/>
  <c r="T21" i="4" s="1"/>
  <c r="W21" i="4"/>
  <c r="X21" i="4"/>
  <c r="Y21" i="4"/>
  <c r="Z21" i="4"/>
  <c r="AA21" i="4"/>
  <c r="G22" i="4"/>
  <c r="H22" i="4"/>
  <c r="I22" i="4"/>
  <c r="M22" i="4"/>
  <c r="T22" i="4" s="1"/>
  <c r="W22" i="4"/>
  <c r="X22" i="4"/>
  <c r="Y22" i="4"/>
  <c r="Z22" i="4"/>
  <c r="AA22" i="4"/>
  <c r="G23" i="4"/>
  <c r="H23" i="4"/>
  <c r="I23" i="4"/>
  <c r="M23" i="4"/>
  <c r="T23" i="4" s="1"/>
  <c r="W23" i="4"/>
  <c r="X23" i="4"/>
  <c r="Y23" i="4"/>
  <c r="Z23" i="4"/>
  <c r="AA23" i="4"/>
  <c r="G24" i="4"/>
  <c r="H24" i="4"/>
  <c r="I24" i="4"/>
  <c r="M24" i="4"/>
  <c r="T24" i="4" s="1"/>
  <c r="W24" i="4"/>
  <c r="X24" i="4"/>
  <c r="Y24" i="4"/>
  <c r="Z24" i="4"/>
  <c r="AA24" i="4"/>
  <c r="G25" i="4"/>
  <c r="H25" i="4"/>
  <c r="I25" i="4"/>
  <c r="M25" i="4"/>
  <c r="T25" i="4" s="1"/>
  <c r="W25" i="4"/>
  <c r="X25" i="4"/>
  <c r="Y25" i="4"/>
  <c r="Z25" i="4"/>
  <c r="AA25" i="4"/>
  <c r="G26" i="4"/>
  <c r="H26" i="4"/>
  <c r="I26" i="4"/>
  <c r="M26" i="4"/>
  <c r="T26" i="4" s="1"/>
  <c r="W26" i="4"/>
  <c r="X26" i="4"/>
  <c r="Y26" i="4"/>
  <c r="Z26" i="4"/>
  <c r="AA26" i="4"/>
  <c r="G27" i="4"/>
  <c r="H27" i="4"/>
  <c r="I27" i="4"/>
  <c r="M27" i="4"/>
  <c r="T27" i="4" s="1"/>
  <c r="W27" i="4"/>
  <c r="X27" i="4"/>
  <c r="Y27" i="4"/>
  <c r="Z27" i="4"/>
  <c r="AA27" i="4"/>
  <c r="G28" i="4"/>
  <c r="H28" i="4"/>
  <c r="I28" i="4"/>
  <c r="K28" i="4"/>
  <c r="R28" i="4" s="1"/>
  <c r="L28" i="4"/>
  <c r="S28" i="4" s="1"/>
  <c r="M28" i="4"/>
  <c r="T28" i="4" s="1"/>
  <c r="W28" i="4"/>
  <c r="X28" i="4"/>
  <c r="Y28" i="4"/>
  <c r="Z28" i="4"/>
  <c r="AA28" i="4"/>
  <c r="G29" i="4"/>
  <c r="H29" i="4"/>
  <c r="I29" i="4"/>
  <c r="J29" i="4" s="1"/>
  <c r="Q29" i="4" s="1"/>
  <c r="K29" i="4"/>
  <c r="R29" i="4" s="1"/>
  <c r="L29" i="4"/>
  <c r="S29" i="4" s="1"/>
  <c r="M29" i="4"/>
  <c r="T29" i="4" s="1"/>
  <c r="W29" i="4"/>
  <c r="X29" i="4"/>
  <c r="Y29" i="4"/>
  <c r="Z29" i="4"/>
  <c r="AA29" i="4"/>
  <c r="G30" i="4"/>
  <c r="H30" i="4"/>
  <c r="I30" i="4"/>
  <c r="K30" i="4"/>
  <c r="R30" i="4" s="1"/>
  <c r="L30" i="4"/>
  <c r="S30" i="4" s="1"/>
  <c r="M30" i="4"/>
  <c r="T30" i="4" s="1"/>
  <c r="W30" i="4"/>
  <c r="X30" i="4"/>
  <c r="Y30" i="4"/>
  <c r="Z30" i="4"/>
  <c r="AA30" i="4"/>
  <c r="G31" i="4"/>
  <c r="H31" i="4"/>
  <c r="I31" i="4"/>
  <c r="J31" i="4" s="1"/>
  <c r="Q31" i="4" s="1"/>
  <c r="K31" i="4"/>
  <c r="R31" i="4" s="1"/>
  <c r="L31" i="4"/>
  <c r="S31" i="4" s="1"/>
  <c r="M31" i="4"/>
  <c r="T31" i="4" s="1"/>
  <c r="W31" i="4"/>
  <c r="X31" i="4"/>
  <c r="Y31" i="4"/>
  <c r="Z31" i="4"/>
  <c r="AA31" i="4"/>
  <c r="G32" i="4"/>
  <c r="H32" i="4"/>
  <c r="I32" i="4"/>
  <c r="K32" i="4"/>
  <c r="R32" i="4" s="1"/>
  <c r="L32" i="4"/>
  <c r="S32" i="4" s="1"/>
  <c r="M32" i="4"/>
  <c r="T32" i="4" s="1"/>
  <c r="W32" i="4"/>
  <c r="X32" i="4"/>
  <c r="Y32" i="4"/>
  <c r="Z32" i="4"/>
  <c r="AA32" i="4"/>
  <c r="G33" i="4"/>
  <c r="H33" i="4"/>
  <c r="I33" i="4"/>
  <c r="J33" i="4" s="1"/>
  <c r="Q33" i="4" s="1"/>
  <c r="K33" i="4"/>
  <c r="R33" i="4" s="1"/>
  <c r="L33" i="4"/>
  <c r="S33" i="4" s="1"/>
  <c r="M33" i="4"/>
  <c r="T33" i="4" s="1"/>
  <c r="W33" i="4"/>
  <c r="X33" i="4"/>
  <c r="Y33" i="4"/>
  <c r="Z33" i="4"/>
  <c r="AA33" i="4"/>
  <c r="G34" i="4"/>
  <c r="H34" i="4"/>
  <c r="I34" i="4"/>
  <c r="K34" i="4"/>
  <c r="R34" i="4" s="1"/>
  <c r="L34" i="4"/>
  <c r="S34" i="4" s="1"/>
  <c r="M34" i="4"/>
  <c r="T34" i="4" s="1"/>
  <c r="W34" i="4"/>
  <c r="X34" i="4"/>
  <c r="Y34" i="4"/>
  <c r="Z34" i="4"/>
  <c r="AA34" i="4"/>
  <c r="G35" i="4"/>
  <c r="H35" i="4"/>
  <c r="I35" i="4"/>
  <c r="K35" i="4"/>
  <c r="R35" i="4" s="1"/>
  <c r="L35" i="4"/>
  <c r="S35" i="4" s="1"/>
  <c r="M35" i="4"/>
  <c r="T35" i="4" s="1"/>
  <c r="W35" i="4"/>
  <c r="X35" i="4"/>
  <c r="Y35" i="4"/>
  <c r="Z35" i="4"/>
  <c r="AA35" i="4"/>
  <c r="G36" i="4"/>
  <c r="H36" i="4"/>
  <c r="I36" i="4"/>
  <c r="L36" i="4"/>
  <c r="S36" i="4" s="1"/>
  <c r="M36" i="4"/>
  <c r="T36" i="4" s="1"/>
  <c r="W36" i="4"/>
  <c r="X36" i="4"/>
  <c r="Y36" i="4"/>
  <c r="Z36" i="4"/>
  <c r="AA36" i="4"/>
  <c r="G37" i="4"/>
  <c r="H37" i="4"/>
  <c r="I37" i="4"/>
  <c r="J37" i="4" s="1"/>
  <c r="Q37" i="4" s="1"/>
  <c r="L37" i="4"/>
  <c r="S37" i="4" s="1"/>
  <c r="M37" i="4"/>
  <c r="T37" i="4" s="1"/>
  <c r="W37" i="4"/>
  <c r="AB37" i="4" s="1"/>
  <c r="P37" i="4" s="1"/>
  <c r="X37" i="4"/>
  <c r="Y37" i="4"/>
  <c r="Z37" i="4"/>
  <c r="AA37" i="4"/>
  <c r="G38" i="4"/>
  <c r="H38" i="4"/>
  <c r="I38" i="4"/>
  <c r="L38" i="4"/>
  <c r="S38" i="4" s="1"/>
  <c r="M38" i="4"/>
  <c r="T38" i="4" s="1"/>
  <c r="W38" i="4"/>
  <c r="X38" i="4"/>
  <c r="Y38" i="4"/>
  <c r="Z38" i="4"/>
  <c r="AA38" i="4"/>
  <c r="G39" i="4"/>
  <c r="H39" i="4"/>
  <c r="I39" i="4"/>
  <c r="J39" i="4" s="1"/>
  <c r="Q39" i="4" s="1"/>
  <c r="L39" i="4"/>
  <c r="S39" i="4" s="1"/>
  <c r="M39" i="4"/>
  <c r="T39" i="4" s="1"/>
  <c r="W39" i="4"/>
  <c r="X39" i="4"/>
  <c r="Y39" i="4"/>
  <c r="Z39" i="4"/>
  <c r="AA39" i="4"/>
  <c r="G40" i="4"/>
  <c r="H40" i="4"/>
  <c r="I40" i="4"/>
  <c r="L40" i="4"/>
  <c r="S40" i="4" s="1"/>
  <c r="M40" i="4"/>
  <c r="T40" i="4" s="1"/>
  <c r="W40" i="4"/>
  <c r="X40" i="4"/>
  <c r="Y40" i="4"/>
  <c r="Z40" i="4"/>
  <c r="AA40" i="4"/>
  <c r="G41" i="4"/>
  <c r="H41" i="4"/>
  <c r="I41" i="4"/>
  <c r="L41" i="4"/>
  <c r="S41" i="4" s="1"/>
  <c r="M41" i="4"/>
  <c r="T41" i="4" s="1"/>
  <c r="W41" i="4"/>
  <c r="X41" i="4"/>
  <c r="Y41" i="4"/>
  <c r="Z41" i="4"/>
  <c r="AA41" i="4"/>
  <c r="G42" i="4"/>
  <c r="H42" i="4"/>
  <c r="I42" i="4"/>
  <c r="L42" i="4"/>
  <c r="S42" i="4" s="1"/>
  <c r="M42" i="4"/>
  <c r="T42" i="4" s="1"/>
  <c r="W42" i="4"/>
  <c r="X42" i="4"/>
  <c r="Y42" i="4"/>
  <c r="Z42" i="4"/>
  <c r="AA42" i="4"/>
  <c r="G43" i="4"/>
  <c r="H43" i="4"/>
  <c r="I43" i="4"/>
  <c r="L43" i="4"/>
  <c r="S43" i="4" s="1"/>
  <c r="M43" i="4"/>
  <c r="T43" i="4" s="1"/>
  <c r="W43" i="4"/>
  <c r="X43" i="4"/>
  <c r="Y43" i="4"/>
  <c r="Z43" i="4"/>
  <c r="AA43" i="4"/>
  <c r="G44" i="4"/>
  <c r="H44" i="4"/>
  <c r="I44" i="4"/>
  <c r="L44" i="4" s="1"/>
  <c r="S44" i="4" s="1"/>
  <c r="M44" i="4"/>
  <c r="T44" i="4" s="1"/>
  <c r="W44" i="4"/>
  <c r="X44" i="4"/>
  <c r="Y44" i="4"/>
  <c r="Z44" i="4"/>
  <c r="AA44" i="4"/>
  <c r="G45" i="4"/>
  <c r="H45" i="4"/>
  <c r="I45" i="4"/>
  <c r="L45" i="4" s="1"/>
  <c r="S45" i="4" s="1"/>
  <c r="M45" i="4"/>
  <c r="T45" i="4" s="1"/>
  <c r="W45" i="4"/>
  <c r="X45" i="4"/>
  <c r="Y45" i="4"/>
  <c r="Z45" i="4"/>
  <c r="AA45" i="4"/>
  <c r="G46" i="4"/>
  <c r="H46" i="4"/>
  <c r="I46" i="4"/>
  <c r="J46" i="4" s="1"/>
  <c r="Q46" i="4" s="1"/>
  <c r="M46" i="4"/>
  <c r="T46" i="4" s="1"/>
  <c r="W46" i="4"/>
  <c r="X46" i="4"/>
  <c r="Y46" i="4"/>
  <c r="Z46" i="4"/>
  <c r="AA46" i="4"/>
  <c r="G47" i="4"/>
  <c r="H47" i="4"/>
  <c r="I47" i="4"/>
  <c r="M47" i="4"/>
  <c r="T47" i="4" s="1"/>
  <c r="W47" i="4"/>
  <c r="X47" i="4"/>
  <c r="Y47" i="4"/>
  <c r="Z47" i="4"/>
  <c r="AA47" i="4"/>
  <c r="G48" i="4"/>
  <c r="H48" i="4"/>
  <c r="I48" i="4"/>
  <c r="M48" i="4"/>
  <c r="T48" i="4" s="1"/>
  <c r="W48" i="4"/>
  <c r="X48" i="4"/>
  <c r="Y48" i="4"/>
  <c r="Z48" i="4"/>
  <c r="AA48" i="4"/>
  <c r="G49" i="4"/>
  <c r="H49" i="4"/>
  <c r="I49" i="4"/>
  <c r="M49" i="4"/>
  <c r="T49" i="4" s="1"/>
  <c r="W49" i="4"/>
  <c r="X49" i="4"/>
  <c r="Y49" i="4"/>
  <c r="Z49" i="4"/>
  <c r="AA49" i="4"/>
  <c r="G50" i="4"/>
  <c r="H50" i="4"/>
  <c r="I50" i="4"/>
  <c r="M50" i="4"/>
  <c r="T50" i="4" s="1"/>
  <c r="W50" i="4"/>
  <c r="X50" i="4"/>
  <c r="Y50" i="4"/>
  <c r="Z50" i="4"/>
  <c r="AA50" i="4"/>
  <c r="G51" i="4"/>
  <c r="H51" i="4"/>
  <c r="I51" i="4"/>
  <c r="J51" i="4" s="1"/>
  <c r="Q51" i="4" s="1"/>
  <c r="M51" i="4"/>
  <c r="T51" i="4" s="1"/>
  <c r="W51" i="4"/>
  <c r="X51" i="4"/>
  <c r="Y51" i="4"/>
  <c r="Z51" i="4"/>
  <c r="AA51" i="4"/>
  <c r="G52" i="4"/>
  <c r="H52" i="4"/>
  <c r="I52" i="4"/>
  <c r="J52" i="4" s="1"/>
  <c r="Q52" i="4" s="1"/>
  <c r="K52" i="4"/>
  <c r="R52" i="4" s="1"/>
  <c r="L52" i="4"/>
  <c r="S52" i="4" s="1"/>
  <c r="M52" i="4"/>
  <c r="T52" i="4" s="1"/>
  <c r="W52" i="4"/>
  <c r="X52" i="4"/>
  <c r="Y52" i="4"/>
  <c r="Z52" i="4"/>
  <c r="AA52" i="4"/>
  <c r="G53" i="4"/>
  <c r="H53" i="4"/>
  <c r="I53" i="4"/>
  <c r="J53" i="4" s="1"/>
  <c r="Q53" i="4" s="1"/>
  <c r="K53" i="4"/>
  <c r="R53" i="4" s="1"/>
  <c r="L53" i="4"/>
  <c r="S53" i="4" s="1"/>
  <c r="M53" i="4"/>
  <c r="T53" i="4" s="1"/>
  <c r="W53" i="4"/>
  <c r="X53" i="4"/>
  <c r="Y53" i="4"/>
  <c r="Z53" i="4"/>
  <c r="AA53" i="4"/>
  <c r="G54" i="4"/>
  <c r="H54" i="4"/>
  <c r="I54" i="4"/>
  <c r="J54" i="4" s="1"/>
  <c r="Q54" i="4" s="1"/>
  <c r="K54" i="4"/>
  <c r="R54" i="4" s="1"/>
  <c r="L54" i="4"/>
  <c r="S54" i="4" s="1"/>
  <c r="M54" i="4"/>
  <c r="T54" i="4" s="1"/>
  <c r="W54" i="4"/>
  <c r="X54" i="4"/>
  <c r="Y54" i="4"/>
  <c r="Z54" i="4"/>
  <c r="AA54" i="4"/>
  <c r="G55" i="4"/>
  <c r="H55" i="4"/>
  <c r="I55" i="4"/>
  <c r="K55" i="4"/>
  <c r="R55" i="4" s="1"/>
  <c r="L55" i="4"/>
  <c r="S55" i="4" s="1"/>
  <c r="M55" i="4"/>
  <c r="T55" i="4" s="1"/>
  <c r="W55" i="4"/>
  <c r="X55" i="4"/>
  <c r="Y55" i="4"/>
  <c r="Z55" i="4"/>
  <c r="AA55" i="4"/>
  <c r="G56" i="4"/>
  <c r="H56" i="4"/>
  <c r="I56" i="4"/>
  <c r="K56" i="4"/>
  <c r="R56" i="4" s="1"/>
  <c r="L56" i="4"/>
  <c r="S56" i="4" s="1"/>
  <c r="M56" i="4"/>
  <c r="T56" i="4" s="1"/>
  <c r="W56" i="4"/>
  <c r="X56" i="4"/>
  <c r="Y56" i="4"/>
  <c r="Z56" i="4"/>
  <c r="AA56" i="4"/>
  <c r="G57" i="4"/>
  <c r="H57" i="4"/>
  <c r="I57" i="4"/>
  <c r="K57" i="4"/>
  <c r="R57" i="4" s="1"/>
  <c r="L57" i="4"/>
  <c r="S57" i="4" s="1"/>
  <c r="M57" i="4"/>
  <c r="T57" i="4" s="1"/>
  <c r="W57" i="4"/>
  <c r="X57" i="4"/>
  <c r="Y57" i="4"/>
  <c r="Z57" i="4"/>
  <c r="AA57" i="4"/>
  <c r="G58" i="4"/>
  <c r="H58" i="4"/>
  <c r="I58" i="4"/>
  <c r="K58" i="4"/>
  <c r="R58" i="4" s="1"/>
  <c r="L58" i="4"/>
  <c r="S58" i="4" s="1"/>
  <c r="M58" i="4"/>
  <c r="T58" i="4" s="1"/>
  <c r="W58" i="4"/>
  <c r="X58" i="4"/>
  <c r="Y58" i="4"/>
  <c r="Z58" i="4"/>
  <c r="AA58" i="4"/>
  <c r="G59" i="4"/>
  <c r="H59" i="4"/>
  <c r="I59" i="4"/>
  <c r="K59" i="4"/>
  <c r="R59" i="4" s="1"/>
  <c r="L59" i="4"/>
  <c r="S59" i="4" s="1"/>
  <c r="M59" i="4"/>
  <c r="T59" i="4" s="1"/>
  <c r="W59" i="4"/>
  <c r="X59" i="4"/>
  <c r="Y59" i="4"/>
  <c r="Z59" i="4"/>
  <c r="AA59" i="4"/>
  <c r="G60" i="4"/>
  <c r="H60" i="4"/>
  <c r="I60" i="4"/>
  <c r="L60" i="4"/>
  <c r="S60" i="4" s="1"/>
  <c r="M60" i="4"/>
  <c r="T60" i="4" s="1"/>
  <c r="W60" i="4"/>
  <c r="X60" i="4"/>
  <c r="Y60" i="4"/>
  <c r="Z60" i="4"/>
  <c r="AA60" i="4"/>
  <c r="G61" i="4"/>
  <c r="H61" i="4"/>
  <c r="I61" i="4"/>
  <c r="J61" i="4" s="1"/>
  <c r="Q61" i="4" s="1"/>
  <c r="L61" i="4"/>
  <c r="S61" i="4" s="1"/>
  <c r="M61" i="4"/>
  <c r="T61" i="4" s="1"/>
  <c r="W61" i="4"/>
  <c r="X61" i="4"/>
  <c r="Y61" i="4"/>
  <c r="Z61" i="4"/>
  <c r="AA61" i="4"/>
  <c r="G62" i="4"/>
  <c r="H62" i="4"/>
  <c r="I62" i="4"/>
  <c r="J62" i="4" s="1"/>
  <c r="Q62" i="4" s="1"/>
  <c r="K62" i="4"/>
  <c r="R62" i="4" s="1"/>
  <c r="L62" i="4"/>
  <c r="S62" i="4" s="1"/>
  <c r="M62" i="4"/>
  <c r="T62" i="4" s="1"/>
  <c r="W62" i="4"/>
  <c r="X62" i="4"/>
  <c r="Y62" i="4"/>
  <c r="Z62" i="4"/>
  <c r="AA62" i="4"/>
  <c r="G63" i="4"/>
  <c r="H63" i="4"/>
  <c r="I63" i="4"/>
  <c r="L63" i="4"/>
  <c r="S63" i="4" s="1"/>
  <c r="M63" i="4"/>
  <c r="T63" i="4" s="1"/>
  <c r="W63" i="4"/>
  <c r="X63" i="4"/>
  <c r="Y63" i="4"/>
  <c r="Z63" i="4"/>
  <c r="AA63" i="4"/>
  <c r="G64" i="4"/>
  <c r="H64" i="4"/>
  <c r="I64" i="4"/>
  <c r="L64" i="4"/>
  <c r="S64" i="4" s="1"/>
  <c r="M64" i="4"/>
  <c r="T64" i="4" s="1"/>
  <c r="W64" i="4"/>
  <c r="X64" i="4"/>
  <c r="Y64" i="4"/>
  <c r="Z64" i="4"/>
  <c r="AA64" i="4"/>
  <c r="G65" i="4"/>
  <c r="H65" i="4"/>
  <c r="I65" i="4"/>
  <c r="J65" i="4" s="1"/>
  <c r="Q65" i="4" s="1"/>
  <c r="L65" i="4"/>
  <c r="S65" i="4" s="1"/>
  <c r="M65" i="4"/>
  <c r="T65" i="4" s="1"/>
  <c r="W65" i="4"/>
  <c r="X65" i="4"/>
  <c r="Y65" i="4"/>
  <c r="Z65" i="4"/>
  <c r="AA65" i="4"/>
  <c r="G66" i="4"/>
  <c r="H66" i="4"/>
  <c r="I66" i="4"/>
  <c r="J66" i="4" s="1"/>
  <c r="Q66" i="4" s="1"/>
  <c r="L66" i="4"/>
  <c r="S66" i="4" s="1"/>
  <c r="M66" i="4"/>
  <c r="T66" i="4" s="1"/>
  <c r="W66" i="4"/>
  <c r="X66" i="4"/>
  <c r="Y66" i="4"/>
  <c r="Z66" i="4"/>
  <c r="AA66" i="4"/>
  <c r="G67" i="4"/>
  <c r="H67" i="4"/>
  <c r="I67" i="4"/>
  <c r="L67" i="4"/>
  <c r="S67" i="4" s="1"/>
  <c r="M67" i="4"/>
  <c r="T67" i="4" s="1"/>
  <c r="W67" i="4"/>
  <c r="X67" i="4"/>
  <c r="Y67" i="4"/>
  <c r="Z67" i="4"/>
  <c r="AA67" i="4"/>
  <c r="G68" i="4"/>
  <c r="H68" i="4"/>
  <c r="I68" i="4"/>
  <c r="M68" i="4"/>
  <c r="T68" i="4" s="1"/>
  <c r="W68" i="4"/>
  <c r="X68" i="4"/>
  <c r="Y68" i="4"/>
  <c r="Z68" i="4"/>
  <c r="AA68" i="4"/>
  <c r="G69" i="4"/>
  <c r="H69" i="4"/>
  <c r="I69" i="4"/>
  <c r="L69" i="4" s="1"/>
  <c r="S69" i="4" s="1"/>
  <c r="M69" i="4"/>
  <c r="T69" i="4" s="1"/>
  <c r="W69" i="4"/>
  <c r="X69" i="4"/>
  <c r="Y69" i="4"/>
  <c r="Z69" i="4"/>
  <c r="AA69" i="4"/>
  <c r="G70" i="4"/>
  <c r="H70" i="4"/>
  <c r="I70" i="4"/>
  <c r="M70" i="4"/>
  <c r="T70" i="4" s="1"/>
  <c r="W70" i="4"/>
  <c r="X70" i="4"/>
  <c r="Y70" i="4"/>
  <c r="Z70" i="4"/>
  <c r="AA70" i="4"/>
  <c r="G71" i="4"/>
  <c r="H71" i="4"/>
  <c r="I71" i="4"/>
  <c r="L71" i="4" s="1"/>
  <c r="S71" i="4" s="1"/>
  <c r="M71" i="4"/>
  <c r="T71" i="4" s="1"/>
  <c r="W71" i="4"/>
  <c r="X71" i="4"/>
  <c r="Y71" i="4"/>
  <c r="Z71" i="4"/>
  <c r="AA71" i="4"/>
  <c r="G72" i="4"/>
  <c r="H72" i="4"/>
  <c r="I72" i="4"/>
  <c r="M72" i="4"/>
  <c r="T72" i="4" s="1"/>
  <c r="W72" i="4"/>
  <c r="X72" i="4"/>
  <c r="Y72" i="4"/>
  <c r="Z72" i="4"/>
  <c r="AA72" i="4"/>
  <c r="G73" i="4"/>
  <c r="H73" i="4"/>
  <c r="I73" i="4"/>
  <c r="M73" i="4"/>
  <c r="T73" i="4" s="1"/>
  <c r="W73" i="4"/>
  <c r="X73" i="4"/>
  <c r="Y73" i="4"/>
  <c r="Z73" i="4"/>
  <c r="AA73" i="4"/>
  <c r="G74" i="4"/>
  <c r="H74" i="4"/>
  <c r="I74" i="4"/>
  <c r="M74" i="4"/>
  <c r="T74" i="4" s="1"/>
  <c r="W74" i="4"/>
  <c r="X74" i="4"/>
  <c r="Y74" i="4"/>
  <c r="Z74" i="4"/>
  <c r="AA74" i="4"/>
  <c r="G75" i="4"/>
  <c r="H75" i="4"/>
  <c r="I75" i="4"/>
  <c r="M75" i="4"/>
  <c r="T75" i="4" s="1"/>
  <c r="W75" i="4"/>
  <c r="X75" i="4"/>
  <c r="Y75" i="4"/>
  <c r="Z75" i="4"/>
  <c r="AA75" i="4"/>
  <c r="G76" i="4"/>
  <c r="H76" i="4"/>
  <c r="I76" i="4"/>
  <c r="K76" i="4"/>
  <c r="R76" i="4" s="1"/>
  <c r="L76" i="4"/>
  <c r="S76" i="4" s="1"/>
  <c r="M76" i="4"/>
  <c r="T76" i="4" s="1"/>
  <c r="W76" i="4"/>
  <c r="X76" i="4"/>
  <c r="Y76" i="4"/>
  <c r="Z76" i="4"/>
  <c r="AA76" i="4"/>
  <c r="G77" i="4"/>
  <c r="H77" i="4"/>
  <c r="I77" i="4"/>
  <c r="J77" i="4" s="1"/>
  <c r="Q77" i="4" s="1"/>
  <c r="K77" i="4"/>
  <c r="R77" i="4" s="1"/>
  <c r="L77" i="4"/>
  <c r="S77" i="4" s="1"/>
  <c r="M77" i="4"/>
  <c r="T77" i="4" s="1"/>
  <c r="W77" i="4"/>
  <c r="X77" i="4"/>
  <c r="Y77" i="4"/>
  <c r="Z77" i="4"/>
  <c r="AA77" i="4"/>
  <c r="G78" i="4"/>
  <c r="H78" i="4"/>
  <c r="I78" i="4"/>
  <c r="K78" i="4"/>
  <c r="R78" i="4" s="1"/>
  <c r="L78" i="4"/>
  <c r="S78" i="4" s="1"/>
  <c r="M78" i="4"/>
  <c r="T78" i="4" s="1"/>
  <c r="W78" i="4"/>
  <c r="X78" i="4"/>
  <c r="Y78" i="4"/>
  <c r="Z78" i="4"/>
  <c r="AA78" i="4"/>
  <c r="G79" i="4"/>
  <c r="H79" i="4"/>
  <c r="I79" i="4"/>
  <c r="K79" i="4"/>
  <c r="R79" i="4" s="1"/>
  <c r="L79" i="4"/>
  <c r="S79" i="4" s="1"/>
  <c r="M79" i="4"/>
  <c r="T79" i="4" s="1"/>
  <c r="W79" i="4"/>
  <c r="X79" i="4"/>
  <c r="Y79" i="4"/>
  <c r="Z79" i="4"/>
  <c r="AA79" i="4"/>
  <c r="G80" i="4"/>
  <c r="H80" i="4"/>
  <c r="I80" i="4"/>
  <c r="J80" i="4" s="1"/>
  <c r="Q80" i="4" s="1"/>
  <c r="K80" i="4"/>
  <c r="R80" i="4" s="1"/>
  <c r="L80" i="4"/>
  <c r="S80" i="4" s="1"/>
  <c r="M80" i="4"/>
  <c r="T80" i="4" s="1"/>
  <c r="W80" i="4"/>
  <c r="X80" i="4"/>
  <c r="Y80" i="4"/>
  <c r="Z80" i="4"/>
  <c r="AA80" i="4"/>
  <c r="G81" i="4"/>
  <c r="H81" i="4"/>
  <c r="I81" i="4"/>
  <c r="K81" i="4"/>
  <c r="R81" i="4" s="1"/>
  <c r="L81" i="4"/>
  <c r="S81" i="4" s="1"/>
  <c r="M81" i="4"/>
  <c r="T81" i="4" s="1"/>
  <c r="W81" i="4"/>
  <c r="X81" i="4"/>
  <c r="Y81" i="4"/>
  <c r="Z81" i="4"/>
  <c r="AA81" i="4"/>
  <c r="G82" i="4"/>
  <c r="H82" i="4"/>
  <c r="I82" i="4"/>
  <c r="J82" i="4" s="1"/>
  <c r="Q82" i="4" s="1"/>
  <c r="K82" i="4"/>
  <c r="R82" i="4" s="1"/>
  <c r="L82" i="4"/>
  <c r="S82" i="4" s="1"/>
  <c r="M82" i="4"/>
  <c r="T82" i="4" s="1"/>
  <c r="W82" i="4"/>
  <c r="X82" i="4"/>
  <c r="Y82" i="4"/>
  <c r="Z82" i="4"/>
  <c r="AA82" i="4"/>
  <c r="G83" i="4"/>
  <c r="H83" i="4"/>
  <c r="I83" i="4"/>
  <c r="J83" i="4" s="1"/>
  <c r="Q83" i="4" s="1"/>
  <c r="K83" i="4"/>
  <c r="R83" i="4" s="1"/>
  <c r="L83" i="4"/>
  <c r="S83" i="4" s="1"/>
  <c r="M83" i="4"/>
  <c r="T83" i="4" s="1"/>
  <c r="W83" i="4"/>
  <c r="X83" i="4"/>
  <c r="Y83" i="4"/>
  <c r="Z83" i="4"/>
  <c r="AA83" i="4"/>
  <c r="G84" i="4"/>
  <c r="H84" i="4"/>
  <c r="I84" i="4"/>
  <c r="L84" i="4"/>
  <c r="S84" i="4" s="1"/>
  <c r="M84" i="4"/>
  <c r="T84" i="4" s="1"/>
  <c r="W84" i="4"/>
  <c r="X84" i="4"/>
  <c r="Y84" i="4"/>
  <c r="Z84" i="4"/>
  <c r="AA84" i="4"/>
  <c r="G85" i="4"/>
  <c r="H85" i="4"/>
  <c r="I85" i="4"/>
  <c r="L85" i="4"/>
  <c r="S85" i="4" s="1"/>
  <c r="M85" i="4"/>
  <c r="T85" i="4" s="1"/>
  <c r="W85" i="4"/>
  <c r="X85" i="4"/>
  <c r="Y85" i="4"/>
  <c r="Z85" i="4"/>
  <c r="AA85" i="4"/>
  <c r="G86" i="4"/>
  <c r="H86" i="4"/>
  <c r="I86" i="4"/>
  <c r="L86" i="4"/>
  <c r="S86" i="4" s="1"/>
  <c r="M86" i="4"/>
  <c r="T86" i="4" s="1"/>
  <c r="W86" i="4"/>
  <c r="X86" i="4"/>
  <c r="Y86" i="4"/>
  <c r="Z86" i="4"/>
  <c r="AA86" i="4"/>
  <c r="G87" i="4"/>
  <c r="H87" i="4"/>
  <c r="I87" i="4"/>
  <c r="J87" i="4" s="1"/>
  <c r="Q87" i="4" s="1"/>
  <c r="L87" i="4"/>
  <c r="S87" i="4" s="1"/>
  <c r="M87" i="4"/>
  <c r="T87" i="4" s="1"/>
  <c r="W87" i="4"/>
  <c r="X87" i="4"/>
  <c r="Y87" i="4"/>
  <c r="Z87" i="4"/>
  <c r="AA87" i="4"/>
  <c r="G88" i="4"/>
  <c r="H88" i="4"/>
  <c r="I88" i="4"/>
  <c r="J88" i="4" s="1"/>
  <c r="Q88" i="4" s="1"/>
  <c r="L88" i="4"/>
  <c r="S88" i="4" s="1"/>
  <c r="M88" i="4"/>
  <c r="T88" i="4" s="1"/>
  <c r="W88" i="4"/>
  <c r="X88" i="4"/>
  <c r="Y88" i="4"/>
  <c r="Z88" i="4"/>
  <c r="AA88" i="4"/>
  <c r="G89" i="4"/>
  <c r="H89" i="4"/>
  <c r="I89" i="4"/>
  <c r="J89" i="4" s="1"/>
  <c r="Q89" i="4" s="1"/>
  <c r="L89" i="4"/>
  <c r="S89" i="4" s="1"/>
  <c r="M89" i="4"/>
  <c r="T89" i="4" s="1"/>
  <c r="W89" i="4"/>
  <c r="X89" i="4"/>
  <c r="Y89" i="4"/>
  <c r="Z89" i="4"/>
  <c r="AA89" i="4"/>
  <c r="G90" i="4"/>
  <c r="H90" i="4"/>
  <c r="I90" i="4"/>
  <c r="J90" i="4" s="1"/>
  <c r="Q90" i="4" s="1"/>
  <c r="L90" i="4"/>
  <c r="S90" i="4" s="1"/>
  <c r="M90" i="4"/>
  <c r="T90" i="4" s="1"/>
  <c r="W90" i="4"/>
  <c r="X90" i="4"/>
  <c r="Y90" i="4"/>
  <c r="Z90" i="4"/>
  <c r="AA90" i="4"/>
  <c r="G91" i="4"/>
  <c r="H91" i="4"/>
  <c r="I91" i="4"/>
  <c r="L91" i="4"/>
  <c r="S91" i="4" s="1"/>
  <c r="M91" i="4"/>
  <c r="T91" i="4" s="1"/>
  <c r="W91" i="4"/>
  <c r="X91" i="4"/>
  <c r="Y91" i="4"/>
  <c r="Z91" i="4"/>
  <c r="AA91" i="4"/>
  <c r="G92" i="4"/>
  <c r="H92" i="4"/>
  <c r="I92" i="4"/>
  <c r="M92" i="4"/>
  <c r="T92" i="4" s="1"/>
  <c r="W92" i="4"/>
  <c r="X92" i="4"/>
  <c r="Y92" i="4"/>
  <c r="Z92" i="4"/>
  <c r="AA92" i="4"/>
  <c r="G93" i="4"/>
  <c r="H93" i="4"/>
  <c r="I93" i="4"/>
  <c r="J93" i="4" s="1"/>
  <c r="Q93" i="4" s="1"/>
  <c r="L93" i="4"/>
  <c r="S93" i="4" s="1"/>
  <c r="M93" i="4"/>
  <c r="T93" i="4" s="1"/>
  <c r="W93" i="4"/>
  <c r="X93" i="4"/>
  <c r="Y93" i="4"/>
  <c r="Z93" i="4"/>
  <c r="AA93" i="4"/>
  <c r="G94" i="4"/>
  <c r="H94" i="4"/>
  <c r="I94" i="4"/>
  <c r="M94" i="4"/>
  <c r="T94" i="4" s="1"/>
  <c r="W94" i="4"/>
  <c r="X94" i="4"/>
  <c r="Y94" i="4"/>
  <c r="Z94" i="4"/>
  <c r="AA94" i="4"/>
  <c r="G95" i="4"/>
  <c r="H95" i="4"/>
  <c r="I95" i="4"/>
  <c r="M95" i="4"/>
  <c r="T95" i="4" s="1"/>
  <c r="W95" i="4"/>
  <c r="X95" i="4"/>
  <c r="Y95" i="4"/>
  <c r="Z95" i="4"/>
  <c r="AA95" i="4"/>
  <c r="G96" i="4"/>
  <c r="H96" i="4"/>
  <c r="I96" i="4"/>
  <c r="L96" i="4" s="1"/>
  <c r="S96" i="4" s="1"/>
  <c r="M96" i="4"/>
  <c r="T96" i="4" s="1"/>
  <c r="W96" i="4"/>
  <c r="X96" i="4"/>
  <c r="Y96" i="4"/>
  <c r="Z96" i="4"/>
  <c r="AA96" i="4"/>
  <c r="G97" i="4"/>
  <c r="H97" i="4"/>
  <c r="I97" i="4"/>
  <c r="J97" i="4" s="1"/>
  <c r="Q97" i="4" s="1"/>
  <c r="M97" i="4"/>
  <c r="T97" i="4" s="1"/>
  <c r="W97" i="4"/>
  <c r="X97" i="4"/>
  <c r="Y97" i="4"/>
  <c r="Z97" i="4"/>
  <c r="AA97" i="4"/>
  <c r="G98" i="4"/>
  <c r="H98" i="4"/>
  <c r="I98" i="4"/>
  <c r="J98" i="4" s="1"/>
  <c r="Q98" i="4" s="1"/>
  <c r="M98" i="4"/>
  <c r="T98" i="4" s="1"/>
  <c r="W98" i="4"/>
  <c r="X98" i="4"/>
  <c r="Y98" i="4"/>
  <c r="Z98" i="4"/>
  <c r="AA98" i="4"/>
  <c r="G99" i="4"/>
  <c r="H99" i="4"/>
  <c r="I99" i="4"/>
  <c r="M99" i="4"/>
  <c r="T99" i="4" s="1"/>
  <c r="W99" i="4"/>
  <c r="X99" i="4"/>
  <c r="Y99" i="4"/>
  <c r="Z99" i="4"/>
  <c r="AA99" i="4"/>
  <c r="G100" i="4"/>
  <c r="H100" i="4"/>
  <c r="I100" i="4"/>
  <c r="K100" i="4"/>
  <c r="R100" i="4" s="1"/>
  <c r="L100" i="4"/>
  <c r="S100" i="4" s="1"/>
  <c r="M100" i="4"/>
  <c r="T100" i="4" s="1"/>
  <c r="W100" i="4"/>
  <c r="X100" i="4"/>
  <c r="Y100" i="4"/>
  <c r="Z100" i="4"/>
  <c r="AA100" i="4"/>
  <c r="G101" i="4"/>
  <c r="H101" i="4"/>
  <c r="I101" i="4"/>
  <c r="J101" i="4" s="1"/>
  <c r="Q101" i="4" s="1"/>
  <c r="K101" i="4"/>
  <c r="R101" i="4" s="1"/>
  <c r="L101" i="4"/>
  <c r="S101" i="4" s="1"/>
  <c r="M101" i="4"/>
  <c r="T101" i="4" s="1"/>
  <c r="W101" i="4"/>
  <c r="X101" i="4"/>
  <c r="Y101" i="4"/>
  <c r="Z101" i="4"/>
  <c r="AA101" i="4"/>
  <c r="G102" i="4"/>
  <c r="H102" i="4"/>
  <c r="I102" i="4"/>
  <c r="J102" i="4" s="1"/>
  <c r="Q102" i="4" s="1"/>
  <c r="K102" i="4"/>
  <c r="R102" i="4" s="1"/>
  <c r="L102" i="4"/>
  <c r="S102" i="4" s="1"/>
  <c r="M102" i="4"/>
  <c r="T102" i="4" s="1"/>
  <c r="W102" i="4"/>
  <c r="X102" i="4"/>
  <c r="Y102" i="4"/>
  <c r="Z102" i="4"/>
  <c r="AA102" i="4"/>
  <c r="G103" i="4"/>
  <c r="H103" i="4"/>
  <c r="I103" i="4"/>
  <c r="K103" i="4"/>
  <c r="R103" i="4" s="1"/>
  <c r="L103" i="4"/>
  <c r="S103" i="4" s="1"/>
  <c r="M103" i="4"/>
  <c r="T103" i="4" s="1"/>
  <c r="W103" i="4"/>
  <c r="X103" i="4"/>
  <c r="Y103" i="4"/>
  <c r="Z103" i="4"/>
  <c r="AA103" i="4"/>
  <c r="G104" i="4"/>
  <c r="H104" i="4"/>
  <c r="I104" i="4"/>
  <c r="K104" i="4"/>
  <c r="R104" i="4" s="1"/>
  <c r="L104" i="4"/>
  <c r="S104" i="4" s="1"/>
  <c r="M104" i="4"/>
  <c r="T104" i="4" s="1"/>
  <c r="W104" i="4"/>
  <c r="X104" i="4"/>
  <c r="Y104" i="4"/>
  <c r="Z104" i="4"/>
  <c r="AA104" i="4"/>
  <c r="G105" i="4"/>
  <c r="H105" i="4"/>
  <c r="I105" i="4"/>
  <c r="K105" i="4"/>
  <c r="R105" i="4" s="1"/>
  <c r="L105" i="4"/>
  <c r="S105" i="4" s="1"/>
  <c r="M105" i="4"/>
  <c r="T105" i="4" s="1"/>
  <c r="W105" i="4"/>
  <c r="X105" i="4"/>
  <c r="Y105" i="4"/>
  <c r="Z105" i="4"/>
  <c r="AA105" i="4"/>
  <c r="G106" i="4"/>
  <c r="H106" i="4"/>
  <c r="I106" i="4"/>
  <c r="J106" i="4" s="1"/>
  <c r="Q106" i="4" s="1"/>
  <c r="K106" i="4"/>
  <c r="R106" i="4" s="1"/>
  <c r="L106" i="4"/>
  <c r="S106" i="4" s="1"/>
  <c r="M106" i="4"/>
  <c r="T106" i="4" s="1"/>
  <c r="W106" i="4"/>
  <c r="X106" i="4"/>
  <c r="Y106" i="4"/>
  <c r="Z106" i="4"/>
  <c r="AA106" i="4"/>
  <c r="G107" i="4"/>
  <c r="H107" i="4"/>
  <c r="I107" i="4"/>
  <c r="J107" i="4" s="1"/>
  <c r="Q107" i="4" s="1"/>
  <c r="K107" i="4"/>
  <c r="R107" i="4" s="1"/>
  <c r="L107" i="4"/>
  <c r="S107" i="4" s="1"/>
  <c r="M107" i="4"/>
  <c r="T107" i="4" s="1"/>
  <c r="W107" i="4"/>
  <c r="X107" i="4"/>
  <c r="Y107" i="4"/>
  <c r="Z107" i="4"/>
  <c r="AA107" i="4"/>
  <c r="G108" i="4"/>
  <c r="H108" i="4"/>
  <c r="I108" i="4"/>
  <c r="K108" i="4" s="1"/>
  <c r="R108" i="4" s="1"/>
  <c r="L108" i="4"/>
  <c r="S108" i="4" s="1"/>
  <c r="M108" i="4"/>
  <c r="T108" i="4" s="1"/>
  <c r="W108" i="4"/>
  <c r="X108" i="4"/>
  <c r="Y108" i="4"/>
  <c r="Z108" i="4"/>
  <c r="AA108" i="4"/>
  <c r="G109" i="4"/>
  <c r="H109" i="4"/>
  <c r="I109" i="4"/>
  <c r="J109" i="4" s="1"/>
  <c r="Q109" i="4" s="1"/>
  <c r="L109" i="4"/>
  <c r="S109" i="4" s="1"/>
  <c r="M109" i="4"/>
  <c r="T109" i="4" s="1"/>
  <c r="W109" i="4"/>
  <c r="X109" i="4"/>
  <c r="Y109" i="4"/>
  <c r="Z109" i="4"/>
  <c r="AA109" i="4"/>
  <c r="G110" i="4"/>
  <c r="H110" i="4"/>
  <c r="I110" i="4"/>
  <c r="L110" i="4"/>
  <c r="S110" i="4" s="1"/>
  <c r="M110" i="4"/>
  <c r="T110" i="4" s="1"/>
  <c r="W110" i="4"/>
  <c r="X110" i="4"/>
  <c r="Y110" i="4"/>
  <c r="Z110" i="4"/>
  <c r="AA110" i="4"/>
  <c r="G111" i="4"/>
  <c r="H111" i="4"/>
  <c r="I111" i="4"/>
  <c r="L111" i="4"/>
  <c r="S111" i="4" s="1"/>
  <c r="M111" i="4"/>
  <c r="T111" i="4" s="1"/>
  <c r="W111" i="4"/>
  <c r="X111" i="4"/>
  <c r="Y111" i="4"/>
  <c r="Z111" i="4"/>
  <c r="AA111" i="4"/>
  <c r="G112" i="4"/>
  <c r="H112" i="4"/>
  <c r="I112" i="4"/>
  <c r="L112" i="4"/>
  <c r="S112" i="4" s="1"/>
  <c r="M112" i="4"/>
  <c r="T112" i="4" s="1"/>
  <c r="W112" i="4"/>
  <c r="X112" i="4"/>
  <c r="Y112" i="4"/>
  <c r="Z112" i="4"/>
  <c r="AA112" i="4"/>
  <c r="G113" i="4"/>
  <c r="H113" i="4"/>
  <c r="I113" i="4"/>
  <c r="L113" i="4"/>
  <c r="S113" i="4" s="1"/>
  <c r="M113" i="4"/>
  <c r="T113" i="4" s="1"/>
  <c r="W113" i="4"/>
  <c r="X113" i="4"/>
  <c r="Y113" i="4"/>
  <c r="Z113" i="4"/>
  <c r="AA113" i="4"/>
  <c r="G114" i="4"/>
  <c r="H114" i="4"/>
  <c r="I114" i="4"/>
  <c r="J114" i="4" s="1"/>
  <c r="Q114" i="4" s="1"/>
  <c r="L114" i="4"/>
  <c r="S114" i="4" s="1"/>
  <c r="M114" i="4"/>
  <c r="T114" i="4" s="1"/>
  <c r="W114" i="4"/>
  <c r="X114" i="4"/>
  <c r="Y114" i="4"/>
  <c r="Z114" i="4"/>
  <c r="AA114" i="4"/>
  <c r="G115" i="4"/>
  <c r="H115" i="4"/>
  <c r="I115" i="4"/>
  <c r="L115" i="4"/>
  <c r="S115" i="4" s="1"/>
  <c r="M115" i="4"/>
  <c r="T115" i="4" s="1"/>
  <c r="W115" i="4"/>
  <c r="X115" i="4"/>
  <c r="Y115" i="4"/>
  <c r="Z115" i="4"/>
  <c r="AA115" i="4"/>
  <c r="G116" i="4"/>
  <c r="H116" i="4"/>
  <c r="I116" i="4"/>
  <c r="K116" i="4" s="1"/>
  <c r="R116" i="4" s="1"/>
  <c r="M116" i="4"/>
  <c r="T116" i="4" s="1"/>
  <c r="W116" i="4"/>
  <c r="X116" i="4"/>
  <c r="Y116" i="4"/>
  <c r="Z116" i="4"/>
  <c r="AA116" i="4"/>
  <c r="G117" i="4"/>
  <c r="H117" i="4"/>
  <c r="I117" i="4"/>
  <c r="J117" i="4" s="1"/>
  <c r="Q117" i="4" s="1"/>
  <c r="M117" i="4"/>
  <c r="T117" i="4" s="1"/>
  <c r="W117" i="4"/>
  <c r="X117" i="4"/>
  <c r="Y117" i="4"/>
  <c r="Z117" i="4"/>
  <c r="AA117" i="4"/>
  <c r="G118" i="4"/>
  <c r="H118" i="4"/>
  <c r="I118" i="4"/>
  <c r="M118" i="4"/>
  <c r="T118" i="4" s="1"/>
  <c r="W118" i="4"/>
  <c r="X118" i="4"/>
  <c r="Y118" i="4"/>
  <c r="Z118" i="4"/>
  <c r="AA118" i="4"/>
  <c r="G119" i="4"/>
  <c r="H119" i="4"/>
  <c r="I119" i="4"/>
  <c r="M119" i="4"/>
  <c r="T119" i="4" s="1"/>
  <c r="W119" i="4"/>
  <c r="X119" i="4"/>
  <c r="Y119" i="4"/>
  <c r="Z119" i="4"/>
  <c r="AA119" i="4"/>
  <c r="G120" i="4"/>
  <c r="H120" i="4"/>
  <c r="I120" i="4"/>
  <c r="M120" i="4"/>
  <c r="T120" i="4" s="1"/>
  <c r="W120" i="4"/>
  <c r="X120" i="4"/>
  <c r="Y120" i="4"/>
  <c r="Z120" i="4"/>
  <c r="AA120" i="4"/>
  <c r="G121" i="4"/>
  <c r="H121" i="4"/>
  <c r="I121" i="4"/>
  <c r="J121" i="4" s="1"/>
  <c r="Q121" i="4" s="1"/>
  <c r="M121" i="4"/>
  <c r="T121" i="4" s="1"/>
  <c r="W121" i="4"/>
  <c r="X121" i="4"/>
  <c r="Y121" i="4"/>
  <c r="Z121" i="4"/>
  <c r="AA121" i="4"/>
  <c r="G122" i="4"/>
  <c r="H122" i="4"/>
  <c r="I122" i="4"/>
  <c r="M122" i="4"/>
  <c r="T122" i="4" s="1"/>
  <c r="W122" i="4"/>
  <c r="X122" i="4"/>
  <c r="Y122" i="4"/>
  <c r="Z122" i="4"/>
  <c r="AA122" i="4"/>
  <c r="G123" i="4"/>
  <c r="H123" i="4"/>
  <c r="I123" i="4"/>
  <c r="M123" i="4"/>
  <c r="T123" i="4" s="1"/>
  <c r="W123" i="4"/>
  <c r="X123" i="4"/>
  <c r="Y123" i="4"/>
  <c r="Z123" i="4"/>
  <c r="AA123" i="4"/>
  <c r="G124" i="4"/>
  <c r="H124" i="4"/>
  <c r="I124" i="4"/>
  <c r="J124" i="4" s="1"/>
  <c r="Q124" i="4" s="1"/>
  <c r="K124" i="4"/>
  <c r="R124" i="4" s="1"/>
  <c r="L124" i="4"/>
  <c r="S124" i="4" s="1"/>
  <c r="M124" i="4"/>
  <c r="T124" i="4" s="1"/>
  <c r="W124" i="4"/>
  <c r="X124" i="4"/>
  <c r="Y124" i="4"/>
  <c r="Z124" i="4"/>
  <c r="AA124" i="4"/>
  <c r="G125" i="4"/>
  <c r="H125" i="4"/>
  <c r="I125" i="4"/>
  <c r="J125" i="4" s="1"/>
  <c r="Q125" i="4" s="1"/>
  <c r="K125" i="4"/>
  <c r="R125" i="4" s="1"/>
  <c r="L125" i="4"/>
  <c r="S125" i="4" s="1"/>
  <c r="M125" i="4"/>
  <c r="T125" i="4" s="1"/>
  <c r="W125" i="4"/>
  <c r="X125" i="4"/>
  <c r="Y125" i="4"/>
  <c r="Z125" i="4"/>
  <c r="AA125" i="4"/>
  <c r="G126" i="4"/>
  <c r="H126" i="4"/>
  <c r="I126" i="4"/>
  <c r="J126" i="4" s="1"/>
  <c r="Q126" i="4" s="1"/>
  <c r="K126" i="4"/>
  <c r="R126" i="4" s="1"/>
  <c r="L126" i="4"/>
  <c r="S126" i="4" s="1"/>
  <c r="M126" i="4"/>
  <c r="T126" i="4" s="1"/>
  <c r="W126" i="4"/>
  <c r="X126" i="4"/>
  <c r="Y126" i="4"/>
  <c r="Z126" i="4"/>
  <c r="AA126" i="4"/>
  <c r="G127" i="4"/>
  <c r="H127" i="4"/>
  <c r="I127" i="4"/>
  <c r="J127" i="4" s="1"/>
  <c r="Q127" i="4" s="1"/>
  <c r="K127" i="4"/>
  <c r="R127" i="4" s="1"/>
  <c r="L127" i="4"/>
  <c r="S127" i="4" s="1"/>
  <c r="M127" i="4"/>
  <c r="T127" i="4" s="1"/>
  <c r="W127" i="4"/>
  <c r="X127" i="4"/>
  <c r="Y127" i="4"/>
  <c r="Z127" i="4"/>
  <c r="AA127" i="4"/>
  <c r="G128" i="4"/>
  <c r="H128" i="4"/>
  <c r="I128" i="4"/>
  <c r="J128" i="4" s="1"/>
  <c r="Q128" i="4" s="1"/>
  <c r="K128" i="4"/>
  <c r="R128" i="4" s="1"/>
  <c r="L128" i="4"/>
  <c r="S128" i="4" s="1"/>
  <c r="M128" i="4"/>
  <c r="T128" i="4" s="1"/>
  <c r="W128" i="4"/>
  <c r="X128" i="4"/>
  <c r="Y128" i="4"/>
  <c r="Z128" i="4"/>
  <c r="AA128" i="4"/>
  <c r="G129" i="4"/>
  <c r="H129" i="4"/>
  <c r="I129" i="4"/>
  <c r="J129" i="4" s="1"/>
  <c r="Q129" i="4" s="1"/>
  <c r="K129" i="4"/>
  <c r="R129" i="4" s="1"/>
  <c r="L129" i="4"/>
  <c r="S129" i="4" s="1"/>
  <c r="M129" i="4"/>
  <c r="T129" i="4" s="1"/>
  <c r="W129" i="4"/>
  <c r="X129" i="4"/>
  <c r="Y129" i="4"/>
  <c r="Z129" i="4"/>
  <c r="AA129" i="4"/>
  <c r="G130" i="4"/>
  <c r="H130" i="4"/>
  <c r="I130" i="4"/>
  <c r="K130" i="4"/>
  <c r="R130" i="4" s="1"/>
  <c r="L130" i="4"/>
  <c r="S130" i="4" s="1"/>
  <c r="M130" i="4"/>
  <c r="T130" i="4" s="1"/>
  <c r="W130" i="4"/>
  <c r="X130" i="4"/>
  <c r="Y130" i="4"/>
  <c r="Z130" i="4"/>
  <c r="AA130" i="4"/>
  <c r="G131" i="4"/>
  <c r="H131" i="4"/>
  <c r="I131" i="4"/>
  <c r="J131" i="4" s="1"/>
  <c r="Q131" i="4" s="1"/>
  <c r="K131" i="4"/>
  <c r="R131" i="4" s="1"/>
  <c r="L131" i="4"/>
  <c r="S131" i="4" s="1"/>
  <c r="M131" i="4"/>
  <c r="T131" i="4" s="1"/>
  <c r="W131" i="4"/>
  <c r="X131" i="4"/>
  <c r="Y131" i="4"/>
  <c r="Z131" i="4"/>
  <c r="AA131" i="4"/>
  <c r="G132" i="4"/>
  <c r="H132" i="4"/>
  <c r="I132" i="4"/>
  <c r="J132" i="4" s="1"/>
  <c r="Q132" i="4" s="1"/>
  <c r="L132" i="4"/>
  <c r="S132" i="4" s="1"/>
  <c r="M132" i="4"/>
  <c r="T132" i="4" s="1"/>
  <c r="W132" i="4"/>
  <c r="X132" i="4"/>
  <c r="Y132" i="4"/>
  <c r="Z132" i="4"/>
  <c r="AA132" i="4"/>
  <c r="G133" i="4"/>
  <c r="H133" i="4"/>
  <c r="I133" i="4"/>
  <c r="K133" i="4" s="1"/>
  <c r="R133" i="4" s="1"/>
  <c r="J133" i="4"/>
  <c r="Q133" i="4" s="1"/>
  <c r="L133" i="4"/>
  <c r="S133" i="4" s="1"/>
  <c r="M133" i="4"/>
  <c r="T133" i="4" s="1"/>
  <c r="W133" i="4"/>
  <c r="X133" i="4"/>
  <c r="Y133" i="4"/>
  <c r="Z133" i="4"/>
  <c r="AA133" i="4"/>
  <c r="G134" i="4"/>
  <c r="H134" i="4"/>
  <c r="I134" i="4"/>
  <c r="J134" i="4" s="1"/>
  <c r="Q134" i="4" s="1"/>
  <c r="L134" i="4"/>
  <c r="S134" i="4" s="1"/>
  <c r="M134" i="4"/>
  <c r="T134" i="4" s="1"/>
  <c r="W134" i="4"/>
  <c r="X134" i="4"/>
  <c r="Y134" i="4"/>
  <c r="Z134" i="4"/>
  <c r="AA134" i="4"/>
  <c r="G135" i="4"/>
  <c r="H135" i="4"/>
  <c r="I135" i="4"/>
  <c r="L135" i="4"/>
  <c r="S135" i="4" s="1"/>
  <c r="M135" i="4"/>
  <c r="T135" i="4" s="1"/>
  <c r="W135" i="4"/>
  <c r="X135" i="4"/>
  <c r="Y135" i="4"/>
  <c r="Z135" i="4"/>
  <c r="AA135" i="4"/>
  <c r="G136" i="4"/>
  <c r="H136" i="4"/>
  <c r="I136" i="4"/>
  <c r="J136" i="4" s="1"/>
  <c r="Q136" i="4" s="1"/>
  <c r="L136" i="4"/>
  <c r="S136" i="4" s="1"/>
  <c r="M136" i="4"/>
  <c r="T136" i="4" s="1"/>
  <c r="W136" i="4"/>
  <c r="X136" i="4"/>
  <c r="Y136" i="4"/>
  <c r="Z136" i="4"/>
  <c r="AA136" i="4"/>
  <c r="G137" i="4"/>
  <c r="H137" i="4"/>
  <c r="I137" i="4"/>
  <c r="J137" i="4" s="1"/>
  <c r="Q137" i="4" s="1"/>
  <c r="L137" i="4"/>
  <c r="S137" i="4" s="1"/>
  <c r="M137" i="4"/>
  <c r="T137" i="4" s="1"/>
  <c r="W137" i="4"/>
  <c r="X137" i="4"/>
  <c r="Y137" i="4"/>
  <c r="Z137" i="4"/>
  <c r="AA137" i="4"/>
  <c r="G138" i="4"/>
  <c r="H138" i="4"/>
  <c r="I138" i="4"/>
  <c r="L138" i="4"/>
  <c r="S138" i="4" s="1"/>
  <c r="M138" i="4"/>
  <c r="T138" i="4" s="1"/>
  <c r="W138" i="4"/>
  <c r="X138" i="4"/>
  <c r="Y138" i="4"/>
  <c r="Z138" i="4"/>
  <c r="AA138" i="4"/>
  <c r="G139" i="4"/>
  <c r="H139" i="4"/>
  <c r="I139" i="4"/>
  <c r="J139" i="4" s="1"/>
  <c r="Q139" i="4" s="1"/>
  <c r="L139" i="4"/>
  <c r="S139" i="4" s="1"/>
  <c r="M139" i="4"/>
  <c r="T139" i="4" s="1"/>
  <c r="W139" i="4"/>
  <c r="X139" i="4"/>
  <c r="Y139" i="4"/>
  <c r="Z139" i="4"/>
  <c r="AA139" i="4"/>
  <c r="G140" i="4"/>
  <c r="H140" i="4"/>
  <c r="I140" i="4"/>
  <c r="J140" i="4" s="1"/>
  <c r="Q140" i="4" s="1"/>
  <c r="M140" i="4"/>
  <c r="T140" i="4" s="1"/>
  <c r="W140" i="4"/>
  <c r="X140" i="4"/>
  <c r="Y140" i="4"/>
  <c r="Z140" i="4"/>
  <c r="AA140" i="4"/>
  <c r="G141" i="4"/>
  <c r="H141" i="4"/>
  <c r="I141" i="4"/>
  <c r="J141" i="4" s="1"/>
  <c r="Q141" i="4" s="1"/>
  <c r="M141" i="4"/>
  <c r="T141" i="4" s="1"/>
  <c r="W141" i="4"/>
  <c r="X141" i="4"/>
  <c r="Y141" i="4"/>
  <c r="Z141" i="4"/>
  <c r="AA141" i="4"/>
  <c r="G142" i="4"/>
  <c r="H142" i="4"/>
  <c r="I142" i="4"/>
  <c r="J142" i="4" s="1"/>
  <c r="Q142" i="4" s="1"/>
  <c r="M142" i="4"/>
  <c r="T142" i="4" s="1"/>
  <c r="W142" i="4"/>
  <c r="X142" i="4"/>
  <c r="Y142" i="4"/>
  <c r="Z142" i="4"/>
  <c r="AA142" i="4"/>
  <c r="G143" i="4"/>
  <c r="H143" i="4"/>
  <c r="I143" i="4"/>
  <c r="K143" i="4" s="1"/>
  <c r="R143" i="4" s="1"/>
  <c r="M143" i="4"/>
  <c r="T143" i="4" s="1"/>
  <c r="W143" i="4"/>
  <c r="X143" i="4"/>
  <c r="Y143" i="4"/>
  <c r="Z143" i="4"/>
  <c r="AA143" i="4"/>
  <c r="G144" i="4"/>
  <c r="H144" i="4"/>
  <c r="I144" i="4"/>
  <c r="J144" i="4" s="1"/>
  <c r="Q144" i="4" s="1"/>
  <c r="M144" i="4"/>
  <c r="T144" i="4" s="1"/>
  <c r="W144" i="4"/>
  <c r="X144" i="4"/>
  <c r="Y144" i="4"/>
  <c r="Z144" i="4"/>
  <c r="AA144" i="4"/>
  <c r="G145" i="4"/>
  <c r="H145" i="4"/>
  <c r="I145" i="4"/>
  <c r="J145" i="4" s="1"/>
  <c r="Q145" i="4" s="1"/>
  <c r="M145" i="4"/>
  <c r="T145" i="4" s="1"/>
  <c r="W145" i="4"/>
  <c r="X145" i="4"/>
  <c r="Y145" i="4"/>
  <c r="Z145" i="4"/>
  <c r="AA145" i="4"/>
  <c r="G146" i="4"/>
  <c r="H146" i="4"/>
  <c r="I146" i="4"/>
  <c r="M146" i="4"/>
  <c r="T146" i="4" s="1"/>
  <c r="W146" i="4"/>
  <c r="X146" i="4"/>
  <c r="Y146" i="4"/>
  <c r="Z146" i="4"/>
  <c r="AA146" i="4"/>
  <c r="G147" i="4"/>
  <c r="H147" i="4"/>
  <c r="I147" i="4"/>
  <c r="M147" i="4"/>
  <c r="T147" i="4" s="1"/>
  <c r="W147" i="4"/>
  <c r="X147" i="4"/>
  <c r="Y147" i="4"/>
  <c r="Z147" i="4"/>
  <c r="AA147" i="4"/>
  <c r="G148" i="4"/>
  <c r="H148" i="4"/>
  <c r="I148" i="4"/>
  <c r="J148" i="4" s="1"/>
  <c r="Q148" i="4" s="1"/>
  <c r="K148" i="4"/>
  <c r="R148" i="4" s="1"/>
  <c r="L148" i="4"/>
  <c r="S148" i="4" s="1"/>
  <c r="M148" i="4"/>
  <c r="T148" i="4" s="1"/>
  <c r="W148" i="4"/>
  <c r="X148" i="4"/>
  <c r="Y148" i="4"/>
  <c r="Z148" i="4"/>
  <c r="AA148" i="4"/>
  <c r="G149" i="4"/>
  <c r="H149" i="4"/>
  <c r="I149" i="4"/>
  <c r="J149" i="4" s="1"/>
  <c r="Q149" i="4" s="1"/>
  <c r="K149" i="4"/>
  <c r="R149" i="4" s="1"/>
  <c r="L149" i="4"/>
  <c r="S149" i="4" s="1"/>
  <c r="M149" i="4"/>
  <c r="T149" i="4" s="1"/>
  <c r="W149" i="4"/>
  <c r="X149" i="4"/>
  <c r="Y149" i="4"/>
  <c r="Z149" i="4"/>
  <c r="AA149" i="4"/>
  <c r="G150" i="4"/>
  <c r="H150" i="4"/>
  <c r="I150" i="4"/>
  <c r="J150" i="4" s="1"/>
  <c r="Q150" i="4" s="1"/>
  <c r="K150" i="4"/>
  <c r="R150" i="4" s="1"/>
  <c r="L150" i="4"/>
  <c r="S150" i="4" s="1"/>
  <c r="M150" i="4"/>
  <c r="T150" i="4" s="1"/>
  <c r="W150" i="4"/>
  <c r="X150" i="4"/>
  <c r="Y150" i="4"/>
  <c r="Z150" i="4"/>
  <c r="AA150" i="4"/>
  <c r="G151" i="4"/>
  <c r="H151" i="4"/>
  <c r="I151" i="4"/>
  <c r="J151" i="4" s="1"/>
  <c r="Q151" i="4" s="1"/>
  <c r="K151" i="4"/>
  <c r="R151" i="4" s="1"/>
  <c r="L151" i="4"/>
  <c r="S151" i="4" s="1"/>
  <c r="M151" i="4"/>
  <c r="T151" i="4" s="1"/>
  <c r="W151" i="4"/>
  <c r="X151" i="4"/>
  <c r="Y151" i="4"/>
  <c r="Z151" i="4"/>
  <c r="AA151" i="4"/>
  <c r="G152" i="4"/>
  <c r="H152" i="4"/>
  <c r="I152" i="4"/>
  <c r="J152" i="4" s="1"/>
  <c r="Q152" i="4" s="1"/>
  <c r="K152" i="4"/>
  <c r="R152" i="4" s="1"/>
  <c r="L152" i="4"/>
  <c r="S152" i="4" s="1"/>
  <c r="M152" i="4"/>
  <c r="T152" i="4" s="1"/>
  <c r="W152" i="4"/>
  <c r="X152" i="4"/>
  <c r="Y152" i="4"/>
  <c r="Z152" i="4"/>
  <c r="AA152" i="4"/>
  <c r="G153" i="4"/>
  <c r="H153" i="4"/>
  <c r="I153" i="4"/>
  <c r="J153" i="4" s="1"/>
  <c r="Q153" i="4" s="1"/>
  <c r="K153" i="4"/>
  <c r="R153" i="4" s="1"/>
  <c r="L153" i="4"/>
  <c r="S153" i="4" s="1"/>
  <c r="M153" i="4"/>
  <c r="T153" i="4" s="1"/>
  <c r="W153" i="4"/>
  <c r="X153" i="4"/>
  <c r="Y153" i="4"/>
  <c r="Z153" i="4"/>
  <c r="AA153" i="4"/>
  <c r="G154" i="4"/>
  <c r="H154" i="4"/>
  <c r="I154" i="4"/>
  <c r="J154" i="4" s="1"/>
  <c r="Q154" i="4" s="1"/>
  <c r="K154" i="4"/>
  <c r="R154" i="4" s="1"/>
  <c r="L154" i="4"/>
  <c r="S154" i="4" s="1"/>
  <c r="M154" i="4"/>
  <c r="T154" i="4" s="1"/>
  <c r="W154" i="4"/>
  <c r="X154" i="4"/>
  <c r="Y154" i="4"/>
  <c r="Z154" i="4"/>
  <c r="AA154" i="4"/>
  <c r="G155" i="4"/>
  <c r="H155" i="4"/>
  <c r="I155" i="4"/>
  <c r="J155" i="4" s="1"/>
  <c r="Q155" i="4" s="1"/>
  <c r="K155" i="4"/>
  <c r="R155" i="4" s="1"/>
  <c r="L155" i="4"/>
  <c r="S155" i="4" s="1"/>
  <c r="M155" i="4"/>
  <c r="T155" i="4" s="1"/>
  <c r="W155" i="4"/>
  <c r="X155" i="4"/>
  <c r="Y155" i="4"/>
  <c r="Z155" i="4"/>
  <c r="AA155" i="4"/>
  <c r="G156" i="4"/>
  <c r="H156" i="4"/>
  <c r="I156" i="4"/>
  <c r="J156" i="4" s="1"/>
  <c r="Q156" i="4" s="1"/>
  <c r="L156" i="4"/>
  <c r="S156" i="4" s="1"/>
  <c r="M156" i="4"/>
  <c r="T156" i="4" s="1"/>
  <c r="W156" i="4"/>
  <c r="X156" i="4"/>
  <c r="Y156" i="4"/>
  <c r="Z156" i="4"/>
  <c r="AA156" i="4"/>
  <c r="G157" i="4"/>
  <c r="H157" i="4"/>
  <c r="I157" i="4"/>
  <c r="J157" i="4" s="1"/>
  <c r="Q157" i="4" s="1"/>
  <c r="L157" i="4"/>
  <c r="S157" i="4" s="1"/>
  <c r="M157" i="4"/>
  <c r="T157" i="4" s="1"/>
  <c r="W157" i="4"/>
  <c r="X157" i="4"/>
  <c r="Y157" i="4"/>
  <c r="Z157" i="4"/>
  <c r="AA157" i="4"/>
  <c r="G158" i="4"/>
  <c r="H158" i="4"/>
  <c r="I158" i="4"/>
  <c r="L158" i="4"/>
  <c r="S158" i="4" s="1"/>
  <c r="M158" i="4"/>
  <c r="T158" i="4" s="1"/>
  <c r="W158" i="4"/>
  <c r="X158" i="4"/>
  <c r="Y158" i="4"/>
  <c r="Z158" i="4"/>
  <c r="AA158" i="4"/>
  <c r="G159" i="4"/>
  <c r="H159" i="4"/>
  <c r="I159" i="4"/>
  <c r="J159" i="4" s="1"/>
  <c r="Q159" i="4" s="1"/>
  <c r="L159" i="4"/>
  <c r="S159" i="4" s="1"/>
  <c r="M159" i="4"/>
  <c r="T159" i="4" s="1"/>
  <c r="W159" i="4"/>
  <c r="X159" i="4"/>
  <c r="Y159" i="4"/>
  <c r="Z159" i="4"/>
  <c r="AA159" i="4"/>
  <c r="G160" i="4"/>
  <c r="H160" i="4"/>
  <c r="I160" i="4"/>
  <c r="K160" i="4" s="1"/>
  <c r="R160" i="4" s="1"/>
  <c r="L160" i="4"/>
  <c r="S160" i="4" s="1"/>
  <c r="M160" i="4"/>
  <c r="T160" i="4" s="1"/>
  <c r="W160" i="4"/>
  <c r="X160" i="4"/>
  <c r="Y160" i="4"/>
  <c r="Z160" i="4"/>
  <c r="AA160" i="4"/>
  <c r="G161" i="4"/>
  <c r="H161" i="4"/>
  <c r="I161" i="4"/>
  <c r="L161" i="4"/>
  <c r="S161" i="4" s="1"/>
  <c r="M161" i="4"/>
  <c r="T161" i="4" s="1"/>
  <c r="W161" i="4"/>
  <c r="X161" i="4"/>
  <c r="Y161" i="4"/>
  <c r="Z161" i="4"/>
  <c r="AA161" i="4"/>
  <c r="G162" i="4"/>
  <c r="H162" i="4"/>
  <c r="I162" i="4"/>
  <c r="L162" i="4"/>
  <c r="S162" i="4" s="1"/>
  <c r="M162" i="4"/>
  <c r="T162" i="4" s="1"/>
  <c r="W162" i="4"/>
  <c r="X162" i="4"/>
  <c r="Y162" i="4"/>
  <c r="Z162" i="4"/>
  <c r="AA162" i="4"/>
  <c r="G163" i="4"/>
  <c r="H163" i="4"/>
  <c r="I163" i="4"/>
  <c r="K163" i="4" s="1"/>
  <c r="R163" i="4" s="1"/>
  <c r="L163" i="4"/>
  <c r="S163" i="4" s="1"/>
  <c r="M163" i="4"/>
  <c r="T163" i="4" s="1"/>
  <c r="W163" i="4"/>
  <c r="X163" i="4"/>
  <c r="Y163" i="4"/>
  <c r="Z163" i="4"/>
  <c r="AA163" i="4"/>
  <c r="G164" i="4"/>
  <c r="H164" i="4"/>
  <c r="I164" i="4"/>
  <c r="K164" i="4" s="1"/>
  <c r="R164" i="4" s="1"/>
  <c r="M164" i="4"/>
  <c r="T164" i="4" s="1"/>
  <c r="W164" i="4"/>
  <c r="X164" i="4"/>
  <c r="Y164" i="4"/>
  <c r="Z164" i="4"/>
  <c r="AA164" i="4"/>
  <c r="G165" i="4"/>
  <c r="H165" i="4"/>
  <c r="I165" i="4"/>
  <c r="K165" i="4" s="1"/>
  <c r="R165" i="4" s="1"/>
  <c r="M165" i="4"/>
  <c r="T165" i="4" s="1"/>
  <c r="W165" i="4"/>
  <c r="X165" i="4"/>
  <c r="Y165" i="4"/>
  <c r="Z165" i="4"/>
  <c r="AA165" i="4"/>
  <c r="G166" i="4"/>
  <c r="H166" i="4"/>
  <c r="I166" i="4"/>
  <c r="M166" i="4"/>
  <c r="T166" i="4" s="1"/>
  <c r="W166" i="4"/>
  <c r="X166" i="4"/>
  <c r="Y166" i="4"/>
  <c r="Z166" i="4"/>
  <c r="AA166" i="4"/>
  <c r="G167" i="4"/>
  <c r="H167" i="4"/>
  <c r="I167" i="4"/>
  <c r="K167" i="4" s="1"/>
  <c r="R167" i="4" s="1"/>
  <c r="M167" i="4"/>
  <c r="T167" i="4" s="1"/>
  <c r="W167" i="4"/>
  <c r="X167" i="4"/>
  <c r="Y167" i="4"/>
  <c r="Z167" i="4"/>
  <c r="AA167" i="4"/>
  <c r="G168" i="4"/>
  <c r="H168" i="4"/>
  <c r="I168" i="4"/>
  <c r="L168" i="4" s="1"/>
  <c r="S168" i="4" s="1"/>
  <c r="K168" i="4"/>
  <c r="R168" i="4" s="1"/>
  <c r="M168" i="4"/>
  <c r="T168" i="4" s="1"/>
  <c r="W168" i="4"/>
  <c r="X168" i="4"/>
  <c r="Y168" i="4"/>
  <c r="Z168" i="4"/>
  <c r="AA168" i="4"/>
  <c r="G169" i="4"/>
  <c r="H169" i="4"/>
  <c r="I169" i="4"/>
  <c r="J169" i="4" s="1"/>
  <c r="Q169" i="4" s="1"/>
  <c r="L169" i="4"/>
  <c r="S169" i="4" s="1"/>
  <c r="M169" i="4"/>
  <c r="T169" i="4" s="1"/>
  <c r="W169" i="4"/>
  <c r="X169" i="4"/>
  <c r="Y169" i="4"/>
  <c r="Z169" i="4"/>
  <c r="AA169" i="4"/>
  <c r="G170" i="4"/>
  <c r="H170" i="4"/>
  <c r="I170" i="4"/>
  <c r="M170" i="4"/>
  <c r="T170" i="4" s="1"/>
  <c r="W170" i="4"/>
  <c r="X170" i="4"/>
  <c r="Y170" i="4"/>
  <c r="Z170" i="4"/>
  <c r="AA170" i="4"/>
  <c r="G171" i="4"/>
  <c r="H171" i="4"/>
  <c r="I171" i="4"/>
  <c r="K171" i="4" s="1"/>
  <c r="R171" i="4" s="1"/>
  <c r="M171" i="4"/>
  <c r="T171" i="4" s="1"/>
  <c r="W171" i="4"/>
  <c r="X171" i="4"/>
  <c r="Y171" i="4"/>
  <c r="Z171" i="4"/>
  <c r="AA171" i="4"/>
  <c r="G172" i="4"/>
  <c r="H172" i="4"/>
  <c r="I172" i="4"/>
  <c r="J172" i="4" s="1"/>
  <c r="Q172" i="4" s="1"/>
  <c r="K172" i="4"/>
  <c r="R172" i="4" s="1"/>
  <c r="L172" i="4"/>
  <c r="S172" i="4" s="1"/>
  <c r="M172" i="4"/>
  <c r="T172" i="4" s="1"/>
  <c r="W172" i="4"/>
  <c r="X172" i="4"/>
  <c r="Y172" i="4"/>
  <c r="Z172" i="4"/>
  <c r="AA172" i="4"/>
  <c r="G173" i="4"/>
  <c r="H173" i="4"/>
  <c r="I173" i="4"/>
  <c r="J173" i="4" s="1"/>
  <c r="Q173" i="4" s="1"/>
  <c r="K173" i="4"/>
  <c r="R173" i="4" s="1"/>
  <c r="L173" i="4"/>
  <c r="S173" i="4" s="1"/>
  <c r="M173" i="4"/>
  <c r="T173" i="4" s="1"/>
  <c r="W173" i="4"/>
  <c r="X173" i="4"/>
  <c r="Y173" i="4"/>
  <c r="Z173" i="4"/>
  <c r="AA173" i="4"/>
  <c r="G174" i="4"/>
  <c r="H174" i="4"/>
  <c r="I174" i="4"/>
  <c r="J174" i="4" s="1"/>
  <c r="Q174" i="4" s="1"/>
  <c r="K174" i="4"/>
  <c r="R174" i="4" s="1"/>
  <c r="L174" i="4"/>
  <c r="S174" i="4" s="1"/>
  <c r="M174" i="4"/>
  <c r="T174" i="4" s="1"/>
  <c r="W174" i="4"/>
  <c r="X174" i="4"/>
  <c r="Y174" i="4"/>
  <c r="Z174" i="4"/>
  <c r="AA174" i="4"/>
  <c r="G175" i="4"/>
  <c r="H175" i="4"/>
  <c r="I175" i="4"/>
  <c r="J175" i="4" s="1"/>
  <c r="Q175" i="4" s="1"/>
  <c r="K175" i="4"/>
  <c r="R175" i="4" s="1"/>
  <c r="L175" i="4"/>
  <c r="S175" i="4" s="1"/>
  <c r="M175" i="4"/>
  <c r="T175" i="4" s="1"/>
  <c r="W175" i="4"/>
  <c r="X175" i="4"/>
  <c r="Y175" i="4"/>
  <c r="Z175" i="4"/>
  <c r="AA175" i="4"/>
  <c r="G176" i="4"/>
  <c r="H176" i="4"/>
  <c r="I176" i="4"/>
  <c r="J176" i="4" s="1"/>
  <c r="Q176" i="4" s="1"/>
  <c r="K176" i="4"/>
  <c r="R176" i="4" s="1"/>
  <c r="L176" i="4"/>
  <c r="S176" i="4" s="1"/>
  <c r="M176" i="4"/>
  <c r="T176" i="4" s="1"/>
  <c r="W176" i="4"/>
  <c r="X176" i="4"/>
  <c r="Y176" i="4"/>
  <c r="Z176" i="4"/>
  <c r="AA176" i="4"/>
  <c r="G177" i="4"/>
  <c r="H177" i="4"/>
  <c r="I177" i="4"/>
  <c r="J177" i="4" s="1"/>
  <c r="Q177" i="4" s="1"/>
  <c r="K177" i="4"/>
  <c r="R177" i="4" s="1"/>
  <c r="L177" i="4"/>
  <c r="S177" i="4" s="1"/>
  <c r="M177" i="4"/>
  <c r="T177" i="4" s="1"/>
  <c r="W177" i="4"/>
  <c r="X177" i="4"/>
  <c r="Y177" i="4"/>
  <c r="Z177" i="4"/>
  <c r="AA177" i="4"/>
  <c r="G178" i="4"/>
  <c r="H178" i="4"/>
  <c r="I178" i="4"/>
  <c r="J178" i="4" s="1"/>
  <c r="Q178" i="4" s="1"/>
  <c r="K178" i="4"/>
  <c r="R178" i="4" s="1"/>
  <c r="L178" i="4"/>
  <c r="S178" i="4" s="1"/>
  <c r="M178" i="4"/>
  <c r="T178" i="4" s="1"/>
  <c r="W178" i="4"/>
  <c r="X178" i="4"/>
  <c r="Y178" i="4"/>
  <c r="Z178" i="4"/>
  <c r="AA178" i="4"/>
  <c r="G179" i="4"/>
  <c r="H179" i="4"/>
  <c r="I179" i="4"/>
  <c r="J179" i="4" s="1"/>
  <c r="Q179" i="4" s="1"/>
  <c r="K179" i="4"/>
  <c r="R179" i="4" s="1"/>
  <c r="L179" i="4"/>
  <c r="S179" i="4" s="1"/>
  <c r="M179" i="4"/>
  <c r="T179" i="4" s="1"/>
  <c r="W179" i="4"/>
  <c r="X179" i="4"/>
  <c r="Y179" i="4"/>
  <c r="Z179" i="4"/>
  <c r="AA179" i="4"/>
  <c r="G180" i="4"/>
  <c r="H180" i="4"/>
  <c r="I180" i="4"/>
  <c r="K180" i="4" s="1"/>
  <c r="R180" i="4" s="1"/>
  <c r="L180" i="4"/>
  <c r="S180" i="4" s="1"/>
  <c r="M180" i="4"/>
  <c r="T180" i="4" s="1"/>
  <c r="W180" i="4"/>
  <c r="AB180" i="4" s="1"/>
  <c r="P180" i="4" s="1"/>
  <c r="X180" i="4"/>
  <c r="Y180" i="4"/>
  <c r="Z180" i="4"/>
  <c r="AA180" i="4"/>
  <c r="G181" i="4"/>
  <c r="H181" i="4"/>
  <c r="I181" i="4"/>
  <c r="J181" i="4" s="1"/>
  <c r="Q181" i="4" s="1"/>
  <c r="L181" i="4"/>
  <c r="S181" i="4" s="1"/>
  <c r="M181" i="4"/>
  <c r="T181" i="4" s="1"/>
  <c r="W181" i="4"/>
  <c r="X181" i="4"/>
  <c r="Y181" i="4"/>
  <c r="Z181" i="4"/>
  <c r="AA181" i="4"/>
  <c r="G182" i="4"/>
  <c r="H182" i="4"/>
  <c r="I182" i="4"/>
  <c r="L182" i="4"/>
  <c r="S182" i="4" s="1"/>
  <c r="M182" i="4"/>
  <c r="T182" i="4" s="1"/>
  <c r="W182" i="4"/>
  <c r="X182" i="4"/>
  <c r="Y182" i="4"/>
  <c r="Z182" i="4"/>
  <c r="AA182" i="4"/>
  <c r="G183" i="4"/>
  <c r="H183" i="4"/>
  <c r="I183" i="4"/>
  <c r="K183" i="4" s="1"/>
  <c r="R183" i="4" s="1"/>
  <c r="L183" i="4"/>
  <c r="S183" i="4" s="1"/>
  <c r="M183" i="4"/>
  <c r="T183" i="4" s="1"/>
  <c r="W183" i="4"/>
  <c r="X183" i="4"/>
  <c r="Y183" i="4"/>
  <c r="Z183" i="4"/>
  <c r="AA183" i="4"/>
  <c r="G184" i="4"/>
  <c r="H184" i="4"/>
  <c r="I184" i="4"/>
  <c r="J184" i="4" s="1"/>
  <c r="Q184" i="4" s="1"/>
  <c r="L184" i="4"/>
  <c r="S184" i="4" s="1"/>
  <c r="M184" i="4"/>
  <c r="T184" i="4" s="1"/>
  <c r="W184" i="4"/>
  <c r="X184" i="4"/>
  <c r="Y184" i="4"/>
  <c r="Z184" i="4"/>
  <c r="AA184" i="4"/>
  <c r="G185" i="4"/>
  <c r="H185" i="4"/>
  <c r="I185" i="4"/>
  <c r="J185" i="4" s="1"/>
  <c r="Q185" i="4" s="1"/>
  <c r="L185" i="4"/>
  <c r="S185" i="4" s="1"/>
  <c r="M185" i="4"/>
  <c r="T185" i="4" s="1"/>
  <c r="W185" i="4"/>
  <c r="X185" i="4"/>
  <c r="Y185" i="4"/>
  <c r="Z185" i="4"/>
  <c r="AA185" i="4"/>
  <c r="G186" i="4"/>
  <c r="H186" i="4"/>
  <c r="I186" i="4"/>
  <c r="L186" i="4"/>
  <c r="S186" i="4" s="1"/>
  <c r="M186" i="4"/>
  <c r="T186" i="4" s="1"/>
  <c r="W186" i="4"/>
  <c r="X186" i="4"/>
  <c r="Y186" i="4"/>
  <c r="Z186" i="4"/>
  <c r="AA186" i="4"/>
  <c r="G187" i="4"/>
  <c r="H187" i="4"/>
  <c r="I187" i="4"/>
  <c r="K187" i="4" s="1"/>
  <c r="R187" i="4" s="1"/>
  <c r="J187" i="4"/>
  <c r="Q187" i="4" s="1"/>
  <c r="L187" i="4"/>
  <c r="S187" i="4" s="1"/>
  <c r="M187" i="4"/>
  <c r="T187" i="4" s="1"/>
  <c r="W187" i="4"/>
  <c r="X187" i="4"/>
  <c r="Y187" i="4"/>
  <c r="Z187" i="4"/>
  <c r="AA187" i="4"/>
  <c r="G188" i="4"/>
  <c r="H188" i="4"/>
  <c r="I188" i="4"/>
  <c r="J188" i="4" s="1"/>
  <c r="Q188" i="4" s="1"/>
  <c r="L188" i="4"/>
  <c r="S188" i="4" s="1"/>
  <c r="M188" i="4"/>
  <c r="T188" i="4" s="1"/>
  <c r="W188" i="4"/>
  <c r="X188" i="4"/>
  <c r="Y188" i="4"/>
  <c r="Z188" i="4"/>
  <c r="AA188" i="4"/>
  <c r="G189" i="4"/>
  <c r="H189" i="4"/>
  <c r="I189" i="4"/>
  <c r="J189" i="4" s="1"/>
  <c r="Q189" i="4" s="1"/>
  <c r="M189" i="4"/>
  <c r="T189" i="4" s="1"/>
  <c r="W189" i="4"/>
  <c r="X189" i="4"/>
  <c r="Y189" i="4"/>
  <c r="Z189" i="4"/>
  <c r="AA189" i="4"/>
  <c r="G190" i="4"/>
  <c r="H190" i="4"/>
  <c r="I190" i="4"/>
  <c r="M190" i="4"/>
  <c r="T190" i="4" s="1"/>
  <c r="W190" i="4"/>
  <c r="X190" i="4"/>
  <c r="Y190" i="4"/>
  <c r="Z190" i="4"/>
  <c r="AA190" i="4"/>
  <c r="G191" i="4"/>
  <c r="H191" i="4"/>
  <c r="I191" i="4"/>
  <c r="L191" i="4" s="1"/>
  <c r="S191" i="4" s="1"/>
  <c r="M191" i="4"/>
  <c r="T191" i="4" s="1"/>
  <c r="W191" i="4"/>
  <c r="X191" i="4"/>
  <c r="Y191" i="4"/>
  <c r="Z191" i="4"/>
  <c r="AA191" i="4"/>
  <c r="G192" i="4"/>
  <c r="H192" i="4"/>
  <c r="I192" i="4"/>
  <c r="J192" i="4" s="1"/>
  <c r="Q192" i="4" s="1"/>
  <c r="M192" i="4"/>
  <c r="T192" i="4" s="1"/>
  <c r="W192" i="4"/>
  <c r="X192" i="4"/>
  <c r="Y192" i="4"/>
  <c r="Z192" i="4"/>
  <c r="AA192" i="4"/>
  <c r="G193" i="4"/>
  <c r="H193" i="4"/>
  <c r="I193" i="4"/>
  <c r="L193" i="4" s="1"/>
  <c r="S193" i="4" s="1"/>
  <c r="M193" i="4"/>
  <c r="T193" i="4" s="1"/>
  <c r="W193" i="4"/>
  <c r="X193" i="4"/>
  <c r="Y193" i="4"/>
  <c r="Z193" i="4"/>
  <c r="AA193" i="4"/>
  <c r="G194" i="4"/>
  <c r="H194" i="4"/>
  <c r="I194" i="4"/>
  <c r="J194" i="4" s="1"/>
  <c r="Q194" i="4" s="1"/>
  <c r="M194" i="4"/>
  <c r="T194" i="4" s="1"/>
  <c r="W194" i="4"/>
  <c r="X194" i="4"/>
  <c r="Y194" i="4"/>
  <c r="Z194" i="4"/>
  <c r="AA194" i="4"/>
  <c r="G195" i="4"/>
  <c r="H195" i="4"/>
  <c r="I195" i="4"/>
  <c r="L195" i="4" s="1"/>
  <c r="S195" i="4" s="1"/>
  <c r="M195" i="4"/>
  <c r="T195" i="4" s="1"/>
  <c r="W195" i="4"/>
  <c r="X195" i="4"/>
  <c r="Y195" i="4"/>
  <c r="Z195" i="4"/>
  <c r="AA195" i="4"/>
  <c r="G212" i="4"/>
  <c r="H212" i="4"/>
  <c r="I212" i="4"/>
  <c r="J212" i="4" s="1"/>
  <c r="Q212" i="4" s="1"/>
  <c r="W212" i="4"/>
  <c r="X212" i="4"/>
  <c r="Y212" i="4"/>
  <c r="Z212" i="4"/>
  <c r="AA212" i="4"/>
  <c r="G213" i="4"/>
  <c r="H213" i="4"/>
  <c r="I213" i="4"/>
  <c r="J213" i="4" s="1"/>
  <c r="Q213" i="4" s="1"/>
  <c r="W213" i="4"/>
  <c r="X213" i="4"/>
  <c r="Y213" i="4"/>
  <c r="Z213" i="4"/>
  <c r="AA213" i="4"/>
  <c r="G214" i="4"/>
  <c r="H214" i="4"/>
  <c r="I214" i="4"/>
  <c r="K214" i="4" s="1"/>
  <c r="R214" i="4" s="1"/>
  <c r="W214" i="4"/>
  <c r="X214" i="4"/>
  <c r="Y214" i="4"/>
  <c r="Z214" i="4"/>
  <c r="AA214" i="4"/>
  <c r="G215" i="4"/>
  <c r="H215" i="4"/>
  <c r="I215" i="4"/>
  <c r="L215" i="4" s="1"/>
  <c r="S215" i="4" s="1"/>
  <c r="W215" i="4"/>
  <c r="X215" i="4"/>
  <c r="Y215" i="4"/>
  <c r="Z215" i="4"/>
  <c r="AA215" i="4"/>
  <c r="G216" i="4"/>
  <c r="H216" i="4"/>
  <c r="I216" i="4"/>
  <c r="J216" i="4" s="1"/>
  <c r="Q216" i="4" s="1"/>
  <c r="W216" i="4"/>
  <c r="X216" i="4"/>
  <c r="Y216" i="4"/>
  <c r="Z216" i="4"/>
  <c r="AA216" i="4"/>
  <c r="G217" i="4"/>
  <c r="H217" i="4"/>
  <c r="I217" i="4"/>
  <c r="J217" i="4" s="1"/>
  <c r="Q217" i="4" s="1"/>
  <c r="W217" i="4"/>
  <c r="X217" i="4"/>
  <c r="Y217" i="4"/>
  <c r="Z217" i="4"/>
  <c r="AA217" i="4"/>
  <c r="G218" i="4"/>
  <c r="H218" i="4"/>
  <c r="I218" i="4"/>
  <c r="K218" i="4" s="1"/>
  <c r="R218" i="4" s="1"/>
  <c r="W218" i="4"/>
  <c r="X218" i="4"/>
  <c r="Y218" i="4"/>
  <c r="Z218" i="4"/>
  <c r="AA218" i="4"/>
  <c r="G219" i="4"/>
  <c r="H219" i="4"/>
  <c r="I219" i="4"/>
  <c r="L219" i="4" s="1"/>
  <c r="S219" i="4" s="1"/>
  <c r="W219" i="4"/>
  <c r="X219" i="4"/>
  <c r="Y219" i="4"/>
  <c r="Z219" i="4"/>
  <c r="AA219" i="4"/>
  <c r="K93" i="4" l="1"/>
  <c r="R93" i="4" s="1"/>
  <c r="J196" i="4"/>
  <c r="Q196" i="4" s="1"/>
  <c r="AB129" i="4"/>
  <c r="P129" i="4" s="1"/>
  <c r="AB29" i="4"/>
  <c r="P29" i="4" s="1"/>
  <c r="L196" i="4"/>
  <c r="S196" i="4" s="1"/>
  <c r="M212" i="4"/>
  <c r="T212" i="4" s="1"/>
  <c r="L189" i="4"/>
  <c r="S189" i="4" s="1"/>
  <c r="AB164" i="4"/>
  <c r="P164" i="4" s="1"/>
  <c r="K159" i="4"/>
  <c r="R159" i="4" s="1"/>
  <c r="K134" i="4"/>
  <c r="R134" i="4" s="1"/>
  <c r="AB93" i="4"/>
  <c r="P93" i="4" s="1"/>
  <c r="K88" i="4"/>
  <c r="R88" i="4" s="1"/>
  <c r="AB30" i="4"/>
  <c r="P30" i="4" s="1"/>
  <c r="J13" i="4"/>
  <c r="Q13" i="4" s="1"/>
  <c r="AB192" i="4"/>
  <c r="P192" i="4" s="1"/>
  <c r="L192" i="4"/>
  <c r="S192" i="4" s="1"/>
  <c r="K188" i="4"/>
  <c r="R188" i="4" s="1"/>
  <c r="J168" i="4"/>
  <c r="Q168" i="4" s="1"/>
  <c r="AB152" i="4"/>
  <c r="P152" i="4" s="1"/>
  <c r="AB130" i="4"/>
  <c r="P130" i="4" s="1"/>
  <c r="L117" i="4"/>
  <c r="S117" i="4" s="1"/>
  <c r="AB63" i="4"/>
  <c r="P63" i="4" s="1"/>
  <c r="AB58" i="4"/>
  <c r="P58" i="4" s="1"/>
  <c r="L209" i="4"/>
  <c r="S209" i="4" s="1"/>
  <c r="J199" i="4"/>
  <c r="Q199" i="4" s="1"/>
  <c r="AB156" i="4"/>
  <c r="P156" i="4" s="1"/>
  <c r="AB140" i="4"/>
  <c r="P140" i="4" s="1"/>
  <c r="K117" i="4"/>
  <c r="R117" i="4" s="1"/>
  <c r="AB105" i="4"/>
  <c r="P105" i="4" s="1"/>
  <c r="AB59" i="4"/>
  <c r="P59" i="4" s="1"/>
  <c r="AB18" i="4"/>
  <c r="P18" i="4" s="1"/>
  <c r="AB5" i="4"/>
  <c r="P5" i="4" s="1"/>
  <c r="K199" i="4"/>
  <c r="R199" i="4" s="1"/>
  <c r="AB189" i="4"/>
  <c r="P189" i="4" s="1"/>
  <c r="AB219" i="4"/>
  <c r="P219" i="4" s="1"/>
  <c r="K191" i="4"/>
  <c r="R191" i="4" s="1"/>
  <c r="AB184" i="4"/>
  <c r="P184" i="4" s="1"/>
  <c r="AB148" i="4"/>
  <c r="P148" i="4" s="1"/>
  <c r="AB106" i="4"/>
  <c r="P106" i="4" s="1"/>
  <c r="AB85" i="4"/>
  <c r="P85" i="4" s="1"/>
  <c r="AB66" i="4"/>
  <c r="P66" i="4" s="1"/>
  <c r="AB41" i="4"/>
  <c r="P41" i="4" s="1"/>
  <c r="AB9" i="4"/>
  <c r="P9" i="4" s="1"/>
  <c r="K207" i="4"/>
  <c r="R207" i="4" s="1"/>
  <c r="K196" i="4"/>
  <c r="R196" i="4" s="1"/>
  <c r="AC199" i="4"/>
  <c r="M214" i="4"/>
  <c r="T214" i="4" s="1"/>
  <c r="J195" i="4"/>
  <c r="Q195" i="4" s="1"/>
  <c r="AB188" i="4"/>
  <c r="P188" i="4" s="1"/>
  <c r="J180" i="4"/>
  <c r="Q180" i="4" s="1"/>
  <c r="AC177" i="4"/>
  <c r="AB172" i="4"/>
  <c r="P172" i="4" s="1"/>
  <c r="AB171" i="4"/>
  <c r="P171" i="4" s="1"/>
  <c r="AB168" i="4"/>
  <c r="P168" i="4" s="1"/>
  <c r="J164" i="4"/>
  <c r="Q164" i="4" s="1"/>
  <c r="L145" i="4"/>
  <c r="S145" i="4" s="1"/>
  <c r="AB141" i="4"/>
  <c r="P141" i="4" s="1"/>
  <c r="L141" i="4"/>
  <c r="S141" i="4" s="1"/>
  <c r="AB118" i="4"/>
  <c r="P118" i="4" s="1"/>
  <c r="AB82" i="4"/>
  <c r="P82" i="4" s="1"/>
  <c r="AB70" i="4"/>
  <c r="P70" i="4" s="1"/>
  <c r="AB68" i="4"/>
  <c r="P68" i="4" s="1"/>
  <c r="J45" i="4"/>
  <c r="Q45" i="4" s="1"/>
  <c r="AB24" i="4"/>
  <c r="P24" i="4" s="1"/>
  <c r="AB22" i="4"/>
  <c r="P22" i="4" s="1"/>
  <c r="AB17" i="4"/>
  <c r="P17" i="4" s="1"/>
  <c r="AC204" i="4"/>
  <c r="J205" i="4"/>
  <c r="Q205" i="4" s="1"/>
  <c r="AB209" i="4"/>
  <c r="P209" i="4" s="1"/>
  <c r="J211" i="4"/>
  <c r="Q211" i="4" s="1"/>
  <c r="M216" i="4"/>
  <c r="T216" i="4" s="1"/>
  <c r="AB213" i="4"/>
  <c r="P213" i="4" s="1"/>
  <c r="AB212" i="4"/>
  <c r="P212" i="4" s="1"/>
  <c r="K192" i="4"/>
  <c r="R192" i="4" s="1"/>
  <c r="J191" i="4"/>
  <c r="Q191" i="4" s="1"/>
  <c r="K189" i="4"/>
  <c r="R189" i="4" s="1"/>
  <c r="K185" i="4"/>
  <c r="R185" i="4" s="1"/>
  <c r="AB176" i="4"/>
  <c r="P176" i="4" s="1"/>
  <c r="AB175" i="4"/>
  <c r="P175" i="4" s="1"/>
  <c r="AC173" i="4"/>
  <c r="J171" i="4"/>
  <c r="Q171" i="4" s="1"/>
  <c r="K169" i="4"/>
  <c r="R169" i="4" s="1"/>
  <c r="L164" i="4"/>
  <c r="S164" i="4" s="1"/>
  <c r="J160" i="4"/>
  <c r="Q160" i="4" s="1"/>
  <c r="AB159" i="4"/>
  <c r="P159" i="4" s="1"/>
  <c r="K156" i="4"/>
  <c r="R156" i="4" s="1"/>
  <c r="AB153" i="4"/>
  <c r="P153" i="4" s="1"/>
  <c r="AB144" i="4"/>
  <c r="P144" i="4" s="1"/>
  <c r="L144" i="4"/>
  <c r="S144" i="4" s="1"/>
  <c r="K137" i="4"/>
  <c r="R137" i="4" s="1"/>
  <c r="AC122" i="4"/>
  <c r="AB120" i="4"/>
  <c r="P120" i="4" s="1"/>
  <c r="K109" i="4"/>
  <c r="R109" i="4" s="1"/>
  <c r="AB102" i="4"/>
  <c r="P102" i="4" s="1"/>
  <c r="AB96" i="4"/>
  <c r="P96" i="4" s="1"/>
  <c r="AB77" i="4"/>
  <c r="P77" i="4" s="1"/>
  <c r="AB76" i="4"/>
  <c r="P76" i="4" s="1"/>
  <c r="AB62" i="4"/>
  <c r="P62" i="4" s="1"/>
  <c r="AB61" i="4"/>
  <c r="P61" i="4" s="1"/>
  <c r="AB57" i="4"/>
  <c r="P57" i="4" s="1"/>
  <c r="AB55" i="4"/>
  <c r="P55" i="4" s="1"/>
  <c r="AC196" i="4"/>
  <c r="L201" i="4"/>
  <c r="S201" i="4" s="1"/>
  <c r="M215" i="4"/>
  <c r="T215" i="4" s="1"/>
  <c r="AB214" i="4"/>
  <c r="P214" i="4" s="1"/>
  <c r="K195" i="4"/>
  <c r="R195" i="4" s="1"/>
  <c r="K181" i="4"/>
  <c r="R181" i="4" s="1"/>
  <c r="J167" i="4"/>
  <c r="Q167" i="4" s="1"/>
  <c r="J163" i="4"/>
  <c r="Q163" i="4" s="1"/>
  <c r="AB160" i="4"/>
  <c r="P160" i="4" s="1"/>
  <c r="K157" i="4"/>
  <c r="R157" i="4" s="1"/>
  <c r="K144" i="4"/>
  <c r="R144" i="4" s="1"/>
  <c r="K140" i="4"/>
  <c r="R140" i="4" s="1"/>
  <c r="AB125" i="4"/>
  <c r="P125" i="4" s="1"/>
  <c r="AB124" i="4"/>
  <c r="P124" i="4" s="1"/>
  <c r="AB117" i="4"/>
  <c r="P117" i="4" s="1"/>
  <c r="AB113" i="4"/>
  <c r="P113" i="4" s="1"/>
  <c r="AB81" i="4"/>
  <c r="P81" i="4" s="1"/>
  <c r="AB73" i="4"/>
  <c r="P73" i="4" s="1"/>
  <c r="AB67" i="4"/>
  <c r="P67" i="4" s="1"/>
  <c r="AB65" i="4"/>
  <c r="P65" i="4" s="1"/>
  <c r="AB46" i="4"/>
  <c r="P46" i="4" s="1"/>
  <c r="K45" i="4"/>
  <c r="R45" i="4" s="1"/>
  <c r="AB43" i="4"/>
  <c r="P43" i="4" s="1"/>
  <c r="AB21" i="4"/>
  <c r="P21" i="4" s="1"/>
  <c r="AB13" i="4"/>
  <c r="P13" i="4" s="1"/>
  <c r="AB12" i="4"/>
  <c r="P12" i="4" s="1"/>
  <c r="AB11" i="4"/>
  <c r="P11" i="4" s="1"/>
  <c r="AB8" i="4"/>
  <c r="P8" i="4" s="1"/>
  <c r="F103" i="5"/>
  <c r="J103" i="5" s="1"/>
  <c r="H71" i="5"/>
  <c r="K71" i="5" s="1"/>
  <c r="F36" i="5"/>
  <c r="J36" i="5" s="1"/>
  <c r="BA1313" i="3" s="1"/>
  <c r="AE1313" i="3" s="1"/>
  <c r="L212" i="4"/>
  <c r="S212" i="4" s="1"/>
  <c r="AB178" i="4"/>
  <c r="P178" i="4" s="1"/>
  <c r="AB169" i="4"/>
  <c r="P169" i="4" s="1"/>
  <c r="J165" i="4"/>
  <c r="Q165" i="4" s="1"/>
  <c r="L165" i="4"/>
  <c r="S165" i="4" s="1"/>
  <c r="AB162" i="4"/>
  <c r="P162" i="4" s="1"/>
  <c r="AB161" i="4"/>
  <c r="P161" i="4" s="1"/>
  <c r="AB158" i="4"/>
  <c r="P158" i="4" s="1"/>
  <c r="AB157" i="4"/>
  <c r="P157" i="4" s="1"/>
  <c r="J85" i="4"/>
  <c r="Q85" i="4" s="1"/>
  <c r="K85" i="4"/>
  <c r="R85" i="4" s="1"/>
  <c r="L21" i="4"/>
  <c r="S21" i="4" s="1"/>
  <c r="J21" i="4"/>
  <c r="Q21" i="4" s="1"/>
  <c r="K21" i="4"/>
  <c r="R21" i="4" s="1"/>
  <c r="M200" i="4"/>
  <c r="T200" i="4" s="1"/>
  <c r="L200" i="4"/>
  <c r="S200" i="4" s="1"/>
  <c r="K200" i="4"/>
  <c r="R200" i="4" s="1"/>
  <c r="J200" i="4"/>
  <c r="Q200" i="4" s="1"/>
  <c r="J73" i="4"/>
  <c r="Q73" i="4" s="1"/>
  <c r="L73" i="4"/>
  <c r="S73" i="4" s="1"/>
  <c r="L216" i="4"/>
  <c r="S216" i="4" s="1"/>
  <c r="AB185" i="4"/>
  <c r="P185" i="4" s="1"/>
  <c r="K212" i="4"/>
  <c r="R212" i="4" s="1"/>
  <c r="AB187" i="4"/>
  <c r="P187" i="4" s="1"/>
  <c r="AB177" i="4"/>
  <c r="P177" i="4" s="1"/>
  <c r="AB173" i="4"/>
  <c r="P173" i="4" s="1"/>
  <c r="AB167" i="4"/>
  <c r="P167" i="4" s="1"/>
  <c r="AB163" i="4"/>
  <c r="P163" i="4" s="1"/>
  <c r="J161" i="4"/>
  <c r="Q161" i="4" s="1"/>
  <c r="K161" i="4"/>
  <c r="R161" i="4" s="1"/>
  <c r="AB145" i="4"/>
  <c r="P145" i="4" s="1"/>
  <c r="L143" i="4"/>
  <c r="S143" i="4" s="1"/>
  <c r="J143" i="4"/>
  <c r="Q143" i="4" s="1"/>
  <c r="J138" i="4"/>
  <c r="Q138" i="4" s="1"/>
  <c r="K138" i="4"/>
  <c r="R138" i="4" s="1"/>
  <c r="AB134" i="4"/>
  <c r="P134" i="4" s="1"/>
  <c r="AB116" i="4"/>
  <c r="P116" i="4" s="1"/>
  <c r="AB114" i="4"/>
  <c r="P114" i="4" s="1"/>
  <c r="J208" i="4"/>
  <c r="Q208" i="4" s="1"/>
  <c r="K208" i="4"/>
  <c r="R208" i="4" s="1"/>
  <c r="M203" i="4"/>
  <c r="T203" i="4" s="1"/>
  <c r="K203" i="4"/>
  <c r="R203" i="4" s="1"/>
  <c r="J203" i="4"/>
  <c r="Q203" i="4" s="1"/>
  <c r="L147" i="4"/>
  <c r="S147" i="4" s="1"/>
  <c r="J147" i="4"/>
  <c r="Q147" i="4" s="1"/>
  <c r="F99" i="5"/>
  <c r="J99" i="5" s="1"/>
  <c r="H83" i="5"/>
  <c r="K83" i="5" s="1"/>
  <c r="F30" i="5"/>
  <c r="J30" i="5" s="1"/>
  <c r="AB216" i="4"/>
  <c r="P216" i="4" s="1"/>
  <c r="AB179" i="4"/>
  <c r="P179" i="4" s="1"/>
  <c r="L217" i="4"/>
  <c r="S217" i="4" s="1"/>
  <c r="K216" i="4"/>
  <c r="R216" i="4" s="1"/>
  <c r="AB191" i="4"/>
  <c r="P191" i="4" s="1"/>
  <c r="K184" i="4"/>
  <c r="R184" i="4" s="1"/>
  <c r="AB217" i="4"/>
  <c r="P217" i="4" s="1"/>
  <c r="K217" i="4"/>
  <c r="R217" i="4" s="1"/>
  <c r="AB215" i="4"/>
  <c r="P215" i="4" s="1"/>
  <c r="AB195" i="4"/>
  <c r="P195" i="4" s="1"/>
  <c r="AC193" i="4"/>
  <c r="AB183" i="4"/>
  <c r="P183" i="4" s="1"/>
  <c r="J183" i="4"/>
  <c r="Q183" i="4" s="1"/>
  <c r="AB182" i="4"/>
  <c r="P182" i="4" s="1"/>
  <c r="AB181" i="4"/>
  <c r="P181" i="4" s="1"/>
  <c r="AB154" i="4"/>
  <c r="P154" i="4" s="1"/>
  <c r="AB149" i="4"/>
  <c r="P149" i="4" s="1"/>
  <c r="K147" i="4"/>
  <c r="R147" i="4" s="1"/>
  <c r="L140" i="4"/>
  <c r="S140" i="4" s="1"/>
  <c r="K139" i="4"/>
  <c r="R139" i="4" s="1"/>
  <c r="AB138" i="4"/>
  <c r="P138" i="4" s="1"/>
  <c r="AB132" i="4"/>
  <c r="P132" i="4" s="1"/>
  <c r="AB122" i="4"/>
  <c r="P122" i="4" s="1"/>
  <c r="K122" i="4"/>
  <c r="R122" i="4" s="1"/>
  <c r="L122" i="4"/>
  <c r="S122" i="4" s="1"/>
  <c r="AB94" i="4"/>
  <c r="P94" i="4" s="1"/>
  <c r="J74" i="4"/>
  <c r="Q74" i="4" s="1"/>
  <c r="L74" i="4"/>
  <c r="S74" i="4" s="1"/>
  <c r="AB49" i="4"/>
  <c r="P49" i="4" s="1"/>
  <c r="AB25" i="4"/>
  <c r="P25" i="4" s="1"/>
  <c r="AB119" i="4"/>
  <c r="P119" i="4" s="1"/>
  <c r="AB110" i="4"/>
  <c r="P110" i="4" s="1"/>
  <c r="AB109" i="4"/>
  <c r="P109" i="4" s="1"/>
  <c r="AB108" i="4"/>
  <c r="P108" i="4" s="1"/>
  <c r="AB104" i="4"/>
  <c r="P104" i="4" s="1"/>
  <c r="AB101" i="4"/>
  <c r="P101" i="4" s="1"/>
  <c r="AB100" i="4"/>
  <c r="P100" i="4" s="1"/>
  <c r="AB95" i="4"/>
  <c r="P95" i="4" s="1"/>
  <c r="AB88" i="4"/>
  <c r="P88" i="4" s="1"/>
  <c r="AB83" i="4"/>
  <c r="P83" i="4" s="1"/>
  <c r="AB80" i="4"/>
  <c r="P80" i="4" s="1"/>
  <c r="AB79" i="4"/>
  <c r="P79" i="4" s="1"/>
  <c r="AB53" i="4"/>
  <c r="P53" i="4" s="1"/>
  <c r="AB50" i="4"/>
  <c r="P50" i="4" s="1"/>
  <c r="K37" i="4"/>
  <c r="R37" i="4" s="1"/>
  <c r="AB34" i="4"/>
  <c r="P34" i="4" s="1"/>
  <c r="AB28" i="4"/>
  <c r="P28" i="4" s="1"/>
  <c r="AB16" i="4"/>
  <c r="P16" i="4" s="1"/>
  <c r="AB4" i="4"/>
  <c r="P4" i="4" s="1"/>
  <c r="H102" i="5"/>
  <c r="K102" i="5" s="1"/>
  <c r="H98" i="5"/>
  <c r="K98" i="5" s="1"/>
  <c r="H90" i="5"/>
  <c r="K90" i="5" s="1"/>
  <c r="F86" i="5"/>
  <c r="J86" i="5" s="1"/>
  <c r="F70" i="5"/>
  <c r="J70" i="5" s="1"/>
  <c r="F66" i="5"/>
  <c r="J66" i="5" s="1"/>
  <c r="L205" i="4"/>
  <c r="S205" i="4" s="1"/>
  <c r="AB207" i="4"/>
  <c r="P207" i="4" s="1"/>
  <c r="K211" i="4"/>
  <c r="R211" i="4" s="1"/>
  <c r="AB199" i="4"/>
  <c r="P199" i="4" s="1"/>
  <c r="AB201" i="4"/>
  <c r="P201" i="4" s="1"/>
  <c r="AB202" i="4"/>
  <c r="P202" i="4" s="1"/>
  <c r="AC166" i="4"/>
  <c r="AB165" i="4"/>
  <c r="P165" i="4" s="1"/>
  <c r="AB155" i="4"/>
  <c r="P155" i="4" s="1"/>
  <c r="AB151" i="4"/>
  <c r="P151" i="4" s="1"/>
  <c r="AB147" i="4"/>
  <c r="P147" i="4" s="1"/>
  <c r="AB146" i="4"/>
  <c r="P146" i="4" s="1"/>
  <c r="AB143" i="4"/>
  <c r="P143" i="4" s="1"/>
  <c r="AB142" i="4"/>
  <c r="P142" i="4" s="1"/>
  <c r="AB139" i="4"/>
  <c r="P139" i="4" s="1"/>
  <c r="AB136" i="4"/>
  <c r="P136" i="4" s="1"/>
  <c r="AB128" i="4"/>
  <c r="P128" i="4" s="1"/>
  <c r="AB126" i="4"/>
  <c r="P126" i="4" s="1"/>
  <c r="AB121" i="4"/>
  <c r="P121" i="4" s="1"/>
  <c r="AB97" i="4"/>
  <c r="P97" i="4" s="1"/>
  <c r="AB92" i="4"/>
  <c r="P92" i="4" s="1"/>
  <c r="AB90" i="4"/>
  <c r="P90" i="4" s="1"/>
  <c r="AB89" i="4"/>
  <c r="P89" i="4" s="1"/>
  <c r="AB86" i="4"/>
  <c r="P86" i="4" s="1"/>
  <c r="AB78" i="4"/>
  <c r="P78" i="4" s="1"/>
  <c r="AB71" i="4"/>
  <c r="P71" i="4" s="1"/>
  <c r="AB64" i="4"/>
  <c r="P64" i="4" s="1"/>
  <c r="AB60" i="4"/>
  <c r="P60" i="4" s="1"/>
  <c r="AB51" i="4"/>
  <c r="P51" i="4" s="1"/>
  <c r="AB45" i="4"/>
  <c r="P45" i="4" s="1"/>
  <c r="AB39" i="4"/>
  <c r="P39" i="4" s="1"/>
  <c r="AB33" i="4"/>
  <c r="P33" i="4" s="1"/>
  <c r="AB19" i="4"/>
  <c r="P19" i="4" s="1"/>
  <c r="AB6" i="4"/>
  <c r="P6" i="4" s="1"/>
  <c r="H77" i="5"/>
  <c r="K77" i="5" s="1"/>
  <c r="F105" i="5"/>
  <c r="J105" i="5" s="1"/>
  <c r="BA2167" i="3" s="1"/>
  <c r="AE2167" i="3" s="1"/>
  <c r="F101" i="5"/>
  <c r="J101" i="5" s="1"/>
  <c r="BA2251" i="3" s="1"/>
  <c r="AE2251" i="3" s="1"/>
  <c r="H81" i="5"/>
  <c r="K81" i="5" s="1"/>
  <c r="H73" i="5"/>
  <c r="K73" i="5" s="1"/>
  <c r="BA565" i="3" s="1"/>
  <c r="AE565" i="3" s="1"/>
  <c r="H65" i="5"/>
  <c r="K65" i="5" s="1"/>
  <c r="BA552" i="3" s="1"/>
  <c r="AE552" i="3" s="1"/>
  <c r="J204" i="4"/>
  <c r="Q204" i="4" s="1"/>
  <c r="AC205" i="4"/>
  <c r="J207" i="4"/>
  <c r="Q207" i="4" s="1"/>
  <c r="J209" i="4"/>
  <c r="Q209" i="4" s="1"/>
  <c r="L211" i="4"/>
  <c r="S211" i="4" s="1"/>
  <c r="L197" i="4"/>
  <c r="S197" i="4" s="1"/>
  <c r="AB112" i="4"/>
  <c r="P112" i="4" s="1"/>
  <c r="AB103" i="4"/>
  <c r="P103" i="4" s="1"/>
  <c r="AB98" i="4"/>
  <c r="P98" i="4" s="1"/>
  <c r="AB84" i="4"/>
  <c r="P84" i="4" s="1"/>
  <c r="AB74" i="4"/>
  <c r="P74" i="4" s="1"/>
  <c r="AB72" i="4"/>
  <c r="P72" i="4" s="1"/>
  <c r="AB69" i="4"/>
  <c r="P69" i="4" s="1"/>
  <c r="AB56" i="4"/>
  <c r="P56" i="4" s="1"/>
  <c r="AB54" i="4"/>
  <c r="P54" i="4" s="1"/>
  <c r="AB47" i="4"/>
  <c r="P47" i="4" s="1"/>
  <c r="AB31" i="4"/>
  <c r="P31" i="4" s="1"/>
  <c r="AB26" i="4"/>
  <c r="P26" i="4" s="1"/>
  <c r="AB20" i="4"/>
  <c r="P20" i="4" s="1"/>
  <c r="AB14" i="4"/>
  <c r="P14" i="4" s="1"/>
  <c r="AB10" i="4"/>
  <c r="P10" i="4" s="1"/>
  <c r="AB7" i="4"/>
  <c r="P7" i="4" s="1"/>
  <c r="H104" i="5"/>
  <c r="K104" i="5" s="1"/>
  <c r="H100" i="5"/>
  <c r="K100" i="5" s="1"/>
  <c r="H96" i="5"/>
  <c r="K96" i="5" s="1"/>
  <c r="H84" i="5"/>
  <c r="K84" i="5" s="1"/>
  <c r="H72" i="5"/>
  <c r="K72" i="5" s="1"/>
  <c r="F48" i="5"/>
  <c r="J48" i="5" s="1"/>
  <c r="AB208" i="4"/>
  <c r="P208" i="4" s="1"/>
  <c r="AB198" i="4"/>
  <c r="P198" i="4" s="1"/>
  <c r="AB203" i="4"/>
  <c r="P203" i="4" s="1"/>
  <c r="AB211" i="4"/>
  <c r="P211" i="4" s="1"/>
  <c r="AB205" i="4"/>
  <c r="P205" i="4" s="1"/>
  <c r="F107" i="5"/>
  <c r="J107" i="5" s="1"/>
  <c r="BA2331" i="3" s="1"/>
  <c r="H92" i="5"/>
  <c r="K92" i="5" s="1"/>
  <c r="H94" i="5"/>
  <c r="K94" i="5" s="1"/>
  <c r="H110" i="5"/>
  <c r="K110" i="5" s="1"/>
  <c r="AC47" i="4"/>
  <c r="AC34" i="4"/>
  <c r="AC192" i="4"/>
  <c r="AC190" i="4"/>
  <c r="AC81" i="4"/>
  <c r="AC36" i="4"/>
  <c r="AC32" i="4"/>
  <c r="AC20" i="4"/>
  <c r="AC18" i="4"/>
  <c r="AC165" i="4"/>
  <c r="AC158" i="4"/>
  <c r="AC150" i="4"/>
  <c r="AC115" i="4"/>
  <c r="AC113" i="4"/>
  <c r="AC83" i="4"/>
  <c r="AC80" i="4"/>
  <c r="AC54" i="4"/>
  <c r="AC149" i="4"/>
  <c r="AC121" i="4"/>
  <c r="AC114" i="4"/>
  <c r="AC110" i="4"/>
  <c r="AC109" i="4"/>
  <c r="AC106" i="4"/>
  <c r="AC100" i="4"/>
  <c r="AC72" i="4"/>
  <c r="AC38" i="4"/>
  <c r="AC42" i="4"/>
  <c r="AC184" i="4"/>
  <c r="AC183" i="4"/>
  <c r="AC170" i="4"/>
  <c r="AC162" i="4"/>
  <c r="AC160" i="4"/>
  <c r="AC155" i="4"/>
  <c r="AC102" i="4"/>
  <c r="AC86" i="4"/>
  <c r="AC67" i="4"/>
  <c r="AC24" i="4"/>
  <c r="AC11" i="4"/>
  <c r="AC4" i="4"/>
  <c r="AC197" i="4"/>
  <c r="AC212" i="4"/>
  <c r="AC217" i="4"/>
  <c r="AC181" i="4"/>
  <c r="AC185" i="4"/>
  <c r="AC175" i="4"/>
  <c r="AC169" i="4"/>
  <c r="AC161" i="4"/>
  <c r="AC157" i="4"/>
  <c r="AC145" i="4"/>
  <c r="AC141" i="4"/>
  <c r="AC85" i="4"/>
  <c r="AC71" i="4"/>
  <c r="AC50" i="4"/>
  <c r="AC40" i="4"/>
  <c r="AC28" i="4"/>
  <c r="AC208" i="4"/>
  <c r="AC200" i="4"/>
  <c r="BA541" i="3"/>
  <c r="BA617" i="3"/>
  <c r="BA608" i="3"/>
  <c r="BA1930" i="3"/>
  <c r="BA1526" i="3"/>
  <c r="BA1518" i="3"/>
  <c r="BA1455" i="3"/>
  <c r="BA1069" i="3"/>
  <c r="BA1002" i="3"/>
  <c r="BA984" i="3"/>
  <c r="BA917" i="3"/>
  <c r="BA850" i="3"/>
  <c r="BA836" i="3"/>
  <c r="BA769" i="3"/>
  <c r="BA693" i="3"/>
  <c r="BA684" i="3"/>
  <c r="BA625" i="3"/>
  <c r="BA616" i="3"/>
  <c r="BA607" i="3"/>
  <c r="BA549" i="3"/>
  <c r="BA540" i="3"/>
  <c r="BA531" i="3"/>
  <c r="BA2271" i="3"/>
  <c r="AE2271" i="3" s="1"/>
  <c r="BA2267" i="3"/>
  <c r="AE2267" i="3" s="1"/>
  <c r="BA2187" i="3"/>
  <c r="AE2187" i="3" s="1"/>
  <c r="BA2183" i="3"/>
  <c r="AE2183" i="3" s="1"/>
  <c r="BA2175" i="3"/>
  <c r="AE2175" i="3" s="1"/>
  <c r="BA2159" i="3"/>
  <c r="AE2159" i="3" s="1"/>
  <c r="BA993" i="3"/>
  <c r="BA1597" i="3"/>
  <c r="BA1589" i="3"/>
  <c r="BA1447" i="3"/>
  <c r="BA1369" i="3"/>
  <c r="BA2186" i="3"/>
  <c r="AE2186" i="3" s="1"/>
  <c r="BA2182" i="3"/>
  <c r="AE2182" i="3" s="1"/>
  <c r="BA2110" i="3"/>
  <c r="AE2110" i="3" s="1"/>
  <c r="BA2014" i="3"/>
  <c r="AE2014" i="3" s="1"/>
  <c r="BA2005" i="3"/>
  <c r="AE2005" i="3" s="1"/>
  <c r="BA1965" i="3"/>
  <c r="AE1965" i="3" s="1"/>
  <c r="BA1314" i="3"/>
  <c r="AE1314" i="3" s="1"/>
  <c r="BA569" i="3"/>
  <c r="AE569" i="3" s="1"/>
  <c r="BA557" i="3"/>
  <c r="AE557" i="3" s="1"/>
  <c r="BA1360" i="3"/>
  <c r="BA926" i="3"/>
  <c r="BA760" i="3"/>
  <c r="BA1593" i="3"/>
  <c r="BA1522" i="3"/>
  <c r="BA1302" i="3"/>
  <c r="BA1150" i="3"/>
  <c r="BA1136" i="3"/>
  <c r="BA2101" i="3"/>
  <c r="BA1219" i="3"/>
  <c r="BA1152" i="3"/>
  <c r="BA986" i="3"/>
  <c r="BA919" i="3"/>
  <c r="BA852" i="3"/>
  <c r="BA614" i="3"/>
  <c r="BA609" i="3"/>
  <c r="BA542" i="3"/>
  <c r="BA2273" i="3"/>
  <c r="AE2273" i="3" s="1"/>
  <c r="BA2269" i="3"/>
  <c r="AE2269" i="3" s="1"/>
  <c r="BA2253" i="3"/>
  <c r="AE2253" i="3" s="1"/>
  <c r="BA2109" i="3"/>
  <c r="AE2109" i="3" s="1"/>
  <c r="BA2013" i="3"/>
  <c r="AE2013" i="3" s="1"/>
  <c r="BA2008" i="3"/>
  <c r="AE2008" i="3" s="1"/>
  <c r="BA2004" i="3"/>
  <c r="AE2004" i="3" s="1"/>
  <c r="BA1293" i="3"/>
  <c r="BA1284" i="3"/>
  <c r="BA1217" i="3"/>
  <c r="BA1456" i="3"/>
  <c r="BA1452" i="3"/>
  <c r="BA1448" i="3"/>
  <c r="BA1361" i="3"/>
  <c r="BA1294" i="3"/>
  <c r="BA1285" i="3"/>
  <c r="BA1227" i="3"/>
  <c r="BA1218" i="3"/>
  <c r="BA1151" i="3"/>
  <c r="BA1061" i="3"/>
  <c r="BA994" i="3"/>
  <c r="BA985" i="3"/>
  <c r="BA918" i="3"/>
  <c r="BA761" i="3"/>
  <c r="BA685" i="3"/>
  <c r="BA550" i="3"/>
  <c r="BA532" i="3"/>
  <c r="BA2292" i="3"/>
  <c r="AE2292" i="3" s="1"/>
  <c r="BA2272" i="3"/>
  <c r="AE2272" i="3" s="1"/>
  <c r="BA2268" i="3"/>
  <c r="AE2268" i="3" s="1"/>
  <c r="BA2256" i="3"/>
  <c r="AE2256" i="3" s="1"/>
  <c r="BA2228" i="3"/>
  <c r="BA2188" i="3"/>
  <c r="AE2188" i="3" s="1"/>
  <c r="BA2184" i="3"/>
  <c r="AE2184" i="3" s="1"/>
  <c r="BA2176" i="3"/>
  <c r="AE2176" i="3" s="1"/>
  <c r="BA2160" i="3"/>
  <c r="AE2160" i="3" s="1"/>
  <c r="BA1451" i="3"/>
  <c r="BA1226" i="3"/>
  <c r="BA1060" i="3"/>
  <c r="BA1389" i="3"/>
  <c r="AE1389" i="3" s="1"/>
  <c r="BA577" i="3"/>
  <c r="AE577" i="3" s="1"/>
  <c r="BA556" i="3"/>
  <c r="AE556" i="3" s="1"/>
  <c r="BA2144" i="3"/>
  <c r="BA2016" i="3"/>
  <c r="AE2016" i="3" s="1"/>
  <c r="BA2003" i="3"/>
  <c r="AE2003" i="3" s="1"/>
  <c r="BA1954" i="3"/>
  <c r="AE1954" i="3" s="1"/>
  <c r="BA1290" i="3"/>
  <c r="AE1290" i="3" s="1"/>
  <c r="BA2127" i="3"/>
  <c r="BA2064" i="3"/>
  <c r="AE2064" i="3" s="1"/>
  <c r="BA2015" i="3"/>
  <c r="AE2015" i="3" s="1"/>
  <c r="BA2006" i="3"/>
  <c r="AE2006" i="3" s="1"/>
  <c r="BA1365" i="3"/>
  <c r="AE1365" i="3" s="1"/>
  <c r="BA575" i="3"/>
  <c r="BA567" i="3"/>
  <c r="AE567" i="3" s="1"/>
  <c r="BA555" i="3"/>
  <c r="AE555" i="3" s="1"/>
  <c r="BA558" i="3"/>
  <c r="AE558" i="3" s="1"/>
  <c r="BA554" i="3"/>
  <c r="AE554" i="3" s="1"/>
  <c r="H36" i="5"/>
  <c r="K36" i="5" s="1"/>
  <c r="H106" i="5"/>
  <c r="K106" i="5" s="1"/>
  <c r="F78" i="5"/>
  <c r="J78" i="5" s="1"/>
  <c r="H88" i="5"/>
  <c r="K88" i="5" s="1"/>
  <c r="F64" i="5"/>
  <c r="J64" i="5" s="1"/>
  <c r="F87" i="5"/>
  <c r="J87" i="5" s="1"/>
  <c r="BA1183" i="3" s="1"/>
  <c r="AE1183" i="3" s="1"/>
  <c r="F12" i="5"/>
  <c r="J12" i="5" s="1"/>
  <c r="F109" i="5"/>
  <c r="J109" i="5" s="1"/>
  <c r="F95" i="5"/>
  <c r="J95" i="5" s="1"/>
  <c r="BA2002" i="3" s="1"/>
  <c r="AE2002" i="3" s="1"/>
  <c r="F81" i="5"/>
  <c r="J81" i="5" s="1"/>
  <c r="BA652" i="3" s="1"/>
  <c r="AE652" i="3" s="1"/>
  <c r="F72" i="5"/>
  <c r="J72" i="5" s="1"/>
  <c r="BA1326" i="3" s="1"/>
  <c r="AE1326" i="3" s="1"/>
  <c r="F67" i="5"/>
  <c r="J67" i="5" s="1"/>
  <c r="F60" i="5"/>
  <c r="J60" i="5" s="1"/>
  <c r="H80" i="5"/>
  <c r="K80" i="5" s="1"/>
  <c r="F98" i="5"/>
  <c r="J98" i="5" s="1"/>
  <c r="L98" i="5" s="1"/>
  <c r="F89" i="5"/>
  <c r="J89" i="5" s="1"/>
  <c r="BA1553" i="3" s="1"/>
  <c r="AE1553" i="3" s="1"/>
  <c r="F85" i="5"/>
  <c r="J85" i="5" s="1"/>
  <c r="BA880" i="3" s="1"/>
  <c r="AE880" i="3" s="1"/>
  <c r="F71" i="5"/>
  <c r="J71" i="5" s="1"/>
  <c r="F16" i="5"/>
  <c r="J16" i="5" s="1"/>
  <c r="H74" i="5"/>
  <c r="K74" i="5" s="1"/>
  <c r="F73" i="5"/>
  <c r="J73" i="5" s="1"/>
  <c r="BA944" i="3" s="1"/>
  <c r="AE944" i="3" s="1"/>
  <c r="F69" i="5"/>
  <c r="J69" i="5" s="1"/>
  <c r="BA855" i="3" s="1"/>
  <c r="AE855" i="3" s="1"/>
  <c r="F83" i="5"/>
  <c r="J83" i="5" s="1"/>
  <c r="F79" i="5"/>
  <c r="J79" i="5" s="1"/>
  <c r="F65" i="5"/>
  <c r="J65" i="5" s="1"/>
  <c r="F4" i="5"/>
  <c r="J4" i="5" s="1"/>
  <c r="BA1347" i="3" s="1"/>
  <c r="AE1347" i="3" s="1"/>
  <c r="F50" i="5"/>
  <c r="J50" i="5" s="1"/>
  <c r="F46" i="5"/>
  <c r="J46" i="5" s="1"/>
  <c r="F34" i="5"/>
  <c r="J34" i="5" s="1"/>
  <c r="F32" i="5"/>
  <c r="J32" i="5" s="1"/>
  <c r="H30" i="5"/>
  <c r="K30" i="5" s="1"/>
  <c r="H28" i="5"/>
  <c r="K28" i="5" s="1"/>
  <c r="F26" i="5"/>
  <c r="J26" i="5" s="1"/>
  <c r="F24" i="5"/>
  <c r="J24" i="5" s="1"/>
  <c r="H22" i="5"/>
  <c r="K22" i="5" s="1"/>
  <c r="H20" i="5"/>
  <c r="K20" i="5" s="1"/>
  <c r="H40" i="5"/>
  <c r="K40" i="5" s="1"/>
  <c r="H48" i="5"/>
  <c r="K48" i="5" s="1"/>
  <c r="L48" i="5" s="1"/>
  <c r="H47" i="5"/>
  <c r="K47" i="5" s="1"/>
  <c r="F47" i="5"/>
  <c r="J47" i="5" s="1"/>
  <c r="BA1164" i="3" s="1"/>
  <c r="AE1164" i="3" s="1"/>
  <c r="F56" i="5"/>
  <c r="J56" i="5" s="1"/>
  <c r="F52" i="5"/>
  <c r="J52" i="5" s="1"/>
  <c r="F42" i="5"/>
  <c r="J42" i="5" s="1"/>
  <c r="F54" i="5"/>
  <c r="J54" i="5" s="1"/>
  <c r="F40" i="5"/>
  <c r="J40" i="5" s="1"/>
  <c r="H26" i="5"/>
  <c r="K26" i="5" s="1"/>
  <c r="H107" i="5"/>
  <c r="K107" i="5" s="1"/>
  <c r="H55" i="5"/>
  <c r="K55" i="5" s="1"/>
  <c r="F55" i="5"/>
  <c r="J55" i="5" s="1"/>
  <c r="H53" i="5"/>
  <c r="K53" i="5" s="1"/>
  <c r="BA544" i="3" s="1"/>
  <c r="AE544" i="3" s="1"/>
  <c r="F53" i="5"/>
  <c r="J53" i="5" s="1"/>
  <c r="H51" i="5"/>
  <c r="K51" i="5" s="1"/>
  <c r="F51" i="5"/>
  <c r="J51" i="5" s="1"/>
  <c r="H49" i="5"/>
  <c r="K49" i="5" s="1"/>
  <c r="BA538" i="3" s="1"/>
  <c r="AE538" i="3" s="1"/>
  <c r="F49" i="5"/>
  <c r="J49" i="5" s="1"/>
  <c r="H45" i="5"/>
  <c r="K45" i="5" s="1"/>
  <c r="BA537" i="3" s="1"/>
  <c r="AE537" i="3" s="1"/>
  <c r="F45" i="5"/>
  <c r="J45" i="5" s="1"/>
  <c r="BA1505" i="3" s="1"/>
  <c r="AE1505" i="3" s="1"/>
  <c r="H43" i="5"/>
  <c r="K43" i="5" s="1"/>
  <c r="F43" i="5"/>
  <c r="J43" i="5" s="1"/>
  <c r="H41" i="5"/>
  <c r="K41" i="5" s="1"/>
  <c r="BA536" i="3" s="1"/>
  <c r="AE536" i="3" s="1"/>
  <c r="F41" i="5"/>
  <c r="J41" i="5" s="1"/>
  <c r="BA763" i="3" s="1"/>
  <c r="AE763" i="3" s="1"/>
  <c r="H39" i="5"/>
  <c r="K39" i="5" s="1"/>
  <c r="F39" i="5"/>
  <c r="J39" i="5" s="1"/>
  <c r="H37" i="5"/>
  <c r="K37" i="5" s="1"/>
  <c r="F37" i="5"/>
  <c r="J37" i="5" s="1"/>
  <c r="BA1502" i="3" s="1"/>
  <c r="AE1502" i="3" s="1"/>
  <c r="H35" i="5"/>
  <c r="K35" i="5" s="1"/>
  <c r="F35" i="5"/>
  <c r="J35" i="5" s="1"/>
  <c r="H33" i="5"/>
  <c r="K33" i="5" s="1"/>
  <c r="BA529" i="3" s="1"/>
  <c r="AE529" i="3" s="1"/>
  <c r="F33" i="5"/>
  <c r="J33" i="5" s="1"/>
  <c r="BA756" i="3" s="1"/>
  <c r="AE756" i="3" s="1"/>
  <c r="H31" i="5"/>
  <c r="K31" i="5" s="1"/>
  <c r="F31" i="5"/>
  <c r="J31" i="5" s="1"/>
  <c r="H29" i="5"/>
  <c r="K29" i="5" s="1"/>
  <c r="BA528" i="3" s="1"/>
  <c r="AE528" i="3" s="1"/>
  <c r="F29" i="5"/>
  <c r="J29" i="5" s="1"/>
  <c r="BA1500" i="3" s="1"/>
  <c r="AE1500" i="3" s="1"/>
  <c r="H27" i="5"/>
  <c r="K27" i="5" s="1"/>
  <c r="H25" i="5"/>
  <c r="K25" i="5" s="1"/>
  <c r="BA560" i="3" s="1"/>
  <c r="AE560" i="3" s="1"/>
  <c r="H23" i="5"/>
  <c r="K23" i="5" s="1"/>
  <c r="H21" i="5"/>
  <c r="K21" i="5" s="1"/>
  <c r="BA525" i="3" s="1"/>
  <c r="AE525" i="3" s="1"/>
  <c r="H19" i="5"/>
  <c r="K19" i="5" s="1"/>
  <c r="H42" i="5"/>
  <c r="K42" i="5" s="1"/>
  <c r="H24" i="5"/>
  <c r="K24" i="5" s="1"/>
  <c r="H86" i="5"/>
  <c r="K86" i="5" s="1"/>
  <c r="L86" i="5" s="1"/>
  <c r="BA1720" i="3" s="1"/>
  <c r="AE1720" i="3" s="1"/>
  <c r="H70" i="5"/>
  <c r="K70" i="5" s="1"/>
  <c r="L70" i="5" s="1"/>
  <c r="BA1712" i="3" s="1"/>
  <c r="AE1712" i="3" s="1"/>
  <c r="F58" i="5"/>
  <c r="J58" i="5" s="1"/>
  <c r="H17" i="5"/>
  <c r="K17" i="5" s="1"/>
  <c r="BA524" i="3" s="1"/>
  <c r="AE524" i="3" s="1"/>
  <c r="H15" i="5"/>
  <c r="K15" i="5" s="1"/>
  <c r="F15" i="5"/>
  <c r="J15" i="5" s="1"/>
  <c r="H13" i="5"/>
  <c r="K13" i="5" s="1"/>
  <c r="BA522" i="3" s="1"/>
  <c r="AE522" i="3" s="1"/>
  <c r="F13" i="5"/>
  <c r="J13" i="5" s="1"/>
  <c r="BA711" i="3" s="1"/>
  <c r="AE711" i="3" s="1"/>
  <c r="H11" i="5"/>
  <c r="K11" i="5" s="1"/>
  <c r="F11" i="5"/>
  <c r="J11" i="5" s="1"/>
  <c r="H9" i="5"/>
  <c r="K9" i="5" s="1"/>
  <c r="BA521" i="3" s="1"/>
  <c r="AE521" i="3" s="1"/>
  <c r="F9" i="5"/>
  <c r="J9" i="5" s="1"/>
  <c r="H7" i="5"/>
  <c r="K7" i="5" s="1"/>
  <c r="F7" i="5"/>
  <c r="J7" i="5" s="1"/>
  <c r="H5" i="5"/>
  <c r="K5" i="5" s="1"/>
  <c r="BA520" i="3" s="1"/>
  <c r="AE520" i="3" s="1"/>
  <c r="F5" i="5"/>
  <c r="J5" i="5" s="1"/>
  <c r="BA822" i="3" s="1"/>
  <c r="AE822" i="3" s="1"/>
  <c r="H3" i="5"/>
  <c r="K3" i="5" s="1"/>
  <c r="F3" i="5"/>
  <c r="J3" i="5" s="1"/>
  <c r="BA1122" i="3" s="1"/>
  <c r="AE1122" i="3" s="1"/>
  <c r="H108" i="5"/>
  <c r="K108" i="5" s="1"/>
  <c r="F108" i="5"/>
  <c r="J108" i="5" s="1"/>
  <c r="BA2050" i="3" s="1"/>
  <c r="F100" i="5"/>
  <c r="J100" i="5" s="1"/>
  <c r="BA2283" i="3" s="1"/>
  <c r="AE2283" i="3" s="1"/>
  <c r="F84" i="5"/>
  <c r="J84" i="5" s="1"/>
  <c r="L84" i="5" s="1"/>
  <c r="BA1255" i="3" s="1"/>
  <c r="AE1255" i="3" s="1"/>
  <c r="F76" i="5"/>
  <c r="J76" i="5" s="1"/>
  <c r="F68" i="5"/>
  <c r="J68" i="5" s="1"/>
  <c r="BA1380" i="3" s="1"/>
  <c r="AE1380" i="3" s="1"/>
  <c r="F62" i="5"/>
  <c r="J62" i="5" s="1"/>
  <c r="F44" i="5"/>
  <c r="J44" i="5" s="1"/>
  <c r="F28" i="5"/>
  <c r="J28" i="5" s="1"/>
  <c r="H82" i="5"/>
  <c r="K82" i="5" s="1"/>
  <c r="H32" i="5"/>
  <c r="K32" i="5" s="1"/>
  <c r="H103" i="5"/>
  <c r="K103" i="5" s="1"/>
  <c r="L103" i="5" s="1"/>
  <c r="BA1995" i="3" s="1"/>
  <c r="AE1995" i="3" s="1"/>
  <c r="H101" i="5"/>
  <c r="K101" i="5" s="1"/>
  <c r="H99" i="5"/>
  <c r="K99" i="5" s="1"/>
  <c r="L99" i="5" s="1"/>
  <c r="H97" i="5"/>
  <c r="K97" i="5" s="1"/>
  <c r="BA1932" i="3" s="1"/>
  <c r="AE1932" i="3" s="1"/>
  <c r="H63" i="5"/>
  <c r="K63" i="5" s="1"/>
  <c r="F63" i="5"/>
  <c r="J63" i="5" s="1"/>
  <c r="H61" i="5"/>
  <c r="K61" i="5" s="1"/>
  <c r="F61" i="5"/>
  <c r="J61" i="5" s="1"/>
  <c r="BA1510" i="3" s="1"/>
  <c r="AE1510" i="3" s="1"/>
  <c r="H59" i="5"/>
  <c r="K59" i="5" s="1"/>
  <c r="F59" i="5"/>
  <c r="J59" i="5" s="1"/>
  <c r="BA1165" i="3" s="1"/>
  <c r="AE1165" i="3" s="1"/>
  <c r="H57" i="5"/>
  <c r="K57" i="5" s="1"/>
  <c r="BA545" i="3" s="1"/>
  <c r="AE545" i="3" s="1"/>
  <c r="F57" i="5"/>
  <c r="J57" i="5" s="1"/>
  <c r="BA1509" i="3" s="1"/>
  <c r="AE1509" i="3" s="1"/>
  <c r="H91" i="5"/>
  <c r="K91" i="5" s="1"/>
  <c r="H93" i="5"/>
  <c r="K93" i="5" s="1"/>
  <c r="F18" i="5"/>
  <c r="J18" i="5" s="1"/>
  <c r="F10" i="5"/>
  <c r="J10" i="5" s="1"/>
  <c r="H6" i="5"/>
  <c r="K6" i="5" s="1"/>
  <c r="AC219" i="4"/>
  <c r="AC194" i="4"/>
  <c r="AC182" i="4"/>
  <c r="AC153" i="4"/>
  <c r="AC135" i="4"/>
  <c r="AC130" i="4"/>
  <c r="AC127" i="4"/>
  <c r="AC126" i="4"/>
  <c r="AC99" i="4"/>
  <c r="AC95" i="4"/>
  <c r="AC91" i="4"/>
  <c r="AC60" i="4"/>
  <c r="AC59" i="4"/>
  <c r="AC48" i="4"/>
  <c r="AC44" i="4"/>
  <c r="AC35" i="4"/>
  <c r="AC23" i="4"/>
  <c r="AC19" i="4"/>
  <c r="AC12" i="4"/>
  <c r="AC210" i="4"/>
  <c r="AC211" i="4"/>
  <c r="AC198" i="4"/>
  <c r="AC191" i="4"/>
  <c r="AC178" i="4"/>
  <c r="AC154" i="4"/>
  <c r="AC142" i="4"/>
  <c r="AC123" i="4"/>
  <c r="AC117" i="4"/>
  <c r="AC89" i="4"/>
  <c r="AC78" i="4"/>
  <c r="AC58" i="4"/>
  <c r="AC57" i="4"/>
  <c r="AC53" i="4"/>
  <c r="AC52" i="4"/>
  <c r="AC17" i="4"/>
  <c r="AC15" i="4"/>
  <c r="AC10" i="4"/>
  <c r="AC206" i="4"/>
  <c r="AC201" i="4"/>
  <c r="AC202" i="4"/>
  <c r="AC203" i="4"/>
  <c r="AB210" i="4"/>
  <c r="P210" i="4" s="1"/>
  <c r="AB206" i="4"/>
  <c r="P206" i="4" s="1"/>
  <c r="AB204" i="4"/>
  <c r="P204" i="4" s="1"/>
  <c r="AB200" i="4"/>
  <c r="P200" i="4" s="1"/>
  <c r="AB197" i="4"/>
  <c r="P197" i="4" s="1"/>
  <c r="AB196" i="4"/>
  <c r="P196" i="4" s="1"/>
  <c r="M198" i="4"/>
  <c r="T198" i="4" s="1"/>
  <c r="M202" i="4"/>
  <c r="T202" i="4" s="1"/>
  <c r="AC188" i="4"/>
  <c r="AC168" i="4"/>
  <c r="AC164" i="4"/>
  <c r="AC159" i="4"/>
  <c r="AC152" i="4"/>
  <c r="AC147" i="4"/>
  <c r="AC144" i="4"/>
  <c r="AC143" i="4"/>
  <c r="AC129" i="4"/>
  <c r="AC98" i="4"/>
  <c r="AC96" i="4"/>
  <c r="AC77" i="4"/>
  <c r="AC76" i="4"/>
  <c r="AC65" i="4"/>
  <c r="AC22" i="4"/>
  <c r="AC16" i="4"/>
  <c r="AC7" i="4"/>
  <c r="M197" i="4"/>
  <c r="T197" i="4" s="1"/>
  <c r="J198" i="4"/>
  <c r="Q198" i="4" s="1"/>
  <c r="M201" i="4"/>
  <c r="T201" i="4" s="1"/>
  <c r="J202" i="4"/>
  <c r="Q202" i="4" s="1"/>
  <c r="AC213" i="4"/>
  <c r="AC167" i="4"/>
  <c r="AC218" i="4"/>
  <c r="AC216" i="4"/>
  <c r="AC189" i="4"/>
  <c r="AC186" i="4"/>
  <c r="AC176" i="4"/>
  <c r="AC174" i="4"/>
  <c r="AC146" i="4"/>
  <c r="AC140" i="4"/>
  <c r="AC139" i="4"/>
  <c r="AC134" i="4"/>
  <c r="AC133" i="4"/>
  <c r="AC125" i="4"/>
  <c r="AC124" i="4"/>
  <c r="AC118" i="4"/>
  <c r="AC111" i="4"/>
  <c r="AC104" i="4"/>
  <c r="AC87" i="4"/>
  <c r="AC84" i="4"/>
  <c r="AC82" i="4"/>
  <c r="AC79" i="4"/>
  <c r="AC75" i="4"/>
  <c r="AC63" i="4"/>
  <c r="AC56" i="4"/>
  <c r="AC55" i="4"/>
  <c r="AC45" i="4"/>
  <c r="AC41" i="4"/>
  <c r="AC27" i="4"/>
  <c r="AC26" i="4"/>
  <c r="AC25" i="4"/>
  <c r="AC8" i="4"/>
  <c r="AC207" i="4"/>
  <c r="J197" i="4"/>
  <c r="Q197" i="4" s="1"/>
  <c r="K198" i="4"/>
  <c r="R198" i="4" s="1"/>
  <c r="L199" i="4"/>
  <c r="S199" i="4" s="1"/>
  <c r="J201" i="4"/>
  <c r="Q201" i="4" s="1"/>
  <c r="K202" i="4"/>
  <c r="R202" i="4" s="1"/>
  <c r="L203" i="4"/>
  <c r="S203" i="4" s="1"/>
  <c r="AC101" i="4"/>
  <c r="AC97" i="4"/>
  <c r="AC74" i="4"/>
  <c r="AC31" i="4"/>
  <c r="AC209" i="4"/>
  <c r="AC215" i="4"/>
  <c r="AC214" i="4"/>
  <c r="AC195" i="4"/>
  <c r="AC187" i="4"/>
  <c r="AC172" i="4"/>
  <c r="AC156" i="4"/>
  <c r="AC138" i="4"/>
  <c r="AC137" i="4"/>
  <c r="AC136" i="4"/>
  <c r="AC132" i="4"/>
  <c r="AC131" i="4"/>
  <c r="AC120" i="4"/>
  <c r="AC119" i="4"/>
  <c r="AC116" i="4"/>
  <c r="AC103" i="4"/>
  <c r="AC93" i="4"/>
  <c r="AC90" i="4"/>
  <c r="AC70" i="4"/>
  <c r="AC66" i="4"/>
  <c r="AC64" i="4"/>
  <c r="AC62" i="4"/>
  <c r="AC51" i="4"/>
  <c r="AC49" i="4"/>
  <c r="AC46" i="4"/>
  <c r="AC43" i="4"/>
  <c r="AC37" i="4"/>
  <c r="AC30" i="4"/>
  <c r="AC29" i="4"/>
  <c r="AC21" i="4"/>
  <c r="AC6" i="4"/>
  <c r="AC180" i="4"/>
  <c r="AC179" i="4"/>
  <c r="AC171" i="4"/>
  <c r="AC163" i="4"/>
  <c r="AC151" i="4"/>
  <c r="AC148" i="4"/>
  <c r="AC128" i="4"/>
  <c r="AC112" i="4"/>
  <c r="AC108" i="4"/>
  <c r="AC107" i="4"/>
  <c r="AC105" i="4"/>
  <c r="AC94" i="4"/>
  <c r="AC92" i="4"/>
  <c r="AC88" i="4"/>
  <c r="AC73" i="4"/>
  <c r="AC69" i="4"/>
  <c r="AC68" i="4"/>
  <c r="AC61" i="4"/>
  <c r="AC39" i="4"/>
  <c r="AC33" i="4"/>
  <c r="AC14" i="4"/>
  <c r="AC9" i="4"/>
  <c r="AC13" i="4"/>
  <c r="AC5" i="4"/>
  <c r="M206" i="4"/>
  <c r="T206" i="4" s="1"/>
  <c r="M210" i="4"/>
  <c r="T210" i="4" s="1"/>
  <c r="L204" i="4"/>
  <c r="S204" i="4" s="1"/>
  <c r="M205" i="4"/>
  <c r="T205" i="4" s="1"/>
  <c r="J206" i="4"/>
  <c r="Q206" i="4" s="1"/>
  <c r="L208" i="4"/>
  <c r="S208" i="4" s="1"/>
  <c r="M209" i="4"/>
  <c r="T209" i="4" s="1"/>
  <c r="J210" i="4"/>
  <c r="Q210" i="4" s="1"/>
  <c r="M204" i="4"/>
  <c r="T204" i="4" s="1"/>
  <c r="K206" i="4"/>
  <c r="R206" i="4" s="1"/>
  <c r="M208" i="4"/>
  <c r="T208" i="4" s="1"/>
  <c r="K210" i="4"/>
  <c r="R210" i="4" s="1"/>
  <c r="AY1709" i="3"/>
  <c r="AY1596" i="3"/>
  <c r="AY1592" i="3"/>
  <c r="AY1588" i="3"/>
  <c r="AY1525" i="3"/>
  <c r="AY1521" i="3"/>
  <c r="AY1517" i="3"/>
  <c r="AY1454" i="3"/>
  <c r="AY1450" i="3"/>
  <c r="AY1446" i="3"/>
  <c r="AY1359" i="3"/>
  <c r="AY1292" i="3"/>
  <c r="AY1225" i="3"/>
  <c r="AY1216" i="3"/>
  <c r="AY1211" i="3"/>
  <c r="AY1149" i="3"/>
  <c r="AY1144" i="3"/>
  <c r="AY1135" i="3"/>
  <c r="AY1667" i="3"/>
  <c r="AY1301" i="3"/>
  <c r="AY1708" i="3"/>
  <c r="AY1666" i="3"/>
  <c r="AY1662" i="3"/>
  <c r="AY1658" i="3"/>
  <c r="AY1595" i="3"/>
  <c r="AY1591" i="3"/>
  <c r="AY1587" i="3"/>
  <c r="AY1524" i="3"/>
  <c r="AY1520" i="3"/>
  <c r="AY1516" i="3"/>
  <c r="AY1453" i="3"/>
  <c r="AY1449" i="3"/>
  <c r="AY1445" i="3"/>
  <c r="AY1376" i="3"/>
  <c r="AY1367" i="3"/>
  <c r="AY1358" i="3"/>
  <c r="AY1300" i="3"/>
  <c r="AY1291" i="3"/>
  <c r="AY1286" i="3"/>
  <c r="AY1663" i="3"/>
  <c r="AY1659" i="3"/>
  <c r="AY1377" i="3"/>
  <c r="AY1368" i="3"/>
  <c r="AY1283" i="3"/>
  <c r="AY1707" i="3"/>
  <c r="AY1665" i="3"/>
  <c r="AY1661" i="3"/>
  <c r="AY1657" i="3"/>
  <c r="AY1594" i="3"/>
  <c r="AY1590" i="3"/>
  <c r="AY1586" i="3"/>
  <c r="AY1706" i="3"/>
  <c r="AY1664" i="3"/>
  <c r="AY1660" i="3"/>
  <c r="AY1656" i="3"/>
  <c r="AY1077" i="3"/>
  <c r="AY911" i="3"/>
  <c r="AY844" i="3"/>
  <c r="AY777" i="3"/>
  <c r="AY701" i="3"/>
  <c r="AY534" i="3"/>
  <c r="AY1210" i="3"/>
  <c r="AY1143" i="3"/>
  <c r="AY1076" i="3"/>
  <c r="AY1068" i="3"/>
  <c r="AY1001" i="3"/>
  <c r="AY910" i="3"/>
  <c r="AY843" i="3"/>
  <c r="AY835" i="3"/>
  <c r="AY776" i="3"/>
  <c r="AY768" i="3"/>
  <c r="AY700" i="3"/>
  <c r="AY692" i="3"/>
  <c r="AY624" i="3"/>
  <c r="AY533" i="3"/>
  <c r="AY1375" i="3"/>
  <c r="AY1209" i="3"/>
  <c r="AY1142" i="3"/>
  <c r="AY1134" i="3"/>
  <c r="AY1075" i="3"/>
  <c r="AY1067" i="3"/>
  <c r="AY1059" i="3"/>
  <c r="AY1000" i="3"/>
  <c r="AY992" i="3"/>
  <c r="AY925" i="3"/>
  <c r="AY909" i="3"/>
  <c r="AY842" i="3"/>
  <c r="AY834" i="3"/>
  <c r="AY775" i="3"/>
  <c r="AY767" i="3"/>
  <c r="AY759" i="3"/>
  <c r="AY699" i="3"/>
  <c r="AY691" i="3"/>
  <c r="AY683" i="3"/>
  <c r="AY623" i="3"/>
  <c r="AY615" i="3"/>
  <c r="AY548" i="3"/>
  <c r="AY1523" i="3"/>
  <c r="AY1519" i="3"/>
  <c r="AY1515" i="3"/>
  <c r="AY1374" i="3"/>
  <c r="AY1366" i="3"/>
  <c r="AY1299" i="3"/>
  <c r="AY1224" i="3"/>
  <c r="AY1208" i="3"/>
  <c r="AY1141" i="3"/>
  <c r="AY1133" i="3"/>
  <c r="AY1074" i="3"/>
  <c r="AY1066" i="3"/>
  <c r="AY1058" i="3"/>
  <c r="AY999" i="3"/>
  <c r="AY991" i="3"/>
  <c r="AY983" i="3"/>
  <c r="AY924" i="3"/>
  <c r="AY916" i="3"/>
  <c r="AY908" i="3"/>
  <c r="AY849" i="3"/>
  <c r="AY841" i="3"/>
  <c r="AY833" i="3"/>
  <c r="AY774" i="3"/>
  <c r="AY766" i="3"/>
  <c r="AY758" i="3"/>
  <c r="AY698" i="3"/>
  <c r="AY690" i="3"/>
  <c r="AY682" i="3"/>
  <c r="AY622" i="3"/>
  <c r="AY606" i="3"/>
  <c r="AY547" i="3"/>
  <c r="AY539" i="3"/>
  <c r="J10" i="4"/>
  <c r="Q10" i="4" s="1"/>
  <c r="K14" i="4"/>
  <c r="R14" i="4" s="1"/>
  <c r="K17" i="4"/>
  <c r="R17" i="4" s="1"/>
  <c r="K22" i="4"/>
  <c r="R22" i="4" s="1"/>
  <c r="J26" i="4"/>
  <c r="Q26" i="4" s="1"/>
  <c r="J30" i="4"/>
  <c r="Q30" i="4" s="1"/>
  <c r="J36" i="4"/>
  <c r="Q36" i="4" s="1"/>
  <c r="K39" i="4"/>
  <c r="R39" i="4" s="1"/>
  <c r="J42" i="4"/>
  <c r="Q42" i="4" s="1"/>
  <c r="K46" i="4"/>
  <c r="R46" i="4" s="1"/>
  <c r="J50" i="4"/>
  <c r="Q50" i="4" s="1"/>
  <c r="L51" i="4"/>
  <c r="S51" i="4" s="1"/>
  <c r="J6" i="4"/>
  <c r="Q6" i="4" s="1"/>
  <c r="J8" i="4"/>
  <c r="Q8" i="4" s="1"/>
  <c r="J9" i="4"/>
  <c r="Q9" i="4" s="1"/>
  <c r="J20" i="4"/>
  <c r="Q20" i="4" s="1"/>
  <c r="L22" i="4"/>
  <c r="S22" i="4" s="1"/>
  <c r="K26" i="4"/>
  <c r="R26" i="4" s="1"/>
  <c r="J34" i="4"/>
  <c r="Q34" i="4" s="1"/>
  <c r="J38" i="4"/>
  <c r="Q38" i="4" s="1"/>
  <c r="K42" i="4"/>
  <c r="R42" i="4" s="1"/>
  <c r="L46" i="4"/>
  <c r="S46" i="4" s="1"/>
  <c r="K47" i="4"/>
  <c r="R47" i="4" s="1"/>
  <c r="K50" i="4"/>
  <c r="R50" i="4" s="1"/>
  <c r="K70" i="4"/>
  <c r="R70" i="4" s="1"/>
  <c r="K73" i="4"/>
  <c r="R73" i="4" s="1"/>
  <c r="J76" i="4"/>
  <c r="Q76" i="4" s="1"/>
  <c r="J84" i="4"/>
  <c r="Q84" i="4" s="1"/>
  <c r="K89" i="4"/>
  <c r="R89" i="4" s="1"/>
  <c r="J95" i="4"/>
  <c r="Q95" i="4" s="1"/>
  <c r="L97" i="4"/>
  <c r="S97" i="4" s="1"/>
  <c r="K98" i="4"/>
  <c r="R98" i="4" s="1"/>
  <c r="J104" i="4"/>
  <c r="Q104" i="4" s="1"/>
  <c r="K110" i="4"/>
  <c r="R110" i="4" s="1"/>
  <c r="J4" i="4"/>
  <c r="Q4" i="4" s="1"/>
  <c r="J16" i="4"/>
  <c r="Q16" i="4" s="1"/>
  <c r="J18" i="4"/>
  <c r="Q18" i="4" s="1"/>
  <c r="J24" i="4"/>
  <c r="Q24" i="4" s="1"/>
  <c r="J25" i="4"/>
  <c r="Q25" i="4" s="1"/>
  <c r="L26" i="4"/>
  <c r="S26" i="4" s="1"/>
  <c r="J28" i="4"/>
  <c r="Q28" i="4" s="1"/>
  <c r="K38" i="4"/>
  <c r="R38" i="4" s="1"/>
  <c r="J41" i="4"/>
  <c r="Q41" i="4" s="1"/>
  <c r="J44" i="4"/>
  <c r="Q44" i="4" s="1"/>
  <c r="L47" i="4"/>
  <c r="S47" i="4" s="1"/>
  <c r="J130" i="4"/>
  <c r="Q130" i="4" s="1"/>
  <c r="J122" i="4"/>
  <c r="Q122" i="4" s="1"/>
  <c r="L121" i="4"/>
  <c r="S121" i="4" s="1"/>
  <c r="J120" i="4"/>
  <c r="Q120" i="4" s="1"/>
  <c r="J119" i="4"/>
  <c r="Q119" i="4" s="1"/>
  <c r="L118" i="4"/>
  <c r="S118" i="4" s="1"/>
  <c r="K113" i="4"/>
  <c r="R113" i="4" s="1"/>
  <c r="K95" i="4"/>
  <c r="R95" i="4" s="1"/>
  <c r="K92" i="4"/>
  <c r="R92" i="4" s="1"/>
  <c r="K84" i="4"/>
  <c r="R84" i="4" s="1"/>
  <c r="K71" i="4"/>
  <c r="R71" i="4" s="1"/>
  <c r="L70" i="4"/>
  <c r="S70" i="4" s="1"/>
  <c r="K60" i="4"/>
  <c r="R60" i="4" s="1"/>
  <c r="J58" i="4"/>
  <c r="Q58" i="4" s="1"/>
  <c r="J55" i="4"/>
  <c r="Q55" i="4" s="1"/>
  <c r="L50" i="4"/>
  <c r="S50" i="4" s="1"/>
  <c r="K43" i="4"/>
  <c r="R43" i="4" s="1"/>
  <c r="K41" i="4"/>
  <c r="R41" i="4" s="1"/>
  <c r="J12" i="4"/>
  <c r="Q12" i="4" s="1"/>
  <c r="J7" i="4"/>
  <c r="Q7" i="4" s="1"/>
  <c r="L123" i="4"/>
  <c r="S123" i="4" s="1"/>
  <c r="K121" i="4"/>
  <c r="R121" i="4" s="1"/>
  <c r="L120" i="4"/>
  <c r="S120" i="4" s="1"/>
  <c r="K119" i="4"/>
  <c r="R119" i="4" s="1"/>
  <c r="K114" i="4"/>
  <c r="R114" i="4" s="1"/>
  <c r="J113" i="4"/>
  <c r="Q113" i="4" s="1"/>
  <c r="K112" i="4"/>
  <c r="R112" i="4" s="1"/>
  <c r="J110" i="4"/>
  <c r="Q110" i="4" s="1"/>
  <c r="J105" i="4"/>
  <c r="Q105" i="4" s="1"/>
  <c r="J103" i="4"/>
  <c r="Q103" i="4" s="1"/>
  <c r="L98" i="4"/>
  <c r="S98" i="4" s="1"/>
  <c r="K97" i="4"/>
  <c r="R97" i="4" s="1"/>
  <c r="J96" i="4"/>
  <c r="Q96" i="4" s="1"/>
  <c r="L92" i="4"/>
  <c r="S92" i="4" s="1"/>
  <c r="K91" i="4"/>
  <c r="R91" i="4" s="1"/>
  <c r="K90" i="4"/>
  <c r="R90" i="4" s="1"/>
  <c r="J81" i="4"/>
  <c r="Q81" i="4" s="1"/>
  <c r="J79" i="4"/>
  <c r="Q79" i="4" s="1"/>
  <c r="J71" i="4"/>
  <c r="Q71" i="4" s="1"/>
  <c r="J70" i="4"/>
  <c r="Q70" i="4" s="1"/>
  <c r="K66" i="4"/>
  <c r="R66" i="4" s="1"/>
  <c r="J63" i="4"/>
  <c r="Q63" i="4" s="1"/>
  <c r="J57" i="4"/>
  <c r="Q57" i="4" s="1"/>
  <c r="K51" i="4"/>
  <c r="R51" i="4" s="1"/>
  <c r="K48" i="4"/>
  <c r="R48" i="4" s="1"/>
  <c r="J40" i="4"/>
  <c r="Q40" i="4" s="1"/>
  <c r="K36" i="4"/>
  <c r="R36" i="4" s="1"/>
  <c r="K25" i="4"/>
  <c r="R25" i="4" s="1"/>
  <c r="J22" i="4"/>
  <c r="Q22" i="4" s="1"/>
  <c r="J14" i="4"/>
  <c r="Q14" i="4" s="1"/>
  <c r="J43" i="4"/>
  <c r="Q43" i="4" s="1"/>
  <c r="K40" i="4"/>
  <c r="R40" i="4" s="1"/>
  <c r="K12" i="4"/>
  <c r="R12" i="4" s="1"/>
  <c r="J112" i="4"/>
  <c r="Q112" i="4" s="1"/>
  <c r="K111" i="4"/>
  <c r="R111" i="4" s="1"/>
  <c r="J108" i="4"/>
  <c r="Q108" i="4" s="1"/>
  <c r="J100" i="4"/>
  <c r="Q100" i="4" s="1"/>
  <c r="K87" i="4"/>
  <c r="R87" i="4" s="1"/>
  <c r="J78" i="4"/>
  <c r="Q78" i="4" s="1"/>
  <c r="K68" i="4"/>
  <c r="R68" i="4" s="1"/>
  <c r="K64" i="4"/>
  <c r="R64" i="4" s="1"/>
  <c r="J59" i="4"/>
  <c r="Q59" i="4" s="1"/>
  <c r="J56" i="4"/>
  <c r="Q56" i="4" s="1"/>
  <c r="L49" i="4"/>
  <c r="S49" i="4" s="1"/>
  <c r="K44" i="4"/>
  <c r="R44" i="4" s="1"/>
  <c r="L25" i="4"/>
  <c r="S25" i="4" s="1"/>
  <c r="K24" i="4"/>
  <c r="R24" i="4" s="1"/>
  <c r="K16" i="4"/>
  <c r="R16" i="4" s="1"/>
  <c r="R13" i="4"/>
  <c r="R10" i="4"/>
  <c r="J47" i="4"/>
  <c r="Q47" i="4" s="1"/>
  <c r="J35" i="4"/>
  <c r="Q35" i="4" s="1"/>
  <c r="J32" i="4"/>
  <c r="Q32" i="4" s="1"/>
  <c r="K20" i="4"/>
  <c r="R20" i="4" s="1"/>
  <c r="M218" i="4"/>
  <c r="T218" i="4" s="1"/>
  <c r="K215" i="4"/>
  <c r="R215" i="4" s="1"/>
  <c r="L214" i="4"/>
  <c r="S214" i="4" s="1"/>
  <c r="M213" i="4"/>
  <c r="T213" i="4" s="1"/>
  <c r="J193" i="4"/>
  <c r="Q193" i="4" s="1"/>
  <c r="K193" i="4"/>
  <c r="R193" i="4" s="1"/>
  <c r="J190" i="4"/>
  <c r="Q190" i="4" s="1"/>
  <c r="K190" i="4"/>
  <c r="R190" i="4" s="1"/>
  <c r="L190" i="4"/>
  <c r="S190" i="4" s="1"/>
  <c r="J182" i="4"/>
  <c r="Q182" i="4" s="1"/>
  <c r="K182" i="4"/>
  <c r="R182" i="4" s="1"/>
  <c r="J170" i="4"/>
  <c r="Q170" i="4" s="1"/>
  <c r="K170" i="4"/>
  <c r="R170" i="4" s="1"/>
  <c r="L170" i="4"/>
  <c r="S170" i="4" s="1"/>
  <c r="J162" i="4"/>
  <c r="Q162" i="4" s="1"/>
  <c r="K162" i="4"/>
  <c r="R162" i="4" s="1"/>
  <c r="J158" i="4"/>
  <c r="Q158" i="4" s="1"/>
  <c r="K158" i="4"/>
  <c r="R158" i="4" s="1"/>
  <c r="M219" i="4"/>
  <c r="T219" i="4" s="1"/>
  <c r="AB218" i="4"/>
  <c r="P218" i="4" s="1"/>
  <c r="K219" i="4"/>
  <c r="R219" i="4" s="1"/>
  <c r="L218" i="4"/>
  <c r="S218" i="4" s="1"/>
  <c r="M217" i="4"/>
  <c r="T217" i="4" s="1"/>
  <c r="J215" i="4"/>
  <c r="Q215" i="4" s="1"/>
  <c r="J214" i="4"/>
  <c r="Q214" i="4" s="1"/>
  <c r="L213" i="4"/>
  <c r="S213" i="4" s="1"/>
  <c r="AB194" i="4"/>
  <c r="P194" i="4" s="1"/>
  <c r="AB193" i="4"/>
  <c r="P193" i="4" s="1"/>
  <c r="AB190" i="4"/>
  <c r="P190" i="4" s="1"/>
  <c r="AB174" i="4"/>
  <c r="P174" i="4" s="1"/>
  <c r="AB170" i="4"/>
  <c r="P170" i="4" s="1"/>
  <c r="J166" i="4"/>
  <c r="Q166" i="4" s="1"/>
  <c r="K166" i="4"/>
  <c r="R166" i="4" s="1"/>
  <c r="L166" i="4"/>
  <c r="S166" i="4" s="1"/>
  <c r="J219" i="4"/>
  <c r="Q219" i="4" s="1"/>
  <c r="J218" i="4"/>
  <c r="Q218" i="4" s="1"/>
  <c r="K213" i="4"/>
  <c r="R213" i="4" s="1"/>
  <c r="K194" i="4"/>
  <c r="R194" i="4" s="1"/>
  <c r="L194" i="4"/>
  <c r="S194" i="4" s="1"/>
  <c r="AB186" i="4"/>
  <c r="P186" i="4" s="1"/>
  <c r="J186" i="4"/>
  <c r="Q186" i="4" s="1"/>
  <c r="K186" i="4"/>
  <c r="R186" i="4" s="1"/>
  <c r="AB166" i="4"/>
  <c r="P166" i="4" s="1"/>
  <c r="AB150" i="4"/>
  <c r="P150" i="4" s="1"/>
  <c r="J146" i="4"/>
  <c r="Q146" i="4" s="1"/>
  <c r="K146" i="4"/>
  <c r="R146" i="4" s="1"/>
  <c r="L146" i="4"/>
  <c r="S146" i="4" s="1"/>
  <c r="K135" i="4"/>
  <c r="R135" i="4" s="1"/>
  <c r="J135" i="4"/>
  <c r="Q135" i="4" s="1"/>
  <c r="J94" i="4"/>
  <c r="Q94" i="4" s="1"/>
  <c r="K94" i="4"/>
  <c r="R94" i="4" s="1"/>
  <c r="L94" i="4"/>
  <c r="S94" i="4" s="1"/>
  <c r="K145" i="4"/>
  <c r="R145" i="4" s="1"/>
  <c r="L142" i="4"/>
  <c r="S142" i="4" s="1"/>
  <c r="K141" i="4"/>
  <c r="R141" i="4" s="1"/>
  <c r="AB127" i="4"/>
  <c r="P127" i="4" s="1"/>
  <c r="K99" i="4"/>
  <c r="R99" i="4" s="1"/>
  <c r="J99" i="4"/>
  <c r="Q99" i="4" s="1"/>
  <c r="L99" i="4"/>
  <c r="S99" i="4" s="1"/>
  <c r="K72" i="4"/>
  <c r="R72" i="4" s="1"/>
  <c r="J72" i="4"/>
  <c r="Q72" i="4" s="1"/>
  <c r="L72" i="4"/>
  <c r="S72" i="4" s="1"/>
  <c r="L171" i="4"/>
  <c r="S171" i="4" s="1"/>
  <c r="L167" i="4"/>
  <c r="S167" i="4" s="1"/>
  <c r="K142" i="4"/>
  <c r="R142" i="4" s="1"/>
  <c r="AB137" i="4"/>
  <c r="P137" i="4" s="1"/>
  <c r="K136" i="4"/>
  <c r="R136" i="4" s="1"/>
  <c r="AB133" i="4"/>
  <c r="P133" i="4" s="1"/>
  <c r="K132" i="4"/>
  <c r="R132" i="4" s="1"/>
  <c r="K123" i="4"/>
  <c r="R123" i="4" s="1"/>
  <c r="J123" i="4"/>
  <c r="Q123" i="4" s="1"/>
  <c r="J118" i="4"/>
  <c r="Q118" i="4" s="1"/>
  <c r="K118" i="4"/>
  <c r="R118" i="4" s="1"/>
  <c r="L116" i="4"/>
  <c r="S116" i="4" s="1"/>
  <c r="J116" i="4"/>
  <c r="Q116" i="4" s="1"/>
  <c r="K115" i="4"/>
  <c r="R115" i="4" s="1"/>
  <c r="J115" i="4"/>
  <c r="Q115" i="4" s="1"/>
  <c r="AB123" i="4"/>
  <c r="P123" i="4" s="1"/>
  <c r="K120" i="4"/>
  <c r="R120" i="4" s="1"/>
  <c r="L119" i="4"/>
  <c r="S119" i="4" s="1"/>
  <c r="J111" i="4"/>
  <c r="Q111" i="4" s="1"/>
  <c r="AB99" i="4"/>
  <c r="P99" i="4" s="1"/>
  <c r="K96" i="4"/>
  <c r="R96" i="4" s="1"/>
  <c r="L95" i="4"/>
  <c r="S95" i="4" s="1"/>
  <c r="J92" i="4"/>
  <c r="Q92" i="4" s="1"/>
  <c r="J91" i="4"/>
  <c r="Q91" i="4" s="1"/>
  <c r="J75" i="4"/>
  <c r="Q75" i="4" s="1"/>
  <c r="K75" i="4"/>
  <c r="R75" i="4" s="1"/>
  <c r="L75" i="4"/>
  <c r="S75" i="4" s="1"/>
  <c r="AB75" i="4"/>
  <c r="P75" i="4" s="1"/>
  <c r="J67" i="4"/>
  <c r="Q67" i="4" s="1"/>
  <c r="K67" i="4"/>
  <c r="R67" i="4" s="1"/>
  <c r="AB135" i="4"/>
  <c r="P135" i="4" s="1"/>
  <c r="AB131" i="4"/>
  <c r="P131" i="4" s="1"/>
  <c r="AB115" i="4"/>
  <c r="P115" i="4" s="1"/>
  <c r="AB111" i="4"/>
  <c r="P111" i="4" s="1"/>
  <c r="AB107" i="4"/>
  <c r="P107" i="4" s="1"/>
  <c r="AB91" i="4"/>
  <c r="P91" i="4" s="1"/>
  <c r="AB87" i="4"/>
  <c r="P87" i="4" s="1"/>
  <c r="J86" i="4"/>
  <c r="Q86" i="4" s="1"/>
  <c r="K86" i="4"/>
  <c r="R86" i="4" s="1"/>
  <c r="AB35" i="4"/>
  <c r="P35" i="4" s="1"/>
  <c r="K74" i="4"/>
  <c r="R74" i="4" s="1"/>
  <c r="K69" i="4"/>
  <c r="R69" i="4" s="1"/>
  <c r="L68" i="4"/>
  <c r="S68" i="4" s="1"/>
  <c r="K65" i="4"/>
  <c r="R65" i="4" s="1"/>
  <c r="K61" i="4"/>
  <c r="R61" i="4" s="1"/>
  <c r="AB52" i="4"/>
  <c r="P52" i="4" s="1"/>
  <c r="AB48" i="4"/>
  <c r="P48" i="4" s="1"/>
  <c r="AB42" i="4"/>
  <c r="P42" i="4" s="1"/>
  <c r="AB38" i="4"/>
  <c r="P38" i="4" s="1"/>
  <c r="J15" i="4"/>
  <c r="Q15" i="4" s="1"/>
  <c r="K15" i="4"/>
  <c r="R15" i="4" s="1"/>
  <c r="J69" i="4"/>
  <c r="Q69" i="4" s="1"/>
  <c r="J68" i="4"/>
  <c r="Q68" i="4" s="1"/>
  <c r="J64" i="4"/>
  <c r="Q64" i="4" s="1"/>
  <c r="J60" i="4"/>
  <c r="Q60" i="4" s="1"/>
  <c r="K49" i="4"/>
  <c r="R49" i="4" s="1"/>
  <c r="L48" i="4"/>
  <c r="S48" i="4" s="1"/>
  <c r="K63" i="4"/>
  <c r="R63" i="4" s="1"/>
  <c r="J49" i="4"/>
  <c r="Q49" i="4" s="1"/>
  <c r="J48" i="4"/>
  <c r="Q48" i="4" s="1"/>
  <c r="AB32" i="4"/>
  <c r="P32" i="4" s="1"/>
  <c r="AB23" i="4"/>
  <c r="P23" i="4" s="1"/>
  <c r="AB44" i="4"/>
  <c r="P44" i="4" s="1"/>
  <c r="AB40" i="4"/>
  <c r="P40" i="4" s="1"/>
  <c r="AB36" i="4"/>
  <c r="P36" i="4" s="1"/>
  <c r="AB27" i="4"/>
  <c r="P27" i="4" s="1"/>
  <c r="J23" i="4"/>
  <c r="Q23" i="4" s="1"/>
  <c r="K23" i="4"/>
  <c r="R23" i="4" s="1"/>
  <c r="L23" i="4"/>
  <c r="S23" i="4" s="1"/>
  <c r="J19" i="4"/>
  <c r="Q19" i="4" s="1"/>
  <c r="K19" i="4"/>
  <c r="R19" i="4" s="1"/>
  <c r="AB15" i="4"/>
  <c r="P15" i="4" s="1"/>
  <c r="J27" i="4"/>
  <c r="Q27" i="4" s="1"/>
  <c r="K27" i="4"/>
  <c r="R27" i="4" s="1"/>
  <c r="L27" i="4"/>
  <c r="S27" i="4" s="1"/>
  <c r="L24" i="4"/>
  <c r="S24" i="4" s="1"/>
  <c r="L20" i="4"/>
  <c r="S20" i="4" s="1"/>
  <c r="X85" i="3"/>
  <c r="F94" i="5" l="1"/>
  <c r="J94" i="5" s="1"/>
  <c r="L107" i="5"/>
  <c r="L83" i="5"/>
  <c r="BA1030" i="3" s="1"/>
  <c r="AE1030" i="3" s="1"/>
  <c r="BA1984" i="3"/>
  <c r="AE1984" i="3" s="1"/>
  <c r="BA2019" i="3"/>
  <c r="AE2019" i="3" s="1"/>
  <c r="BA2115" i="3"/>
  <c r="AE2115" i="3" s="1"/>
  <c r="BA1945" i="3"/>
  <c r="AE1945" i="3" s="1"/>
  <c r="BA2007" i="3"/>
  <c r="AE2007" i="3" s="1"/>
  <c r="BA2104" i="3"/>
  <c r="AE2104" i="3" s="1"/>
  <c r="BA2172" i="3"/>
  <c r="AE2172" i="3" s="1"/>
  <c r="BA2208" i="3"/>
  <c r="AE2208" i="3" s="1"/>
  <c r="BA2252" i="3"/>
  <c r="AE2252" i="3" s="1"/>
  <c r="BA2105" i="3"/>
  <c r="AE2105" i="3" s="1"/>
  <c r="BA2249" i="3"/>
  <c r="AE2249" i="3" s="1"/>
  <c r="BA2341" i="3"/>
  <c r="BA2009" i="3"/>
  <c r="AE2009" i="3" s="1"/>
  <c r="BA2171" i="3"/>
  <c r="AE2171" i="3" s="1"/>
  <c r="BA2207" i="3"/>
  <c r="AE2207" i="3" s="1"/>
  <c r="BA1944" i="3"/>
  <c r="AE1944" i="3" s="1"/>
  <c r="BA2010" i="3"/>
  <c r="BA2103" i="3"/>
  <c r="AE2103" i="3" s="1"/>
  <c r="BA2143" i="3"/>
  <c r="BA1985" i="3"/>
  <c r="AE1985" i="3" s="1"/>
  <c r="BA2020" i="3"/>
  <c r="BA2164" i="3"/>
  <c r="AE2164" i="3" s="1"/>
  <c r="BA2244" i="3"/>
  <c r="AE2244" i="3" s="1"/>
  <c r="BA2260" i="3"/>
  <c r="AE2260" i="3" s="1"/>
  <c r="BA1955" i="3"/>
  <c r="AE1955" i="3" s="1"/>
  <c r="BA2229" i="3"/>
  <c r="BA2257" i="3"/>
  <c r="AE2257" i="3" s="1"/>
  <c r="BA2293" i="3"/>
  <c r="AE2293" i="3" s="1"/>
  <c r="BA1974" i="3"/>
  <c r="AE1974" i="3" s="1"/>
  <c r="BA2106" i="3"/>
  <c r="AE2106" i="3" s="1"/>
  <c r="BA2330" i="3"/>
  <c r="BA2163" i="3"/>
  <c r="AE2163" i="3" s="1"/>
  <c r="BA1975" i="3"/>
  <c r="AE1975" i="3" s="1"/>
  <c r="BA2107" i="3"/>
  <c r="AE2107" i="3" s="1"/>
  <c r="BA2065" i="3"/>
  <c r="AE2065" i="3" s="1"/>
  <c r="BA2168" i="3"/>
  <c r="AE2168" i="3" s="1"/>
  <c r="BA2248" i="3"/>
  <c r="AE2248" i="3" s="1"/>
  <c r="BA1964" i="3"/>
  <c r="AE1964" i="3" s="1"/>
  <c r="BA2017" i="3"/>
  <c r="AE2017" i="3" s="1"/>
  <c r="BA2245" i="3"/>
  <c r="AE2245" i="3" s="1"/>
  <c r="BA2261" i="3"/>
  <c r="AE2261" i="3" s="1"/>
  <c r="BA2313" i="3"/>
  <c r="BA2342" i="3"/>
  <c r="BA2291" i="3"/>
  <c r="AE2291" i="3" s="1"/>
  <c r="F93" i="5"/>
  <c r="J93" i="5" s="1"/>
  <c r="BA815" i="3" s="1"/>
  <c r="AE815" i="3" s="1"/>
  <c r="F92" i="5"/>
  <c r="J92" i="5" s="1"/>
  <c r="BA1417" i="3" s="1"/>
  <c r="AE1417" i="3" s="1"/>
  <c r="BA2255" i="3"/>
  <c r="AE2255" i="3" s="1"/>
  <c r="L30" i="5"/>
  <c r="BA1943" i="3"/>
  <c r="AE1943" i="3" s="1"/>
  <c r="BA2166" i="3"/>
  <c r="AE2166" i="3" s="1"/>
  <c r="BA1357" i="3"/>
  <c r="AE1357" i="3" s="1"/>
  <c r="BA1963" i="3"/>
  <c r="AE1963" i="3" s="1"/>
  <c r="BA1282" i="3"/>
  <c r="AE1282" i="3" s="1"/>
  <c r="BA2170" i="3"/>
  <c r="AE2170" i="3" s="1"/>
  <c r="BA2206" i="3"/>
  <c r="AE2206" i="3" s="1"/>
  <c r="BA2243" i="3"/>
  <c r="AE2243" i="3" s="1"/>
  <c r="BA2259" i="3"/>
  <c r="AE2259" i="3" s="1"/>
  <c r="BA1388" i="3"/>
  <c r="AE1388" i="3" s="1"/>
  <c r="BA1973" i="3"/>
  <c r="AE1973" i="3" s="1"/>
  <c r="BA2158" i="3"/>
  <c r="AE2158" i="3" s="1"/>
  <c r="BA2174" i="3"/>
  <c r="AE2174" i="3" s="1"/>
  <c r="BA2247" i="3"/>
  <c r="AE2247" i="3" s="1"/>
  <c r="L36" i="5"/>
  <c r="BA1953" i="3"/>
  <c r="AE1953" i="3" s="1"/>
  <c r="BA1983" i="3"/>
  <c r="AE1983" i="3" s="1"/>
  <c r="BA2063" i="3"/>
  <c r="AE2063" i="3" s="1"/>
  <c r="BA2162" i="3"/>
  <c r="AE2162" i="3" s="1"/>
  <c r="H79" i="5"/>
  <c r="K79" i="5" s="1"/>
  <c r="L79" i="5" s="1"/>
  <c r="BA1029" i="3" s="1"/>
  <c r="AE1029" i="3" s="1"/>
  <c r="H66" i="5"/>
  <c r="K66" i="5" s="1"/>
  <c r="L66" i="5" s="1"/>
  <c r="BA1711" i="3" s="1"/>
  <c r="AE1711" i="3" s="1"/>
  <c r="F25" i="5"/>
  <c r="J25" i="5" s="1"/>
  <c r="BA677" i="3" s="1"/>
  <c r="AE677" i="3" s="1"/>
  <c r="H76" i="5"/>
  <c r="K76" i="5" s="1"/>
  <c r="L76" i="5" s="1"/>
  <c r="F97" i="5"/>
  <c r="J97" i="5" s="1"/>
  <c r="BA2242" i="3" s="1"/>
  <c r="AE2242" i="3" s="1"/>
  <c r="F82" i="5"/>
  <c r="J82" i="5" s="1"/>
  <c r="L82" i="5" s="1"/>
  <c r="BA1719" i="3" s="1"/>
  <c r="AE1719" i="3" s="1"/>
  <c r="H95" i="5"/>
  <c r="K95" i="5" s="1"/>
  <c r="F21" i="5"/>
  <c r="J21" i="5" s="1"/>
  <c r="BA827" i="3" s="1"/>
  <c r="AE827" i="3" s="1"/>
  <c r="H14" i="5"/>
  <c r="K14" i="5" s="1"/>
  <c r="H56" i="5"/>
  <c r="K56" i="5" s="1"/>
  <c r="L56" i="5" s="1"/>
  <c r="BA1222" i="3" s="1"/>
  <c r="AE1222" i="3" s="1"/>
  <c r="H34" i="5"/>
  <c r="K34" i="5" s="1"/>
  <c r="L34" i="5" s="1"/>
  <c r="F22" i="5"/>
  <c r="J22" i="5" s="1"/>
  <c r="L22" i="5" s="1"/>
  <c r="H44" i="5"/>
  <c r="K44" i="5" s="1"/>
  <c r="L44" i="5" s="1"/>
  <c r="BA1214" i="3" s="1"/>
  <c r="AE1214" i="3" s="1"/>
  <c r="H64" i="5"/>
  <c r="K64" i="5" s="1"/>
  <c r="L64" i="5" s="1"/>
  <c r="BA1229" i="3" s="1"/>
  <c r="AE1229" i="3" s="1"/>
  <c r="H12" i="5"/>
  <c r="K12" i="5" s="1"/>
  <c r="F106" i="5"/>
  <c r="J106" i="5" s="1"/>
  <c r="L106" i="5" s="1"/>
  <c r="BA2220" i="3" s="1"/>
  <c r="AE2220" i="3" s="1"/>
  <c r="H18" i="5"/>
  <c r="K18" i="5" s="1"/>
  <c r="L18" i="5" s="1"/>
  <c r="H105" i="5"/>
  <c r="K105" i="5" s="1"/>
  <c r="BA2240" i="3" s="1"/>
  <c r="AE2240" i="3" s="1"/>
  <c r="H62" i="5"/>
  <c r="K62" i="5" s="1"/>
  <c r="F20" i="5"/>
  <c r="J20" i="5" s="1"/>
  <c r="L20" i="5" s="1"/>
  <c r="BA1202" i="3" s="1"/>
  <c r="AE1202" i="3" s="1"/>
  <c r="H54" i="5"/>
  <c r="K54" i="5" s="1"/>
  <c r="L54" i="5" s="1"/>
  <c r="BA1703" i="3" s="1"/>
  <c r="AE1703" i="3" s="1"/>
  <c r="F102" i="5"/>
  <c r="J102" i="5" s="1"/>
  <c r="L102" i="5" s="1"/>
  <c r="F8" i="5"/>
  <c r="J8" i="5" s="1"/>
  <c r="BA1348" i="3" s="1"/>
  <c r="AE1348" i="3" s="1"/>
  <c r="F77" i="5"/>
  <c r="J77" i="5" s="1"/>
  <c r="BA935" i="3" s="1"/>
  <c r="AE935" i="3" s="1"/>
  <c r="F104" i="5"/>
  <c r="J104" i="5" s="1"/>
  <c r="BA2034" i="3" s="1"/>
  <c r="AE2034" i="3" s="1"/>
  <c r="F110" i="5"/>
  <c r="J110" i="5" s="1"/>
  <c r="L110" i="5" s="1"/>
  <c r="BA2135" i="3" s="1"/>
  <c r="BA1962" i="3"/>
  <c r="AE1962" i="3" s="1"/>
  <c r="BA2165" i="3"/>
  <c r="AE2165" i="3" s="1"/>
  <c r="H68" i="5"/>
  <c r="K68" i="5" s="1"/>
  <c r="F88" i="5"/>
  <c r="J88" i="5" s="1"/>
  <c r="L88" i="5" s="1"/>
  <c r="H16" i="5"/>
  <c r="K16" i="5" s="1"/>
  <c r="L16" i="5" s="1"/>
  <c r="BA1201" i="3" s="1"/>
  <c r="AE1201" i="3" s="1"/>
  <c r="H78" i="5"/>
  <c r="K78" i="5" s="1"/>
  <c r="L78" i="5" s="1"/>
  <c r="H67" i="5"/>
  <c r="K67" i="5" s="1"/>
  <c r="L67" i="5" s="1"/>
  <c r="BA1005" i="3" s="1"/>
  <c r="AE1005" i="3" s="1"/>
  <c r="F6" i="5"/>
  <c r="J6" i="5" s="1"/>
  <c r="L6" i="5" s="1"/>
  <c r="F17" i="5"/>
  <c r="J17" i="5" s="1"/>
  <c r="BA751" i="3" s="1"/>
  <c r="AE751" i="3" s="1"/>
  <c r="F19" i="5"/>
  <c r="J19" i="5" s="1"/>
  <c r="F23" i="5"/>
  <c r="J23" i="5" s="1"/>
  <c r="BA1087" i="3" s="1"/>
  <c r="AE1087" i="3" s="1"/>
  <c r="F27" i="5"/>
  <c r="J27" i="5" s="1"/>
  <c r="BA1055" i="3" s="1"/>
  <c r="AE1055" i="3" s="1"/>
  <c r="H38" i="5"/>
  <c r="K38" i="5" s="1"/>
  <c r="F96" i="5"/>
  <c r="J96" i="5" s="1"/>
  <c r="BA566" i="3"/>
  <c r="AE566" i="3" s="1"/>
  <c r="BA564" i="3"/>
  <c r="AE564" i="3" s="1"/>
  <c r="BA2169" i="3"/>
  <c r="AE2169" i="3" s="1"/>
  <c r="BA2246" i="3"/>
  <c r="AE2246" i="3" s="1"/>
  <c r="H52" i="5"/>
  <c r="K52" i="5" s="1"/>
  <c r="H4" i="5"/>
  <c r="K4" i="5" s="1"/>
  <c r="L4" i="5" s="1"/>
  <c r="BA1197" i="3" s="1"/>
  <c r="AE1197" i="3" s="1"/>
  <c r="H85" i="5"/>
  <c r="K85" i="5" s="1"/>
  <c r="BA578" i="3" s="1"/>
  <c r="AE578" i="3" s="1"/>
  <c r="F38" i="5"/>
  <c r="J38" i="5" s="1"/>
  <c r="F74" i="5"/>
  <c r="J74" i="5" s="1"/>
  <c r="L74" i="5" s="1"/>
  <c r="F14" i="5"/>
  <c r="J14" i="5" s="1"/>
  <c r="L14" i="5" s="1"/>
  <c r="H75" i="5"/>
  <c r="K75" i="5" s="1"/>
  <c r="H87" i="5"/>
  <c r="K87" i="5" s="1"/>
  <c r="H50" i="5"/>
  <c r="K50" i="5" s="1"/>
  <c r="H46" i="5"/>
  <c r="K46" i="5" s="1"/>
  <c r="L46" i="5" s="1"/>
  <c r="F75" i="5"/>
  <c r="J75" i="5" s="1"/>
  <c r="BA1160" i="3" s="1"/>
  <c r="AE1160" i="3" s="1"/>
  <c r="F90" i="5"/>
  <c r="J90" i="5" s="1"/>
  <c r="L90" i="5" s="1"/>
  <c r="BA1738" i="3" s="1"/>
  <c r="AE1738" i="3" s="1"/>
  <c r="BA574" i="3"/>
  <c r="AE574" i="3" s="1"/>
  <c r="BA568" i="3"/>
  <c r="AE568" i="3" s="1"/>
  <c r="BA1942" i="3"/>
  <c r="AE1942" i="3" s="1"/>
  <c r="BA1982" i="3"/>
  <c r="AE1982" i="3" s="1"/>
  <c r="BA2157" i="3"/>
  <c r="AE2157" i="3" s="1"/>
  <c r="BA2173" i="3"/>
  <c r="AE2173" i="3" s="1"/>
  <c r="BA1952" i="3"/>
  <c r="AE1952" i="3" s="1"/>
  <c r="H109" i="5"/>
  <c r="K109" i="5" s="1"/>
  <c r="BA2306" i="3" s="1"/>
  <c r="H60" i="5"/>
  <c r="K60" i="5" s="1"/>
  <c r="F80" i="5"/>
  <c r="J80" i="5" s="1"/>
  <c r="L80" i="5" s="1"/>
  <c r="BA1254" i="3" s="1"/>
  <c r="AE1254" i="3" s="1"/>
  <c r="H8" i="5"/>
  <c r="K8" i="5" s="1"/>
  <c r="L8" i="5" s="1"/>
  <c r="BA1198" i="3" s="1"/>
  <c r="AE1198" i="3" s="1"/>
  <c r="H69" i="5"/>
  <c r="K69" i="5" s="1"/>
  <c r="BA553" i="3" s="1"/>
  <c r="AE553" i="3" s="1"/>
  <c r="H89" i="5"/>
  <c r="K89" i="5" s="1"/>
  <c r="H58" i="5"/>
  <c r="K58" i="5" s="1"/>
  <c r="L58" i="5" s="1"/>
  <c r="BA1704" i="3" s="1"/>
  <c r="AE1704" i="3" s="1"/>
  <c r="H10" i="5"/>
  <c r="K10" i="5" s="1"/>
  <c r="L10" i="5" s="1"/>
  <c r="BA2018" i="3"/>
  <c r="AE2018" i="3" s="1"/>
  <c r="BA2126" i="3"/>
  <c r="BA2314" i="3"/>
  <c r="F91" i="5"/>
  <c r="J91" i="5" s="1"/>
  <c r="L94" i="5"/>
  <c r="BA1724" i="3" s="1"/>
  <c r="AE1724" i="3" s="1"/>
  <c r="L62" i="5"/>
  <c r="BA1726" i="3" s="1"/>
  <c r="AE1726" i="3" s="1"/>
  <c r="L51" i="5"/>
  <c r="BA996" i="3" s="1"/>
  <c r="AE996" i="3" s="1"/>
  <c r="L55" i="5"/>
  <c r="BA997" i="3" s="1"/>
  <c r="AE997" i="3" s="1"/>
  <c r="BA922" i="3"/>
  <c r="AE922" i="3" s="1"/>
  <c r="BA640" i="3"/>
  <c r="AE640" i="3" s="1"/>
  <c r="BA590" i="3"/>
  <c r="AE590" i="3" s="1"/>
  <c r="BA894" i="3"/>
  <c r="AE894" i="3" s="1"/>
  <c r="BA1548" i="3"/>
  <c r="AE1548" i="3" s="1"/>
  <c r="BA1181" i="3"/>
  <c r="AE1181" i="3" s="1"/>
  <c r="BA2012" i="3"/>
  <c r="AE2012" i="3" s="1"/>
  <c r="BA603" i="3"/>
  <c r="AE603" i="3" s="1"/>
  <c r="BA680" i="3"/>
  <c r="AE680" i="3" s="1"/>
  <c r="BA943" i="3"/>
  <c r="AE943" i="3" s="1"/>
  <c r="BA1319" i="3"/>
  <c r="AE1319" i="3" s="1"/>
  <c r="BA681" i="3"/>
  <c r="AE681" i="3" s="1"/>
  <c r="BA856" i="3"/>
  <c r="AE856" i="3" s="1"/>
  <c r="BA923" i="3"/>
  <c r="AE923" i="3" s="1"/>
  <c r="BA1109" i="3"/>
  <c r="AE1109" i="3" s="1"/>
  <c r="BA1994" i="3"/>
  <c r="AE1994" i="3" s="1"/>
  <c r="BA945" i="3"/>
  <c r="AE945" i="3" s="1"/>
  <c r="BA1415" i="3"/>
  <c r="AE1415" i="3" s="1"/>
  <c r="BA655" i="3"/>
  <c r="AE655" i="3" s="1"/>
  <c r="BA559" i="3"/>
  <c r="AE559" i="3" s="1"/>
  <c r="BA871" i="3"/>
  <c r="AE871" i="3" s="1"/>
  <c r="BA1180" i="3"/>
  <c r="AE1180" i="3" s="1"/>
  <c r="BA1391" i="3"/>
  <c r="AE1391" i="3" s="1"/>
  <c r="BA2033" i="3"/>
  <c r="AE2033" i="3" s="1"/>
  <c r="BA876" i="3"/>
  <c r="AE876" i="3" s="1"/>
  <c r="BA735" i="3"/>
  <c r="AE735" i="3" s="1"/>
  <c r="BA1340" i="3"/>
  <c r="AE1340" i="3" s="1"/>
  <c r="BA1547" i="3"/>
  <c r="AE1547" i="3" s="1"/>
  <c r="BA1320" i="3"/>
  <c r="AE1320" i="3" s="1"/>
  <c r="BA1089" i="3"/>
  <c r="AE1089" i="3" s="1"/>
  <c r="BA562" i="3"/>
  <c r="AE562" i="3" s="1"/>
  <c r="BA732" i="3"/>
  <c r="AE732" i="3" s="1"/>
  <c r="BA1108" i="3"/>
  <c r="AE1108" i="3" s="1"/>
  <c r="BA660" i="3"/>
  <c r="AE660" i="3" s="1"/>
  <c r="BA733" i="3"/>
  <c r="AE733" i="3" s="1"/>
  <c r="BA805" i="3"/>
  <c r="AE805" i="3" s="1"/>
  <c r="BA1304" i="3"/>
  <c r="AE1304" i="3" s="1"/>
  <c r="BA1392" i="3"/>
  <c r="AE1392" i="3" s="1"/>
  <c r="BA605" i="3"/>
  <c r="AE605" i="3" s="1"/>
  <c r="BA734" i="3"/>
  <c r="AE734" i="3" s="1"/>
  <c r="BA546" i="3"/>
  <c r="AE546" i="3" s="1"/>
  <c r="BA563" i="3"/>
  <c r="AE563" i="3" s="1"/>
  <c r="BA1402" i="3"/>
  <c r="BA1382" i="3"/>
  <c r="AE1382" i="3" s="1"/>
  <c r="BA1310" i="3"/>
  <c r="AE1310" i="3" s="1"/>
  <c r="BA1385" i="3"/>
  <c r="AE1385" i="3" s="1"/>
  <c r="BA1384" i="3"/>
  <c r="AE1384" i="3" s="1"/>
  <c r="BA1383" i="3"/>
  <c r="AE1383" i="3" s="1"/>
  <c r="BA1309" i="3"/>
  <c r="AE1309" i="3" s="1"/>
  <c r="BA1308" i="3"/>
  <c r="AE1308" i="3" s="1"/>
  <c r="BA1327" i="3"/>
  <c r="BA1307" i="3"/>
  <c r="AE1307" i="3" s="1"/>
  <c r="L5" i="5"/>
  <c r="BA710" i="3"/>
  <c r="AE710" i="3" s="1"/>
  <c r="BA1492" i="3"/>
  <c r="AE1492" i="3" s="1"/>
  <c r="BA897" i="3"/>
  <c r="AE897" i="3" s="1"/>
  <c r="BA595" i="3"/>
  <c r="AE595" i="3" s="1"/>
  <c r="BA747" i="3"/>
  <c r="AE747" i="3" s="1"/>
  <c r="BA671" i="3"/>
  <c r="AE671" i="3" s="1"/>
  <c r="L13" i="5"/>
  <c r="BA749" i="3"/>
  <c r="AE749" i="3" s="1"/>
  <c r="BA673" i="3"/>
  <c r="AE673" i="3" s="1"/>
  <c r="BA1532" i="3"/>
  <c r="AE1532" i="3" s="1"/>
  <c r="BA1494" i="3"/>
  <c r="AE1494" i="3" s="1"/>
  <c r="BA597" i="3"/>
  <c r="AE597" i="3" s="1"/>
  <c r="BA861" i="3"/>
  <c r="AE861" i="3" s="1"/>
  <c r="BA786" i="3"/>
  <c r="AE786" i="3" s="1"/>
  <c r="BA936" i="3"/>
  <c r="AE936" i="3" s="1"/>
  <c r="BA824" i="3"/>
  <c r="AE824" i="3" s="1"/>
  <c r="BA899" i="3"/>
  <c r="AE899" i="3" s="1"/>
  <c r="L19" i="5"/>
  <c r="BA977" i="3" s="1"/>
  <c r="AE977" i="3" s="1"/>
  <c r="BA1052" i="3"/>
  <c r="AE1052" i="3" s="1"/>
  <c r="L31" i="5"/>
  <c r="BA981" i="3" s="1"/>
  <c r="AE981" i="3" s="1"/>
  <c r="BA1131" i="3"/>
  <c r="AE1131" i="3" s="1"/>
  <c r="L43" i="5"/>
  <c r="BA989" i="3" s="1"/>
  <c r="AE989" i="3" s="1"/>
  <c r="BA1064" i="3"/>
  <c r="AE1064" i="3" s="1"/>
  <c r="BA1139" i="3"/>
  <c r="AE1139" i="3" s="1"/>
  <c r="L49" i="5"/>
  <c r="BA637" i="3"/>
  <c r="AE637" i="3" s="1"/>
  <c r="BA840" i="3"/>
  <c r="AE840" i="3" s="1"/>
  <c r="BA714" i="3"/>
  <c r="AE714" i="3" s="1"/>
  <c r="BA915" i="3"/>
  <c r="AE915" i="3" s="1"/>
  <c r="BA939" i="3"/>
  <c r="AE939" i="3" s="1"/>
  <c r="BA789" i="3"/>
  <c r="AE789" i="3" s="1"/>
  <c r="BA864" i="3"/>
  <c r="AE864" i="3" s="1"/>
  <c r="BA765" i="3"/>
  <c r="AE765" i="3" s="1"/>
  <c r="BA613" i="3"/>
  <c r="AE613" i="3" s="1"/>
  <c r="BA1506" i="3"/>
  <c r="AE1506" i="3" s="1"/>
  <c r="BA1535" i="3"/>
  <c r="AE1535" i="3" s="1"/>
  <c r="BA689" i="3"/>
  <c r="AE689" i="3" s="1"/>
  <c r="BA1215" i="3"/>
  <c r="AE1215" i="3" s="1"/>
  <c r="BA1239" i="3"/>
  <c r="AE1239" i="3" s="1"/>
  <c r="L65" i="5"/>
  <c r="BA854" i="3"/>
  <c r="AE854" i="3" s="1"/>
  <c r="BA1512" i="3"/>
  <c r="AE1512" i="3" s="1"/>
  <c r="BA779" i="3"/>
  <c r="AE779" i="3" s="1"/>
  <c r="BA627" i="3"/>
  <c r="AE627" i="3" s="1"/>
  <c r="BA929" i="3"/>
  <c r="AE929" i="3" s="1"/>
  <c r="BA703" i="3"/>
  <c r="AE703" i="3" s="1"/>
  <c r="BA2327" i="3"/>
  <c r="BA2311" i="3"/>
  <c r="BA2226" i="3"/>
  <c r="BA1956" i="3"/>
  <c r="AE1956" i="3" s="1"/>
  <c r="BA2141" i="3"/>
  <c r="BA2307" i="3"/>
  <c r="BA2222" i="3"/>
  <c r="BA1987" i="3"/>
  <c r="AE1987" i="3" s="1"/>
  <c r="BA1969" i="3"/>
  <c r="AE1969" i="3" s="1"/>
  <c r="BA2319" i="3"/>
  <c r="BA2223" i="3"/>
  <c r="BA2234" i="3"/>
  <c r="BA2138" i="3"/>
  <c r="BA2122" i="3"/>
  <c r="BA1947" i="3"/>
  <c r="AE1947" i="3" s="1"/>
  <c r="BA2310" i="3"/>
  <c r="BA1978" i="3"/>
  <c r="AE1978" i="3" s="1"/>
  <c r="BA2325" i="3"/>
  <c r="BA2121" i="3"/>
  <c r="BA1990" i="3"/>
  <c r="BA2347" i="3"/>
  <c r="BA2225" i="3"/>
  <c r="BA2137" i="3"/>
  <c r="BA1986" i="3"/>
  <c r="AE1986" i="3" s="1"/>
  <c r="BA1968" i="3"/>
  <c r="AE1968" i="3" s="1"/>
  <c r="BA1950" i="3"/>
  <c r="BA2328" i="3"/>
  <c r="BA2326" i="3"/>
  <c r="BA2067" i="3"/>
  <c r="AE2067" i="3" s="1"/>
  <c r="BA2070" i="3"/>
  <c r="BA1946" i="3"/>
  <c r="AE1946" i="3" s="1"/>
  <c r="BA2324" i="3"/>
  <c r="BA2308" i="3"/>
  <c r="BA2309" i="3"/>
  <c r="BA1977" i="3"/>
  <c r="AE1977" i="3" s="1"/>
  <c r="BA1989" i="3"/>
  <c r="AE1989" i="3" s="1"/>
  <c r="BA1957" i="3"/>
  <c r="AE1957" i="3" s="1"/>
  <c r="BA1959" i="3"/>
  <c r="AE1959" i="3" s="1"/>
  <c r="BA2224" i="3"/>
  <c r="BA1976" i="3"/>
  <c r="AE1976" i="3" s="1"/>
  <c r="BA2149" i="3"/>
  <c r="BA2336" i="3"/>
  <c r="BA2140" i="3"/>
  <c r="BA2124" i="3"/>
  <c r="BA1967" i="3"/>
  <c r="AE1967" i="3" s="1"/>
  <c r="BA1949" i="3"/>
  <c r="AE1949" i="3" s="1"/>
  <c r="BA1988" i="3"/>
  <c r="AE1988" i="3" s="1"/>
  <c r="BA1970" i="3"/>
  <c r="BA2132" i="3"/>
  <c r="BA1960" i="3"/>
  <c r="BA2066" i="3"/>
  <c r="AE2066" i="3" s="1"/>
  <c r="BA2120" i="3"/>
  <c r="BA2069" i="3"/>
  <c r="AE2069" i="3" s="1"/>
  <c r="BA1980" i="3"/>
  <c r="BA2139" i="3"/>
  <c r="BA2123" i="3"/>
  <c r="BA1966" i="3"/>
  <c r="AE1966" i="3" s="1"/>
  <c r="BA1948" i="3"/>
  <c r="AE1948" i="3" s="1"/>
  <c r="BA1958" i="3"/>
  <c r="AE1958" i="3" s="1"/>
  <c r="BA634" i="3"/>
  <c r="AE634" i="3" s="1"/>
  <c r="BA1979" i="3"/>
  <c r="AE1979" i="3" s="1"/>
  <c r="BA2263" i="3"/>
  <c r="AE2263" i="3" s="1"/>
  <c r="BA2178" i="3"/>
  <c r="AE2178" i="3" s="1"/>
  <c r="BA1993" i="3"/>
  <c r="AE1993" i="3" s="1"/>
  <c r="L28" i="5"/>
  <c r="BA1205" i="3" s="1"/>
  <c r="AE1205" i="3" s="1"/>
  <c r="BA1355" i="3"/>
  <c r="AE1355" i="3" s="1"/>
  <c r="BA1280" i="3"/>
  <c r="AE1280" i="3" s="1"/>
  <c r="L108" i="5"/>
  <c r="BA2231" i="3"/>
  <c r="BA2146" i="3"/>
  <c r="BA2130" i="3"/>
  <c r="BA2333" i="3"/>
  <c r="BA2317" i="3"/>
  <c r="BA2334" i="3"/>
  <c r="BA2040" i="3"/>
  <c r="BA2345" i="3"/>
  <c r="BA2036" i="3"/>
  <c r="AE2036" i="3" s="1"/>
  <c r="BA2049" i="3"/>
  <c r="AE2049" i="3" s="1"/>
  <c r="BA2316" i="3"/>
  <c r="BA2039" i="3"/>
  <c r="AE2039" i="3" s="1"/>
  <c r="BA2344" i="3"/>
  <c r="BA2232" i="3"/>
  <c r="BA2048" i="3"/>
  <c r="AE2048" i="3" s="1"/>
  <c r="BA2147" i="3"/>
  <c r="BA2046" i="3"/>
  <c r="AE2046" i="3" s="1"/>
  <c r="BA2038" i="3"/>
  <c r="AE2038" i="3" s="1"/>
  <c r="BA2047" i="3"/>
  <c r="AE2047" i="3" s="1"/>
  <c r="BA2129" i="3"/>
  <c r="BA2037" i="3"/>
  <c r="AE2037" i="3" s="1"/>
  <c r="L9" i="5"/>
  <c r="BA596" i="3"/>
  <c r="AE596" i="3" s="1"/>
  <c r="BA672" i="3"/>
  <c r="AE672" i="3" s="1"/>
  <c r="BA748" i="3"/>
  <c r="AE748" i="3" s="1"/>
  <c r="BA1493" i="3"/>
  <c r="AE1493" i="3" s="1"/>
  <c r="BA898" i="3"/>
  <c r="AE898" i="3" s="1"/>
  <c r="L35" i="5"/>
  <c r="BA1163" i="3"/>
  <c r="AE1163" i="3" s="1"/>
  <c r="BA1132" i="3"/>
  <c r="AE1132" i="3" s="1"/>
  <c r="BA2125" i="3"/>
  <c r="BA2227" i="3"/>
  <c r="BA2142" i="3"/>
  <c r="BA2329" i="3"/>
  <c r="BA2000" i="3"/>
  <c r="BA2312" i="3"/>
  <c r="BA1996" i="3"/>
  <c r="AE1996" i="3" s="1"/>
  <c r="BA1999" i="3"/>
  <c r="AE1999" i="3" s="1"/>
  <c r="BA2340" i="3"/>
  <c r="BA1998" i="3"/>
  <c r="AE1998" i="3" s="1"/>
  <c r="L52" i="5"/>
  <c r="BA1221" i="3" s="1"/>
  <c r="AE1221" i="3" s="1"/>
  <c r="BA1296" i="3"/>
  <c r="AE1296" i="3" s="1"/>
  <c r="BA1513" i="3"/>
  <c r="AE1513" i="3" s="1"/>
  <c r="BA930" i="3"/>
  <c r="AE930" i="3" s="1"/>
  <c r="BA780" i="3"/>
  <c r="AE780" i="3" s="1"/>
  <c r="BA628" i="3"/>
  <c r="AE628" i="3" s="1"/>
  <c r="BA704" i="3"/>
  <c r="AE704" i="3" s="1"/>
  <c r="L71" i="5"/>
  <c r="BA1170" i="3"/>
  <c r="AE1170" i="3" s="1"/>
  <c r="BA1166" i="3"/>
  <c r="AE1166" i="3" s="1"/>
  <c r="BA1094" i="3"/>
  <c r="AE1094" i="3" s="1"/>
  <c r="BA1169" i="3"/>
  <c r="AE1169" i="3" s="1"/>
  <c r="BA1101" i="3"/>
  <c r="AE1101" i="3" s="1"/>
  <c r="BA1081" i="3"/>
  <c r="AE1081" i="3" s="1"/>
  <c r="BA1176" i="3"/>
  <c r="AE1176" i="3" s="1"/>
  <c r="BA1156" i="3"/>
  <c r="AE1156" i="3" s="1"/>
  <c r="BA1171" i="3"/>
  <c r="AE1171" i="3" s="1"/>
  <c r="BA1168" i="3"/>
  <c r="AE1168" i="3" s="1"/>
  <c r="BA1096" i="3"/>
  <c r="AE1096" i="3" s="1"/>
  <c r="BA1167" i="3"/>
  <c r="AE1167" i="3" s="1"/>
  <c r="BA1095" i="3"/>
  <c r="AE1095" i="3" s="1"/>
  <c r="BA1093" i="3"/>
  <c r="AE1093" i="3" s="1"/>
  <c r="BA1092" i="3"/>
  <c r="AE1092" i="3" s="1"/>
  <c r="BA1091" i="3"/>
  <c r="AE1091" i="3" s="1"/>
  <c r="L60" i="5"/>
  <c r="BA1390" i="3"/>
  <c r="AE1390" i="3" s="1"/>
  <c r="BA1315" i="3"/>
  <c r="AE1315" i="3" s="1"/>
  <c r="BA1373" i="3"/>
  <c r="AE1373" i="3" s="1"/>
  <c r="L81" i="5"/>
  <c r="BA1546" i="3"/>
  <c r="AE1546" i="3" s="1"/>
  <c r="BA879" i="3"/>
  <c r="AE879" i="3" s="1"/>
  <c r="BA729" i="3"/>
  <c r="AE729" i="3" s="1"/>
  <c r="BA954" i="3"/>
  <c r="AE954" i="3" s="1"/>
  <c r="L96" i="5"/>
  <c r="BA2282" i="3"/>
  <c r="AE2282" i="3" s="1"/>
  <c r="BA2278" i="3"/>
  <c r="AE2278" i="3" s="1"/>
  <c r="BA2032" i="3"/>
  <c r="AE2032" i="3" s="1"/>
  <c r="BA2197" i="3"/>
  <c r="AE2197" i="3" s="1"/>
  <c r="BA2042" i="3"/>
  <c r="AE2042" i="3" s="1"/>
  <c r="BA2193" i="3"/>
  <c r="AE2193" i="3" s="1"/>
  <c r="BA804" i="3"/>
  <c r="AE804" i="3" s="1"/>
  <c r="BA1056" i="3"/>
  <c r="AE1056" i="3" s="1"/>
  <c r="BA1127" i="3"/>
  <c r="AE1127" i="3" s="1"/>
  <c r="BA1298" i="3"/>
  <c r="AE1298" i="3" s="1"/>
  <c r="BA823" i="3"/>
  <c r="AE823" i="3" s="1"/>
  <c r="BA1057" i="3"/>
  <c r="AE1057" i="3" s="1"/>
  <c r="BA1371" i="3"/>
  <c r="AE1371" i="3" s="1"/>
  <c r="L39" i="5"/>
  <c r="BA988" i="3" s="1"/>
  <c r="AE988" i="3" s="1"/>
  <c r="BA1063" i="3"/>
  <c r="AE1063" i="3" s="1"/>
  <c r="BA1138" i="3"/>
  <c r="AE1138" i="3" s="1"/>
  <c r="L53" i="5"/>
  <c r="BA921" i="3"/>
  <c r="AE921" i="3" s="1"/>
  <c r="BA1508" i="3"/>
  <c r="AE1508" i="3" s="1"/>
  <c r="BA846" i="3"/>
  <c r="AE846" i="3" s="1"/>
  <c r="BA771" i="3"/>
  <c r="AE771" i="3" s="1"/>
  <c r="BA619" i="3"/>
  <c r="AE619" i="3" s="1"/>
  <c r="BA695" i="3"/>
  <c r="AE695" i="3" s="1"/>
  <c r="BA1997" i="3"/>
  <c r="AE1997" i="3" s="1"/>
  <c r="BA2068" i="3"/>
  <c r="AE2068" i="3" s="1"/>
  <c r="BA1088" i="3"/>
  <c r="AE1088" i="3" s="1"/>
  <c r="L59" i="5"/>
  <c r="BA1073" i="3"/>
  <c r="AE1073" i="3" s="1"/>
  <c r="BA1090" i="3"/>
  <c r="AE1090" i="3" s="1"/>
  <c r="BA1148" i="3"/>
  <c r="AE1148" i="3" s="1"/>
  <c r="L63" i="5"/>
  <c r="BA1004" i="3" s="1"/>
  <c r="AE1004" i="3" s="1"/>
  <c r="BA1154" i="3"/>
  <c r="AE1154" i="3" s="1"/>
  <c r="L101" i="5"/>
  <c r="BA2239" i="3"/>
  <c r="AE2239" i="3" s="1"/>
  <c r="BA2154" i="3"/>
  <c r="AE2154" i="3" s="1"/>
  <c r="BA1933" i="3"/>
  <c r="AE1933" i="3" s="1"/>
  <c r="BA1364" i="3"/>
  <c r="AE1364" i="3" s="1"/>
  <c r="L42" i="5"/>
  <c r="BA1297" i="3"/>
  <c r="AE1297" i="3" s="1"/>
  <c r="BA1372" i="3"/>
  <c r="AE1372" i="3" s="1"/>
  <c r="L24" i="5"/>
  <c r="BA1278" i="3"/>
  <c r="AE1278" i="3" s="1"/>
  <c r="BA1353" i="3"/>
  <c r="AE1353" i="3" s="1"/>
  <c r="L32" i="5"/>
  <c r="BA1206" i="3" s="1"/>
  <c r="AE1206" i="3" s="1"/>
  <c r="BA1179" i="3"/>
  <c r="AE1179" i="3" s="1"/>
  <c r="L73" i="5"/>
  <c r="BA942" i="3"/>
  <c r="AE942" i="3" s="1"/>
  <c r="BA870" i="3"/>
  <c r="AE870" i="3" s="1"/>
  <c r="BA1541" i="3"/>
  <c r="AE1541" i="3" s="1"/>
  <c r="BA866" i="3"/>
  <c r="AE866" i="3" s="1"/>
  <c r="BA794" i="3"/>
  <c r="AE794" i="3" s="1"/>
  <c r="BA726" i="3"/>
  <c r="AE726" i="3" s="1"/>
  <c r="BA1537" i="3"/>
  <c r="AE1537" i="3" s="1"/>
  <c r="BA718" i="3"/>
  <c r="AE718" i="3" s="1"/>
  <c r="BA629" i="3"/>
  <c r="AE629" i="3" s="1"/>
  <c r="BA941" i="3"/>
  <c r="AE941" i="3" s="1"/>
  <c r="BA869" i="3"/>
  <c r="AE869" i="3" s="1"/>
  <c r="BA946" i="3"/>
  <c r="AE946" i="3" s="1"/>
  <c r="BA649" i="3"/>
  <c r="AE649" i="3" s="1"/>
  <c r="BA1540" i="3"/>
  <c r="AE1540" i="3" s="1"/>
  <c r="BA793" i="3"/>
  <c r="AE793" i="3" s="1"/>
  <c r="BA721" i="3"/>
  <c r="AE721" i="3" s="1"/>
  <c r="BA705" i="3"/>
  <c r="AE705" i="3" s="1"/>
  <c r="BA1157" i="3"/>
  <c r="AE1157" i="3" s="1"/>
  <c r="BA2302" i="3"/>
  <c r="AE2302" i="3" s="1"/>
  <c r="BA2217" i="3"/>
  <c r="AE2217" i="3" s="1"/>
  <c r="L12" i="5"/>
  <c r="BA1386" i="3"/>
  <c r="AE1386" i="3" s="1"/>
  <c r="BA1349" i="3"/>
  <c r="AE1349" i="3" s="1"/>
  <c r="BA1238" i="3"/>
  <c r="AE1238" i="3" s="1"/>
  <c r="BA1207" i="3"/>
  <c r="AE1207" i="3" s="1"/>
  <c r="BA587" i="3"/>
  <c r="AE587" i="3" s="1"/>
  <c r="BA612" i="3"/>
  <c r="AE612" i="3" s="1"/>
  <c r="BA638" i="3"/>
  <c r="AE638" i="3" s="1"/>
  <c r="BA659" i="3"/>
  <c r="AE659" i="3" s="1"/>
  <c r="BA604" i="3"/>
  <c r="AE604" i="3" s="1"/>
  <c r="BA635" i="3"/>
  <c r="AE635" i="3" s="1"/>
  <c r="BA656" i="3"/>
  <c r="AE656" i="3" s="1"/>
  <c r="BA715" i="3"/>
  <c r="AE715" i="3" s="1"/>
  <c r="BA736" i="3"/>
  <c r="AE736" i="3" s="1"/>
  <c r="BA787" i="3"/>
  <c r="AE787" i="3" s="1"/>
  <c r="BA808" i="3"/>
  <c r="AE808" i="3" s="1"/>
  <c r="BA931" i="3"/>
  <c r="AE931" i="3" s="1"/>
  <c r="BA951" i="3"/>
  <c r="AE951" i="3" s="1"/>
  <c r="BA969" i="3"/>
  <c r="AE969" i="3" s="1"/>
  <c r="BA1065" i="3"/>
  <c r="AE1065" i="3" s="1"/>
  <c r="BA1112" i="3"/>
  <c r="AE1112" i="3" s="1"/>
  <c r="BA1184" i="3"/>
  <c r="AE1184" i="3" s="1"/>
  <c r="BA1274" i="3"/>
  <c r="AE1274" i="3" s="1"/>
  <c r="BA1345" i="3"/>
  <c r="BA1379" i="3"/>
  <c r="AE1379" i="3" s="1"/>
  <c r="BA1395" i="3"/>
  <c r="AE1395" i="3" s="1"/>
  <c r="BA1504" i="3"/>
  <c r="AE1504" i="3" s="1"/>
  <c r="BA1534" i="3"/>
  <c r="AE1534" i="3" s="1"/>
  <c r="BA1551" i="3"/>
  <c r="AE1551" i="3" s="1"/>
  <c r="BA716" i="3"/>
  <c r="AE716" i="3" s="1"/>
  <c r="BA737" i="3"/>
  <c r="AE737" i="3" s="1"/>
  <c r="BA757" i="3"/>
  <c r="AE757" i="3" s="1"/>
  <c r="BA788" i="3"/>
  <c r="AE788" i="3" s="1"/>
  <c r="BA809" i="3"/>
  <c r="AE809" i="3" s="1"/>
  <c r="BA828" i="3"/>
  <c r="AE828" i="3" s="1"/>
  <c r="BA881" i="3"/>
  <c r="AE881" i="3" s="1"/>
  <c r="BA1071" i="3"/>
  <c r="AE1071" i="3" s="1"/>
  <c r="BA1113" i="3"/>
  <c r="AE1113" i="3" s="1"/>
  <c r="BA1185" i="3"/>
  <c r="AE1185" i="3" s="1"/>
  <c r="BA1276" i="3"/>
  <c r="AE1276" i="3" s="1"/>
  <c r="BA1396" i="3"/>
  <c r="AE1396" i="3" s="1"/>
  <c r="BA1552" i="3"/>
  <c r="AE1552" i="3" s="1"/>
  <c r="BA1741" i="3"/>
  <c r="AE1741" i="3" s="1"/>
  <c r="BA644" i="3"/>
  <c r="AE644" i="3" s="1"/>
  <c r="BA713" i="3"/>
  <c r="AE713" i="3" s="1"/>
  <c r="BA738" i="3"/>
  <c r="AE738" i="3" s="1"/>
  <c r="BA801" i="3"/>
  <c r="AE801" i="3" s="1"/>
  <c r="BA1186" i="3"/>
  <c r="AE1186" i="3" s="1"/>
  <c r="BA1401" i="3"/>
  <c r="AE1401" i="3" s="1"/>
  <c r="BA1536" i="3"/>
  <c r="AE1536" i="3" s="1"/>
  <c r="BA2241" i="3"/>
  <c r="AE2241" i="3" s="1"/>
  <c r="BA641" i="3"/>
  <c r="AE641" i="3" s="1"/>
  <c r="BA2179" i="3"/>
  <c r="AE2179" i="3" s="1"/>
  <c r="BA2265" i="3"/>
  <c r="AE2265" i="3" s="1"/>
  <c r="BA2264" i="3"/>
  <c r="AE2264" i="3" s="1"/>
  <c r="BA2180" i="3"/>
  <c r="AE2180" i="3" s="1"/>
  <c r="L92" i="5"/>
  <c r="BA1339" i="3"/>
  <c r="AE1339" i="3" s="1"/>
  <c r="BA1420" i="3"/>
  <c r="BA1414" i="3"/>
  <c r="AE1414" i="3" s="1"/>
  <c r="BA1342" i="3"/>
  <c r="AE1342" i="3" s="1"/>
  <c r="L7" i="5"/>
  <c r="BA973" i="3" s="1"/>
  <c r="AE973" i="3" s="1"/>
  <c r="BA1048" i="3"/>
  <c r="AE1048" i="3" s="1"/>
  <c r="L11" i="5"/>
  <c r="BA1086" i="3"/>
  <c r="AE1086" i="3" s="1"/>
  <c r="BA1049" i="3"/>
  <c r="AE1049" i="3" s="1"/>
  <c r="BA1161" i="3"/>
  <c r="AE1161" i="3" s="1"/>
  <c r="BA1124" i="3"/>
  <c r="AE1124" i="3" s="1"/>
  <c r="L15" i="5"/>
  <c r="BA976" i="3" s="1"/>
  <c r="AE976" i="3" s="1"/>
  <c r="BA1126" i="3"/>
  <c r="AE1126" i="3" s="1"/>
  <c r="L21" i="5"/>
  <c r="BA1497" i="3"/>
  <c r="AE1497" i="3" s="1"/>
  <c r="BA902" i="3"/>
  <c r="AE902" i="3" s="1"/>
  <c r="BA600" i="3"/>
  <c r="AE600" i="3" s="1"/>
  <c r="L25" i="5"/>
  <c r="BA601" i="3"/>
  <c r="AE601" i="3" s="1"/>
  <c r="BA862" i="3"/>
  <c r="AE862" i="3" s="1"/>
  <c r="BA937" i="3"/>
  <c r="AE937" i="3" s="1"/>
  <c r="L29" i="5"/>
  <c r="BA679" i="3"/>
  <c r="AE679" i="3" s="1"/>
  <c r="BA755" i="3"/>
  <c r="AE755" i="3" s="1"/>
  <c r="L33" i="5"/>
  <c r="BA831" i="3"/>
  <c r="AE831" i="3" s="1"/>
  <c r="BA1501" i="3"/>
  <c r="AE1501" i="3" s="1"/>
  <c r="BA906" i="3"/>
  <c r="AE906" i="3" s="1"/>
  <c r="L37" i="5"/>
  <c r="BA938" i="3"/>
  <c r="AE938" i="3" s="1"/>
  <c r="BA907" i="3"/>
  <c r="AE907" i="3" s="1"/>
  <c r="L41" i="5"/>
  <c r="BA611" i="3"/>
  <c r="AE611" i="3" s="1"/>
  <c r="L45" i="5"/>
  <c r="BA764" i="3"/>
  <c r="AE764" i="3" s="1"/>
  <c r="BA839" i="3"/>
  <c r="AE839" i="3" s="1"/>
  <c r="L40" i="5"/>
  <c r="BA1213" i="3" s="1"/>
  <c r="AE1213" i="3" s="1"/>
  <c r="BA1288" i="3"/>
  <c r="AE1288" i="3" s="1"/>
  <c r="BA1363" i="3"/>
  <c r="AE1363" i="3" s="1"/>
  <c r="L47" i="5"/>
  <c r="BA1140" i="3"/>
  <c r="AE1140" i="3" s="1"/>
  <c r="L26" i="5"/>
  <c r="L50" i="5"/>
  <c r="L85" i="5"/>
  <c r="BA955" i="3"/>
  <c r="AE955" i="3" s="1"/>
  <c r="BA653" i="3"/>
  <c r="AE653" i="3" s="1"/>
  <c r="L72" i="5"/>
  <c r="BA1318" i="3"/>
  <c r="AE1318" i="3" s="1"/>
  <c r="BA1393" i="3"/>
  <c r="AE1393" i="3" s="1"/>
  <c r="BA1321" i="3"/>
  <c r="AE1321" i="3" s="1"/>
  <c r="BA1306" i="3"/>
  <c r="AE1306" i="3" s="1"/>
  <c r="BA1317" i="3"/>
  <c r="AE1317" i="3" s="1"/>
  <c r="BA1394" i="3"/>
  <c r="AE1394" i="3" s="1"/>
  <c r="L95" i="5"/>
  <c r="BA2270" i="3"/>
  <c r="AE2270" i="3" s="1"/>
  <c r="BA2185" i="3"/>
  <c r="AE2185" i="3" s="1"/>
  <c r="BA2266" i="3"/>
  <c r="AE2266" i="3" s="1"/>
  <c r="BA2181" i="3"/>
  <c r="AE2181" i="3" s="1"/>
  <c r="L87" i="5"/>
  <c r="BA1107" i="3"/>
  <c r="AE1107" i="3" s="1"/>
  <c r="BA1187" i="3"/>
  <c r="AE1187" i="3" s="1"/>
  <c r="BA1111" i="3"/>
  <c r="AE1111" i="3" s="1"/>
  <c r="BA1182" i="3"/>
  <c r="AE1182" i="3" s="1"/>
  <c r="BA1110" i="3"/>
  <c r="AE1110" i="3" s="1"/>
  <c r="BA1106" i="3"/>
  <c r="AE1106" i="3" s="1"/>
  <c r="BA1119" i="3"/>
  <c r="AE1119" i="3" s="1"/>
  <c r="BA621" i="3"/>
  <c r="AE621" i="3" s="1"/>
  <c r="BA642" i="3"/>
  <c r="AE642" i="3" s="1"/>
  <c r="BA588" i="3"/>
  <c r="AE588" i="3" s="1"/>
  <c r="BA639" i="3"/>
  <c r="AE639" i="3" s="1"/>
  <c r="BA719" i="3"/>
  <c r="AE719" i="3" s="1"/>
  <c r="BA791" i="3"/>
  <c r="AE791" i="3" s="1"/>
  <c r="BA812" i="3"/>
  <c r="AE812" i="3" s="1"/>
  <c r="BA832" i="3"/>
  <c r="AE832" i="3" s="1"/>
  <c r="BA863" i="3"/>
  <c r="AE863" i="3" s="1"/>
  <c r="BA884" i="3"/>
  <c r="AE884" i="3" s="1"/>
  <c r="BA903" i="3"/>
  <c r="AE903" i="3" s="1"/>
  <c r="BA956" i="3"/>
  <c r="AE956" i="3" s="1"/>
  <c r="BA1079" i="3"/>
  <c r="AE1079" i="3" s="1"/>
  <c r="BA1146" i="3"/>
  <c r="AE1146" i="3" s="1"/>
  <c r="BA1188" i="3"/>
  <c r="AE1188" i="3" s="1"/>
  <c r="BA1311" i="3"/>
  <c r="AE1311" i="3" s="1"/>
  <c r="BA1351" i="3"/>
  <c r="AE1351" i="3" s="1"/>
  <c r="BA1538" i="3"/>
  <c r="AE1538" i="3" s="1"/>
  <c r="BA1555" i="3"/>
  <c r="AE1555" i="3" s="1"/>
  <c r="BA1935" i="3"/>
  <c r="AE1935" i="3" s="1"/>
  <c r="BA720" i="3"/>
  <c r="AE720" i="3" s="1"/>
  <c r="BA792" i="3"/>
  <c r="AE792" i="3" s="1"/>
  <c r="BA813" i="3"/>
  <c r="AE813" i="3" s="1"/>
  <c r="BA838" i="3"/>
  <c r="AE838" i="3" s="1"/>
  <c r="BA885" i="3"/>
  <c r="AE885" i="3" s="1"/>
  <c r="BA905" i="3"/>
  <c r="AE905" i="3" s="1"/>
  <c r="BA957" i="3"/>
  <c r="AE957" i="3" s="1"/>
  <c r="BA1047" i="3"/>
  <c r="AE1047" i="3" s="1"/>
  <c r="BA1080" i="3"/>
  <c r="AE1080" i="3" s="1"/>
  <c r="BA1147" i="3"/>
  <c r="AE1147" i="3" s="1"/>
  <c r="BA1281" i="3"/>
  <c r="AE1281" i="3" s="1"/>
  <c r="BA1312" i="3"/>
  <c r="AE1312" i="3" s="1"/>
  <c r="BA1405" i="3"/>
  <c r="AE1405" i="3" s="1"/>
  <c r="BA1539" i="3"/>
  <c r="AE1539" i="3" s="1"/>
  <c r="BA2092" i="3"/>
  <c r="AE2092" i="3" s="1"/>
  <c r="BA2108" i="3"/>
  <c r="AE2108" i="3" s="1"/>
  <c r="BA589" i="3"/>
  <c r="AE589" i="3" s="1"/>
  <c r="BA657" i="3"/>
  <c r="AE657" i="3" s="1"/>
  <c r="BA687" i="3"/>
  <c r="AE687" i="3" s="1"/>
  <c r="BA717" i="3"/>
  <c r="AE717" i="3" s="1"/>
  <c r="BA781" i="3"/>
  <c r="AE781" i="3" s="1"/>
  <c r="BA806" i="3"/>
  <c r="AE806" i="3" s="1"/>
  <c r="BA830" i="3"/>
  <c r="AE830" i="3" s="1"/>
  <c r="BA882" i="3"/>
  <c r="AE882" i="3" s="1"/>
  <c r="L57" i="5"/>
  <c r="BA620" i="3"/>
  <c r="AE620" i="3" s="1"/>
  <c r="BA772" i="3"/>
  <c r="AE772" i="3" s="1"/>
  <c r="L61" i="5"/>
  <c r="BA773" i="3"/>
  <c r="AE773" i="3" s="1"/>
  <c r="BA848" i="3"/>
  <c r="AE848" i="3" s="1"/>
  <c r="BA790" i="3"/>
  <c r="AE790" i="3" s="1"/>
  <c r="BA697" i="3"/>
  <c r="AE697" i="3" s="1"/>
  <c r="BA865" i="3"/>
  <c r="AE865" i="3" s="1"/>
  <c r="L97" i="5"/>
  <c r="BA2238" i="3"/>
  <c r="AE2238" i="3" s="1"/>
  <c r="BA2153" i="3"/>
  <c r="AE2153" i="3" s="1"/>
  <c r="BA1934" i="3"/>
  <c r="AE1934" i="3" s="1"/>
  <c r="L105" i="5"/>
  <c r="BA2102" i="3"/>
  <c r="AE2102" i="3" s="1"/>
  <c r="BA2156" i="3"/>
  <c r="AE2156" i="3" s="1"/>
  <c r="BA2155" i="3"/>
  <c r="AE2155" i="3" s="1"/>
  <c r="L68" i="5"/>
  <c r="BA1230" i="3" s="1"/>
  <c r="AE1230" i="3" s="1"/>
  <c r="BA1305" i="3"/>
  <c r="AE1305" i="3" s="1"/>
  <c r="L100" i="5"/>
  <c r="BA2279" i="3"/>
  <c r="AE2279" i="3" s="1"/>
  <c r="BA2194" i="3"/>
  <c r="AE2194" i="3" s="1"/>
  <c r="BA2198" i="3"/>
  <c r="AE2198" i="3" s="1"/>
  <c r="BA561" i="3"/>
  <c r="AE561" i="3" s="1"/>
  <c r="BA530" i="3"/>
  <c r="AE530" i="3" s="1"/>
  <c r="BA1272" i="3"/>
  <c r="AE1272" i="3" s="1"/>
  <c r="BA2303" i="3"/>
  <c r="AE2303" i="3" s="1"/>
  <c r="BA2218" i="3"/>
  <c r="AE2218" i="3" s="1"/>
  <c r="BA2093" i="3"/>
  <c r="AE2093" i="3" s="1"/>
  <c r="L89" i="5"/>
  <c r="BA963" i="3"/>
  <c r="AE963" i="3" s="1"/>
  <c r="BA731" i="3"/>
  <c r="AE731" i="3" s="1"/>
  <c r="BA658" i="3"/>
  <c r="AE658" i="3" s="1"/>
  <c r="BA959" i="3"/>
  <c r="AE959" i="3" s="1"/>
  <c r="BA887" i="3"/>
  <c r="AE887" i="3" s="1"/>
  <c r="BA744" i="3"/>
  <c r="AE744" i="3" s="1"/>
  <c r="BA654" i="3"/>
  <c r="AE654" i="3" s="1"/>
  <c r="BA1554" i="3"/>
  <c r="AE1554" i="3" s="1"/>
  <c r="BA883" i="3"/>
  <c r="AE883" i="3" s="1"/>
  <c r="BA811" i="3"/>
  <c r="AE811" i="3" s="1"/>
  <c r="BA667" i="3"/>
  <c r="AE667" i="3" s="1"/>
  <c r="BA1549" i="3"/>
  <c r="AE1549" i="3" s="1"/>
  <c r="BA1550" i="3"/>
  <c r="AE1550" i="3" s="1"/>
  <c r="BA807" i="3"/>
  <c r="AE807" i="3" s="1"/>
  <c r="BA962" i="3"/>
  <c r="AE962" i="3" s="1"/>
  <c r="BA819" i="3"/>
  <c r="AE819" i="3" s="1"/>
  <c r="BA958" i="3"/>
  <c r="AE958" i="3" s="1"/>
  <c r="BA886" i="3"/>
  <c r="AE886" i="3" s="1"/>
  <c r="BA1273" i="3"/>
  <c r="AE1273" i="3" s="1"/>
  <c r="L104" i="5"/>
  <c r="BA2199" i="3"/>
  <c r="AE2199" i="3" s="1"/>
  <c r="BA2045" i="3"/>
  <c r="AE2045" i="3" s="1"/>
  <c r="BA2285" i="3"/>
  <c r="AE2285" i="3" s="1"/>
  <c r="BA2195" i="3"/>
  <c r="AE2195" i="3" s="1"/>
  <c r="BA2281" i="3"/>
  <c r="AE2281" i="3" s="1"/>
  <c r="BA2044" i="3"/>
  <c r="AE2044" i="3" s="1"/>
  <c r="BA2284" i="3"/>
  <c r="AE2284" i="3" s="1"/>
  <c r="BA2280" i="3"/>
  <c r="AE2280" i="3" s="1"/>
  <c r="BA2200" i="3"/>
  <c r="AE2200" i="3" s="1"/>
  <c r="BA2113" i="3"/>
  <c r="AE2113" i="3" s="1"/>
  <c r="BA2035" i="3"/>
  <c r="AE2035" i="3" s="1"/>
  <c r="BA2196" i="3"/>
  <c r="AE2196" i="3" s="1"/>
  <c r="BA2322" i="3"/>
  <c r="BA2098" i="3"/>
  <c r="AE2098" i="3" s="1"/>
  <c r="BA2237" i="3"/>
  <c r="BA2339" i="3"/>
  <c r="BA2348" i="3"/>
  <c r="BA2097" i="3"/>
  <c r="AE2097" i="3" s="1"/>
  <c r="BA2152" i="3"/>
  <c r="BA526" i="3"/>
  <c r="AE526" i="3" s="1"/>
  <c r="BA593" i="3"/>
  <c r="BA643" i="3"/>
  <c r="AE643" i="3" s="1"/>
  <c r="BA707" i="3"/>
  <c r="AE707" i="3" s="1"/>
  <c r="BA795" i="3"/>
  <c r="AE795" i="3" s="1"/>
  <c r="BA867" i="3"/>
  <c r="AE867" i="3" s="1"/>
  <c r="BA888" i="3"/>
  <c r="AE888" i="3" s="1"/>
  <c r="BA913" i="3"/>
  <c r="AE913" i="3" s="1"/>
  <c r="BA960" i="3"/>
  <c r="AE960" i="3" s="1"/>
  <c r="BA1051" i="3"/>
  <c r="AE1051" i="3" s="1"/>
  <c r="BA1083" i="3"/>
  <c r="AE1083" i="3" s="1"/>
  <c r="BA1104" i="3"/>
  <c r="AE1104" i="3" s="1"/>
  <c r="BA1155" i="3"/>
  <c r="AE1155" i="3" s="1"/>
  <c r="BA1289" i="3"/>
  <c r="AE1289" i="3" s="1"/>
  <c r="BA1356" i="3"/>
  <c r="AE1356" i="3" s="1"/>
  <c r="BA1387" i="3"/>
  <c r="AE1387" i="3" s="1"/>
  <c r="BA1514" i="3"/>
  <c r="AE1514" i="3" s="1"/>
  <c r="BA1542" i="3"/>
  <c r="AE1542" i="3" s="1"/>
  <c r="BA2099" i="3"/>
  <c r="AE2099" i="3" s="1"/>
  <c r="BA676" i="3"/>
  <c r="AE676" i="3" s="1"/>
  <c r="BA796" i="3"/>
  <c r="AE796" i="3" s="1"/>
  <c r="BA847" i="3"/>
  <c r="AE847" i="3" s="1"/>
  <c r="BA868" i="3"/>
  <c r="AE868" i="3" s="1"/>
  <c r="BA914" i="3"/>
  <c r="AE914" i="3" s="1"/>
  <c r="BA940" i="3"/>
  <c r="AE940" i="3" s="1"/>
  <c r="BA961" i="3"/>
  <c r="AE961" i="3" s="1"/>
  <c r="BA1084" i="3"/>
  <c r="AE1084" i="3" s="1"/>
  <c r="BA1105" i="3"/>
  <c r="AE1105" i="3" s="1"/>
  <c r="BA1123" i="3"/>
  <c r="AE1123" i="3" s="1"/>
  <c r="BA1194" i="3"/>
  <c r="AE1194" i="3" s="1"/>
  <c r="BA1316" i="3"/>
  <c r="AE1316" i="3" s="1"/>
  <c r="BA1543" i="3"/>
  <c r="AE1543" i="3" s="1"/>
  <c r="BA1560" i="3"/>
  <c r="AE1560" i="3" s="1"/>
  <c r="BA2043" i="3"/>
  <c r="AE2043" i="3" s="1"/>
  <c r="BA2096" i="3"/>
  <c r="AE2096" i="3" s="1"/>
  <c r="BA2112" i="3"/>
  <c r="AE2112" i="3" s="1"/>
  <c r="BA636" i="3"/>
  <c r="AE636" i="3" s="1"/>
  <c r="BA661" i="3"/>
  <c r="AE661" i="3" s="1"/>
  <c r="BA696" i="3"/>
  <c r="AE696" i="3" s="1"/>
  <c r="BA730" i="3"/>
  <c r="AE730" i="3" s="1"/>
  <c r="BA810" i="3"/>
  <c r="AE810" i="3" s="1"/>
  <c r="BA1072" i="3"/>
  <c r="AE1072" i="3" s="1"/>
  <c r="BA1277" i="3"/>
  <c r="AE1277" i="3" s="1"/>
  <c r="BA1330" i="3"/>
  <c r="AE1330" i="3" s="1"/>
  <c r="BA1381" i="3"/>
  <c r="AE1381" i="3" s="1"/>
  <c r="BA688" i="3"/>
  <c r="AE688" i="3" s="1"/>
  <c r="BA934" i="3"/>
  <c r="AE934" i="3" s="1"/>
  <c r="BA547" i="3"/>
  <c r="BA991" i="3"/>
  <c r="BA615" i="3"/>
  <c r="BA1375" i="3"/>
  <c r="BA701" i="3"/>
  <c r="BA1663" i="3"/>
  <c r="BA1524" i="3"/>
  <c r="BA1454" i="3"/>
  <c r="BA690" i="3"/>
  <c r="BA1515" i="3"/>
  <c r="BA834" i="3"/>
  <c r="BA700" i="3"/>
  <c r="BA1706" i="3"/>
  <c r="BA1449" i="3"/>
  <c r="BA1292" i="3"/>
  <c r="BA833" i="3"/>
  <c r="BA1133" i="3"/>
  <c r="BA759" i="3"/>
  <c r="BA1134" i="3"/>
  <c r="BA910" i="3"/>
  <c r="BA1656" i="3"/>
  <c r="BA1368" i="3"/>
  <c r="BA1587" i="3"/>
  <c r="BA1359" i="3"/>
  <c r="BA908" i="3"/>
  <c r="BA1224" i="3"/>
  <c r="BA992" i="3"/>
  <c r="BA843" i="3"/>
  <c r="BA1077" i="3"/>
  <c r="BA1283" i="3"/>
  <c r="BA1301" i="3"/>
  <c r="BA606" i="3"/>
  <c r="BA999" i="3"/>
  <c r="BA1519" i="3"/>
  <c r="BA842" i="3"/>
  <c r="BA533" i="3"/>
  <c r="BA1143" i="3"/>
  <c r="BA1586" i="3"/>
  <c r="BA1286" i="3"/>
  <c r="BA1453" i="3"/>
  <c r="BA1667" i="3"/>
  <c r="BA1517" i="3"/>
  <c r="BA622" i="3"/>
  <c r="BA841" i="3"/>
  <c r="BA1058" i="3"/>
  <c r="BA1366" i="3"/>
  <c r="BA683" i="3"/>
  <c r="BA909" i="3"/>
  <c r="BA1142" i="3"/>
  <c r="BA776" i="3"/>
  <c r="BA1210" i="3"/>
  <c r="BA1660" i="3"/>
  <c r="BA1590" i="3"/>
  <c r="BA1377" i="3"/>
  <c r="BA1291" i="3"/>
  <c r="BA1376" i="3"/>
  <c r="BA1516" i="3"/>
  <c r="BA1591" i="3"/>
  <c r="BA1666" i="3"/>
  <c r="BA1135" i="3"/>
  <c r="BA1216" i="3"/>
  <c r="BA1446" i="3"/>
  <c r="BA1521" i="3"/>
  <c r="BA1596" i="3"/>
  <c r="BA774" i="3"/>
  <c r="BA1074" i="3"/>
  <c r="BA699" i="3"/>
  <c r="BA1075" i="3"/>
  <c r="BA1076" i="3"/>
  <c r="BA1657" i="3"/>
  <c r="BA1358" i="3"/>
  <c r="BA1658" i="3"/>
  <c r="BA1149" i="3"/>
  <c r="BA1588" i="3"/>
  <c r="BA698" i="3"/>
  <c r="BA916" i="3"/>
  <c r="BA1299" i="3"/>
  <c r="BA623" i="3"/>
  <c r="BA1000" i="3"/>
  <c r="BA768" i="3"/>
  <c r="BA777" i="3"/>
  <c r="BA1661" i="3"/>
  <c r="BA1367" i="3"/>
  <c r="BA1662" i="3"/>
  <c r="BA1211" i="3"/>
  <c r="BA1592" i="3"/>
  <c r="BA758" i="3"/>
  <c r="BA924" i="3"/>
  <c r="BA1141" i="3"/>
  <c r="BA1523" i="3"/>
  <c r="BA767" i="3"/>
  <c r="BA1059" i="3"/>
  <c r="BA624" i="3"/>
  <c r="BA1001" i="3"/>
  <c r="BA844" i="3"/>
  <c r="BA1665" i="3"/>
  <c r="BA539" i="3"/>
  <c r="BA682" i="3"/>
  <c r="BA766" i="3"/>
  <c r="BA849" i="3"/>
  <c r="BA983" i="3"/>
  <c r="BA1066" i="3"/>
  <c r="BA1208" i="3"/>
  <c r="BA1374" i="3"/>
  <c r="BA548" i="3"/>
  <c r="BA691" i="3"/>
  <c r="BA775" i="3"/>
  <c r="BA925" i="3"/>
  <c r="BA1067" i="3"/>
  <c r="BA1209" i="3"/>
  <c r="BA692" i="3"/>
  <c r="BA835" i="3"/>
  <c r="BA1068" i="3"/>
  <c r="BA534" i="3"/>
  <c r="BA911" i="3"/>
  <c r="BA1664" i="3"/>
  <c r="BA1594" i="3"/>
  <c r="BA1707" i="3"/>
  <c r="BA1659" i="3"/>
  <c r="BA1300" i="3"/>
  <c r="BA1445" i="3"/>
  <c r="BA1520" i="3"/>
  <c r="BA1595" i="3"/>
  <c r="BA1708" i="3"/>
  <c r="BA1144" i="3"/>
  <c r="BA1225" i="3"/>
  <c r="BA1450" i="3"/>
  <c r="BA1525" i="3"/>
  <c r="BA1709" i="3"/>
  <c r="L3" i="5"/>
  <c r="BA972" i="3" s="1"/>
  <c r="AE972" i="3" s="1"/>
  <c r="X102" i="3"/>
  <c r="BA1085" i="3" l="1"/>
  <c r="AE1085" i="3" s="1"/>
  <c r="BA2258" i="3"/>
  <c r="AE2258" i="3" s="1"/>
  <c r="BA2290" i="3"/>
  <c r="AE2290" i="3" s="1"/>
  <c r="BA1972" i="3"/>
  <c r="AE1972" i="3" s="1"/>
  <c r="BA782" i="3"/>
  <c r="AE782" i="3" s="1"/>
  <c r="BA802" i="3"/>
  <c r="BA785" i="3"/>
  <c r="AE785" i="3" s="1"/>
  <c r="BA630" i="3"/>
  <c r="AE630" i="3" s="1"/>
  <c r="BA857" i="3"/>
  <c r="AE857" i="3" s="1"/>
  <c r="BA1527" i="3"/>
  <c r="AE1527" i="3" s="1"/>
  <c r="BA708" i="3"/>
  <c r="AE708" i="3" s="1"/>
  <c r="BA632" i="3"/>
  <c r="AE632" i="3" s="1"/>
  <c r="BA727" i="3"/>
  <c r="BA650" i="3"/>
  <c r="BA1528" i="3"/>
  <c r="AE1528" i="3" s="1"/>
  <c r="BA966" i="3"/>
  <c r="AE966" i="3" s="1"/>
  <c r="BA970" i="3"/>
  <c r="BA1559" i="3"/>
  <c r="AE1559" i="3" s="1"/>
  <c r="BA663" i="3"/>
  <c r="AE663" i="3" s="1"/>
  <c r="BA1544" i="3"/>
  <c r="L77" i="5"/>
  <c r="BA891" i="3"/>
  <c r="AE891" i="3" s="1"/>
  <c r="BA1561" i="3"/>
  <c r="BA933" i="3"/>
  <c r="AE933" i="3" s="1"/>
  <c r="BA706" i="3"/>
  <c r="AE706" i="3" s="1"/>
  <c r="BA889" i="3"/>
  <c r="AE889" i="3" s="1"/>
  <c r="BA859" i="3"/>
  <c r="AE859" i="3" s="1"/>
  <c r="BA2304" i="3"/>
  <c r="AE2304" i="3" s="1"/>
  <c r="BA741" i="3"/>
  <c r="AE741" i="3" s="1"/>
  <c r="BA662" i="3"/>
  <c r="AE662" i="3" s="1"/>
  <c r="BA964" i="3"/>
  <c r="AE964" i="3" s="1"/>
  <c r="BA742" i="3"/>
  <c r="AE742" i="3" s="1"/>
  <c r="BA892" i="3"/>
  <c r="AE892" i="3" s="1"/>
  <c r="BA739" i="3"/>
  <c r="AE739" i="3" s="1"/>
  <c r="L93" i="5"/>
  <c r="BA952" i="3"/>
  <c r="BA895" i="3"/>
  <c r="BA816" i="3"/>
  <c r="AE816" i="3" s="1"/>
  <c r="BA1557" i="3"/>
  <c r="AE1557" i="3" s="1"/>
  <c r="BA740" i="3"/>
  <c r="AE740" i="3" s="1"/>
  <c r="BA1556" i="3"/>
  <c r="AE1556" i="3" s="1"/>
  <c r="BA668" i="3"/>
  <c r="BA967" i="3"/>
  <c r="AE967" i="3" s="1"/>
  <c r="BA965" i="3"/>
  <c r="AE965" i="3" s="1"/>
  <c r="BA664" i="3"/>
  <c r="AE664" i="3" s="1"/>
  <c r="BA633" i="3"/>
  <c r="AE633" i="3" s="1"/>
  <c r="BA1529" i="3"/>
  <c r="AE1529" i="3" s="1"/>
  <c r="BA1352" i="3"/>
  <c r="AE1352" i="3" s="1"/>
  <c r="BA932" i="3"/>
  <c r="AE932" i="3" s="1"/>
  <c r="BA665" i="3"/>
  <c r="AE665" i="3" s="1"/>
  <c r="BA1558" i="3"/>
  <c r="AE1558" i="3" s="1"/>
  <c r="BA814" i="3"/>
  <c r="AE814" i="3" s="1"/>
  <c r="BA820" i="3"/>
  <c r="BA817" i="3"/>
  <c r="AE817" i="3" s="1"/>
  <c r="BA890" i="3"/>
  <c r="AE890" i="3" s="1"/>
  <c r="BA745" i="3"/>
  <c r="BA1498" i="3"/>
  <c r="AE1498" i="3" s="1"/>
  <c r="BA1533" i="3"/>
  <c r="AE1533" i="3" s="1"/>
  <c r="BA1416" i="3"/>
  <c r="AE1416" i="3" s="1"/>
  <c r="BA1102" i="3"/>
  <c r="BA1705" i="3"/>
  <c r="AE1705" i="3" s="1"/>
  <c r="BA1158" i="3"/>
  <c r="AE1158" i="3" s="1"/>
  <c r="L27" i="5"/>
  <c r="BA980" i="3" s="1"/>
  <c r="AE980" i="3" s="1"/>
  <c r="BA1341" i="3"/>
  <c r="AE1341" i="3" s="1"/>
  <c r="BA1742" i="3"/>
  <c r="AE1742" i="3" s="1"/>
  <c r="BA675" i="3"/>
  <c r="AE675" i="3" s="1"/>
  <c r="BA1739" i="3"/>
  <c r="AE1739" i="3" s="1"/>
  <c r="BA1743" i="3"/>
  <c r="AE1743" i="3" s="1"/>
  <c r="BA1737" i="3"/>
  <c r="AE1737" i="3" s="1"/>
  <c r="BA752" i="3"/>
  <c r="AE752" i="3" s="1"/>
  <c r="BA858" i="3"/>
  <c r="AE858" i="3" s="1"/>
  <c r="BA1128" i="3"/>
  <c r="AE1128" i="3" s="1"/>
  <c r="BA1053" i="3"/>
  <c r="AE1053" i="3" s="1"/>
  <c r="BA2095" i="3"/>
  <c r="AE2095" i="3" s="1"/>
  <c r="BA1162" i="3"/>
  <c r="AE1162" i="3" s="1"/>
  <c r="BA2305" i="3"/>
  <c r="AE2305" i="3" s="1"/>
  <c r="BA1530" i="3"/>
  <c r="AE1530" i="3" s="1"/>
  <c r="BA2219" i="3"/>
  <c r="AE2219" i="3" s="1"/>
  <c r="BA877" i="3"/>
  <c r="BA860" i="3"/>
  <c r="AE860" i="3" s="1"/>
  <c r="L23" i="5"/>
  <c r="BA2118" i="3"/>
  <c r="AE2118" i="3" s="1"/>
  <c r="BA2094" i="3"/>
  <c r="AE2094" i="3" s="1"/>
  <c r="BA631" i="3"/>
  <c r="AE631" i="3" s="1"/>
  <c r="BA1177" i="3"/>
  <c r="L75" i="5"/>
  <c r="BA1736" i="3"/>
  <c r="BA1130" i="3"/>
  <c r="AE1130" i="3" s="1"/>
  <c r="BA1082" i="3"/>
  <c r="AE1082" i="3" s="1"/>
  <c r="BA712" i="3"/>
  <c r="AE712" i="3" s="1"/>
  <c r="BA753" i="3"/>
  <c r="AE753" i="3" s="1"/>
  <c r="BA1937" i="3"/>
  <c r="AE1937" i="3" s="1"/>
  <c r="BA2100" i="3"/>
  <c r="BA1721" i="3"/>
  <c r="AE1721" i="3" s="1"/>
  <c r="BA1735" i="3"/>
  <c r="AE1735" i="3" s="1"/>
  <c r="BA599" i="3"/>
  <c r="AE599" i="3" s="1"/>
  <c r="L69" i="5"/>
  <c r="BA1496" i="3"/>
  <c r="AE1496" i="3" s="1"/>
  <c r="L109" i="5"/>
  <c r="BA1936" i="3"/>
  <c r="AE1936" i="3" s="1"/>
  <c r="BA2119" i="3"/>
  <c r="BA1740" i="3"/>
  <c r="AE1740" i="3" s="1"/>
  <c r="BA826" i="3"/>
  <c r="AE826" i="3" s="1"/>
  <c r="BA1269" i="3"/>
  <c r="AE1269" i="3" s="1"/>
  <c r="BA1259" i="3"/>
  <c r="AE1259" i="3" s="1"/>
  <c r="BA1262" i="3"/>
  <c r="AE1262" i="3" s="1"/>
  <c r="BA1260" i="3"/>
  <c r="AE1260" i="3" s="1"/>
  <c r="BA1256" i="3"/>
  <c r="AE1256" i="3" s="1"/>
  <c r="BA1257" i="3"/>
  <c r="AE1257" i="3" s="1"/>
  <c r="BA1261" i="3"/>
  <c r="AE1261" i="3" s="1"/>
  <c r="BA1258" i="3"/>
  <c r="AE1258" i="3" s="1"/>
  <c r="BA1263" i="3"/>
  <c r="AE1263" i="3" s="1"/>
  <c r="BA2250" i="3"/>
  <c r="AE2250" i="3" s="1"/>
  <c r="BA2205" i="3"/>
  <c r="AE2205" i="3" s="1"/>
  <c r="BA2062" i="3"/>
  <c r="AE2062" i="3" s="1"/>
  <c r="BA2161" i="3"/>
  <c r="AE2161" i="3" s="1"/>
  <c r="BA2254" i="3"/>
  <c r="AE2254" i="3" s="1"/>
  <c r="BA1717" i="3"/>
  <c r="AE1717" i="3" s="1"/>
  <c r="BA1715" i="3"/>
  <c r="AE1715" i="3" s="1"/>
  <c r="BA1714" i="3"/>
  <c r="AE1714" i="3" s="1"/>
  <c r="BA1716" i="3"/>
  <c r="AE1716" i="3" s="1"/>
  <c r="BA1734" i="3"/>
  <c r="BA1727" i="3"/>
  <c r="AE1727" i="3" s="1"/>
  <c r="BA1732" i="3"/>
  <c r="AE1732" i="3" s="1"/>
  <c r="BA1730" i="3"/>
  <c r="AE1730" i="3" s="1"/>
  <c r="BA1729" i="3"/>
  <c r="AE1729" i="3" s="1"/>
  <c r="BA1713" i="3"/>
  <c r="AE1713" i="3" s="1"/>
  <c r="BA1728" i="3"/>
  <c r="AE1728" i="3" s="1"/>
  <c r="BA1731" i="3"/>
  <c r="AE1731" i="3" s="1"/>
  <c r="BA1733" i="3"/>
  <c r="AE1733" i="3" s="1"/>
  <c r="BA586" i="3"/>
  <c r="AE586" i="3" s="1"/>
  <c r="BA584" i="3"/>
  <c r="AE584" i="3" s="1"/>
  <c r="BA582" i="3"/>
  <c r="AE582" i="3" s="1"/>
  <c r="BA585" i="3"/>
  <c r="AE585" i="3" s="1"/>
  <c r="BA580" i="3"/>
  <c r="AE580" i="3" s="1"/>
  <c r="BA592" i="3"/>
  <c r="AE592" i="3" s="1"/>
  <c r="BA581" i="3"/>
  <c r="AE581" i="3" s="1"/>
  <c r="BA583" i="3"/>
  <c r="AE583" i="3" s="1"/>
  <c r="BA579" i="3"/>
  <c r="AE579" i="3" s="1"/>
  <c r="L38" i="5"/>
  <c r="BA1697" i="3"/>
  <c r="AE1697" i="3" s="1"/>
  <c r="BA1159" i="3"/>
  <c r="AE1159" i="3" s="1"/>
  <c r="BA2323" i="3"/>
  <c r="BA2136" i="3"/>
  <c r="BA1940" i="3"/>
  <c r="BA1939" i="3"/>
  <c r="AE1939" i="3" s="1"/>
  <c r="BA1531" i="3"/>
  <c r="BA783" i="3"/>
  <c r="AE783" i="3" s="1"/>
  <c r="BA784" i="3"/>
  <c r="AE784" i="3" s="1"/>
  <c r="BA1938" i="3"/>
  <c r="AE1938" i="3" s="1"/>
  <c r="BA1699" i="3"/>
  <c r="AE1699" i="3" s="1"/>
  <c r="BA901" i="3"/>
  <c r="AE901" i="3" s="1"/>
  <c r="L17" i="5"/>
  <c r="BA1637" i="3" s="1"/>
  <c r="AE1637" i="3" s="1"/>
  <c r="BA1725" i="3"/>
  <c r="AE1725" i="3" s="1"/>
  <c r="BA709" i="3"/>
  <c r="AE709" i="3" s="1"/>
  <c r="BA2221" i="3"/>
  <c r="BA1329" i="3"/>
  <c r="AE1329" i="3" s="1"/>
  <c r="BA1404" i="3"/>
  <c r="AE1404" i="3" s="1"/>
  <c r="BA1344" i="3"/>
  <c r="AE1344" i="3" s="1"/>
  <c r="BA1335" i="3"/>
  <c r="AE1335" i="3" s="1"/>
  <c r="BA1419" i="3"/>
  <c r="AE1419" i="3" s="1"/>
  <c r="BA1338" i="3"/>
  <c r="AE1338" i="3" s="1"/>
  <c r="BA1411" i="3"/>
  <c r="AE1411" i="3" s="1"/>
  <c r="BA1331" i="3"/>
  <c r="AE1331" i="3" s="1"/>
  <c r="BA1410" i="3"/>
  <c r="AE1410" i="3" s="1"/>
  <c r="BA1334" i="3"/>
  <c r="AE1334" i="3" s="1"/>
  <c r="BA1413" i="3"/>
  <c r="AE1413" i="3" s="1"/>
  <c r="BA1337" i="3"/>
  <c r="AE1337" i="3" s="1"/>
  <c r="BA1412" i="3"/>
  <c r="AE1412" i="3" s="1"/>
  <c r="BA1336" i="3"/>
  <c r="AE1336" i="3" s="1"/>
  <c r="BA1407" i="3"/>
  <c r="AE1407" i="3" s="1"/>
  <c r="BA1406" i="3"/>
  <c r="AE1406" i="3" s="1"/>
  <c r="BA1409" i="3"/>
  <c r="AE1409" i="3" s="1"/>
  <c r="BA1333" i="3"/>
  <c r="AE1333" i="3" s="1"/>
  <c r="BA1408" i="3"/>
  <c r="AE1408" i="3" s="1"/>
  <c r="BA1332" i="3"/>
  <c r="AE1332" i="3" s="1"/>
  <c r="BA1723" i="3"/>
  <c r="AE1723" i="3" s="1"/>
  <c r="BA1722" i="3"/>
  <c r="AE1722" i="3" s="1"/>
  <c r="BA1120" i="3"/>
  <c r="BA1117" i="3"/>
  <c r="AE1117" i="3" s="1"/>
  <c r="BA1191" i="3"/>
  <c r="AE1191" i="3" s="1"/>
  <c r="BA1114" i="3"/>
  <c r="AE1114" i="3" s="1"/>
  <c r="BA1115" i="3"/>
  <c r="AE1115" i="3" s="1"/>
  <c r="BA1195" i="3"/>
  <c r="BA1189" i="3"/>
  <c r="AE1189" i="3" s="1"/>
  <c r="BA1192" i="3"/>
  <c r="AE1192" i="3" s="1"/>
  <c r="BA1116" i="3"/>
  <c r="AE1116" i="3" s="1"/>
  <c r="BA1190" i="3"/>
  <c r="AE1190" i="3" s="1"/>
  <c r="L91" i="5"/>
  <c r="BA1013" i="3"/>
  <c r="AE1013" i="3" s="1"/>
  <c r="BA982" i="3"/>
  <c r="AE982" i="3" s="1"/>
  <c r="BA2215" i="3"/>
  <c r="AE2215" i="3" s="1"/>
  <c r="BA2114" i="3"/>
  <c r="AE2114" i="3" s="1"/>
  <c r="BA2301" i="3"/>
  <c r="AE2301" i="3" s="1"/>
  <c r="BA2211" i="3"/>
  <c r="AE2211" i="3" s="1"/>
  <c r="BA2297" i="3"/>
  <c r="AE2297" i="3" s="1"/>
  <c r="BA2054" i="3"/>
  <c r="AE2054" i="3" s="1"/>
  <c r="BA2300" i="3"/>
  <c r="AE2300" i="3" s="1"/>
  <c r="BA2204" i="3"/>
  <c r="AE2204" i="3" s="1"/>
  <c r="BA2085" i="3"/>
  <c r="AE2085" i="3" s="1"/>
  <c r="BA2117" i="3"/>
  <c r="AE2117" i="3" s="1"/>
  <c r="BA2075" i="3"/>
  <c r="AE2075" i="3" s="1"/>
  <c r="BA2296" i="3"/>
  <c r="AE2296" i="3" s="1"/>
  <c r="BA2216" i="3"/>
  <c r="AE2216" i="3" s="1"/>
  <c r="BA2203" i="3"/>
  <c r="AE2203" i="3" s="1"/>
  <c r="BA2289" i="3"/>
  <c r="AE2289" i="3" s="1"/>
  <c r="BA2212" i="3"/>
  <c r="AE2212" i="3" s="1"/>
  <c r="BA2084" i="3"/>
  <c r="AE2084" i="3" s="1"/>
  <c r="BA2288" i="3"/>
  <c r="AE2288" i="3" s="1"/>
  <c r="BA2074" i="3"/>
  <c r="AE2074" i="3" s="1"/>
  <c r="BA2055" i="3"/>
  <c r="AE2055" i="3" s="1"/>
  <c r="BA2116" i="3"/>
  <c r="AE2116" i="3" s="1"/>
  <c r="BA2286" i="3"/>
  <c r="AE2286" i="3" s="1"/>
  <c r="BA2201" i="3"/>
  <c r="AE2201" i="3" s="1"/>
  <c r="BA2298" i="3"/>
  <c r="AE2298" i="3" s="1"/>
  <c r="BA2072" i="3"/>
  <c r="AE2072" i="3" s="1"/>
  <c r="BA2209" i="3"/>
  <c r="AE2209" i="3" s="1"/>
  <c r="BA2294" i="3"/>
  <c r="AE2294" i="3" s="1"/>
  <c r="BA2082" i="3"/>
  <c r="AE2082" i="3" s="1"/>
  <c r="BA2213" i="3"/>
  <c r="AE2213" i="3" s="1"/>
  <c r="BA2052" i="3"/>
  <c r="AE2052" i="3" s="1"/>
  <c r="BA1435" i="3"/>
  <c r="AE1435" i="3" s="1"/>
  <c r="BA1646" i="3"/>
  <c r="AE1646" i="3" s="1"/>
  <c r="BA1576" i="3"/>
  <c r="AE1576" i="3" s="1"/>
  <c r="BA1430" i="3"/>
  <c r="AE1430" i="3" s="1"/>
  <c r="BA1641" i="3"/>
  <c r="AE1641" i="3" s="1"/>
  <c r="BA1571" i="3"/>
  <c r="AE1571" i="3" s="1"/>
  <c r="BA1011" i="3"/>
  <c r="AE1011" i="3" s="1"/>
  <c r="BA974" i="3"/>
  <c r="AE974" i="3" s="1"/>
  <c r="BA1236" i="3"/>
  <c r="AE1236" i="3" s="1"/>
  <c r="BA1199" i="3"/>
  <c r="AE1199" i="3" s="1"/>
  <c r="BA1010" i="3"/>
  <c r="AE1010" i="3" s="1"/>
  <c r="BA1009" i="3"/>
  <c r="AE1009" i="3" s="1"/>
  <c r="BA1008" i="3"/>
  <c r="AE1008" i="3" s="1"/>
  <c r="BA1027" i="3"/>
  <c r="BA1007" i="3"/>
  <c r="AE1007" i="3" s="1"/>
  <c r="BA1237" i="3"/>
  <c r="AE1237" i="3" s="1"/>
  <c r="BA1203" i="3"/>
  <c r="AE1203" i="3" s="1"/>
  <c r="BA998" i="3"/>
  <c r="AE998" i="3" s="1"/>
  <c r="BA1015" i="3"/>
  <c r="AE1015" i="3" s="1"/>
  <c r="BA2274" i="3"/>
  <c r="AE2274" i="3" s="1"/>
  <c r="BA2189" i="3"/>
  <c r="AE2189" i="3" s="1"/>
  <c r="BA2022" i="3"/>
  <c r="AE2022" i="3" s="1"/>
  <c r="BA1584" i="3"/>
  <c r="AE1584" i="3" s="1"/>
  <c r="BA1654" i="3"/>
  <c r="AE1654" i="3" s="1"/>
  <c r="BA1443" i="3"/>
  <c r="AE1443" i="3" s="1"/>
  <c r="BA1675" i="3"/>
  <c r="AE1675" i="3" s="1"/>
  <c r="BA1436" i="3"/>
  <c r="AE1436" i="3" s="1"/>
  <c r="BA1577" i="3"/>
  <c r="AE1577" i="3" s="1"/>
  <c r="BA1647" i="3"/>
  <c r="AE1647" i="3" s="1"/>
  <c r="BA1605" i="3"/>
  <c r="AE1605" i="3" s="1"/>
  <c r="BA1464" i="3"/>
  <c r="AE1464" i="3" s="1"/>
  <c r="BA1234" i="3"/>
  <c r="AE1234" i="3" s="1"/>
  <c r="BA1233" i="3"/>
  <c r="AE1233" i="3" s="1"/>
  <c r="BA1235" i="3"/>
  <c r="AE1235" i="3" s="1"/>
  <c r="BA1232" i="3"/>
  <c r="AE1232" i="3" s="1"/>
  <c r="BA1252" i="3"/>
  <c r="BA1479" i="3"/>
  <c r="AE1479" i="3" s="1"/>
  <c r="BA1692" i="3"/>
  <c r="AE1692" i="3" s="1"/>
  <c r="BA1625" i="3"/>
  <c r="AE1625" i="3" s="1"/>
  <c r="BA1688" i="3"/>
  <c r="AE1688" i="3" s="1"/>
  <c r="BA1621" i="3"/>
  <c r="AE1621" i="3" s="1"/>
  <c r="BA1483" i="3"/>
  <c r="AE1483" i="3" s="1"/>
  <c r="BA1482" i="3"/>
  <c r="AE1482" i="3" s="1"/>
  <c r="BA1700" i="3"/>
  <c r="AE1700" i="3" s="1"/>
  <c r="BA1695" i="3"/>
  <c r="AE1695" i="3" s="1"/>
  <c r="BA1478" i="3"/>
  <c r="AE1478" i="3" s="1"/>
  <c r="BA1691" i="3"/>
  <c r="AE1691" i="3" s="1"/>
  <c r="BA1624" i="3"/>
  <c r="AE1624" i="3" s="1"/>
  <c r="BA1620" i="3"/>
  <c r="AE1620" i="3" s="1"/>
  <c r="BA1694" i="3"/>
  <c r="AE1694" i="3" s="1"/>
  <c r="BA1477" i="3"/>
  <c r="AE1477" i="3" s="1"/>
  <c r="BA1693" i="3"/>
  <c r="AE1693" i="3" s="1"/>
  <c r="BA1481" i="3"/>
  <c r="AE1481" i="3" s="1"/>
  <c r="BA1690" i="3"/>
  <c r="AE1690" i="3" s="1"/>
  <c r="BA1623" i="3"/>
  <c r="AE1623" i="3" s="1"/>
  <c r="BA1489" i="3"/>
  <c r="AE1489" i="3" s="1"/>
  <c r="BA1689" i="3"/>
  <c r="AE1689" i="3" s="1"/>
  <c r="BA1622" i="3"/>
  <c r="AE1622" i="3" s="1"/>
  <c r="BA1619" i="3"/>
  <c r="AE1619" i="3" s="1"/>
  <c r="BA1618" i="3"/>
  <c r="AE1618" i="3" s="1"/>
  <c r="BA1484" i="3"/>
  <c r="AE1484" i="3" s="1"/>
  <c r="BA1630" i="3"/>
  <c r="AE1630" i="3" s="1"/>
  <c r="BA1480" i="3"/>
  <c r="AE1480" i="3" s="1"/>
  <c r="BA1992" i="3"/>
  <c r="AE1992" i="3" s="1"/>
  <c r="BA2262" i="3"/>
  <c r="AE2262" i="3" s="1"/>
  <c r="BA2177" i="3"/>
  <c r="AE2177" i="3" s="1"/>
  <c r="BA1267" i="3"/>
  <c r="AE1267" i="3" s="1"/>
  <c r="BA1266" i="3"/>
  <c r="AE1266" i="3" s="1"/>
  <c r="BA1265" i="3"/>
  <c r="AE1265" i="3" s="1"/>
  <c r="BA1264" i="3"/>
  <c r="AE1264" i="3" s="1"/>
  <c r="BA1270" i="3"/>
  <c r="BA1579" i="3"/>
  <c r="AE1579" i="3" s="1"/>
  <c r="BA1649" i="3"/>
  <c r="AE1649" i="3" s="1"/>
  <c r="BA1438" i="3"/>
  <c r="AE1438" i="3" s="1"/>
  <c r="BA1567" i="3"/>
  <c r="AE1567" i="3" s="1"/>
  <c r="BA2343" i="3"/>
  <c r="BA2027" i="3"/>
  <c r="AE2027" i="3" s="1"/>
  <c r="BA2315" i="3"/>
  <c r="BA2145" i="3"/>
  <c r="BA2026" i="3"/>
  <c r="AE2026" i="3" s="1"/>
  <c r="BA2332" i="3"/>
  <c r="BA2128" i="3"/>
  <c r="BA2028" i="3"/>
  <c r="AE2028" i="3" s="1"/>
  <c r="BA2029" i="3"/>
  <c r="AE2029" i="3" s="1"/>
  <c r="BA2230" i="3"/>
  <c r="BA2030" i="3"/>
  <c r="BA2191" i="3"/>
  <c r="AE2191" i="3" s="1"/>
  <c r="BA2276" i="3"/>
  <c r="AE2276" i="3" s="1"/>
  <c r="BA2025" i="3"/>
  <c r="AE2025" i="3" s="1"/>
  <c r="BA2192" i="3"/>
  <c r="AE2192" i="3" s="1"/>
  <c r="BA2111" i="3"/>
  <c r="AE2111" i="3" s="1"/>
  <c r="BA2024" i="3"/>
  <c r="AE2024" i="3" s="1"/>
  <c r="BA2277" i="3"/>
  <c r="AE2277" i="3" s="1"/>
  <c r="BA1650" i="3"/>
  <c r="AE1650" i="3" s="1"/>
  <c r="BA1580" i="3"/>
  <c r="AE1580" i="3" s="1"/>
  <c r="BA1439" i="3"/>
  <c r="AE1439" i="3" s="1"/>
  <c r="BA1617" i="3"/>
  <c r="AE1617" i="3" s="1"/>
  <c r="BA1476" i="3"/>
  <c r="AE1476" i="3" s="1"/>
  <c r="BA1687" i="3"/>
  <c r="AE1687" i="3" s="1"/>
  <c r="BA1604" i="3"/>
  <c r="AE1604" i="3" s="1"/>
  <c r="BA1573" i="3"/>
  <c r="AE1573" i="3" s="1"/>
  <c r="BA1674" i="3"/>
  <c r="AE1674" i="3" s="1"/>
  <c r="BA1643" i="3"/>
  <c r="AE1643" i="3" s="1"/>
  <c r="BA1432" i="3"/>
  <c r="AE1432" i="3" s="1"/>
  <c r="BA1463" i="3"/>
  <c r="AE1463" i="3" s="1"/>
  <c r="BA1431" i="3"/>
  <c r="AE1431" i="3" s="1"/>
  <c r="BA1642" i="3"/>
  <c r="AE1642" i="3" s="1"/>
  <c r="BA1572" i="3"/>
  <c r="AE1572" i="3" s="1"/>
  <c r="BA1462" i="3"/>
  <c r="AE1462" i="3" s="1"/>
  <c r="BA1639" i="3"/>
  <c r="AE1639" i="3" s="1"/>
  <c r="BA1428" i="3"/>
  <c r="AE1428" i="3" s="1"/>
  <c r="BA1603" i="3"/>
  <c r="AE1603" i="3" s="1"/>
  <c r="BA1673" i="3"/>
  <c r="AE1673" i="3" s="1"/>
  <c r="BA1569" i="3"/>
  <c r="AE1569" i="3" s="1"/>
  <c r="BA1568" i="3"/>
  <c r="AE1568" i="3" s="1"/>
  <c r="BA1427" i="3"/>
  <c r="AE1427" i="3" s="1"/>
  <c r="BA1638" i="3"/>
  <c r="AE1638" i="3" s="1"/>
  <c r="BA1475" i="3"/>
  <c r="AE1475" i="3" s="1"/>
  <c r="BA1616" i="3"/>
  <c r="AE1616" i="3" s="1"/>
  <c r="BA1686" i="3"/>
  <c r="AE1686" i="3" s="1"/>
  <c r="BA1223" i="3"/>
  <c r="AE1223" i="3" s="1"/>
  <c r="BA1240" i="3"/>
  <c r="AE1240" i="3" s="1"/>
  <c r="BA1634" i="3"/>
  <c r="AE1634" i="3" s="1"/>
  <c r="BA1423" i="3"/>
  <c r="AE1423" i="3" s="1"/>
  <c r="BA1564" i="3"/>
  <c r="AE1564" i="3" s="1"/>
  <c r="BA1442" i="3"/>
  <c r="AE1442" i="3" s="1"/>
  <c r="BA1583" i="3"/>
  <c r="AE1583" i="3" s="1"/>
  <c r="BA1653" i="3"/>
  <c r="AE1653" i="3" s="1"/>
  <c r="BA1563" i="3"/>
  <c r="AE1563" i="3" s="1"/>
  <c r="BA1633" i="3"/>
  <c r="AE1633" i="3" s="1"/>
  <c r="BA1422" i="3"/>
  <c r="AE1422" i="3" s="1"/>
  <c r="BA1458" i="3"/>
  <c r="AE1458" i="3" s="1"/>
  <c r="BA1671" i="3"/>
  <c r="AE1671" i="3" s="1"/>
  <c r="BA1599" i="3"/>
  <c r="AE1599" i="3" s="1"/>
  <c r="BA1600" i="3"/>
  <c r="AE1600" i="3" s="1"/>
  <c r="BA1473" i="3"/>
  <c r="BA1457" i="3"/>
  <c r="AE1457" i="3" s="1"/>
  <c r="BA1460" i="3"/>
  <c r="AE1460" i="3" s="1"/>
  <c r="BA1459" i="3"/>
  <c r="AE1459" i="3" s="1"/>
  <c r="BA1598" i="3"/>
  <c r="AE1598" i="3" s="1"/>
  <c r="BA1614" i="3"/>
  <c r="BA1670" i="3"/>
  <c r="AE1670" i="3" s="1"/>
  <c r="BA1669" i="3"/>
  <c r="AE1669" i="3" s="1"/>
  <c r="BA1684" i="3"/>
  <c r="BA1668" i="3"/>
  <c r="AE1668" i="3" s="1"/>
  <c r="BA1601" i="3"/>
  <c r="AE1601" i="3" s="1"/>
  <c r="BA2275" i="3"/>
  <c r="AE2275" i="3" s="1"/>
  <c r="BA2190" i="3"/>
  <c r="AE2190" i="3" s="1"/>
  <c r="BA2023" i="3"/>
  <c r="AE2023" i="3" s="1"/>
  <c r="BA1465" i="3"/>
  <c r="AE1465" i="3" s="1"/>
  <c r="BA1581" i="3"/>
  <c r="AE1581" i="3" s="1"/>
  <c r="BA1676" i="3"/>
  <c r="AE1676" i="3" s="1"/>
  <c r="BA1606" i="3"/>
  <c r="AE1606" i="3" s="1"/>
  <c r="BA1440" i="3"/>
  <c r="AE1440" i="3" s="1"/>
  <c r="BA1651" i="3"/>
  <c r="AE1651" i="3" s="1"/>
  <c r="BA1035" i="3"/>
  <c r="AE1035" i="3" s="1"/>
  <c r="BA1031" i="3"/>
  <c r="AE1031" i="3" s="1"/>
  <c r="BA1044" i="3"/>
  <c r="AE1044" i="3" s="1"/>
  <c r="BA1034" i="3"/>
  <c r="AE1034" i="3" s="1"/>
  <c r="BA1033" i="3"/>
  <c r="AE1033" i="3" s="1"/>
  <c r="BA1032" i="3"/>
  <c r="AE1032" i="3" s="1"/>
  <c r="BA1038" i="3"/>
  <c r="AE1038" i="3" s="1"/>
  <c r="BA1037" i="3"/>
  <c r="AE1037" i="3" s="1"/>
  <c r="BA1036" i="3"/>
  <c r="AE1036" i="3" s="1"/>
  <c r="BA1246" i="3"/>
  <c r="AE1246" i="3" s="1"/>
  <c r="BA1242" i="3"/>
  <c r="AE1242" i="3" s="1"/>
  <c r="BA1245" i="3"/>
  <c r="AE1245" i="3" s="1"/>
  <c r="BA1241" i="3"/>
  <c r="AE1241" i="3" s="1"/>
  <c r="BA1244" i="3"/>
  <c r="AE1244" i="3" s="1"/>
  <c r="BA1243" i="3"/>
  <c r="AE1243" i="3" s="1"/>
  <c r="BA1231" i="3"/>
  <c r="AE1231" i="3" s="1"/>
  <c r="BA1251" i="3"/>
  <c r="AE1251" i="3" s="1"/>
  <c r="BA1014" i="3"/>
  <c r="AE1014" i="3" s="1"/>
  <c r="BA990" i="3"/>
  <c r="AE990" i="3" s="1"/>
  <c r="BA1645" i="3"/>
  <c r="AE1645" i="3" s="1"/>
  <c r="BA1575" i="3"/>
  <c r="AE1575" i="3" s="1"/>
  <c r="BA1434" i="3"/>
  <c r="AE1434" i="3" s="1"/>
  <c r="BA1679" i="3"/>
  <c r="AE1679" i="3" s="1"/>
  <c r="BA1612" i="3"/>
  <c r="AE1612" i="3" s="1"/>
  <c r="BA1608" i="3"/>
  <c r="AE1608" i="3" s="1"/>
  <c r="BA1470" i="3"/>
  <c r="AE1470" i="3" s="1"/>
  <c r="BA1682" i="3"/>
  <c r="AE1682" i="3" s="1"/>
  <c r="BA1466" i="3"/>
  <c r="AE1466" i="3" s="1"/>
  <c r="BA1678" i="3"/>
  <c r="AE1678" i="3" s="1"/>
  <c r="BA1611" i="3"/>
  <c r="AE1611" i="3" s="1"/>
  <c r="BA1683" i="3"/>
  <c r="AE1683" i="3" s="1"/>
  <c r="BA1607" i="3"/>
  <c r="AE1607" i="3" s="1"/>
  <c r="BA1677" i="3"/>
  <c r="AE1677" i="3" s="1"/>
  <c r="BA1610" i="3"/>
  <c r="AE1610" i="3" s="1"/>
  <c r="BA1609" i="3"/>
  <c r="AE1609" i="3" s="1"/>
  <c r="BA1681" i="3"/>
  <c r="AE1681" i="3" s="1"/>
  <c r="BA1469" i="3"/>
  <c r="AE1469" i="3" s="1"/>
  <c r="BA1472" i="3"/>
  <c r="AE1472" i="3" s="1"/>
  <c r="BA1444" i="3"/>
  <c r="AE1444" i="3" s="1"/>
  <c r="BA1471" i="3"/>
  <c r="AE1471" i="3" s="1"/>
  <c r="BA1468" i="3"/>
  <c r="AE1468" i="3" s="1"/>
  <c r="BA1467" i="3"/>
  <c r="AE1467" i="3" s="1"/>
  <c r="BA1655" i="3"/>
  <c r="AE1655" i="3" s="1"/>
  <c r="BA1680" i="3"/>
  <c r="AE1680" i="3" s="1"/>
  <c r="BA1613" i="3"/>
  <c r="AE1613" i="3" s="1"/>
  <c r="BA1585" i="3"/>
  <c r="AE1585" i="3" s="1"/>
  <c r="BA2295" i="3"/>
  <c r="AE2295" i="3" s="1"/>
  <c r="BA2210" i="3"/>
  <c r="AE2210" i="3" s="1"/>
  <c r="BA2287" i="3"/>
  <c r="AE2287" i="3" s="1"/>
  <c r="BA2202" i="3"/>
  <c r="AE2202" i="3" s="1"/>
  <c r="BA2214" i="3"/>
  <c r="AE2214" i="3" s="1"/>
  <c r="BA2299" i="3"/>
  <c r="AE2299" i="3" s="1"/>
  <c r="BA2053" i="3"/>
  <c r="AE2053" i="3" s="1"/>
  <c r="BA2083" i="3"/>
  <c r="AE2083" i="3" s="1"/>
  <c r="BA2073" i="3"/>
  <c r="AE2073" i="3" s="1"/>
  <c r="BA1026" i="3"/>
  <c r="AE1026" i="3" s="1"/>
  <c r="BA1018" i="3"/>
  <c r="AE1018" i="3" s="1"/>
  <c r="BA1006" i="3"/>
  <c r="AE1006" i="3" s="1"/>
  <c r="BA1021" i="3"/>
  <c r="AE1021" i="3" s="1"/>
  <c r="BA1017" i="3"/>
  <c r="AE1017" i="3" s="1"/>
  <c r="BA1020" i="3"/>
  <c r="AE1020" i="3" s="1"/>
  <c r="BA1019" i="3"/>
  <c r="AE1019" i="3" s="1"/>
  <c r="BA1016" i="3"/>
  <c r="AE1016" i="3" s="1"/>
  <c r="BA978" i="3"/>
  <c r="AE978" i="3" s="1"/>
  <c r="BA1012" i="3"/>
  <c r="AE1012" i="3" s="1"/>
  <c r="BA2151" i="3"/>
  <c r="BA2338" i="3"/>
  <c r="BA2080" i="3"/>
  <c r="BA2088" i="3"/>
  <c r="AE2088" i="3" s="1"/>
  <c r="BA2318" i="3"/>
  <c r="BA2076" i="3"/>
  <c r="AE2076" i="3" s="1"/>
  <c r="BA2058" i="3"/>
  <c r="AE2058" i="3" s="1"/>
  <c r="BA2233" i="3"/>
  <c r="BA2335" i="3"/>
  <c r="BA2346" i="3"/>
  <c r="BA2089" i="3"/>
  <c r="AE2089" i="3" s="1"/>
  <c r="BA2079" i="3"/>
  <c r="AE2079" i="3" s="1"/>
  <c r="BA2236" i="3"/>
  <c r="BA2321" i="3"/>
  <c r="BA2057" i="3"/>
  <c r="AE2057" i="3" s="1"/>
  <c r="BA2150" i="3"/>
  <c r="BA2133" i="3"/>
  <c r="BA2078" i="3"/>
  <c r="AE2078" i="3" s="1"/>
  <c r="BA2060" i="3"/>
  <c r="BA2131" i="3"/>
  <c r="BA2148" i="3"/>
  <c r="BA2235" i="3"/>
  <c r="BA2056" i="3"/>
  <c r="AE2056" i="3" s="1"/>
  <c r="BA2077" i="3"/>
  <c r="AE2077" i="3" s="1"/>
  <c r="BA2059" i="3"/>
  <c r="AE2059" i="3" s="1"/>
  <c r="BA2134" i="3"/>
  <c r="BA2337" i="3"/>
  <c r="BA2320" i="3"/>
  <c r="BA2087" i="3"/>
  <c r="AE2087" i="3" s="1"/>
  <c r="BA2090" i="3"/>
  <c r="BA2086" i="3"/>
  <c r="AE2086" i="3" s="1"/>
  <c r="BA1461" i="3"/>
  <c r="AE1461" i="3" s="1"/>
  <c r="BA1424" i="3"/>
  <c r="AE1424" i="3" s="1"/>
  <c r="BA1672" i="3"/>
  <c r="AE1672" i="3" s="1"/>
  <c r="BA1565" i="3"/>
  <c r="AE1565" i="3" s="1"/>
  <c r="BA1602" i="3"/>
  <c r="AE1602" i="3" s="1"/>
  <c r="BA1635" i="3"/>
  <c r="AE1635" i="3" s="1"/>
  <c r="X84" i="3"/>
  <c r="BA1698" i="3" l="1"/>
  <c r="AE1698" i="3" s="1"/>
  <c r="BA1631" i="3"/>
  <c r="BA1696" i="3"/>
  <c r="AE1696" i="3" s="1"/>
  <c r="BA1490" i="3"/>
  <c r="BA1701" i="3"/>
  <c r="BA1488" i="3"/>
  <c r="AE1488" i="3" s="1"/>
  <c r="BA1629" i="3"/>
  <c r="AE1629" i="3" s="1"/>
  <c r="BA1626" i="3"/>
  <c r="AE1626" i="3" s="1"/>
  <c r="BA1485" i="3"/>
  <c r="AE1485" i="3" s="1"/>
  <c r="BA1627" i="3"/>
  <c r="AE1627" i="3" s="1"/>
  <c r="BA1487" i="3"/>
  <c r="AE1487" i="3" s="1"/>
  <c r="BA1628" i="3"/>
  <c r="AE1628" i="3" s="1"/>
  <c r="BA1486" i="3"/>
  <c r="AE1486" i="3" s="1"/>
  <c r="BA1426" i="3"/>
  <c r="AE1426" i="3" s="1"/>
  <c r="BA1039" i="3"/>
  <c r="AE1039" i="3" s="1"/>
  <c r="BA1045" i="3"/>
  <c r="BA1040" i="3"/>
  <c r="AE1040" i="3" s="1"/>
  <c r="BA1042" i="3"/>
  <c r="AE1042" i="3" s="1"/>
  <c r="BA1041" i="3"/>
  <c r="AE1041" i="3" s="1"/>
  <c r="X88" i="3"/>
  <c r="X87" i="3" l="1"/>
  <c r="X82" i="3" l="1"/>
  <c r="X80" i="3" l="1"/>
  <c r="X79" i="3" l="1"/>
  <c r="X77" i="3" l="1"/>
  <c r="X1543" i="3" l="1"/>
  <c r="X951" i="3"/>
  <c r="X852" i="3"/>
  <c r="X792" i="3"/>
  <c r="X791" i="3"/>
  <c r="W787" i="3"/>
  <c r="X787" i="3" s="1"/>
  <c r="X785" i="3"/>
  <c r="X784" i="3"/>
  <c r="X783" i="3"/>
  <c r="X753" i="3"/>
  <c r="X655" i="3"/>
  <c r="X556" i="3"/>
  <c r="X70" i="3"/>
  <c r="X75" i="3" l="1"/>
  <c r="X51" i="3" l="1"/>
  <c r="X101" i="3" l="1"/>
  <c r="X100" i="3" l="1"/>
  <c r="X74" i="3" l="1"/>
  <c r="X78" i="3" l="1"/>
  <c r="X99" i="3" l="1"/>
  <c r="X73" i="3" l="1"/>
  <c r="X50" i="3" l="1"/>
  <c r="X81" i="3" l="1"/>
  <c r="X90" i="3" l="1"/>
  <c r="X57" i="3" l="1"/>
  <c r="X72" i="3" l="1"/>
  <c r="X71" i="3" l="1"/>
  <c r="X98" i="3" l="1"/>
  <c r="X1531" i="3" l="1"/>
  <c r="X62" i="3" l="1"/>
  <c r="X63" i="3"/>
  <c r="X58" i="3" l="1"/>
  <c r="X64" i="3" l="1"/>
  <c r="X59" i="3"/>
  <c r="X97" i="3" l="1"/>
  <c r="X61" i="3" l="1"/>
  <c r="X60" i="3"/>
  <c r="X49" i="3"/>
  <c r="X96" i="3" l="1"/>
  <c r="X76" i="3" l="1"/>
  <c r="X56" i="3"/>
  <c r="X69" i="3" l="1"/>
  <c r="X95" i="3"/>
  <c r="X55" i="3"/>
  <c r="X54" i="3"/>
  <c r="X52" i="3" l="1"/>
  <c r="X53" i="3"/>
  <c r="X41" i="3"/>
  <c r="X68" i="3" l="1"/>
  <c r="X66" i="3"/>
  <c r="X65" i="3"/>
  <c r="X593" i="3" l="1"/>
  <c r="X592" i="3"/>
  <c r="X591" i="3"/>
  <c r="X590" i="3"/>
  <c r="X589" i="3"/>
  <c r="X588" i="3"/>
  <c r="X587" i="3"/>
  <c r="X586" i="3"/>
  <c r="X585" i="3"/>
  <c r="X584" i="3"/>
  <c r="X583" i="3"/>
  <c r="X582" i="3"/>
  <c r="X581" i="3"/>
  <c r="X580" i="3"/>
  <c r="X579" i="3"/>
  <c r="X578" i="3"/>
  <c r="X577" i="3"/>
  <c r="X576" i="3"/>
  <c r="X575" i="3"/>
  <c r="X745" i="3"/>
  <c r="X744" i="3"/>
  <c r="X743" i="3"/>
  <c r="X742" i="3"/>
  <c r="X741" i="3"/>
  <c r="X740" i="3"/>
  <c r="X739" i="3"/>
  <c r="X738" i="3"/>
  <c r="X737" i="3"/>
  <c r="X736" i="3"/>
  <c r="X735" i="3"/>
  <c r="X734" i="3"/>
  <c r="X733" i="3"/>
  <c r="X732" i="3"/>
  <c r="X731" i="3"/>
  <c r="X730" i="3"/>
  <c r="X729" i="3"/>
  <c r="X728" i="3"/>
  <c r="X668" i="3"/>
  <c r="X667" i="3"/>
  <c r="X666" i="3"/>
  <c r="X665" i="3"/>
  <c r="X664" i="3"/>
  <c r="X663" i="3"/>
  <c r="X662" i="3"/>
  <c r="X661" i="3"/>
  <c r="X660" i="3"/>
  <c r="X659" i="3"/>
  <c r="X658" i="3"/>
  <c r="X657" i="3"/>
  <c r="X656" i="3"/>
  <c r="X654" i="3"/>
  <c r="X653" i="3"/>
  <c r="X652" i="3"/>
  <c r="X651" i="3"/>
  <c r="X650" i="3"/>
  <c r="X847" i="3" l="1"/>
  <c r="X67" i="3" l="1"/>
  <c r="X44" i="3"/>
  <c r="X43" i="3"/>
  <c r="X94" i="3" l="1"/>
  <c r="X48" i="3" l="1"/>
  <c r="X45" i="3"/>
  <c r="X42" i="3"/>
  <c r="X93" i="3"/>
  <c r="X746" i="3"/>
  <c r="X747" i="3"/>
  <c r="X748" i="3"/>
  <c r="X749" i="3"/>
  <c r="X750" i="3"/>
  <c r="X751" i="3"/>
  <c r="X752" i="3"/>
  <c r="X754" i="3"/>
  <c r="X755" i="3"/>
  <c r="X756" i="3"/>
  <c r="X757" i="3"/>
  <c r="X758" i="3"/>
  <c r="X759" i="3"/>
  <c r="X760" i="3"/>
  <c r="X761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47" i="3"/>
  <c r="X39" i="3"/>
  <c r="X35" i="3"/>
  <c r="X46" i="3"/>
  <c r="X1542" i="3"/>
  <c r="X1541" i="3"/>
  <c r="X1540" i="3"/>
  <c r="X1539" i="3"/>
  <c r="X1538" i="3"/>
  <c r="X946" i="3"/>
  <c r="X945" i="3"/>
  <c r="X944" i="3"/>
  <c r="X943" i="3"/>
  <c r="X942" i="3"/>
  <c r="X871" i="3"/>
  <c r="X870" i="3"/>
  <c r="X869" i="3"/>
  <c r="X868" i="3"/>
  <c r="X867" i="3"/>
  <c r="X796" i="3"/>
  <c r="X795" i="3"/>
  <c r="X794" i="3"/>
  <c r="X793" i="3"/>
  <c r="X721" i="3"/>
  <c r="X720" i="3"/>
  <c r="X719" i="3"/>
  <c r="X718" i="3"/>
  <c r="X717" i="3"/>
  <c r="X644" i="3"/>
  <c r="X643" i="3"/>
  <c r="X642" i="3"/>
  <c r="X641" i="3"/>
  <c r="X640" i="3"/>
  <c r="X567" i="3"/>
  <c r="X566" i="3"/>
  <c r="X565" i="3"/>
  <c r="X1544" i="3"/>
  <c r="X952" i="3"/>
  <c r="X877" i="3"/>
  <c r="X876" i="3"/>
  <c r="X802" i="3"/>
  <c r="X801" i="3"/>
  <c r="X727" i="3"/>
  <c r="X726" i="3"/>
  <c r="X649" i="3"/>
  <c r="X574" i="3"/>
  <c r="X1530" i="3"/>
  <c r="X1529" i="3"/>
  <c r="X1528" i="3"/>
  <c r="X1526" i="3"/>
  <c r="X1525" i="3"/>
  <c r="X1524" i="3"/>
  <c r="X1522" i="3"/>
  <c r="X1521" i="3"/>
  <c r="X1520" i="3"/>
  <c r="X1518" i="3"/>
  <c r="X1517" i="3"/>
  <c r="X1516" i="3"/>
  <c r="X935" i="3"/>
  <c r="X934" i="3"/>
  <c r="X933" i="3"/>
  <c r="X927" i="3"/>
  <c r="X926" i="3"/>
  <c r="X925" i="3"/>
  <c r="X919" i="3"/>
  <c r="X918" i="3"/>
  <c r="X917" i="3"/>
  <c r="X911" i="3"/>
  <c r="X910" i="3"/>
  <c r="X909" i="3"/>
  <c r="X860" i="3"/>
  <c r="X859" i="3"/>
  <c r="X858" i="3"/>
  <c r="X851" i="3"/>
  <c r="X850" i="3"/>
  <c r="X844" i="3"/>
  <c r="X843" i="3"/>
  <c r="X842" i="3"/>
  <c r="X836" i="3"/>
  <c r="X835" i="3"/>
  <c r="X834" i="3"/>
  <c r="X777" i="3"/>
  <c r="X776" i="3"/>
  <c r="X775" i="3"/>
  <c r="X769" i="3"/>
  <c r="X768" i="3"/>
  <c r="X767" i="3"/>
  <c r="X709" i="3"/>
  <c r="X708" i="3"/>
  <c r="X707" i="3"/>
  <c r="X701" i="3"/>
  <c r="X700" i="3"/>
  <c r="X699" i="3"/>
  <c r="X693" i="3"/>
  <c r="X692" i="3"/>
  <c r="X691" i="3"/>
  <c r="X685" i="3"/>
  <c r="X633" i="3"/>
  <c r="X632" i="3"/>
  <c r="X631" i="3"/>
  <c r="X625" i="3"/>
  <c r="X624" i="3"/>
  <c r="X623" i="3"/>
  <c r="X617" i="3"/>
  <c r="X616" i="3"/>
  <c r="X615" i="3"/>
  <c r="X609" i="3"/>
  <c r="X608" i="3"/>
  <c r="X607" i="3"/>
  <c r="X558" i="3"/>
  <c r="X557" i="3"/>
  <c r="X550" i="3"/>
  <c r="X549" i="3"/>
  <c r="X548" i="3"/>
  <c r="X542" i="3"/>
  <c r="X541" i="3"/>
  <c r="X540" i="3"/>
  <c r="X534" i="3"/>
  <c r="X533" i="3"/>
  <c r="X532" i="3"/>
  <c r="X38" i="3"/>
  <c r="X36" i="3"/>
  <c r="X40" i="3"/>
  <c r="X37" i="3"/>
  <c r="X1527" i="3"/>
  <c r="X1523" i="3"/>
  <c r="X1519" i="3"/>
  <c r="X1515" i="3"/>
  <c r="X950" i="3"/>
  <c r="X949" i="3"/>
  <c r="X948" i="3"/>
  <c r="X947" i="3"/>
  <c r="X875" i="3"/>
  <c r="X874" i="3"/>
  <c r="X873" i="3"/>
  <c r="X872" i="3"/>
  <c r="X800" i="3"/>
  <c r="X799" i="3"/>
  <c r="X798" i="3"/>
  <c r="X797" i="3"/>
  <c r="X725" i="3"/>
  <c r="X723" i="3"/>
  <c r="X722" i="3"/>
  <c r="X724" i="3"/>
  <c r="X648" i="3"/>
  <c r="X647" i="3"/>
  <c r="X646" i="3"/>
  <c r="X645" i="3"/>
  <c r="X572" i="3"/>
  <c r="X571" i="3"/>
  <c r="X570" i="3"/>
  <c r="X573" i="3"/>
  <c r="X33" i="3"/>
  <c r="X29" i="3"/>
  <c r="X34" i="3"/>
  <c r="X941" i="3"/>
  <c r="X866" i="3"/>
  <c r="X716" i="3"/>
  <c r="X639" i="3"/>
  <c r="X564" i="3"/>
  <c r="X1537" i="3"/>
  <c r="X1514" i="3"/>
  <c r="X1513" i="3"/>
  <c r="X1512" i="3"/>
  <c r="X1511" i="3"/>
  <c r="X932" i="3"/>
  <c r="X931" i="3"/>
  <c r="X930" i="3"/>
  <c r="X929" i="3"/>
  <c r="X928" i="3"/>
  <c r="X857" i="3"/>
  <c r="X856" i="3"/>
  <c r="X855" i="3"/>
  <c r="X854" i="3"/>
  <c r="X853" i="3"/>
  <c r="X782" i="3"/>
  <c r="X781" i="3"/>
  <c r="X780" i="3"/>
  <c r="X779" i="3"/>
  <c r="X778" i="3"/>
  <c r="X706" i="3"/>
  <c r="X705" i="3"/>
  <c r="X704" i="3"/>
  <c r="X703" i="3"/>
  <c r="X702" i="3"/>
  <c r="X630" i="3"/>
  <c r="X629" i="3"/>
  <c r="X628" i="3"/>
  <c r="X627" i="3"/>
  <c r="X626" i="3"/>
  <c r="X555" i="3"/>
  <c r="X554" i="3"/>
  <c r="X553" i="3"/>
  <c r="X552" i="3"/>
  <c r="X551" i="3"/>
  <c r="X31" i="3"/>
  <c r="X32" i="3"/>
  <c r="X30" i="3"/>
  <c r="W1536" i="3"/>
  <c r="X1536" i="3" s="1"/>
  <c r="W1535" i="3"/>
  <c r="X1535" i="3" s="1"/>
  <c r="W1534" i="3"/>
  <c r="X1534" i="3" s="1"/>
  <c r="W1533" i="3"/>
  <c r="X1533" i="3" s="1"/>
  <c r="W1532" i="3"/>
  <c r="X1532" i="3" s="1"/>
  <c r="W940" i="3"/>
  <c r="X940" i="3" s="1"/>
  <c r="W939" i="3"/>
  <c r="X939" i="3" s="1"/>
  <c r="W938" i="3"/>
  <c r="X938" i="3" s="1"/>
  <c r="W937" i="3"/>
  <c r="X937" i="3" s="1"/>
  <c r="W936" i="3"/>
  <c r="X936" i="3" s="1"/>
  <c r="W865" i="3"/>
  <c r="X865" i="3" s="1"/>
  <c r="W864" i="3"/>
  <c r="X864" i="3" s="1"/>
  <c r="W863" i="3"/>
  <c r="X863" i="3" s="1"/>
  <c r="W862" i="3"/>
  <c r="X862" i="3" s="1"/>
  <c r="W861" i="3"/>
  <c r="X861" i="3" s="1"/>
  <c r="W790" i="3"/>
  <c r="X790" i="3" s="1"/>
  <c r="W789" i="3"/>
  <c r="X789" i="3" s="1"/>
  <c r="W788" i="3"/>
  <c r="X788" i="3" s="1"/>
  <c r="W786" i="3"/>
  <c r="X786" i="3" s="1"/>
  <c r="X714" i="3"/>
  <c r="X713" i="3"/>
  <c r="X712" i="3"/>
  <c r="X638" i="3"/>
  <c r="X634" i="3"/>
  <c r="X563" i="3"/>
  <c r="X562" i="3"/>
  <c r="X560" i="3"/>
  <c r="X559" i="3"/>
  <c r="X715" i="3"/>
  <c r="X711" i="3"/>
  <c r="X637" i="3"/>
  <c r="X636" i="3"/>
  <c r="X635" i="3"/>
  <c r="X561" i="3"/>
  <c r="X4" i="3"/>
  <c r="X710" i="3"/>
  <c r="X1510" i="3"/>
  <c r="X1509" i="3"/>
  <c r="X1508" i="3"/>
  <c r="X1507" i="3"/>
  <c r="X1506" i="3"/>
  <c r="X1505" i="3"/>
  <c r="X1504" i="3"/>
  <c r="X1503" i="3"/>
  <c r="X1502" i="3"/>
  <c r="X1501" i="3"/>
  <c r="X1500" i="3"/>
  <c r="X1499" i="3"/>
  <c r="X1498" i="3"/>
  <c r="X1497" i="3"/>
  <c r="X1496" i="3"/>
  <c r="X1495" i="3"/>
  <c r="X1494" i="3"/>
  <c r="X1493" i="3"/>
  <c r="X1492" i="3"/>
  <c r="X1491" i="3"/>
  <c r="X924" i="3"/>
  <c r="X923" i="3"/>
  <c r="X922" i="3"/>
  <c r="X921" i="3"/>
  <c r="X920" i="3"/>
  <c r="X916" i="3"/>
  <c r="X915" i="3"/>
  <c r="X914" i="3"/>
  <c r="X913" i="3"/>
  <c r="X912" i="3"/>
  <c r="X908" i="3"/>
  <c r="X907" i="3"/>
  <c r="X906" i="3"/>
  <c r="X905" i="3"/>
  <c r="X904" i="3"/>
  <c r="X903" i="3"/>
  <c r="X902" i="3"/>
  <c r="X901" i="3"/>
  <c r="X900" i="3"/>
  <c r="X899" i="3"/>
  <c r="X898" i="3"/>
  <c r="X897" i="3"/>
  <c r="X896" i="3"/>
  <c r="X849" i="3"/>
  <c r="X848" i="3"/>
  <c r="X846" i="3"/>
  <c r="X845" i="3"/>
  <c r="X841" i="3"/>
  <c r="X840" i="3"/>
  <c r="X839" i="3"/>
  <c r="X838" i="3"/>
  <c r="X837" i="3"/>
  <c r="X833" i="3"/>
  <c r="X832" i="3"/>
  <c r="X831" i="3"/>
  <c r="X830" i="3"/>
  <c r="X829" i="3"/>
  <c r="X828" i="3"/>
  <c r="X827" i="3"/>
  <c r="X826" i="3"/>
  <c r="X825" i="3"/>
  <c r="X824" i="3"/>
  <c r="X823" i="3"/>
  <c r="X822" i="3"/>
  <c r="X821" i="3"/>
  <c r="X774" i="3"/>
  <c r="X773" i="3"/>
  <c r="X772" i="3"/>
  <c r="X771" i="3"/>
  <c r="X770" i="3"/>
  <c r="X766" i="3"/>
  <c r="X765" i="3"/>
  <c r="X764" i="3"/>
  <c r="X763" i="3"/>
  <c r="X762" i="3"/>
  <c r="X698" i="3"/>
  <c r="X697" i="3"/>
  <c r="X696" i="3"/>
  <c r="X695" i="3"/>
  <c r="X694" i="3"/>
  <c r="X690" i="3"/>
  <c r="X689" i="3"/>
  <c r="X688" i="3"/>
  <c r="X687" i="3"/>
  <c r="X686" i="3"/>
  <c r="X622" i="3"/>
  <c r="X621" i="3"/>
  <c r="X620" i="3"/>
  <c r="X619" i="3"/>
  <c r="X618" i="3"/>
  <c r="X614" i="3"/>
  <c r="X613" i="3"/>
  <c r="X612" i="3"/>
  <c r="X611" i="3"/>
  <c r="X610" i="3"/>
  <c r="X606" i="3"/>
  <c r="X605" i="3"/>
  <c r="X604" i="3"/>
  <c r="X603" i="3"/>
  <c r="X602" i="3"/>
  <c r="X601" i="3"/>
  <c r="X600" i="3"/>
  <c r="X599" i="3"/>
  <c r="X598" i="3"/>
  <c r="X597" i="3"/>
  <c r="X596" i="3"/>
  <c r="X595" i="3"/>
  <c r="X594" i="3"/>
  <c r="X547" i="3"/>
  <c r="X546" i="3"/>
  <c r="X545" i="3"/>
  <c r="X544" i="3"/>
  <c r="X543" i="3"/>
  <c r="X539" i="3"/>
  <c r="X538" i="3"/>
  <c r="X537" i="3"/>
  <c r="X536" i="3"/>
  <c r="X535" i="3"/>
  <c r="X531" i="3"/>
  <c r="X530" i="3"/>
  <c r="X529" i="3"/>
  <c r="X528" i="3"/>
  <c r="X527" i="3"/>
  <c r="X526" i="3"/>
  <c r="X525" i="3"/>
  <c r="X524" i="3"/>
  <c r="X523" i="3"/>
  <c r="X522" i="3"/>
  <c r="X521" i="3"/>
  <c r="X520" i="3"/>
  <c r="X519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tc={B4F2B499-0FDA-427C-95C2-6AF7B4087E0B}</author>
    <author>tc={36CEAFA0-E6F8-40E1-B903-5DEA9C89AC4A}</author>
    <author>tc={FFBBCEA2-2230-4160-BF7D-CD1C608BD241}</author>
    <author>tc={4A57B219-AEBB-404C-8794-6FC61EF2C794}</author>
    <author>tc={9FBF7D93-B0F1-412C-8EB4-4AFBD04CB2BF}</author>
    <author>tc={6F7DC75E-EDC5-4993-9381-08EF6D1FC844}</author>
    <author>만든 이</author>
    <author>tc={5849894F-24FB-4921-921B-95856E8DE762}</author>
    <author>tc={66A69E6C-6EA2-4A1F-BB7A-52DA43AC8AA2}</author>
    <author>tc={16BBD577-9153-41B4-A895-3FBBD506A0AB}</author>
    <author>tc={4C39FDA5-769B-476A-B3EB-76FFFA538A0A}</author>
    <author>tc={BD5A216E-635B-4AD4-8A4D-F641A1C6ED87}</author>
    <author>tc={0BC02410-5152-4C7E-A7F0-E93BDF200E3E}</author>
    <author>tc={25C79029-744B-445D-BC88-83191CF54441}</author>
    <author>tc={17A053D4-576F-4B68-BBB3-BFA92A12BB6D}</author>
    <author>tc={9B338690-42F8-4C40-8685-69CAB7536EA1}</author>
    <author>tc={DACE838C-1033-4FE9-B0BF-E51430949496}</author>
    <author>tc={0C324C73-5AD2-4860-B365-04D733F6C3DF}</author>
  </authors>
  <commentList>
    <comment ref="A2" authorId="0" shapeId="0" xr:uid="{B4F2B499-0FDA-427C-95C2-6AF7B4087E0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아이템 코드</t>
      </text>
    </comment>
    <comment ref="E2" authorId="1" shapeId="0" xr:uid="{36CEAFA0-E6F8-40E1-B903-5DEA9C89AC4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파트</t>
      </text>
    </comment>
    <comment ref="F2" authorId="2" shapeId="0" xr:uid="{FFBBCEA2-2230-4160-BF7D-CD1C608BD24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착용 가능한 대상 직업</t>
      </text>
    </comment>
    <comment ref="G2" authorId="3" shapeId="0" xr:uid="{4A57B219-AEBB-404C-8794-6FC61EF2C7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세부 타입</t>
      </text>
    </comment>
    <comment ref="H2" authorId="4" shapeId="0" xr:uid="{9FBF7D93-B0F1-412C-8EB4-4AFBD04CB2B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소울웨폰 해방 여부</t>
      </text>
    </comment>
    <comment ref="I2" authorId="5" shapeId="0" xr:uid="{6F7DC75E-EDC5-4993-9381-08EF6D1FC84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착용 가능한 영웅</t>
      </text>
    </comment>
    <comment ref="J2" authorId="6" shapeId="0" xr:uid="{AC367D16-82D2-4D1D-AE69-F037D346EE4F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None = </t>
        </r>
        <r>
          <rPr>
            <sz val="9"/>
            <color indexed="81"/>
            <rFont val="돋움"/>
            <family val="3"/>
            <charset val="129"/>
          </rPr>
          <t xml:space="preserve">대장간
</t>
        </r>
        <r>
          <rPr>
            <sz val="9"/>
            <color indexed="81"/>
            <rFont val="Tahoma"/>
            <family val="2"/>
          </rPr>
          <t xml:space="preserve">Valance = </t>
        </r>
        <r>
          <rPr>
            <sz val="9"/>
            <color indexed="81"/>
            <rFont val="돋움"/>
            <family val="3"/>
            <charset val="129"/>
          </rPr>
          <t>발란세</t>
        </r>
      </text>
    </comment>
    <comment ref="K2" authorId="6" shapeId="0" xr:uid="{947D2418-E28C-4049-8D89-9E92AB08E876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None = </t>
        </r>
        <r>
          <rPr>
            <sz val="9"/>
            <color indexed="81"/>
            <rFont val="돋움"/>
            <family val="3"/>
            <charset val="129"/>
          </rPr>
          <t>일반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장비
</t>
        </r>
        <r>
          <rPr>
            <sz val="9"/>
            <color indexed="81"/>
            <rFont val="Tahoma"/>
            <family val="2"/>
          </rPr>
          <t xml:space="preserve">TehnoMagic = </t>
        </r>
        <r>
          <rPr>
            <sz val="9"/>
            <color indexed="81"/>
            <rFont val="돋움"/>
            <family val="3"/>
            <charset val="129"/>
          </rPr>
          <t>마도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</t>
        </r>
      </text>
    </comment>
    <comment ref="L2" authorId="6" shapeId="0" xr:uid="{1BA4821E-4631-488B-A542-A265CEF92168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None = </t>
        </r>
        <r>
          <rPr>
            <sz val="9"/>
            <color indexed="81"/>
            <rFont val="돋움"/>
            <family val="3"/>
            <charset val="129"/>
          </rPr>
          <t xml:space="preserve">일반
</t>
        </r>
        <r>
          <rPr>
            <sz val="9"/>
            <color indexed="81"/>
            <rFont val="Tahoma"/>
            <family val="2"/>
          </rPr>
          <t xml:space="preserve">Advanced = </t>
        </r>
        <r>
          <rPr>
            <sz val="9"/>
            <color indexed="81"/>
            <rFont val="돋움"/>
            <family val="3"/>
            <charset val="129"/>
          </rPr>
          <t>상급</t>
        </r>
      </text>
    </comment>
    <comment ref="O2" authorId="7" shapeId="0" xr:uid="{5849894F-24FB-4921-921B-95856E8DE76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장비의 티어</t>
      </text>
    </comment>
    <comment ref="P2" authorId="8" shapeId="0" xr:uid="{66A69E6C-6EA2-4A1F-BB7A-52DA43AC8AA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착용 시 요구 레벨</t>
      </text>
    </comment>
    <comment ref="AE2" authorId="9" shapeId="0" xr:uid="{16BBD577-9153-41B4-A895-3FBBD506A0A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붙을수 있는 옵션 그룹</t>
      </text>
    </comment>
    <comment ref="AF2" authorId="10" shapeId="0" xr:uid="{4C39FDA5-769B-476A-B3EB-76FFFA538A0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동일 옵션 허용</t>
      </text>
    </comment>
    <comment ref="AI2" authorId="11" shapeId="0" xr:uid="{BD5A216E-635B-4AD4-8A4D-F641A1C6ED8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옵션
전무/전보 고유 옵션</t>
      </text>
    </comment>
    <comment ref="AN2" authorId="12" shapeId="0" xr:uid="{0BC02410-5152-4C7E-A7F0-E93BDF200E3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세트 옵션 인덱스</t>
      </text>
    </comment>
    <comment ref="AP2" authorId="13" shapeId="0" xr:uid="{25C79029-744B-445D-BC88-83191CF5444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무기 외형의 Prefix</t>
      </text>
    </comment>
    <comment ref="AR2" authorId="14" shapeId="0" xr:uid="{17A053D4-576F-4B68-BBB3-BFA92A12BB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최소 룬 슬롯 개수</t>
      </text>
    </comment>
    <comment ref="AS2" authorId="15" shapeId="0" xr:uid="{9B338690-42F8-4C40-8685-69CAB7536EA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최대 룬 슬롯 개수</t>
      </text>
    </comment>
    <comment ref="AU2" authorId="16" shapeId="0" xr:uid="{DACE838C-1033-4FE9-B0BF-E5143094949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디테일 인덱스</t>
      </text>
    </comment>
    <comment ref="AX2" authorId="6" shapeId="0" xr:uid="{C0BAFEF7-F0EC-4652-B71E-D52FD2196785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칼럼의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
=VLOOKUP(AP780,[</t>
        </r>
        <r>
          <rPr>
            <sz val="9"/>
            <color indexed="81"/>
            <rFont val="돋움"/>
            <family val="3"/>
            <charset val="129"/>
          </rPr>
          <t>옵션그룹계산기</t>
        </r>
        <r>
          <rPr>
            <sz val="9"/>
            <color indexed="81"/>
            <rFont val="Tahoma"/>
            <family val="2"/>
          </rPr>
          <t>_1.01.xlsx]</t>
        </r>
        <r>
          <rPr>
            <sz val="9"/>
            <color indexed="81"/>
            <rFont val="돋움"/>
            <family val="3"/>
            <charset val="129"/>
          </rPr>
          <t>색인</t>
        </r>
        <r>
          <rPr>
            <sz val="9"/>
            <color indexed="81"/>
            <rFont val="Tahoma"/>
            <family val="2"/>
          </rPr>
          <t>!$M$14:$N$19,2,FALSE)</t>
        </r>
      </text>
    </comment>
    <comment ref="AY2" authorId="6" shapeId="0" xr:uid="{73E20198-62D6-4A6C-84FF-2EA78F64EC06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칼럼의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백업</t>
        </r>
        <r>
          <rPr>
            <sz val="9"/>
            <color indexed="81"/>
            <rFont val="Tahoma"/>
            <family val="2"/>
          </rPr>
          <t xml:space="preserve">
="T"&amp;J780&amp;"_"&amp;AQ780&amp;"</t>
        </r>
        <r>
          <rPr>
            <sz val="9"/>
            <color indexed="81"/>
            <rFont val="돋움"/>
            <family val="3"/>
            <charset val="129"/>
          </rPr>
          <t>옵션</t>
        </r>
        <r>
          <rPr>
            <sz val="9"/>
            <color indexed="81"/>
            <rFont val="Tahoma"/>
            <family val="2"/>
          </rPr>
          <t>_"&amp;VLOOKUP(D780,[</t>
        </r>
        <r>
          <rPr>
            <sz val="9"/>
            <color indexed="81"/>
            <rFont val="돋움"/>
            <family val="3"/>
            <charset val="129"/>
          </rPr>
          <t>옵션그룹계산기</t>
        </r>
        <r>
          <rPr>
            <sz val="9"/>
            <color indexed="81"/>
            <rFont val="Tahoma"/>
            <family val="2"/>
          </rPr>
          <t>_1.01.xlsx]</t>
        </r>
        <r>
          <rPr>
            <sz val="9"/>
            <color indexed="81"/>
            <rFont val="돋움"/>
            <family val="3"/>
            <charset val="129"/>
          </rPr>
          <t>색인</t>
        </r>
        <r>
          <rPr>
            <sz val="9"/>
            <color indexed="81"/>
            <rFont val="Tahoma"/>
            <family val="2"/>
          </rPr>
          <t>!$I$25:$J$29,2,FALSE)</t>
        </r>
      </text>
    </comment>
    <comment ref="BA2" authorId="6" shapeId="0" xr:uid="{08995D88-B63B-4B67-8B75-BCBBEA25D176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칼럼의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
=VLOOKUP(AR780,[</t>
        </r>
        <r>
          <rPr>
            <sz val="9"/>
            <color indexed="81"/>
            <rFont val="돋움"/>
            <family val="3"/>
            <charset val="129"/>
          </rPr>
          <t>옵션그룹계산기</t>
        </r>
        <r>
          <rPr>
            <sz val="9"/>
            <color indexed="81"/>
            <rFont val="Tahoma"/>
            <family val="2"/>
          </rPr>
          <t>_1.01.xlsx]</t>
        </r>
        <r>
          <rPr>
            <sz val="9"/>
            <color indexed="81"/>
            <rFont val="돋움"/>
            <family val="3"/>
            <charset val="129"/>
          </rPr>
          <t>판금</t>
        </r>
        <r>
          <rPr>
            <sz val="9"/>
            <color indexed="81"/>
            <rFont val="Tahoma"/>
            <family val="2"/>
          </rPr>
          <t xml:space="preserve">2!$G$3:$H$193,2,FALSE)
</t>
        </r>
      </text>
    </comment>
    <comment ref="C2643" authorId="17" shapeId="0" xr:uid="{0C324C73-5AD2-4860-B365-04D733F6C3D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리소스명 : EVENTCRAFT_MATERIAL_QUESTION</t>
      </text>
    </comment>
  </commentList>
</comments>
</file>

<file path=xl/sharedStrings.xml><?xml version="1.0" encoding="utf-8"?>
<sst xmlns="http://schemas.openxmlformats.org/spreadsheetml/2006/main" count="32017" uniqueCount="5685">
  <si>
    <t>Weapon</t>
  </si>
  <si>
    <t>Armor</t>
  </si>
  <si>
    <t>Accessory</t>
  </si>
  <si>
    <t>숲의 목걸이</t>
  </si>
  <si>
    <t>은팔찌</t>
  </si>
  <si>
    <t>정령의 반지</t>
  </si>
  <si>
    <t>블러드 스톤 목걸이</t>
  </si>
  <si>
    <t>무거운 갑옷</t>
  </si>
  <si>
    <t>병사용 갑옷</t>
  </si>
  <si>
    <t>오크 전사의 갑옷</t>
  </si>
  <si>
    <t>부족 전사의 갑옷</t>
  </si>
  <si>
    <t>가죽 갑옷</t>
  </si>
  <si>
    <t>딱딱한 나무 갑옷</t>
  </si>
  <si>
    <t>오크 길잡이 경갑</t>
  </si>
  <si>
    <t>징박힌 가죽 갑옷</t>
  </si>
  <si>
    <t>척후병의 가죽 갑옷</t>
  </si>
  <si>
    <t>고블린 옷</t>
  </si>
  <si>
    <t>오크 일상복</t>
  </si>
  <si>
    <t>대지 샤먼 로브</t>
  </si>
  <si>
    <t>의식용 드레스</t>
  </si>
  <si>
    <t>고대의 로브</t>
  </si>
  <si>
    <t>외출복</t>
  </si>
  <si>
    <t>수련용 도복</t>
  </si>
  <si>
    <t>실크 셔츠</t>
  </si>
  <si>
    <t>나무 지팡이</t>
  </si>
  <si>
    <t>작은 마법봉</t>
  </si>
  <si>
    <t>기묘한 나뭇가지</t>
  </si>
  <si>
    <t>방랑자의 지팡이</t>
  </si>
  <si>
    <t>깃털 장식 지팡이</t>
  </si>
  <si>
    <t>족장의 지팡이</t>
  </si>
  <si>
    <t>사악한 지팡이</t>
  </si>
  <si>
    <t>고대의 마법봉</t>
  </si>
  <si>
    <t>이름 없는 신의 지팡이</t>
  </si>
  <si>
    <t>수련용 활</t>
  </si>
  <si>
    <t>단궁</t>
  </si>
  <si>
    <t>장궁</t>
  </si>
  <si>
    <t>엘프 사냥 활</t>
  </si>
  <si>
    <t>오크의 활</t>
  </si>
  <si>
    <t>전투용 활</t>
  </si>
  <si>
    <t>인도자의 활</t>
  </si>
  <si>
    <t>뼈다귀 활</t>
  </si>
  <si>
    <t>음유시인의 활</t>
  </si>
  <si>
    <t>고대의 활</t>
  </si>
  <si>
    <t>달을 부르는 활</t>
  </si>
  <si>
    <t>장검</t>
  </si>
  <si>
    <t>넓은 검</t>
  </si>
  <si>
    <t>대검</t>
  </si>
  <si>
    <t>부족 전사의 검</t>
  </si>
  <si>
    <t>해골 장식 장검</t>
  </si>
  <si>
    <t>은색 장검</t>
  </si>
  <si>
    <t>용살자의 검</t>
  </si>
  <si>
    <t>단도</t>
  </si>
  <si>
    <t>0</t>
  </si>
  <si>
    <t>TYPE</t>
  </si>
  <si>
    <t>STAT</t>
  </si>
  <si>
    <t>OPTION</t>
  </si>
  <si>
    <t>RUNE</t>
  </si>
  <si>
    <t>EquipCode</t>
  </si>
  <si>
    <t>TagType[]</t>
  </si>
  <si>
    <t>ReqLevel</t>
  </si>
  <si>
    <t>MaxMp</t>
  </si>
  <si>
    <t>MpOnDamage</t>
  </si>
  <si>
    <t>MpOnAttack</t>
  </si>
  <si>
    <t>MpOnKill</t>
  </si>
  <si>
    <t>CriticalRate</t>
  </si>
  <si>
    <t>AttackSpeed</t>
  </si>
  <si>
    <t>PhysicalAttack</t>
  </si>
  <si>
    <t>MagicalAttack</t>
  </si>
  <si>
    <t>MaxHp</t>
  </si>
  <si>
    <t>HpRecovery</t>
  </si>
  <si>
    <t>PhysicalDefense</t>
  </si>
  <si>
    <t>MagicalDefense</t>
  </si>
  <si>
    <t>OptionIndex[]</t>
  </si>
  <si>
    <t>MinRuneCount</t>
  </si>
  <si>
    <t>MaxRuneCount</t>
  </si>
  <si>
    <t>(Name)</t>
  </si>
  <si>
    <t>Tier</t>
    <phoneticPr fontId="4" type="noConversion"/>
  </si>
  <si>
    <t>Weapon_Knight</t>
  </si>
  <si>
    <t>Weapon_Warrior</t>
  </si>
  <si>
    <t>Weapon_Archer</t>
  </si>
  <si>
    <t>Weapon_Mechanic</t>
  </si>
  <si>
    <t>Weapon_Wizard</t>
  </si>
  <si>
    <t>Armor_Heavy</t>
  </si>
  <si>
    <t>Armor_Light</t>
  </si>
  <si>
    <t>Armor_Robe</t>
  </si>
  <si>
    <t>Heavy Armor Second Gear</t>
  </si>
  <si>
    <t>Light Armor Second Gear</t>
  </si>
  <si>
    <t>Robe Armor Second Gear</t>
  </si>
  <si>
    <t>Knight</t>
    <phoneticPr fontId="4" type="noConversion"/>
  </si>
  <si>
    <t>Warrior</t>
    <phoneticPr fontId="4" type="noConversion"/>
  </si>
  <si>
    <t>Archer</t>
    <phoneticPr fontId="4" type="noConversion"/>
  </si>
  <si>
    <t>Mechanic</t>
    <phoneticPr fontId="4" type="noConversion"/>
  </si>
  <si>
    <t>Knight,Warrior</t>
    <phoneticPr fontId="4" type="noConversion"/>
  </si>
  <si>
    <t>Wizard,Priest</t>
    <phoneticPr fontId="4" type="noConversion"/>
  </si>
  <si>
    <t>1</t>
    <phoneticPr fontId="4" type="noConversion"/>
  </si>
  <si>
    <t>2</t>
    <phoneticPr fontId="4" type="noConversion"/>
  </si>
  <si>
    <t>3</t>
    <phoneticPr fontId="4" type="noConversion"/>
  </si>
  <si>
    <t>4</t>
    <phoneticPr fontId="4" type="noConversion"/>
  </si>
  <si>
    <t>0</t>
    <phoneticPr fontId="4" type="noConversion"/>
  </si>
  <si>
    <t>0</t>
    <phoneticPr fontId="4" type="noConversion"/>
  </si>
  <si>
    <t>1</t>
    <phoneticPr fontId="4" type="noConversion"/>
  </si>
  <si>
    <t>SecondGear</t>
    <phoneticPr fontId="4" type="noConversion"/>
  </si>
  <si>
    <t>WEAPON_KNIGHT_1_1_1</t>
  </si>
  <si>
    <t>WEAPON_KNIGHT_1_2_1</t>
  </si>
  <si>
    <t>WEAPON_KNIGHT_1_3_1</t>
  </si>
  <si>
    <t>WEAPON_KNIGHT_2_1_1</t>
  </si>
  <si>
    <t>WEAPON_KNIGHT_2_2_1</t>
  </si>
  <si>
    <t>WEAPON_KNIGHT_2_3_1</t>
  </si>
  <si>
    <t>WEAPON_KNIGHT_3_1_1</t>
  </si>
  <si>
    <t>WEAPON_KNIGHT_3_2_1</t>
  </si>
  <si>
    <t>WEAPON_KNIGHT_3_3_1</t>
  </si>
  <si>
    <t>WEAPON_KNIGHT_3_4_1</t>
  </si>
  <si>
    <t>WEAPON_KNIGHT_4_1_1</t>
  </si>
  <si>
    <t>WEAPON_KNIGHT_4_2_1</t>
  </si>
  <si>
    <t>WEAPON_KNIGHT_4_3_1</t>
  </si>
  <si>
    <t>WEAPON_KNIGHT_4_4_1</t>
  </si>
  <si>
    <t>WEAPON_WARRIOR_1_1_1</t>
  </si>
  <si>
    <t>WEAPON_WARRIOR_1_2_1</t>
  </si>
  <si>
    <t>WEAPON_WARRIOR_2_1_1</t>
  </si>
  <si>
    <t>WEAPON_WARRIOR_2_2_1</t>
  </si>
  <si>
    <t>WEAPON_WARRIOR_2_3_1</t>
  </si>
  <si>
    <t>WEAPON_WARRIOR_3_1_1</t>
  </si>
  <si>
    <t>WEAPON_WARRIOR_3_2_1</t>
  </si>
  <si>
    <t>WEAPON_WARRIOR_3_3_1</t>
  </si>
  <si>
    <t>WEAPON_WARRIOR_3_4_1</t>
  </si>
  <si>
    <t>WEAPON_WARRIOR_4_1_1</t>
  </si>
  <si>
    <t>WEAPON_WARRIOR_4_2_1</t>
  </si>
  <si>
    <t>WEAPON_WARRIOR_4_3_1</t>
  </si>
  <si>
    <t>WEAPON_WARRIOR_4_4_1</t>
  </si>
  <si>
    <t>WEAPON_ARCHER_1_1_1</t>
  </si>
  <si>
    <t>WEAPON_ARCHER_1_2_1</t>
  </si>
  <si>
    <t>WEAPON_ARCHER_1_3_1</t>
  </si>
  <si>
    <t>WEAPON_ARCHER_2_1_1</t>
  </si>
  <si>
    <t>WEAPON_ARCHER_2_2_1</t>
  </si>
  <si>
    <t>WEAPON_ARCHER_2_3_1</t>
  </si>
  <si>
    <t>WEAPON_ARCHER_3_1_1</t>
  </si>
  <si>
    <t>WEAPON_ARCHER_3_2_1</t>
  </si>
  <si>
    <t>WEAPON_ARCHER_3_3_1</t>
  </si>
  <si>
    <t>WEAPON_ARCHER_3_4_1</t>
  </si>
  <si>
    <t>WEAPON_ARCHER_4_1_1</t>
  </si>
  <si>
    <t>WEAPON_ARCHER_4_2_1</t>
    <phoneticPr fontId="4" type="noConversion"/>
  </si>
  <si>
    <t>WEAPON_ARCHER_4_3_1</t>
    <phoneticPr fontId="4" type="noConversion"/>
  </si>
  <si>
    <t>WEAPON_ARCHER_4_4_1</t>
    <phoneticPr fontId="4" type="noConversion"/>
  </si>
  <si>
    <t>WEAPON_MECHANIC_1_1_1</t>
  </si>
  <si>
    <t>WEAPON_MECHANIC_1_2_1</t>
  </si>
  <si>
    <t>WEAPON_MECHANIC_1_3_1</t>
  </si>
  <si>
    <t>WEAPON_MECHANIC_2_1_1</t>
  </si>
  <si>
    <t>WEAPON_MECHANIC_2_2_1</t>
  </si>
  <si>
    <t>WEAPON_MECHANIC_2_3_1</t>
  </si>
  <si>
    <t>WEAPON_MECHANIC_3_1_1</t>
  </si>
  <si>
    <t>WEAPON_MECHANIC_3_2_1</t>
  </si>
  <si>
    <t>WEAPON_MECHANIC_3_3_1</t>
  </si>
  <si>
    <t>WEAPON_MECHANIC_3_4_1</t>
  </si>
  <si>
    <t>WEAPON_MECHANIC_4_1_1</t>
    <phoneticPr fontId="4" type="noConversion"/>
  </si>
  <si>
    <t>WEAPON_MECHANIC_4_2_1</t>
    <phoneticPr fontId="4" type="noConversion"/>
  </si>
  <si>
    <t>WEAPON_MECHANIC_4_3_1</t>
    <phoneticPr fontId="4" type="noConversion"/>
  </si>
  <si>
    <t>WEAPON_MECHANIC_4_4_1</t>
    <phoneticPr fontId="4" type="noConversion"/>
  </si>
  <si>
    <t>WEAPON_WIZARD_1_1_1</t>
  </si>
  <si>
    <t>WEAPON_WIZARD_1_2_1</t>
  </si>
  <si>
    <t>WEAPON_WIZARD_2_1_1</t>
  </si>
  <si>
    <t>WEAPON_WIZARD_2_2_1</t>
  </si>
  <si>
    <t>WEAPON_WIZARD_3_1_1</t>
  </si>
  <si>
    <t>WEAPON_WIZARD_3_2_1</t>
  </si>
  <si>
    <t>WEAPON_WIZARD_3_3_1</t>
  </si>
  <si>
    <t>WEAPON_WIZARD_3_4_1</t>
  </si>
  <si>
    <t>WEAPON_WIZARD_4_1_1</t>
    <phoneticPr fontId="4" type="noConversion"/>
  </si>
  <si>
    <t>WEAPON_WIZARD_4_2_1</t>
    <phoneticPr fontId="4" type="noConversion"/>
  </si>
  <si>
    <t>WEAPON_WIZARD_4_3_1</t>
    <phoneticPr fontId="4" type="noConversion"/>
  </si>
  <si>
    <t>WEAPON_WIZARD_4_4_1</t>
    <phoneticPr fontId="4" type="noConversion"/>
  </si>
  <si>
    <t>ARMOR_HEAVY_1_1_1</t>
  </si>
  <si>
    <t>ARMOR_HEAVY_1_2_1</t>
  </si>
  <si>
    <t>ARMOR_HEAVY_2_1_1</t>
  </si>
  <si>
    <t>ARMOR_HEAVY_2_2_1</t>
  </si>
  <si>
    <t>ARMOR_HEAVY_2_3_1</t>
  </si>
  <si>
    <t>ARMOR_HEAVY_3_1_1</t>
  </si>
  <si>
    <t>ARMOR_HEAVY_3_2_1</t>
  </si>
  <si>
    <t>ARMOR_HEAVY_3_3_1</t>
  </si>
  <si>
    <t>ARMOR_HEAVY_3_4_1</t>
  </si>
  <si>
    <t>ARMOR_HEAVY_4_1_1</t>
    <phoneticPr fontId="4" type="noConversion"/>
  </si>
  <si>
    <t>ARMOR_HEAVY_4_2_1</t>
    <phoneticPr fontId="4" type="noConversion"/>
  </si>
  <si>
    <t>ARMOR_HEAVY_4_3_1</t>
    <phoneticPr fontId="4" type="noConversion"/>
  </si>
  <si>
    <t>ARMOR_HEAVY_4_4_1</t>
    <phoneticPr fontId="4" type="noConversion"/>
  </si>
  <si>
    <t>ARMOR_LIGHT_1_1_1</t>
  </si>
  <si>
    <t>ARMOR_LIGHT_1_2_1</t>
  </si>
  <si>
    <t>ARMOR_LIGHT_2_1_1</t>
  </si>
  <si>
    <t>ARMOR_LIGHT_2_2_1</t>
  </si>
  <si>
    <t>ARMOR_LIGHT_2_3_1</t>
  </si>
  <si>
    <t>ARMOR_LIGHT_3_1_1</t>
  </si>
  <si>
    <t>ARMOR_LIGHT_3_2_1</t>
  </si>
  <si>
    <t>ARMOR_LIGHT_3_3_1</t>
  </si>
  <si>
    <t>ARMOR_LIGHT_3_4_1</t>
  </si>
  <si>
    <t>ARMOR_LIGHT_4_1_1</t>
  </si>
  <si>
    <t>ARMOR_LIGHT_4_2_1</t>
    <phoneticPr fontId="4" type="noConversion"/>
  </si>
  <si>
    <t>ARMOR_LIGHT_4_3_1</t>
    <phoneticPr fontId="4" type="noConversion"/>
  </si>
  <si>
    <t>ARMOR_LIGHT_4_4_1</t>
    <phoneticPr fontId="4" type="noConversion"/>
  </si>
  <si>
    <t>ARMOR_ROBE_1_1_1</t>
  </si>
  <si>
    <t>ARMOR_ROBE_1_2_1</t>
  </si>
  <si>
    <t>ARMOR_ROBE_2_1_1</t>
  </si>
  <si>
    <t>ARMOR_ROBE_2_2_1</t>
  </si>
  <si>
    <t>ARMOR_ROBE_2_3_1</t>
  </si>
  <si>
    <t>ARMOR_ROBE_3_1_1</t>
  </si>
  <si>
    <t>ARMOR_ROBE_3_2_1</t>
  </si>
  <si>
    <t>ARMOR_ROBE_3_3_1</t>
  </si>
  <si>
    <t>ARMOR_ROBE_3_4_1</t>
  </si>
  <si>
    <t>ARMOR_ROBE_4_1_1</t>
    <phoneticPr fontId="4" type="noConversion"/>
  </si>
  <si>
    <t>ARMOR_ROBE_4_2_1</t>
    <phoneticPr fontId="4" type="noConversion"/>
  </si>
  <si>
    <t>ARMOR_ROBE_4_3_1</t>
    <phoneticPr fontId="4" type="noConversion"/>
  </si>
  <si>
    <t>ARMOR_ROBE_4_4_1</t>
    <phoneticPr fontId="4" type="noConversion"/>
  </si>
  <si>
    <t>GEAR_HEAVY_1_1_1</t>
  </si>
  <si>
    <t>GEAR_HEAVY_1_2_1</t>
  </si>
  <si>
    <t>GEAR_HEAVY_1_3_1</t>
  </si>
  <si>
    <t>GEAR_HEAVY_2_1_1</t>
  </si>
  <si>
    <t>GEAR_HEAVY_2_2_1</t>
  </si>
  <si>
    <t>GEAR_HEAVY_2_3_1</t>
  </si>
  <si>
    <t>GEAR_HEAVY_3_1_1</t>
  </si>
  <si>
    <t>GEAR_HEAVY_3_2_1</t>
  </si>
  <si>
    <t>GEAR_HEAVY_3_3_1</t>
  </si>
  <si>
    <t>GEAR_HEAVY_3_4_1</t>
  </si>
  <si>
    <t>GEAR_HEAVY_4_1_1</t>
    <phoneticPr fontId="4" type="noConversion"/>
  </si>
  <si>
    <t>GEAR_HEAVY_4_2_1</t>
    <phoneticPr fontId="4" type="noConversion"/>
  </si>
  <si>
    <t>GEAR_HEAVY_4_3_1</t>
    <phoneticPr fontId="4" type="noConversion"/>
  </si>
  <si>
    <t>GEAR_HEAVY_4_4_1</t>
    <phoneticPr fontId="4" type="noConversion"/>
  </si>
  <si>
    <t>GEAR_LIGHT_1_1_1</t>
  </si>
  <si>
    <t>GEAR_LIGHT_1_2_1</t>
  </si>
  <si>
    <t>GEAR_LIGHT_1_3_1</t>
  </si>
  <si>
    <t>GEAR_LIGHT_2_1_1</t>
  </si>
  <si>
    <t>GEAR_LIGHT_2_2_1</t>
  </si>
  <si>
    <t>GEAR_LIGHT_2_3_1</t>
  </si>
  <si>
    <t>GEAR_LIGHT_3_1_1</t>
  </si>
  <si>
    <t>GEAR_LIGHT_3_2_1</t>
  </si>
  <si>
    <t>GEAR_LIGHT_3_3_1</t>
  </si>
  <si>
    <t>GEAR_LIGHT_3_4_1</t>
  </si>
  <si>
    <t>GEAR_LIGHT_4_1_1</t>
  </si>
  <si>
    <t>GEAR_LIGHT_4_2_1</t>
    <phoneticPr fontId="4" type="noConversion"/>
  </si>
  <si>
    <t>GEAR_LIGHT_4_3_1</t>
    <phoneticPr fontId="4" type="noConversion"/>
  </si>
  <si>
    <t>GEAR_LIGHT_4_4_1</t>
    <phoneticPr fontId="4" type="noConversion"/>
  </si>
  <si>
    <t>GEAR_ROBE_1_1_1</t>
  </si>
  <si>
    <t>GEAR_ROBE_1_2_1</t>
  </si>
  <si>
    <t>GEAR_ROBE_1_3_1</t>
  </si>
  <si>
    <t>GEAR_ROBE_2_1_1</t>
  </si>
  <si>
    <t>GEAR_ROBE_2_2_1</t>
  </si>
  <si>
    <t>GEAR_ROBE_2_3_1</t>
  </si>
  <si>
    <t>GEAR_ROBE_3_1_1</t>
  </si>
  <si>
    <t>GEAR_ROBE_3_2_1</t>
  </si>
  <si>
    <t>GEAR_ROBE_3_3_1</t>
  </si>
  <si>
    <t>GEAR_ROBE_3_4_1</t>
  </si>
  <si>
    <t>GEAR_ROBE_4_1_1</t>
    <phoneticPr fontId="4" type="noConversion"/>
  </si>
  <si>
    <t>GEAR_ROBE_4_2_1</t>
    <phoneticPr fontId="4" type="noConversion"/>
  </si>
  <si>
    <t>GEAR_ROBE_4_3_1</t>
    <phoneticPr fontId="4" type="noConversion"/>
  </si>
  <si>
    <t>GEAR_ROBE_4_4_1</t>
    <phoneticPr fontId="4" type="noConversion"/>
  </si>
  <si>
    <t>Accessory EARRING</t>
    <phoneticPr fontId="4" type="noConversion"/>
  </si>
  <si>
    <t>Accessory NECKLACE</t>
    <phoneticPr fontId="4" type="noConversion"/>
  </si>
  <si>
    <t>Accessory BRACELET</t>
    <phoneticPr fontId="4" type="noConversion"/>
  </si>
  <si>
    <t>ACCESSORY_RING_1_1_1</t>
    <phoneticPr fontId="4" type="noConversion"/>
  </si>
  <si>
    <t>ACCESSORY_RING_1_2_1</t>
    <phoneticPr fontId="4" type="noConversion"/>
  </si>
  <si>
    <t>ACCESSORY_RING_1_3_1</t>
    <phoneticPr fontId="4" type="noConversion"/>
  </si>
  <si>
    <t>ACCESSORY_RING_2_1_1</t>
    <phoneticPr fontId="4" type="noConversion"/>
  </si>
  <si>
    <t>ACCESSORY_RING_2_2_1</t>
    <phoneticPr fontId="4" type="noConversion"/>
  </si>
  <si>
    <t>ACCESSORY_RING_2_3_1</t>
    <phoneticPr fontId="4" type="noConversion"/>
  </si>
  <si>
    <t>ACCESSORY_RING_3_1_1</t>
    <phoneticPr fontId="4" type="noConversion"/>
  </si>
  <si>
    <t>ACCESSORY_RING_3_2_1</t>
    <phoneticPr fontId="4" type="noConversion"/>
  </si>
  <si>
    <t>ACCESSORY_RING_3_3_1</t>
    <phoneticPr fontId="4" type="noConversion"/>
  </si>
  <si>
    <t>ACCESSORY_RING_3_4_1</t>
    <phoneticPr fontId="4" type="noConversion"/>
  </si>
  <si>
    <t>ACCESSORY_RING_4_1_1</t>
    <phoneticPr fontId="4" type="noConversion"/>
  </si>
  <si>
    <t>ACCESSORY_RING_4_2_1</t>
    <phoneticPr fontId="4" type="noConversion"/>
  </si>
  <si>
    <t>ACCESSORY_RING_4_3_1</t>
    <phoneticPr fontId="4" type="noConversion"/>
  </si>
  <si>
    <t>ACCESSORY_RING_4_4_1</t>
    <phoneticPr fontId="4" type="noConversion"/>
  </si>
  <si>
    <t>ACCESSORY_EARRING_1_1_1</t>
    <phoneticPr fontId="4" type="noConversion"/>
  </si>
  <si>
    <t>ACCESSORY_EARRING_1_2_1</t>
    <phoneticPr fontId="4" type="noConversion"/>
  </si>
  <si>
    <t>ACCESSORY_EARRING_1_3_1</t>
    <phoneticPr fontId="4" type="noConversion"/>
  </si>
  <si>
    <t>ACCESSORY_EARRING_2_1_1</t>
    <phoneticPr fontId="4" type="noConversion"/>
  </si>
  <si>
    <t>ACCESSORY_EARRING_2_2_1</t>
    <phoneticPr fontId="4" type="noConversion"/>
  </si>
  <si>
    <t>ACCESSORY_EARRING_2_3_1</t>
    <phoneticPr fontId="4" type="noConversion"/>
  </si>
  <si>
    <t>ACCESSORY_EARRING_3_1_1</t>
    <phoneticPr fontId="4" type="noConversion"/>
  </si>
  <si>
    <t>ACCESSORY_EARRING_3_2_1</t>
    <phoneticPr fontId="4" type="noConversion"/>
  </si>
  <si>
    <t>ACCESSORY_EARRING_3_3_1</t>
    <phoneticPr fontId="4" type="noConversion"/>
  </si>
  <si>
    <t>ACCESSORY_EARRING_3_4_1</t>
    <phoneticPr fontId="4" type="noConversion"/>
  </si>
  <si>
    <t>ACCESSORY_EARRING_4_1_1</t>
    <phoneticPr fontId="4" type="noConversion"/>
  </si>
  <si>
    <t>ACCESSORY_EARRING_4_2_1</t>
    <phoneticPr fontId="4" type="noConversion"/>
  </si>
  <si>
    <t>ACCESSORY_EARRING_4_3_1</t>
    <phoneticPr fontId="4" type="noConversion"/>
  </si>
  <si>
    <t>ACCESSORY_EARRING_4_4_1</t>
    <phoneticPr fontId="4" type="noConversion"/>
  </si>
  <si>
    <t>ACCESSORY_NECKLACE_1_1_1</t>
    <phoneticPr fontId="4" type="noConversion"/>
  </si>
  <si>
    <t>ACCESSORY_NECKLACE_1_2_1</t>
    <phoneticPr fontId="4" type="noConversion"/>
  </si>
  <si>
    <t>ACCESSORY_NECKLACE_1_3_1</t>
    <phoneticPr fontId="4" type="noConversion"/>
  </si>
  <si>
    <t>ACCESSORY_NECKLACE_2_1_1</t>
    <phoneticPr fontId="4" type="noConversion"/>
  </si>
  <si>
    <t>ACCESSORY_NECKLACE_2_2_1</t>
    <phoneticPr fontId="4" type="noConversion"/>
  </si>
  <si>
    <t>ACCESSORY_NECKLACE_2_3_1</t>
    <phoneticPr fontId="4" type="noConversion"/>
  </si>
  <si>
    <t>ACCESSORY_NECKLACE_3_1_1</t>
    <phoneticPr fontId="4" type="noConversion"/>
  </si>
  <si>
    <t>ACCESSORY_NECKLACE_3_2_1</t>
    <phoneticPr fontId="4" type="noConversion"/>
  </si>
  <si>
    <t>ACCESSORY_NECKLACE_3_3_1</t>
    <phoneticPr fontId="4" type="noConversion"/>
  </si>
  <si>
    <t>ACCESSORY_NECKLACE_3_4_1</t>
    <phoneticPr fontId="4" type="noConversion"/>
  </si>
  <si>
    <t>ACCESSORY_NECKLACE_4_1_1</t>
    <phoneticPr fontId="4" type="noConversion"/>
  </si>
  <si>
    <t>ACCESSORY_NECKLACE_4_2_1</t>
    <phoneticPr fontId="4" type="noConversion"/>
  </si>
  <si>
    <t>ACCESSORY_NECKLACE_4_3_1</t>
    <phoneticPr fontId="4" type="noConversion"/>
  </si>
  <si>
    <t>ACCESSORY_NECKLACE_4_4_1</t>
    <phoneticPr fontId="4" type="noConversion"/>
  </si>
  <si>
    <t>ACCESSORY_BRACELET_1_1_1</t>
    <phoneticPr fontId="4" type="noConversion"/>
  </si>
  <si>
    <t>ACCESSORY_BRACELET_1_2_1</t>
    <phoneticPr fontId="4" type="noConversion"/>
  </si>
  <si>
    <t>ACCESSORY_BRACELET_1_3_1</t>
    <phoneticPr fontId="4" type="noConversion"/>
  </si>
  <si>
    <t>ACCESSORY_BRACELET_2_1_1</t>
    <phoneticPr fontId="4" type="noConversion"/>
  </si>
  <si>
    <t>ACCESSORY_BRACELET_2_2_1</t>
    <phoneticPr fontId="4" type="noConversion"/>
  </si>
  <si>
    <t>ACCESSORY_BRACELET_2_3_1</t>
    <phoneticPr fontId="4" type="noConversion"/>
  </si>
  <si>
    <t>ACCESSORY_BRACELET_3_1_1</t>
    <phoneticPr fontId="4" type="noConversion"/>
  </si>
  <si>
    <t>ACCESSORY_BRACELET_3_2_1</t>
    <phoneticPr fontId="4" type="noConversion"/>
  </si>
  <si>
    <t>ACCESSORY_BRACELET_3_3_1</t>
    <phoneticPr fontId="4" type="noConversion"/>
  </si>
  <si>
    <t>ACCESSORY_BRACELET_3_4_1</t>
    <phoneticPr fontId="4" type="noConversion"/>
  </si>
  <si>
    <t>ACCESSORY_BRACELET_4_1_1</t>
    <phoneticPr fontId="4" type="noConversion"/>
  </si>
  <si>
    <t>ACCESSORY_BRACELET_4_2_1</t>
    <phoneticPr fontId="4" type="noConversion"/>
  </si>
  <si>
    <t>ACCESSORY_BRACELET_4_3_1</t>
    <phoneticPr fontId="4" type="noConversion"/>
  </si>
  <si>
    <t>ACCESSORY_BRACELET_4_4_1</t>
    <phoneticPr fontId="4" type="noConversion"/>
  </si>
  <si>
    <t>Weapon_Assassin</t>
  </si>
  <si>
    <t>Assassin</t>
  </si>
  <si>
    <t>Assassin,Archer,Mechanic</t>
  </si>
  <si>
    <t>Knight,Warrior,Archer,Assassin,Mechanic,Wizard,Priest</t>
  </si>
  <si>
    <t>WEAPON_ASSASSIN_1_1_1</t>
    <phoneticPr fontId="4" type="noConversion"/>
  </si>
  <si>
    <t>WEAPON_ASSASSIN_1_2_1</t>
    <phoneticPr fontId="4" type="noConversion"/>
  </si>
  <si>
    <t>WEAPON_ASSASSIN_2_1_1</t>
    <phoneticPr fontId="4" type="noConversion"/>
  </si>
  <si>
    <t>WEAPON_ASSASSIN_2_2_1</t>
    <phoneticPr fontId="4" type="noConversion"/>
  </si>
  <si>
    <t>WEAPON_ASSASSIN_2_3_1</t>
    <phoneticPr fontId="4" type="noConversion"/>
  </si>
  <si>
    <t>WEAPON_ASSASSIN_3_1_1</t>
    <phoneticPr fontId="4" type="noConversion"/>
  </si>
  <si>
    <t>WEAPON_ASSASSIN_3_2_1</t>
    <phoneticPr fontId="4" type="noConversion"/>
  </si>
  <si>
    <t>WEAPON_ASSASSIN_3_3_1</t>
    <phoneticPr fontId="4" type="noConversion"/>
  </si>
  <si>
    <t>WEAPON_ASSASSIN_3_4_1</t>
    <phoneticPr fontId="4" type="noConversion"/>
  </si>
  <si>
    <t>WEAPON_ASSASSIN_4_1_1</t>
    <phoneticPr fontId="4" type="noConversion"/>
  </si>
  <si>
    <t>WEAPON_ASSASSIN_4_2_1</t>
    <phoneticPr fontId="4" type="noConversion"/>
  </si>
  <si>
    <t>WEAPON_ASSASSIN_4_3_1</t>
    <phoneticPr fontId="4" type="noConversion"/>
  </si>
  <si>
    <t>WEAPON_ASSASSIN_4_4_1</t>
    <phoneticPr fontId="4" type="noConversion"/>
  </si>
  <si>
    <t>CreatureIndex[]</t>
    <phoneticPr fontId="4" type="noConversion"/>
  </si>
  <si>
    <t>FIXED OPTION</t>
    <phoneticPr fontId="4" type="noConversion"/>
  </si>
  <si>
    <t>RANDOM OPTION</t>
    <phoneticPr fontId="4" type="noConversion"/>
  </si>
  <si>
    <t>FixedOptionIndex1</t>
    <phoneticPr fontId="4" type="noConversion"/>
  </si>
  <si>
    <t>FixedOptionIndex2</t>
    <phoneticPr fontId="4" type="noConversion"/>
  </si>
  <si>
    <t>FixedOptionIndex3</t>
    <phoneticPr fontId="4" type="noConversion"/>
  </si>
  <si>
    <t>FixedOptionIndex4</t>
    <phoneticPr fontId="4" type="noConversion"/>
  </si>
  <si>
    <t>FixedOptionIndex5</t>
    <phoneticPr fontId="4" type="noConversion"/>
  </si>
  <si>
    <t>OptionGroupIndex[]</t>
    <phoneticPr fontId="4" type="noConversion"/>
  </si>
  <si>
    <t>10</t>
    <phoneticPr fontId="4" type="noConversion"/>
  </si>
  <si>
    <t>0</t>
    <phoneticPr fontId="4" type="noConversion"/>
  </si>
  <si>
    <t>성검 에아</t>
    <phoneticPr fontId="4" type="noConversion"/>
  </si>
  <si>
    <t>ModelPrefix</t>
    <phoneticPr fontId="4" type="noConversion"/>
  </si>
  <si>
    <t>BodyPrefix</t>
    <phoneticPr fontId="4" type="noConversion"/>
  </si>
  <si>
    <t>WeaponPrefix</t>
    <phoneticPr fontId="4" type="noConversion"/>
  </si>
  <si>
    <t>Unique01</t>
    <phoneticPr fontId="4" type="noConversion"/>
  </si>
  <si>
    <t>WEAPON_UNIQUE_KASEL_1</t>
    <phoneticPr fontId="4" type="noConversion"/>
  </si>
  <si>
    <t>WEAPON_UNIQUE_FREY_1</t>
    <phoneticPr fontId="4" type="noConversion"/>
  </si>
  <si>
    <t>WEAPON_UNIQUE_CLEO_1</t>
    <phoneticPr fontId="4" type="noConversion"/>
  </si>
  <si>
    <t>WEAPON_UNIQUE_ROI_1</t>
    <phoneticPr fontId="4" type="noConversion"/>
  </si>
  <si>
    <t>WEAPON_UNIQUE_GAU_1</t>
    <phoneticPr fontId="4" type="noConversion"/>
  </si>
  <si>
    <t>WEAPON_UNIQUE_PHILLOP_1</t>
    <phoneticPr fontId="4" type="noConversion"/>
  </si>
  <si>
    <t>WEAPON_UNIQUE_LAKRAK_1</t>
    <phoneticPr fontId="4" type="noConversion"/>
  </si>
  <si>
    <t>WEAPON_UNIQUE_KAULAH_1</t>
    <phoneticPr fontId="4" type="noConversion"/>
  </si>
  <si>
    <t>WEAPON_UNIQUE_EPIS_1</t>
    <phoneticPr fontId="4" type="noConversion"/>
  </si>
  <si>
    <t>WEAPON_UNIQUE_SELENE_1</t>
    <phoneticPr fontId="4" type="noConversion"/>
  </si>
  <si>
    <t>WEAPON_UNIQUE_MARIA_1</t>
    <phoneticPr fontId="4" type="noConversion"/>
  </si>
  <si>
    <t>WEAPON_UNIQUE_MIRURU_1</t>
    <phoneticPr fontId="4" type="noConversion"/>
  </si>
  <si>
    <t>WEAPON_UNIQUE_LORRAINE_1</t>
    <phoneticPr fontId="4" type="noConversion"/>
  </si>
  <si>
    <t>WEAPON_UNIQUE_MAYA_1</t>
    <phoneticPr fontId="4" type="noConversion"/>
  </si>
  <si>
    <t>WEAPON_UNIQUE_CLAUSE_1</t>
    <phoneticPr fontId="4" type="noConversion"/>
  </si>
  <si>
    <t>WEAPON_UNIQUE_REPHY_1</t>
    <phoneticPr fontId="4" type="noConversion"/>
  </si>
  <si>
    <t>WEAPON_UNIQUE_DIMAEL_1</t>
    <phoneticPr fontId="4" type="noConversion"/>
  </si>
  <si>
    <t>WEAPON_UNIQUE_REINA_1</t>
    <phoneticPr fontId="4" type="noConversion"/>
  </si>
  <si>
    <t>WEAPON_UNIQUE_PAVEL_1</t>
    <phoneticPr fontId="4" type="noConversion"/>
  </si>
  <si>
    <t>WEAPON_UNIQUE_DEMIA_1</t>
    <phoneticPr fontId="4" type="noConversion"/>
  </si>
  <si>
    <t>WEAPON_UNIQUE_NAILA_1</t>
    <phoneticPr fontId="4" type="noConversion"/>
  </si>
  <si>
    <t>WEAPON_UNIQUE_RODINA_1</t>
    <phoneticPr fontId="4" type="noConversion"/>
  </si>
  <si>
    <t>WEAPON_UNIQUE_MORRAH_1</t>
    <phoneticPr fontId="4" type="noConversion"/>
  </si>
  <si>
    <t>WEAPON_UNIQUE_BAUDOUIN_1</t>
    <phoneticPr fontId="4" type="noConversion"/>
  </si>
  <si>
    <t>WEAPON_UNIQUE_JANE_1</t>
    <phoneticPr fontId="4" type="noConversion"/>
  </si>
  <si>
    <t>10</t>
  </si>
  <si>
    <t>Unique01</t>
  </si>
  <si>
    <t>3</t>
  </si>
  <si>
    <t>신의 권능 로스메르타</t>
    <phoneticPr fontId="4" type="noConversion"/>
  </si>
  <si>
    <t>태초의 불꽃 플레노스</t>
    <phoneticPr fontId="4" type="noConversion"/>
  </si>
  <si>
    <t>사신의 숨결 리딜</t>
    <phoneticPr fontId="4" type="noConversion"/>
  </si>
  <si>
    <t>신성한 새 누민뉴</t>
    <phoneticPr fontId="4" type="noConversion"/>
  </si>
  <si>
    <t>용의 잔해 어테인</t>
    <phoneticPr fontId="4" type="noConversion"/>
  </si>
  <si>
    <t>라크락 MK - 1</t>
    <phoneticPr fontId="4" type="noConversion"/>
  </si>
  <si>
    <t>푸른바람 코벤티나</t>
    <phoneticPr fontId="4" type="noConversion"/>
  </si>
  <si>
    <t>매혹의 길로틴</t>
    <phoneticPr fontId="4" type="noConversion"/>
  </si>
  <si>
    <t>녹색바람 노토스</t>
    <phoneticPr fontId="4" type="noConversion"/>
  </si>
  <si>
    <t>레아의 전령 코큐토스</t>
    <phoneticPr fontId="4" type="noConversion"/>
  </si>
  <si>
    <t>최종병기 레비아탄</t>
    <phoneticPr fontId="4" type="noConversion"/>
  </si>
  <si>
    <t>세계수의 의지 로부르</t>
    <phoneticPr fontId="4" type="noConversion"/>
  </si>
  <si>
    <t>톱날발톱 사티스</t>
    <phoneticPr fontId="4" type="noConversion"/>
  </si>
  <si>
    <t>수호의 엑시안</t>
    <phoneticPr fontId="4" type="noConversion"/>
  </si>
  <si>
    <t>신의 등불 쿠룰라티</t>
    <phoneticPr fontId="4" type="noConversion"/>
  </si>
  <si>
    <t>달의 눈물 네리우스</t>
    <phoneticPr fontId="4" type="noConversion"/>
  </si>
  <si>
    <t>섬광의 리바티스</t>
    <phoneticPr fontId="4" type="noConversion"/>
  </si>
  <si>
    <t>용의 심장 안다르타, 안드라스테</t>
    <phoneticPr fontId="4" type="noConversion"/>
  </si>
  <si>
    <t>푸른빛의 아르페우스</t>
    <phoneticPr fontId="4" type="noConversion"/>
  </si>
  <si>
    <t>저주받은 손톱 바로르</t>
    <phoneticPr fontId="4" type="noConversion"/>
  </si>
  <si>
    <t>파벨 커스텀 라이플 Mod.0</t>
    <phoneticPr fontId="4" type="noConversion"/>
  </si>
  <si>
    <t>승리의 불길 카프레인</t>
    <phoneticPr fontId="4" type="noConversion"/>
  </si>
  <si>
    <t>신구 게네시스</t>
    <phoneticPr fontId="4" type="noConversion"/>
  </si>
  <si>
    <t>변하지 않는 마음 에레쿠라</t>
    <phoneticPr fontId="4" type="noConversion"/>
  </si>
  <si>
    <t>Priest</t>
    <phoneticPr fontId="4" type="noConversion"/>
  </si>
  <si>
    <t>Wizard</t>
    <phoneticPr fontId="4" type="noConversion"/>
  </si>
  <si>
    <t>Assassin</t>
    <phoneticPr fontId="4" type="noConversion"/>
  </si>
  <si>
    <t>Knight</t>
    <phoneticPr fontId="4" type="noConversion"/>
  </si>
  <si>
    <t>Mechanic</t>
    <phoneticPr fontId="4" type="noConversion"/>
  </si>
  <si>
    <t>Archer</t>
    <phoneticPr fontId="4" type="noConversion"/>
  </si>
  <si>
    <t>Knight</t>
    <phoneticPr fontId="4" type="noConversion"/>
  </si>
  <si>
    <t>11001</t>
    <phoneticPr fontId="4" type="noConversion"/>
  </si>
  <si>
    <t>11002</t>
  </si>
  <si>
    <t>11003</t>
  </si>
  <si>
    <t>11004</t>
  </si>
  <si>
    <t>11005</t>
  </si>
  <si>
    <t>11006</t>
  </si>
  <si>
    <t>11007</t>
  </si>
  <si>
    <t>11008</t>
  </si>
  <si>
    <t>11009</t>
  </si>
  <si>
    <t>11010</t>
  </si>
  <si>
    <t>11011</t>
  </si>
  <si>
    <t>11012</t>
  </si>
  <si>
    <t>11013</t>
  </si>
  <si>
    <t>11014</t>
  </si>
  <si>
    <t>11015</t>
  </si>
  <si>
    <t>11016</t>
  </si>
  <si>
    <t>11017</t>
  </si>
  <si>
    <t>11018</t>
  </si>
  <si>
    <t>11019</t>
  </si>
  <si>
    <t>11020</t>
  </si>
  <si>
    <t>11021</t>
  </si>
  <si>
    <t>11022</t>
  </si>
  <si>
    <t>11023</t>
  </si>
  <si>
    <t>11024</t>
  </si>
  <si>
    <t>11025</t>
  </si>
  <si>
    <t>WEAPON_KNIGHT_1_4_1</t>
    <phoneticPr fontId="4" type="noConversion"/>
  </si>
  <si>
    <t>WEAPON_KNIGHT_2_4_1</t>
    <phoneticPr fontId="4" type="noConversion"/>
  </si>
  <si>
    <t>1</t>
    <phoneticPr fontId="4" type="noConversion"/>
  </si>
  <si>
    <t>2</t>
    <phoneticPr fontId="4" type="noConversion"/>
  </si>
  <si>
    <t>5</t>
    <phoneticPr fontId="4" type="noConversion"/>
  </si>
  <si>
    <t>WEAPON_KNIGHT_5_1_1</t>
    <phoneticPr fontId="4" type="noConversion"/>
  </si>
  <si>
    <t>WEAPON_KNIGHT_5_2_1</t>
    <phoneticPr fontId="4" type="noConversion"/>
  </si>
  <si>
    <t>WEAPON_KNIGHT_5_3_1</t>
    <phoneticPr fontId="4" type="noConversion"/>
  </si>
  <si>
    <t>WEAPON_KNIGHT_5_4_1</t>
    <phoneticPr fontId="4" type="noConversion"/>
  </si>
  <si>
    <t>Weapon</t>
    <phoneticPr fontId="4" type="noConversion"/>
  </si>
  <si>
    <t>Knight</t>
  </si>
  <si>
    <t>Knight</t>
    <phoneticPr fontId="4" type="noConversion"/>
  </si>
  <si>
    <t>WEAPON_WARRIOR_1_4_1</t>
    <phoneticPr fontId="4" type="noConversion"/>
  </si>
  <si>
    <t>WEAPON_WARRIOR_2_4_1</t>
    <phoneticPr fontId="4" type="noConversion"/>
  </si>
  <si>
    <t>WEAPON_WARRIOR_5_1_1</t>
    <phoneticPr fontId="4" type="noConversion"/>
  </si>
  <si>
    <t>WEAPON_WARRIOR_5_2_1</t>
    <phoneticPr fontId="4" type="noConversion"/>
  </si>
  <si>
    <t>WEAPON_WARRIOR_5_3_1</t>
    <phoneticPr fontId="4" type="noConversion"/>
  </si>
  <si>
    <t>WEAPON_WARRIOR_5_4_1</t>
    <phoneticPr fontId="4" type="noConversion"/>
  </si>
  <si>
    <t>WEAPON_ASSASSIN_1_4_1</t>
    <phoneticPr fontId="4" type="noConversion"/>
  </si>
  <si>
    <t>WEAPON_ASSASSIN_2_4_1</t>
    <phoneticPr fontId="4" type="noConversion"/>
  </si>
  <si>
    <t>WEAPON_ASSASSIN_5_1_1</t>
    <phoneticPr fontId="4" type="noConversion"/>
  </si>
  <si>
    <t>WEAPON_ASSASSIN_5_2_1</t>
    <phoneticPr fontId="4" type="noConversion"/>
  </si>
  <si>
    <t>WEAPON_ASSASSIN_5_3_1</t>
    <phoneticPr fontId="4" type="noConversion"/>
  </si>
  <si>
    <t>WEAPON_ASSASSIN_5_4_1</t>
    <phoneticPr fontId="4" type="noConversion"/>
  </si>
  <si>
    <t>WEAPON_ARCHER_1_4_1</t>
    <phoneticPr fontId="4" type="noConversion"/>
  </si>
  <si>
    <t>WEAPON_ARCHER_2_4_1</t>
    <phoneticPr fontId="4" type="noConversion"/>
  </si>
  <si>
    <t>WEAPON_ARCHER_5_1_1</t>
    <phoneticPr fontId="4" type="noConversion"/>
  </si>
  <si>
    <t>WEAPON_ARCHER_5_2_1</t>
    <phoneticPr fontId="4" type="noConversion"/>
  </si>
  <si>
    <t>WEAPON_ARCHER_5_3_1</t>
    <phoneticPr fontId="4" type="noConversion"/>
  </si>
  <si>
    <t>WEAPON_ARCHER_5_4_1</t>
    <phoneticPr fontId="4" type="noConversion"/>
  </si>
  <si>
    <t>Archer</t>
  </si>
  <si>
    <t>Archer</t>
    <phoneticPr fontId="4" type="noConversion"/>
  </si>
  <si>
    <t>WEAPON_MECHANIC_1_4_1</t>
    <phoneticPr fontId="4" type="noConversion"/>
  </si>
  <si>
    <t>WEAPON_MECHANIC_2_4_1</t>
    <phoneticPr fontId="4" type="noConversion"/>
  </si>
  <si>
    <t>WEAPON_MECHANIC_5_1_1</t>
    <phoneticPr fontId="4" type="noConversion"/>
  </si>
  <si>
    <t>WEAPON_MECHANIC_5_2_1</t>
    <phoneticPr fontId="4" type="noConversion"/>
  </si>
  <si>
    <t>WEAPON_MECHANIC_5_3_1</t>
    <phoneticPr fontId="4" type="noConversion"/>
  </si>
  <si>
    <t>WEAPON_MECHANIC_5_4_1</t>
    <phoneticPr fontId="4" type="noConversion"/>
  </si>
  <si>
    <t>WEAPON_WIZARD_1_4_1</t>
    <phoneticPr fontId="4" type="noConversion"/>
  </si>
  <si>
    <t>WEAPON_WIZARD_2_3_1</t>
    <phoneticPr fontId="4" type="noConversion"/>
  </si>
  <si>
    <t>WEAPON_WIZARD_2_4_1</t>
    <phoneticPr fontId="4" type="noConversion"/>
  </si>
  <si>
    <t>WEAPON_WIZARD_5_1_1</t>
    <phoneticPr fontId="4" type="noConversion"/>
  </si>
  <si>
    <t>WEAPON_WIZARD_5_2_1</t>
    <phoneticPr fontId="4" type="noConversion"/>
  </si>
  <si>
    <t>WEAPON_WIZARD_5_3_1</t>
    <phoneticPr fontId="4" type="noConversion"/>
  </si>
  <si>
    <t>WEAPON_WIZARD_5_4_1</t>
    <phoneticPr fontId="4" type="noConversion"/>
  </si>
  <si>
    <t>Wizard,Priest</t>
  </si>
  <si>
    <t>Wizard,Priest</t>
    <phoneticPr fontId="4" type="noConversion"/>
  </si>
  <si>
    <t>ARMOR_HEAVY_1_4_1</t>
    <phoneticPr fontId="4" type="noConversion"/>
  </si>
  <si>
    <t>ARMOR_HEAVY_2_4_1</t>
    <phoneticPr fontId="4" type="noConversion"/>
  </si>
  <si>
    <t>ARMOR_HEAVY_5_1_1</t>
    <phoneticPr fontId="4" type="noConversion"/>
  </si>
  <si>
    <t>ARMOR_HEAVY_5_2_1</t>
    <phoneticPr fontId="4" type="noConversion"/>
  </si>
  <si>
    <t>ARMOR_HEAVY_5_3_1</t>
    <phoneticPr fontId="4" type="noConversion"/>
  </si>
  <si>
    <t>ARMOR_HEAVY_5_4_1</t>
    <phoneticPr fontId="4" type="noConversion"/>
  </si>
  <si>
    <t>Armor</t>
    <phoneticPr fontId="4" type="noConversion"/>
  </si>
  <si>
    <t>Knight,Warrior</t>
  </si>
  <si>
    <t>Knight,Warrior</t>
    <phoneticPr fontId="4" type="noConversion"/>
  </si>
  <si>
    <t>ARMOR_LIGHT_1_4_1</t>
    <phoneticPr fontId="4" type="noConversion"/>
  </si>
  <si>
    <t>ARMOR_LIGHT_2_4_1</t>
    <phoneticPr fontId="4" type="noConversion"/>
  </si>
  <si>
    <t>ARMOR_LIGHT_5_1_1</t>
    <phoneticPr fontId="4" type="noConversion"/>
  </si>
  <si>
    <t>ARMOR_LIGHT_5_2_1</t>
    <phoneticPr fontId="4" type="noConversion"/>
  </si>
  <si>
    <t>ARMOR_LIGHT_5_3_1</t>
    <phoneticPr fontId="4" type="noConversion"/>
  </si>
  <si>
    <t>ARMOR_LIGHT_5_4_1</t>
    <phoneticPr fontId="4" type="noConversion"/>
  </si>
  <si>
    <t>Assassin,Archer,Mechanic</t>
    <phoneticPr fontId="4" type="noConversion"/>
  </si>
  <si>
    <t>ARMOR_ROBE_1_4_1</t>
    <phoneticPr fontId="4" type="noConversion"/>
  </si>
  <si>
    <t>ARMOR_ROBE_2_4_1</t>
    <phoneticPr fontId="4" type="noConversion"/>
  </si>
  <si>
    <t>ARMOR_ROBE_5_1_1</t>
    <phoneticPr fontId="4" type="noConversion"/>
  </si>
  <si>
    <t>ARMOR_ROBE_5_2_1</t>
    <phoneticPr fontId="4" type="noConversion"/>
  </si>
  <si>
    <t>ARMOR_ROBE_5_3_1</t>
    <phoneticPr fontId="4" type="noConversion"/>
  </si>
  <si>
    <t>ARMOR_ROBE_5_4_1</t>
    <phoneticPr fontId="4" type="noConversion"/>
  </si>
  <si>
    <t>GEAR_HEAVY_5_1_1</t>
    <phoneticPr fontId="4" type="noConversion"/>
  </si>
  <si>
    <t>GEAR_HEAVY_5_2_1</t>
    <phoneticPr fontId="4" type="noConversion"/>
  </si>
  <si>
    <t>GEAR_HEAVY_5_3_1</t>
    <phoneticPr fontId="4" type="noConversion"/>
  </si>
  <si>
    <t>GEAR_HEAVY_5_4_1</t>
    <phoneticPr fontId="4" type="noConversion"/>
  </si>
  <si>
    <t>GEAR_HEAVY_1_4_1</t>
    <phoneticPr fontId="4" type="noConversion"/>
  </si>
  <si>
    <t>GEAR_HEAVY_2_4_1</t>
    <phoneticPr fontId="4" type="noConversion"/>
  </si>
  <si>
    <t>SecondGear</t>
  </si>
  <si>
    <t>SecondGear</t>
    <phoneticPr fontId="4" type="noConversion"/>
  </si>
  <si>
    <t>GEAR_LIGHT_1_4_1</t>
    <phoneticPr fontId="4" type="noConversion"/>
  </si>
  <si>
    <t>GEAR_LIGHT_2_4_1</t>
    <phoneticPr fontId="4" type="noConversion"/>
  </si>
  <si>
    <t>GEAR_LIGHT_5_1_1</t>
    <phoneticPr fontId="4" type="noConversion"/>
  </si>
  <si>
    <t>GEAR_LIGHT_5_2_1</t>
    <phoneticPr fontId="4" type="noConversion"/>
  </si>
  <si>
    <t>GEAR_LIGHT_5_3_1</t>
    <phoneticPr fontId="4" type="noConversion"/>
  </si>
  <si>
    <t>GEAR_LIGHT_5_4_1</t>
    <phoneticPr fontId="4" type="noConversion"/>
  </si>
  <si>
    <t>GEAR_ROBE_1_4_1</t>
    <phoneticPr fontId="4" type="noConversion"/>
  </si>
  <si>
    <t>GEAR_ROBE_2_4_1</t>
    <phoneticPr fontId="4" type="noConversion"/>
  </si>
  <si>
    <t>GEAR_ROBE_5_1_1</t>
    <phoneticPr fontId="4" type="noConversion"/>
  </si>
  <si>
    <t>GEAR_ROBE_5_2_1</t>
    <phoneticPr fontId="4" type="noConversion"/>
  </si>
  <si>
    <t>GEAR_ROBE_5_3_1</t>
    <phoneticPr fontId="4" type="noConversion"/>
  </si>
  <si>
    <t>GEAR_ROBE_5_4_1</t>
    <phoneticPr fontId="4" type="noConversion"/>
  </si>
  <si>
    <t>ACCESSORY_RING_1_4_1</t>
    <phoneticPr fontId="4" type="noConversion"/>
  </si>
  <si>
    <t>ACCESSORY_RING_2_4_1</t>
    <phoneticPr fontId="4" type="noConversion"/>
  </si>
  <si>
    <t>ACCESSORY_RING_5_1_1</t>
    <phoneticPr fontId="4" type="noConversion"/>
  </si>
  <si>
    <t>ACCESSORY_RING_5_2_1</t>
    <phoneticPr fontId="4" type="noConversion"/>
  </si>
  <si>
    <t>ACCESSORY_RING_5_3_1</t>
    <phoneticPr fontId="4" type="noConversion"/>
  </si>
  <si>
    <t>ACCESSORY_RING_5_4_1</t>
    <phoneticPr fontId="4" type="noConversion"/>
  </si>
  <si>
    <t>Accessory</t>
    <phoneticPr fontId="4" type="noConversion"/>
  </si>
  <si>
    <t>Knight,Warrior,Archer,Assassin,Mechanic,Wizard,Priest</t>
    <phoneticPr fontId="4" type="noConversion"/>
  </si>
  <si>
    <t>ACCESSORY_EARRING_1_4_1</t>
    <phoneticPr fontId="4" type="noConversion"/>
  </si>
  <si>
    <t>ACCESSORY_EARRING_2_4_1</t>
    <phoneticPr fontId="4" type="noConversion"/>
  </si>
  <si>
    <t>ACCESSORY_EARRING_5_2_1</t>
    <phoneticPr fontId="4" type="noConversion"/>
  </si>
  <si>
    <t>ACCESSORY_EARRING_5_1_1</t>
    <phoneticPr fontId="4" type="noConversion"/>
  </si>
  <si>
    <t>ACCESSORY_EARRING_5_3_1</t>
    <phoneticPr fontId="4" type="noConversion"/>
  </si>
  <si>
    <t>ACCESSORY_EARRING_5_4_1</t>
    <phoneticPr fontId="4" type="noConversion"/>
  </si>
  <si>
    <t>5</t>
    <phoneticPr fontId="4" type="noConversion"/>
  </si>
  <si>
    <t>ACCESSORY_NECKLACE_1_4_1</t>
    <phoneticPr fontId="4" type="noConversion"/>
  </si>
  <si>
    <t>ACCESSORY_NECKLACE_2_4_1</t>
    <phoneticPr fontId="4" type="noConversion"/>
  </si>
  <si>
    <t>ACCESSORY_NECKLACE_5_1_1</t>
    <phoneticPr fontId="4" type="noConversion"/>
  </si>
  <si>
    <t>ACCESSORY_NECKLACE_5_2_1</t>
    <phoneticPr fontId="4" type="noConversion"/>
  </si>
  <si>
    <t>ACCESSORY_NECKLACE_5_3_1</t>
    <phoneticPr fontId="4" type="noConversion"/>
  </si>
  <si>
    <t>ACCESSORY_NECKLACE_5_4_1</t>
    <phoneticPr fontId="4" type="noConversion"/>
  </si>
  <si>
    <t>ACCESSORY_BRACELET_1_4_1</t>
    <phoneticPr fontId="4" type="noConversion"/>
  </si>
  <si>
    <t>ACCESSORY_BRACELET_2_4_1</t>
    <phoneticPr fontId="4" type="noConversion"/>
  </si>
  <si>
    <t>ACCESSORY_BRACELET_5_1_1</t>
    <phoneticPr fontId="4" type="noConversion"/>
  </si>
  <si>
    <t>ACCESSORY_BRACELET_5_2_1</t>
    <phoneticPr fontId="4" type="noConversion"/>
  </si>
  <si>
    <t>ACCESSORY_BRACELET_5_3_1</t>
    <phoneticPr fontId="4" type="noConversion"/>
  </si>
  <si>
    <t>ACCESSORY_BRACELET_5_4_1</t>
    <phoneticPr fontId="4" type="noConversion"/>
  </si>
  <si>
    <t>0</t>
    <phoneticPr fontId="4" type="noConversion"/>
  </si>
  <si>
    <t>1</t>
    <phoneticPr fontId="4" type="noConversion"/>
  </si>
  <si>
    <t>WEAPON_WARRIOR_1_3_1</t>
    <phoneticPr fontId="4" type="noConversion"/>
  </si>
  <si>
    <t>WEAPON_ASSASSIN_1_3_1</t>
    <phoneticPr fontId="4" type="noConversion"/>
  </si>
  <si>
    <t>WEAPON_WIZARD_1_3_1</t>
    <phoneticPr fontId="4" type="noConversion"/>
  </si>
  <si>
    <t>ARMOR_HEAVY_1_3_1</t>
    <phoneticPr fontId="4" type="noConversion"/>
  </si>
  <si>
    <t>ARMOR_LIGHT_1_3_1</t>
    <phoneticPr fontId="4" type="noConversion"/>
  </si>
  <si>
    <t>ARMOR_ROBE_1_3_1</t>
    <phoneticPr fontId="4" type="noConversion"/>
  </si>
  <si>
    <t>2</t>
    <phoneticPr fontId="4" type="noConversion"/>
  </si>
  <si>
    <t>4</t>
    <phoneticPr fontId="4" type="noConversion"/>
  </si>
  <si>
    <t>5</t>
    <phoneticPr fontId="4" type="noConversion"/>
  </si>
  <si>
    <t>5</t>
    <phoneticPr fontId="4" type="noConversion"/>
  </si>
  <si>
    <t>1</t>
  </si>
  <si>
    <t>WEAPON_EQUIPAWAKEN_TUTORIAL</t>
  </si>
  <si>
    <t>WEAPON_KNIGHT_3_5_1</t>
    <phoneticPr fontId="4" type="noConversion"/>
  </si>
  <si>
    <t>WEAPON_KNIGHT_4_5_1</t>
    <phoneticPr fontId="4" type="noConversion"/>
  </si>
  <si>
    <t>WEAPON_KNIGHT_5_5_1</t>
    <phoneticPr fontId="4" type="noConversion"/>
  </si>
  <si>
    <t>WEAPON_WARRIOR_3_5_1</t>
    <phoneticPr fontId="4" type="noConversion"/>
  </si>
  <si>
    <t>WEAPON_WARRIOR_4_5_1</t>
    <phoneticPr fontId="4" type="noConversion"/>
  </si>
  <si>
    <t>WEAPON_WARRIOR_5_5_1</t>
    <phoneticPr fontId="4" type="noConversion"/>
  </si>
  <si>
    <t>WEAPON_ASSASSIN_3_5_1</t>
    <phoneticPr fontId="4" type="noConversion"/>
  </si>
  <si>
    <t>WEAPON_ASSASSIN_4_5_1</t>
    <phoneticPr fontId="4" type="noConversion"/>
  </si>
  <si>
    <t>WEAPON_ASSASSIN_5_5_1</t>
    <phoneticPr fontId="4" type="noConversion"/>
  </si>
  <si>
    <t>WEAPON_ARCHER_3_5_1</t>
    <phoneticPr fontId="4" type="noConversion"/>
  </si>
  <si>
    <t>WEAPON_ARCHER_4_5_1</t>
    <phoneticPr fontId="4" type="noConversion"/>
  </si>
  <si>
    <t>WEAPON_ARCHER_5_5_1</t>
    <phoneticPr fontId="4" type="noConversion"/>
  </si>
  <si>
    <t>WEAPON_MECHANIC_3_5_1</t>
    <phoneticPr fontId="4" type="noConversion"/>
  </si>
  <si>
    <t>WEAPON_MECHANIC_4_5_1</t>
    <phoneticPr fontId="4" type="noConversion"/>
  </si>
  <si>
    <t>WEAPON_MECHANIC_5_5_1</t>
    <phoneticPr fontId="4" type="noConversion"/>
  </si>
  <si>
    <t>WEAPON_WIZARD_3_5_1</t>
    <phoneticPr fontId="4" type="noConversion"/>
  </si>
  <si>
    <t>WEAPON_WIZARD_4_5_1</t>
    <phoneticPr fontId="4" type="noConversion"/>
  </si>
  <si>
    <t>WEAPON_WIZARD_5_5_1</t>
    <phoneticPr fontId="4" type="noConversion"/>
  </si>
  <si>
    <t>ARMOR_HEAVY_3_5_1</t>
    <phoneticPr fontId="4" type="noConversion"/>
  </si>
  <si>
    <t>ARMOR_HEAVY_4_5_1</t>
    <phoneticPr fontId="4" type="noConversion"/>
  </si>
  <si>
    <t>ARMOR_HEAVY_5_5_1</t>
    <phoneticPr fontId="4" type="noConversion"/>
  </si>
  <si>
    <t>ARMOR_LIGHT_3_5_1</t>
    <phoneticPr fontId="4" type="noConversion"/>
  </si>
  <si>
    <t>ARMOR_LIGHT_4_5_1</t>
    <phoneticPr fontId="4" type="noConversion"/>
  </si>
  <si>
    <t>ARMOR_LIGHT_5_5_1</t>
    <phoneticPr fontId="4" type="noConversion"/>
  </si>
  <si>
    <t>ARMOR_ROBE_3_5_1</t>
    <phoneticPr fontId="4" type="noConversion"/>
  </si>
  <si>
    <t>ARMOR_ROBE_4_5_1</t>
    <phoneticPr fontId="4" type="noConversion"/>
  </si>
  <si>
    <t>ARMOR_ROBE_5_5_1</t>
    <phoneticPr fontId="4" type="noConversion"/>
  </si>
  <si>
    <t>GEAR_HEAVY_3_5_1</t>
    <phoneticPr fontId="4" type="noConversion"/>
  </si>
  <si>
    <t>GEAR_HEAVY_4_5_1</t>
    <phoneticPr fontId="4" type="noConversion"/>
  </si>
  <si>
    <t>GEAR_HEAVY_5_5_1</t>
    <phoneticPr fontId="4" type="noConversion"/>
  </si>
  <si>
    <t>GEAR_LIGHT_3_5_1</t>
    <phoneticPr fontId="4" type="noConversion"/>
  </si>
  <si>
    <t>GEAR_LIGHT_4_5_1</t>
    <phoneticPr fontId="4" type="noConversion"/>
  </si>
  <si>
    <t>GEAR_LIGHT_5_5_1</t>
    <phoneticPr fontId="4" type="noConversion"/>
  </si>
  <si>
    <t>GEAR_ROBE_3_5_1</t>
    <phoneticPr fontId="4" type="noConversion"/>
  </si>
  <si>
    <t>GEAR_ROBE_4_5_1</t>
    <phoneticPr fontId="4" type="noConversion"/>
  </si>
  <si>
    <t>GEAR_ROBE_5_5_1</t>
    <phoneticPr fontId="4" type="noConversion"/>
  </si>
  <si>
    <t>WEAPON_UNIQUE_LEO_1</t>
    <phoneticPr fontId="4" type="noConversion"/>
  </si>
  <si>
    <t>11027</t>
    <phoneticPr fontId="4" type="noConversion"/>
  </si>
  <si>
    <t>ORB_5_1_1</t>
    <phoneticPr fontId="4" type="noConversion"/>
  </si>
  <si>
    <t>Orb</t>
    <phoneticPr fontId="4" type="noConversion"/>
  </si>
  <si>
    <t>0</t>
    <phoneticPr fontId="4" type="noConversion"/>
  </si>
  <si>
    <t>5</t>
    <phoneticPr fontId="4" type="noConversion"/>
  </si>
  <si>
    <t>ORB_5_2_1</t>
    <phoneticPr fontId="4" type="noConversion"/>
  </si>
  <si>
    <t>ORB_5_3_1</t>
    <phoneticPr fontId="4" type="noConversion"/>
  </si>
  <si>
    <t>ORB_5_4_1</t>
    <phoneticPr fontId="4" type="noConversion"/>
  </si>
  <si>
    <t>ORB_5_5_1</t>
    <phoneticPr fontId="4" type="noConversion"/>
  </si>
  <si>
    <t>ORB_6_1_1</t>
    <phoneticPr fontId="4" type="noConversion"/>
  </si>
  <si>
    <t>ORB_6_2_1</t>
    <phoneticPr fontId="4" type="noConversion"/>
  </si>
  <si>
    <t>Orb</t>
    <phoneticPr fontId="4" type="noConversion"/>
  </si>
  <si>
    <t>0</t>
    <phoneticPr fontId="4" type="noConversion"/>
  </si>
  <si>
    <t>ORB_6_3_1</t>
    <phoneticPr fontId="4" type="noConversion"/>
  </si>
  <si>
    <t>ORB_6_4_1</t>
    <phoneticPr fontId="4" type="noConversion"/>
  </si>
  <si>
    <t>ORB_6_5_1</t>
    <phoneticPr fontId="4" type="noConversion"/>
  </si>
  <si>
    <t>ORB_7_1_1</t>
    <phoneticPr fontId="4" type="noConversion"/>
  </si>
  <si>
    <t>ORB_7_2_1</t>
    <phoneticPr fontId="4" type="noConversion"/>
  </si>
  <si>
    <t>ORB_7_3_1</t>
    <phoneticPr fontId="4" type="noConversion"/>
  </si>
  <si>
    <t>ORB_7_4_1</t>
    <phoneticPr fontId="4" type="noConversion"/>
  </si>
  <si>
    <t>ORB_7_5_1</t>
    <phoneticPr fontId="4" type="noConversion"/>
  </si>
  <si>
    <t>EQUIP_UPGRADE</t>
    <phoneticPr fontId="4" type="noConversion"/>
  </si>
  <si>
    <t>EQUIP_UPGRADE_3</t>
    <phoneticPr fontId="4" type="noConversion"/>
  </si>
  <si>
    <t>EnhanceStone</t>
    <phoneticPr fontId="4" type="noConversion"/>
  </si>
  <si>
    <t>EQUIP_UPGRADE_4</t>
    <phoneticPr fontId="4" type="noConversion"/>
  </si>
  <si>
    <t>EQUIP_UPGRADE_5</t>
    <phoneticPr fontId="4" type="noConversion"/>
  </si>
  <si>
    <t>ARTIFACT_UNIQUE_1</t>
    <phoneticPr fontId="4" type="noConversion"/>
  </si>
  <si>
    <t>Artifact</t>
    <phoneticPr fontId="4" type="noConversion"/>
  </si>
  <si>
    <t>ARTIFACT_UNIQUE_2</t>
  </si>
  <si>
    <t>ARTIFACT_UNIQUE_3</t>
  </si>
  <si>
    <t>ARTIFACT_UNIQUE_4</t>
  </si>
  <si>
    <t>ARTIFACT_UNIQUE_5</t>
  </si>
  <si>
    <t>ARTIFACT_UNIQUE_6</t>
  </si>
  <si>
    <t>ARTIFACT_UNIQUE_7</t>
  </si>
  <si>
    <t>ARTIFACT_UNIQUE_8</t>
  </si>
  <si>
    <t>ARTIFACT_UNIQUE_9</t>
  </si>
  <si>
    <t>Artifact</t>
    <phoneticPr fontId="4" type="noConversion"/>
  </si>
  <si>
    <t>ARTIFACT_UNIQUE_10</t>
  </si>
  <si>
    <t>ARTIFACT_UNIQUE_11</t>
  </si>
  <si>
    <t>ARTIFACT_UNIQUE_12</t>
  </si>
  <si>
    <t>ARTIFACT_UNIQUE_13</t>
  </si>
  <si>
    <t>ARTIFACT_UNIQUE_14</t>
  </si>
  <si>
    <t>ARTIFACT_UNIQUE_15</t>
  </si>
  <si>
    <t>ARTIFACT_UNIQUE_16</t>
  </si>
  <si>
    <t>ARTIFACT_UNIQUE_17</t>
  </si>
  <si>
    <t>ARTIFACT_UNIQUE_18</t>
  </si>
  <si>
    <t>WEAPON_UNIQUE_FLUSS_1</t>
    <phoneticPr fontId="4" type="noConversion"/>
  </si>
  <si>
    <t>WEAPON_UNIQUE_LUNA_1</t>
    <phoneticPr fontId="4" type="noConversion"/>
  </si>
  <si>
    <t>11028</t>
    <phoneticPr fontId="4" type="noConversion"/>
  </si>
  <si>
    <t>11029</t>
    <phoneticPr fontId="4" type="noConversion"/>
  </si>
  <si>
    <t>ORB_5_40_1</t>
    <phoneticPr fontId="4" type="noConversion"/>
  </si>
  <si>
    <t>WEAPON_KNIGHT_1_40_1</t>
    <phoneticPr fontId="4" type="noConversion"/>
  </si>
  <si>
    <t>WEAPON_KNIGHT_2_40_1</t>
    <phoneticPr fontId="4" type="noConversion"/>
  </si>
  <si>
    <t>WEAPON_KNIGHT_3_40_1</t>
    <phoneticPr fontId="4" type="noConversion"/>
  </si>
  <si>
    <t>WEAPON_KNIGHT_4_40_1</t>
    <phoneticPr fontId="4" type="noConversion"/>
  </si>
  <si>
    <t>WEAPON_KNIGHT_5_40_1</t>
    <phoneticPr fontId="4" type="noConversion"/>
  </si>
  <si>
    <t>WEAPON_WARRIOR_1_40_1</t>
    <phoneticPr fontId="4" type="noConversion"/>
  </si>
  <si>
    <t>WEAPON_WARRIOR_2_40_1</t>
    <phoneticPr fontId="4" type="noConversion"/>
  </si>
  <si>
    <t>WEAPON_WARRIOR_3_40_1</t>
    <phoneticPr fontId="4" type="noConversion"/>
  </si>
  <si>
    <t>WEAPON_WARRIOR_4_40_1</t>
    <phoneticPr fontId="4" type="noConversion"/>
  </si>
  <si>
    <t>WEAPON_WARRIOR_5_40_1</t>
    <phoneticPr fontId="4" type="noConversion"/>
  </si>
  <si>
    <t>WEAPON_ASSASSIN_1_40_1</t>
    <phoneticPr fontId="4" type="noConversion"/>
  </si>
  <si>
    <t>WEAPON_ASSASSIN_2_40_1</t>
    <phoneticPr fontId="4" type="noConversion"/>
  </si>
  <si>
    <t>WEAPON_ASSASSIN_3_40_1</t>
    <phoneticPr fontId="4" type="noConversion"/>
  </si>
  <si>
    <t>WEAPON_ASSASSIN_4_40_1</t>
    <phoneticPr fontId="4" type="noConversion"/>
  </si>
  <si>
    <t>WEAPON_ASSASSIN_5_40_1</t>
    <phoneticPr fontId="4" type="noConversion"/>
  </si>
  <si>
    <t>WEAPON_ARCHER_1_40_1</t>
    <phoneticPr fontId="4" type="noConversion"/>
  </si>
  <si>
    <t>WEAPON_ARCHER_2_40_1</t>
    <phoneticPr fontId="4" type="noConversion"/>
  </si>
  <si>
    <t>WEAPON_ARCHER_3_40_1</t>
    <phoneticPr fontId="4" type="noConversion"/>
  </si>
  <si>
    <t>WEAPON_ARCHER_4_40_1</t>
    <phoneticPr fontId="4" type="noConversion"/>
  </si>
  <si>
    <t>WEAPON_ARCHER_5_40_1</t>
    <phoneticPr fontId="4" type="noConversion"/>
  </si>
  <si>
    <t>WEAPON_MECHANIC_1_40_1</t>
    <phoneticPr fontId="4" type="noConversion"/>
  </si>
  <si>
    <t>WEAPON_MECHANIC_2_40_1</t>
    <phoneticPr fontId="4" type="noConversion"/>
  </si>
  <si>
    <t>WEAPON_MECHANIC_3_40_1</t>
    <phoneticPr fontId="4" type="noConversion"/>
  </si>
  <si>
    <t>WEAPON_MECHANIC_4_40_1</t>
    <phoneticPr fontId="4" type="noConversion"/>
  </si>
  <si>
    <t>WEAPON_MECHANIC_5_40_1</t>
    <phoneticPr fontId="4" type="noConversion"/>
  </si>
  <si>
    <t>WEAPON_WIZARD_1_40_1</t>
    <phoneticPr fontId="4" type="noConversion"/>
  </si>
  <si>
    <t>WEAPON_WIZARD_2_40_1</t>
    <phoneticPr fontId="4" type="noConversion"/>
  </si>
  <si>
    <t>WEAPON_WIZARD_3_40_1</t>
    <phoneticPr fontId="4" type="noConversion"/>
  </si>
  <si>
    <t>WEAPON_WIZARD_4_40_1</t>
    <phoneticPr fontId="4" type="noConversion"/>
  </si>
  <si>
    <t>WEAPON_WIZARD_5_40_1</t>
    <phoneticPr fontId="4" type="noConversion"/>
  </si>
  <si>
    <t>ARMOR_HEAVY_1_40_1</t>
    <phoneticPr fontId="4" type="noConversion"/>
  </si>
  <si>
    <t>ARMOR_HEAVY_2_40_1</t>
    <phoneticPr fontId="4" type="noConversion"/>
  </si>
  <si>
    <t>ARMOR_HEAVY_3_40_1</t>
    <phoneticPr fontId="4" type="noConversion"/>
  </si>
  <si>
    <t>ARMOR_HEAVY_4_40_1</t>
    <phoneticPr fontId="4" type="noConversion"/>
  </si>
  <si>
    <t>ARMOR_HEAVY_5_40_1</t>
    <phoneticPr fontId="4" type="noConversion"/>
  </si>
  <si>
    <t>ARMOR_LIGHT_1_40_1</t>
    <phoneticPr fontId="4" type="noConversion"/>
  </si>
  <si>
    <t>ARMOR_LIGHT_2_40_1</t>
    <phoneticPr fontId="4" type="noConversion"/>
  </si>
  <si>
    <t>ARMOR_LIGHT_3_40_1</t>
    <phoneticPr fontId="4" type="noConversion"/>
  </si>
  <si>
    <t>ARMOR_LIGHT_4_40_1</t>
    <phoneticPr fontId="4" type="noConversion"/>
  </si>
  <si>
    <t>ARMOR_LIGHT_5_40_1</t>
    <phoneticPr fontId="4" type="noConversion"/>
  </si>
  <si>
    <t>ARMOR_ROBE_1_40_1</t>
    <phoneticPr fontId="4" type="noConversion"/>
  </si>
  <si>
    <t>ARMOR_ROBE_2_40_1</t>
    <phoneticPr fontId="4" type="noConversion"/>
  </si>
  <si>
    <t>ARMOR_ROBE_3_40_1</t>
    <phoneticPr fontId="4" type="noConversion"/>
  </si>
  <si>
    <t>ARMOR_ROBE_4_40_1</t>
    <phoneticPr fontId="4" type="noConversion"/>
  </si>
  <si>
    <t>ARMOR_ROBE_5_40_1</t>
    <phoneticPr fontId="4" type="noConversion"/>
  </si>
  <si>
    <t>GEAR_HEAVY_1_40_1</t>
    <phoneticPr fontId="4" type="noConversion"/>
  </si>
  <si>
    <t>GEAR_HEAVY_2_40_1</t>
    <phoneticPr fontId="4" type="noConversion"/>
  </si>
  <si>
    <t>GEAR_HEAVY_3_40_1</t>
    <phoneticPr fontId="4" type="noConversion"/>
  </si>
  <si>
    <t>GEAR_HEAVY_4_40_1</t>
    <phoneticPr fontId="4" type="noConversion"/>
  </si>
  <si>
    <t>GEAR_HEAVY_5_40_1</t>
    <phoneticPr fontId="4" type="noConversion"/>
  </si>
  <si>
    <t>GEAR_LIGHT_1_40_1</t>
    <phoneticPr fontId="4" type="noConversion"/>
  </si>
  <si>
    <t>GEAR_LIGHT_2_40_1</t>
    <phoneticPr fontId="4" type="noConversion"/>
  </si>
  <si>
    <t>GEAR_LIGHT_3_40_1</t>
    <phoneticPr fontId="4" type="noConversion"/>
  </si>
  <si>
    <t>GEAR_LIGHT_4_40_1</t>
    <phoneticPr fontId="4" type="noConversion"/>
  </si>
  <si>
    <t>GEAR_LIGHT_5_40_1</t>
    <phoneticPr fontId="4" type="noConversion"/>
  </si>
  <si>
    <t>GEAR_ROBE_1_40_1</t>
    <phoneticPr fontId="4" type="noConversion"/>
  </si>
  <si>
    <t>GEAR_ROBE_2_40_1</t>
    <phoneticPr fontId="4" type="noConversion"/>
  </si>
  <si>
    <t>GEAR_ROBE_3_40_1</t>
    <phoneticPr fontId="4" type="noConversion"/>
  </si>
  <si>
    <t>GEAR_ROBE_4_40_1</t>
    <phoneticPr fontId="4" type="noConversion"/>
  </si>
  <si>
    <t>GEAR_ROBE_5_40_1</t>
    <phoneticPr fontId="4" type="noConversion"/>
  </si>
  <si>
    <t>ACCESSORY_RING_1_40_1</t>
    <phoneticPr fontId="4" type="noConversion"/>
  </si>
  <si>
    <t>ACCESSORY_RING_2_40_1</t>
    <phoneticPr fontId="4" type="noConversion"/>
  </si>
  <si>
    <t>ACCESSORY_RING_3_40_1</t>
    <phoneticPr fontId="4" type="noConversion"/>
  </si>
  <si>
    <t>ACCESSORY_RING_4_40_1</t>
    <phoneticPr fontId="4" type="noConversion"/>
  </si>
  <si>
    <t>ACCESSORY_RING_5_40_1</t>
    <phoneticPr fontId="4" type="noConversion"/>
  </si>
  <si>
    <t>ACCESSORY_EARRING_1_40_1</t>
    <phoneticPr fontId="4" type="noConversion"/>
  </si>
  <si>
    <t>ACCESSORY_EARRING_2_40_1</t>
    <phoneticPr fontId="4" type="noConversion"/>
  </si>
  <si>
    <t>ACCESSORY_EARRING_3_40_1</t>
    <phoneticPr fontId="4" type="noConversion"/>
  </si>
  <si>
    <t>ACCESSORY_EARRING_4_40_1</t>
    <phoneticPr fontId="4" type="noConversion"/>
  </si>
  <si>
    <t>ACCESSORY_EARRING_5_40_1</t>
    <phoneticPr fontId="4" type="noConversion"/>
  </si>
  <si>
    <t>ACCESSORY_NECKLACE_1_40_1</t>
    <phoneticPr fontId="4" type="noConversion"/>
  </si>
  <si>
    <t>ACCESSORY_NECKLACE_2_40_1</t>
    <phoneticPr fontId="4" type="noConversion"/>
  </si>
  <si>
    <t>ACCESSORY_NECKLACE_3_40_1</t>
    <phoneticPr fontId="4" type="noConversion"/>
  </si>
  <si>
    <t>ACCESSORY_NECKLACE_4_40_1</t>
    <phoneticPr fontId="4" type="noConversion"/>
  </si>
  <si>
    <t>ACCESSORY_NECKLACE_5_40_1</t>
    <phoneticPr fontId="4" type="noConversion"/>
  </si>
  <si>
    <t>ACCESSORY_BRACELET_1_40_1</t>
    <phoneticPr fontId="4" type="noConversion"/>
  </si>
  <si>
    <t>ACCESSORY_BRACELET_2_40_1</t>
    <phoneticPr fontId="4" type="noConversion"/>
  </si>
  <si>
    <t>ACCESSORY_BRACELET_3_40_1</t>
    <phoneticPr fontId="4" type="noConversion"/>
  </si>
  <si>
    <t>ACCESSORY_BRACELET_4_40_1</t>
    <phoneticPr fontId="4" type="noConversion"/>
  </si>
  <si>
    <t>ACCESSORY_BRACELET_5_40_1</t>
    <phoneticPr fontId="4" type="noConversion"/>
  </si>
  <si>
    <t>20001</t>
    <phoneticPr fontId="4" type="noConversion"/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</si>
  <si>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</si>
  <si>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</si>
  <si>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</si>
  <si>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</si>
  <si>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</si>
  <si>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</si>
  <si>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</si>
  <si>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</si>
  <si>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</si>
  <si>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</si>
  <si>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</si>
  <si>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</si>
  <si>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20014</t>
  </si>
  <si>
    <t>20015</t>
  </si>
  <si>
    <t>20016</t>
  </si>
  <si>
    <t>20017</t>
  </si>
  <si>
    <t>20018</t>
  </si>
  <si>
    <t>WEAPON_EQUIPUPGRADE_TUTORIAL</t>
    <phoneticPr fontId="4" type="noConversion"/>
  </si>
  <si>
    <t>Assassin</t>
    <phoneticPr fontId="4" type="noConversion"/>
  </si>
  <si>
    <t>Archer</t>
    <phoneticPr fontId="4" type="noConversion"/>
  </si>
  <si>
    <t>WEAPON_KNIGHT_6_1_1</t>
  </si>
  <si>
    <t>Knight</t>
    <phoneticPr fontId="4" type="noConversion"/>
  </si>
  <si>
    <t>6</t>
    <phoneticPr fontId="4" type="noConversion"/>
  </si>
  <si>
    <t>0</t>
    <phoneticPr fontId="4" type="noConversion"/>
  </si>
  <si>
    <t>WEAPON_KNIGHT_6_2_1</t>
  </si>
  <si>
    <t>WEAPON_KNIGHT_6_3_1</t>
  </si>
  <si>
    <t>WEAPON_KNIGHT_6_4_1</t>
  </si>
  <si>
    <t>WEAPON_KNIGHT_6_5_1</t>
  </si>
  <si>
    <t>WEAPON_KNIGHT_6_40_1</t>
    <phoneticPr fontId="4" type="noConversion"/>
  </si>
  <si>
    <t>Knight</t>
    <phoneticPr fontId="4" type="noConversion"/>
  </si>
  <si>
    <t>6</t>
    <phoneticPr fontId="4" type="noConversion"/>
  </si>
  <si>
    <t>0</t>
    <phoneticPr fontId="4" type="noConversion"/>
  </si>
  <si>
    <t>WEAPON_WARRIOR_6_1_1</t>
  </si>
  <si>
    <t>Warrior</t>
    <phoneticPr fontId="4" type="noConversion"/>
  </si>
  <si>
    <t>WEAPON_WARRIOR_6_2_1</t>
  </si>
  <si>
    <t>Warrior</t>
    <phoneticPr fontId="4" type="noConversion"/>
  </si>
  <si>
    <t>WEAPON_WARRIOR_6_3_1</t>
  </si>
  <si>
    <t>WEAPON_WARRIOR_6_4_1</t>
  </si>
  <si>
    <t>Warrior</t>
    <phoneticPr fontId="4" type="noConversion"/>
  </si>
  <si>
    <t>6</t>
    <phoneticPr fontId="4" type="noConversion"/>
  </si>
  <si>
    <t>0</t>
    <phoneticPr fontId="4" type="noConversion"/>
  </si>
  <si>
    <t>WEAPON_WARRIOR_6_5_1</t>
  </si>
  <si>
    <t>WEAPON_WARRIOR_6_40_1</t>
    <phoneticPr fontId="4" type="noConversion"/>
  </si>
  <si>
    <t>WEAPON_ASSASSIN_6_1_1</t>
  </si>
  <si>
    <t>WEAPON_ASSASSIN_6_2_1</t>
  </si>
  <si>
    <t>WEAPON_ASSASSIN_6_3_1</t>
  </si>
  <si>
    <t>WEAPON_ASSASSIN_6_4_1</t>
  </si>
  <si>
    <t>WEAPON_ASSASSIN_6_5_1</t>
  </si>
  <si>
    <t>WEAPON_ASSASSIN_6_40_1</t>
  </si>
  <si>
    <t>WEAPON_ARCHER_6_1_1</t>
  </si>
  <si>
    <t>WEAPON_ARCHER_6_2_1</t>
  </si>
  <si>
    <t>WEAPON_ARCHER_6_3_1</t>
  </si>
  <si>
    <t>WEAPON_ARCHER_6_4_1</t>
  </si>
  <si>
    <t>WEAPON_ARCHER_6_5_1</t>
  </si>
  <si>
    <t>WEAPON_ARCHER_6_40_1</t>
    <phoneticPr fontId="4" type="noConversion"/>
  </si>
  <si>
    <t>WEAPON_MECHANIC_6_1_1</t>
  </si>
  <si>
    <t>Mechanic</t>
    <phoneticPr fontId="4" type="noConversion"/>
  </si>
  <si>
    <t>WEAPON_MECHANIC_6_2_1</t>
  </si>
  <si>
    <t>WEAPON_MECHANIC_6_3_1</t>
  </si>
  <si>
    <t>WEAPON_MECHANIC_6_4_1</t>
  </si>
  <si>
    <t>WEAPON_MECHANIC_6_5_1</t>
  </si>
  <si>
    <t>WEAPON_MECHANIC_6_40_1</t>
    <phoneticPr fontId="4" type="noConversion"/>
  </si>
  <si>
    <t>WEAPON_WIZARD_6_1_1</t>
  </si>
  <si>
    <t>WEAPON_WIZARD_6_2_1</t>
  </si>
  <si>
    <t>WEAPON_WIZARD_6_3_1</t>
  </si>
  <si>
    <t>WEAPON_WIZARD_6_4_1</t>
  </si>
  <si>
    <t>WEAPON_WIZARD_6_5_1</t>
  </si>
  <si>
    <t>WEAPON_WIZARD_6_40_1</t>
    <phoneticPr fontId="4" type="noConversion"/>
  </si>
  <si>
    <t>ARMOR_HEAVY_6_1_1</t>
  </si>
  <si>
    <t>ARMOR_HEAVY_6_2_1</t>
  </si>
  <si>
    <t>ARMOR_HEAVY_6_3_1</t>
  </si>
  <si>
    <t>ARMOR_HEAVY_6_4_1</t>
  </si>
  <si>
    <t>ARMOR_HEAVY_6_5_1</t>
  </si>
  <si>
    <t>ARMOR_HEAVY_6_40_1</t>
    <phoneticPr fontId="4" type="noConversion"/>
  </si>
  <si>
    <t>ARMOR_LIGHT_6_1_1</t>
  </si>
  <si>
    <t>ARMOR_LIGHT_6_2_1</t>
  </si>
  <si>
    <t>ARMOR_LIGHT_6_3_1</t>
  </si>
  <si>
    <t>ARMOR_LIGHT_6_4_1</t>
  </si>
  <si>
    <t>ARMOR_LIGHT_6_5_1</t>
  </si>
  <si>
    <t>6</t>
    <phoneticPr fontId="4" type="noConversion"/>
  </si>
  <si>
    <t>ARMOR_LIGHT_6_40_1</t>
    <phoneticPr fontId="4" type="noConversion"/>
  </si>
  <si>
    <t>ARMOR_ROBE_6_1_1</t>
  </si>
  <si>
    <t>ARMOR_ROBE_6_2_1</t>
  </si>
  <si>
    <t>ARMOR_ROBE_6_3_1</t>
  </si>
  <si>
    <t>ARMOR_ROBE_6_4_1</t>
  </si>
  <si>
    <t>0</t>
    <phoneticPr fontId="4" type="noConversion"/>
  </si>
  <si>
    <t>ARMOR_ROBE_6_5_1</t>
  </si>
  <si>
    <t>ARMOR_ROBE_6_40_1</t>
    <phoneticPr fontId="4" type="noConversion"/>
  </si>
  <si>
    <t>GEAR_HEAVY_6_1_1</t>
  </si>
  <si>
    <t>GEAR_HEAVY_6_2_1</t>
  </si>
  <si>
    <t>GEAR_HEAVY_6_3_1</t>
  </si>
  <si>
    <t>GEAR_HEAVY_6_4_1</t>
  </si>
  <si>
    <t>GEAR_HEAVY_6_5_1</t>
  </si>
  <si>
    <t>GEAR_HEAVY_6_40_1</t>
    <phoneticPr fontId="4" type="noConversion"/>
  </si>
  <si>
    <t>GEAR_LIGHT_6_1_1</t>
  </si>
  <si>
    <t>GEAR_LIGHT_6_2_1</t>
  </si>
  <si>
    <t>GEAR_LIGHT_6_3_1</t>
  </si>
  <si>
    <t>GEAR_LIGHT_6_4_1</t>
  </si>
  <si>
    <t>GEAR_LIGHT_6_5_1</t>
  </si>
  <si>
    <t>GEAR_LIGHT_6_40_1</t>
    <phoneticPr fontId="4" type="noConversion"/>
  </si>
  <si>
    <t>GEAR_ROBE_6_1_1</t>
  </si>
  <si>
    <t>SecondGear</t>
    <phoneticPr fontId="4" type="noConversion"/>
  </si>
  <si>
    <t>GEAR_ROBE_6_2_1</t>
  </si>
  <si>
    <t>GEAR_ROBE_6_3_1</t>
  </si>
  <si>
    <t>SecondGear</t>
    <phoneticPr fontId="4" type="noConversion"/>
  </si>
  <si>
    <t>GEAR_ROBE_6_4_1</t>
  </si>
  <si>
    <t>GEAR_ROBE_6_5_1</t>
  </si>
  <si>
    <t>GEAR_ROBE_6_40_1</t>
    <phoneticPr fontId="4" type="noConversion"/>
  </si>
  <si>
    <t>ACCESSORY_RING_6_1_1</t>
  </si>
  <si>
    <t>ACCESSORY_RING_6_2_1</t>
  </si>
  <si>
    <t>ACCESSORY_RING_6_3_1</t>
  </si>
  <si>
    <t>ACCESSORY_RING_6_4_1</t>
  </si>
  <si>
    <t>ACCESSORY_RING_6_40_1</t>
    <phoneticPr fontId="4" type="noConversion"/>
  </si>
  <si>
    <t>ACCESSORY_EARRING_6_1_1</t>
  </si>
  <si>
    <t>ACCESSORY_EARRING_6_2_1</t>
  </si>
  <si>
    <t>ACCESSORY_EARRING_6_3_1</t>
  </si>
  <si>
    <t>ACCESSORY_EARRING_6_4_1</t>
  </si>
  <si>
    <t>ACCESSORY_EARRING_6_40_1</t>
    <phoneticPr fontId="4" type="noConversion"/>
  </si>
  <si>
    <t>ACCESSORY_NECKLACE_6_1_1</t>
  </si>
  <si>
    <t>ACCESSORY_NECKLACE_6_2_1</t>
  </si>
  <si>
    <t>ACCESSORY_NECKLACE_6_3_1</t>
  </si>
  <si>
    <t>ACCESSORY_NECKLACE_6_4_1</t>
  </si>
  <si>
    <t>ACCESSORY_NECKLACE_6_40_1</t>
    <phoneticPr fontId="4" type="noConversion"/>
  </si>
  <si>
    <t>ACCESSORY_BRACELET_6_1_1</t>
  </si>
  <si>
    <t>ACCESSORY_BRACELET_6_2_1</t>
  </si>
  <si>
    <t>ACCESSORY_BRACELET_6_3_1</t>
  </si>
  <si>
    <t>Knight,Warrior,Archer,Assassin,Mechanic,Wizard,Priest</t>
    <phoneticPr fontId="4" type="noConversion"/>
  </si>
  <si>
    <t>ACCESSORY_BRACELET_6_4_1</t>
  </si>
  <si>
    <t>ACCESSORY_BRACELET_6_40_1</t>
    <phoneticPr fontId="4" type="noConversion"/>
  </si>
  <si>
    <t>ARTIFACT_UNIQUE_19</t>
    <phoneticPr fontId="9" type="noConversion"/>
  </si>
  <si>
    <t>Artifact</t>
    <phoneticPr fontId="4" type="noConversion"/>
  </si>
  <si>
    <t>20019</t>
    <phoneticPr fontId="9" type="noConversion"/>
  </si>
  <si>
    <t>ARTIFACT_UNIQUE_20</t>
  </si>
  <si>
    <t>20020</t>
  </si>
  <si>
    <t>ARTIFACT_UNIQUE_21</t>
  </si>
  <si>
    <t>20021</t>
  </si>
  <si>
    <t>ARTIFACT_UNIQUE_22</t>
  </si>
  <si>
    <t>20022</t>
  </si>
  <si>
    <t>Weapon</t>
    <phoneticPr fontId="4" type="noConversion"/>
  </si>
  <si>
    <t>0</t>
    <phoneticPr fontId="4" type="noConversion"/>
  </si>
  <si>
    <t>1</t>
    <phoneticPr fontId="4" type="noConversion"/>
  </si>
  <si>
    <t>0</t>
    <phoneticPr fontId="4" type="noConversion"/>
  </si>
  <si>
    <t>ORB_6_40_1</t>
    <phoneticPr fontId="4" type="noConversion"/>
  </si>
  <si>
    <t>0</t>
    <phoneticPr fontId="4" type="noConversion"/>
  </si>
  <si>
    <t>WEAPON_UNIQUE_ARCH_1</t>
    <phoneticPr fontId="4" type="noConversion"/>
  </si>
  <si>
    <t>WEAPON_UNIQUE_AISHA_1</t>
    <phoneticPr fontId="4" type="noConversion"/>
  </si>
  <si>
    <t>Archer</t>
    <phoneticPr fontId="4" type="noConversion"/>
  </si>
  <si>
    <t>Wizard</t>
    <phoneticPr fontId="4" type="noConversion"/>
  </si>
  <si>
    <t>11026</t>
    <phoneticPr fontId="4" type="noConversion"/>
  </si>
  <si>
    <t>11031</t>
    <phoneticPr fontId="4" type="noConversion"/>
  </si>
  <si>
    <t>WEAPON_UNIQUE_ELL_1</t>
    <phoneticPr fontId="4" type="noConversion"/>
  </si>
  <si>
    <t>11030</t>
    <phoneticPr fontId="4" type="noConversion"/>
  </si>
  <si>
    <t>WEAPON_KNIGHT_6_6_1</t>
    <phoneticPr fontId="4" type="noConversion"/>
  </si>
  <si>
    <t>WEAPON_KNIGHT_3_6_1</t>
    <phoneticPr fontId="4" type="noConversion"/>
  </si>
  <si>
    <t>WEAPON_KNIGHT_4_6_1</t>
    <phoneticPr fontId="4" type="noConversion"/>
  </si>
  <si>
    <t>WEAPON_KNIGHT_5_6_1</t>
    <phoneticPr fontId="4" type="noConversion"/>
  </si>
  <si>
    <t>3</t>
    <phoneticPr fontId="4" type="noConversion"/>
  </si>
  <si>
    <t>4</t>
    <phoneticPr fontId="4" type="noConversion"/>
  </si>
  <si>
    <t>WEAPON_WARRIOR_3_6_1</t>
  </si>
  <si>
    <t>WEAPON_WARRIOR_4_6_1</t>
  </si>
  <si>
    <t>WEAPON_WARRIOR_5_6_1</t>
  </si>
  <si>
    <t>WEAPON_WARRIOR_6_6_1</t>
  </si>
  <si>
    <t>WEAPON_ASSASSIN_3_6_1</t>
  </si>
  <si>
    <t>WEAPON_ASSASSIN_4_6_1</t>
  </si>
  <si>
    <t>WEAPON_ASSASSIN_5_6_1</t>
  </si>
  <si>
    <t>WEAPON_ASSASSIN_6_6_1</t>
  </si>
  <si>
    <t>WEAPON_ARCHER_3_6_1</t>
  </si>
  <si>
    <t>WEAPON_ARCHER_4_6_1</t>
  </si>
  <si>
    <t>WEAPON_ARCHER_5_6_1</t>
  </si>
  <si>
    <t>WEAPON_ARCHER_6_6_1</t>
  </si>
  <si>
    <t>WEAPON_MECHANIC_3_6_1</t>
  </si>
  <si>
    <t>WEAPON_MECHANIC_4_6_1</t>
  </si>
  <si>
    <t>WEAPON_MECHANIC_5_6_1</t>
  </si>
  <si>
    <t>WEAPON_MECHANIC_6_6_1</t>
  </si>
  <si>
    <t>GEAR_ROBE_3_6_1</t>
    <phoneticPr fontId="4" type="noConversion"/>
  </si>
  <si>
    <t>GEAR_ROBE_4_6_1</t>
    <phoneticPr fontId="4" type="noConversion"/>
  </si>
  <si>
    <t>GEAR_ROBE_5_6_1</t>
    <phoneticPr fontId="4" type="noConversion"/>
  </si>
  <si>
    <t>GEAR_ROBE_6_6_1</t>
    <phoneticPr fontId="4" type="noConversion"/>
  </si>
  <si>
    <t>GEAR_LIGHT_3_6_1</t>
    <phoneticPr fontId="4" type="noConversion"/>
  </si>
  <si>
    <t>GEAR_LIGHT_4_6_1</t>
    <phoneticPr fontId="4" type="noConversion"/>
  </si>
  <si>
    <t>GEAR_LIGHT_5_6_1</t>
    <phoneticPr fontId="4" type="noConversion"/>
  </si>
  <si>
    <t>GEAR_LIGHT_6_6_1</t>
    <phoneticPr fontId="4" type="noConversion"/>
  </si>
  <si>
    <t>GEAR_HEAVY_3_6_1</t>
    <phoneticPr fontId="4" type="noConversion"/>
  </si>
  <si>
    <t>GEAR_HEAVY_4_6_1</t>
    <phoneticPr fontId="4" type="noConversion"/>
  </si>
  <si>
    <t>GEAR_HEAVY_5_6_1</t>
    <phoneticPr fontId="4" type="noConversion"/>
  </si>
  <si>
    <t>GEAR_HEAVY_6_6_1</t>
    <phoneticPr fontId="4" type="noConversion"/>
  </si>
  <si>
    <t>ARMOR_ROBE_3_6_1</t>
    <phoneticPr fontId="4" type="noConversion"/>
  </si>
  <si>
    <t>ARMOR_ROBE_4_6_1</t>
    <phoneticPr fontId="4" type="noConversion"/>
  </si>
  <si>
    <t>ARMOR_ROBE_5_6_1</t>
    <phoneticPr fontId="4" type="noConversion"/>
  </si>
  <si>
    <t>ARMOR_ROBE_6_6_1</t>
    <phoneticPr fontId="4" type="noConversion"/>
  </si>
  <si>
    <t>ARMOR_LIGHT_3_6_1</t>
    <phoneticPr fontId="4" type="noConversion"/>
  </si>
  <si>
    <t>ARMOR_LIGHT_4_6_1</t>
    <phoneticPr fontId="4" type="noConversion"/>
  </si>
  <si>
    <t>ARMOR_LIGHT_5_6_1</t>
    <phoneticPr fontId="4" type="noConversion"/>
  </si>
  <si>
    <t>ARMOR_LIGHT_6_6_1</t>
    <phoneticPr fontId="4" type="noConversion"/>
  </si>
  <si>
    <t>ARMOR_HEAVY_3_6_1</t>
    <phoneticPr fontId="4" type="noConversion"/>
  </si>
  <si>
    <t>ARMOR_HEAVY_4_6_1</t>
    <phoneticPr fontId="4" type="noConversion"/>
  </si>
  <si>
    <t>ARMOR_HEAVY_5_6_1</t>
    <phoneticPr fontId="4" type="noConversion"/>
  </si>
  <si>
    <t>ARMOR_HEAVY_6_6_1</t>
    <phoneticPr fontId="4" type="noConversion"/>
  </si>
  <si>
    <t>WEAPON_WIZARD_3_6_1</t>
    <phoneticPr fontId="4" type="noConversion"/>
  </si>
  <si>
    <t>WEAPON_WIZARD_4_6_1</t>
    <phoneticPr fontId="4" type="noConversion"/>
  </si>
  <si>
    <t>WEAPON_WIZARD_5_6_1</t>
    <phoneticPr fontId="4" type="noConversion"/>
  </si>
  <si>
    <t>WEAPON_WIZARD_6_6_1</t>
    <phoneticPr fontId="4" type="noConversion"/>
  </si>
  <si>
    <t>Mechanic</t>
  </si>
  <si>
    <t>Warrior</t>
  </si>
  <si>
    <t>ACCESSORY_RING_3_5_1</t>
  </si>
  <si>
    <t>ACCESSORY_RING_4_5_1</t>
  </si>
  <si>
    <t>ACCESSORY_RING_5_5_1</t>
  </si>
  <si>
    <t>ACCESSORY_RING_6_5_1</t>
  </si>
  <si>
    <t>레이드 장비 보상</t>
    <phoneticPr fontId="4" type="noConversion"/>
  </si>
  <si>
    <t>ACCESSORY_EARRING_3_5_1</t>
  </si>
  <si>
    <t>ACCESSORY_EARRING_4_5_1</t>
  </si>
  <si>
    <t>ACCESSORY_EARRING_5_5_1</t>
  </si>
  <si>
    <t>ACCESSORY_EARRING_6_5_1</t>
  </si>
  <si>
    <t>5</t>
    <phoneticPr fontId="4" type="noConversion"/>
  </si>
  <si>
    <t>0</t>
    <phoneticPr fontId="4" type="noConversion"/>
  </si>
  <si>
    <t>레이드 보상</t>
    <phoneticPr fontId="4" type="noConversion"/>
  </si>
  <si>
    <t>ACCESSORY_NECKLACE_3_5_1</t>
  </si>
  <si>
    <t>ACCESSORY_NECKLACE_4_5_1</t>
  </si>
  <si>
    <t>ACCESSORY_NECKLACE_5_5_1</t>
  </si>
  <si>
    <t>ACCESSORY_NECKLACE_6_5_1</t>
  </si>
  <si>
    <t>ACCESSORY_BRACELET_3_5_1</t>
  </si>
  <si>
    <t>ACCESSORY_BRACELET_4_5_1</t>
  </si>
  <si>
    <t>ACCESSORY_BRACELET_5_5_1</t>
  </si>
  <si>
    <t>ACCESSORY_BRACELET_6_5_1</t>
  </si>
  <si>
    <t>WEAPON_UNIQUE_NICX_1</t>
    <phoneticPr fontId="4" type="noConversion"/>
  </si>
  <si>
    <t>WEAPON_UNIQUE_TANYA_1</t>
    <phoneticPr fontId="4" type="noConversion"/>
  </si>
  <si>
    <t>Assassin</t>
    <phoneticPr fontId="4" type="noConversion"/>
  </si>
  <si>
    <t>11033</t>
    <phoneticPr fontId="4" type="noConversion"/>
  </si>
  <si>
    <t>11034</t>
    <phoneticPr fontId="4" type="noConversion"/>
  </si>
  <si>
    <t>11037</t>
    <phoneticPr fontId="4" type="noConversion"/>
  </si>
  <si>
    <t>타냐무기</t>
    <phoneticPr fontId="4" type="noConversion"/>
  </si>
  <si>
    <t>우산</t>
    <phoneticPr fontId="4" type="noConversion"/>
  </si>
  <si>
    <t>깃털</t>
    <phoneticPr fontId="4" type="noConversion"/>
  </si>
  <si>
    <t>쌍검</t>
    <phoneticPr fontId="4" type="noConversion"/>
  </si>
  <si>
    <t>새총</t>
    <phoneticPr fontId="4" type="noConversion"/>
  </si>
  <si>
    <t>엘르와트</t>
    <phoneticPr fontId="4" type="noConversion"/>
  </si>
  <si>
    <t>쉐르카일</t>
    <phoneticPr fontId="4" type="noConversion"/>
  </si>
  <si>
    <t>닉스닉스</t>
    <phoneticPr fontId="4" type="noConversion"/>
  </si>
  <si>
    <t>아네트무기</t>
    <phoneticPr fontId="4" type="noConversion"/>
  </si>
  <si>
    <t>WEAPON_UNIQUE_ANNETTE_1</t>
    <phoneticPr fontId="4" type="noConversion"/>
  </si>
  <si>
    <t>SetIndex</t>
    <phoneticPr fontId="4" type="noConversion"/>
  </si>
  <si>
    <t>WEAPON_UNIQUE_MITRA_1</t>
    <phoneticPr fontId="4" type="noConversion"/>
  </si>
  <si>
    <t>11035</t>
    <phoneticPr fontId="4" type="noConversion"/>
  </si>
  <si>
    <t>미트라무기</t>
    <phoneticPr fontId="4" type="noConversion"/>
  </si>
  <si>
    <t>1</t>
    <phoneticPr fontId="4" type="noConversion"/>
  </si>
  <si>
    <t>WEAPON_KNIGHT_3_5_2</t>
    <phoneticPr fontId="4" type="noConversion"/>
  </si>
  <si>
    <t>WEAPON_KNIGHT_3_5_3</t>
    <phoneticPr fontId="4" type="noConversion"/>
  </si>
  <si>
    <t>WEAPON_KNIGHT_3_5_4</t>
    <phoneticPr fontId="4" type="noConversion"/>
  </si>
  <si>
    <t>WEAPON_KNIGHT_4_5_2</t>
  </si>
  <si>
    <t>WEAPON_KNIGHT_4_5_3</t>
  </si>
  <si>
    <t>WEAPON_KNIGHT_4_5_4</t>
  </si>
  <si>
    <t>WEAPON_KNIGHT_5_5_2</t>
  </si>
  <si>
    <t>WEAPON_KNIGHT_5_5_3</t>
  </si>
  <si>
    <t>WEAPON_KNIGHT_5_5_4</t>
  </si>
  <si>
    <t>WEAPON_KNIGHT_6_5_2</t>
  </si>
  <si>
    <t>WEAPON_KNIGHT_6_5_3</t>
  </si>
  <si>
    <t>WEAPON_KNIGHT_6_5_4</t>
  </si>
  <si>
    <t>WEAPON_WARRIOR_3_5_2</t>
  </si>
  <si>
    <t>WEAPON_WARRIOR_3_5_3</t>
  </si>
  <si>
    <t>WEAPON_WARRIOR_3_5_4</t>
  </si>
  <si>
    <t>WEAPON_WARRIOR_4_5_2</t>
  </si>
  <si>
    <t>WEAPON_WARRIOR_4_5_3</t>
  </si>
  <si>
    <t>WEAPON_WARRIOR_4_5_4</t>
  </si>
  <si>
    <t>WEAPON_WARRIOR_5_5_2</t>
  </si>
  <si>
    <t>WEAPON_WARRIOR_5_5_3</t>
  </si>
  <si>
    <t>WEAPON_WARRIOR_5_5_4</t>
  </si>
  <si>
    <t>WEAPON_WARRIOR_6_5_2</t>
  </si>
  <si>
    <t>WEAPON_WARRIOR_6_5_3</t>
  </si>
  <si>
    <t>WEAPON_WARRIOR_6_5_4</t>
  </si>
  <si>
    <t>WEAPON_ASSASSIN_3_5_2</t>
  </si>
  <si>
    <t>WEAPON_ASSASSIN_3_5_3</t>
  </si>
  <si>
    <t>WEAPON_ASSASSIN_3_5_4</t>
  </si>
  <si>
    <t>WEAPON_ASSASSIN_4_5_2</t>
  </si>
  <si>
    <t>WEAPON_ASSASSIN_4_5_3</t>
  </si>
  <si>
    <t>WEAPON_ASSASSIN_4_5_4</t>
  </si>
  <si>
    <t>WEAPON_ASSASSIN_5_5_2</t>
  </si>
  <si>
    <t>WEAPON_ASSASSIN_5_5_3</t>
  </si>
  <si>
    <t>WEAPON_ASSASSIN_5_5_4</t>
  </si>
  <si>
    <t>WEAPON_ASSASSIN_6_5_2</t>
  </si>
  <si>
    <t>WEAPON_ASSASSIN_6_5_3</t>
  </si>
  <si>
    <t>WEAPON_ASSASSIN_6_5_4</t>
  </si>
  <si>
    <t>WEAPON_ARCHER_3_5_2</t>
  </si>
  <si>
    <t>WEAPON_ARCHER_3_5_3</t>
  </si>
  <si>
    <t>WEAPON_ARCHER_3_5_4</t>
  </si>
  <si>
    <t>WEAPON_ARCHER_4_5_2</t>
  </si>
  <si>
    <t>WEAPON_ARCHER_4_5_3</t>
  </si>
  <si>
    <t>WEAPON_ARCHER_4_5_4</t>
  </si>
  <si>
    <t>WEAPON_ARCHER_5_5_2</t>
  </si>
  <si>
    <t>WEAPON_ARCHER_5_5_3</t>
  </si>
  <si>
    <t>WEAPON_ARCHER_5_5_4</t>
  </si>
  <si>
    <t>WEAPON_ARCHER_6_5_2</t>
  </si>
  <si>
    <t>WEAPON_ARCHER_6_5_3</t>
  </si>
  <si>
    <t>WEAPON_ARCHER_6_5_4</t>
  </si>
  <si>
    <t>WEAPON_MECHANIC_3_5_2</t>
  </si>
  <si>
    <t>WEAPON_MECHANIC_3_5_3</t>
  </si>
  <si>
    <t>WEAPON_MECHANIC_3_5_4</t>
  </si>
  <si>
    <t>WEAPON_MECHANIC_4_5_2</t>
  </si>
  <si>
    <t>WEAPON_MECHANIC_4_5_3</t>
  </si>
  <si>
    <t>WEAPON_MECHANIC_4_5_4</t>
  </si>
  <si>
    <t>WEAPON_MECHANIC_5_5_2</t>
  </si>
  <si>
    <t>WEAPON_MECHANIC_5_5_3</t>
  </si>
  <si>
    <t>WEAPON_MECHANIC_5_5_4</t>
  </si>
  <si>
    <t>WEAPON_MECHANIC_6_5_2</t>
  </si>
  <si>
    <t>WEAPON_MECHANIC_6_5_3</t>
  </si>
  <si>
    <t>WEAPON_MECHANIC_6_5_4</t>
  </si>
  <si>
    <t>WEAPON_WIZARD_3_5_2</t>
  </si>
  <si>
    <t>WEAPON_WIZARD_3_5_3</t>
  </si>
  <si>
    <t>WEAPON_WIZARD_3_5_4</t>
  </si>
  <si>
    <t>WEAPON_WIZARD_4_5_2</t>
  </si>
  <si>
    <t>WEAPON_WIZARD_4_5_3</t>
  </si>
  <si>
    <t>WEAPON_WIZARD_4_5_4</t>
  </si>
  <si>
    <t>WEAPON_WIZARD_5_5_2</t>
  </si>
  <si>
    <t>WEAPON_WIZARD_5_5_3</t>
  </si>
  <si>
    <t>WEAPON_WIZARD_5_5_4</t>
  </si>
  <si>
    <t>WEAPON_WIZARD_6_5_2</t>
  </si>
  <si>
    <t>WEAPON_WIZARD_6_5_3</t>
  </si>
  <si>
    <t>WEAPON_WIZARD_6_5_4</t>
  </si>
  <si>
    <t>ARMOR_HEAVY_3_5_2</t>
  </si>
  <si>
    <t>ARMOR_HEAVY_3_5_3</t>
  </si>
  <si>
    <t>ARMOR_HEAVY_3_5_4</t>
  </si>
  <si>
    <t>ARMOR_HEAVY_4_5_2</t>
  </si>
  <si>
    <t>ARMOR_HEAVY_4_5_3</t>
  </si>
  <si>
    <t>ARMOR_HEAVY_4_5_4</t>
  </si>
  <si>
    <t>ARMOR_HEAVY_5_5_2</t>
  </si>
  <si>
    <t>ARMOR_HEAVY_5_5_3</t>
  </si>
  <si>
    <t>ARMOR_HEAVY_5_5_4</t>
  </si>
  <si>
    <t>ARMOR_HEAVY_6_5_2</t>
  </si>
  <si>
    <t>ARMOR_HEAVY_6_5_3</t>
  </si>
  <si>
    <t>ARMOR_HEAVY_6_5_4</t>
  </si>
  <si>
    <t>ARMOR_LIGHT_3_5_2</t>
  </si>
  <si>
    <t>ARMOR_LIGHT_3_5_3</t>
  </si>
  <si>
    <t>ARMOR_LIGHT_3_5_4</t>
  </si>
  <si>
    <t>ARMOR_LIGHT_4_5_2</t>
  </si>
  <si>
    <t>ARMOR_LIGHT_4_5_3</t>
  </si>
  <si>
    <t>ARMOR_LIGHT_4_5_4</t>
  </si>
  <si>
    <t>ARMOR_LIGHT_5_5_2</t>
  </si>
  <si>
    <t>ARMOR_LIGHT_5_5_3</t>
  </si>
  <si>
    <t>ARMOR_LIGHT_5_5_4</t>
  </si>
  <si>
    <t>ARMOR_LIGHT_6_5_2</t>
  </si>
  <si>
    <t>ARMOR_LIGHT_6_5_3</t>
  </si>
  <si>
    <t>ARMOR_LIGHT_6_5_4</t>
  </si>
  <si>
    <t>ARMOR_ROBE_3_5_2</t>
  </si>
  <si>
    <t>ARMOR_ROBE_3_5_3</t>
  </si>
  <si>
    <t>ARMOR_ROBE_3_5_4</t>
  </si>
  <si>
    <t>ARMOR_ROBE_4_5_2</t>
  </si>
  <si>
    <t>ARMOR_ROBE_4_5_3</t>
  </si>
  <si>
    <t>ARMOR_ROBE_4_5_4</t>
  </si>
  <si>
    <t>ARMOR_ROBE_5_5_2</t>
  </si>
  <si>
    <t>ARMOR_ROBE_5_5_3</t>
  </si>
  <si>
    <t>ARMOR_ROBE_5_5_4</t>
  </si>
  <si>
    <t>ARMOR_ROBE_6_5_2</t>
  </si>
  <si>
    <t>ARMOR_ROBE_6_5_3</t>
  </si>
  <si>
    <t>ARMOR_ROBE_6_5_4</t>
  </si>
  <si>
    <t>GEAR_HEAVY_3_5_2</t>
  </si>
  <si>
    <t>GEAR_HEAVY_3_5_3</t>
  </si>
  <si>
    <t>GEAR_HEAVY_3_5_4</t>
  </si>
  <si>
    <t>GEAR_HEAVY_4_5_2</t>
  </si>
  <si>
    <t>GEAR_HEAVY_4_5_3</t>
  </si>
  <si>
    <t>GEAR_HEAVY_4_5_4</t>
  </si>
  <si>
    <t>GEAR_HEAVY_5_5_2</t>
  </si>
  <si>
    <t>GEAR_HEAVY_5_5_3</t>
  </si>
  <si>
    <t>GEAR_HEAVY_5_5_4</t>
  </si>
  <si>
    <t>GEAR_HEAVY_6_5_2</t>
  </si>
  <si>
    <t>GEAR_HEAVY_6_5_3</t>
  </si>
  <si>
    <t>GEAR_HEAVY_6_5_4</t>
  </si>
  <si>
    <t>GEAR_LIGHT_3_5_2</t>
  </si>
  <si>
    <t>GEAR_LIGHT_3_5_3</t>
  </si>
  <si>
    <t>GEAR_LIGHT_3_5_4</t>
  </si>
  <si>
    <t>GEAR_LIGHT_4_5_2</t>
  </si>
  <si>
    <t>GEAR_LIGHT_4_5_3</t>
  </si>
  <si>
    <t>GEAR_LIGHT_4_5_4</t>
  </si>
  <si>
    <t>GEAR_LIGHT_5_5_2</t>
  </si>
  <si>
    <t>GEAR_LIGHT_5_5_3</t>
  </si>
  <si>
    <t>GEAR_LIGHT_5_5_4</t>
  </si>
  <si>
    <t>GEAR_LIGHT_6_5_2</t>
  </si>
  <si>
    <t>GEAR_LIGHT_6_5_3</t>
  </si>
  <si>
    <t>GEAR_LIGHT_6_5_4</t>
  </si>
  <si>
    <t>GEAR_ROBE_3_5_2</t>
  </si>
  <si>
    <t>GEAR_ROBE_3_5_3</t>
  </si>
  <si>
    <t>GEAR_ROBE_3_5_4</t>
  </si>
  <si>
    <t>GEAR_ROBE_4_5_2</t>
  </si>
  <si>
    <t>GEAR_ROBE_4_5_3</t>
  </si>
  <si>
    <t>GEAR_ROBE_4_5_4</t>
  </si>
  <si>
    <t>GEAR_ROBE_5_5_2</t>
  </si>
  <si>
    <t>GEAR_ROBE_5_5_3</t>
  </si>
  <si>
    <t>GEAR_ROBE_5_5_4</t>
  </si>
  <si>
    <t>GEAR_ROBE_6_5_2</t>
  </si>
  <si>
    <t>GEAR_ROBE_6_5_3</t>
  </si>
  <si>
    <t>GEAR_ROBE_6_5_4</t>
  </si>
  <si>
    <t>ACCESSORY_RING_3_5_2</t>
  </si>
  <si>
    <t>ACCESSORY_RING_3_5_3</t>
  </si>
  <si>
    <t>ACCESSORY_RING_3_5_4</t>
  </si>
  <si>
    <t>ACCESSORY_RING_4_5_2</t>
  </si>
  <si>
    <t>ACCESSORY_RING_4_5_3</t>
  </si>
  <si>
    <t>ACCESSORY_RING_4_5_4</t>
  </si>
  <si>
    <t>ACCESSORY_RING_5_5_2</t>
  </si>
  <si>
    <t>ACCESSORY_RING_5_5_3</t>
  </si>
  <si>
    <t>ACCESSORY_RING_5_5_4</t>
  </si>
  <si>
    <t>ACCESSORY_RING_6_5_2</t>
  </si>
  <si>
    <t>ACCESSORY_RING_6_5_3</t>
  </si>
  <si>
    <t>ACCESSORY_RING_6_5_4</t>
  </si>
  <si>
    <t>ACCESSORY_EARRING_3_5_2</t>
  </si>
  <si>
    <t>ACCESSORY_EARRING_3_5_3</t>
  </si>
  <si>
    <t>ACCESSORY_EARRING_3_5_4</t>
  </si>
  <si>
    <t>ACCESSORY_EARRING_4_5_2</t>
  </si>
  <si>
    <t>ACCESSORY_EARRING_4_5_3</t>
  </si>
  <si>
    <t>ACCESSORY_EARRING_4_5_4</t>
  </si>
  <si>
    <t>ACCESSORY_EARRING_5_5_2</t>
  </si>
  <si>
    <t>ACCESSORY_EARRING_5_5_3</t>
  </si>
  <si>
    <t>ACCESSORY_EARRING_5_5_4</t>
  </si>
  <si>
    <t>ACCESSORY_NECKLACE_3_5_2</t>
  </si>
  <si>
    <t>ACCESSORY_NECKLACE_3_5_3</t>
  </si>
  <si>
    <t>ACCESSORY_NECKLACE_3_5_4</t>
  </si>
  <si>
    <t>ACCESSORY_NECKLACE_4_5_2</t>
  </si>
  <si>
    <t>ACCESSORY_NECKLACE_4_5_3</t>
  </si>
  <si>
    <t>ACCESSORY_NECKLACE_4_5_4</t>
  </si>
  <si>
    <t>ACCESSORY_NECKLACE_5_5_2</t>
  </si>
  <si>
    <t>ACCESSORY_NECKLACE_5_5_3</t>
  </si>
  <si>
    <t>ACCESSORY_NECKLACE_5_5_4</t>
  </si>
  <si>
    <t>ACCESSORY_NECKLACE_6_5_2</t>
  </si>
  <si>
    <t>ACCESSORY_NECKLACE_6_5_3</t>
  </si>
  <si>
    <t>ACCESSORY_NECKLACE_6_5_4</t>
  </si>
  <si>
    <t>ACCESSORY_BRACELET_3_5_2</t>
  </si>
  <si>
    <t>ACCESSORY_BRACELET_3_5_3</t>
  </si>
  <si>
    <t>ACCESSORY_BRACELET_3_5_4</t>
  </si>
  <si>
    <t>ACCESSORY_BRACELET_4_5_2</t>
  </si>
  <si>
    <t>ACCESSORY_BRACELET_4_5_3</t>
  </si>
  <si>
    <t>ACCESSORY_BRACELET_4_5_4</t>
  </si>
  <si>
    <t>ACCESSORY_BRACELET_5_5_2</t>
  </si>
  <si>
    <t>ACCESSORY_BRACELET_5_5_3</t>
  </si>
  <si>
    <t>ACCESSORY_BRACELET_5_5_4</t>
  </si>
  <si>
    <t>ACCESSORY_BRACELET_6_5_2</t>
  </si>
  <si>
    <t>ACCESSORY_BRACELET_6_5_3</t>
  </si>
  <si>
    <t>ACCESSORY_BRACELET_6_5_4</t>
  </si>
  <si>
    <t>ORB_5_5_2</t>
  </si>
  <si>
    <t>ORB_5_5_3</t>
  </si>
  <si>
    <t>ORB_5_5_4</t>
  </si>
  <si>
    <t>ORB_6_5_2</t>
  </si>
  <si>
    <t>ORB_6_5_3</t>
  </si>
  <si>
    <t>ORB_6_5_4</t>
  </si>
  <si>
    <t>ACCESSORY_EARRING_6_5_2</t>
  </si>
  <si>
    <t>ACCESSORY_EARRING_6_5_3</t>
  </si>
  <si>
    <t>ACCESSORY_EARRING_6_5_4</t>
  </si>
  <si>
    <t>6</t>
  </si>
  <si>
    <t>5</t>
  </si>
  <si>
    <t>WEAPON_WARRIOR_35_40_1</t>
  </si>
  <si>
    <t>WEAPON_ASSASSIN_35_40_1</t>
  </si>
  <si>
    <t>WEAPON_ASSASSIN_35_5_1</t>
  </si>
  <si>
    <t>WEAPON_ARCHER_35_40_1</t>
  </si>
  <si>
    <t>WEAPON_ARCHER_35_5_1</t>
  </si>
  <si>
    <t>WEAPON_MECHANIC_35_40_1</t>
  </si>
  <si>
    <t>WEAPON_MECHANIC_35_5_1</t>
  </si>
  <si>
    <t>WEAPON_WIZARD_35_40_1</t>
  </si>
  <si>
    <t>WEAPON_WIZARD_35_5_1</t>
  </si>
  <si>
    <t>ARMOR_HEAVY_35_40_1</t>
  </si>
  <si>
    <t>ARMOR_HEAVY_35_5_1</t>
  </si>
  <si>
    <t>ARMOR_LIGHT_35_40_1</t>
  </si>
  <si>
    <t>ARMOR_LIGHT_35_5_1</t>
  </si>
  <si>
    <t>ARMOR_ROBE_35_40_1</t>
  </si>
  <si>
    <t>ARMOR_ROBE_35_5_1</t>
  </si>
  <si>
    <t>GEAR_HEAVY_35_40_1</t>
  </si>
  <si>
    <t>GEAR_LIGHT_35_40_1</t>
  </si>
  <si>
    <t>GEAR_ROBE_35_40_1</t>
  </si>
  <si>
    <t>ACCESSORY_EARRING_35_40_1</t>
  </si>
  <si>
    <t>ACCESSORY_NECKLACE_35_40_1</t>
  </si>
  <si>
    <t>ACCESSORY_BRACELET_35_40_1</t>
  </si>
  <si>
    <t>ORB_35_40_1</t>
  </si>
  <si>
    <t>2</t>
  </si>
  <si>
    <t>3</t>
    <phoneticPr fontId="4" type="noConversion"/>
  </si>
  <si>
    <t>4</t>
  </si>
  <si>
    <t>4</t>
    <phoneticPr fontId="4" type="noConversion"/>
  </si>
  <si>
    <t>WEAPON_KNIGHT_35_5_1</t>
    <phoneticPr fontId="4" type="noConversion"/>
  </si>
  <si>
    <t>WEAPON_KNIGHT_35_40_1</t>
    <phoneticPr fontId="4" type="noConversion"/>
  </si>
  <si>
    <t>206</t>
  </si>
  <si>
    <t>101</t>
  </si>
  <si>
    <t>101</t>
    <phoneticPr fontId="4" type="noConversion"/>
  </si>
  <si>
    <t>2</t>
    <phoneticPr fontId="4" type="noConversion"/>
  </si>
  <si>
    <t>101</t>
    <phoneticPr fontId="4" type="noConversion"/>
  </si>
  <si>
    <t>WEAPON_KNIGHT_6_40_2</t>
  </si>
  <si>
    <t>WEAPON_KNIGHT_6_40_3</t>
  </si>
  <si>
    <t>WEAPON_KNIGHT_6_40_4</t>
  </si>
  <si>
    <t>WEAPON_KNIGHT_6_40_5</t>
  </si>
  <si>
    <t>WEAPON_KNIGHT_6_40_6</t>
  </si>
  <si>
    <t>WEAPON_WARRIOR_6_40_2</t>
  </si>
  <si>
    <t>WEAPON_WARRIOR_6_40_3</t>
  </si>
  <si>
    <t>WEAPON_WARRIOR_6_40_4</t>
  </si>
  <si>
    <t>WEAPON_WARRIOR_6_40_5</t>
  </si>
  <si>
    <t>WEAPON_WARRIOR_6_40_6</t>
  </si>
  <si>
    <t>202</t>
  </si>
  <si>
    <t>203</t>
  </si>
  <si>
    <t>204</t>
  </si>
  <si>
    <t>205</t>
  </si>
  <si>
    <t>201</t>
    <phoneticPr fontId="4" type="noConversion"/>
  </si>
  <si>
    <t>WEAPON_ASSASSIN_6_40_2</t>
  </si>
  <si>
    <t>WEAPON_ASSASSIN_6_40_3</t>
  </si>
  <si>
    <t>WEAPON_ASSASSIN_6_40_4</t>
  </si>
  <si>
    <t>WEAPON_ASSASSIN_6_40_5</t>
  </si>
  <si>
    <t>201</t>
    <phoneticPr fontId="4" type="noConversion"/>
  </si>
  <si>
    <t>WEAPON_ARCHER_6_40_2</t>
  </si>
  <si>
    <t>WEAPON_ARCHER_6_40_3</t>
  </si>
  <si>
    <t>WEAPON_ARCHER_6_40_4</t>
  </si>
  <si>
    <t>WEAPON_ARCHER_6_40_5</t>
  </si>
  <si>
    <t>WEAPON_ARCHER_6_40_6</t>
  </si>
  <si>
    <t>201</t>
    <phoneticPr fontId="4" type="noConversion"/>
  </si>
  <si>
    <t>WEAPON_MECHANIC_6_40_2</t>
  </si>
  <si>
    <t>WEAPON_MECHANIC_6_40_3</t>
  </si>
  <si>
    <t>WEAPON_MECHANIC_6_40_4</t>
  </si>
  <si>
    <t>WEAPON_MECHANIC_6_40_5</t>
  </si>
  <si>
    <t>WEAPON_MECHANIC_6_40_6</t>
  </si>
  <si>
    <t>WEAPON_WIZARD_6_40_2</t>
  </si>
  <si>
    <t>WEAPON_WIZARD_6_40_3</t>
  </si>
  <si>
    <t>WEAPON_WIZARD_6_40_4</t>
  </si>
  <si>
    <t>WEAPON_WIZARD_6_40_5</t>
  </si>
  <si>
    <t>WEAPON_WIZARD_6_40_6</t>
  </si>
  <si>
    <t>ARMOR_HEAVY_6_40_2</t>
  </si>
  <si>
    <t>ARMOR_HEAVY_6_40_3</t>
  </si>
  <si>
    <t>ARMOR_HEAVY_6_40_4</t>
  </si>
  <si>
    <t>ARMOR_HEAVY_6_40_5</t>
  </si>
  <si>
    <t>ARMOR_HEAVY_6_40_6</t>
  </si>
  <si>
    <t>ARMOR_LIGHT_6_40_2</t>
  </si>
  <si>
    <t>ARMOR_LIGHT_6_40_3</t>
  </si>
  <si>
    <t>ARMOR_LIGHT_6_40_4</t>
  </si>
  <si>
    <t>ARMOR_LIGHT_6_40_5</t>
  </si>
  <si>
    <t>ARMOR_LIGHT_6_40_6</t>
  </si>
  <si>
    <t>ARMOR_ROBE_6_40_2</t>
  </si>
  <si>
    <t>ARMOR_ROBE_6_40_3</t>
  </si>
  <si>
    <t>ARMOR_ROBE_6_40_4</t>
  </si>
  <si>
    <t>ARMOR_ROBE_6_40_5</t>
  </si>
  <si>
    <t>ARMOR_ROBE_6_40_6</t>
  </si>
  <si>
    <t>GEAR_HEAVY_6_40_2</t>
  </si>
  <si>
    <t>GEAR_HEAVY_6_40_3</t>
  </si>
  <si>
    <t>GEAR_HEAVY_6_40_4</t>
  </si>
  <si>
    <t>GEAR_HEAVY_6_40_5</t>
  </si>
  <si>
    <t>GEAR_HEAVY_6_40_6</t>
  </si>
  <si>
    <t>GEAR_LIGHT_6_40_2</t>
  </si>
  <si>
    <t>GEAR_LIGHT_6_40_3</t>
  </si>
  <si>
    <t>GEAR_LIGHT_6_40_4</t>
  </si>
  <si>
    <t>GEAR_LIGHT_6_40_5</t>
  </si>
  <si>
    <t>GEAR_LIGHT_6_40_6</t>
  </si>
  <si>
    <t>GEAR_ROBE_6_40_2</t>
  </si>
  <si>
    <t>GEAR_ROBE_6_40_3</t>
  </si>
  <si>
    <t>GEAR_ROBE_6_40_4</t>
  </si>
  <si>
    <t>GEAR_ROBE_6_40_5</t>
  </si>
  <si>
    <t>GEAR_ROBE_6_40_6</t>
  </si>
  <si>
    <t>ACCESSORY_RING_6_40_2</t>
  </si>
  <si>
    <t>ACCESSORY_RING_6_40_3</t>
  </si>
  <si>
    <t>ACCESSORY_RING_6_40_4</t>
  </si>
  <si>
    <t>ACCESSORY_RING_6_40_5</t>
  </si>
  <si>
    <t>ACCESSORY_RING_6_40_6</t>
  </si>
  <si>
    <t>ACCESSORY_EARRING_6_40_2</t>
  </si>
  <si>
    <t>ACCESSORY_EARRING_6_40_3</t>
  </si>
  <si>
    <t>ACCESSORY_EARRING_6_40_4</t>
  </si>
  <si>
    <t>ACCESSORY_EARRING_6_40_5</t>
  </si>
  <si>
    <t>ACCESSORY_EARRING_6_40_6</t>
  </si>
  <si>
    <t>ACCESSORY_NECKLACE_6_40_2</t>
  </si>
  <si>
    <t>ACCESSORY_NECKLACE_6_40_3</t>
  </si>
  <si>
    <t>ACCESSORY_NECKLACE_6_40_4</t>
  </si>
  <si>
    <t>ACCESSORY_NECKLACE_6_40_5</t>
  </si>
  <si>
    <t>ACCESSORY_NECKLACE_6_40_6</t>
  </si>
  <si>
    <t>ACCESSORY_BRACELET_6_40_2</t>
  </si>
  <si>
    <t>ACCESSORY_BRACELET_6_40_3</t>
  </si>
  <si>
    <t>ACCESSORY_BRACELET_6_40_4</t>
  </si>
  <si>
    <t>ACCESSORY_BRACELET_6_40_5</t>
  </si>
  <si>
    <t>ACCESSORY_BRACELET_6_40_6</t>
  </si>
  <si>
    <t>ORB_6_40_2</t>
  </si>
  <si>
    <t>ORB_6_40_3</t>
  </si>
  <si>
    <t>ORB_6_40_4</t>
  </si>
  <si>
    <t>ORB_6_40_5</t>
  </si>
  <si>
    <t>ORB_6_40_6</t>
  </si>
  <si>
    <t>102</t>
    <phoneticPr fontId="4" type="noConversion"/>
  </si>
  <si>
    <t>102</t>
    <phoneticPr fontId="4" type="noConversion"/>
  </si>
  <si>
    <t>102</t>
    <phoneticPr fontId="4" type="noConversion"/>
  </si>
  <si>
    <t>WEAPON_ASSASSIN_6_40_6</t>
  </si>
  <si>
    <t>WEAPON_UNIQUE_VISKA_1</t>
    <phoneticPr fontId="4" type="noConversion"/>
  </si>
  <si>
    <t>Warrior</t>
    <phoneticPr fontId="4" type="noConversion"/>
  </si>
  <si>
    <t>11043</t>
    <phoneticPr fontId="4" type="noConversion"/>
  </si>
  <si>
    <t>비스카무기</t>
    <phoneticPr fontId="4" type="noConversion"/>
  </si>
  <si>
    <t>SubType</t>
    <phoneticPr fontId="4" type="noConversion"/>
  </si>
  <si>
    <t>SpecialWeapon</t>
    <phoneticPr fontId="4" type="noConversion"/>
  </si>
  <si>
    <t>Weapon</t>
    <phoneticPr fontId="4" type="noConversion"/>
  </si>
  <si>
    <t>Spear</t>
  </si>
  <si>
    <t>Sword</t>
    <phoneticPr fontId="4" type="noConversion"/>
  </si>
  <si>
    <t>Dagger</t>
    <phoneticPr fontId="4" type="noConversion"/>
  </si>
  <si>
    <t>Bow</t>
    <phoneticPr fontId="4" type="noConversion"/>
  </si>
  <si>
    <t>Cannon</t>
    <phoneticPr fontId="4" type="noConversion"/>
  </si>
  <si>
    <t>Staff</t>
    <phoneticPr fontId="4" type="noConversion"/>
  </si>
  <si>
    <t>HeavyArmor</t>
    <phoneticPr fontId="4" type="noConversion"/>
  </si>
  <si>
    <t>MediumArmor</t>
    <phoneticPr fontId="4" type="noConversion"/>
  </si>
  <si>
    <t>LightArmor</t>
    <phoneticPr fontId="4" type="noConversion"/>
  </si>
  <si>
    <t>Ring</t>
    <phoneticPr fontId="4" type="noConversion"/>
  </si>
  <si>
    <t>Earring</t>
    <phoneticPr fontId="4" type="noConversion"/>
  </si>
  <si>
    <t>Necklace</t>
    <phoneticPr fontId="4" type="noConversion"/>
  </si>
  <si>
    <t>Bracelet</t>
    <phoneticPr fontId="4" type="noConversion"/>
  </si>
  <si>
    <t>None</t>
    <phoneticPr fontId="4" type="noConversion"/>
  </si>
  <si>
    <t>WEAPON_KNIGHT_7_1_1</t>
  </si>
  <si>
    <t>WEAPON_KNIGHT_7_2_1</t>
  </si>
  <si>
    <t>WEAPON_KNIGHT_7_3_1</t>
  </si>
  <si>
    <t>WEAPON_KNIGHT_7_4_1</t>
  </si>
  <si>
    <t>WEAPON_KNIGHT_7_40_1</t>
  </si>
  <si>
    <t>WEAPON_KNIGHT_7_40_2</t>
  </si>
  <si>
    <t>WEAPON_KNIGHT_7_40_3</t>
  </si>
  <si>
    <t>WEAPON_KNIGHT_7_40_4</t>
  </si>
  <si>
    <t>WEAPON_KNIGHT_7_40_5</t>
  </si>
  <si>
    <t>WEAPON_KNIGHT_7_40_6</t>
  </si>
  <si>
    <t>WEAPON_KNIGHT_7_40_7</t>
  </si>
  <si>
    <t>WEAPON_KNIGHT_7_5_1</t>
  </si>
  <si>
    <t>WEAPON_KNIGHT_7_5_2</t>
  </si>
  <si>
    <t>WEAPON_KNIGHT_7_5_3</t>
  </si>
  <si>
    <t>WEAPON_KNIGHT_7_5_4</t>
  </si>
  <si>
    <t>WEAPON_KNIGHT_7_6_1</t>
  </si>
  <si>
    <t>WEAPON_KNIGHT_36_40_1</t>
    <phoneticPr fontId="4" type="noConversion"/>
  </si>
  <si>
    <t>WEAPON_KNIGHT_36_5_1</t>
    <phoneticPr fontId="4" type="noConversion"/>
  </si>
  <si>
    <t>6</t>
    <phoneticPr fontId="4" type="noConversion"/>
  </si>
  <si>
    <t>7</t>
    <phoneticPr fontId="4" type="noConversion"/>
  </si>
  <si>
    <t>WEAPON_WARRIOR_7_1_1</t>
  </si>
  <si>
    <t>WEAPON_WARRIOR_7_2_1</t>
  </si>
  <si>
    <t>WEAPON_WARRIOR_7_3_1</t>
  </si>
  <si>
    <t>WEAPON_WARRIOR_7_4_1</t>
  </si>
  <si>
    <t>WEAPON_WARRIOR_7_40_1</t>
  </si>
  <si>
    <t>WEAPON_WARRIOR_7_40_2</t>
  </si>
  <si>
    <t>WEAPON_WARRIOR_7_40_3</t>
  </si>
  <si>
    <t>WEAPON_WARRIOR_7_40_4</t>
  </si>
  <si>
    <t>WEAPON_WARRIOR_7_40_5</t>
  </si>
  <si>
    <t>WEAPON_WARRIOR_7_40_6</t>
  </si>
  <si>
    <t>WEAPON_WARRIOR_7_40_7</t>
  </si>
  <si>
    <t>WEAPON_WARRIOR_7_5_1</t>
  </si>
  <si>
    <t>WEAPON_WARRIOR_7_5_2</t>
  </si>
  <si>
    <t>WEAPON_WARRIOR_7_5_3</t>
  </si>
  <si>
    <t>WEAPON_WARRIOR_7_5_4</t>
  </si>
  <si>
    <t>WEAPON_WARRIOR_7_6_1</t>
  </si>
  <si>
    <t>WEAPON_WARRIOR_36_40_1</t>
  </si>
  <si>
    <t>WEAPON_WARRIOR_36_5_1</t>
  </si>
  <si>
    <t>Sword</t>
  </si>
  <si>
    <t>Dagger</t>
  </si>
  <si>
    <t>WEAPON_ASSASSIN_7_1_1</t>
  </si>
  <si>
    <t>WEAPON_ASSASSIN_7_2_1</t>
  </si>
  <si>
    <t>WEAPON_ASSASSIN_7_3_1</t>
  </si>
  <si>
    <t>WEAPON_ASSASSIN_7_4_1</t>
  </si>
  <si>
    <t>WEAPON_ASSASSIN_7_40_1</t>
  </si>
  <si>
    <t>WEAPON_ASSASSIN_7_40_2</t>
  </si>
  <si>
    <t>WEAPON_ASSASSIN_7_40_3</t>
  </si>
  <si>
    <t>WEAPON_ASSASSIN_7_40_4</t>
  </si>
  <si>
    <t>WEAPON_ASSASSIN_7_40_5</t>
  </si>
  <si>
    <t>WEAPON_ASSASSIN_7_40_6</t>
  </si>
  <si>
    <t>WEAPON_ASSASSIN_7_40_7</t>
  </si>
  <si>
    <t>WEAPON_ASSASSIN_7_5_1</t>
  </si>
  <si>
    <t>WEAPON_ASSASSIN_7_5_2</t>
  </si>
  <si>
    <t>WEAPON_ASSASSIN_7_5_3</t>
  </si>
  <si>
    <t>WEAPON_ASSASSIN_7_5_4</t>
  </si>
  <si>
    <t>WEAPON_ASSASSIN_7_6_1</t>
  </si>
  <si>
    <t>WEAPON_ASSASSIN_36_40_1</t>
  </si>
  <si>
    <t>WEAPON_ASSASSIN_36_5_1</t>
  </si>
  <si>
    <t>0</t>
    <phoneticPr fontId="4" type="noConversion"/>
  </si>
  <si>
    <t>WEAPON_ARCHER_7_1_1</t>
  </si>
  <si>
    <t>WEAPON_ARCHER_7_2_1</t>
  </si>
  <si>
    <t>WEAPON_ARCHER_7_3_1</t>
  </si>
  <si>
    <t>WEAPON_ARCHER_7_4_1</t>
  </si>
  <si>
    <t>WEAPON_ARCHER_7_40_1</t>
  </si>
  <si>
    <t>WEAPON_ARCHER_7_40_2</t>
  </si>
  <si>
    <t>WEAPON_ARCHER_7_40_3</t>
  </si>
  <si>
    <t>WEAPON_ARCHER_7_40_4</t>
  </si>
  <si>
    <t>WEAPON_ARCHER_7_40_5</t>
  </si>
  <si>
    <t>WEAPON_ARCHER_7_40_6</t>
  </si>
  <si>
    <t>WEAPON_ARCHER_7_40_7</t>
  </si>
  <si>
    <t>WEAPON_ARCHER_7_5_1</t>
  </si>
  <si>
    <t>WEAPON_ARCHER_7_5_2</t>
  </si>
  <si>
    <t>WEAPON_ARCHER_7_5_3</t>
  </si>
  <si>
    <t>WEAPON_ARCHER_7_5_4</t>
  </si>
  <si>
    <t>WEAPON_ARCHER_7_6_1</t>
  </si>
  <si>
    <t>WEAPON_ARCHER_36_40_1</t>
  </si>
  <si>
    <t>WEAPON_ARCHER_36_5_1</t>
  </si>
  <si>
    <t>Bow</t>
  </si>
  <si>
    <t>WEAPON_MECHANIC_7_1_1</t>
  </si>
  <si>
    <t>WEAPON_MECHANIC_7_2_1</t>
  </si>
  <si>
    <t>WEAPON_MECHANIC_7_3_1</t>
  </si>
  <si>
    <t>WEAPON_MECHANIC_7_4_1</t>
  </si>
  <si>
    <t>WEAPON_MECHANIC_7_40_1</t>
  </si>
  <si>
    <t>WEAPON_MECHANIC_7_40_2</t>
  </si>
  <si>
    <t>WEAPON_MECHANIC_7_40_3</t>
  </si>
  <si>
    <t>WEAPON_MECHANIC_7_40_4</t>
  </si>
  <si>
    <t>WEAPON_MECHANIC_7_40_5</t>
  </si>
  <si>
    <t>WEAPON_MECHANIC_7_40_6</t>
  </si>
  <si>
    <t>WEAPON_MECHANIC_7_40_7</t>
  </si>
  <si>
    <t>WEAPON_MECHANIC_7_5_1</t>
  </si>
  <si>
    <t>WEAPON_MECHANIC_7_5_2</t>
  </si>
  <si>
    <t>WEAPON_MECHANIC_7_5_3</t>
  </si>
  <si>
    <t>WEAPON_MECHANIC_7_5_4</t>
  </si>
  <si>
    <t>WEAPON_MECHANIC_7_6_1</t>
  </si>
  <si>
    <t>WEAPON_MECHANIC_36_40_1</t>
  </si>
  <si>
    <t>WEAPON_MECHANIC_36_5_1</t>
  </si>
  <si>
    <t>Cannon</t>
  </si>
  <si>
    <t>WEAPON_WIZARD_7_1_1</t>
  </si>
  <si>
    <t>WEAPON_WIZARD_7_2_1</t>
  </si>
  <si>
    <t>WEAPON_WIZARD_7_3_1</t>
  </si>
  <si>
    <t>WEAPON_WIZARD_7_4_1</t>
  </si>
  <si>
    <t>WEAPON_WIZARD_7_40_1</t>
  </si>
  <si>
    <t>WEAPON_WIZARD_7_40_2</t>
  </si>
  <si>
    <t>WEAPON_WIZARD_7_40_3</t>
  </si>
  <si>
    <t>WEAPON_WIZARD_7_40_4</t>
  </si>
  <si>
    <t>WEAPON_WIZARD_7_40_5</t>
  </si>
  <si>
    <t>WEAPON_WIZARD_7_40_6</t>
  </si>
  <si>
    <t>WEAPON_WIZARD_7_40_7</t>
  </si>
  <si>
    <t>WEAPON_WIZARD_7_5_1</t>
  </si>
  <si>
    <t>WEAPON_WIZARD_7_5_2</t>
  </si>
  <si>
    <t>WEAPON_WIZARD_7_5_3</t>
  </si>
  <si>
    <t>WEAPON_WIZARD_7_5_4</t>
  </si>
  <si>
    <t>WEAPON_WIZARD_7_6_1</t>
  </si>
  <si>
    <t>WEAPON_WIZARD_36_40_1</t>
  </si>
  <si>
    <t>WEAPON_WIZARD_36_5_1</t>
  </si>
  <si>
    <t>Staff</t>
  </si>
  <si>
    <t>ARMOR_HEAVY_7_1_1</t>
  </si>
  <si>
    <t>ARMOR_HEAVY_7_2_1</t>
  </si>
  <si>
    <t>ARMOR_HEAVY_7_3_1</t>
  </si>
  <si>
    <t>ARMOR_HEAVY_7_4_1</t>
  </si>
  <si>
    <t>ARMOR_HEAVY_7_40_1</t>
  </si>
  <si>
    <t>ARMOR_HEAVY_7_40_2</t>
  </si>
  <si>
    <t>ARMOR_HEAVY_7_40_3</t>
  </si>
  <si>
    <t>ARMOR_HEAVY_7_40_4</t>
  </si>
  <si>
    <t>ARMOR_HEAVY_7_40_5</t>
  </si>
  <si>
    <t>ARMOR_HEAVY_7_40_6</t>
  </si>
  <si>
    <t>ARMOR_HEAVY_7_40_7</t>
  </si>
  <si>
    <t>ARMOR_HEAVY_7_5_1</t>
  </si>
  <si>
    <t>ARMOR_HEAVY_7_5_2</t>
  </si>
  <si>
    <t>ARMOR_HEAVY_7_5_3</t>
  </si>
  <si>
    <t>ARMOR_HEAVY_7_5_4</t>
  </si>
  <si>
    <t>ARMOR_HEAVY_7_6_1</t>
  </si>
  <si>
    <t>ARMOR_HEAVY_36_40_1</t>
  </si>
  <si>
    <t>ARMOR_HEAVY_36_5_1</t>
  </si>
  <si>
    <t>HeavyArmor</t>
  </si>
  <si>
    <t>ARMOR_LIGHT_7_1_1</t>
  </si>
  <si>
    <t>ARMOR_LIGHT_7_2_1</t>
  </si>
  <si>
    <t>ARMOR_LIGHT_7_3_1</t>
  </si>
  <si>
    <t>ARMOR_LIGHT_7_4_1</t>
  </si>
  <si>
    <t>ARMOR_LIGHT_7_40_1</t>
  </si>
  <si>
    <t>ARMOR_LIGHT_7_40_2</t>
  </si>
  <si>
    <t>ARMOR_LIGHT_7_40_3</t>
  </si>
  <si>
    <t>ARMOR_LIGHT_7_40_4</t>
  </si>
  <si>
    <t>ARMOR_LIGHT_7_40_5</t>
  </si>
  <si>
    <t>ARMOR_LIGHT_7_40_6</t>
  </si>
  <si>
    <t>ARMOR_LIGHT_7_40_7</t>
  </si>
  <si>
    <t>ARMOR_LIGHT_7_5_1</t>
  </si>
  <si>
    <t>ARMOR_LIGHT_7_5_2</t>
  </si>
  <si>
    <t>ARMOR_LIGHT_7_5_3</t>
  </si>
  <si>
    <t>ARMOR_LIGHT_7_5_4</t>
  </si>
  <si>
    <t>ARMOR_LIGHT_7_6_1</t>
  </si>
  <si>
    <t>ARMOR_LIGHT_36_40_1</t>
  </si>
  <si>
    <t>ARMOR_LIGHT_36_5_1</t>
  </si>
  <si>
    <t>MediumArmor</t>
  </si>
  <si>
    <t>ARMOR_ROBE_7_1_1</t>
  </si>
  <si>
    <t>ARMOR_ROBE_7_2_1</t>
  </si>
  <si>
    <t>ARMOR_ROBE_7_3_1</t>
  </si>
  <si>
    <t>ARMOR_ROBE_7_4_1</t>
  </si>
  <si>
    <t>ARMOR_ROBE_7_40_1</t>
  </si>
  <si>
    <t>ARMOR_ROBE_7_40_2</t>
  </si>
  <si>
    <t>ARMOR_ROBE_7_40_3</t>
  </si>
  <si>
    <t>ARMOR_ROBE_7_40_4</t>
  </si>
  <si>
    <t>ARMOR_ROBE_7_40_5</t>
  </si>
  <si>
    <t>ARMOR_ROBE_7_40_6</t>
  </si>
  <si>
    <t>ARMOR_ROBE_7_40_7</t>
  </si>
  <si>
    <t>ARMOR_ROBE_7_5_1</t>
  </si>
  <si>
    <t>ARMOR_ROBE_7_5_2</t>
  </si>
  <si>
    <t>ARMOR_ROBE_7_5_3</t>
  </si>
  <si>
    <t>ARMOR_ROBE_7_5_4</t>
  </si>
  <si>
    <t>ARMOR_ROBE_7_6_1</t>
  </si>
  <si>
    <t>ARMOR_ROBE_36_40_1</t>
  </si>
  <si>
    <t>ARMOR_ROBE_36_5_1</t>
  </si>
  <si>
    <t>LightArmor</t>
  </si>
  <si>
    <t>GEAR_HEAVY_35_5_1</t>
    <phoneticPr fontId="4" type="noConversion"/>
  </si>
  <si>
    <t>GEAR_HEAVY_7_1_1</t>
  </si>
  <si>
    <t>GEAR_HEAVY_7_2_1</t>
  </si>
  <si>
    <t>GEAR_HEAVY_7_3_1</t>
  </si>
  <si>
    <t>GEAR_HEAVY_7_4_1</t>
  </si>
  <si>
    <t>GEAR_HEAVY_7_40_1</t>
  </si>
  <si>
    <t>GEAR_HEAVY_7_40_2</t>
  </si>
  <si>
    <t>GEAR_HEAVY_7_40_3</t>
  </si>
  <si>
    <t>GEAR_HEAVY_7_40_4</t>
  </si>
  <si>
    <t>GEAR_HEAVY_7_40_5</t>
  </si>
  <si>
    <t>GEAR_HEAVY_7_40_6</t>
  </si>
  <si>
    <t>GEAR_HEAVY_7_40_7</t>
  </si>
  <si>
    <t>GEAR_HEAVY_7_5_1</t>
  </si>
  <si>
    <t>GEAR_HEAVY_7_5_2</t>
  </si>
  <si>
    <t>GEAR_HEAVY_7_5_3</t>
  </si>
  <si>
    <t>GEAR_HEAVY_7_5_4</t>
  </si>
  <si>
    <t>GEAR_HEAVY_7_6_1</t>
  </si>
  <si>
    <t>GEAR_HEAVY_36_40_1</t>
  </si>
  <si>
    <t>GEAR_HEAVY_36_5_1</t>
  </si>
  <si>
    <t>GEAR_LIGHT_35_5_1</t>
    <phoneticPr fontId="4" type="noConversion"/>
  </si>
  <si>
    <t>GEAR_LIGHT_7_1_1</t>
  </si>
  <si>
    <t>GEAR_LIGHT_7_2_1</t>
  </si>
  <si>
    <t>GEAR_LIGHT_7_3_1</t>
  </si>
  <si>
    <t>GEAR_LIGHT_7_4_1</t>
  </si>
  <si>
    <t>GEAR_LIGHT_7_40_1</t>
  </si>
  <si>
    <t>GEAR_LIGHT_7_40_2</t>
  </si>
  <si>
    <t>GEAR_LIGHT_7_40_3</t>
  </si>
  <si>
    <t>GEAR_LIGHT_7_40_4</t>
  </si>
  <si>
    <t>GEAR_LIGHT_7_40_5</t>
  </si>
  <si>
    <t>GEAR_LIGHT_7_40_6</t>
  </si>
  <si>
    <t>GEAR_LIGHT_7_40_7</t>
  </si>
  <si>
    <t>GEAR_LIGHT_7_5_1</t>
  </si>
  <si>
    <t>GEAR_LIGHT_7_5_2</t>
  </si>
  <si>
    <t>GEAR_LIGHT_7_5_3</t>
  </si>
  <si>
    <t>GEAR_LIGHT_7_5_4</t>
  </si>
  <si>
    <t>GEAR_LIGHT_7_6_1</t>
  </si>
  <si>
    <t>GEAR_LIGHT_36_40_1</t>
  </si>
  <si>
    <t>GEAR_LIGHT_36_5_1</t>
  </si>
  <si>
    <t>GEAR_ROBE_35_5_1</t>
    <phoneticPr fontId="4" type="noConversion"/>
  </si>
  <si>
    <t>GEAR_ROBE_7_1_1</t>
  </si>
  <si>
    <t>GEAR_ROBE_7_2_1</t>
  </si>
  <si>
    <t>GEAR_ROBE_7_3_1</t>
  </si>
  <si>
    <t>GEAR_ROBE_7_4_1</t>
  </si>
  <si>
    <t>GEAR_ROBE_7_40_1</t>
  </si>
  <si>
    <t>GEAR_ROBE_7_40_2</t>
  </si>
  <si>
    <t>GEAR_ROBE_7_40_3</t>
  </si>
  <si>
    <t>GEAR_ROBE_7_40_4</t>
  </si>
  <si>
    <t>GEAR_ROBE_7_40_5</t>
  </si>
  <si>
    <t>GEAR_ROBE_7_40_6</t>
  </si>
  <si>
    <t>GEAR_ROBE_7_40_7</t>
  </si>
  <si>
    <t>GEAR_ROBE_7_5_1</t>
  </si>
  <si>
    <t>GEAR_ROBE_7_5_2</t>
  </si>
  <si>
    <t>GEAR_ROBE_7_5_3</t>
  </si>
  <si>
    <t>GEAR_ROBE_7_5_4</t>
  </si>
  <si>
    <t>GEAR_ROBE_7_6_1</t>
  </si>
  <si>
    <t>GEAR_ROBE_36_40_1</t>
  </si>
  <si>
    <t>GEAR_ROBE_36_5_1</t>
  </si>
  <si>
    <t>ACCESSORY_RING_35_40_1</t>
    <phoneticPr fontId="4" type="noConversion"/>
  </si>
  <si>
    <t>ACCESSORY_RING_35_5_1</t>
    <phoneticPr fontId="4" type="noConversion"/>
  </si>
  <si>
    <t>ACCESSORY_RING_7_1_1</t>
  </si>
  <si>
    <t>ACCESSORY_RING_7_2_1</t>
  </si>
  <si>
    <t>ACCESSORY_RING_7_3_1</t>
  </si>
  <si>
    <t>ACCESSORY_RING_7_4_1</t>
  </si>
  <si>
    <t>ACCESSORY_RING_7_40_1</t>
  </si>
  <si>
    <t>ACCESSORY_RING_7_40_2</t>
  </si>
  <si>
    <t>ACCESSORY_RING_7_40_3</t>
  </si>
  <si>
    <t>ACCESSORY_RING_7_40_4</t>
  </si>
  <si>
    <t>ACCESSORY_RING_7_40_5</t>
  </si>
  <si>
    <t>ACCESSORY_RING_7_40_6</t>
  </si>
  <si>
    <t>ACCESSORY_RING_7_40_7</t>
  </si>
  <si>
    <t>ACCESSORY_RING_7_5_1</t>
  </si>
  <si>
    <t>ACCESSORY_RING_7_5_2</t>
  </si>
  <si>
    <t>ACCESSORY_RING_7_5_3</t>
  </si>
  <si>
    <t>ACCESSORY_RING_7_5_4</t>
  </si>
  <si>
    <t>ACCESSORY_RING_36_40_1</t>
  </si>
  <si>
    <t>ACCESSORY_RING_36_5_1</t>
  </si>
  <si>
    <t>Ring</t>
  </si>
  <si>
    <t>ACCESSORY_EARRING_35_5_1</t>
    <phoneticPr fontId="4" type="noConversion"/>
  </si>
  <si>
    <t>ACCESSORY_EARRING_7_1_1</t>
  </si>
  <si>
    <t>ACCESSORY_EARRING_7_2_1</t>
  </si>
  <si>
    <t>ACCESSORY_EARRING_7_3_1</t>
  </si>
  <si>
    <t>ACCESSORY_EARRING_7_4_1</t>
  </si>
  <si>
    <t>ACCESSORY_EARRING_7_40_1</t>
  </si>
  <si>
    <t>ACCESSORY_EARRING_7_40_2</t>
  </si>
  <si>
    <t>ACCESSORY_EARRING_7_40_3</t>
  </si>
  <si>
    <t>ACCESSORY_EARRING_7_40_4</t>
  </si>
  <si>
    <t>ACCESSORY_EARRING_7_40_5</t>
  </si>
  <si>
    <t>ACCESSORY_EARRING_7_40_6</t>
  </si>
  <si>
    <t>ACCESSORY_EARRING_7_40_7</t>
  </si>
  <si>
    <t>ACCESSORY_EARRING_7_5_1</t>
  </si>
  <si>
    <t>ACCESSORY_EARRING_7_5_2</t>
  </si>
  <si>
    <t>ACCESSORY_EARRING_7_5_3</t>
  </si>
  <si>
    <t>ACCESSORY_EARRING_7_5_4</t>
  </si>
  <si>
    <t>ACCESSORY_EARRING_36_40_1</t>
  </si>
  <si>
    <t>ACCESSORY_EARRING_36_5_1</t>
  </si>
  <si>
    <t>Earring</t>
  </si>
  <si>
    <t>ACCESSORY_NECKLACE_35_5_1</t>
    <phoneticPr fontId="4" type="noConversion"/>
  </si>
  <si>
    <t>ACCESSORY_NECKLACE_7_1_1</t>
  </si>
  <si>
    <t>ACCESSORY_NECKLACE_7_2_1</t>
  </si>
  <si>
    <t>ACCESSORY_NECKLACE_7_3_1</t>
  </si>
  <si>
    <t>ACCESSORY_NECKLACE_7_4_1</t>
  </si>
  <si>
    <t>ACCESSORY_NECKLACE_7_40_1</t>
  </si>
  <si>
    <t>ACCESSORY_NECKLACE_7_40_2</t>
  </si>
  <si>
    <t>ACCESSORY_NECKLACE_7_40_3</t>
  </si>
  <si>
    <t>ACCESSORY_NECKLACE_7_40_4</t>
  </si>
  <si>
    <t>ACCESSORY_NECKLACE_7_40_5</t>
  </si>
  <si>
    <t>ACCESSORY_NECKLACE_7_40_6</t>
  </si>
  <si>
    <t>ACCESSORY_NECKLACE_7_40_7</t>
  </si>
  <si>
    <t>ACCESSORY_NECKLACE_7_5_1</t>
  </si>
  <si>
    <t>ACCESSORY_NECKLACE_7_5_2</t>
  </si>
  <si>
    <t>ACCESSORY_NECKLACE_7_5_3</t>
  </si>
  <si>
    <t>ACCESSORY_NECKLACE_7_5_4</t>
  </si>
  <si>
    <t>ACCESSORY_NECKLACE_36_40_1</t>
  </si>
  <si>
    <t>ACCESSORY_NECKLACE_36_5_1</t>
  </si>
  <si>
    <t>Necklace</t>
  </si>
  <si>
    <t>ACCESSORY_BRACELET_35_5_1</t>
    <phoneticPr fontId="4" type="noConversion"/>
  </si>
  <si>
    <t>ACCESSORY_BRACELET_7_1_1</t>
  </si>
  <si>
    <t>ACCESSORY_BRACELET_7_2_1</t>
  </si>
  <si>
    <t>ACCESSORY_BRACELET_7_3_1</t>
  </si>
  <si>
    <t>ACCESSORY_BRACELET_7_4_1</t>
  </si>
  <si>
    <t>ACCESSORY_BRACELET_7_40_1</t>
  </si>
  <si>
    <t>ACCESSORY_BRACELET_7_40_2</t>
  </si>
  <si>
    <t>ACCESSORY_BRACELET_7_40_3</t>
  </si>
  <si>
    <t>ACCESSORY_BRACELET_7_40_4</t>
  </si>
  <si>
    <t>ACCESSORY_BRACELET_7_40_5</t>
  </si>
  <si>
    <t>ACCESSORY_BRACELET_7_40_6</t>
  </si>
  <si>
    <t>ACCESSORY_BRACELET_7_40_7</t>
  </si>
  <si>
    <t>ACCESSORY_BRACELET_7_5_1</t>
  </si>
  <si>
    <t>ACCESSORY_BRACELET_7_5_2</t>
  </si>
  <si>
    <t>ACCESSORY_BRACELET_7_5_3</t>
  </si>
  <si>
    <t>ACCESSORY_BRACELET_7_5_4</t>
  </si>
  <si>
    <t>ACCESSORY_BRACELET_36_40_1</t>
  </si>
  <si>
    <t>ACCESSORY_BRACELET_36_5_1</t>
  </si>
  <si>
    <t>Bracelet</t>
  </si>
  <si>
    <t>ORB_35_5_1</t>
    <phoneticPr fontId="4" type="noConversion"/>
  </si>
  <si>
    <t>ORB_36_40_1</t>
  </si>
  <si>
    <t>ORB_36_5_1</t>
  </si>
  <si>
    <t>Orb</t>
  </si>
  <si>
    <t>None</t>
  </si>
  <si>
    <t>7</t>
    <phoneticPr fontId="4" type="noConversion"/>
  </si>
  <si>
    <t>0</t>
    <phoneticPr fontId="4" type="noConversion"/>
  </si>
  <si>
    <t>Unique_Armor</t>
    <phoneticPr fontId="4" type="noConversion"/>
  </si>
  <si>
    <t>Armor</t>
    <phoneticPr fontId="4" type="noConversion"/>
  </si>
  <si>
    <t>Knight</t>
    <phoneticPr fontId="4" type="noConversion"/>
  </si>
  <si>
    <t>Wizard</t>
  </si>
  <si>
    <t>Priest</t>
  </si>
  <si>
    <t>ARMOR_UNIQUE_KNIGHT_1_1</t>
  </si>
  <si>
    <t>ARMOR_UNIQUE_KNIGHT_1_2</t>
  </si>
  <si>
    <t>ARMOR_UNIQUE_KNIGHT_1_3</t>
  </si>
  <si>
    <t>ARMOR_UNIQUE_KNIGHT_1_4</t>
  </si>
  <si>
    <t>ARMOR_UNIQUE_KNIGHT_1_5</t>
  </si>
  <si>
    <t>ARMOR_UNIQUE_WARRIOR_1_1</t>
  </si>
  <si>
    <t>ARMOR_UNIQUE_WARRIOR_1_2</t>
  </si>
  <si>
    <t>ARMOR_UNIQUE_WARRIOR_1_3</t>
  </si>
  <si>
    <t>ARMOR_UNIQUE_WARRIOR_1_4</t>
  </si>
  <si>
    <t>ARMOR_UNIQUE_WARRIOR_1_5</t>
  </si>
  <si>
    <t>ARMOR_UNIQUE_ASSASSIN_1_1</t>
  </si>
  <si>
    <t>ARMOR_UNIQUE_ASSASSIN_1_2</t>
  </si>
  <si>
    <t>ARMOR_UNIQUE_ASSASSIN_1_3</t>
  </si>
  <si>
    <t>ARMOR_UNIQUE_ASSASSIN_1_4</t>
  </si>
  <si>
    <t>ARMOR_UNIQUE_ASSASSIN_1_5</t>
  </si>
  <si>
    <t>ARMOR_UNIQUE_ARCHER_1_1</t>
  </si>
  <si>
    <t>ARMOR_UNIQUE_ARCHER_1_2</t>
  </si>
  <si>
    <t>ARMOR_UNIQUE_ARCHER_1_3</t>
  </si>
  <si>
    <t>ARMOR_UNIQUE_ARCHER_1_4</t>
  </si>
  <si>
    <t>ARMOR_UNIQUE_ARCHER_1_5</t>
  </si>
  <si>
    <t>ARMOR_UNIQUE_MECHANIC_1_1</t>
  </si>
  <si>
    <t>ARMOR_UNIQUE_MECHANIC_1_2</t>
  </si>
  <si>
    <t>ARMOR_UNIQUE_MECHANIC_1_3</t>
  </si>
  <si>
    <t>ARMOR_UNIQUE_MECHANIC_1_4</t>
  </si>
  <si>
    <t>ARMOR_UNIQUE_MECHANIC_1_5</t>
  </si>
  <si>
    <t>ARMOR_UNIQUE_WIZARD_1_1</t>
  </si>
  <si>
    <t>ARMOR_UNIQUE_WIZARD_1_2</t>
  </si>
  <si>
    <t>ARMOR_UNIQUE_WIZARD_1_3</t>
  </si>
  <si>
    <t>ARMOR_UNIQUE_WIZARD_1_4</t>
  </si>
  <si>
    <t>ARMOR_UNIQUE_WIZARD_1_5</t>
  </si>
  <si>
    <t>ARMOR_UNIQUE_PRIEST_1_1</t>
  </si>
  <si>
    <t>ARMOR_UNIQUE_PRIEST_1_2</t>
  </si>
  <si>
    <t>ARMOR_UNIQUE_PRIEST_1_3</t>
  </si>
  <si>
    <t>ARMOR_UNIQUE_PRIEST_1_4</t>
  </si>
  <si>
    <t>ARMOR_UNIQUE_PRIEST_1_5</t>
  </si>
  <si>
    <t>GEAR_UNIQUE_KNIGHT_1_1</t>
  </si>
  <si>
    <t>GEAR_UNIQUE_KNIGHT_1_2</t>
  </si>
  <si>
    <t>GEAR_UNIQUE_KNIGHT_1_3</t>
  </si>
  <si>
    <t>GEAR_UNIQUE_KNIGHT_1_4</t>
  </si>
  <si>
    <t>GEAR_UNIQUE_KNIGHT_1_5</t>
  </si>
  <si>
    <t>GEAR_UNIQUE_WARRIOR_1_1</t>
  </si>
  <si>
    <t>GEAR_UNIQUE_WARRIOR_1_2</t>
  </si>
  <si>
    <t>GEAR_UNIQUE_WARRIOR_1_3</t>
  </si>
  <si>
    <t>GEAR_UNIQUE_WARRIOR_1_4</t>
  </si>
  <si>
    <t>GEAR_UNIQUE_WARRIOR_1_5</t>
  </si>
  <si>
    <t>GEAR_UNIQUE_ASSASSIN_1_1</t>
  </si>
  <si>
    <t>GEAR_UNIQUE_ASSASSIN_1_2</t>
  </si>
  <si>
    <t>GEAR_UNIQUE_ASSASSIN_1_3</t>
  </si>
  <si>
    <t>GEAR_UNIQUE_ASSASSIN_1_4</t>
  </si>
  <si>
    <t>GEAR_UNIQUE_ASSASSIN_1_5</t>
  </si>
  <si>
    <t>GEAR_UNIQUE_ARCHER_1_1</t>
  </si>
  <si>
    <t>GEAR_UNIQUE_ARCHER_1_2</t>
  </si>
  <si>
    <t>GEAR_UNIQUE_ARCHER_1_3</t>
  </si>
  <si>
    <t>GEAR_UNIQUE_ARCHER_1_4</t>
  </si>
  <si>
    <t>GEAR_UNIQUE_ARCHER_1_5</t>
  </si>
  <si>
    <t>GEAR_UNIQUE_MECHANIC_1_1</t>
  </si>
  <si>
    <t>GEAR_UNIQUE_MECHANIC_1_2</t>
  </si>
  <si>
    <t>GEAR_UNIQUE_MECHANIC_1_3</t>
  </si>
  <si>
    <t>GEAR_UNIQUE_MECHANIC_1_4</t>
  </si>
  <si>
    <t>GEAR_UNIQUE_MECHANIC_1_5</t>
  </si>
  <si>
    <t>GEAR_UNIQUE_WIZARD_1_1</t>
  </si>
  <si>
    <t>GEAR_UNIQUE_WIZARD_1_2</t>
  </si>
  <si>
    <t>GEAR_UNIQUE_WIZARD_1_3</t>
  </si>
  <si>
    <t>GEAR_UNIQUE_WIZARD_1_4</t>
  </si>
  <si>
    <t>GEAR_UNIQUE_WIZARD_1_5</t>
  </si>
  <si>
    <t>GEAR_UNIQUE_PRIEST_1_1</t>
  </si>
  <si>
    <t>GEAR_UNIQUE_PRIEST_1_2</t>
  </si>
  <si>
    <t>GEAR_UNIQUE_PRIEST_1_3</t>
  </si>
  <si>
    <t>GEAR_UNIQUE_PRIEST_1_4</t>
  </si>
  <si>
    <t>GEAR_UNIQUE_PRIEST_1_5</t>
  </si>
  <si>
    <t>None</t>
    <phoneticPr fontId="4" type="noConversion"/>
  </si>
  <si>
    <t>ORB_7_40_1</t>
    <phoneticPr fontId="4" type="noConversion"/>
  </si>
  <si>
    <t>ORB_7_40_2</t>
    <phoneticPr fontId="4" type="noConversion"/>
  </si>
  <si>
    <t>ORB_7_40_3</t>
    <phoneticPr fontId="4" type="noConversion"/>
  </si>
  <si>
    <t>ORB_7_40_4</t>
    <phoneticPr fontId="4" type="noConversion"/>
  </si>
  <si>
    <t>ORB_7_40_5</t>
    <phoneticPr fontId="4" type="noConversion"/>
  </si>
  <si>
    <t>ORB_7_40_6</t>
    <phoneticPr fontId="4" type="noConversion"/>
  </si>
  <si>
    <t>ORB_7_40_7</t>
    <phoneticPr fontId="4" type="noConversion"/>
  </si>
  <si>
    <t>207</t>
  </si>
  <si>
    <t>30001</t>
    <phoneticPr fontId="4" type="noConversion"/>
  </si>
  <si>
    <t>30002</t>
    <phoneticPr fontId="4" type="noConversion"/>
  </si>
  <si>
    <t>30003</t>
    <phoneticPr fontId="4" type="noConversion"/>
  </si>
  <si>
    <t>30004</t>
    <phoneticPr fontId="4" type="noConversion"/>
  </si>
  <si>
    <t>30005</t>
    <phoneticPr fontId="4" type="noConversion"/>
  </si>
  <si>
    <t>30006</t>
    <phoneticPr fontId="4" type="noConversion"/>
  </si>
  <si>
    <t>30007</t>
    <phoneticPr fontId="4" type="noConversion"/>
  </si>
  <si>
    <t>30008</t>
    <phoneticPr fontId="4" type="noConversion"/>
  </si>
  <si>
    <t>30009</t>
    <phoneticPr fontId="4" type="noConversion"/>
  </si>
  <si>
    <t>30010</t>
    <phoneticPr fontId="4" type="noConversion"/>
  </si>
  <si>
    <t>30011</t>
    <phoneticPr fontId="4" type="noConversion"/>
  </si>
  <si>
    <t>30012</t>
    <phoneticPr fontId="4" type="noConversion"/>
  </si>
  <si>
    <t>30013</t>
    <phoneticPr fontId="4" type="noConversion"/>
  </si>
  <si>
    <t>30014</t>
    <phoneticPr fontId="4" type="noConversion"/>
  </si>
  <si>
    <t>ARTIFACT_UNIQUE_23</t>
    <phoneticPr fontId="4" type="noConversion"/>
  </si>
  <si>
    <t>ARTIFACT_UNIQUE_24</t>
    <phoneticPr fontId="4" type="noConversion"/>
  </si>
  <si>
    <t>ARTIFACT_UNIQUE_25</t>
    <phoneticPr fontId="4" type="noConversion"/>
  </si>
  <si>
    <t>20023</t>
    <phoneticPr fontId="4" type="noConversion"/>
  </si>
  <si>
    <t>20024</t>
    <phoneticPr fontId="4" type="noConversion"/>
  </si>
  <si>
    <t>20025</t>
    <phoneticPr fontId="4" type="noConversion"/>
  </si>
  <si>
    <t>ARTIFACT_UNIQUE_26</t>
    <phoneticPr fontId="4" type="noConversion"/>
  </si>
  <si>
    <t>20026</t>
    <phoneticPr fontId="4" type="noConversion"/>
  </si>
  <si>
    <t>WEAPON_UNIQUE_LEWSIA_1</t>
    <phoneticPr fontId="4" type="noConversion"/>
  </si>
  <si>
    <t>11032</t>
    <phoneticPr fontId="4" type="noConversion"/>
  </si>
  <si>
    <t>WEAPON_UNIQUE_RICARDO_1</t>
    <phoneticPr fontId="4" type="noConversion"/>
  </si>
  <si>
    <t>11036</t>
    <phoneticPr fontId="4" type="noConversion"/>
  </si>
  <si>
    <t>돌기둥</t>
    <phoneticPr fontId="4" type="noConversion"/>
  </si>
  <si>
    <t>류시아</t>
    <phoneticPr fontId="4" type="noConversion"/>
  </si>
  <si>
    <t>WEAPON_UNIQUE_PRISCILLA_1</t>
    <phoneticPr fontId="4" type="noConversion"/>
  </si>
  <si>
    <t>11044</t>
    <phoneticPr fontId="4" type="noConversion"/>
  </si>
  <si>
    <t>프리실라무기</t>
    <phoneticPr fontId="4" type="noConversion"/>
  </si>
  <si>
    <t>11090</t>
    <phoneticPr fontId="4" type="noConversion"/>
  </si>
  <si>
    <t>메이 무기</t>
    <phoneticPr fontId="4" type="noConversion"/>
  </si>
  <si>
    <t>ORB_7_5_2</t>
  </si>
  <si>
    <t>ORB_7_5_3</t>
  </si>
  <si>
    <t>ORB_7_5_4</t>
  </si>
  <si>
    <t>EQUIP_UPGRADE_6</t>
    <phoneticPr fontId="4" type="noConversion"/>
  </si>
  <si>
    <t>EnhanceStone</t>
    <phoneticPr fontId="4" type="noConversion"/>
  </si>
  <si>
    <t>None</t>
    <phoneticPr fontId="4" type="noConversion"/>
  </si>
  <si>
    <t>EQUIP_UPGRADE_7</t>
    <phoneticPr fontId="4" type="noConversion"/>
  </si>
  <si>
    <t>ARTIFACT_UNIQUE_27</t>
    <phoneticPr fontId="4" type="noConversion"/>
  </si>
  <si>
    <t>ARTIFACT_UNIQUE_28</t>
    <phoneticPr fontId="4" type="noConversion"/>
  </si>
  <si>
    <t>ARTIFACT_UNIQUE_29</t>
    <phoneticPr fontId="4" type="noConversion"/>
  </si>
  <si>
    <t>20027</t>
    <phoneticPr fontId="4" type="noConversion"/>
  </si>
  <si>
    <t>20028</t>
    <phoneticPr fontId="4" type="noConversion"/>
  </si>
  <si>
    <t>20029</t>
    <phoneticPr fontId="4" type="noConversion"/>
  </si>
  <si>
    <t>WEAPON_UNIQUE_MAY_1</t>
    <phoneticPr fontId="4" type="noConversion"/>
  </si>
  <si>
    <t>WEAPON_UNIQUE_CASSANDRA_1</t>
  </si>
  <si>
    <t>WEAPON_UNIQUE_ODDY_1</t>
  </si>
  <si>
    <t>WEAPON_UNIQUE_YANNE_1</t>
  </si>
  <si>
    <t>11045</t>
    <phoneticPr fontId="4" type="noConversion"/>
  </si>
  <si>
    <t>11042</t>
    <phoneticPr fontId="4" type="noConversion"/>
  </si>
  <si>
    <t>11039</t>
    <phoneticPr fontId="4" type="noConversion"/>
  </si>
  <si>
    <t>카산드라무기</t>
    <phoneticPr fontId="4" type="noConversion"/>
  </si>
  <si>
    <t>얀느무기</t>
    <phoneticPr fontId="4" type="noConversion"/>
  </si>
  <si>
    <t>Priest</t>
    <phoneticPr fontId="4" type="noConversion"/>
  </si>
  <si>
    <t>Archer</t>
    <phoneticPr fontId="4" type="noConversion"/>
  </si>
  <si>
    <t>ARTIFACT_UNIQUE_39</t>
    <phoneticPr fontId="4" type="noConversion"/>
  </si>
  <si>
    <t>ARTIFACT_UNIQUE_40</t>
    <phoneticPr fontId="4" type="noConversion"/>
  </si>
  <si>
    <t>ARTIFACT_UNIQUE_41</t>
    <phoneticPr fontId="4" type="noConversion"/>
  </si>
  <si>
    <t>ARTIFACT_UNIQUE_42</t>
    <phoneticPr fontId="4" type="noConversion"/>
  </si>
  <si>
    <t>20039</t>
    <phoneticPr fontId="4" type="noConversion"/>
  </si>
  <si>
    <t>20040</t>
    <phoneticPr fontId="4" type="noConversion"/>
  </si>
  <si>
    <t>20041</t>
    <phoneticPr fontId="4" type="noConversion"/>
  </si>
  <si>
    <t>20042</t>
    <phoneticPr fontId="4" type="noConversion"/>
  </si>
  <si>
    <t>ARTIFACT_UNIQUE_51</t>
    <phoneticPr fontId="4" type="noConversion"/>
  </si>
  <si>
    <t>ARTIFACT_UNIQUE_52</t>
    <phoneticPr fontId="4" type="noConversion"/>
  </si>
  <si>
    <t>20051</t>
    <phoneticPr fontId="4" type="noConversion"/>
  </si>
  <si>
    <t>20052</t>
    <phoneticPr fontId="4" type="noConversion"/>
  </si>
  <si>
    <t>WEAPON_UNIQUE_GLADI_1</t>
    <phoneticPr fontId="4" type="noConversion"/>
  </si>
  <si>
    <t>Assassin</t>
    <phoneticPr fontId="4" type="noConversion"/>
  </si>
  <si>
    <t>11091</t>
    <phoneticPr fontId="4" type="noConversion"/>
  </si>
  <si>
    <t>글라디무기</t>
    <phoneticPr fontId="4" type="noConversion"/>
  </si>
  <si>
    <t>WEAPON_UNIQUE_THEO_1</t>
    <phoneticPr fontId="4" type="noConversion"/>
  </si>
  <si>
    <t>WEAPON_UNIQUE_MEDIANA_1</t>
    <phoneticPr fontId="4" type="noConversion"/>
  </si>
  <si>
    <t>11040</t>
    <phoneticPr fontId="4" type="noConversion"/>
  </si>
  <si>
    <t>11041</t>
    <phoneticPr fontId="4" type="noConversion"/>
  </si>
  <si>
    <t>테오무기</t>
    <phoneticPr fontId="4" type="noConversion"/>
  </si>
  <si>
    <t>메디아나무기</t>
    <phoneticPr fontId="4" type="noConversion"/>
  </si>
  <si>
    <t>WEAPON_UNIQUE_ARTEMIA_1</t>
    <phoneticPr fontId="4" type="noConversion"/>
  </si>
  <si>
    <t>11064</t>
    <phoneticPr fontId="4" type="noConversion"/>
  </si>
  <si>
    <t>아르테미아무기</t>
    <phoneticPr fontId="4" type="noConversion"/>
  </si>
  <si>
    <t>ARTIFACT_UNIQUE_32</t>
    <phoneticPr fontId="4" type="noConversion"/>
  </si>
  <si>
    <t>ARTIFACT_UNIQUE_33</t>
    <phoneticPr fontId="4" type="noConversion"/>
  </si>
  <si>
    <t>20032</t>
    <phoneticPr fontId="4" type="noConversion"/>
  </si>
  <si>
    <t>20033</t>
    <phoneticPr fontId="4" type="noConversion"/>
  </si>
  <si>
    <t>ARTIFACT_UNIQUE_53</t>
    <phoneticPr fontId="4" type="noConversion"/>
  </si>
  <si>
    <t>20053</t>
    <phoneticPr fontId="4" type="noConversion"/>
  </si>
  <si>
    <t>WEAPON_WARRIOR_35_5_1</t>
    <phoneticPr fontId="4" type="noConversion"/>
  </si>
  <si>
    <t>ARTIFACT_UNIQUE_55</t>
    <phoneticPr fontId="4" type="noConversion"/>
  </si>
  <si>
    <t>20055</t>
    <phoneticPr fontId="4" type="noConversion"/>
  </si>
  <si>
    <t>11065</t>
    <phoneticPr fontId="4" type="noConversion"/>
  </si>
  <si>
    <t>11063</t>
    <phoneticPr fontId="4" type="noConversion"/>
  </si>
  <si>
    <t>11062</t>
    <phoneticPr fontId="4" type="noConversion"/>
  </si>
  <si>
    <t>소니아 무기</t>
    <phoneticPr fontId="4" type="noConversion"/>
  </si>
  <si>
    <t>미리안느 무기</t>
    <phoneticPr fontId="4" type="noConversion"/>
  </si>
  <si>
    <t>WEAPON_UNIQUE_MIRIANNE_1</t>
    <phoneticPr fontId="4" type="noConversion"/>
  </si>
  <si>
    <t>WEAPON_UNIQUE_SONIA_1</t>
    <phoneticPr fontId="4" type="noConversion"/>
  </si>
  <si>
    <t>WEAPON_UNIQUE_SCARLET_1</t>
    <phoneticPr fontId="4" type="noConversion"/>
  </si>
  <si>
    <t>ARTIFACT_UNIQUE_56</t>
    <phoneticPr fontId="4" type="noConversion"/>
  </si>
  <si>
    <t>20056</t>
    <phoneticPr fontId="4" type="noConversion"/>
  </si>
  <si>
    <t>ARTIFACT_UNIQUE_57</t>
    <phoneticPr fontId="4" type="noConversion"/>
  </si>
  <si>
    <t>20057</t>
    <phoneticPr fontId="4" type="noConversion"/>
  </si>
  <si>
    <t>EQUIP_SUPER_UPGRADE_3</t>
    <phoneticPr fontId="4" type="noConversion"/>
  </si>
  <si>
    <t>EnhanceStone</t>
    <phoneticPr fontId="4" type="noConversion"/>
  </si>
  <si>
    <t>None</t>
    <phoneticPr fontId="4" type="noConversion"/>
  </si>
  <si>
    <t>EQUIP_SUPER_UPGRADE_4</t>
  </si>
  <si>
    <t>EnhanceStone</t>
    <phoneticPr fontId="4" type="noConversion"/>
  </si>
  <si>
    <t>EQUIP_SUPER_UPGRADE_5</t>
  </si>
  <si>
    <t>EQUIP_SUPER_UPGRADE_6</t>
  </si>
  <si>
    <t>EQUIP_SUPER_UPGRADE_7</t>
  </si>
  <si>
    <t>None</t>
    <phoneticPr fontId="4" type="noConversion"/>
  </si>
  <si>
    <t>11038</t>
    <phoneticPr fontId="4" type="noConversion"/>
  </si>
  <si>
    <t>에제키엘무기</t>
    <phoneticPr fontId="4" type="noConversion"/>
  </si>
  <si>
    <t>WEAPON_UNIQUE_EZEKIEL_1</t>
    <phoneticPr fontId="4" type="noConversion"/>
  </si>
  <si>
    <t>WEAPON_UNIQUE_OPHELIA_1</t>
    <phoneticPr fontId="4" type="noConversion"/>
  </si>
  <si>
    <t>WEAPON_UNIQUE_REQUINA_1</t>
    <phoneticPr fontId="4" type="noConversion"/>
  </si>
  <si>
    <t>오펠리아 무기</t>
    <phoneticPr fontId="4" type="noConversion"/>
  </si>
  <si>
    <t>레퀴나 무기</t>
    <phoneticPr fontId="4" type="noConversion"/>
  </si>
  <si>
    <t>11050</t>
    <phoneticPr fontId="4" type="noConversion"/>
  </si>
  <si>
    <t>11049</t>
    <phoneticPr fontId="4" type="noConversion"/>
  </si>
  <si>
    <t>WEAPON_UNIQUE_KNIGHT_1</t>
  </si>
  <si>
    <t>WEAPON_UNIQUE_WARRIOR_1</t>
  </si>
  <si>
    <t>WEAPON_UNIQUE_ASSASSIN_1</t>
  </si>
  <si>
    <t>WEAPON_UNIQUE_ARCHER_1</t>
  </si>
  <si>
    <t>WEAPON_UNIQUE_MECHANIC_1</t>
  </si>
  <si>
    <t>WEAPON_UNIQUE_WIZARD_1</t>
  </si>
  <si>
    <t>WEAPON_UNIQUE_PRIEST_1</t>
  </si>
  <si>
    <t>SpecialWeapon</t>
    <phoneticPr fontId="4" type="noConversion"/>
  </si>
  <si>
    <t>31001</t>
  </si>
  <si>
    <t>TREASURE</t>
    <phoneticPr fontId="4" type="noConversion"/>
  </si>
  <si>
    <t>TREASURE_UNIQUE_KASEL_1</t>
  </si>
  <si>
    <t>TREASURE_UNIQUE_FREY_1</t>
  </si>
  <si>
    <t>TREASURE_UNIQUE_CLEO_1</t>
  </si>
  <si>
    <t>TREASURE_UNIQUE_ROI_1</t>
  </si>
  <si>
    <t>TREASURE_UNIQUE_GAU_1</t>
  </si>
  <si>
    <t>TREASURE_UNIQUE_PHILLOP_1</t>
  </si>
  <si>
    <t>TREASURE_UNIQUE_LAKRAK_1</t>
  </si>
  <si>
    <t>TREASURE_UNIQUE_KAULAH_1</t>
  </si>
  <si>
    <t>TREASURE_UNIQUE_EPIS_1</t>
  </si>
  <si>
    <t>TREASURE_UNIQUE_SELENE_1</t>
  </si>
  <si>
    <t>TREASURE_UNIQUE_MARIA_1</t>
  </si>
  <si>
    <t>TREASURE_UNIQUE_MIRURU_1</t>
  </si>
  <si>
    <t>TREASURE_UNIQUE_LORRAINE_1</t>
  </si>
  <si>
    <t>TREASURE_UNIQUE_MAYA_1</t>
  </si>
  <si>
    <t>TREASURE_UNIQUE_CLAUSE_1</t>
  </si>
  <si>
    <t>TREASURE_UNIQUE_REPHY_1</t>
  </si>
  <si>
    <t>TREASURE_UNIQUE_DIMAEL_1</t>
  </si>
  <si>
    <t>TREASURE_UNIQUE_REINA_1</t>
  </si>
  <si>
    <t>TREASURE_UNIQUE_PAVEL_1</t>
  </si>
  <si>
    <t>TREASURE_UNIQUE_DEMIA_1</t>
  </si>
  <si>
    <t>TREASURE_UNIQUE_NAILA_1</t>
  </si>
  <si>
    <t>TREASURE_UNIQUE_RODINA_1</t>
  </si>
  <si>
    <t>TREASURE_UNIQUE_MORRAH_1</t>
  </si>
  <si>
    <t>TREASURE_UNIQUE_BAUDOUIN_1</t>
  </si>
  <si>
    <t>TREASURE_UNIQUE_JANE_1</t>
  </si>
  <si>
    <t>TREASURE_UNIQUE_AISHA_1</t>
  </si>
  <si>
    <t>TREASURE_UNIQUE_LEO_1</t>
  </si>
  <si>
    <t>TREASURE_UNIQUE_FLUSS_1</t>
  </si>
  <si>
    <t>TREASURE_UNIQUE_LUNA_1</t>
  </si>
  <si>
    <t>TREASURE_UNIQUE_ELL_1</t>
  </si>
  <si>
    <t>TREASURE_UNIQUE_ARCH_1</t>
  </si>
  <si>
    <t>TREASURE_UNIQUE_LEWSIA_1</t>
  </si>
  <si>
    <t>TREASURE_UNIQUE_NICX_1</t>
  </si>
  <si>
    <t>TREASURE_UNIQUE_ANNETTE_1</t>
  </si>
  <si>
    <t>TREASURE_UNIQUE_MITRA_1</t>
  </si>
  <si>
    <t>TREASURE_UNIQUE_RICARDO_1</t>
  </si>
  <si>
    <t>TREASURE_UNIQUE_TANYA_1</t>
  </si>
  <si>
    <t>TREASURE_UNIQUE_EZEKIEL_1</t>
  </si>
  <si>
    <t>TREASURE_UNIQUE_CASSANDRA_1</t>
  </si>
  <si>
    <t>TREASURE_UNIQUE_THEO_1</t>
  </si>
  <si>
    <t>TREASURE_UNIQUE_MEDIANA_1</t>
  </si>
  <si>
    <t>TREASURE_UNIQUE_ODDY_1</t>
  </si>
  <si>
    <t>TREASURE_UNIQUE_VISKA_1</t>
  </si>
  <si>
    <t>TREASURE_UNIQUE_PRISCILLA_1</t>
  </si>
  <si>
    <t>TREASURE_UNIQUE_YANNE_1</t>
  </si>
  <si>
    <t>TREASURE_UNIQUE_OPHELIA_1</t>
  </si>
  <si>
    <t>TREASURE_UNIQUE_REQUINA_1</t>
  </si>
  <si>
    <t>TREASURE_UNIQUE_SCARLET_1</t>
  </si>
  <si>
    <t>TREASURE_UNIQUE_SONIA_1</t>
  </si>
  <si>
    <t>TREASURE_UNIQUE_ARTEMIA_1</t>
  </si>
  <si>
    <t>TREASURE_UNIQUE_MIRIANNE_1</t>
  </si>
  <si>
    <t>TREASURE_UNIQUE_MAY_1</t>
  </si>
  <si>
    <t>TREASURE_UNIQUE_GLADI_1</t>
  </si>
  <si>
    <t>Treasure</t>
  </si>
  <si>
    <t>0</t>
    <phoneticPr fontId="4" type="noConversion"/>
  </si>
  <si>
    <t>11</t>
    <phoneticPr fontId="4" type="noConversion"/>
  </si>
  <si>
    <t>TREASURE_7_5_1</t>
    <phoneticPr fontId="4" type="noConversion"/>
  </si>
  <si>
    <t>Treasure</t>
    <phoneticPr fontId="4" type="noConversion"/>
  </si>
  <si>
    <t>12</t>
    <phoneticPr fontId="4" type="noConversion"/>
  </si>
  <si>
    <t>WEAPON_UNIQUE_ASELICA_1</t>
    <phoneticPr fontId="4" type="noConversion"/>
  </si>
  <si>
    <t>WEAPON_UNIQUE_CROW_1</t>
    <phoneticPr fontId="4" type="noConversion"/>
  </si>
  <si>
    <t>WEAPON_UNIQUE_VERONICA_1</t>
    <phoneticPr fontId="4" type="noConversion"/>
  </si>
  <si>
    <t>WEAPON_UNIQUE_SHEA_1</t>
    <phoneticPr fontId="4" type="noConversion"/>
  </si>
  <si>
    <t>아셀리카무기</t>
    <phoneticPr fontId="4" type="noConversion"/>
  </si>
  <si>
    <t>크로우 무기</t>
    <phoneticPr fontId="4" type="noConversion"/>
  </si>
  <si>
    <t>베로니카무기</t>
    <phoneticPr fontId="4" type="noConversion"/>
  </si>
  <si>
    <t>오디쨩</t>
    <phoneticPr fontId="4" type="noConversion"/>
  </si>
  <si>
    <t>스칼렛용</t>
    <phoneticPr fontId="4" type="noConversion"/>
  </si>
  <si>
    <t>시아 무기</t>
    <phoneticPr fontId="4" type="noConversion"/>
  </si>
  <si>
    <t>11092</t>
    <phoneticPr fontId="4" type="noConversion"/>
  </si>
  <si>
    <t>11066</t>
    <phoneticPr fontId="4" type="noConversion"/>
  </si>
  <si>
    <t>11051</t>
    <phoneticPr fontId="4" type="noConversion"/>
  </si>
  <si>
    <t>11052</t>
    <phoneticPr fontId="4" type="noConversion"/>
  </si>
  <si>
    <t>TREASURE_UNIQUE_ASELICA_1</t>
    <phoneticPr fontId="4" type="noConversion"/>
  </si>
  <si>
    <t>TREASURE_UNIQUE_CROW_1</t>
    <phoneticPr fontId="4" type="noConversion"/>
  </si>
  <si>
    <t>TREASURE_UNIQUE_SHEA_1</t>
    <phoneticPr fontId="4" type="noConversion"/>
  </si>
  <si>
    <t>12051</t>
    <phoneticPr fontId="4" type="noConversion"/>
  </si>
  <si>
    <t>12052</t>
    <phoneticPr fontId="4" type="noConversion"/>
  </si>
  <si>
    <t>12066</t>
    <phoneticPr fontId="4" type="noConversion"/>
  </si>
  <si>
    <t>12092</t>
    <phoneticPr fontId="4" type="noConversion"/>
  </si>
  <si>
    <t>TREASURE_UNIQUE_VERONICA_1</t>
    <phoneticPr fontId="4" type="noConversion"/>
  </si>
  <si>
    <t>DetailIndex</t>
    <phoneticPr fontId="4" type="noConversion"/>
  </si>
  <si>
    <t>90001</t>
    <phoneticPr fontId="4" type="noConversion"/>
  </si>
  <si>
    <t>90004</t>
    <phoneticPr fontId="4" type="noConversion"/>
  </si>
  <si>
    <t>1001</t>
    <phoneticPr fontId="4" type="noConversion"/>
  </si>
  <si>
    <t>2001</t>
    <phoneticPr fontId="4" type="noConversion"/>
  </si>
  <si>
    <t>3001</t>
    <phoneticPr fontId="4" type="noConversion"/>
  </si>
  <si>
    <t>4001</t>
    <phoneticPr fontId="4" type="noConversion"/>
  </si>
  <si>
    <t>6001</t>
    <phoneticPr fontId="4" type="noConversion"/>
  </si>
  <si>
    <t>5001</t>
    <phoneticPr fontId="4" type="noConversion"/>
  </si>
  <si>
    <t>7001</t>
    <phoneticPr fontId="4" type="noConversion"/>
  </si>
  <si>
    <t>2001</t>
    <phoneticPr fontId="4" type="noConversion"/>
  </si>
  <si>
    <t>3001</t>
    <phoneticPr fontId="4" type="noConversion"/>
  </si>
  <si>
    <t>4001</t>
    <phoneticPr fontId="4" type="noConversion"/>
  </si>
  <si>
    <t>5001</t>
    <phoneticPr fontId="4" type="noConversion"/>
  </si>
  <si>
    <t>6001</t>
    <phoneticPr fontId="4" type="noConversion"/>
  </si>
  <si>
    <t>7001</t>
    <phoneticPr fontId="4" type="noConversion"/>
  </si>
  <si>
    <t>5001</t>
    <phoneticPr fontId="4" type="noConversion"/>
  </si>
  <si>
    <t>90002</t>
    <phoneticPr fontId="4" type="noConversion"/>
  </si>
  <si>
    <t>90005</t>
    <phoneticPr fontId="4" type="noConversion"/>
  </si>
  <si>
    <t>90003</t>
    <phoneticPr fontId="4" type="noConversion"/>
  </si>
  <si>
    <t>6002</t>
    <phoneticPr fontId="4" type="noConversion"/>
  </si>
  <si>
    <t>3002</t>
    <phoneticPr fontId="4" type="noConversion"/>
  </si>
  <si>
    <t>4002</t>
    <phoneticPr fontId="4" type="noConversion"/>
  </si>
  <si>
    <t>Artifact</t>
  </si>
  <si>
    <t>90002</t>
  </si>
  <si>
    <t>ARTIFACT_UNIQUE_58</t>
    <phoneticPr fontId="4" type="noConversion"/>
  </si>
  <si>
    <t>20058</t>
    <phoneticPr fontId="4" type="noConversion"/>
  </si>
  <si>
    <t>WEAPON_UNIQUE_SHAMILLA_1</t>
    <phoneticPr fontId="4" type="noConversion"/>
  </si>
  <si>
    <t>Archer</t>
    <phoneticPr fontId="4" type="noConversion"/>
  </si>
  <si>
    <t>11053</t>
    <phoneticPr fontId="4" type="noConversion"/>
  </si>
  <si>
    <t>샤밀라무기</t>
    <phoneticPr fontId="4" type="noConversion"/>
  </si>
  <si>
    <t>WEAPON_UNIQUE_KARA_1</t>
    <phoneticPr fontId="4" type="noConversion"/>
  </si>
  <si>
    <t>11067</t>
    <phoneticPr fontId="4" type="noConversion"/>
  </si>
  <si>
    <t>WEAPON_UNIQUE_CHASE_1</t>
    <phoneticPr fontId="4" type="noConversion"/>
  </si>
  <si>
    <t>11073</t>
    <phoneticPr fontId="4" type="noConversion"/>
  </si>
  <si>
    <t>체이스무기</t>
    <phoneticPr fontId="4" type="noConversion"/>
  </si>
  <si>
    <t>카라무기</t>
    <phoneticPr fontId="4" type="noConversion"/>
  </si>
  <si>
    <t>TREASURE_UNIQUE_KARA_1</t>
    <phoneticPr fontId="4" type="noConversion"/>
  </si>
  <si>
    <t>TREASURE_UNIQUE_CHASE_1</t>
    <phoneticPr fontId="4" type="noConversion"/>
  </si>
  <si>
    <t>TREASURE_UNIQUE_SHAMILLA_1</t>
    <phoneticPr fontId="4" type="noConversion"/>
  </si>
  <si>
    <t>12053</t>
    <phoneticPr fontId="4" type="noConversion"/>
  </si>
  <si>
    <t>Mechanic</t>
    <phoneticPr fontId="4" type="noConversion"/>
  </si>
  <si>
    <t>Warrior</t>
    <phoneticPr fontId="4" type="noConversion"/>
  </si>
  <si>
    <t>12067</t>
    <phoneticPr fontId="4" type="noConversion"/>
  </si>
  <si>
    <t>12073</t>
    <phoneticPr fontId="4" type="noConversion"/>
  </si>
  <si>
    <t>WEAPON_KNIGHT_8_1_1</t>
  </si>
  <si>
    <t>WEAPON_KNIGHT_8_2_1</t>
  </si>
  <si>
    <t>2001</t>
  </si>
  <si>
    <t>WEAPON_KNIGHT_8_3_1</t>
  </si>
  <si>
    <t>3001</t>
  </si>
  <si>
    <t>WEAPON_KNIGHT_8_4_1</t>
  </si>
  <si>
    <t>4001</t>
  </si>
  <si>
    <t>WEAPON_KNIGHT_8_5_1</t>
  </si>
  <si>
    <t>5001</t>
  </si>
  <si>
    <t>WEAPON_KNIGHT_8_6_1</t>
  </si>
  <si>
    <t>6001</t>
  </si>
  <si>
    <t>WEAPON_KNIGHT_8_6_2</t>
  </si>
  <si>
    <t>WEAPON_KNIGHT_8_6_3</t>
  </si>
  <si>
    <t>WEAPON_KNIGHT_8_6_4</t>
  </si>
  <si>
    <t>WEAPON_KNIGHT_8_6_5</t>
  </si>
  <si>
    <t>WEAPON_WARRIOR_8_1_1</t>
  </si>
  <si>
    <t>WEAPON_WARRIOR_8_2_1</t>
  </si>
  <si>
    <t>WEAPON_WARRIOR_8_3_1</t>
  </si>
  <si>
    <t>WEAPON_WARRIOR_8_4_1</t>
  </si>
  <si>
    <t>WEAPON_WARRIOR_8_5_1</t>
  </si>
  <si>
    <t>WEAPON_WARRIOR_8_6_1</t>
  </si>
  <si>
    <t>WEAPON_WARRIOR_8_6_2</t>
  </si>
  <si>
    <t>WEAPON_WARRIOR_8_6_3</t>
  </si>
  <si>
    <t>WEAPON_WARRIOR_8_6_4</t>
  </si>
  <si>
    <t>WEAPON_WARRIOR_8_6_5</t>
  </si>
  <si>
    <t>WEAPON_ASSASSIN_8_1_1</t>
  </si>
  <si>
    <t>WEAPON_ASSASSIN_8_2_1</t>
  </si>
  <si>
    <t>WEAPON_ASSASSIN_8_3_1</t>
  </si>
  <si>
    <t>WEAPON_ASSASSIN_8_4_1</t>
  </si>
  <si>
    <t>WEAPON_ASSASSIN_8_5_1</t>
  </si>
  <si>
    <t>WEAPON_ASSASSIN_8_6_1</t>
  </si>
  <si>
    <t>WEAPON_ASSASSIN_8_6_2</t>
  </si>
  <si>
    <t>WEAPON_ASSASSIN_8_6_3</t>
  </si>
  <si>
    <t>WEAPON_ASSASSIN_8_6_4</t>
  </si>
  <si>
    <t>WEAPON_ASSASSIN_8_6_5</t>
  </si>
  <si>
    <t>WEAPON_ARCHER_8_1_1</t>
  </si>
  <si>
    <t>WEAPON_ARCHER_8_2_1</t>
  </si>
  <si>
    <t>WEAPON_ARCHER_8_3_1</t>
  </si>
  <si>
    <t>WEAPON_ARCHER_8_4_1</t>
  </si>
  <si>
    <t>WEAPON_ARCHER_8_5_1</t>
  </si>
  <si>
    <t>WEAPON_ARCHER_8_6_1</t>
  </si>
  <si>
    <t>WEAPON_ARCHER_8_6_2</t>
  </si>
  <si>
    <t>WEAPON_ARCHER_8_6_3</t>
  </si>
  <si>
    <t>WEAPON_ARCHER_8_6_4</t>
  </si>
  <si>
    <t>WEAPON_ARCHER_8_6_5</t>
  </si>
  <si>
    <t>WEAPON_MECHANIC_8_1_1</t>
  </si>
  <si>
    <t>WEAPON_MECHANIC_8_2_1</t>
  </si>
  <si>
    <t>WEAPON_MECHANIC_8_3_1</t>
  </si>
  <si>
    <t>WEAPON_MECHANIC_8_4_1</t>
  </si>
  <si>
    <t>WEAPON_MECHANIC_8_5_1</t>
  </si>
  <si>
    <t>WEAPON_MECHANIC_8_6_1</t>
  </si>
  <si>
    <t>WEAPON_MECHANIC_8_6_2</t>
  </si>
  <si>
    <t>WEAPON_MECHANIC_8_6_3</t>
  </si>
  <si>
    <t>WEAPON_MECHANIC_8_6_4</t>
  </si>
  <si>
    <t>WEAPON_MECHANIC_8_6_5</t>
  </si>
  <si>
    <t>WEAPON_WIZARD_8_1_1</t>
  </si>
  <si>
    <t>WEAPON_WIZARD_8_2_1</t>
  </si>
  <si>
    <t>WEAPON_WIZARD_8_3_1</t>
  </si>
  <si>
    <t>WEAPON_WIZARD_8_4_1</t>
  </si>
  <si>
    <t>WEAPON_WIZARD_8_5_1</t>
  </si>
  <si>
    <t>WEAPON_WIZARD_8_6_1</t>
  </si>
  <si>
    <t>WEAPON_WIZARD_8_6_2</t>
  </si>
  <si>
    <t>WEAPON_WIZARD_8_6_3</t>
  </si>
  <si>
    <t>WEAPON_WIZARD_8_6_4</t>
  </si>
  <si>
    <t>WEAPON_WIZARD_8_6_5</t>
  </si>
  <si>
    <t>ARMOR_HEAVY_8_1_1</t>
  </si>
  <si>
    <t>ARMOR_HEAVY_8_2_1</t>
  </si>
  <si>
    <t>ARMOR_HEAVY_8_3_1</t>
  </si>
  <si>
    <t>ARMOR_HEAVY_8_4_1</t>
  </si>
  <si>
    <t>ARMOR_HEAVY_8_5_1</t>
  </si>
  <si>
    <t>ARMOR_HEAVY_8_6_1</t>
  </si>
  <si>
    <t>ARMOR_HEAVY_8_6_2</t>
  </si>
  <si>
    <t>ARMOR_HEAVY_8_6_3</t>
  </si>
  <si>
    <t>ARMOR_HEAVY_8_6_4</t>
  </si>
  <si>
    <t>ARMOR_HEAVY_8_6_5</t>
  </si>
  <si>
    <t>ARMOR_LIGHT_8_1_1</t>
  </si>
  <si>
    <t>ARMOR_LIGHT_8_2_1</t>
  </si>
  <si>
    <t>ARMOR_LIGHT_8_3_1</t>
  </si>
  <si>
    <t>ARMOR_LIGHT_8_4_1</t>
  </si>
  <si>
    <t>ARMOR_LIGHT_8_5_1</t>
  </si>
  <si>
    <t>ARMOR_LIGHT_8_6_1</t>
  </si>
  <si>
    <t>ARMOR_LIGHT_8_6_2</t>
  </si>
  <si>
    <t>ARMOR_LIGHT_8_6_3</t>
  </si>
  <si>
    <t>ARMOR_LIGHT_8_6_4</t>
  </si>
  <si>
    <t>ARMOR_LIGHT_8_6_5</t>
  </si>
  <si>
    <t>ARMOR_ROBE_8_1_1</t>
  </si>
  <si>
    <t>ARMOR_ROBE_8_2_1</t>
  </si>
  <si>
    <t>ARMOR_ROBE_8_3_1</t>
  </si>
  <si>
    <t>ARMOR_ROBE_8_4_1</t>
  </si>
  <si>
    <t>ARMOR_ROBE_8_5_1</t>
  </si>
  <si>
    <t>ARMOR_ROBE_8_6_1</t>
  </si>
  <si>
    <t>ARMOR_ROBE_8_6_2</t>
  </si>
  <si>
    <t>ARMOR_ROBE_8_6_3</t>
  </si>
  <si>
    <t>ARMOR_ROBE_8_6_4</t>
  </si>
  <si>
    <t>ARMOR_ROBE_8_6_5</t>
  </si>
  <si>
    <t>GEAR_HEAVY_8_1_1</t>
  </si>
  <si>
    <t>GEAR_HEAVY_8_2_1</t>
  </si>
  <si>
    <t>GEAR_HEAVY_8_3_1</t>
  </si>
  <si>
    <t>GEAR_HEAVY_8_4_1</t>
  </si>
  <si>
    <t>GEAR_HEAVY_8_5_1</t>
  </si>
  <si>
    <t>GEAR_HEAVY_8_6_1</t>
  </si>
  <si>
    <t>GEAR_HEAVY_8_6_2</t>
  </si>
  <si>
    <t>GEAR_HEAVY_8_6_3</t>
  </si>
  <si>
    <t>GEAR_HEAVY_8_6_4</t>
  </si>
  <si>
    <t>GEAR_HEAVY_8_6_5</t>
  </si>
  <si>
    <t>GEAR_LIGHT_8_1_1</t>
  </si>
  <si>
    <t>GEAR_LIGHT_8_2_1</t>
  </si>
  <si>
    <t>GEAR_LIGHT_8_3_1</t>
  </si>
  <si>
    <t>GEAR_LIGHT_8_4_1</t>
  </si>
  <si>
    <t>GEAR_LIGHT_8_5_1</t>
  </si>
  <si>
    <t>GEAR_LIGHT_8_6_1</t>
  </si>
  <si>
    <t>GEAR_LIGHT_8_6_2</t>
  </si>
  <si>
    <t>GEAR_LIGHT_8_6_3</t>
  </si>
  <si>
    <t>GEAR_LIGHT_8_6_4</t>
  </si>
  <si>
    <t>GEAR_LIGHT_8_6_5</t>
  </si>
  <si>
    <t>GEAR_ROBE_8_2_1</t>
  </si>
  <si>
    <t>GEAR_ROBE_8_3_1</t>
  </si>
  <si>
    <t>GEAR_ROBE_8_4_1</t>
  </si>
  <si>
    <t>GEAR_ROBE_8_5_1</t>
  </si>
  <si>
    <t>GEAR_ROBE_8_6_1</t>
  </si>
  <si>
    <t>GEAR_ROBE_8_6_2</t>
  </si>
  <si>
    <t>GEAR_ROBE_8_6_3</t>
  </si>
  <si>
    <t>GEAR_ROBE_8_6_4</t>
  </si>
  <si>
    <t>GEAR_ROBE_8_6_5</t>
  </si>
  <si>
    <t>ACCESSORY_RING_8_1_1</t>
  </si>
  <si>
    <t>ACCESSORY_RING_8_2_1</t>
  </si>
  <si>
    <t>ACCESSORY_RING_8_3_1</t>
  </si>
  <si>
    <t>ACCESSORY_RING_8_4_1</t>
  </si>
  <si>
    <t>ACCESSORY_RING_8_5_1</t>
  </si>
  <si>
    <t>ACCESSORY_EARRING_8_1_1</t>
  </si>
  <si>
    <t>ACCESSORY_EARRING_8_2_1</t>
  </si>
  <si>
    <t>ACCESSORY_EARRING_8_3_1</t>
  </si>
  <si>
    <t>ACCESSORY_EARRING_8_4_1</t>
  </si>
  <si>
    <t>ACCESSORY_EARRING_8_5_1</t>
  </si>
  <si>
    <t>ACCESSORY_EARRING_8_6_1</t>
  </si>
  <si>
    <t>ACCESSORY_EARRING_8_6_2</t>
  </si>
  <si>
    <t>ACCESSORY_EARRING_8_6_3</t>
  </si>
  <si>
    <t>ACCESSORY_EARRING_8_6_4</t>
  </si>
  <si>
    <t>ACCESSORY_EARRING_8_6_5</t>
  </si>
  <si>
    <t>ACCESSORY_NECKLACE_8_1_1</t>
  </si>
  <si>
    <t>ACCESSORY_NECKLACE_8_2_1</t>
  </si>
  <si>
    <t>ACCESSORY_NECKLACE_8_3_1</t>
  </si>
  <si>
    <t>ACCESSORY_NECKLACE_8_4_1</t>
  </si>
  <si>
    <t>ACCESSORY_NECKLACE_8_5_1</t>
  </si>
  <si>
    <t>ACCESSORY_NECKLACE_8_6_1</t>
  </si>
  <si>
    <t>ACCESSORY_NECKLACE_8_6_2</t>
  </si>
  <si>
    <t>ACCESSORY_NECKLACE_8_6_3</t>
  </si>
  <si>
    <t>ACCESSORY_NECKLACE_8_6_4</t>
  </si>
  <si>
    <t>ACCESSORY_NECKLACE_8_6_5</t>
  </si>
  <si>
    <t>ACCESSORY_BRACELET_8_1_1</t>
  </si>
  <si>
    <t>ACCESSORY_BRACELET_8_2_1</t>
  </si>
  <si>
    <t>ACCESSORY_BRACELET_8_3_1</t>
  </si>
  <si>
    <t>ACCESSORY_BRACELET_8_4_1</t>
  </si>
  <si>
    <t>ACCESSORY_BRACELET_8_5_1</t>
  </si>
  <si>
    <t>ACCESSORY_BRACELET_8_6_1</t>
  </si>
  <si>
    <t>ACCESSORY_BRACELET_8_6_2</t>
  </si>
  <si>
    <t>ACCESSORY_BRACELET_8_6_3</t>
  </si>
  <si>
    <t>ACCESSORY_BRACELET_8_6_4</t>
  </si>
  <si>
    <t>ACCESSORY_BRACELET_8_6_5</t>
  </si>
  <si>
    <t>ORB_8_1_1</t>
  </si>
  <si>
    <t>1001</t>
  </si>
  <si>
    <t>ORB_8_2_1</t>
  </si>
  <si>
    <t>ORB_8_3_1</t>
  </si>
  <si>
    <t>ORB_8_4_1</t>
  </si>
  <si>
    <t>ORB_8_5_1</t>
  </si>
  <si>
    <t>ORB_8_6_1</t>
  </si>
  <si>
    <t>ORB_8_6_2</t>
  </si>
  <si>
    <t>ORB_8_6_3</t>
  </si>
  <si>
    <t>ORB_8_6_4</t>
  </si>
  <si>
    <t>ORB_8_6_5</t>
  </si>
  <si>
    <t>TREASURE_8_6_1</t>
  </si>
  <si>
    <t>WEAPON_KNIGHT_37_5_1</t>
  </si>
  <si>
    <t>WEAPON_WARRIOR_37_5_1</t>
  </si>
  <si>
    <t>WEAPON_ASSASSIN_37_5_1</t>
  </si>
  <si>
    <t>WEAPON_ARCHER_37_5_1</t>
  </si>
  <si>
    <t>WEAPON_MECHANIC_37_5_1</t>
  </si>
  <si>
    <t>WEAPON_WIZARD_37_5_1</t>
  </si>
  <si>
    <t>ARMOR_HEAVY_37_5_1</t>
  </si>
  <si>
    <t>ARMOR_LIGHT_37_5_1</t>
  </si>
  <si>
    <t>ARMOR_ROBE_37_5_1</t>
  </si>
  <si>
    <t>GEAR_HEAVY_37_5_1</t>
  </si>
  <si>
    <t>GEAR_LIGHT_37_5_1</t>
  </si>
  <si>
    <t>GEAR_ROBE_37_5_1</t>
  </si>
  <si>
    <t>ACCESSORY_RING_37_5_1</t>
  </si>
  <si>
    <t>ACCESSORY_EARRING_37_5_1</t>
  </si>
  <si>
    <t>ACCESSORY_NECKLACE_37_5_1</t>
  </si>
  <si>
    <t>ACCESSORY_BRACELET_37_5_1</t>
  </si>
  <si>
    <t>ORB_37_5_1</t>
  </si>
  <si>
    <t>WEAPON_KNIGHT_37_6_1</t>
  </si>
  <si>
    <t>WEAPON_WARRIOR_37_6_1</t>
  </si>
  <si>
    <t>WEAPON_ASSASSIN_37_6_1</t>
  </si>
  <si>
    <t>WEAPON_ARCHER_37_6_1</t>
  </si>
  <si>
    <t>WEAPON_MECHANIC_37_6_1</t>
  </si>
  <si>
    <t>WEAPON_WIZARD_37_6_1</t>
  </si>
  <si>
    <t>ARMOR_HEAVY_37_6_1</t>
  </si>
  <si>
    <t>ARMOR_LIGHT_37_6_1</t>
  </si>
  <si>
    <t>ARMOR_ROBE_37_6_1</t>
  </si>
  <si>
    <t>GEAR_HEAVY_37_6_1</t>
  </si>
  <si>
    <t>GEAR_LIGHT_37_6_1</t>
  </si>
  <si>
    <t>GEAR_ROBE_37_6_1</t>
  </si>
  <si>
    <t>ACCESSORY_RING_37_6_1</t>
  </si>
  <si>
    <t>ACCESSORY_EARRING_37_6_1</t>
  </si>
  <si>
    <t>ACCESSORY_NECKLACE_37_6_1</t>
  </si>
  <si>
    <t>ACCESSORY_BRACELET_37_6_1</t>
  </si>
  <si>
    <t>GEAR_ROBE_8_1_1</t>
  </si>
  <si>
    <t>ACCESSORY_RING_8_6_1</t>
  </si>
  <si>
    <t>ACCESSORY_RING_8_6_2</t>
  </si>
  <si>
    <t>ACCESSORY_RING_8_6_3</t>
  </si>
  <si>
    <t>ACCESSORY_RING_8_6_4</t>
  </si>
  <si>
    <t>ACCESSORY_RING_8_6_5</t>
  </si>
  <si>
    <t>EnableDuplicationOption</t>
    <phoneticPr fontId="4" type="noConversion"/>
  </si>
  <si>
    <t>True</t>
  </si>
  <si>
    <t>True</t>
    <phoneticPr fontId="4" type="noConversion"/>
  </si>
  <si>
    <t>17</t>
  </si>
  <si>
    <t>17</t>
    <phoneticPr fontId="4" type="noConversion"/>
  </si>
  <si>
    <t>16</t>
    <phoneticPr fontId="4" type="noConversion"/>
  </si>
  <si>
    <t>16</t>
    <phoneticPr fontId="4" type="noConversion"/>
  </si>
  <si>
    <t>16</t>
    <phoneticPr fontId="4" type="noConversion"/>
  </si>
  <si>
    <t>12</t>
    <phoneticPr fontId="4" type="noConversion"/>
  </si>
  <si>
    <t/>
  </si>
  <si>
    <t>ARTIFACT_UNIQUE_43</t>
  </si>
  <si>
    <t>ARTIFACT_UNIQUE_44</t>
  </si>
  <si>
    <t>ARTIFACT_UNIQUE_45</t>
  </si>
  <si>
    <t>ARTIFACT_UNIQUE_46</t>
  </si>
  <si>
    <t>ARTIFACT_UNIQUE_34</t>
    <phoneticPr fontId="4" type="noConversion"/>
  </si>
  <si>
    <t>ARTIFACT_UNIQUE_35</t>
    <phoneticPr fontId="4" type="noConversion"/>
  </si>
  <si>
    <t>20034</t>
    <phoneticPr fontId="4" type="noConversion"/>
  </si>
  <si>
    <t>20035</t>
    <phoneticPr fontId="4" type="noConversion"/>
  </si>
  <si>
    <t>ARTIFACT_UNIQUE_37</t>
    <phoneticPr fontId="4" type="noConversion"/>
  </si>
  <si>
    <t>20037</t>
    <phoneticPr fontId="4" type="noConversion"/>
  </si>
  <si>
    <t>WEAPON_KNIGHT_8_6_6</t>
  </si>
  <si>
    <t>WEAPON_WARRIOR_8_6_6</t>
  </si>
  <si>
    <t>WEAPON_ASSASSIN_8_6_6</t>
  </si>
  <si>
    <t>WEAPON_ARCHER_8_6_6</t>
  </si>
  <si>
    <t>WEAPON_MECHANIC_8_6_6</t>
  </si>
  <si>
    <t>WEAPON_WIZARD_8_6_6</t>
  </si>
  <si>
    <t>ARMOR_HEAVY_8_6_6</t>
  </si>
  <si>
    <t>ARMOR_LIGHT_8_6_6</t>
  </si>
  <si>
    <t>ARMOR_ROBE_8_6_6</t>
  </si>
  <si>
    <t>GEAR_HEAVY_8_6_6</t>
  </si>
  <si>
    <t>GEAR_LIGHT_8_6_6</t>
  </si>
  <si>
    <t>GEAR_ROBE_8_6_6</t>
  </si>
  <si>
    <t>ACCESSORY_RING_8_6_6</t>
  </si>
  <si>
    <t>ACCESSORY_EARRING_8_6_6</t>
  </si>
  <si>
    <t>ACCESSORY_NECKLACE_8_6_6</t>
  </si>
  <si>
    <t>ACCESSORY_BRACELET_8_6_6</t>
  </si>
  <si>
    <t>ORB_8_6_6</t>
  </si>
  <si>
    <t>ORB_37_6_1</t>
    <phoneticPr fontId="4" type="noConversion"/>
  </si>
  <si>
    <t>ARTIFACT_UNIQUE_30</t>
  </si>
  <si>
    <t>Artifact</t>
    <phoneticPr fontId="4" type="noConversion"/>
  </si>
  <si>
    <t>20043</t>
    <phoneticPr fontId="4" type="noConversion"/>
  </si>
  <si>
    <t>20044</t>
    <phoneticPr fontId="4" type="noConversion"/>
  </si>
  <si>
    <t>20045</t>
    <phoneticPr fontId="4" type="noConversion"/>
  </si>
  <si>
    <t>20046</t>
    <phoneticPr fontId="4" type="noConversion"/>
  </si>
  <si>
    <t>2</t>
    <phoneticPr fontId="4" type="noConversion"/>
  </si>
  <si>
    <t>3</t>
    <phoneticPr fontId="4" type="noConversion"/>
  </si>
  <si>
    <t>4</t>
    <phoneticPr fontId="4" type="noConversion"/>
  </si>
  <si>
    <t>5</t>
    <phoneticPr fontId="4" type="noConversion"/>
  </si>
  <si>
    <t>EQUIP_UPGRADE_8</t>
    <phoneticPr fontId="4" type="noConversion"/>
  </si>
  <si>
    <t>EQUIP_SUPER_UPGRADE_8</t>
    <phoneticPr fontId="4" type="noConversion"/>
  </si>
  <si>
    <t>True</t>
    <phoneticPr fontId="4" type="noConversion"/>
  </si>
  <si>
    <t>11093</t>
    <phoneticPr fontId="4" type="noConversion"/>
  </si>
  <si>
    <t>로만 무기</t>
    <phoneticPr fontId="4" type="noConversion"/>
  </si>
  <si>
    <t>12093</t>
    <phoneticPr fontId="4" type="noConversion"/>
  </si>
  <si>
    <t>WEAPON_UNIQUE_LOMAN_1</t>
  </si>
  <si>
    <t>TREASURE_UNIQUE_LOMAN_1</t>
  </si>
  <si>
    <t>TREASURE2</t>
    <phoneticPr fontId="4" type="noConversion"/>
  </si>
  <si>
    <t>TREASURE_UNIQUE_KASEL_2</t>
  </si>
  <si>
    <t>TREASURE_UNIQUE_FREY_2</t>
  </si>
  <si>
    <t>TREASURE_UNIQUE_CLEO_2</t>
  </si>
  <si>
    <t>TREASURE_UNIQUE_ROI_2</t>
  </si>
  <si>
    <t>TREASURE_UNIQUE_GAU_2</t>
  </si>
  <si>
    <t>TREASURE_UNIQUE_PHILLOP_2</t>
  </si>
  <si>
    <t>TREASURE_UNIQUE_LAKRAK_2</t>
  </si>
  <si>
    <t>TREASURE_UNIQUE_KAULAH_2</t>
  </si>
  <si>
    <t>TREASURE_UNIQUE_EPIS_2</t>
  </si>
  <si>
    <t>TREASURE_UNIQUE_SELENE_2</t>
  </si>
  <si>
    <t>TREASURE_UNIQUE_MARIA_2</t>
  </si>
  <si>
    <t>TREASURE_UNIQUE_MIRURU_2</t>
  </si>
  <si>
    <t>TREASURE_UNIQUE_LORRAINE_2</t>
  </si>
  <si>
    <t>TREASURE_UNIQUE_MAYA_2</t>
  </si>
  <si>
    <t>TREASURE_UNIQUE_CLAUSE_2</t>
  </si>
  <si>
    <t>TREASURE_UNIQUE_REPHY_2</t>
  </si>
  <si>
    <t>TREASURE_UNIQUE_DIMAEL_2</t>
  </si>
  <si>
    <t>TREASURE_UNIQUE_REINA_2</t>
  </si>
  <si>
    <t>TREASURE_UNIQUE_PAVEL_2</t>
  </si>
  <si>
    <t>TREASURE_UNIQUE_DEMIA_2</t>
  </si>
  <si>
    <t>TREASURE_UNIQUE_NAILA_2</t>
  </si>
  <si>
    <t>TREASURE_UNIQUE_RODINA_2</t>
  </si>
  <si>
    <t>TREASURE_UNIQUE_MORRAH_2</t>
  </si>
  <si>
    <t>TREASURE_UNIQUE_BAUDOUIN_2</t>
  </si>
  <si>
    <t>TREASURE_UNIQUE_JANE_2</t>
  </si>
  <si>
    <t>TREASURE_UNIQUE_AISHA_2</t>
  </si>
  <si>
    <t>TREASURE_UNIQUE_LEO_2</t>
  </si>
  <si>
    <t>TREASURE_UNIQUE_FLUSS_2</t>
  </si>
  <si>
    <t>TREASURE_UNIQUE_LUNA_2</t>
  </si>
  <si>
    <t>TREASURE_UNIQUE_ELL_2</t>
  </si>
  <si>
    <t>TREASURE_UNIQUE_ARCH_2</t>
  </si>
  <si>
    <t>TREASURE_UNIQUE_LEWSIA_2</t>
  </si>
  <si>
    <t>TREASURE_UNIQUE_NICX_2</t>
  </si>
  <si>
    <t>TREASURE_UNIQUE_ANNETTE_2</t>
  </si>
  <si>
    <t>TREASURE_UNIQUE_MITRA_2</t>
  </si>
  <si>
    <t>TREASURE_UNIQUE_RICARDO_2</t>
  </si>
  <si>
    <t>TREASURE_UNIQUE_TANYA_2</t>
  </si>
  <si>
    <t>TREASURE_UNIQUE_EZEKIEL_2</t>
  </si>
  <si>
    <t>TREASURE_UNIQUE_CASSANDRA_2</t>
  </si>
  <si>
    <t>TREASURE_UNIQUE_THEO_2</t>
  </si>
  <si>
    <t>TREASURE_UNIQUE_MEDIANA_2</t>
  </si>
  <si>
    <t>TREASURE_UNIQUE_ODDY_2</t>
  </si>
  <si>
    <t>TREASURE_UNIQUE_VISKA_2</t>
  </si>
  <si>
    <t>TREASURE_UNIQUE_PRISCILLA_2</t>
  </si>
  <si>
    <t>TREASURE_UNIQUE_YANNE_2</t>
  </si>
  <si>
    <t>TREASURE_UNIQUE_OPHELIA_2</t>
  </si>
  <si>
    <t>TREASURE_UNIQUE_REQUINA_2</t>
  </si>
  <si>
    <t>TREASURE_UNIQUE_ASELICA_2</t>
  </si>
  <si>
    <t>TREASURE_UNIQUE_CROW_2</t>
  </si>
  <si>
    <t>TREASURE_UNIQUE_SHAMILLA_2</t>
  </si>
  <si>
    <t>TREASURE_UNIQUE_SCARLET_2</t>
  </si>
  <si>
    <t>TREASURE_UNIQUE_SONIA_2</t>
  </si>
  <si>
    <t>TREASURE_UNIQUE_ARTEMIA_2</t>
  </si>
  <si>
    <t>TREASURE_UNIQUE_MIRIANNE_2</t>
  </si>
  <si>
    <t>TREASURE_UNIQUE_SHEA_2</t>
  </si>
  <si>
    <t>TREASURE_UNIQUE_KARA_2</t>
  </si>
  <si>
    <t>TREASURE_UNIQUE_CHASE_2</t>
  </si>
  <si>
    <t>TREASURE_UNIQUE_MAY_2</t>
  </si>
  <si>
    <t>TREASURE_UNIQUE_GLADI_2</t>
  </si>
  <si>
    <t>TREASURE_UNIQUE_VERONICA_2</t>
  </si>
  <si>
    <t>TREASURE_UNIQUE_LOMAN_2</t>
  </si>
  <si>
    <t>SpecialTreasure_3</t>
  </si>
  <si>
    <t>SpecialTreasure_3</t>
    <phoneticPr fontId="4" type="noConversion"/>
  </si>
  <si>
    <t>SpecialTreasure_2</t>
    <phoneticPr fontId="4" type="noConversion"/>
  </si>
  <si>
    <t>Treasure</t>
    <phoneticPr fontId="4" type="noConversion"/>
  </si>
  <si>
    <t>WEAPON_UNIQUE_ZAFIR_1</t>
    <phoneticPr fontId="4" type="noConversion"/>
  </si>
  <si>
    <t>WEAPON_UNIQUE_LILIA_1</t>
    <phoneticPr fontId="4" type="noConversion"/>
  </si>
  <si>
    <t>WEAPON_UNIQUE_LAUDIA_1</t>
    <phoneticPr fontId="4" type="noConversion"/>
  </si>
  <si>
    <t>TREASURE_UNIQUE_ZAFIR_1</t>
    <phoneticPr fontId="4" type="noConversion"/>
  </si>
  <si>
    <t>TREASURE_UNIQUE_LILIA_1</t>
    <phoneticPr fontId="4" type="noConversion"/>
  </si>
  <si>
    <t>TREASURE_UNIQUE_LAUDIA_1</t>
    <phoneticPr fontId="4" type="noConversion"/>
  </si>
  <si>
    <t>TREASURE_UNIQUE_ZAFIR_2</t>
    <phoneticPr fontId="4" type="noConversion"/>
  </si>
  <si>
    <t>TREASURE_UNIQUE_LILIA_2</t>
    <phoneticPr fontId="4" type="noConversion"/>
  </si>
  <si>
    <t>TREASURE_UNIQUE_LAUDIA_2</t>
    <phoneticPr fontId="4" type="noConversion"/>
  </si>
  <si>
    <t>11057</t>
    <phoneticPr fontId="4" type="noConversion"/>
  </si>
  <si>
    <t>12057</t>
    <phoneticPr fontId="4" type="noConversion"/>
  </si>
  <si>
    <t>13057</t>
    <phoneticPr fontId="4" type="noConversion"/>
  </si>
  <si>
    <t>11046</t>
    <phoneticPr fontId="4" type="noConversion"/>
  </si>
  <si>
    <t>11058</t>
    <phoneticPr fontId="4" type="noConversion"/>
  </si>
  <si>
    <t>12046</t>
    <phoneticPr fontId="4" type="noConversion"/>
  </si>
  <si>
    <t>12058</t>
    <phoneticPr fontId="4" type="noConversion"/>
  </si>
  <si>
    <t>13046</t>
    <phoneticPr fontId="4" type="noConversion"/>
  </si>
  <si>
    <t>13058</t>
    <phoneticPr fontId="4" type="noConversion"/>
  </si>
  <si>
    <t>ARTIFACT_UNIQUE_59</t>
    <phoneticPr fontId="4" type="noConversion"/>
  </si>
  <si>
    <t>20059</t>
    <phoneticPr fontId="4" type="noConversion"/>
  </si>
  <si>
    <t>WEAPON_UNIQUE_JUNO_1</t>
    <phoneticPr fontId="4" type="noConversion"/>
  </si>
  <si>
    <t>11094</t>
    <phoneticPr fontId="4" type="noConversion"/>
  </si>
  <si>
    <t>유노무기</t>
    <phoneticPr fontId="4" type="noConversion"/>
  </si>
  <si>
    <t>TREASURE_UNIQUE_JUNO_1</t>
  </si>
  <si>
    <t>TREASURE_UNIQUE_JUNO_2</t>
  </si>
  <si>
    <t>90004</t>
    <phoneticPr fontId="4" type="noConversion"/>
  </si>
  <si>
    <t>WEAPON_UNIQUE_ERZE_1</t>
  </si>
  <si>
    <t>에르제 무기</t>
    <phoneticPr fontId="4" type="noConversion"/>
  </si>
  <si>
    <t>WEAPON_UNIQUE_NERAXIS_1</t>
  </si>
  <si>
    <t>네락시스 무기</t>
    <phoneticPr fontId="4" type="noConversion"/>
  </si>
  <si>
    <t>TREASURE_UNIQUE_ERZE_1</t>
  </si>
  <si>
    <t>TREASURE_UNIQUE_NERAXIS_1</t>
  </si>
  <si>
    <t>TREASURE_UNIQUE_ERZE_2</t>
  </si>
  <si>
    <t>TREASURE_UNIQUE_NERAXIS_2</t>
  </si>
  <si>
    <t>ARTIFACT_UNIQUE_31</t>
  </si>
  <si>
    <t>ARTIFACT_UNIQUE_38</t>
  </si>
  <si>
    <t>ARTIFACT_UNIQUE_36</t>
  </si>
  <si>
    <t>ARTIFACT_UNIQUE_60</t>
    <phoneticPr fontId="4" type="noConversion"/>
  </si>
  <si>
    <t>20060</t>
    <phoneticPr fontId="4" type="noConversion"/>
  </si>
  <si>
    <t>WEAPON_UNIQUE_SERIA_1</t>
    <phoneticPr fontId="4" type="noConversion"/>
  </si>
  <si>
    <t>11055</t>
    <phoneticPr fontId="4" type="noConversion"/>
  </si>
  <si>
    <t>세리아 무기</t>
    <phoneticPr fontId="4" type="noConversion"/>
  </si>
  <si>
    <t>TREASURE_UNIQUE_SERIA_1</t>
    <phoneticPr fontId="4" type="noConversion"/>
  </si>
  <si>
    <t>12055</t>
    <phoneticPr fontId="4" type="noConversion"/>
  </si>
  <si>
    <t>TREASURE_UNIQUE_SERIA_2</t>
    <phoneticPr fontId="4" type="noConversion"/>
  </si>
  <si>
    <t>13055</t>
    <phoneticPr fontId="4" type="noConversion"/>
  </si>
  <si>
    <t>ARTIFACT_UNIQUE_47</t>
    <phoneticPr fontId="4" type="noConversion"/>
  </si>
  <si>
    <t>ARTIFACT_UNIQUE_48</t>
    <phoneticPr fontId="4" type="noConversion"/>
  </si>
  <si>
    <t>ARTIFACT_UNIQUE_49</t>
    <phoneticPr fontId="4" type="noConversion"/>
  </si>
  <si>
    <t>20047</t>
    <phoneticPr fontId="4" type="noConversion"/>
  </si>
  <si>
    <t>20048</t>
    <phoneticPr fontId="4" type="noConversion"/>
  </si>
  <si>
    <t>20049</t>
    <phoneticPr fontId="4" type="noConversion"/>
  </si>
  <si>
    <t>ARTIFACT_UNIQUE_61</t>
    <phoneticPr fontId="4" type="noConversion"/>
  </si>
  <si>
    <t>ARTIFACT_UNIQUE_62</t>
    <phoneticPr fontId="4" type="noConversion"/>
  </si>
  <si>
    <t>20061</t>
  </si>
  <si>
    <t>20062</t>
  </si>
  <si>
    <t>WEAPON_UNIQUE_LUCIAS_1</t>
  </si>
  <si>
    <t>WEAPON_UNIQUE_CHRISHA_1</t>
  </si>
  <si>
    <t>루시아스무기</t>
    <phoneticPr fontId="4" type="noConversion"/>
  </si>
  <si>
    <t>크리샤무기</t>
    <phoneticPr fontId="4" type="noConversion"/>
  </si>
  <si>
    <t>TREASURE_UNIQUE_CHRISHA_1</t>
  </si>
  <si>
    <t>12060</t>
    <phoneticPr fontId="4" type="noConversion"/>
  </si>
  <si>
    <t>TREASURE_UNIQUE_LUCIAS_1</t>
    <phoneticPr fontId="4" type="noConversion"/>
  </si>
  <si>
    <t>12059</t>
    <phoneticPr fontId="4" type="noConversion"/>
  </si>
  <si>
    <t>TREASURE_UNIQUE_LUCIAS_2</t>
    <phoneticPr fontId="4" type="noConversion"/>
  </si>
  <si>
    <t>13059</t>
    <phoneticPr fontId="4" type="noConversion"/>
  </si>
  <si>
    <t>TREASURE_UNIQUE_CHRISHA_2</t>
    <phoneticPr fontId="4" type="noConversion"/>
  </si>
  <si>
    <t>13060</t>
    <phoneticPr fontId="4" type="noConversion"/>
  </si>
  <si>
    <t>TREASURE3</t>
    <phoneticPr fontId="4" type="noConversion"/>
  </si>
  <si>
    <t>TREASURE_UNIQUE_KASEL_3</t>
  </si>
  <si>
    <t>TREASURE_UNIQUE_FREY_3</t>
  </si>
  <si>
    <t>TREASURE_UNIQUE_CLEO_3</t>
  </si>
  <si>
    <t>TREASURE_UNIQUE_ROI_3</t>
  </si>
  <si>
    <t>TREASURE_UNIQUE_GAU_3</t>
  </si>
  <si>
    <t>TREASURE_UNIQUE_PHILLOP_3</t>
  </si>
  <si>
    <t>TREASURE_UNIQUE_LAKRAK_3</t>
  </si>
  <si>
    <t>TREASURE_UNIQUE_KAULAH_3</t>
  </si>
  <si>
    <t>TREASURE_UNIQUE_EPIS_3</t>
  </si>
  <si>
    <t>TREASURE_UNIQUE_SELENE_3</t>
  </si>
  <si>
    <t>TREASURE_UNIQUE_MARIA_3</t>
  </si>
  <si>
    <t>TREASURE_UNIQUE_MIRURU_3</t>
  </si>
  <si>
    <t>TREASURE_UNIQUE_LORRAINE_3</t>
  </si>
  <si>
    <t>TREASURE_UNIQUE_MAYA_3</t>
  </si>
  <si>
    <t>TREASURE_UNIQUE_CLAUSE_3</t>
  </si>
  <si>
    <t>TREASURE_UNIQUE_REPHY_3</t>
  </si>
  <si>
    <t>TREASURE_UNIQUE_DIMAEL_3</t>
  </si>
  <si>
    <t>TREASURE_UNIQUE_REINA_3</t>
  </si>
  <si>
    <t>TREASURE_UNIQUE_PAVEL_3</t>
  </si>
  <si>
    <t>TREASURE_UNIQUE_DEMIA_3</t>
  </si>
  <si>
    <t>TREASURE_UNIQUE_NAILA_3</t>
  </si>
  <si>
    <t>TREASURE_UNIQUE_RODINA_3</t>
  </si>
  <si>
    <t>TREASURE_UNIQUE_MORRAH_3</t>
  </si>
  <si>
    <t>TREASURE_UNIQUE_BAUDOUIN_3</t>
  </si>
  <si>
    <t>TREASURE_UNIQUE_JANE_3</t>
  </si>
  <si>
    <t>TREASURE_UNIQUE_AISHA_3</t>
  </si>
  <si>
    <t>TREASURE_UNIQUE_LEO_3</t>
  </si>
  <si>
    <t>TREASURE_UNIQUE_FLUSS_3</t>
  </si>
  <si>
    <t>TREASURE_UNIQUE_LUNA_3</t>
  </si>
  <si>
    <t>TREASURE_UNIQUE_ELL_3</t>
  </si>
  <si>
    <t>TREASURE_UNIQUE_ARCH_3</t>
  </si>
  <si>
    <t>TREASURE_UNIQUE_LEWSIA_3</t>
  </si>
  <si>
    <t>TREASURE_UNIQUE_NICX_3</t>
  </si>
  <si>
    <t>TREASURE_UNIQUE_ANNETTE_3</t>
  </si>
  <si>
    <t>TREASURE_UNIQUE_MITRA_3</t>
  </si>
  <si>
    <t>TREASURE_UNIQUE_RICARDO_3</t>
  </si>
  <si>
    <t>TREASURE_UNIQUE_TANYA_3</t>
  </si>
  <si>
    <t>TREASURE_UNIQUE_EZEKIEL_3</t>
  </si>
  <si>
    <t>TREASURE_UNIQUE_CASSANDRA_3</t>
  </si>
  <si>
    <t>TREASURE_UNIQUE_THEO_3</t>
  </si>
  <si>
    <t>TREASURE_UNIQUE_MEDIANA_3</t>
  </si>
  <si>
    <t>TREASURE_UNIQUE_ODDY_3</t>
  </si>
  <si>
    <t>TREASURE_UNIQUE_VISKA_3</t>
  </si>
  <si>
    <t>TREASURE_UNIQUE_PRISCILLA_3</t>
  </si>
  <si>
    <t>TREASURE_UNIQUE_YANNE_3</t>
  </si>
  <si>
    <t>TREASURE_UNIQUE_ZAFIR_3</t>
  </si>
  <si>
    <t>TREASURE_UNIQUE_OPHELIA_3</t>
  </si>
  <si>
    <t>TREASURE_UNIQUE_REQUINA_3</t>
  </si>
  <si>
    <t>TREASURE_UNIQUE_ASELICA_3</t>
  </si>
  <si>
    <t>TREASURE_UNIQUE_CROW_3</t>
  </si>
  <si>
    <t>TREASURE_UNIQUE_SHAMILLA_3</t>
  </si>
  <si>
    <t>TREASURE_UNIQUE_SERIA_3</t>
  </si>
  <si>
    <t>TREASURE_UNIQUE_ERZE_3</t>
  </si>
  <si>
    <t>TREASURE_UNIQUE_LILIA_3</t>
  </si>
  <si>
    <t>TREASURE_UNIQUE_LAUDIA_3</t>
  </si>
  <si>
    <t>TREASURE_UNIQUE_LUCIAS_3</t>
  </si>
  <si>
    <t>TREASURE_UNIQUE_CHRISHA_3</t>
  </si>
  <si>
    <t>TREASURE_UNIQUE_NERAXIS_3</t>
  </si>
  <si>
    <t>TREASURE_UNIQUE_SCARLET_3</t>
  </si>
  <si>
    <t>TREASURE_UNIQUE_SONIA_3</t>
  </si>
  <si>
    <t>TREASURE_UNIQUE_ARTEMIA_3</t>
  </si>
  <si>
    <t>TREASURE_UNIQUE_MIRIANNE_3</t>
  </si>
  <si>
    <t>TREASURE_UNIQUE_SHEA_3</t>
  </si>
  <si>
    <t>TREASURE_UNIQUE_KARA_3</t>
  </si>
  <si>
    <t>TREASURE_UNIQUE_CHASE_3</t>
  </si>
  <si>
    <t>TREASURE_UNIQUE_MAY_3</t>
  </si>
  <si>
    <t>TREASURE_UNIQUE_GLADI_3</t>
  </si>
  <si>
    <t>TREASURE_UNIQUE_VERONICA_3</t>
  </si>
  <si>
    <t>TREASURE_UNIQUE_LOMAN_3</t>
  </si>
  <si>
    <t>TREASURE_UNIQUE_JUNO_3</t>
  </si>
  <si>
    <t>SpecialTreasure_1</t>
  </si>
  <si>
    <t>ACCESSORY_EARRING_6_5_4_TUTORIAL</t>
    <phoneticPr fontId="4" type="noConversion"/>
  </si>
  <si>
    <t>재연마 튜토리얼 보상</t>
    <phoneticPr fontId="4" type="noConversion"/>
  </si>
  <si>
    <t>TREASURE_UNIQUE_NICKY_1</t>
  </si>
  <si>
    <t>12095</t>
    <phoneticPr fontId="4" type="noConversion"/>
  </si>
  <si>
    <t>WEAPON_UNIQUE_NICKY_1</t>
    <phoneticPr fontId="4" type="noConversion"/>
  </si>
  <si>
    <t>11095</t>
    <phoneticPr fontId="4" type="noConversion"/>
  </si>
  <si>
    <t>니키 무기</t>
    <phoneticPr fontId="4" type="noConversion"/>
  </si>
  <si>
    <t>TREASURE_UNIQUE_NICKY_2</t>
  </si>
  <si>
    <t>13095</t>
    <phoneticPr fontId="4" type="noConversion"/>
  </si>
  <si>
    <t>TREASURE_UNIQUE_NICKY_3</t>
  </si>
  <si>
    <t>14095</t>
    <phoneticPr fontId="4" type="noConversion"/>
  </si>
  <si>
    <t>ARTIFACT_UNIQUE_504</t>
    <phoneticPr fontId="4" type="noConversion"/>
  </si>
  <si>
    <t>20504</t>
    <phoneticPr fontId="4" type="noConversion"/>
  </si>
  <si>
    <t>ARTIFACT_UNIQUE_63</t>
  </si>
  <si>
    <t>ARTIFACT_UNIQUE_64</t>
  </si>
  <si>
    <t>ARTIFACT_UNIQUE_65</t>
  </si>
  <si>
    <t>ARTIFACT_UNIQUE_501</t>
    <phoneticPr fontId="4" type="noConversion"/>
  </si>
  <si>
    <t>ARTIFACT_UNIQUE_502</t>
    <phoneticPr fontId="4" type="noConversion"/>
  </si>
  <si>
    <t>ARTIFACT_UNIQUE_503</t>
    <phoneticPr fontId="4" type="noConversion"/>
  </si>
  <si>
    <t>20501</t>
    <phoneticPr fontId="4" type="noConversion"/>
  </si>
  <si>
    <t>20502</t>
    <phoneticPr fontId="4" type="noConversion"/>
  </si>
  <si>
    <t>20503</t>
    <phoneticPr fontId="4" type="noConversion"/>
  </si>
  <si>
    <t>ARTIFACT_UNIQUE_505</t>
  </si>
  <si>
    <t>WEAPON_UNIQUE_NIA_1</t>
    <phoneticPr fontId="4" type="noConversion"/>
  </si>
  <si>
    <t>11068</t>
    <phoneticPr fontId="4" type="noConversion"/>
  </si>
  <si>
    <t>니아 무기</t>
    <phoneticPr fontId="4" type="noConversion"/>
  </si>
  <si>
    <t>TREASURE_UNIQUE_NIA_1</t>
    <phoneticPr fontId="4" type="noConversion"/>
  </si>
  <si>
    <t>12068</t>
    <phoneticPr fontId="4" type="noConversion"/>
  </si>
  <si>
    <t>TREASURE_UNIQUE_NIA_2</t>
    <phoneticPr fontId="4" type="noConversion"/>
  </si>
  <si>
    <t>SpecialTreasure_2</t>
    <phoneticPr fontId="4" type="noConversion"/>
  </si>
  <si>
    <t>13068</t>
    <phoneticPr fontId="4" type="noConversion"/>
  </si>
  <si>
    <t>TREASURE_UNIQUE_NIA_3</t>
    <phoneticPr fontId="4" type="noConversion"/>
  </si>
  <si>
    <t>SpecialTreasure_1</t>
    <phoneticPr fontId="4" type="noConversion"/>
  </si>
  <si>
    <t>14068</t>
    <phoneticPr fontId="4" type="noConversion"/>
  </si>
  <si>
    <t>ARTIFACT_UNIQUE_66</t>
  </si>
  <si>
    <t>ARTIFACT_UNIQUE_67</t>
  </si>
  <si>
    <t>ARTIFACT_UNIQUE_68</t>
  </si>
  <si>
    <t>ARTIFACT_UNIQUE_506</t>
  </si>
  <si>
    <t>WEAPON_UNIQUE_ESKER_1</t>
  </si>
  <si>
    <t>에스커</t>
    <phoneticPr fontId="4" type="noConversion"/>
  </si>
  <si>
    <t>릴리아</t>
    <phoneticPr fontId="4" type="noConversion"/>
  </si>
  <si>
    <t>TREASURE_UNIQUE_ESKER_1</t>
  </si>
  <si>
    <t>SpecialTreasure_2</t>
    <phoneticPr fontId="4" type="noConversion"/>
  </si>
  <si>
    <t>13069</t>
    <phoneticPr fontId="4" type="noConversion"/>
  </si>
  <si>
    <t>TREASURE_UNIQUE_ESKER_2</t>
    <phoneticPr fontId="4" type="noConversion"/>
  </si>
  <si>
    <t>14069</t>
    <phoneticPr fontId="4" type="noConversion"/>
  </si>
  <si>
    <t>ARTIFACT_UNIQUE_998</t>
    <phoneticPr fontId="4" type="noConversion"/>
  </si>
  <si>
    <t>ARTIFACT_UNIQUE_999</t>
    <phoneticPr fontId="4" type="noConversion"/>
  </si>
  <si>
    <t>20998</t>
    <phoneticPr fontId="4" type="noConversion"/>
  </si>
  <si>
    <t>20999</t>
    <phoneticPr fontId="4" type="noConversion"/>
  </si>
  <si>
    <t>WEAPON_UNIQUE_LAVRIL_1</t>
    <phoneticPr fontId="4" type="noConversion"/>
  </si>
  <si>
    <t>라브릴 무기</t>
    <phoneticPr fontId="4" type="noConversion"/>
  </si>
  <si>
    <t>TREASURE_UNIQUE_LAVRIL_1</t>
    <phoneticPr fontId="4" type="noConversion"/>
  </si>
  <si>
    <t>TREASURE_UNIQUE_LAVRIL_2</t>
    <phoneticPr fontId="4" type="noConversion"/>
  </si>
  <si>
    <t>TREASURE_UNIQUE_LAVRIL_3</t>
    <phoneticPr fontId="4" type="noConversion"/>
  </si>
  <si>
    <t>SpecialTreasure_1</t>
    <phoneticPr fontId="4" type="noConversion"/>
  </si>
  <si>
    <t>TREASURE_UNIQUE_ESKER_3</t>
    <phoneticPr fontId="4" type="noConversion"/>
  </si>
  <si>
    <t>TREASURE4</t>
    <phoneticPr fontId="4" type="noConversion"/>
  </si>
  <si>
    <t>TREASURE_UNIQUE_KASEL_4</t>
  </si>
  <si>
    <t>TREASURE_UNIQUE_FREY_4</t>
  </si>
  <si>
    <t>TREASURE_UNIQUE_CLEO_4</t>
  </si>
  <si>
    <t>TREASURE_UNIQUE_ROI_4</t>
  </si>
  <si>
    <t>TREASURE_UNIQUE_GAU_4</t>
  </si>
  <si>
    <t>TREASURE_UNIQUE_PHILLOP_4</t>
  </si>
  <si>
    <t>TREASURE_UNIQUE_LAKRAK_4</t>
  </si>
  <si>
    <t>TREASURE_UNIQUE_KAULAH_4</t>
  </si>
  <si>
    <t>TREASURE_UNIQUE_EPIS_4</t>
  </si>
  <si>
    <t>TREASURE_UNIQUE_SELENE_4</t>
  </si>
  <si>
    <t>TREASURE_UNIQUE_MARIA_4</t>
  </si>
  <si>
    <t>TREASURE_UNIQUE_MIRURU_4</t>
  </si>
  <si>
    <t>TREASURE_UNIQUE_LORRAINE_4</t>
  </si>
  <si>
    <t>TREASURE_UNIQUE_MAYA_4</t>
  </si>
  <si>
    <t>TREASURE_UNIQUE_CLAUSE_4</t>
  </si>
  <si>
    <t>TREASURE_UNIQUE_REPHY_4</t>
  </si>
  <si>
    <t>TREASURE_UNIQUE_DIMAEL_4</t>
  </si>
  <si>
    <t>TREASURE_UNIQUE_REINA_4</t>
  </si>
  <si>
    <t>TREASURE_UNIQUE_PAVEL_4</t>
  </si>
  <si>
    <t>TREASURE_UNIQUE_DEMIA_4</t>
  </si>
  <si>
    <t>TREASURE_UNIQUE_NAILA_4</t>
  </si>
  <si>
    <t>TREASURE_UNIQUE_RODINA_4</t>
  </si>
  <si>
    <t>TREASURE_UNIQUE_MORRAH_4</t>
  </si>
  <si>
    <t>TREASURE_UNIQUE_BAUDOUIN_4</t>
  </si>
  <si>
    <t>TREASURE_UNIQUE_JANE_4</t>
  </si>
  <si>
    <t>TREASURE_UNIQUE_AISHA_4</t>
  </si>
  <si>
    <t>TREASURE_UNIQUE_LEO_4</t>
  </si>
  <si>
    <t>TREASURE_UNIQUE_FLUSS_4</t>
  </si>
  <si>
    <t>TREASURE_UNIQUE_LUNA_4</t>
  </si>
  <si>
    <t>TREASURE_UNIQUE_ELL_4</t>
  </si>
  <si>
    <t>TREASURE_UNIQUE_ARCH_4</t>
  </si>
  <si>
    <t>TREASURE_UNIQUE_LEWSIA_4</t>
  </si>
  <si>
    <t>TREASURE_UNIQUE_NICX_4</t>
  </si>
  <si>
    <t>TREASURE_UNIQUE_ANNETTE_4</t>
  </si>
  <si>
    <t>TREASURE_UNIQUE_MITRA_4</t>
  </si>
  <si>
    <t>TREASURE_UNIQUE_RICARDO_4</t>
  </si>
  <si>
    <t>TREASURE_UNIQUE_TANYA_4</t>
  </si>
  <si>
    <t>TREASURE_UNIQUE_EZEKIEL_4</t>
  </si>
  <si>
    <t>TREASURE_UNIQUE_CASSANDRA_4</t>
  </si>
  <si>
    <t>TREASURE_UNIQUE_THEO_4</t>
  </si>
  <si>
    <t>TREASURE_UNIQUE_MEDIANA_4</t>
  </si>
  <si>
    <t>TREASURE_UNIQUE_ODDY_4</t>
  </si>
  <si>
    <t>TREASURE_UNIQUE_VISKA_4</t>
  </si>
  <si>
    <t>TREASURE_UNIQUE_PRISCILLA_4</t>
  </si>
  <si>
    <t>TREASURE_UNIQUE_YANNE_4</t>
  </si>
  <si>
    <t>TREASURE_UNIQUE_ZAFIR_4</t>
  </si>
  <si>
    <t>TREASURE_UNIQUE_OPHELIA_4</t>
  </si>
  <si>
    <t>TREASURE_UNIQUE_REQUINA_4</t>
  </si>
  <si>
    <t>TREASURE_UNIQUE_ASELICA_4</t>
  </si>
  <si>
    <t>TREASURE_UNIQUE_CROW_4</t>
  </si>
  <si>
    <t>TREASURE_UNIQUE_SHAMILLA_4</t>
  </si>
  <si>
    <t>TREASURE_UNIQUE_LAVRIL_4</t>
  </si>
  <si>
    <t>TREASURE_UNIQUE_SERIA_4</t>
  </si>
  <si>
    <t>TREASURE_UNIQUE_ERZE_4</t>
  </si>
  <si>
    <t>TREASURE_UNIQUE_LILIA_4</t>
  </si>
  <si>
    <t>TREASURE_UNIQUE_LAUDIA_4</t>
  </si>
  <si>
    <t>TREASURE_UNIQUE_LUCIAS_4</t>
  </si>
  <si>
    <t>TREASURE_UNIQUE_CHRISHA_4</t>
  </si>
  <si>
    <t>TREASURE_UNIQUE_NERAXIS_4</t>
  </si>
  <si>
    <t>TREASURE_UNIQUE_SCARLET_4</t>
  </si>
  <si>
    <t>TREASURE_UNIQUE_SONIA_4</t>
  </si>
  <si>
    <t>TREASURE_UNIQUE_ARTEMIA_4</t>
  </si>
  <si>
    <t>TREASURE_UNIQUE_MIRIANNE_4</t>
  </si>
  <si>
    <t>TREASURE_UNIQUE_SHEA_4</t>
  </si>
  <si>
    <t>TREASURE_UNIQUE_KARA_4</t>
  </si>
  <si>
    <t>TREASURE_UNIQUE_NIA_4</t>
  </si>
  <si>
    <t>TREASURE_UNIQUE_ESKER_4</t>
  </si>
  <si>
    <t>TREASURE_UNIQUE_CHASE_4</t>
  </si>
  <si>
    <t>TREASURE_UNIQUE_MAY_4</t>
  </si>
  <si>
    <t>TREASURE_UNIQUE_GLADI_4</t>
  </si>
  <si>
    <t>TREASURE_UNIQUE_VERONICA_4</t>
  </si>
  <si>
    <t>TREASURE_UNIQUE_LOMAN_4</t>
  </si>
  <si>
    <t>TREASURE_UNIQUE_JUNO_4</t>
  </si>
  <si>
    <t>TREASURE_UNIQUE_NICKY_4</t>
  </si>
  <si>
    <t>SpecialTreasure_4</t>
  </si>
  <si>
    <t>WEAPON_UNIQUE_GLENWYS_1</t>
    <phoneticPr fontId="4" type="noConversion"/>
  </si>
  <si>
    <t>11087</t>
    <phoneticPr fontId="4" type="noConversion"/>
  </si>
  <si>
    <t>글렌위스 무기</t>
    <phoneticPr fontId="4" type="noConversion"/>
  </si>
  <si>
    <t>TREASURE_UNIQUE_GLENWYS_1</t>
    <phoneticPr fontId="4" type="noConversion"/>
  </si>
  <si>
    <t>12087</t>
    <phoneticPr fontId="4" type="noConversion"/>
  </si>
  <si>
    <t>TREASURE_UNIQUE_GLENWYS_2</t>
    <phoneticPr fontId="4" type="noConversion"/>
  </si>
  <si>
    <t>SpecialTreasure_2</t>
    <phoneticPr fontId="4" type="noConversion"/>
  </si>
  <si>
    <t>13087</t>
    <phoneticPr fontId="4" type="noConversion"/>
  </si>
  <si>
    <t>TREASURE_UNIQUE_GLENWYS_3</t>
    <phoneticPr fontId="4" type="noConversion"/>
  </si>
  <si>
    <t>SpecialTreasure_1</t>
    <phoneticPr fontId="4" type="noConversion"/>
  </si>
  <si>
    <t>14087</t>
    <phoneticPr fontId="4" type="noConversion"/>
  </si>
  <si>
    <t>TREASURE_UNIQUE_GLENWYS_4</t>
    <phoneticPr fontId="4" type="noConversion"/>
  </si>
  <si>
    <t>SpecialTreasure_4</t>
    <phoneticPr fontId="4" type="noConversion"/>
  </si>
  <si>
    <t>15087</t>
    <phoneticPr fontId="4" type="noConversion"/>
  </si>
  <si>
    <t>TREASURE_UNIQUE_DOSARTA_4</t>
    <phoneticPr fontId="4" type="noConversion"/>
  </si>
  <si>
    <t>15096</t>
    <phoneticPr fontId="4" type="noConversion"/>
  </si>
  <si>
    <t>TREASURE_UNIQUE_DOSARTA_3</t>
    <phoneticPr fontId="4" type="noConversion"/>
  </si>
  <si>
    <t>14096</t>
    <phoneticPr fontId="4" type="noConversion"/>
  </si>
  <si>
    <t>TREASURE_UNIQUE_DOSARTA_2</t>
    <phoneticPr fontId="4" type="noConversion"/>
  </si>
  <si>
    <t>13096</t>
    <phoneticPr fontId="4" type="noConversion"/>
  </si>
  <si>
    <t>TREASURE_UNIQUE_DOSARTA_1</t>
    <phoneticPr fontId="4" type="noConversion"/>
  </si>
  <si>
    <t>12096</t>
    <phoneticPr fontId="4" type="noConversion"/>
  </si>
  <si>
    <t>WEAPON_UNIQUE_DOSARTA_1</t>
    <phoneticPr fontId="4" type="noConversion"/>
  </si>
  <si>
    <t>11096</t>
    <phoneticPr fontId="4" type="noConversion"/>
  </si>
  <si>
    <t>도자르타무기</t>
    <phoneticPr fontId="4" type="noConversion"/>
  </si>
  <si>
    <t>15014</t>
    <phoneticPr fontId="4" type="noConversion"/>
  </si>
  <si>
    <t>WEAPON_WARRIOR_8_6_7</t>
  </si>
  <si>
    <t>WEAPON_ASSASSIN_8_6_7</t>
  </si>
  <si>
    <t>WEAPON_ARCHER_8_6_7</t>
  </si>
  <si>
    <t>WEAPON_MECHANIC_8_6_7</t>
  </si>
  <si>
    <t>WEAPON_WIZARD_8_6_7</t>
  </si>
  <si>
    <t>ARMOR_HEAVY_8_6_7</t>
  </si>
  <si>
    <t>ARMOR_LIGHT_8_6_7</t>
  </si>
  <si>
    <t>ARMOR_ROBE_8_6_7</t>
  </si>
  <si>
    <t>GEAR_HEAVY_8_6_7</t>
  </si>
  <si>
    <t>GEAR_LIGHT_8_6_7</t>
  </si>
  <si>
    <t>GEAR_ROBE_8_6_7</t>
  </si>
  <si>
    <t>ACCESSORY_RING_8_6_7</t>
  </si>
  <si>
    <t>ACCESSORY_EARRING_8_6_7</t>
  </si>
  <si>
    <t>ACCESSORY_NECKLACE_8_6_7</t>
  </si>
  <si>
    <t>ACCESSORY_BRACELET_8_6_7</t>
  </si>
  <si>
    <t>ORB_8_6_7</t>
  </si>
  <si>
    <t>WEAPON_KNIGHT_8_6_8</t>
  </si>
  <si>
    <t>WEAPON_WARRIOR_8_6_8</t>
  </si>
  <si>
    <t>WEAPON_ASSASSIN_8_6_8</t>
  </si>
  <si>
    <t>WEAPON_ARCHER_8_6_8</t>
  </si>
  <si>
    <t>WEAPON_MECHANIC_8_6_8</t>
  </si>
  <si>
    <t>WEAPON_WIZARD_8_6_8</t>
  </si>
  <si>
    <t>ARMOR_HEAVY_8_6_8</t>
  </si>
  <si>
    <t>ARMOR_LIGHT_8_6_8</t>
  </si>
  <si>
    <t>ARMOR_ROBE_8_6_8</t>
  </si>
  <si>
    <t>GEAR_HEAVY_8_6_8</t>
  </si>
  <si>
    <t>GEAR_LIGHT_8_6_8</t>
  </si>
  <si>
    <t>GEAR_ROBE_8_6_8</t>
  </si>
  <si>
    <t>ACCESSORY_RING_8_6_8</t>
  </si>
  <si>
    <t>ACCESSORY_EARRING_8_6_8</t>
  </si>
  <si>
    <t>ACCESSORY_NECKLACE_8_6_8</t>
  </si>
  <si>
    <t>ACCESSORY_BRACELET_8_6_8</t>
  </si>
  <si>
    <t>ORB_8_6_8</t>
  </si>
  <si>
    <t>WEAPON_KNIGHT_8_6_9</t>
  </si>
  <si>
    <t>WEAPON_WARRIOR_8_6_9</t>
  </si>
  <si>
    <t>WEAPON_ASSASSIN_8_6_9</t>
  </si>
  <si>
    <t>WEAPON_ARCHER_8_6_9</t>
  </si>
  <si>
    <t>WEAPON_MECHANIC_8_6_9</t>
  </si>
  <si>
    <t>WEAPON_WIZARD_8_6_9</t>
  </si>
  <si>
    <t>ARMOR_HEAVY_8_6_9</t>
  </si>
  <si>
    <t>ARMOR_LIGHT_8_6_9</t>
  </si>
  <si>
    <t>ARMOR_ROBE_8_6_9</t>
  </si>
  <si>
    <t>GEAR_HEAVY_8_6_9</t>
  </si>
  <si>
    <t>GEAR_LIGHT_8_6_9</t>
  </si>
  <si>
    <t>GEAR_ROBE_8_6_9</t>
  </si>
  <si>
    <t>ACCESSORY_RING_8_6_9</t>
  </si>
  <si>
    <t>ACCESSORY_EARRING_8_6_9</t>
  </si>
  <si>
    <t>ACCESSORY_NECKLACE_8_6_9</t>
  </si>
  <si>
    <t>ACCESSORY_BRACELET_8_6_9</t>
  </si>
  <si>
    <t>ORB_8_6_9</t>
  </si>
  <si>
    <t>WEAPON_KNIGHT_8_6_7</t>
    <phoneticPr fontId="4" type="noConversion"/>
  </si>
  <si>
    <t>WEAPON_KNIGHT_8_2_2</t>
  </si>
  <si>
    <t>WEAPON_KNIGHT_8_3_2</t>
  </si>
  <si>
    <t>WEAPON_KNIGHT_8_4_2</t>
  </si>
  <si>
    <t>WEAPON_KNIGHT_8_5_2</t>
  </si>
  <si>
    <t>WEAPON_WARRIOR_8_2_2</t>
  </si>
  <si>
    <t>WEAPON_WARRIOR_8_3_2</t>
  </si>
  <si>
    <t>WEAPON_WARRIOR_8_4_2</t>
  </si>
  <si>
    <t>WEAPON_WARRIOR_8_5_2</t>
  </si>
  <si>
    <t>WEAPON_ASSASSIN_8_2_2</t>
  </si>
  <si>
    <t>WEAPON_ASSASSIN_8_3_2</t>
  </si>
  <si>
    <t>WEAPON_ASSASSIN_8_4_2</t>
  </si>
  <si>
    <t>WEAPON_ASSASSIN_8_5_2</t>
  </si>
  <si>
    <t>WEAPON_ARCHER_8_2_2</t>
  </si>
  <si>
    <t>WEAPON_ARCHER_8_3_2</t>
  </si>
  <si>
    <t>WEAPON_ARCHER_8_4_2</t>
  </si>
  <si>
    <t>WEAPON_ARCHER_8_5_2</t>
  </si>
  <si>
    <t>WEAPON_MECHANIC_8_2_2</t>
  </si>
  <si>
    <t>WEAPON_MECHANIC_8_3_2</t>
  </si>
  <si>
    <t>WEAPON_MECHANIC_8_4_2</t>
  </si>
  <si>
    <t>WEAPON_MECHANIC_8_5_2</t>
  </si>
  <si>
    <t>WEAPON_WIZARD_8_2_2</t>
  </si>
  <si>
    <t>WEAPON_WIZARD_8_3_2</t>
  </si>
  <si>
    <t>WEAPON_WIZARD_8_4_2</t>
  </si>
  <si>
    <t>WEAPON_WIZARD_8_5_2</t>
  </si>
  <si>
    <t>ARMOR_HEAVY_8_2_2</t>
  </si>
  <si>
    <t>ARMOR_HEAVY_8_3_2</t>
  </si>
  <si>
    <t>ARMOR_HEAVY_8_4_2</t>
  </si>
  <si>
    <t>ARMOR_HEAVY_8_5_2</t>
  </si>
  <si>
    <t>ARMOR_LIGHT_8_2_2</t>
  </si>
  <si>
    <t>ARMOR_LIGHT_8_3_2</t>
  </si>
  <si>
    <t>ARMOR_LIGHT_8_4_2</t>
  </si>
  <si>
    <t>ARMOR_LIGHT_8_5_2</t>
  </si>
  <si>
    <t>ARMOR_ROBE_8_2_2</t>
  </si>
  <si>
    <t>ARMOR_ROBE_8_3_2</t>
  </si>
  <si>
    <t>ARMOR_ROBE_8_4_2</t>
  </si>
  <si>
    <t>ARMOR_ROBE_8_5_2</t>
  </si>
  <si>
    <t>GEAR_HEAVY_8_2_2</t>
  </si>
  <si>
    <t>GEAR_HEAVY_8_3_2</t>
  </si>
  <si>
    <t>GEAR_HEAVY_8_4_2</t>
  </si>
  <si>
    <t>GEAR_HEAVY_8_5_2</t>
  </si>
  <si>
    <t>GEAR_LIGHT_8_2_2</t>
  </si>
  <si>
    <t>GEAR_LIGHT_8_3_2</t>
  </si>
  <si>
    <t>GEAR_LIGHT_8_4_2</t>
  </si>
  <si>
    <t>GEAR_LIGHT_8_5_2</t>
  </si>
  <si>
    <t>GEAR_ROBE_8_2_2</t>
  </si>
  <si>
    <t>GEAR_ROBE_8_3_2</t>
  </si>
  <si>
    <t>GEAR_ROBE_8_4_2</t>
  </si>
  <si>
    <t>GEAR_ROBE_8_5_2</t>
  </si>
  <si>
    <t>ACCESSORY_RING_8_2_2</t>
  </si>
  <si>
    <t>ACCESSORY_RING_8_3_2</t>
  </si>
  <si>
    <t>ACCESSORY_RING_8_4_2</t>
  </si>
  <si>
    <t>ACCESSORY_RING_8_5_2</t>
  </si>
  <si>
    <t>ACCESSORY_EARRING_8_2_2</t>
  </si>
  <si>
    <t>ACCESSORY_EARRING_8_3_2</t>
  </si>
  <si>
    <t>ACCESSORY_EARRING_8_4_2</t>
  </si>
  <si>
    <t>ACCESSORY_EARRING_8_5_2</t>
  </si>
  <si>
    <t>ACCESSORY_NECKLACE_8_2_2</t>
  </si>
  <si>
    <t>ACCESSORY_NECKLACE_8_3_2</t>
  </si>
  <si>
    <t>ACCESSORY_NECKLACE_8_4_2</t>
  </si>
  <si>
    <t>ACCESSORY_NECKLACE_8_5_2</t>
  </si>
  <si>
    <t>ACCESSORY_BRACELET_8_2_2</t>
  </si>
  <si>
    <t>ACCESSORY_BRACELET_8_3_2</t>
  </si>
  <si>
    <t>ACCESSORY_BRACELET_8_4_2</t>
  </si>
  <si>
    <t>ACCESSORY_BRACELET_8_5_2</t>
  </si>
  <si>
    <t>ORB_8_2_2</t>
  </si>
  <si>
    <t>ORB_8_3_2</t>
  </si>
  <si>
    <t>ORB_8_4_2</t>
  </si>
  <si>
    <t>ORB_8_5_2</t>
  </si>
  <si>
    <t>WEAPON_KNIGHT_8_2_3</t>
  </si>
  <si>
    <t>WEAPON_KNIGHT_8_3_3</t>
  </si>
  <si>
    <t>WEAPON_KNIGHT_8_4_3</t>
  </si>
  <si>
    <t>WEAPON_KNIGHT_8_5_3</t>
  </si>
  <si>
    <t>WEAPON_WARRIOR_8_2_3</t>
  </si>
  <si>
    <t>WEAPON_WARRIOR_8_3_3</t>
  </si>
  <si>
    <t>WEAPON_WARRIOR_8_4_3</t>
  </si>
  <si>
    <t>WEAPON_WARRIOR_8_5_3</t>
  </si>
  <si>
    <t>WEAPON_ASSASSIN_8_2_3</t>
  </si>
  <si>
    <t>WEAPON_ASSASSIN_8_3_3</t>
  </si>
  <si>
    <t>WEAPON_ASSASSIN_8_4_3</t>
  </si>
  <si>
    <t>WEAPON_ASSASSIN_8_5_3</t>
  </si>
  <si>
    <t>WEAPON_ARCHER_8_2_3</t>
  </si>
  <si>
    <t>WEAPON_ARCHER_8_3_3</t>
  </si>
  <si>
    <t>WEAPON_ARCHER_8_4_3</t>
  </si>
  <si>
    <t>WEAPON_ARCHER_8_5_3</t>
  </si>
  <si>
    <t>WEAPON_MECHANIC_8_2_3</t>
  </si>
  <si>
    <t>WEAPON_MECHANIC_8_3_3</t>
  </si>
  <si>
    <t>WEAPON_MECHANIC_8_4_3</t>
  </si>
  <si>
    <t>WEAPON_MECHANIC_8_5_3</t>
  </si>
  <si>
    <t>WEAPON_WIZARD_8_2_3</t>
  </si>
  <si>
    <t>WEAPON_WIZARD_8_3_3</t>
  </si>
  <si>
    <t>WEAPON_WIZARD_8_4_3</t>
  </si>
  <si>
    <t>WEAPON_WIZARD_8_5_3</t>
  </si>
  <si>
    <t>ARMOR_HEAVY_8_2_3</t>
  </si>
  <si>
    <t>ARMOR_HEAVY_8_3_3</t>
  </si>
  <si>
    <t>ARMOR_HEAVY_8_4_3</t>
  </si>
  <si>
    <t>ARMOR_HEAVY_8_5_3</t>
  </si>
  <si>
    <t>ARMOR_LIGHT_8_2_3</t>
  </si>
  <si>
    <t>ARMOR_LIGHT_8_3_3</t>
  </si>
  <si>
    <t>ARMOR_LIGHT_8_4_3</t>
  </si>
  <si>
    <t>ARMOR_LIGHT_8_5_3</t>
  </si>
  <si>
    <t>ARMOR_ROBE_8_2_3</t>
  </si>
  <si>
    <t>ARMOR_ROBE_8_3_3</t>
  </si>
  <si>
    <t>ARMOR_ROBE_8_4_3</t>
  </si>
  <si>
    <t>ARMOR_ROBE_8_5_3</t>
  </si>
  <si>
    <t>GEAR_HEAVY_8_2_3</t>
  </si>
  <si>
    <t>GEAR_HEAVY_8_3_3</t>
  </si>
  <si>
    <t>GEAR_HEAVY_8_4_3</t>
  </si>
  <si>
    <t>GEAR_HEAVY_8_5_3</t>
  </si>
  <si>
    <t>GEAR_LIGHT_8_2_3</t>
  </si>
  <si>
    <t>GEAR_LIGHT_8_3_3</t>
  </si>
  <si>
    <t>GEAR_LIGHT_8_4_3</t>
  </si>
  <si>
    <t>GEAR_LIGHT_8_5_3</t>
  </si>
  <si>
    <t>GEAR_ROBE_8_2_3</t>
  </si>
  <si>
    <t>GEAR_ROBE_8_3_3</t>
  </si>
  <si>
    <t>GEAR_ROBE_8_4_3</t>
  </si>
  <si>
    <t>GEAR_ROBE_8_5_3</t>
  </si>
  <si>
    <t>ACCESSORY_RING_8_2_3</t>
  </si>
  <si>
    <t>ACCESSORY_RING_8_3_3</t>
  </si>
  <si>
    <t>ACCESSORY_RING_8_4_3</t>
  </si>
  <si>
    <t>ACCESSORY_RING_8_5_3</t>
  </si>
  <si>
    <t>ACCESSORY_EARRING_8_2_3</t>
  </si>
  <si>
    <t>ACCESSORY_EARRING_8_3_3</t>
  </si>
  <si>
    <t>ACCESSORY_EARRING_8_4_3</t>
  </si>
  <si>
    <t>ACCESSORY_EARRING_8_5_3</t>
  </si>
  <si>
    <t>ACCESSORY_NECKLACE_8_2_3</t>
  </si>
  <si>
    <t>ACCESSORY_NECKLACE_8_3_3</t>
  </si>
  <si>
    <t>ACCESSORY_NECKLACE_8_4_3</t>
  </si>
  <si>
    <t>ACCESSORY_NECKLACE_8_5_3</t>
  </si>
  <si>
    <t>ACCESSORY_BRACELET_8_2_3</t>
  </si>
  <si>
    <t>ACCESSORY_BRACELET_8_3_3</t>
  </si>
  <si>
    <t>ACCESSORY_BRACELET_8_4_3</t>
  </si>
  <si>
    <t>ACCESSORY_BRACELET_8_5_3</t>
  </si>
  <si>
    <t>ORB_8_2_3</t>
  </si>
  <si>
    <t>ORB_8_3_3</t>
  </si>
  <si>
    <t>ORB_8_4_3</t>
  </si>
  <si>
    <t>ORB_8_5_3</t>
  </si>
  <si>
    <t>205</t>
    <phoneticPr fontId="4" type="noConversion"/>
  </si>
  <si>
    <t>8</t>
    <phoneticPr fontId="4" type="noConversion"/>
  </si>
  <si>
    <t>ARTIFACT_UNIQUE_507</t>
    <phoneticPr fontId="4" type="noConversion"/>
  </si>
  <si>
    <t>20507</t>
    <phoneticPr fontId="4" type="noConversion"/>
  </si>
  <si>
    <t>WEAPON_UNIQUE_BERNHEIM_1</t>
    <phoneticPr fontId="4" type="noConversion"/>
  </si>
  <si>
    <t>11078</t>
    <phoneticPr fontId="4" type="noConversion"/>
  </si>
  <si>
    <t>베른헤임 무기</t>
    <phoneticPr fontId="4" type="noConversion"/>
  </si>
  <si>
    <t>TREASURE_UNIQUE_BERNHEIM_1</t>
    <phoneticPr fontId="4" type="noConversion"/>
  </si>
  <si>
    <t>12078</t>
    <phoneticPr fontId="4" type="noConversion"/>
  </si>
  <si>
    <t>TREASURE_UNIQUE_BERNHEIM_2</t>
    <phoneticPr fontId="4" type="noConversion"/>
  </si>
  <si>
    <t>13078</t>
    <phoneticPr fontId="4" type="noConversion"/>
  </si>
  <si>
    <t>TREASURE_UNIQUE_BERNHEIM_3</t>
    <phoneticPr fontId="4" type="noConversion"/>
  </si>
  <si>
    <t>14078</t>
    <phoneticPr fontId="4" type="noConversion"/>
  </si>
  <si>
    <t>TREASURE_UNIQUE_BERNHEIM_4</t>
    <phoneticPr fontId="4" type="noConversion"/>
  </si>
  <si>
    <t>15078</t>
    <phoneticPr fontId="4" type="noConversion"/>
  </si>
  <si>
    <t>WEAPON_UNIQUE_YURIA_1</t>
    <phoneticPr fontId="4" type="noConversion"/>
  </si>
  <si>
    <t>11047</t>
    <phoneticPr fontId="4" type="noConversion"/>
  </si>
  <si>
    <t>자피르 무기</t>
    <phoneticPr fontId="4" type="noConversion"/>
  </si>
  <si>
    <t>유리아 무기</t>
    <phoneticPr fontId="4" type="noConversion"/>
  </si>
  <si>
    <t>TREASURE_UNIQUE_YURIA_1</t>
    <phoneticPr fontId="4" type="noConversion"/>
  </si>
  <si>
    <t>12047</t>
    <phoneticPr fontId="4" type="noConversion"/>
  </si>
  <si>
    <t>TREASURE_UNIQUE_YURIA_2</t>
    <phoneticPr fontId="4" type="noConversion"/>
  </si>
  <si>
    <t>13047</t>
    <phoneticPr fontId="4" type="noConversion"/>
  </si>
  <si>
    <t>TREASURE_UNIQUE_YURIA_3</t>
    <phoneticPr fontId="4" type="noConversion"/>
  </si>
  <si>
    <t>14047</t>
    <phoneticPr fontId="4" type="noConversion"/>
  </si>
  <si>
    <t>TREASURE_UNIQUE_YURIA_4</t>
    <phoneticPr fontId="4" type="noConversion"/>
  </si>
  <si>
    <t>15047</t>
    <phoneticPr fontId="4" type="noConversion"/>
  </si>
  <si>
    <t>ARTIFACT_UNIQUE_508</t>
    <phoneticPr fontId="4" type="noConversion"/>
  </si>
  <si>
    <t>20508</t>
    <phoneticPr fontId="4" type="noConversion"/>
  </si>
  <si>
    <t>WEAPON_UNIQUE_CECILIA_1</t>
    <phoneticPr fontId="4" type="noConversion"/>
  </si>
  <si>
    <t>11070</t>
    <phoneticPr fontId="4" type="noConversion"/>
  </si>
  <si>
    <t>세실리아 무기</t>
    <phoneticPr fontId="4" type="noConversion"/>
  </si>
  <si>
    <t>TREASURE_UNIQUE_CECILIA_1</t>
    <phoneticPr fontId="4" type="noConversion"/>
  </si>
  <si>
    <t>12070</t>
    <phoneticPr fontId="4" type="noConversion"/>
  </si>
  <si>
    <t>TREASURE_UNIQUE_CECILIA_2</t>
    <phoneticPr fontId="4" type="noConversion"/>
  </si>
  <si>
    <t>13070</t>
    <phoneticPr fontId="4" type="noConversion"/>
  </si>
  <si>
    <t>TREASURE_UNIQUE_CECILIA_3</t>
    <phoneticPr fontId="4" type="noConversion"/>
  </si>
  <si>
    <t>14070</t>
    <phoneticPr fontId="4" type="noConversion"/>
  </si>
  <si>
    <t>TREASURE_UNIQUE_CECILIA_4</t>
    <phoneticPr fontId="4" type="noConversion"/>
  </si>
  <si>
    <t>15070</t>
    <phoneticPr fontId="4" type="noConversion"/>
  </si>
  <si>
    <t>ARTIFACT_UNIQUE_509</t>
  </si>
  <si>
    <t>103</t>
    <phoneticPr fontId="4" type="noConversion"/>
  </si>
  <si>
    <t>103</t>
    <phoneticPr fontId="4" type="noConversion"/>
  </si>
  <si>
    <t>다카리스무기</t>
    <phoneticPr fontId="4" type="noConversion"/>
  </si>
  <si>
    <t>WEAPON_UNIQUE_DAKARIS_1</t>
    <phoneticPr fontId="4" type="noConversion"/>
  </si>
  <si>
    <t>11075</t>
    <phoneticPr fontId="4" type="noConversion"/>
  </si>
  <si>
    <t>TREASURE_UNIQUE_DAKARIS_1</t>
    <phoneticPr fontId="4" type="noConversion"/>
  </si>
  <si>
    <t>12075</t>
    <phoneticPr fontId="4" type="noConversion"/>
  </si>
  <si>
    <t>TREASURE_UNIQUE_DAKARIS_2</t>
    <phoneticPr fontId="4" type="noConversion"/>
  </si>
  <si>
    <t>SpecialTreasure_2</t>
    <phoneticPr fontId="4" type="noConversion"/>
  </si>
  <si>
    <t>TREASURE_UNIQUE_DAKARIS_3</t>
    <phoneticPr fontId="4" type="noConversion"/>
  </si>
  <si>
    <t>SpecialTreasure_1</t>
    <phoneticPr fontId="4" type="noConversion"/>
  </si>
  <si>
    <t>14075</t>
    <phoneticPr fontId="4" type="noConversion"/>
  </si>
  <si>
    <t>13075</t>
    <phoneticPr fontId="4" type="noConversion"/>
  </si>
  <si>
    <t>TREASURE_UNIQUE_DAKARIS_4</t>
    <phoneticPr fontId="4" type="noConversion"/>
  </si>
  <si>
    <t>SpecialTreasure_4</t>
    <phoneticPr fontId="4" type="noConversion"/>
  </si>
  <si>
    <t>15075</t>
    <phoneticPr fontId="4" type="noConversion"/>
  </si>
  <si>
    <t>WEAPON_UNIQUE_KIRZE_1</t>
    <phoneticPr fontId="4" type="noConversion"/>
  </si>
  <si>
    <t>11071</t>
    <phoneticPr fontId="4" type="noConversion"/>
  </si>
  <si>
    <t>키르제무기</t>
    <phoneticPr fontId="4" type="noConversion"/>
  </si>
  <si>
    <t>TREASURE_UNIQUE_KIRZE_1</t>
    <phoneticPr fontId="4" type="noConversion"/>
  </si>
  <si>
    <t>12071</t>
    <phoneticPr fontId="4" type="noConversion"/>
  </si>
  <si>
    <t>TREASURE_UNIQUE_KIRZE_2</t>
    <phoneticPr fontId="4" type="noConversion"/>
  </si>
  <si>
    <t>13071</t>
    <phoneticPr fontId="4" type="noConversion"/>
  </si>
  <si>
    <t>TREASURE_UNIQUE_KIRZE_3</t>
    <phoneticPr fontId="4" type="noConversion"/>
  </si>
  <si>
    <t>14071</t>
    <phoneticPr fontId="4" type="noConversion"/>
  </si>
  <si>
    <t>TREASURE_UNIQUE_KIRZE_4</t>
    <phoneticPr fontId="4" type="noConversion"/>
  </si>
  <si>
    <t>15071</t>
    <phoneticPr fontId="4" type="noConversion"/>
  </si>
  <si>
    <t>하누스 무기</t>
    <phoneticPr fontId="4" type="noConversion"/>
  </si>
  <si>
    <t>TREASURE_UNIQUE_HANUS_1</t>
    <phoneticPr fontId="4" type="noConversion"/>
  </si>
  <si>
    <t>12097</t>
    <phoneticPr fontId="4" type="noConversion"/>
  </si>
  <si>
    <t>11097</t>
    <phoneticPr fontId="4" type="noConversion"/>
  </si>
  <si>
    <t>TREASURE_UNIQUE_HANUS_2</t>
    <phoneticPr fontId="4" type="noConversion"/>
  </si>
  <si>
    <t>13097</t>
    <phoneticPr fontId="4" type="noConversion"/>
  </si>
  <si>
    <t>TREASURE_UNIQUE_HANUS_3</t>
    <phoneticPr fontId="4" type="noConversion"/>
  </si>
  <si>
    <t>14097</t>
    <phoneticPr fontId="4" type="noConversion"/>
  </si>
  <si>
    <t>TREASURE_UNIQUE_HANUS_4</t>
    <phoneticPr fontId="4" type="noConversion"/>
  </si>
  <si>
    <t>15097</t>
    <phoneticPr fontId="4" type="noConversion"/>
  </si>
  <si>
    <t>WEAPON_UNIQUE_HANUS_1</t>
    <phoneticPr fontId="4" type="noConversion"/>
  </si>
  <si>
    <t>ARTIFACT_UNIQUE_510</t>
    <phoneticPr fontId="4" type="noConversion"/>
  </si>
  <si>
    <t>20510</t>
    <phoneticPr fontId="4" type="noConversion"/>
  </si>
  <si>
    <t>ARTIFACT_UNIQUE_511</t>
    <phoneticPr fontId="4" type="noConversion"/>
  </si>
  <si>
    <t>20511</t>
    <phoneticPr fontId="4" type="noConversion"/>
  </si>
  <si>
    <t>ARTIFACT_UNIQUE_512</t>
    <phoneticPr fontId="4" type="noConversion"/>
  </si>
  <si>
    <t>20512</t>
    <phoneticPr fontId="4" type="noConversion"/>
  </si>
  <si>
    <t>ARTIFACT_UNIQUE_513</t>
    <phoneticPr fontId="4" type="noConversion"/>
  </si>
  <si>
    <t>20513</t>
    <phoneticPr fontId="4" type="noConversion"/>
  </si>
  <si>
    <t>WEAPON_UNIQUE_KAIN_1</t>
    <phoneticPr fontId="4" type="noConversion"/>
  </si>
  <si>
    <t>11098</t>
    <phoneticPr fontId="4" type="noConversion"/>
  </si>
  <si>
    <t>카인무기</t>
    <phoneticPr fontId="4" type="noConversion"/>
  </si>
  <si>
    <t>TREASURE_UNIQUE_KAIN_1</t>
  </si>
  <si>
    <t>TREASURE_UNIQUE_KAIN_2</t>
    <phoneticPr fontId="4" type="noConversion"/>
  </si>
  <si>
    <t>13098</t>
    <phoneticPr fontId="4" type="noConversion"/>
  </si>
  <si>
    <t>TREASURE_UNIQUE_KAIN_3</t>
    <phoneticPr fontId="4" type="noConversion"/>
  </si>
  <si>
    <t>14098</t>
    <phoneticPr fontId="4" type="noConversion"/>
  </si>
  <si>
    <t>TREASURE_UNIQUE_KAIN_4</t>
    <phoneticPr fontId="4" type="noConversion"/>
  </si>
  <si>
    <t>15098</t>
    <phoneticPr fontId="4" type="noConversion"/>
  </si>
  <si>
    <t>WEAPON_UNIQUE_REHARTNA_1</t>
    <phoneticPr fontId="4" type="noConversion"/>
  </si>
  <si>
    <t>11048</t>
    <phoneticPr fontId="4" type="noConversion"/>
  </si>
  <si>
    <t>TREASURE_UNIQUE_REHARTNA_1</t>
    <phoneticPr fontId="4" type="noConversion"/>
  </si>
  <si>
    <t>12048</t>
    <phoneticPr fontId="4" type="noConversion"/>
  </si>
  <si>
    <t>TREASURE_UNIQUE_REHARTNA_2</t>
    <phoneticPr fontId="4" type="noConversion"/>
  </si>
  <si>
    <t>13048</t>
    <phoneticPr fontId="4" type="noConversion"/>
  </si>
  <si>
    <t>TREASURE_UNIQUE_REHARTNA_3</t>
    <phoneticPr fontId="4" type="noConversion"/>
  </si>
  <si>
    <t>14048</t>
    <phoneticPr fontId="4" type="noConversion"/>
  </si>
  <si>
    <t>TREASURE_UNIQUE_REHARTNA_4</t>
    <phoneticPr fontId="4" type="noConversion"/>
  </si>
  <si>
    <t>15048</t>
    <phoneticPr fontId="4" type="noConversion"/>
  </si>
  <si>
    <t>IsOpenSoulWeapon</t>
    <phoneticPr fontId="4" type="noConversion"/>
  </si>
  <si>
    <t>ARTIFACT_UNIQUE_514</t>
    <phoneticPr fontId="4" type="noConversion"/>
  </si>
  <si>
    <t>20514</t>
    <phoneticPr fontId="4" type="noConversion"/>
  </si>
  <si>
    <t>ARTIFACT_UNIQUE_515</t>
    <phoneticPr fontId="4" type="noConversion"/>
  </si>
  <si>
    <t>20515</t>
    <phoneticPr fontId="4" type="noConversion"/>
  </si>
  <si>
    <t>WEAPON_UNIQUE_PANCIRONNE_1</t>
    <phoneticPr fontId="4" type="noConversion"/>
  </si>
  <si>
    <t>11072</t>
    <phoneticPr fontId="4" type="noConversion"/>
  </si>
  <si>
    <t>판시로네 무기</t>
    <phoneticPr fontId="4" type="noConversion"/>
  </si>
  <si>
    <t>TREASURE_UNIQUE_PANCIRONNE_1</t>
  </si>
  <si>
    <t>12072</t>
    <phoneticPr fontId="4" type="noConversion"/>
  </si>
  <si>
    <t>TREASURE_UNIQUE_PANCIRONNE_2</t>
  </si>
  <si>
    <t>TREASURE_UNIQUE_PANCIRONNE_3</t>
  </si>
  <si>
    <t>TREASURE_UNIQUE_PANCIRONNE_4</t>
  </si>
  <si>
    <t>ARTIFACT_UNIQUE_516</t>
    <phoneticPr fontId="4" type="noConversion"/>
  </si>
  <si>
    <t>20516</t>
    <phoneticPr fontId="4" type="noConversion"/>
  </si>
  <si>
    <t>WEAPON_UNIQUE_KIBERA_1</t>
    <phoneticPr fontId="4" type="noConversion"/>
  </si>
  <si>
    <t>키베라무기</t>
    <phoneticPr fontId="4" type="noConversion"/>
  </si>
  <si>
    <t>11074</t>
    <phoneticPr fontId="4" type="noConversion"/>
  </si>
  <si>
    <t>TREASURE_UNIQUE_KIBERA_1</t>
    <phoneticPr fontId="4" type="noConversion"/>
  </si>
  <si>
    <t>12074</t>
    <phoneticPr fontId="4" type="noConversion"/>
  </si>
  <si>
    <t>TREASURE_UNIQUE_KIBERA_2</t>
    <phoneticPr fontId="4" type="noConversion"/>
  </si>
  <si>
    <t>SpecialTreasure_2</t>
    <phoneticPr fontId="4" type="noConversion"/>
  </si>
  <si>
    <t>TREASURE_UNIQUE_KIBERA_3</t>
    <phoneticPr fontId="4" type="noConversion"/>
  </si>
  <si>
    <t>SpecialTreasure_1</t>
    <phoneticPr fontId="4" type="noConversion"/>
  </si>
  <si>
    <t>TREASURE_UNIQUE_KIBERA_4</t>
    <phoneticPr fontId="4" type="noConversion"/>
  </si>
  <si>
    <t>SpecialTreasure_4</t>
    <phoneticPr fontId="4" type="noConversion"/>
  </si>
  <si>
    <t>13074</t>
    <phoneticPr fontId="4" type="noConversion"/>
  </si>
  <si>
    <t>14074</t>
    <phoneticPr fontId="4" type="noConversion"/>
  </si>
  <si>
    <t>15074</t>
    <phoneticPr fontId="4" type="noConversion"/>
  </si>
  <si>
    <t>WEAPON_UNIQUE_TAILY_1</t>
    <phoneticPr fontId="4" type="noConversion"/>
  </si>
  <si>
    <t>11076</t>
    <phoneticPr fontId="4" type="noConversion"/>
  </si>
  <si>
    <t>테일리 무기</t>
    <phoneticPr fontId="4" type="noConversion"/>
  </si>
  <si>
    <t>TREASURE_UNIQUE_TAILY_1</t>
    <phoneticPr fontId="4" type="noConversion"/>
  </si>
  <si>
    <t>12076</t>
    <phoneticPr fontId="4" type="noConversion"/>
  </si>
  <si>
    <t>TREASURE_UNIQUE_TAILY_2</t>
    <phoneticPr fontId="4" type="noConversion"/>
  </si>
  <si>
    <t>13076</t>
    <phoneticPr fontId="4" type="noConversion"/>
  </si>
  <si>
    <t>TREASURE_UNIQUE_TAILY_3</t>
    <phoneticPr fontId="4" type="noConversion"/>
  </si>
  <si>
    <t>14076</t>
    <phoneticPr fontId="4" type="noConversion"/>
  </si>
  <si>
    <t>TREASURE_UNIQUE_TAILY_4</t>
    <phoneticPr fontId="4" type="noConversion"/>
  </si>
  <si>
    <t>15076</t>
    <phoneticPr fontId="4" type="noConversion"/>
  </si>
  <si>
    <t>(Grade)</t>
    <phoneticPr fontId="4" type="noConversion"/>
  </si>
  <si>
    <t>90</t>
  </si>
  <si>
    <t>(설명)</t>
    <phoneticPr fontId="4" type="noConversion"/>
  </si>
  <si>
    <t>TREASURE</t>
  </si>
  <si>
    <t>TREASURE2</t>
  </si>
  <si>
    <t>TREASURE3</t>
  </si>
  <si>
    <t>TREASURE4</t>
  </si>
  <si>
    <t>Accessory RING</t>
  </si>
  <si>
    <t>Accessory EARRING</t>
  </si>
  <si>
    <t>Accessory NECKLACE</t>
  </si>
  <si>
    <t>Accessory BRACELET</t>
  </si>
  <si>
    <t>Unique_SecondGear</t>
  </si>
  <si>
    <t>Unique_ClassWeapon</t>
  </si>
  <si>
    <t>TREASURE_All</t>
  </si>
  <si>
    <t>8T 장비아이템</t>
  </si>
  <si>
    <t>8T 장비아이템(9챕 늪지대)</t>
  </si>
  <si>
    <t>8T 장비아이템(9챕 유적)</t>
  </si>
  <si>
    <t>8T 장비아이템(9챕 멀티전용)</t>
  </si>
  <si>
    <t>Weapon_Knight</t>
    <phoneticPr fontId="4" type="noConversion"/>
  </si>
  <si>
    <t>Weapon_Warrior</t>
    <phoneticPr fontId="4" type="noConversion"/>
  </si>
  <si>
    <t>Weapon_Assassin</t>
    <phoneticPr fontId="4" type="noConversion"/>
  </si>
  <si>
    <t>Weapon_Archer</t>
    <phoneticPr fontId="4" type="noConversion"/>
  </si>
  <si>
    <t>Weapon_Mechanic</t>
    <phoneticPr fontId="4" type="noConversion"/>
  </si>
  <si>
    <t>Weapon_Wizard</t>
    <phoneticPr fontId="4" type="noConversion"/>
  </si>
  <si>
    <t>Armor_Heavy</t>
    <phoneticPr fontId="4" type="noConversion"/>
  </si>
  <si>
    <t>Armor_Light</t>
    <phoneticPr fontId="4" type="noConversion"/>
  </si>
  <si>
    <t>Armor_Robe</t>
    <phoneticPr fontId="4" type="noConversion"/>
  </si>
  <si>
    <t>Heavy Armor Second Gear</t>
    <phoneticPr fontId="4" type="noConversion"/>
  </si>
  <si>
    <t>Light Armor Second Gear</t>
    <phoneticPr fontId="4" type="noConversion"/>
  </si>
  <si>
    <t>Robe Armor Second Gear</t>
    <phoneticPr fontId="4" type="noConversion"/>
  </si>
  <si>
    <t>(Index)</t>
    <phoneticPr fontId="4" type="noConversion"/>
  </si>
  <si>
    <t>(옵션수)</t>
    <phoneticPr fontId="4" type="noConversion"/>
  </si>
  <si>
    <t>(검색 키워드)</t>
    <phoneticPr fontId="4" type="noConversion"/>
  </si>
  <si>
    <t>PartType</t>
    <phoneticPr fontId="4" type="noConversion"/>
  </si>
  <si>
    <t>(OptionGroupIndex)</t>
    <phoneticPr fontId="4" type="noConversion"/>
  </si>
  <si>
    <t>(한글로컬)</t>
    <phoneticPr fontId="4" type="noConversion"/>
  </si>
  <si>
    <t>성검 에아</t>
  </si>
  <si>
    <t>신의 권능 로스메르타</t>
  </si>
  <si>
    <t>태초의 불꽃 플레노스</t>
  </si>
  <si>
    <t>사신의 숨결 리딜</t>
  </si>
  <si>
    <t>신성한 새 누민뉴</t>
  </si>
  <si>
    <t>용의 잔해 어테인</t>
  </si>
  <si>
    <t>라크락 MK - 1</t>
  </si>
  <si>
    <t>푸른바람 코벤티나</t>
  </si>
  <si>
    <t>매혹의 길로틴</t>
  </si>
  <si>
    <t>녹색바람 노토스</t>
  </si>
  <si>
    <t>레아의 전령 코큐토스</t>
  </si>
  <si>
    <t>최종병기 레비아탄</t>
  </si>
  <si>
    <t>세계수의 의지 로부르</t>
  </si>
  <si>
    <t>톱날발톱 사티스</t>
  </si>
  <si>
    <t>수호의 엑시안</t>
  </si>
  <si>
    <t>신의 등불 쿠룰라티</t>
  </si>
  <si>
    <t>달의 눈물 네리우스</t>
  </si>
  <si>
    <t>섬광의 리바티스</t>
  </si>
  <si>
    <t>용의 심장 안다르타, 안드라스테</t>
  </si>
  <si>
    <t>푸른빛의 아르페우스</t>
  </si>
  <si>
    <t>저주받은 손톱 바로르</t>
  </si>
  <si>
    <t>로지나 커스텀 라이플 Mod.0</t>
  </si>
  <si>
    <t>승리의 불길 카프레인</t>
  </si>
  <si>
    <t>신구 게네시스</t>
  </si>
  <si>
    <t>변하지 않는 마음 에레쿠라</t>
  </si>
  <si>
    <t>고귀한 운명 마히트라</t>
  </si>
  <si>
    <t>불사조의 깃펜 벨리사</t>
  </si>
  <si>
    <t>격노의 쌍검 베랄타</t>
  </si>
  <si>
    <t>영원의 꽃 히야신스</t>
  </si>
  <si>
    <t>흐름의 원 엘트와르</t>
  </si>
  <si>
    <t>푸른 창공의 쉐르카일</t>
  </si>
  <si>
    <t>적빛의 지배자 도미니시아</t>
  </si>
  <si>
    <t>차원의 열쇠 마그너스 필레</t>
  </si>
  <si>
    <t>마도공학 결정체 레스컬</t>
  </si>
  <si>
    <t>광기의 포효, 베르키노스</t>
  </si>
  <si>
    <t>심판의 빛 테오리아</t>
  </si>
  <si>
    <t>정적의 악마 카이타시스</t>
  </si>
  <si>
    <t>절망의 구속자 바르바토스</t>
  </si>
  <si>
    <t>황금빛 속삭임 골드브리즈</t>
  </si>
  <si>
    <t>전뇌의 레기오스</t>
  </si>
  <si>
    <t>자애로운 위협 피스토니아</t>
  </si>
  <si>
    <t>달 그림자의 시간 템포디아나</t>
  </si>
  <si>
    <t>악몽의 송곳니 키트락스</t>
  </si>
  <si>
    <t>폭풍의 춤 엑실리우스</t>
  </si>
  <si>
    <t>드래곤베인 스베르타</t>
  </si>
  <si>
    <t>신왕의 영광, 쟈리에스</t>
  </si>
  <si>
    <t>하늘을 수놓는 별, 멜리플로</t>
  </si>
  <si>
    <t>길을 여는 노래, 마티마루마</t>
  </si>
  <si>
    <t>운명의 카드 델 아르카나</t>
  </si>
  <si>
    <t>조용한 바람의 피리 라크샤타</t>
  </si>
  <si>
    <t>태양의 광휘, 이그니시우스</t>
  </si>
  <si>
    <t>지옥의 사냥개, 아키스트라</t>
  </si>
  <si>
    <t>타락의 날개, 아폴리옥스</t>
  </si>
  <si>
    <t>공허한 영혼, 던 네미시아</t>
  </si>
  <si>
    <t>권속의 집행자 엘시온</t>
  </si>
  <si>
    <t>탐욕의 결정체 페리온</t>
  </si>
  <si>
    <t>무한의 샘, 시에라마하</t>
  </si>
  <si>
    <t>모래의 속삭임, 아를라크</t>
  </si>
  <si>
    <t>빛의 축복, 베네데시아</t>
  </si>
  <si>
    <t>프리즘 노바, 아크 루미네르</t>
  </si>
  <si>
    <t>드래곤의 포효, 아크라비타</t>
  </si>
  <si>
    <t>긍지의 검, 순백의 벨로나</t>
  </si>
  <si>
    <t>폭풍의 눈, 야나디스</t>
  </si>
  <si>
    <t>찬란한 칭송 브락시오</t>
  </si>
  <si>
    <t>무한가속의 리벤티나</t>
  </si>
  <si>
    <t>선율의 슈완하이트</t>
  </si>
  <si>
    <t>제0식 영구기관 마도병기, 천공파쇄</t>
  </si>
  <si>
    <t>찢어발기는 혼돈, 자카드라스</t>
  </si>
  <si>
    <t>방랑자의 유희, 루 에트로나 주사위</t>
  </si>
  <si>
    <t>음속의 폭렬, 기간틱스</t>
  </si>
  <si>
    <t>단죄의 날, 앨리스피라</t>
  </si>
  <si>
    <t>굉음의 폭염, 테르시아</t>
  </si>
  <si>
    <t>블러드 랜서 모노리스</t>
  </si>
  <si>
    <t>기억의 호수, 아르메키스</t>
  </si>
  <si>
    <t>허무의 가마, 타가리오스</t>
  </si>
  <si>
    <t>역습의 막시테아</t>
  </si>
  <si>
    <t>향기의 상자, 에텔리아</t>
  </si>
  <si>
    <t>맹수의 권 마스트라</t>
  </si>
  <si>
    <t>무한한 기록, 아코디오</t>
  </si>
  <si>
    <t>수호의 파동, 가이아메네스</t>
  </si>
  <si>
    <t>백가지 맛의 향연, 템포라 피르</t>
  </si>
  <si>
    <t>갱생의 추, 하르트논</t>
  </si>
  <si>
    <t>고대의 용기, 셀리에르</t>
  </si>
  <si>
    <t>지극히 사소한 장난, HN-0</t>
  </si>
  <si>
    <t>신왕의 권위, 타이라니쿠스</t>
  </si>
  <si>
    <t>대행자의 인장</t>
  </si>
  <si>
    <t>잊혀진 심판자의 깃털</t>
  </si>
  <si>
    <t>염옥의 주문서</t>
  </si>
  <si>
    <t>갈라진 가면</t>
  </si>
  <si>
    <t>바바리안의 술잔</t>
  </si>
  <si>
    <t>드워프제 예식 망치</t>
  </si>
  <si>
    <t>고블린 특제 고밀도 화약</t>
  </si>
  <si>
    <t>하늘바람의 깃털장식</t>
  </si>
  <si>
    <t>유혹의 구두</t>
  </si>
  <si>
    <t>은의 화살</t>
  </si>
  <si>
    <t>어둠의 펜던트</t>
  </si>
  <si>
    <t>미르르표 대포알</t>
  </si>
  <si>
    <t>세계수의 뿌리</t>
  </si>
  <si>
    <t>수호기사단의 인장</t>
  </si>
  <si>
    <t>영혼의 보금자리</t>
  </si>
  <si>
    <t>그림자의 눈</t>
  </si>
  <si>
    <t>신속의 메달</t>
  </si>
  <si>
    <t>빙하의 심장</t>
  </si>
  <si>
    <t>수호의 기운</t>
  </si>
  <si>
    <t>바람의 긍지</t>
  </si>
  <si>
    <t>커스텀 탄환 VII</t>
  </si>
  <si>
    <t>지옥의 결계석</t>
  </si>
  <si>
    <t>오래된 묵주</t>
  </si>
  <si>
    <t>잊혀진 공국의 꽃</t>
  </si>
  <si>
    <t>무한한 마력의 반지</t>
  </si>
  <si>
    <t>기억의 스크롤</t>
  </si>
  <si>
    <t>불멸의 장미</t>
  </si>
  <si>
    <t>녹지 않는 눈꽃</t>
  </si>
  <si>
    <t>흐름의 파피루스</t>
  </si>
  <si>
    <t>하늘의 눈</t>
  </si>
  <si>
    <t>고대의 피</t>
  </si>
  <si>
    <t>차원의 돌</t>
  </si>
  <si>
    <t>섬멸의 코드</t>
  </si>
  <si>
    <t>늑대머리 용병인장</t>
  </si>
  <si>
    <t>성기사의 맹세</t>
  </si>
  <si>
    <t>침묵의 단검</t>
  </si>
  <si>
    <t>봉인의 구속구</t>
  </si>
  <si>
    <t>금의 향기</t>
  </si>
  <si>
    <t>적뢰의 정수</t>
  </si>
  <si>
    <t>정체불명의 물약</t>
  </si>
  <si>
    <t>시간의 실타래</t>
  </si>
  <si>
    <t>거대화 악마의 영혼</t>
  </si>
  <si>
    <t>중력의 마력석</t>
  </si>
  <si>
    <t>드래곤 스테이크</t>
  </si>
  <si>
    <t>오아시스의 영혼</t>
  </si>
  <si>
    <t>거울의 건너편</t>
  </si>
  <si>
    <t>메들리 악보</t>
  </si>
  <si>
    <t>행운의 동전</t>
  </si>
  <si>
    <t>번쩍거리는 물약</t>
  </si>
  <si>
    <t>수호자의 나팔</t>
  </si>
  <si>
    <t>기억의 펜던트</t>
  </si>
  <si>
    <t>저주의 항아리</t>
  </si>
  <si>
    <t>축복의 보호</t>
  </si>
  <si>
    <t>악을 밝히는 촛불</t>
  </si>
  <si>
    <t>오욕의 립스틱</t>
  </si>
  <si>
    <t>정령의 샘솟는 주전자</t>
  </si>
  <si>
    <t>뇌쇄의 베일</t>
  </si>
  <si>
    <t>새벽별의 가르침</t>
  </si>
  <si>
    <t>벨키아의 긍지</t>
  </si>
  <si>
    <t>분노의 소용돌이</t>
  </si>
  <si>
    <t>오르벨리아의 긍지</t>
  </si>
  <si>
    <t>바이칼의 심장</t>
  </si>
  <si>
    <t>광휘의 왕관</t>
  </si>
  <si>
    <t>전격의 마법가루</t>
  </si>
  <si>
    <t>요정의 왕관</t>
  </si>
  <si>
    <t>고대의 동력원</t>
  </si>
  <si>
    <t>주술의 뼈가면</t>
  </si>
  <si>
    <t>낡은 낚싯대</t>
  </si>
  <si>
    <t>한순간의 여유</t>
  </si>
  <si>
    <t>탈출의 추억</t>
  </si>
  <si>
    <t>정령의 별장</t>
  </si>
  <si>
    <t>불굴의 견갑</t>
  </si>
  <si>
    <t>술법의 단검</t>
  </si>
  <si>
    <t>용병의 술잔</t>
  </si>
  <si>
    <t>발라스 루비</t>
  </si>
  <si>
    <t>출처가 불분명한 수정구</t>
  </si>
  <si>
    <t>챔피언의 월계관</t>
  </si>
  <si>
    <t>길드 관리자의 도장</t>
  </si>
  <si>
    <t>초혼의 바다</t>
  </si>
  <si>
    <t>수상한 조미료 세트</t>
  </si>
  <si>
    <t>무자비의 해골 너클</t>
  </si>
  <si>
    <t>바람 정령의 보금자리</t>
  </si>
  <si>
    <t>미니 하누스</t>
  </si>
  <si>
    <t>청백의 관</t>
  </si>
  <si>
    <t>제왕의 건틀렛</t>
  </si>
  <si>
    <t>기적의 메달</t>
  </si>
  <si>
    <t>플라멜의 영약</t>
  </si>
  <si>
    <t>소마의 두건</t>
  </si>
  <si>
    <t>투사의 뿔피리</t>
  </si>
  <si>
    <t>드워프제 양뿔 투구</t>
  </si>
  <si>
    <t>특제 방독마스크</t>
  </si>
  <si>
    <t>천둥새 가면</t>
  </si>
  <si>
    <t>서큐버스의 상자</t>
  </si>
  <si>
    <t>바람정령 봉인석</t>
  </si>
  <si>
    <t>전령의 서배튼</t>
  </si>
  <si>
    <t>해적왕의 육분의</t>
  </si>
  <si>
    <t>위험한 벨라돈나</t>
  </si>
  <si>
    <t>단호한 결의</t>
  </si>
  <si>
    <t>탄생의 씨앗</t>
  </si>
  <si>
    <t>끊을 수 없는 팔찌</t>
  </si>
  <si>
    <t>스승님의 반지</t>
  </si>
  <si>
    <t>얼어붙은 브로치</t>
  </si>
  <si>
    <t>초심의 방패</t>
  </si>
  <si>
    <t>히뮬리스의 스카프</t>
  </si>
  <si>
    <t>크리스탈 받침대</t>
  </si>
  <si>
    <t>해츨링 가죽 장갑</t>
  </si>
  <si>
    <t>성서의 마지막 장</t>
  </si>
  <si>
    <t>죽음이 깃든 쿠션</t>
  </si>
  <si>
    <t>고결한 손거울</t>
  </si>
  <si>
    <t>활력의 잉크</t>
  </si>
  <si>
    <t>매혹의 향수</t>
  </si>
  <si>
    <t>달빛에 적신 당근</t>
  </si>
  <si>
    <t>오아시스의 결정체</t>
  </si>
  <si>
    <t>추격의 사중마법진</t>
  </si>
  <si>
    <t>피안개의 술식</t>
  </si>
  <si>
    <t>흐름절단의 검</t>
  </si>
  <si>
    <t>치유의 스크립트</t>
  </si>
  <si>
    <t>늑대의 탄환박스</t>
  </si>
  <si>
    <t>성기사의 긍지</t>
  </si>
  <si>
    <t>웃는가면단 암기 벨트</t>
  </si>
  <si>
    <t>사나운 짐승의 초커</t>
  </si>
  <si>
    <t>화사한 노리개</t>
  </si>
  <si>
    <t>뇌신의 목걸이</t>
  </si>
  <si>
    <t>이중반응의 특수물약</t>
  </si>
  <si>
    <t>조각 컬렉션</t>
  </si>
  <si>
    <t>광폭한 마수의 발톱</t>
  </si>
  <si>
    <t>고급 찻잔세트</t>
  </si>
  <si>
    <t>폭사의 대형화살</t>
  </si>
  <si>
    <t>신기루의 모래</t>
  </si>
  <si>
    <t>예지의 눈</t>
  </si>
  <si>
    <t>초음파 발생 장치</t>
  </si>
  <si>
    <t>엘리시어드의 심장</t>
  </si>
  <si>
    <t>바실리스크의 독니</t>
  </si>
  <si>
    <t>태양의 팔찌</t>
  </si>
  <si>
    <t>냉혹의 탄환</t>
  </si>
  <si>
    <t>고대 악마의 심장</t>
  </si>
  <si>
    <t>요정의 향기</t>
  </si>
  <si>
    <t>심연의 반지</t>
  </si>
  <si>
    <t>전율의 와인</t>
  </si>
  <si>
    <t>흐름의 심장</t>
  </si>
  <si>
    <t>트로바티아의 신물</t>
  </si>
  <si>
    <t>추억의 주사위</t>
  </si>
  <si>
    <t>감찰관의 증명</t>
  </si>
  <si>
    <t>푸른 신룡의 기억</t>
  </si>
  <si>
    <t>정의의 날개</t>
  </si>
  <si>
    <t>번개의 장막</t>
  </si>
  <si>
    <t>여왕의 자부심</t>
  </si>
  <si>
    <t>순간이동의 쌍둥이 반지</t>
  </si>
  <si>
    <t>바람을 머금은 꽃</t>
  </si>
  <si>
    <t>기록장치 KARA-00XX</t>
  </si>
  <si>
    <t>사냥꾼의 선물</t>
  </si>
  <si>
    <t>놓을 수 없는 체스</t>
  </si>
  <si>
    <t>어린시절의 추억</t>
  </si>
  <si>
    <t>취미의 흔적</t>
  </si>
  <si>
    <t>특제 연료통</t>
  </si>
  <si>
    <t>신의의 손수건</t>
  </si>
  <si>
    <t>전통의 팔찌</t>
  </si>
  <si>
    <t>빛의 메달</t>
  </si>
  <si>
    <t>민들레의 찬사</t>
  </si>
  <si>
    <t>달콤달콤 조각 케이크</t>
  </si>
  <si>
    <t>개다래 나무 상자</t>
  </si>
  <si>
    <t>확고한 의지의 펜촉</t>
  </si>
  <si>
    <t>미니어쳐 목각인형</t>
  </si>
  <si>
    <t>행복의 항아리</t>
  </si>
  <si>
    <t>투신의 팬던트</t>
  </si>
  <si>
    <t>숲의 수정구</t>
  </si>
  <si>
    <t>장난의 시작</t>
  </si>
  <si>
    <t>신왕의 눈</t>
  </si>
  <si>
    <t>빛의 왕관</t>
  </si>
  <si>
    <t>천사의 알</t>
  </si>
  <si>
    <t>불사조 랜턴</t>
  </si>
  <si>
    <t>그림자 칼날</t>
  </si>
  <si>
    <t>서리왕 투구</t>
  </si>
  <si>
    <t>광룡 방패장식</t>
  </si>
  <si>
    <t>몽둥이 탄환</t>
  </si>
  <si>
    <t>천둥석 팔찌</t>
  </si>
  <si>
    <t>초록 요정</t>
  </si>
  <si>
    <t>명사수 장갑</t>
  </si>
  <si>
    <t>폭풍의 춤</t>
  </si>
  <si>
    <t>심해의 동전</t>
  </si>
  <si>
    <t>생명의 서</t>
  </si>
  <si>
    <t>정의의 망토</t>
  </si>
  <si>
    <t>푸른 별의 음률</t>
  </si>
  <si>
    <t>검은 달의 맹세</t>
  </si>
  <si>
    <t>섬광의 날개</t>
  </si>
  <si>
    <t>눈의 근원</t>
  </si>
  <si>
    <t>질트리온의 궤</t>
  </si>
  <si>
    <t>돌풍의 혼</t>
  </si>
  <si>
    <t>충격 흡수 특제 보호대</t>
  </si>
  <si>
    <t>지옥의 눈동자</t>
  </si>
  <si>
    <t>낡은 성배</t>
  </si>
  <si>
    <t>장례용 인형</t>
  </si>
  <si>
    <t>보라의 꽃</t>
  </si>
  <si>
    <t>고대 문자 백과사전 - 상편</t>
  </si>
  <si>
    <t>폭풍의 눈 벨트</t>
  </si>
  <si>
    <t>행운의 금방울</t>
  </si>
  <si>
    <t>수룡의 비늘</t>
  </si>
  <si>
    <t>신성한 금 화살</t>
  </si>
  <si>
    <t>오래된 은잔</t>
  </si>
  <si>
    <t>차원 마법진</t>
  </si>
  <si>
    <t>3중 집광 렌즈</t>
  </si>
  <si>
    <t>잠재된 광기</t>
  </si>
  <si>
    <t>성기사의 스톨</t>
  </si>
  <si>
    <t>잠행의 비급 사본</t>
  </si>
  <si>
    <t>사나운 짐승의 가죽 벨트</t>
  </si>
  <si>
    <t>적화조의 깃털장식</t>
  </si>
  <si>
    <t>흑담비의 털장식</t>
  </si>
  <si>
    <t>수상한 '건강' 주사액</t>
  </si>
  <si>
    <t>정교한 오브먼트</t>
  </si>
  <si>
    <t>맛있는 기억</t>
  </si>
  <si>
    <t>맹공의 추</t>
  </si>
  <si>
    <t>집중의 탈리스만</t>
  </si>
  <si>
    <t>모래폭풍의 화살</t>
  </si>
  <si>
    <t>밤하늘의 속삭임</t>
  </si>
  <si>
    <t>레지스탕스의 기밀문서</t>
  </si>
  <si>
    <t>수상한 카드</t>
  </si>
  <si>
    <t>맹독의 눈물</t>
  </si>
  <si>
    <t>새벽의 빛</t>
  </si>
  <si>
    <t>이빨자국 탄환</t>
  </si>
  <si>
    <t>저주의 해방</t>
  </si>
  <si>
    <t>달의 타로카드</t>
  </si>
  <si>
    <t>악마의 숫돌</t>
  </si>
  <si>
    <t>갈증의 송곳니</t>
  </si>
  <si>
    <t>바다의 속삭임</t>
  </si>
  <si>
    <t>오아시스의 발찌</t>
  </si>
  <si>
    <t>축복의 서</t>
  </si>
  <si>
    <t>노슨힐의 검</t>
  </si>
  <si>
    <t>검은 번개의 카트리지</t>
  </si>
  <si>
    <t>파동의 건틀릿</t>
  </si>
  <si>
    <t>증폭의 보석</t>
  </si>
  <si>
    <t>여왕의 품격</t>
  </si>
  <si>
    <t>노력의 증거</t>
  </si>
  <si>
    <t>생명의 꽃</t>
  </si>
  <si>
    <t>광학렌즈-MF002</t>
  </si>
  <si>
    <t>밀림의 꽃</t>
  </si>
  <si>
    <t>알쏭달쏭 룬큐브</t>
  </si>
  <si>
    <t>영웅의 첫걸음</t>
  </si>
  <si>
    <t>붉은 수정의 연꽃</t>
  </si>
  <si>
    <t>알 수 없는 그림이 담긴 액자</t>
  </si>
  <si>
    <t>죄악의 안내자</t>
  </si>
  <si>
    <t>호숫가의 진수성찬</t>
  </si>
  <si>
    <t>빛바랜 검</t>
  </si>
  <si>
    <t>알파 리더 뱃지</t>
  </si>
  <si>
    <t>건강한 물약세트</t>
  </si>
  <si>
    <t>참을 수 없는 깃털</t>
  </si>
  <si>
    <t>길드 행동 메뉴얼</t>
  </si>
  <si>
    <t>오르벨리아 기사의 기본서</t>
  </si>
  <si>
    <t>알록달록 국자</t>
  </si>
  <si>
    <t>지하감옥 특제 부츠</t>
  </si>
  <si>
    <t>엘리도라의 팔찌</t>
  </si>
  <si>
    <t>낡은 군용모</t>
  </si>
  <si>
    <t>흐름의 인장</t>
  </si>
  <si>
    <t>루아의 눈물</t>
  </si>
  <si>
    <t>천사강림</t>
  </si>
  <si>
    <t>붉은마녀 입문서</t>
  </si>
  <si>
    <t>사신의 반지</t>
  </si>
  <si>
    <t>설강화 팔찌</t>
  </si>
  <si>
    <t>타이탄 망치</t>
  </si>
  <si>
    <t>우당탕 포탄</t>
  </si>
  <si>
    <t>하늘 바람석</t>
  </si>
  <si>
    <t>꿈의 기억</t>
  </si>
  <si>
    <t>바람의 서클렛</t>
  </si>
  <si>
    <t>심연의 편지</t>
  </si>
  <si>
    <t>거북이 화약통</t>
  </si>
  <si>
    <t>순환의 테라리움</t>
  </si>
  <si>
    <t>벙어리 장갑</t>
  </si>
  <si>
    <t>푸른 별사탕</t>
  </si>
  <si>
    <t>검은 왕관</t>
  </si>
  <si>
    <t>자수정 핀</t>
  </si>
  <si>
    <t>빙룡의 마음</t>
  </si>
  <si>
    <t>질트리온 반지</t>
  </si>
  <si>
    <t>녹색 리본</t>
  </si>
  <si>
    <t>총기백과사전</t>
  </si>
  <si>
    <t>염화의 보옥</t>
  </si>
  <si>
    <t>그을린 일기</t>
  </si>
  <si>
    <t>1호 친구 인형</t>
  </si>
  <si>
    <t>진실의 눈</t>
  </si>
  <si>
    <t>황금 돋보기</t>
  </si>
  <si>
    <t>봉인된 밀서</t>
  </si>
  <si>
    <t>당근 케이크</t>
  </si>
  <si>
    <t>신룡의 눈물</t>
  </si>
  <si>
    <t>처단의 종</t>
  </si>
  <si>
    <t>붉은 반지</t>
  </si>
  <si>
    <t>은하의 샘</t>
  </si>
  <si>
    <t>고성능 배터리</t>
  </si>
  <si>
    <t>광기의 노래</t>
  </si>
  <si>
    <t>자애의 펜던트</t>
  </si>
  <si>
    <t>무언의 침</t>
  </si>
  <si>
    <t>피의 석상</t>
  </si>
  <si>
    <t>현혹의 디퓨저</t>
  </si>
  <si>
    <t>또다른 장례용 인형</t>
  </si>
  <si>
    <t>낡은 의료 보고서</t>
  </si>
  <si>
    <t>시간 조작 태엽</t>
  </si>
  <si>
    <t>폭식의 상징</t>
  </si>
  <si>
    <t>폭풍의 시작</t>
  </si>
  <si>
    <t>거인의 불타는 심장</t>
  </si>
  <si>
    <t>검은 고양이, 호아비스</t>
  </si>
  <si>
    <t>하늘의 물방울</t>
  </si>
  <si>
    <t>드래곤 그림</t>
  </si>
  <si>
    <t>운명을 엮는 실</t>
  </si>
  <si>
    <t>죽음의 웃음</t>
  </si>
  <si>
    <t>빛의 의지</t>
  </si>
  <si>
    <t>회전목마 오르골</t>
  </si>
  <si>
    <t>원초의 저주</t>
  </si>
  <si>
    <t>영혼의 눈물</t>
  </si>
  <si>
    <t>마의 팔괘</t>
  </si>
  <si>
    <t>월광의 피아노</t>
  </si>
  <si>
    <t>순수의 열쇠</t>
  </si>
  <si>
    <t>신룡의 귀걸이</t>
  </si>
  <si>
    <t>희생의 검</t>
  </si>
  <si>
    <t>원색의 프리즘</t>
  </si>
  <si>
    <t>애셴노바</t>
  </si>
  <si>
    <t>백은의 심장</t>
  </si>
  <si>
    <t>번개의 장갑</t>
  </si>
  <si>
    <t>축복의 거울</t>
  </si>
  <si>
    <t>기적의 탄생</t>
  </si>
  <si>
    <t>미라의 꿈</t>
  </si>
  <si>
    <t>고대 연구의 도면</t>
  </si>
  <si>
    <t>피의 안정제</t>
  </si>
  <si>
    <t>수상한 칩</t>
  </si>
  <si>
    <t>정의의 마음</t>
  </si>
  <si>
    <t>평온의 시간</t>
  </si>
  <si>
    <t>하운드 조장 임명장</t>
  </si>
  <si>
    <t>생체 식별기 - TYPE 0</t>
  </si>
  <si>
    <t>용의 서</t>
  </si>
  <si>
    <t>보내지 못한 편지</t>
  </si>
  <si>
    <t>황금의 영광</t>
  </si>
  <si>
    <t>위험한 과자 세트</t>
  </si>
  <si>
    <t>투지의 압박 붕대</t>
  </si>
  <si>
    <t>길드 결산 보고서</t>
  </si>
  <si>
    <t>아버지의 방패</t>
  </si>
  <si>
    <t>영광의 앞치마</t>
  </si>
  <si>
    <t>불길한 매니큐어</t>
  </si>
  <si>
    <t>바람의 깃털</t>
  </si>
  <si>
    <t>최연소 무공훈장</t>
  </si>
  <si>
    <t>세키레이넬 역사서</t>
  </si>
  <si>
    <t>조잡한 창</t>
  </si>
  <si>
    <t>병사의 창</t>
  </si>
  <si>
    <t>호위대의 창</t>
  </si>
  <si>
    <t>사냥꾼의 창</t>
  </si>
  <si>
    <t>뾰족한 창</t>
  </si>
  <si>
    <t>드라이어드의 창</t>
  </si>
  <si>
    <t>숲의 장창</t>
  </si>
  <si>
    <t>정령술사의 창</t>
  </si>
  <si>
    <t>수호대의 장창</t>
  </si>
  <si>
    <t>오크 기수의 창</t>
  </si>
  <si>
    <t>분쇄하는 야수 장창</t>
  </si>
  <si>
    <t>기사의 창</t>
  </si>
  <si>
    <t>회심의 화염 랜스</t>
  </si>
  <si>
    <t>근성의 냉기 랜스</t>
  </si>
  <si>
    <t>불굴의 맹독 랜스</t>
  </si>
  <si>
    <t>신속의 어둠 랜스</t>
  </si>
  <si>
    <t>핏빛 무늬 창</t>
  </si>
  <si>
    <t>고통 망각의 창</t>
  </si>
  <si>
    <t>썩은 가시 창</t>
  </si>
  <si>
    <t>돌격 기마대의 장창</t>
  </si>
  <si>
    <t>검은트렌트의 창</t>
  </si>
  <si>
    <t>다크엘프의 장창</t>
  </si>
  <si>
    <t>예식용 장창</t>
  </si>
  <si>
    <t>달빛의 수호창</t>
  </si>
  <si>
    <t>이민족의 장창</t>
  </si>
  <si>
    <t>리자드맨 삼지창</t>
  </si>
  <si>
    <t>오아시스의 창</t>
  </si>
  <si>
    <t>거대전갈 장창</t>
  </si>
  <si>
    <t>고대 정복자의 랜스</t>
  </si>
  <si>
    <t>고대 사냥꾼의 창(욕망)</t>
  </si>
  <si>
    <t>고대 정령술사의 창(바람)</t>
  </si>
  <si>
    <t>고대 기사의 창(투사)</t>
  </si>
  <si>
    <t>고대 돌격 기마대의 장창(고갈)</t>
  </si>
  <si>
    <t>고대 달빛의 수호창(달빛)</t>
  </si>
  <si>
    <t>만티코어 랜스</t>
  </si>
  <si>
    <t>혼돈의 마수 랜스</t>
  </si>
  <si>
    <t>서리나무 창</t>
  </si>
  <si>
    <t>바바리안의 랜스</t>
  </si>
  <si>
    <t>서리거인의 랜스</t>
  </si>
  <si>
    <t>울부짖는 서리늑대 창</t>
  </si>
  <si>
    <t>고대 거대전갈 장창(광기)</t>
  </si>
  <si>
    <t>고대 울부짖는 서리늑대 창(빙하)</t>
  </si>
  <si>
    <t>녹슨 대검</t>
  </si>
  <si>
    <t>용병 대장의 검</t>
  </si>
  <si>
    <t>병사의 대검</t>
  </si>
  <si>
    <t>칼날 바람 대검</t>
  </si>
  <si>
    <t>정령 대검</t>
  </si>
  <si>
    <t>가벼운 대검</t>
  </si>
  <si>
    <t>장식용 대검</t>
  </si>
  <si>
    <t>검투사의 대검</t>
  </si>
  <si>
    <t>하늘 순풍 대검</t>
  </si>
  <si>
    <t>회심의 화염 대검</t>
  </si>
  <si>
    <t>근성의 냉기 대검</t>
  </si>
  <si>
    <t>불굴의 맹독 대검</t>
  </si>
  <si>
    <t>신속의 어둠 대검</t>
  </si>
  <si>
    <t>고급 장식 장검</t>
  </si>
  <si>
    <t>기사단의 대검</t>
  </si>
  <si>
    <t>죽음의 대검</t>
  </si>
  <si>
    <t>달빛 장검</t>
  </si>
  <si>
    <t>마법 새김 장검</t>
  </si>
  <si>
    <t>사령관의 대검</t>
  </si>
  <si>
    <t>야수의 눈 장검</t>
  </si>
  <si>
    <t>이민족의 대도</t>
  </si>
  <si>
    <t>리자드맨 톱날검</t>
  </si>
  <si>
    <t>리자드맨 전사의 대검</t>
  </si>
  <si>
    <t>사자갈기 대검</t>
  </si>
  <si>
    <t>고대 정복자의 대검</t>
  </si>
  <si>
    <t>고대 용병 대장의 검(욕망)</t>
  </si>
  <si>
    <t>고대 정령 대검(바람)</t>
  </si>
  <si>
    <t>고대 하늘 순풍 대검(투사)</t>
  </si>
  <si>
    <t>고대 죽음의 대검(고갈)</t>
  </si>
  <si>
    <t>고대 야수의 눈 장검(달빛)</t>
  </si>
  <si>
    <t>만티코어 대검</t>
  </si>
  <si>
    <t>혼돈의 마수 대검</t>
  </si>
  <si>
    <t>서리나무 도끼</t>
  </si>
  <si>
    <t>바바리안의 쌍도끼</t>
  </si>
  <si>
    <t>서리거인의 대검</t>
  </si>
  <si>
    <t>투명한 얼음의 검</t>
  </si>
  <si>
    <t>고대 사자갈기 대검(광기)</t>
  </si>
  <si>
    <t>고대 투명한 얼음의 검(빙하)</t>
  </si>
  <si>
    <t>단검</t>
  </si>
  <si>
    <t>고블린의 검</t>
  </si>
  <si>
    <t>전투용 쌍검</t>
  </si>
  <si>
    <t>은빛 쌍장검</t>
  </si>
  <si>
    <t>수련용 쌍검</t>
  </si>
  <si>
    <t>강철 단검</t>
  </si>
  <si>
    <t>암살용 단검</t>
  </si>
  <si>
    <t>깃털 단검</t>
  </si>
  <si>
    <t>날카로운 단검</t>
  </si>
  <si>
    <t>민병대 단검</t>
  </si>
  <si>
    <t>착란의 이도</t>
  </si>
  <si>
    <t>명예 순찰자의 단검</t>
  </si>
  <si>
    <t>회심의 화염 단검</t>
  </si>
  <si>
    <t>근성의 냉기 단검</t>
  </si>
  <si>
    <t>불굴의 맹독 단검</t>
  </si>
  <si>
    <t>신속의 어둠 단검</t>
  </si>
  <si>
    <t>뼈로 된 쌍검</t>
  </si>
  <si>
    <t>해골장식 단검</t>
  </si>
  <si>
    <t>최악의 한쌍</t>
  </si>
  <si>
    <t>검은빛 흑단검</t>
  </si>
  <si>
    <t>다크엘프의 단도</t>
  </si>
  <si>
    <t>고대의 마법 단도</t>
  </si>
  <si>
    <t>영혼 약탈자의 단검</t>
  </si>
  <si>
    <t>해와 달 쌍검</t>
  </si>
  <si>
    <t>도굴꾼 단검</t>
  </si>
  <si>
    <t>리자드맨 쌍검</t>
  </si>
  <si>
    <t>주술사 단검</t>
  </si>
  <si>
    <t>은사의 쌍장검</t>
  </si>
  <si>
    <t>고대 정복자의 단검</t>
  </si>
  <si>
    <t>고대 은빛 쌍장검(욕망)</t>
  </si>
  <si>
    <t>고대 깃털 단검(바람)</t>
  </si>
  <si>
    <t>고대 명예 순찰자의 단검(투사)</t>
  </si>
  <si>
    <t>고대 검은빛 흑단검(고갈)</t>
  </si>
  <si>
    <t>고대 해와 달 쌍검(달빛)</t>
  </si>
  <si>
    <t>만티코어 쌍검</t>
  </si>
  <si>
    <t>혼돈의 마수 쌍검</t>
  </si>
  <si>
    <t>서리나무 단검</t>
  </si>
  <si>
    <t>서리하피의 쌍장검</t>
  </si>
  <si>
    <t>서리트렌트의 뿌리단검</t>
  </si>
  <si>
    <t>절대영도의 비수</t>
  </si>
  <si>
    <t>고대 은사의 쌍장검(광기)</t>
  </si>
  <si>
    <t>고대 절대영도의 비수(빙하)</t>
  </si>
  <si>
    <t>작은 석궁</t>
  </si>
  <si>
    <t>특수 고블린 석궁</t>
  </si>
  <si>
    <t>사냥용 석궁</t>
  </si>
  <si>
    <t>큰 석궁</t>
  </si>
  <si>
    <t>하피의 바람 활</t>
  </si>
  <si>
    <t>포식자의 석궁</t>
  </si>
  <si>
    <t>정교한 석궁</t>
  </si>
  <si>
    <t>사냥꾼의 개조 석궁</t>
  </si>
  <si>
    <t>회심의 화염 장궁</t>
  </si>
  <si>
    <t>근성의 냉기 장궁</t>
  </si>
  <si>
    <t>불굴의 맹독 장궁</t>
  </si>
  <si>
    <t>신속의 어둠 장궁</t>
  </si>
  <si>
    <t>회전 볼트 석궁</t>
  </si>
  <si>
    <t>피 추적자의 활</t>
  </si>
  <si>
    <t>까마귀 형상 석궁</t>
  </si>
  <si>
    <t>달빛 활</t>
  </si>
  <si>
    <t>빛을 머금은 활</t>
  </si>
  <si>
    <t>이민족의 활</t>
  </si>
  <si>
    <t>리자드맨 활</t>
  </si>
  <si>
    <t>모래바람 석궁</t>
  </si>
  <si>
    <t>독수리 석궁</t>
  </si>
  <si>
    <t>고대 정복자의 장궁</t>
  </si>
  <si>
    <t>고대 사냥용 석궁(욕망)</t>
  </si>
  <si>
    <t>고대 포식자의 석궁(바람)</t>
  </si>
  <si>
    <t>고대 음유시인의 활(투사)</t>
  </si>
  <si>
    <t>고대 까마귀 형상 석궁(고갈)</t>
  </si>
  <si>
    <t>고대 달을 부르는 활(달빛)</t>
  </si>
  <si>
    <t>만티코어 대궁</t>
  </si>
  <si>
    <t>혼돈의 마수 대궁</t>
  </si>
  <si>
    <t>서리나무 활</t>
  </si>
  <si>
    <t>서리하피의 활</t>
  </si>
  <si>
    <t>바바리안의 대형활</t>
  </si>
  <si>
    <t>얼어붙은 영혼의 석궁</t>
  </si>
  <si>
    <t>고대 독수리 석궁(광기)</t>
  </si>
  <si>
    <t>고대 얼어붙은 영혼의 석궁(빙하)</t>
  </si>
  <si>
    <t>조잡한 손대포</t>
  </si>
  <si>
    <t>연습용 조총</t>
  </si>
  <si>
    <t>특수 손대포</t>
  </si>
  <si>
    <t>개조 고블린 대포</t>
  </si>
  <si>
    <t>기계식 조총</t>
  </si>
  <si>
    <t>강철 손대포</t>
  </si>
  <si>
    <t>화약식 손대포</t>
  </si>
  <si>
    <t>멋쟁이 장총</t>
  </si>
  <si>
    <t>정밀한 손대포</t>
  </si>
  <si>
    <t>105식 단포</t>
  </si>
  <si>
    <t>특이한 기계식 손대포</t>
  </si>
  <si>
    <t>악마잡이 소총</t>
  </si>
  <si>
    <t>회심의 화염 소총</t>
  </si>
  <si>
    <t>근성의 냉기 소총</t>
  </si>
  <si>
    <t>불굴의 맹독 소총</t>
  </si>
  <si>
    <t>신속의 어둠 소총</t>
  </si>
  <si>
    <t>뼈다귀 손대포</t>
  </si>
  <si>
    <t>화염 방사 손대포</t>
  </si>
  <si>
    <t>미치광이의 128식 장포</t>
  </si>
  <si>
    <t>분노가 담긴 마총</t>
  </si>
  <si>
    <t>보급형 손대포</t>
  </si>
  <si>
    <t>해적의 105식 장포</t>
  </si>
  <si>
    <t>초 강력 손대포</t>
  </si>
  <si>
    <t>악마식 개조 장총</t>
  </si>
  <si>
    <t>약탈꾼 피스톨</t>
  </si>
  <si>
    <t>호위무사의 손대포</t>
  </si>
  <si>
    <t>저격수의 라이플</t>
  </si>
  <si>
    <t>사막여우의 대포</t>
  </si>
  <si>
    <t>고대 정복자의 소총</t>
  </si>
  <si>
    <t>고대 개조 고블린 대포(욕망)</t>
  </si>
  <si>
    <t>고대 멋쟁이 장총(바람)</t>
  </si>
  <si>
    <t>고대 악마잡이 소총(투사)</t>
  </si>
  <si>
    <t>고대 분노가 담긴 마총(고갈)</t>
  </si>
  <si>
    <t>고대 악마식 개조 장총(달빛)</t>
  </si>
  <si>
    <t>만티코어 장총</t>
  </si>
  <si>
    <t>혼돈의 마수 장총</t>
  </si>
  <si>
    <t>서리나무 장총</t>
  </si>
  <si>
    <t>사냥용 샷건</t>
  </si>
  <si>
    <t>베스피아의 저격총</t>
  </si>
  <si>
    <t>포효하는 빙룡</t>
  </si>
  <si>
    <t>고대 사막여우의 대포(광기)</t>
  </si>
  <si>
    <t>고대 포효하는 빙룡(빙하)</t>
  </si>
  <si>
    <t>붉은 장식 지팡이</t>
  </si>
  <si>
    <t>마법 지팡이</t>
  </si>
  <si>
    <t>꽃이 달린 마법봉</t>
  </si>
  <si>
    <t>마법학교 지휘봉</t>
  </si>
  <si>
    <t>마도사의 마법봉</t>
  </si>
  <si>
    <t>주술사의 마법봉</t>
  </si>
  <si>
    <t>회심의 화염 지팡이</t>
  </si>
  <si>
    <t>근성의 냉기 지팡이</t>
  </si>
  <si>
    <t>불굴의 맹독 지팡이</t>
  </si>
  <si>
    <t>신속의 어둠 지팡이</t>
  </si>
  <si>
    <t>해골 지팡이</t>
  </si>
  <si>
    <t>암흑사제의 지팡이</t>
  </si>
  <si>
    <t>성스러운 빛의 지팡이</t>
  </si>
  <si>
    <t>검은 나무 지팡이</t>
  </si>
  <si>
    <t>도금된 고급 마법봉</t>
  </si>
  <si>
    <t>번갯가지 마법봉</t>
  </si>
  <si>
    <t>달빛 마법 지팡이</t>
  </si>
  <si>
    <t>야자수 지팡이</t>
  </si>
  <si>
    <t>리자드맨 주술봉</t>
  </si>
  <si>
    <t>환영술사의 마법봉</t>
  </si>
  <si>
    <t>스카라베 지팡이</t>
  </si>
  <si>
    <t>고대 정복자의 지팡이</t>
  </si>
  <si>
    <t>고대 마법 지팡이(욕망)</t>
  </si>
  <si>
    <t>고대 마도사의 마법봉(바람)</t>
  </si>
  <si>
    <t>고대 주술사의 마법봉(투사)</t>
  </si>
  <si>
    <t>고대 성스러운 빛의 지팡이(고갈)</t>
  </si>
  <si>
    <t>고대 달빛 마법 지팡이(달빛)</t>
  </si>
  <si>
    <t>만티코어 지팡이</t>
  </si>
  <si>
    <t>혼돈의 마수 지팡이</t>
  </si>
  <si>
    <t>서리나무 완드</t>
  </si>
  <si>
    <t>눈가루 완드</t>
  </si>
  <si>
    <t>얼어붙은 지팡이</t>
  </si>
  <si>
    <t>휘몰아치는 눈바람 지팡이</t>
  </si>
  <si>
    <t>고대 스카라베 지팡이(광기)</t>
  </si>
  <si>
    <t>고대 휘몰아치는 눈바람 지팡이(빙하)</t>
  </si>
  <si>
    <t>사슬 갑옷</t>
  </si>
  <si>
    <t>날카로운 미늘 갑옷</t>
  </si>
  <si>
    <t>모험자의 갑옷</t>
  </si>
  <si>
    <t>튼튼한 갑옷</t>
  </si>
  <si>
    <t>질긴 사슬 갑옷</t>
  </si>
  <si>
    <t>투쟁의 사슬 갑옷</t>
  </si>
  <si>
    <t>고원의 사슬 갑옷</t>
  </si>
  <si>
    <t>특수 강철 갑옷</t>
  </si>
  <si>
    <t>오크 대장의 미늘갑</t>
  </si>
  <si>
    <t>회심의 화염 판금 갑옷</t>
  </si>
  <si>
    <t>근성의 냉기 판금 갑옷</t>
  </si>
  <si>
    <t>불굴의 맹독 판금 갑옷</t>
  </si>
  <si>
    <t>신속의 어둠 판금 갑옷</t>
  </si>
  <si>
    <t>수습 기사의 갑옷</t>
  </si>
  <si>
    <t>매끈한 강철 갑옷</t>
  </si>
  <si>
    <t>검은 사슬 갑옷</t>
  </si>
  <si>
    <t>해골 기사의 갑옷</t>
  </si>
  <si>
    <t>얇은 판금갑옷</t>
  </si>
  <si>
    <t>가시 미늘 갑옷</t>
  </si>
  <si>
    <t>기사단 갑옷</t>
  </si>
  <si>
    <t>푸른 초승달 갑옷</t>
  </si>
  <si>
    <t>사막전사 갑옷</t>
  </si>
  <si>
    <t>리자드맨 판금 갑옷</t>
  </si>
  <si>
    <t>거대전갈 갑주</t>
  </si>
  <si>
    <t>신왕의 갑옷</t>
  </si>
  <si>
    <t>고대 정복자의 판금 갑옷</t>
  </si>
  <si>
    <t>고대 날카로운 미늘 갑옷(욕망)</t>
  </si>
  <si>
    <t>고대 투쟁의 사슬 갑옷(바람)</t>
  </si>
  <si>
    <t>고대 오크 대장의 미늘갑(투사)</t>
  </si>
  <si>
    <t>고대 해골 기사의 갑옷(고갈)</t>
  </si>
  <si>
    <t>고대 푸른 초승달 갑옷(달빛)</t>
  </si>
  <si>
    <t>만티코어 판금갑옷</t>
  </si>
  <si>
    <t>혼돈의 마수 판금갑옷</t>
  </si>
  <si>
    <t>서리나무 아머</t>
  </si>
  <si>
    <t>서리거인의 단단한 갑주</t>
  </si>
  <si>
    <t>냉기의 판금갑옷</t>
  </si>
  <si>
    <t>얼음 폭풍의 갑옷</t>
  </si>
  <si>
    <t>고대 신왕의 갑옷(광기)</t>
  </si>
  <si>
    <t>고대 얼음 폭풍의 갑옷(빙하)</t>
  </si>
  <si>
    <t>덧댄 가죽 갑옷</t>
  </si>
  <si>
    <t>거친 멧돼지 가죽 갑옷</t>
  </si>
  <si>
    <t>검은 화약 제조 재킷</t>
  </si>
  <si>
    <t>정찰용 가죽 갑옷</t>
  </si>
  <si>
    <t>엘프 전사의 옷</t>
  </si>
  <si>
    <t>하피 깃털 가죽 재킷</t>
  </si>
  <si>
    <t>바람 걸음 코트</t>
  </si>
  <si>
    <t>날렵한 가죽 튜닉</t>
  </si>
  <si>
    <t>고원의 가죽 갑옷</t>
  </si>
  <si>
    <t>사냥꾼의 가죽 재킷</t>
  </si>
  <si>
    <t>잿빛 늑대 갑옷</t>
  </si>
  <si>
    <t>회심의 화염 비늘 갑옷</t>
  </si>
  <si>
    <t>근성의 냉기 비늘 갑옷</t>
  </si>
  <si>
    <t>불굴의 맹독 비늘 갑옷</t>
  </si>
  <si>
    <t>신속의 어둠 비늘 갑옷</t>
  </si>
  <si>
    <t>해골 장식 가죽 재킷</t>
  </si>
  <si>
    <t>인간 사냥꾼의 갑옷</t>
  </si>
  <si>
    <t>칼날 주머니 잿빛 조끼</t>
  </si>
  <si>
    <t>세련된 가죽 튜닉</t>
  </si>
  <si>
    <t>암살자의 가죽 갑옷</t>
  </si>
  <si>
    <t>달빛 축복의 재킷</t>
  </si>
  <si>
    <t>이민족 재킷</t>
  </si>
  <si>
    <t>사막숨결 조끼</t>
  </si>
  <si>
    <t>사막의 암살자 재킷</t>
  </si>
  <si>
    <t>모래바람 후드</t>
  </si>
  <si>
    <t>고대 정복자의 비늘 갑옷</t>
  </si>
  <si>
    <t>고대 검은 화약 제조 재킷(욕망)</t>
  </si>
  <si>
    <t>고대 바람 걸음 코트(바람)</t>
  </si>
  <si>
    <t>고대 잿빛 늑대 갑옷(투사)</t>
  </si>
  <si>
    <t>고대 칼날 주머니 잿빛 조끼(고갈)</t>
  </si>
  <si>
    <t>고대 달빛 축복의 재킷(달빛)</t>
  </si>
  <si>
    <t>만티코어 가죽갑옷</t>
  </si>
  <si>
    <t>혼돈의 마수 가죽갑옷</t>
  </si>
  <si>
    <t>서리나무 경갑</t>
  </si>
  <si>
    <t>설산족의 후드</t>
  </si>
  <si>
    <t>냉기를 머금은 자켓</t>
  </si>
  <si>
    <t>얼어붙은 영혼의 배틀자켓</t>
  </si>
  <si>
    <t>고대 모래바람 후드(광기)</t>
  </si>
  <si>
    <t>고대 얼어붙은 영혼의 배틀자켓(빙하)</t>
  </si>
  <si>
    <t>화려한 조끼</t>
  </si>
  <si>
    <t>의식용 로브</t>
  </si>
  <si>
    <t>파수꾼의 재킷</t>
  </si>
  <si>
    <t>나뭇잎 코트</t>
  </si>
  <si>
    <t>하피 깃털 셔츠</t>
  </si>
  <si>
    <t>멋쟁이 셔츠</t>
  </si>
  <si>
    <t>후드 로브</t>
  </si>
  <si>
    <t>높은 바람 코트</t>
  </si>
  <si>
    <t>회심의 화염 로브</t>
  </si>
  <si>
    <t>근성의 냉기 로브</t>
  </si>
  <si>
    <t>불굴의 맹독 로브</t>
  </si>
  <si>
    <t>신속의 어둠 로브</t>
  </si>
  <si>
    <t>수습 사제의 의복</t>
  </si>
  <si>
    <t>귀족의 예절 의복</t>
  </si>
  <si>
    <t>뼈장식 코트</t>
  </si>
  <si>
    <t>가시 나무 로브</t>
  </si>
  <si>
    <t>사제의 로브</t>
  </si>
  <si>
    <t>검은 밤의 로브</t>
  </si>
  <si>
    <t>달빛 셔츠</t>
  </si>
  <si>
    <t>고위신관 의복</t>
  </si>
  <si>
    <t>갈증의 의복</t>
  </si>
  <si>
    <t>붉은모래 로브</t>
  </si>
  <si>
    <t>리자드맨 주술사 로브</t>
  </si>
  <si>
    <t>태양의 로브</t>
  </si>
  <si>
    <t>고대 정복자의 로브</t>
  </si>
  <si>
    <t>고대 의식용 로브(욕망)</t>
  </si>
  <si>
    <t>고대 하피 깃털 셔츠(바람)</t>
  </si>
  <si>
    <t>고대 높은 바람 코트(투사)</t>
  </si>
  <si>
    <t>고대 가시 나무 로브(고갈)</t>
  </si>
  <si>
    <t>고대 고위신관 의복(달빛)</t>
  </si>
  <si>
    <t>만티코어 로브</t>
  </si>
  <si>
    <t>혼돈의 마수 로브</t>
  </si>
  <si>
    <t>서리덤불 셔츠</t>
  </si>
  <si>
    <t>보온의 로브</t>
  </si>
  <si>
    <t>냉혹한 주술사의 로브</t>
  </si>
  <si>
    <t>눈꽃송이의 눈부신 로브</t>
  </si>
  <si>
    <t>고대 태양의 로브(광기)</t>
  </si>
  <si>
    <t>고대 눈꽃송이의 눈부신 로브(빙하)</t>
  </si>
  <si>
    <t>훈련용 완갑</t>
  </si>
  <si>
    <t>나무 방패</t>
  </si>
  <si>
    <t>전사의 투구</t>
  </si>
  <si>
    <t>강철 완갑</t>
  </si>
  <si>
    <t>사슬 투구</t>
  </si>
  <si>
    <t>강철 방패</t>
  </si>
  <si>
    <t>대지의 완갑</t>
  </si>
  <si>
    <t>하피 전사의 투구</t>
  </si>
  <si>
    <t>청동 완갑</t>
  </si>
  <si>
    <t>오크 전사 방패</t>
  </si>
  <si>
    <t>뱀 머리 투구</t>
  </si>
  <si>
    <t>생명의 방패</t>
  </si>
  <si>
    <t>회심의 화염 방패</t>
  </si>
  <si>
    <t>근성의 냉기 방패</t>
  </si>
  <si>
    <t>불굴의 맹독 방패</t>
  </si>
  <si>
    <t>신속의 어둠 방패</t>
  </si>
  <si>
    <t>병사용 방패</t>
  </si>
  <si>
    <t>뼈 방패</t>
  </si>
  <si>
    <t>옛 병사의 투구</t>
  </si>
  <si>
    <t>고통의 완갑</t>
  </si>
  <si>
    <t>가시 방패</t>
  </si>
  <si>
    <t>룬무늬 완갑</t>
  </si>
  <si>
    <t>푸른 금속 투구</t>
  </si>
  <si>
    <t>죽음 불꽃 방패</t>
  </si>
  <si>
    <t>모래 투구</t>
  </si>
  <si>
    <t>리자드맨의 방패</t>
  </si>
  <si>
    <t>전갈껍질 투구</t>
  </si>
  <si>
    <t>유적의 완갑</t>
  </si>
  <si>
    <t>고대 정복자의 방패</t>
  </si>
  <si>
    <t>고대 강철 완갑(욕망)</t>
  </si>
  <si>
    <t>고대 하피 전사의 투구(바람)</t>
  </si>
  <si>
    <t>고대 생명의 방패(투사)</t>
  </si>
  <si>
    <t>고대 고통의 완갑(고갈)</t>
  </si>
  <si>
    <t>고대 죽음 불꽃 방패(달빛)</t>
  </si>
  <si>
    <t>만티코어 방패</t>
  </si>
  <si>
    <t>혼돈의 마수 방패</t>
  </si>
  <si>
    <t>서리 낀 방패</t>
  </si>
  <si>
    <t>바바리안 투구</t>
  </si>
  <si>
    <t>서리호랑이 가죽 완갑</t>
  </si>
  <si>
    <t>거인 왕의 투구</t>
  </si>
  <si>
    <t>고대 유적의 완갑(광기)</t>
  </si>
  <si>
    <t>고대 거인 왕의 투구(빙하)</t>
  </si>
  <si>
    <t>가죽 신발</t>
  </si>
  <si>
    <t>방랑자의 망토</t>
  </si>
  <si>
    <t>늑대 가죽 망토</t>
  </si>
  <si>
    <t>선구자의 장화</t>
  </si>
  <si>
    <t>가죽 장갑</t>
  </si>
  <si>
    <t>잎새 장화</t>
  </si>
  <si>
    <t>대지의 망토</t>
  </si>
  <si>
    <t>칼날 바람 장갑</t>
  </si>
  <si>
    <t>긴 가죽 부츠</t>
  </si>
  <si>
    <t>명인의 가죽 장화</t>
  </si>
  <si>
    <t>모험가의 망토</t>
  </si>
  <si>
    <t>톱날 가시 망토</t>
  </si>
  <si>
    <t>회심의 화염 가죽 망토</t>
  </si>
  <si>
    <t>근성의 냉기 가죽 망토</t>
  </si>
  <si>
    <t>불굴의 맹독 가죽 망토</t>
  </si>
  <si>
    <t>신속의 어둠 가죽 망토</t>
  </si>
  <si>
    <t>송곳니 장갑</t>
  </si>
  <si>
    <t>정찰병의 망토</t>
  </si>
  <si>
    <t>붉은 가시 장갑</t>
  </si>
  <si>
    <t>사신의 장갑</t>
  </si>
  <si>
    <t>고급 부츠</t>
  </si>
  <si>
    <t>징박힌 가죽 장갑</t>
  </si>
  <si>
    <t>푸른빛 가죽 망토</t>
  </si>
  <si>
    <t>광분의 장갑</t>
  </si>
  <si>
    <t>목마름의 장갑</t>
  </si>
  <si>
    <t>사막바람 부츠</t>
  </si>
  <si>
    <t>날선 바람의 모자</t>
  </si>
  <si>
    <t>열사풍 망토</t>
  </si>
  <si>
    <t>고대 정복자의 망토</t>
  </si>
  <si>
    <t>고대 선구자의 장화(욕망)</t>
  </si>
  <si>
    <t>고대 칼날 바람 장갑(바람)</t>
  </si>
  <si>
    <t>고대 톱날 가시 망토(투사)</t>
  </si>
  <si>
    <t>고대 사신의 장갑(고갈)</t>
  </si>
  <si>
    <t>고대 광분의 장갑(달빛)</t>
  </si>
  <si>
    <t>만티코어 가죽완갑</t>
  </si>
  <si>
    <t>혼돈의 마수 가죽완갑</t>
  </si>
  <si>
    <t>얼어붙은 망토</t>
  </si>
  <si>
    <t>냉기를 담은 부츠</t>
  </si>
  <si>
    <t>푸른 얼음조각 후드</t>
  </si>
  <si>
    <t>시퍼런 냉기의 장갑</t>
  </si>
  <si>
    <t>고대 열사풍 망토(광기)</t>
  </si>
  <si>
    <t>고대 시퍼런 냉기의 장갑(빙하)</t>
  </si>
  <si>
    <t>여행자 모자</t>
  </si>
  <si>
    <t>견습 마법사 모자</t>
  </si>
  <si>
    <t>은 써클릿</t>
  </si>
  <si>
    <t>날개 장식 신발</t>
  </si>
  <si>
    <t>고깔 모자</t>
  </si>
  <si>
    <t>꽃으로 엮은 관</t>
  </si>
  <si>
    <t>하피 깃털 모자</t>
  </si>
  <si>
    <t>엘프 마법 장갑</t>
  </si>
  <si>
    <t>붉은 천 장갑</t>
  </si>
  <si>
    <t>발라클라바</t>
  </si>
  <si>
    <t>금 써클릿</t>
  </si>
  <si>
    <t>푸른 장식 모자</t>
  </si>
  <si>
    <t>회심의 화염 모자</t>
  </si>
  <si>
    <t>근성의 냉기 모자</t>
  </si>
  <si>
    <t>불굴의 맹독 모자</t>
  </si>
  <si>
    <t>신속의 어둠 모자</t>
  </si>
  <si>
    <t>붉은 머플러</t>
  </si>
  <si>
    <t>해골이 그려진 망토</t>
  </si>
  <si>
    <t>보석 박힌 금 써클릿</t>
  </si>
  <si>
    <t>검은 깃털 모자</t>
  </si>
  <si>
    <t>마법사 머플러</t>
  </si>
  <si>
    <t>푸른 금속 써클릿</t>
  </si>
  <si>
    <t>마법학자의 깃챙모자</t>
  </si>
  <si>
    <t>은하수 망토</t>
  </si>
  <si>
    <t>붉은모래 부츠</t>
  </si>
  <si>
    <t>학습의 망토</t>
  </si>
  <si>
    <t>금빛 자수 망토</t>
  </si>
  <si>
    <t>개척자 모자</t>
  </si>
  <si>
    <t>고대 정복자의 모자</t>
  </si>
  <si>
    <t>고대 날개 장식 신발(욕망)</t>
  </si>
  <si>
    <t>고대 엘프 마법 장갑(바람)</t>
  </si>
  <si>
    <t>고대 푸른 장식 모자(투사)</t>
  </si>
  <si>
    <t>고대 검은 깃털 모자(고갈)</t>
  </si>
  <si>
    <t>고대 은하수 망토(달빛)</t>
  </si>
  <si>
    <t>만티코어 모자</t>
  </si>
  <si>
    <t>혼돈의 마수 모자</t>
  </si>
  <si>
    <t>서리덤블 두건</t>
  </si>
  <si>
    <t>얼어붙은 마법사의 모자</t>
  </si>
  <si>
    <t>서리 하피의 서클릿</t>
  </si>
  <si>
    <t>눈폭풍의 왕관</t>
  </si>
  <si>
    <t>고대 개척자 모자(광기)</t>
  </si>
  <si>
    <t>고대 눈폭풍의 왕관(빙하)</t>
  </si>
  <si>
    <t>평범한 구리반지</t>
  </si>
  <si>
    <t>호박석 반지</t>
  </si>
  <si>
    <t>루비 반지</t>
  </si>
  <si>
    <t>사파이어 반지</t>
  </si>
  <si>
    <t>마력이 담긴 반지</t>
  </si>
  <si>
    <t>영혼 수호자의 반지</t>
  </si>
  <si>
    <t>축복의 반지</t>
  </si>
  <si>
    <t>요술사의 마법 반지</t>
  </si>
  <si>
    <t>강인함의 반지</t>
  </si>
  <si>
    <t>오크 전투 반지</t>
  </si>
  <si>
    <t>약속의 반지</t>
  </si>
  <si>
    <t>지혜가 담긴 반지</t>
  </si>
  <si>
    <t>해골장식 반지</t>
  </si>
  <si>
    <t>푸른 불꽃 반지</t>
  </si>
  <si>
    <t>가시 반지</t>
  </si>
  <si>
    <t>룬 지식의 반지</t>
  </si>
  <si>
    <t>보랏빛 신비 반지</t>
  </si>
  <si>
    <t>달 눈물 반지</t>
  </si>
  <si>
    <t>순금 반지</t>
  </si>
  <si>
    <t>오아시스의 반지</t>
  </si>
  <si>
    <t>생명의 반지</t>
  </si>
  <si>
    <t>운명의 표식</t>
  </si>
  <si>
    <t>회심의 화염 반지</t>
  </si>
  <si>
    <t>근성의 냉기 반지</t>
  </si>
  <si>
    <t>불굴의 맹독 반지</t>
  </si>
  <si>
    <t>신속의 어둠 반지</t>
  </si>
  <si>
    <t>고대 정복자의 반지</t>
  </si>
  <si>
    <t>고대 사파이어 반지(욕망)</t>
  </si>
  <si>
    <t>고대 축복의 반지(바람)</t>
  </si>
  <si>
    <t>고대 약속의 반지(투사)</t>
  </si>
  <si>
    <t>고대 사신의 반지(고갈)</t>
  </si>
  <si>
    <t>고대 달 눈물 반지(달빛)</t>
  </si>
  <si>
    <t>만티코어 반지</t>
  </si>
  <si>
    <t>혼돈의 마수 반지</t>
  </si>
  <si>
    <t>바바리안의 투박한 반지</t>
  </si>
  <si>
    <t>얼음결정 반지</t>
  </si>
  <si>
    <t>서리거인의 반지</t>
  </si>
  <si>
    <t>빙룡의 발톱</t>
  </si>
  <si>
    <t>고대 운명의 표식(광기)</t>
  </si>
  <si>
    <t>고대 빙룡의 발톱(빙하)</t>
  </si>
  <si>
    <t>장식용 귀고리</t>
  </si>
  <si>
    <t>은 귀고리</t>
  </si>
  <si>
    <t>사슬 귀고리</t>
  </si>
  <si>
    <t>금 귀고리</t>
  </si>
  <si>
    <t>나비장식 귀고리</t>
  </si>
  <si>
    <t>정령의 귀고리</t>
  </si>
  <si>
    <t>깊은대지 귀고리</t>
  </si>
  <si>
    <t>골렘근성의 귀고리</t>
  </si>
  <si>
    <t>수호석 귀고리</t>
  </si>
  <si>
    <t>사파이어 귀고리</t>
  </si>
  <si>
    <t>강철칼날 귀고리</t>
  </si>
  <si>
    <t>천둥 귀고리</t>
  </si>
  <si>
    <t>검은 가시 귀고리</t>
  </si>
  <si>
    <t>고급 세공 귀고리</t>
  </si>
  <si>
    <t>다이아몬드 귀고리</t>
  </si>
  <si>
    <t>죽음 불꽃 귀고리</t>
  </si>
  <si>
    <t>룬 귀고리</t>
  </si>
  <si>
    <t>루비 귀고리</t>
  </si>
  <si>
    <t>신성의 귀고리</t>
  </si>
  <si>
    <t>피 눈물 귀고리</t>
  </si>
  <si>
    <t>순금 귀걸이</t>
  </si>
  <si>
    <t>톱니이빨 귀걸이</t>
  </si>
  <si>
    <t>명계의 귀걸이</t>
  </si>
  <si>
    <t>스카라베 귀걸이</t>
  </si>
  <si>
    <t>회심의 화염 귀고리</t>
  </si>
  <si>
    <t>근성의 냉기 귀고리</t>
  </si>
  <si>
    <t>불굴의 맹독 귀고리</t>
  </si>
  <si>
    <t>신속의 어둠 귀고리</t>
  </si>
  <si>
    <t>고대 정복자의 귀고리</t>
  </si>
  <si>
    <t>고대 금 귀고리(욕망)</t>
  </si>
  <si>
    <t>고대 골렘근성의 귀고리(바람)</t>
  </si>
  <si>
    <t>고대 천둥 귀고리(투사)</t>
  </si>
  <si>
    <t>고대 죽음 불꽃 귀고리(고갈)</t>
  </si>
  <si>
    <t>고대 피 눈물 귀고리(달빛)</t>
  </si>
  <si>
    <t>만티코어 귀고리</t>
  </si>
  <si>
    <t>혼돈의 마수 귀고리</t>
  </si>
  <si>
    <t>백은의 귀고리</t>
  </si>
  <si>
    <t>냉기의 귀고리</t>
  </si>
  <si>
    <t>눈꽃송이 귀고리</t>
  </si>
  <si>
    <t>빙룡의 비늘 귀고리</t>
  </si>
  <si>
    <t>고대 스카라베 귀걸이(광기)</t>
  </si>
  <si>
    <t>고대 빙룡의 비늘 귀고리(빙하)</t>
  </si>
  <si>
    <t>싸구려 보석 목걸이</t>
  </si>
  <si>
    <t>늑대이빨 목걸이</t>
  </si>
  <si>
    <t>흑진주 목걸이</t>
  </si>
  <si>
    <t>마나석 목걸이</t>
  </si>
  <si>
    <t>푸른 장미 목걸이</t>
  </si>
  <si>
    <t>파수꾼의 목걸이</t>
  </si>
  <si>
    <t>정령석 목걸이</t>
  </si>
  <si>
    <t>평안의 목걸이</t>
  </si>
  <si>
    <t>독수리장식 목걸이</t>
  </si>
  <si>
    <t>정화의 목걸이</t>
  </si>
  <si>
    <t>신뢰의 목걸이</t>
  </si>
  <si>
    <t>냉혹한 필연의 목걸이</t>
  </si>
  <si>
    <t>에메랄드 목장식</t>
  </si>
  <si>
    <t>별이 낳은 운명</t>
  </si>
  <si>
    <t>룬 목걸이</t>
  </si>
  <si>
    <t>푸른 금속 목걸이</t>
  </si>
  <si>
    <t>끝없는 기쁨의 목걸이</t>
  </si>
  <si>
    <t>별빛을 품은 목장식</t>
  </si>
  <si>
    <t>순금 목걸이</t>
  </si>
  <si>
    <t>리자드맨 주술사 목걸이</t>
  </si>
  <si>
    <t>윤회의 목걸이</t>
  </si>
  <si>
    <t>태양의 광휘</t>
  </si>
  <si>
    <t>회심의 화염 목걸이</t>
  </si>
  <si>
    <t>근성의 냉기 목걸이</t>
  </si>
  <si>
    <t>불굴의 맹독 목걸이</t>
  </si>
  <si>
    <t>신속의 어둠 목걸이</t>
  </si>
  <si>
    <t>고대 정복자의 목걸이</t>
  </si>
  <si>
    <t>고대 마나석 목걸이(욕망)</t>
  </si>
  <si>
    <t>고대 정령석 목걸이(바람)</t>
  </si>
  <si>
    <t>고대 신뢰의 목걸이(투사)</t>
  </si>
  <si>
    <t>고대 별이 낳은 운명(고갈)</t>
  </si>
  <si>
    <t>고대 별빛을 품은 목장식(달빛)</t>
  </si>
  <si>
    <t>만티코어 목걸이</t>
  </si>
  <si>
    <t>혼돈의 마수 목걸이</t>
  </si>
  <si>
    <t>백은의 목걸이</t>
  </si>
  <si>
    <t>바바리안의 목걸이</t>
  </si>
  <si>
    <t>냉기보호의 목걸이</t>
  </si>
  <si>
    <t>서리호랑이의 목걸이</t>
  </si>
  <si>
    <t>고대 태양의 광휘(광기)</t>
  </si>
  <si>
    <t>고대 서리호랑이의 목걸이(빙하)</t>
  </si>
  <si>
    <t>금팔찌</t>
  </si>
  <si>
    <t>강철 팔찌</t>
  </si>
  <si>
    <t>백금 팔찌</t>
  </si>
  <si>
    <t>빛나는 팔색조 팔찌</t>
  </si>
  <si>
    <t>꽃잎 팔찌</t>
  </si>
  <si>
    <t>호수의 팔찌</t>
  </si>
  <si>
    <t>엘프의 팔찌</t>
  </si>
  <si>
    <t>조화의 팔찌</t>
  </si>
  <si>
    <t>화염서리 팔찌</t>
  </si>
  <si>
    <t>완력의 팔찌</t>
  </si>
  <si>
    <t>맹세의 팔찌</t>
  </si>
  <si>
    <t>어둠 팔찌</t>
  </si>
  <si>
    <t>육체 강화 팔찌</t>
  </si>
  <si>
    <t>기묘한 금속 팔찌</t>
  </si>
  <si>
    <t>흉측한 마녀의 고리</t>
  </si>
  <si>
    <t>사슬 팔찌</t>
  </si>
  <si>
    <t>지식의 팔찌</t>
  </si>
  <si>
    <t>악마의 팔찌</t>
  </si>
  <si>
    <t>초승달 팔찌</t>
  </si>
  <si>
    <t>순금 팔찌</t>
  </si>
  <si>
    <t>잊혀진 유적의 팔찌</t>
  </si>
  <si>
    <t>근성의 팔찌</t>
  </si>
  <si>
    <t>하늘의 고리</t>
  </si>
  <si>
    <t>회심의 화염 팔찌</t>
  </si>
  <si>
    <t>근성의 냉기 팔찌</t>
  </si>
  <si>
    <t>불굴의 맹독 팔찌</t>
  </si>
  <si>
    <t>신속의 어둠 팔찌</t>
  </si>
  <si>
    <t>고대 정복자의 팔찌</t>
  </si>
  <si>
    <t>고대 백금 팔찌(욕망)</t>
  </si>
  <si>
    <t>고대 엘프의 팔찌(바람)</t>
  </si>
  <si>
    <t>고대 맹세의 팔찌(투사)</t>
  </si>
  <si>
    <t>고대 흉측한 마녀의 고리(고갈)</t>
  </si>
  <si>
    <t>고대 초승달 팔찌(달빛)</t>
  </si>
  <si>
    <t>만티코어 팔찌</t>
  </si>
  <si>
    <t>혼돈의 마수 팔찌</t>
  </si>
  <si>
    <t>서리늑대 팔찌</t>
  </si>
  <si>
    <t>하피깃털 팔찌</t>
  </si>
  <si>
    <t>얼음결정 팔찌</t>
  </si>
  <si>
    <t>거인의 고리</t>
  </si>
  <si>
    <t>고대 하늘의 고리(광기)</t>
  </si>
  <si>
    <t>고대 거인의 고리(빙하)</t>
  </si>
  <si>
    <t>타락한 보주</t>
  </si>
  <si>
    <t>어둠의 숲 보주</t>
  </si>
  <si>
    <t>여왕의 보주</t>
  </si>
  <si>
    <t>월광석 보주</t>
  </si>
  <si>
    <t>회심의 화염 보주</t>
  </si>
  <si>
    <t>근성의 냉기 보주</t>
  </si>
  <si>
    <t>불굴의 맹독 보주</t>
  </si>
  <si>
    <t>신속의 어둠 보주</t>
  </si>
  <si>
    <t>모래 보주</t>
  </si>
  <si>
    <t>날카로운 비늘 보주</t>
  </si>
  <si>
    <t>미이라의 보주</t>
  </si>
  <si>
    <t>리자드 킹의 보주</t>
  </si>
  <si>
    <t>얼음 보주</t>
  </si>
  <si>
    <t>얼음 늑대 보주</t>
  </si>
  <si>
    <t>얼어붙은 서리의 보주</t>
  </si>
  <si>
    <t>거인왕의 보주</t>
  </si>
  <si>
    <t>고대 정복자의 보주</t>
  </si>
  <si>
    <t>고대 고블린의 보주(욕망)</t>
  </si>
  <si>
    <t>고대 하피의 보주(바람)</t>
  </si>
  <si>
    <t>고대 오크의 보주(투사)</t>
  </si>
  <si>
    <t>고대 언데드의 보주(고갈)</t>
  </si>
  <si>
    <t>고대 월광석 보주(달빛)</t>
  </si>
  <si>
    <t>만티코어 보주</t>
  </si>
  <si>
    <t>혼돈의 마수 보주</t>
  </si>
  <si>
    <t>고대 리자드 킹의 보주(광기)</t>
  </si>
  <si>
    <t>고대 거인왕의 보주(빙하)</t>
  </si>
  <si>
    <t>T3 마법 수정</t>
  </si>
  <si>
    <t>T4 마법 수정</t>
  </si>
  <si>
    <t>T5 마법 수정</t>
  </si>
  <si>
    <t>T6 마법 수정</t>
  </si>
  <si>
    <t>T7 마법 수정</t>
  </si>
  <si>
    <t>T8 마법 수정</t>
  </si>
  <si>
    <t>T3 특수 마법 수정</t>
  </si>
  <si>
    <t>T4 특수 마법 수정</t>
  </si>
  <si>
    <t>T5 특수 마법 수정</t>
  </si>
  <si>
    <t>T6 특수 마법 수정</t>
  </si>
  <si>
    <t>T7 특수 마법 수정</t>
  </si>
  <si>
    <t>T8 특수 마법 수정</t>
  </si>
  <si>
    <t>타오르는 엘프의 화로</t>
  </si>
  <si>
    <t>천년 소의 뿔잔</t>
  </si>
  <si>
    <t>마법 문자 주사위</t>
  </si>
  <si>
    <t>황금 고양이 상</t>
  </si>
  <si>
    <t>고대 문명의 회중시계</t>
  </si>
  <si>
    <t>영웅 입문서</t>
  </si>
  <si>
    <t>에이션트 스코프</t>
  </si>
  <si>
    <t>포효하는 호랑이상</t>
  </si>
  <si>
    <t>여신의 황금 사과</t>
  </si>
  <si>
    <t>고대 왕의 황금 가면</t>
  </si>
  <si>
    <t>귀부인의 청동거울</t>
  </si>
  <si>
    <t>고대 신의 봉인 사슬</t>
  </si>
  <si>
    <t>고블린 가면</t>
  </si>
  <si>
    <t>하피 가면</t>
  </si>
  <si>
    <t>오크 가면</t>
  </si>
  <si>
    <t>다크 엘프 가면</t>
  </si>
  <si>
    <t>악마 왕 가면</t>
  </si>
  <si>
    <t>언데드 가면</t>
  </si>
  <si>
    <t>영혼의 샘물</t>
  </si>
  <si>
    <t>저항의 주술부</t>
  </si>
  <si>
    <t>빛의 심판자 팔찌</t>
  </si>
  <si>
    <t>리자드맨 가면</t>
  </si>
  <si>
    <t>대지의 폭풍</t>
  </si>
  <si>
    <t>대지의 보호</t>
  </si>
  <si>
    <t>대지의 축복</t>
  </si>
  <si>
    <t>대지의 핵</t>
  </si>
  <si>
    <t>서리거인의 가면</t>
  </si>
  <si>
    <t>강인한 신념의 문장</t>
  </si>
  <si>
    <t>암흑의 주술단검</t>
  </si>
  <si>
    <t>상실의 타로카드</t>
  </si>
  <si>
    <t>태양의 돌</t>
  </si>
  <si>
    <t>계약의 구슬</t>
  </si>
  <si>
    <t>흑마술 서적</t>
  </si>
  <si>
    <t>악룡 가면</t>
  </si>
  <si>
    <t>혼령화의 반지</t>
  </si>
  <si>
    <t>희생의 깃털</t>
  </si>
  <si>
    <t>희생의 꽃병</t>
  </si>
  <si>
    <t>암살자의 복면</t>
  </si>
  <si>
    <t>심해의 손톱장식</t>
  </si>
  <si>
    <t>심해의 해일창</t>
  </si>
  <si>
    <t>심해의 주술고리</t>
  </si>
  <si>
    <t>심해의 보호수정</t>
  </si>
  <si>
    <t>불지옥의 대검</t>
  </si>
  <si>
    <t>불지옥의 채찍</t>
  </si>
  <si>
    <t>불지옥의 구속구</t>
  </si>
  <si>
    <t>불지옥의 문</t>
  </si>
  <si>
    <t>광인의 서</t>
  </si>
  <si>
    <t>마술 피리</t>
  </si>
  <si>
    <t>수호의 사자상</t>
  </si>
  <si>
    <t>언짢은 호박머리</t>
  </si>
  <si>
    <t>노여운 호박머리</t>
  </si>
  <si>
    <t>잘익은 칠면조 구이</t>
  </si>
  <si>
    <t>크리스마스 별장식</t>
  </si>
  <si>
    <t>신년 폭죽</t>
  </si>
  <si>
    <t>화려한 단작노리개</t>
  </si>
  <si>
    <t>꼬꼬마 병아리</t>
  </si>
  <si>
    <t>시원한 여름의 별미</t>
  </si>
  <si>
    <t>루루의 목걸이</t>
  </si>
  <si>
    <t>즐거운 호박머리</t>
  </si>
  <si>
    <t>놀란 호박머리</t>
  </si>
  <si>
    <t>신기한 수인 사전</t>
  </si>
  <si>
    <t>여왕의 향수</t>
  </si>
  <si>
    <t>크리스탈 뮤직박스</t>
  </si>
  <si>
    <t>자수정 추</t>
  </si>
  <si>
    <t>영광의 여신상</t>
  </si>
  <si>
    <t>고대 왕국의 조각</t>
  </si>
  <si>
    <t>심연의 눈</t>
  </si>
  <si>
    <t>심연의 왕관</t>
  </si>
  <si>
    <t>심연의 손톱장식</t>
  </si>
  <si>
    <t>따끈한 칠면조 요리</t>
  </si>
  <si>
    <t>성야의 크리스마스 트리</t>
  </si>
  <si>
    <t>신년 축하 팡파레</t>
  </si>
  <si>
    <t>성적 우수상</t>
  </si>
  <si>
    <t>하트 솜사탕</t>
  </si>
  <si>
    <t>고대 신왕의 동전</t>
  </si>
  <si>
    <t>환상의 펜듈럼</t>
  </si>
  <si>
    <t>요리왕의 레시피북</t>
  </si>
  <si>
    <t>유노 특제 보신용 스튜</t>
  </si>
  <si>
    <t>유노 특제 디저트</t>
  </si>
  <si>
    <t>호박에 낀 악령</t>
  </si>
  <si>
    <t>대장간 망치 2호</t>
  </si>
  <si>
    <t>신형 추진기</t>
  </si>
  <si>
    <t>[초보자용] 시원한 여름의 별미</t>
  </si>
  <si>
    <t>[초보자용] 루루의 목걸이</t>
  </si>
  <si>
    <t>수호자의 사크리아스</t>
  </si>
  <si>
    <t>돌격대의 리벨리온</t>
  </si>
  <si>
    <t>해결사의 시르베나</t>
  </si>
  <si>
    <t>저격수의 호루티스</t>
  </si>
  <si>
    <t>발명가의 타르바노스</t>
  </si>
  <si>
    <t>주술사의 왈라커스</t>
  </si>
  <si>
    <t>치유사의 홀로노아</t>
  </si>
  <si>
    <t>수호자의 수티마</t>
  </si>
  <si>
    <t>돌격대의 록티스</t>
  </si>
  <si>
    <t>해결사의 사타니아</t>
  </si>
  <si>
    <t>저격수의 히르나스</t>
  </si>
  <si>
    <t>발명가의 투노스</t>
  </si>
  <si>
    <t>주술사의 위체네메스</t>
  </si>
  <si>
    <t>치유사의 히브라엘</t>
  </si>
  <si>
    <t>수호의 파르비타</t>
  </si>
  <si>
    <t>돌격의 티노람</t>
  </si>
  <si>
    <t>기습의 자픽스</t>
  </si>
  <si>
    <t>저격의 마르세나</t>
  </si>
  <si>
    <t>관통의 볼테녹스</t>
  </si>
  <si>
    <t>폭발의 길테어</t>
  </si>
  <si>
    <t>치유의 수르테마</t>
  </si>
  <si>
    <t>정제된 마력석</t>
  </si>
  <si>
    <t>잿빛 장창</t>
  </si>
  <si>
    <t>흑요석 랜스</t>
  </si>
  <si>
    <t>악룡 랜스</t>
  </si>
  <si>
    <t>폭발의 가시</t>
  </si>
  <si>
    <t>고대 폭발의 가시</t>
  </si>
  <si>
    <t>용암의 랜스</t>
  </si>
  <si>
    <t>잿빛 도끼</t>
  </si>
  <si>
    <t>흑요석 대검</t>
  </si>
  <si>
    <t>악룡도</t>
  </si>
  <si>
    <t>드래곤 어금니</t>
  </si>
  <si>
    <t>고대 드래곤 어금니</t>
  </si>
  <si>
    <t>용암의 대검</t>
  </si>
  <si>
    <t>잿빛 단검</t>
  </si>
  <si>
    <t>흑요석 쌍장검</t>
  </si>
  <si>
    <t>악룡 쌍장검</t>
  </si>
  <si>
    <t>헬하운드 베인</t>
  </si>
  <si>
    <t>고대 헬하운드 베인</t>
  </si>
  <si>
    <t>용암의 쌍검</t>
  </si>
  <si>
    <t>잿빛 석궁</t>
  </si>
  <si>
    <t>흑요석 장궁</t>
  </si>
  <si>
    <t>악룡 대궁</t>
  </si>
  <si>
    <t>피닉스의 날개</t>
  </si>
  <si>
    <t>고대 피닉스의 날개</t>
  </si>
  <si>
    <t>용암의 장궁</t>
  </si>
  <si>
    <t>잿빛 장총</t>
  </si>
  <si>
    <t>흑요석 대포</t>
  </si>
  <si>
    <t>악룡 머스켓</t>
  </si>
  <si>
    <t>용암골렘 마력포</t>
  </si>
  <si>
    <t>고대 용암골렘 마력포</t>
  </si>
  <si>
    <t>용암의 마력포</t>
  </si>
  <si>
    <t>잿빛 완드</t>
  </si>
  <si>
    <t>흑요석 지팡이</t>
  </si>
  <si>
    <t>악룡 완드</t>
  </si>
  <si>
    <t>헬플레임 완드</t>
  </si>
  <si>
    <t>고대 헬플레임 완드</t>
  </si>
  <si>
    <t>용암의 지팡이</t>
  </si>
  <si>
    <t>잿빛 판금갑옷</t>
  </si>
  <si>
    <t>흑요석 판금갑옷</t>
  </si>
  <si>
    <t>악룡 판금갑옷</t>
  </si>
  <si>
    <t>영원의 화염 갑주</t>
  </si>
  <si>
    <t>고대 영원의 화염 갑주</t>
  </si>
  <si>
    <t>용암의 판금갑옷</t>
  </si>
  <si>
    <t>잿빛 비늘갑옷</t>
  </si>
  <si>
    <t>흑요석 비늘갑옷</t>
  </si>
  <si>
    <t>악룡 비늘갑옷</t>
  </si>
  <si>
    <t>지옥의 가죽갑옷</t>
  </si>
  <si>
    <t>고대 지옥의 가죽갑옷</t>
  </si>
  <si>
    <t>용암의 비늘갑옷</t>
  </si>
  <si>
    <t>잿빛 로브</t>
  </si>
  <si>
    <t>흑요석 장식 로브</t>
  </si>
  <si>
    <t>악룡 로브</t>
  </si>
  <si>
    <t>화염장미의 보호</t>
  </si>
  <si>
    <t>고대 화염장미의 보호</t>
  </si>
  <si>
    <t>용암의 로브</t>
  </si>
  <si>
    <t>잿빛 투구</t>
  </si>
  <si>
    <t>흑요석 방패</t>
  </si>
  <si>
    <t>악룡 완갑</t>
  </si>
  <si>
    <t>악귀의 상</t>
  </si>
  <si>
    <t>고대 악귀의 상</t>
  </si>
  <si>
    <t>용암의 방패</t>
  </si>
  <si>
    <t>잿빛 장갑</t>
  </si>
  <si>
    <t>흑요석 부츠</t>
  </si>
  <si>
    <t>악룡 신발</t>
  </si>
  <si>
    <t>용맹의 발톱</t>
  </si>
  <si>
    <t>고대 용맹의 발톱</t>
  </si>
  <si>
    <t>용암의 망토</t>
  </si>
  <si>
    <t>잿빛 모자</t>
  </si>
  <si>
    <t>흑요석 서클릿</t>
  </si>
  <si>
    <t>악룡 서클릿</t>
  </si>
  <si>
    <t>화염의 후드</t>
  </si>
  <si>
    <t>고대 화염의 후드</t>
  </si>
  <si>
    <t>용암의 신발</t>
  </si>
  <si>
    <t>잿빛 반지</t>
  </si>
  <si>
    <t>흑요석 반지</t>
  </si>
  <si>
    <t>악룡 반지</t>
  </si>
  <si>
    <t>고대 지옥의 눈동자</t>
  </si>
  <si>
    <t>용암의 반지</t>
  </si>
  <si>
    <t>잿빛 귀걸이</t>
  </si>
  <si>
    <t>흑요석 귀걸이</t>
  </si>
  <si>
    <t>악룡 귀걸이</t>
  </si>
  <si>
    <t>화룡의 축복</t>
  </si>
  <si>
    <t>고대 화룡의 축복</t>
  </si>
  <si>
    <t>용암의 귀걸이</t>
  </si>
  <si>
    <t>잿빛 목걸이</t>
  </si>
  <si>
    <t>흑요석 목걸이</t>
  </si>
  <si>
    <t>악룡 목걸이</t>
  </si>
  <si>
    <t>오만의 대가</t>
  </si>
  <si>
    <t>고대 오만의 대가</t>
  </si>
  <si>
    <t>용암의 목걸이</t>
  </si>
  <si>
    <t>잿빛 팔찌</t>
  </si>
  <si>
    <t>흑요석 팔찌</t>
  </si>
  <si>
    <t>악룡 팔찌</t>
  </si>
  <si>
    <t>불의 고리</t>
  </si>
  <si>
    <t>고대 불의 고리</t>
  </si>
  <si>
    <t>용암의 팔찌</t>
  </si>
  <si>
    <t>잿빛 보주</t>
  </si>
  <si>
    <t>흑요석 보주</t>
  </si>
  <si>
    <t>악룡 보주</t>
  </si>
  <si>
    <t>화산의 심장</t>
  </si>
  <si>
    <t>고대 화산의 심장</t>
  </si>
  <si>
    <t>용암의 보주</t>
  </si>
  <si>
    <t>전설 폭발의 가시</t>
  </si>
  <si>
    <t>전설 드래곤 어금니</t>
  </si>
  <si>
    <t>전설 헬하운드 베인</t>
  </si>
  <si>
    <t>전설 피닉스의 날개</t>
  </si>
  <si>
    <t>전설 용암골렘 마력포</t>
  </si>
  <si>
    <t>전설 헬플레임 완드</t>
  </si>
  <si>
    <t>전설 영원의 화염 갑주</t>
  </si>
  <si>
    <t>전설 지옥의 가죽갑옷</t>
  </si>
  <si>
    <t>전설 화염장미의 보호</t>
  </si>
  <si>
    <t>전설 악귀의 상</t>
  </si>
  <si>
    <t>전설 용맹의 발톱</t>
  </si>
  <si>
    <t>전설 화염의 후드</t>
  </si>
  <si>
    <t>전설 지옥의 눈동자</t>
  </si>
  <si>
    <t>전설 화룡의 축복</t>
  </si>
  <si>
    <t>전설 오만의 대가</t>
  </si>
  <si>
    <t>전설 불의 고리</t>
  </si>
  <si>
    <t>전설 화산의 심장</t>
  </si>
  <si>
    <t>해와 달의 쌍검</t>
  </si>
  <si>
    <t>붉은 모래 로브</t>
  </si>
  <si>
    <t>사파이어 귀걸이</t>
  </si>
  <si>
    <t>신성 귀걸이</t>
  </si>
  <si>
    <t>얼음 결정 팔찌</t>
  </si>
  <si>
    <t>영웅제압의 랜스</t>
  </si>
  <si>
    <t>영웅제압의 대검</t>
  </si>
  <si>
    <t>영웅제압의 단검</t>
  </si>
  <si>
    <t>영웅제압의 장궁</t>
  </si>
  <si>
    <t>영웅제압의 소총</t>
  </si>
  <si>
    <t>영웅제압의 지팡이</t>
  </si>
  <si>
    <t>영웅제압의 판금 갑옷</t>
  </si>
  <si>
    <t>영웅제압의 비늘 갑옷</t>
  </si>
  <si>
    <t>영웅제압의 로브</t>
  </si>
  <si>
    <t>영웅제압의 방패</t>
  </si>
  <si>
    <t>영웅제압의 망토</t>
  </si>
  <si>
    <t>영웅제압의 모자</t>
  </si>
  <si>
    <t>영웅제압의 반지</t>
  </si>
  <si>
    <t>영웅제압의 귀고리</t>
  </si>
  <si>
    <t>영웅제압의 목걸이</t>
  </si>
  <si>
    <t>영웅제압의 팔찌</t>
  </si>
  <si>
    <t>영웅제압의 보주</t>
  </si>
  <si>
    <t>고대 기사의 창(달빛)</t>
  </si>
  <si>
    <t>고대 검은빛 흑단검(달빛)</t>
  </si>
  <si>
    <t>고대 얼어붙은 영혼의 석궁(달빛)</t>
  </si>
  <si>
    <t>고대 분노가 담긴 마총(달빛)</t>
  </si>
  <si>
    <t>고대 휘몰아치는 눈바람 지팡이(달빛)</t>
  </si>
  <si>
    <t>고대 얼음 폭풍의 갑옷(달빛)</t>
  </si>
  <si>
    <t>고대 바람 걸음 코트(달빛)</t>
  </si>
  <si>
    <t>고대 의식용 로브(달빛)</t>
  </si>
  <si>
    <t>고대 유적의 완갑(달빛)</t>
  </si>
  <si>
    <t>고대 사신의 장갑(달빛)</t>
  </si>
  <si>
    <t>고대 눈폭풍의 왕관(달빛)</t>
  </si>
  <si>
    <t>고대 사신의 반지(달빛)</t>
  </si>
  <si>
    <t>루비 귀걸이</t>
  </si>
  <si>
    <t>고대 천둥 귀고리(달빛)</t>
  </si>
  <si>
    <t>고대 태양의 광휘(달빛)</t>
  </si>
  <si>
    <t>고대 하늘의 고리(달빛)</t>
  </si>
  <si>
    <t>영웅수호의 랜스</t>
  </si>
  <si>
    <t>영웅수호의 대검</t>
  </si>
  <si>
    <t>영웅수호의 단검</t>
  </si>
  <si>
    <t>영웅수호의 장궁</t>
  </si>
  <si>
    <t>영웅수호의 소총</t>
  </si>
  <si>
    <t>영웅수호의 지팡이</t>
  </si>
  <si>
    <t>영웅수호의 판금 갑옷</t>
  </si>
  <si>
    <t>영웅수호의 비늘 갑옷</t>
  </si>
  <si>
    <t>영웅수호의 로브</t>
  </si>
  <si>
    <t>영웅수호의 방패</t>
  </si>
  <si>
    <t>영웅수호의 망토</t>
  </si>
  <si>
    <t>영웅수호의 모자</t>
  </si>
  <si>
    <t>영웅수호의 반지</t>
  </si>
  <si>
    <t>영웅수호의 귀고리</t>
  </si>
  <si>
    <t>영웅수호의 목걸이</t>
  </si>
  <si>
    <t>영웅수호의 팔찌</t>
  </si>
  <si>
    <t>영웅수호의 보주</t>
  </si>
  <si>
    <t>마왕군의 랜스</t>
  </si>
  <si>
    <t>마왕군의 대검</t>
  </si>
  <si>
    <t>마왕군의 단검</t>
  </si>
  <si>
    <t>마왕군의 장궁</t>
  </si>
  <si>
    <t>마왕군의 소총</t>
  </si>
  <si>
    <t>마왕군의 지팡이</t>
  </si>
  <si>
    <t>마왕군의 판금 갑옷</t>
  </si>
  <si>
    <t>마왕군의 비늘 갑옷</t>
  </si>
  <si>
    <t>마왕군의 로브</t>
  </si>
  <si>
    <t>마왕군의 방패</t>
  </si>
  <si>
    <t>마왕군의 망토</t>
  </si>
  <si>
    <t>마왕군의 모자</t>
  </si>
  <si>
    <t>마왕군의 반지</t>
  </si>
  <si>
    <t>마왕군의 귀고리</t>
  </si>
  <si>
    <t>마왕군의 목걸이</t>
  </si>
  <si>
    <t>마왕군의 팔찌</t>
  </si>
  <si>
    <t>마왕군의 보주</t>
  </si>
  <si>
    <t>WEAPON_UNIQUE_XERAH_1</t>
    <phoneticPr fontId="4" type="noConversion"/>
  </si>
  <si>
    <t>11077</t>
    <phoneticPr fontId="4" type="noConversion"/>
  </si>
  <si>
    <t>제라 무기</t>
    <phoneticPr fontId="4" type="noConversion"/>
  </si>
  <si>
    <t>TREASURE_UNIQUE_XERAH_1</t>
    <phoneticPr fontId="4" type="noConversion"/>
  </si>
  <si>
    <t>12077</t>
    <phoneticPr fontId="4" type="noConversion"/>
  </si>
  <si>
    <t>TREASURE_UNIQUE_XERAH_2</t>
    <phoneticPr fontId="4" type="noConversion"/>
  </si>
  <si>
    <t>13077</t>
    <phoneticPr fontId="4" type="noConversion"/>
  </si>
  <si>
    <t>TREASURE_UNIQUE_XERAH_3</t>
    <phoneticPr fontId="4" type="noConversion"/>
  </si>
  <si>
    <t>14077</t>
    <phoneticPr fontId="4" type="noConversion"/>
  </si>
  <si>
    <t>TREASURE_UNIQUE_XERAH_4</t>
    <phoneticPr fontId="4" type="noConversion"/>
  </si>
  <si>
    <t>15077</t>
    <phoneticPr fontId="4" type="noConversion"/>
  </si>
  <si>
    <t>ARTIFACT_UNIQUE_517</t>
    <phoneticPr fontId="4" type="noConversion"/>
  </si>
  <si>
    <t>ARTIFACT_UNIQUE_518</t>
    <phoneticPr fontId="4" type="noConversion"/>
  </si>
  <si>
    <t>ARTIFACT_UNIQUE_519</t>
    <phoneticPr fontId="4" type="noConversion"/>
  </si>
  <si>
    <t>이형의 검</t>
    <phoneticPr fontId="4" type="noConversion"/>
  </si>
  <si>
    <t>이형의 가면</t>
    <phoneticPr fontId="4" type="noConversion"/>
  </si>
  <si>
    <t>이형의 광휘</t>
    <phoneticPr fontId="4" type="noConversion"/>
  </si>
  <si>
    <t>20517</t>
    <phoneticPr fontId="4" type="noConversion"/>
  </si>
  <si>
    <t>20518</t>
    <phoneticPr fontId="4" type="noConversion"/>
  </si>
  <si>
    <t>20519</t>
    <phoneticPr fontId="4" type="noConversion"/>
  </si>
  <si>
    <t>Int</t>
    <phoneticPr fontId="4" type="noConversion"/>
  </si>
  <si>
    <t>String</t>
    <phoneticPr fontId="4" type="noConversion"/>
  </si>
  <si>
    <t>String Array</t>
    <phoneticPr fontId="4" type="noConversion"/>
  </si>
  <si>
    <t>WEAPON_UNIQUE_EVAN_1</t>
  </si>
  <si>
    <t>창조된 작은 어둠, 나브게헨</t>
    <phoneticPr fontId="4" type="noConversion"/>
  </si>
  <si>
    <t>11079</t>
    <phoneticPr fontId="4" type="noConversion"/>
  </si>
  <si>
    <t>에반 무기</t>
    <phoneticPr fontId="4" type="noConversion"/>
  </si>
  <si>
    <t>TREASURE_UNIQUE_EVAN_1</t>
    <phoneticPr fontId="4" type="noConversion"/>
  </si>
  <si>
    <t>12079</t>
    <phoneticPr fontId="4" type="noConversion"/>
  </si>
  <si>
    <t>울퉁불퉁한 룬스톤</t>
    <phoneticPr fontId="4" type="noConversion"/>
  </si>
  <si>
    <t>TREASURE_UNIQUE_EVAN_2</t>
    <phoneticPr fontId="4" type="noConversion"/>
  </si>
  <si>
    <t>에반표 만능 가방</t>
    <phoneticPr fontId="4" type="noConversion"/>
  </si>
  <si>
    <t>13079</t>
    <phoneticPr fontId="4" type="noConversion"/>
  </si>
  <si>
    <t>TREASURE_UNIQUE_EVAN_3</t>
    <phoneticPr fontId="4" type="noConversion"/>
  </si>
  <si>
    <t>탐색용 다우징</t>
    <phoneticPr fontId="4" type="noConversion"/>
  </si>
  <si>
    <t>14079</t>
    <phoneticPr fontId="4" type="noConversion"/>
  </si>
  <si>
    <t>TREASURE_UNIQUE_EVAN_4</t>
    <phoneticPr fontId="4" type="noConversion"/>
  </si>
  <si>
    <t>나브의 첫 플라스크</t>
    <phoneticPr fontId="4" type="noConversion"/>
  </si>
  <si>
    <t>15079</t>
    <phoneticPr fontId="4" type="noConversion"/>
  </si>
  <si>
    <t>ARTIFACT_UNIQUE_520</t>
    <phoneticPr fontId="4" type="noConversion"/>
  </si>
  <si>
    <t>20520</t>
    <phoneticPr fontId="4" type="noConversion"/>
  </si>
  <si>
    <t>WEAPON_UNIQUE_DARKLORDKASEL_1</t>
    <phoneticPr fontId="4" type="noConversion"/>
  </si>
  <si>
    <t>11084</t>
    <phoneticPr fontId="4" type="noConversion"/>
  </si>
  <si>
    <t>마왕카셀무기</t>
    <phoneticPr fontId="4" type="noConversion"/>
  </si>
  <si>
    <t>TREASURE_UNIQUE_DARKLORDKASEL_1</t>
    <phoneticPr fontId="4" type="noConversion"/>
  </si>
  <si>
    <t>12084</t>
    <phoneticPr fontId="4" type="noConversion"/>
  </si>
  <si>
    <t>TREASURE_UNIQUE_DARKLORDKASEL_2</t>
    <phoneticPr fontId="4" type="noConversion"/>
  </si>
  <si>
    <t>13084</t>
    <phoneticPr fontId="4" type="noConversion"/>
  </si>
  <si>
    <t>TREASURE_UNIQUE_DARKLORDKASEL_3</t>
    <phoneticPr fontId="4" type="noConversion"/>
  </si>
  <si>
    <t>14084</t>
    <phoneticPr fontId="4" type="noConversion"/>
  </si>
  <si>
    <t>TREASURE_UNIQUE_DARKLORDKASEL_4</t>
    <phoneticPr fontId="4" type="noConversion"/>
  </si>
  <si>
    <t>15084</t>
    <phoneticPr fontId="4" type="noConversion"/>
  </si>
  <si>
    <t>WEAPON_UNIQUE_FALLENFREY_1</t>
    <phoneticPr fontId="4" type="noConversion"/>
  </si>
  <si>
    <t>천사의 절망, 로스메르타</t>
    <phoneticPr fontId="4" type="noConversion"/>
  </si>
  <si>
    <t>11085</t>
    <phoneticPr fontId="4" type="noConversion"/>
  </si>
  <si>
    <t>타락 프레이 전용무기</t>
    <phoneticPr fontId="4" type="noConversion"/>
  </si>
  <si>
    <t>TREASURE_UNIQUE_FALLENFREY_1</t>
    <phoneticPr fontId="4" type="noConversion"/>
  </si>
  <si>
    <t>12085</t>
    <phoneticPr fontId="4" type="noConversion"/>
  </si>
  <si>
    <t>TREASURE_UNIQUE_FALLENFREY_2</t>
    <phoneticPr fontId="4" type="noConversion"/>
  </si>
  <si>
    <t>13085</t>
    <phoneticPr fontId="4" type="noConversion"/>
  </si>
  <si>
    <t>TREASURE_UNIQUE_FALLENFREY_3</t>
    <phoneticPr fontId="4" type="noConversion"/>
  </si>
  <si>
    <t>14085</t>
    <phoneticPr fontId="4" type="noConversion"/>
  </si>
  <si>
    <t>TREASURE_UNIQUE_FALLENFREY_4</t>
    <phoneticPr fontId="4" type="noConversion"/>
  </si>
  <si>
    <t>15085</t>
    <phoneticPr fontId="4" type="noConversion"/>
  </si>
  <si>
    <t>WEAPON_UNIQUE_HILDA_1</t>
    <phoneticPr fontId="4" type="noConversion"/>
  </si>
  <si>
    <t>11081</t>
    <phoneticPr fontId="4" type="noConversion"/>
  </si>
  <si>
    <t>힐다 무기</t>
    <phoneticPr fontId="4" type="noConversion"/>
  </si>
  <si>
    <t>TREASURE_UNIQUE_HILDA_1</t>
    <phoneticPr fontId="4" type="noConversion"/>
  </si>
  <si>
    <t>12081</t>
    <phoneticPr fontId="4" type="noConversion"/>
  </si>
  <si>
    <t>TREASURE_UNIQUE_HILDA_2</t>
    <phoneticPr fontId="4" type="noConversion"/>
  </si>
  <si>
    <t>13081</t>
    <phoneticPr fontId="4" type="noConversion"/>
  </si>
  <si>
    <t>TREASURE_UNIQUE_HILDA_3</t>
    <phoneticPr fontId="4" type="noConversion"/>
  </si>
  <si>
    <t>14081</t>
    <phoneticPr fontId="4" type="noConversion"/>
  </si>
  <si>
    <t>TREASURE_UNIQUE_HILDA_4</t>
    <phoneticPr fontId="4" type="noConversion"/>
  </si>
  <si>
    <t>15081</t>
    <phoneticPr fontId="4" type="noConversion"/>
  </si>
  <si>
    <t>WEAPON_UNIQUE_TALISHA_1</t>
    <phoneticPr fontId="4" type="noConversion"/>
  </si>
  <si>
    <t>11099</t>
    <phoneticPr fontId="4" type="noConversion"/>
  </si>
  <si>
    <t>탈리샤 무기</t>
    <phoneticPr fontId="4" type="noConversion"/>
  </si>
  <si>
    <t>TREASURE_UNIQUE_TALISHA_1</t>
    <phoneticPr fontId="4" type="noConversion"/>
  </si>
  <si>
    <t>12099</t>
    <phoneticPr fontId="4" type="noConversion"/>
  </si>
  <si>
    <t>TREASURE_UNIQUE_TALISHA_2</t>
    <phoneticPr fontId="4" type="noConversion"/>
  </si>
  <si>
    <t>13099</t>
    <phoneticPr fontId="4" type="noConversion"/>
  </si>
  <si>
    <t>TREASURE_UNIQUE_TALISHA_3</t>
    <phoneticPr fontId="4" type="noConversion"/>
  </si>
  <si>
    <t>14099</t>
    <phoneticPr fontId="4" type="noConversion"/>
  </si>
  <si>
    <t>TREASURE_UNIQUE_TALISHA_4</t>
    <phoneticPr fontId="4" type="noConversion"/>
  </si>
  <si>
    <t>15099</t>
    <phoneticPr fontId="4" type="noConversion"/>
  </si>
  <si>
    <t>ARTIFACT_UNIQUE_521</t>
    <phoneticPr fontId="4" type="noConversion"/>
  </si>
  <si>
    <t>보물찾기 캡슐</t>
    <phoneticPr fontId="4" type="noConversion"/>
  </si>
  <si>
    <t>20521</t>
    <phoneticPr fontId="4" type="noConversion"/>
  </si>
  <si>
    <t>Valance</t>
    <phoneticPr fontId="4" type="noConversion"/>
  </si>
  <si>
    <t>TechnoMagic</t>
    <phoneticPr fontId="4" type="noConversion"/>
  </si>
  <si>
    <t>9001</t>
    <phoneticPr fontId="4" type="noConversion"/>
  </si>
  <si>
    <t>Advanced</t>
    <phoneticPr fontId="4" type="noConversion"/>
  </si>
  <si>
    <t>WorkPlace</t>
    <phoneticPr fontId="4" type="noConversion"/>
  </si>
  <si>
    <t>EquipType</t>
    <phoneticPr fontId="4" type="noConversion"/>
  </si>
  <si>
    <t>EquipGrade</t>
    <phoneticPr fontId="4" type="noConversion"/>
  </si>
  <si>
    <t>UNIQUE RANDOM OPTION</t>
    <phoneticPr fontId="4" type="noConversion"/>
  </si>
  <si>
    <t>UniqueOptionIndex[]</t>
    <phoneticPr fontId="4" type="noConversion"/>
  </si>
  <si>
    <t>UniqueOptionGroupIndex[]</t>
    <phoneticPr fontId="4" type="noConversion"/>
  </si>
  <si>
    <t>TECHNOMAGIC_KNIGHT_9_1_1</t>
  </si>
  <si>
    <t>TECHNOMAGIC_KNIGHT_9_2_1</t>
  </si>
  <si>
    <t>TECHNOMAGIC_KNIGHT_9_3_1</t>
  </si>
  <si>
    <t>TECHNOMAGIC_KNIGHT_9_4_1</t>
  </si>
  <si>
    <t>TECHNOMAGIC_KNIGHT_9_5_1</t>
  </si>
  <si>
    <t>TECHNOMAGIC_KNIGHT_9_6_1</t>
  </si>
  <si>
    <t>TECHNOMAGIC_KNIGHT_9_7_1</t>
  </si>
  <si>
    <t>TECHNOMAGIC_KNIGHT_9_1_2</t>
  </si>
  <si>
    <t>TECHNOMAGIC_KNIGHT_9_2_2</t>
  </si>
  <si>
    <t>TECHNOMAGIC_KNIGHT_9_3_2</t>
  </si>
  <si>
    <t>TECHNOMAGIC_KNIGHT_9_4_2</t>
  </si>
  <si>
    <t>TECHNOMAGIC_KNIGHT_9_5_2</t>
  </si>
  <si>
    <t>TECHNOMAGIC_KNIGHT_9_6_2</t>
  </si>
  <si>
    <t>TECHNOMAGIC_KNIGHT_9_7_2</t>
  </si>
  <si>
    <t>TECHNOMAGIC_KNIGHT_9_1_3</t>
  </si>
  <si>
    <t>TECHNOMAGIC_KNIGHT_9_2_3</t>
  </si>
  <si>
    <t>TECHNOMAGIC_KNIGHT_9_3_3</t>
  </si>
  <si>
    <t>TECHNOMAGIC_KNIGHT_9_4_3</t>
  </si>
  <si>
    <t>TECHNOMAGIC_KNIGHT_9_5_3</t>
  </si>
  <si>
    <t>TECHNOMAGIC_KNIGHT_9_6_3</t>
  </si>
  <si>
    <t>TECHNOMAGIC_KNIGHT_9_7_3</t>
  </si>
  <si>
    <t>TECHNOMAGIC_WARRIOR_9_1_1</t>
  </si>
  <si>
    <t>TECHNOMAGIC_WARRIOR_9_2_1</t>
  </si>
  <si>
    <t>TECHNOMAGIC_WARRIOR_9_3_1</t>
  </si>
  <si>
    <t>TECHNOMAGIC_WARRIOR_9_4_1</t>
  </si>
  <si>
    <t>TECHNOMAGIC_WARRIOR_9_5_1</t>
  </si>
  <si>
    <t>TECHNOMAGIC_WARRIOR_9_6_1</t>
  </si>
  <si>
    <t>TECHNOMAGIC_WARRIOR_9_7_1</t>
  </si>
  <si>
    <t>TECHNOMAGIC_WARRIOR_9_1_2</t>
  </si>
  <si>
    <t>TECHNOMAGIC_WARRIOR_9_2_2</t>
  </si>
  <si>
    <t>TECHNOMAGIC_WARRIOR_9_3_2</t>
  </si>
  <si>
    <t>TECHNOMAGIC_WARRIOR_9_4_2</t>
  </si>
  <si>
    <t>TECHNOMAGIC_WARRIOR_9_5_2</t>
  </si>
  <si>
    <t>TECHNOMAGIC_WARRIOR_9_6_2</t>
  </si>
  <si>
    <t>TECHNOMAGIC_WARRIOR_9_7_2</t>
  </si>
  <si>
    <t>TECHNOMAGIC_WARRIOR_9_1_3</t>
  </si>
  <si>
    <t>TECHNOMAGIC_WARRIOR_9_2_3</t>
  </si>
  <si>
    <t>TECHNOMAGIC_WARRIOR_9_3_3</t>
  </si>
  <si>
    <t>TECHNOMAGIC_WARRIOR_9_4_3</t>
  </si>
  <si>
    <t>TECHNOMAGIC_WARRIOR_9_5_3</t>
  </si>
  <si>
    <t>TECHNOMAGIC_WARRIOR_9_6_3</t>
  </si>
  <si>
    <t>TECHNOMAGIC_WARRIOR_9_7_3</t>
  </si>
  <si>
    <t>TECHNOMAGIC_ASSASSIN_9_1_1</t>
  </si>
  <si>
    <t>TECHNOMAGIC_ASSASSIN_9_2_1</t>
  </si>
  <si>
    <t>TECHNOMAGIC_ASSASSIN_9_3_1</t>
  </si>
  <si>
    <t>TECHNOMAGIC_ASSASSIN_9_4_1</t>
  </si>
  <si>
    <t>TECHNOMAGIC_ASSASSIN_9_5_1</t>
  </si>
  <si>
    <t>TECHNOMAGIC_ASSASSIN_9_6_1</t>
  </si>
  <si>
    <t>TECHNOMAGIC_ASSASSIN_9_7_1</t>
  </si>
  <si>
    <t>TECHNOMAGIC_ASSASSIN_9_1_2</t>
  </si>
  <si>
    <t>TECHNOMAGIC_ASSASSIN_9_2_2</t>
  </si>
  <si>
    <t>TECHNOMAGIC_ASSASSIN_9_3_2</t>
  </si>
  <si>
    <t>TECHNOMAGIC_ASSASSIN_9_4_2</t>
  </si>
  <si>
    <t>TECHNOMAGIC_ASSASSIN_9_5_2</t>
  </si>
  <si>
    <t>TECHNOMAGIC_ASSASSIN_9_6_2</t>
  </si>
  <si>
    <t>TECHNOMAGIC_ASSASSIN_9_7_2</t>
  </si>
  <si>
    <t>TECHNOMAGIC_ASSASSIN_9_1_3</t>
  </si>
  <si>
    <t>TECHNOMAGIC_ASSASSIN_9_2_3</t>
  </si>
  <si>
    <t>TECHNOMAGIC_ASSASSIN_9_3_3</t>
  </si>
  <si>
    <t>TECHNOMAGIC_ASSASSIN_9_4_3</t>
  </si>
  <si>
    <t>TECHNOMAGIC_ASSASSIN_9_5_3</t>
  </si>
  <si>
    <t>TECHNOMAGIC_ASSASSIN_9_6_3</t>
  </si>
  <si>
    <t>TECHNOMAGIC_ASSASSIN_9_7_3</t>
  </si>
  <si>
    <t>TECHNOMAGIC_ARCHER_9_1_1</t>
  </si>
  <si>
    <t>TECHNOMAGIC_ARCHER_9_2_1</t>
  </si>
  <si>
    <t>TECHNOMAGIC_ARCHER_9_3_1</t>
  </si>
  <si>
    <t>TECHNOMAGIC_ARCHER_9_4_1</t>
  </si>
  <si>
    <t>TECHNOMAGIC_ARCHER_9_5_1</t>
  </si>
  <si>
    <t>TECHNOMAGIC_ARCHER_9_6_1</t>
  </si>
  <si>
    <t>TECHNOMAGIC_ARCHER_9_7_1</t>
  </si>
  <si>
    <t>TECHNOMAGIC_ARCHER_9_1_2</t>
  </si>
  <si>
    <t>TECHNOMAGIC_ARCHER_9_2_2</t>
  </si>
  <si>
    <t>TECHNOMAGIC_ARCHER_9_3_2</t>
  </si>
  <si>
    <t>TECHNOMAGIC_ARCHER_9_4_2</t>
  </si>
  <si>
    <t>TECHNOMAGIC_ARCHER_9_5_2</t>
  </si>
  <si>
    <t>TECHNOMAGIC_ARCHER_9_6_2</t>
  </si>
  <si>
    <t>TECHNOMAGIC_ARCHER_9_7_2</t>
  </si>
  <si>
    <t>TECHNOMAGIC_ARCHER_9_1_3</t>
  </si>
  <si>
    <t>TECHNOMAGIC_ARCHER_9_2_3</t>
  </si>
  <si>
    <t>TECHNOMAGIC_ARCHER_9_3_3</t>
  </si>
  <si>
    <t>TECHNOMAGIC_ARCHER_9_4_3</t>
  </si>
  <si>
    <t>TECHNOMAGIC_ARCHER_9_5_3</t>
  </si>
  <si>
    <t>TECHNOMAGIC_ARCHER_9_6_3</t>
  </si>
  <si>
    <t>TECHNOMAGIC_ARCHER_9_7_3</t>
  </si>
  <si>
    <t>TECHNOMAGIC_MECHANIC_9_1_1</t>
  </si>
  <si>
    <t>TECHNOMAGIC_MECHANIC_9_2_1</t>
  </si>
  <si>
    <t>TECHNOMAGIC_MECHANIC_9_3_1</t>
  </si>
  <si>
    <t>TECHNOMAGIC_MECHANIC_9_4_1</t>
  </si>
  <si>
    <t>TECHNOMAGIC_MECHANIC_9_5_1</t>
  </si>
  <si>
    <t>TECHNOMAGIC_MECHANIC_9_6_1</t>
  </si>
  <si>
    <t>TECHNOMAGIC_MECHANIC_9_7_1</t>
  </si>
  <si>
    <t>TECHNOMAGIC_MECHANIC_9_1_2</t>
  </si>
  <si>
    <t>TECHNOMAGIC_MECHANIC_9_2_2</t>
  </si>
  <si>
    <t>TECHNOMAGIC_MECHANIC_9_3_2</t>
  </si>
  <si>
    <t>TECHNOMAGIC_MECHANIC_9_4_2</t>
  </si>
  <si>
    <t>TECHNOMAGIC_MECHANIC_9_5_2</t>
  </si>
  <si>
    <t>TECHNOMAGIC_MECHANIC_9_6_2</t>
  </si>
  <si>
    <t>TECHNOMAGIC_MECHANIC_9_7_2</t>
  </si>
  <si>
    <t>TECHNOMAGIC_MECHANIC_9_1_3</t>
  </si>
  <si>
    <t>TECHNOMAGIC_MECHANIC_9_2_3</t>
  </si>
  <si>
    <t>TECHNOMAGIC_MECHANIC_9_3_3</t>
  </si>
  <si>
    <t>TECHNOMAGIC_MECHANIC_9_4_3</t>
  </si>
  <si>
    <t>TECHNOMAGIC_MECHANIC_9_5_3</t>
  </si>
  <si>
    <t>TECHNOMAGIC_MECHANIC_9_6_3</t>
  </si>
  <si>
    <t>TECHNOMAGIC_MECHANIC_9_7_3</t>
  </si>
  <si>
    <t>TECHNOMAGIC_PRIEST_9_1_1</t>
  </si>
  <si>
    <t>TECHNOMAGIC_PRIEST_9_2_1</t>
  </si>
  <si>
    <t>TECHNOMAGIC_PRIEST_9_3_1</t>
  </si>
  <si>
    <t>TECHNOMAGIC_PRIEST_9_4_1</t>
  </si>
  <si>
    <t>TECHNOMAGIC_PRIEST_9_5_1</t>
  </si>
  <si>
    <t>TECHNOMAGIC_PRIEST_9_6_1</t>
  </si>
  <si>
    <t>TECHNOMAGIC_PRIEST_9_7_1</t>
  </si>
  <si>
    <t>TECHNOMAGIC_PRIEST_9_1_2</t>
  </si>
  <si>
    <t>TECHNOMAGIC_PRIEST_9_2_2</t>
  </si>
  <si>
    <t>TECHNOMAGIC_PRIEST_9_3_2</t>
  </si>
  <si>
    <t>TECHNOMAGIC_PRIEST_9_4_2</t>
  </si>
  <si>
    <t>TECHNOMAGIC_PRIEST_9_5_2</t>
  </si>
  <si>
    <t>TECHNOMAGIC_PRIEST_9_6_2</t>
  </si>
  <si>
    <t>TECHNOMAGIC_PRIEST_9_7_2</t>
  </si>
  <si>
    <t>TECHNOMAGIC_PRIEST_9_1_3</t>
  </si>
  <si>
    <t>TECHNOMAGIC_PRIEST_9_2_3</t>
  </si>
  <si>
    <t>TECHNOMAGIC_PRIEST_9_3_3</t>
  </si>
  <si>
    <t>TECHNOMAGIC_PRIEST_9_4_3</t>
  </si>
  <si>
    <t>TECHNOMAGIC_PRIEST_9_5_3</t>
  </si>
  <si>
    <t>TECHNOMAGIC_PRIEST_9_6_3</t>
  </si>
  <si>
    <t>TECHNOMAGIC_PRIEST_9_7_3</t>
  </si>
  <si>
    <t>RESTORE_TECHNOMAGIC_KNIGHT_9_1_1</t>
  </si>
  <si>
    <t>RESTORE_TECHNOMAGIC_KNIGHT_9_2_1</t>
  </si>
  <si>
    <t>RESTORE_TECHNOMAGIC_KNIGHT_9_3_1</t>
  </si>
  <si>
    <t>RESTORE_TECHNOMAGIC_KNIGHT_9_4_1</t>
  </si>
  <si>
    <t>RESTORE_TECHNOMAGIC_KNIGHT_9_5_1</t>
  </si>
  <si>
    <t>RESTORE_TECHNOMAGIC_KNIGHT_9_6_1</t>
  </si>
  <si>
    <t>RESTORE_TECHNOMAGIC_KNIGHT_9_7_1</t>
  </si>
  <si>
    <t>RESTORE_TECHNOMAGIC_KNIGHT_9_1_2</t>
  </si>
  <si>
    <t>RESTORE_TECHNOMAGIC_KNIGHT_9_2_2</t>
  </si>
  <si>
    <t>RESTORE_TECHNOMAGIC_KNIGHT_9_3_2</t>
  </si>
  <si>
    <t>RESTORE_TECHNOMAGIC_KNIGHT_9_4_2</t>
  </si>
  <si>
    <t>RESTORE_TECHNOMAGIC_KNIGHT_9_5_2</t>
  </si>
  <si>
    <t>RESTORE_TECHNOMAGIC_KNIGHT_9_6_2</t>
  </si>
  <si>
    <t>RESTORE_TECHNOMAGIC_KNIGHT_9_7_2</t>
  </si>
  <si>
    <t>RESTORE_TECHNOMAGIC_KNIGHT_9_1_3</t>
  </si>
  <si>
    <t>RESTORE_TECHNOMAGIC_KNIGHT_9_2_3</t>
  </si>
  <si>
    <t>RESTORE_TECHNOMAGIC_KNIGHT_9_3_3</t>
  </si>
  <si>
    <t>RESTORE_TECHNOMAGIC_KNIGHT_9_4_3</t>
  </si>
  <si>
    <t>RESTORE_TECHNOMAGIC_KNIGHT_9_5_3</t>
  </si>
  <si>
    <t>RESTORE_TECHNOMAGIC_KNIGHT_9_6_3</t>
  </si>
  <si>
    <t>RESTORE_TECHNOMAGIC_KNIGHT_9_7_3</t>
  </si>
  <si>
    <t>RESTORE_TECHNOMAGIC_WARRIOR_9_1_1</t>
  </si>
  <si>
    <t>RESTORE_TECHNOMAGIC_WARRIOR_9_2_1</t>
  </si>
  <si>
    <t>RESTORE_TECHNOMAGIC_WARRIOR_9_3_1</t>
  </si>
  <si>
    <t>RESTORE_TECHNOMAGIC_WARRIOR_9_4_1</t>
  </si>
  <si>
    <t>RESTORE_TECHNOMAGIC_WARRIOR_9_5_1</t>
  </si>
  <si>
    <t>RESTORE_TECHNOMAGIC_WARRIOR_9_6_1</t>
  </si>
  <si>
    <t>RESTORE_TECHNOMAGIC_WARRIOR_9_7_1</t>
  </si>
  <si>
    <t>RESTORE_TECHNOMAGIC_WARRIOR_9_1_2</t>
  </si>
  <si>
    <t>RESTORE_TECHNOMAGIC_WARRIOR_9_2_2</t>
  </si>
  <si>
    <t>RESTORE_TECHNOMAGIC_WARRIOR_9_3_2</t>
  </si>
  <si>
    <t>RESTORE_TECHNOMAGIC_WARRIOR_9_4_2</t>
  </si>
  <si>
    <t>RESTORE_TECHNOMAGIC_WARRIOR_9_5_2</t>
  </si>
  <si>
    <t>RESTORE_TECHNOMAGIC_WARRIOR_9_6_2</t>
  </si>
  <si>
    <t>RESTORE_TECHNOMAGIC_WARRIOR_9_7_2</t>
  </si>
  <si>
    <t>RESTORE_TECHNOMAGIC_WARRIOR_9_1_3</t>
  </si>
  <si>
    <t>RESTORE_TECHNOMAGIC_WARRIOR_9_2_3</t>
  </si>
  <si>
    <t>RESTORE_TECHNOMAGIC_WARRIOR_9_3_3</t>
  </si>
  <si>
    <t>RESTORE_TECHNOMAGIC_WARRIOR_9_4_3</t>
  </si>
  <si>
    <t>RESTORE_TECHNOMAGIC_WARRIOR_9_5_3</t>
  </si>
  <si>
    <t>RESTORE_TECHNOMAGIC_WARRIOR_9_6_3</t>
  </si>
  <si>
    <t>RESTORE_TECHNOMAGIC_WARRIOR_9_7_3</t>
  </si>
  <si>
    <t>RESTORE_TECHNOMAGIC_ASSASSIN_9_1_1</t>
  </si>
  <si>
    <t>RESTORE_TECHNOMAGIC_ASSASSIN_9_2_1</t>
  </si>
  <si>
    <t>RESTORE_TECHNOMAGIC_ASSASSIN_9_3_1</t>
  </si>
  <si>
    <t>RESTORE_TECHNOMAGIC_ASSASSIN_9_4_1</t>
  </si>
  <si>
    <t>RESTORE_TECHNOMAGIC_ASSASSIN_9_5_1</t>
  </si>
  <si>
    <t>RESTORE_TECHNOMAGIC_ASSASSIN_9_6_1</t>
  </si>
  <si>
    <t>RESTORE_TECHNOMAGIC_ASSASSIN_9_7_1</t>
  </si>
  <si>
    <t>RESTORE_TECHNOMAGIC_ASSASSIN_9_1_2</t>
  </si>
  <si>
    <t>RESTORE_TECHNOMAGIC_ASSASSIN_9_2_2</t>
  </si>
  <si>
    <t>RESTORE_TECHNOMAGIC_ASSASSIN_9_3_2</t>
  </si>
  <si>
    <t>RESTORE_TECHNOMAGIC_ASSASSIN_9_4_2</t>
  </si>
  <si>
    <t>RESTORE_TECHNOMAGIC_ASSASSIN_9_5_2</t>
  </si>
  <si>
    <t>RESTORE_TECHNOMAGIC_ASSASSIN_9_6_2</t>
  </si>
  <si>
    <t>RESTORE_TECHNOMAGIC_ASSASSIN_9_7_2</t>
  </si>
  <si>
    <t>RESTORE_TECHNOMAGIC_ASSASSIN_9_1_3</t>
  </si>
  <si>
    <t>RESTORE_TECHNOMAGIC_ASSASSIN_9_2_3</t>
  </si>
  <si>
    <t>RESTORE_TECHNOMAGIC_ASSASSIN_9_3_3</t>
  </si>
  <si>
    <t>RESTORE_TECHNOMAGIC_ASSASSIN_9_4_3</t>
  </si>
  <si>
    <t>RESTORE_TECHNOMAGIC_ASSASSIN_9_5_3</t>
  </si>
  <si>
    <t>RESTORE_TECHNOMAGIC_ASSASSIN_9_6_3</t>
  </si>
  <si>
    <t>RESTORE_TECHNOMAGIC_ASSASSIN_9_7_3</t>
  </si>
  <si>
    <t>RESTORE_TECHNOMAGIC_ARCHER_9_1_1</t>
  </si>
  <si>
    <t>RESTORE_TECHNOMAGIC_ARCHER_9_2_1</t>
  </si>
  <si>
    <t>RESTORE_TECHNOMAGIC_ARCHER_9_3_1</t>
  </si>
  <si>
    <t>RESTORE_TECHNOMAGIC_ARCHER_9_4_1</t>
  </si>
  <si>
    <t>RESTORE_TECHNOMAGIC_ARCHER_9_5_1</t>
  </si>
  <si>
    <t>RESTORE_TECHNOMAGIC_ARCHER_9_6_1</t>
  </si>
  <si>
    <t>RESTORE_TECHNOMAGIC_ARCHER_9_7_1</t>
  </si>
  <si>
    <t>RESTORE_TECHNOMAGIC_ARCHER_9_1_2</t>
  </si>
  <si>
    <t>RESTORE_TECHNOMAGIC_ARCHER_9_2_2</t>
  </si>
  <si>
    <t>RESTORE_TECHNOMAGIC_ARCHER_9_3_2</t>
  </si>
  <si>
    <t>RESTORE_TECHNOMAGIC_ARCHER_9_4_2</t>
  </si>
  <si>
    <t>RESTORE_TECHNOMAGIC_ARCHER_9_5_2</t>
  </si>
  <si>
    <t>RESTORE_TECHNOMAGIC_ARCHER_9_6_2</t>
  </si>
  <si>
    <t>RESTORE_TECHNOMAGIC_ARCHER_9_7_2</t>
  </si>
  <si>
    <t>RESTORE_TECHNOMAGIC_ARCHER_9_1_3</t>
  </si>
  <si>
    <t>RESTORE_TECHNOMAGIC_ARCHER_9_2_3</t>
  </si>
  <si>
    <t>RESTORE_TECHNOMAGIC_ARCHER_9_3_3</t>
  </si>
  <si>
    <t>RESTORE_TECHNOMAGIC_ARCHER_9_4_3</t>
  </si>
  <si>
    <t>RESTORE_TECHNOMAGIC_ARCHER_9_5_3</t>
  </si>
  <si>
    <t>RESTORE_TECHNOMAGIC_ARCHER_9_6_3</t>
  </si>
  <si>
    <t>RESTORE_TECHNOMAGIC_ARCHER_9_7_3</t>
  </si>
  <si>
    <t>RESTORE_TECHNOMAGIC_MECHANIC_9_1_1</t>
  </si>
  <si>
    <t>RESTORE_TECHNOMAGIC_MECHANIC_9_2_1</t>
  </si>
  <si>
    <t>RESTORE_TECHNOMAGIC_MECHANIC_9_3_1</t>
  </si>
  <si>
    <t>RESTORE_TECHNOMAGIC_MECHANIC_9_4_1</t>
  </si>
  <si>
    <t>RESTORE_TECHNOMAGIC_MECHANIC_9_5_1</t>
  </si>
  <si>
    <t>RESTORE_TECHNOMAGIC_MECHANIC_9_6_1</t>
  </si>
  <si>
    <t>RESTORE_TECHNOMAGIC_MECHANIC_9_7_1</t>
  </si>
  <si>
    <t>RESTORE_TECHNOMAGIC_MECHANIC_9_1_2</t>
  </si>
  <si>
    <t>RESTORE_TECHNOMAGIC_MECHANIC_9_2_2</t>
  </si>
  <si>
    <t>RESTORE_TECHNOMAGIC_MECHANIC_9_3_2</t>
  </si>
  <si>
    <t>RESTORE_TECHNOMAGIC_MECHANIC_9_4_2</t>
  </si>
  <si>
    <t>RESTORE_TECHNOMAGIC_MECHANIC_9_5_2</t>
  </si>
  <si>
    <t>RESTORE_TECHNOMAGIC_MECHANIC_9_6_2</t>
  </si>
  <si>
    <t>RESTORE_TECHNOMAGIC_MECHANIC_9_7_2</t>
  </si>
  <si>
    <t>RESTORE_TECHNOMAGIC_MECHANIC_9_1_3</t>
  </si>
  <si>
    <t>RESTORE_TECHNOMAGIC_MECHANIC_9_2_3</t>
  </si>
  <si>
    <t>RESTORE_TECHNOMAGIC_MECHANIC_9_3_3</t>
  </si>
  <si>
    <t>RESTORE_TECHNOMAGIC_MECHANIC_9_4_3</t>
  </si>
  <si>
    <t>RESTORE_TECHNOMAGIC_MECHANIC_9_5_3</t>
  </si>
  <si>
    <t>RESTORE_TECHNOMAGIC_MECHANIC_9_6_3</t>
  </si>
  <si>
    <t>RESTORE_TECHNOMAGIC_MECHANIC_9_7_3</t>
  </si>
  <si>
    <t>RESTORE_TECHNOMAGIC_PRIEST_9_1_1</t>
  </si>
  <si>
    <t>RESTORE_TECHNOMAGIC_PRIEST_9_2_1</t>
  </si>
  <si>
    <t>RESTORE_TECHNOMAGIC_PRIEST_9_3_1</t>
  </si>
  <si>
    <t>RESTORE_TECHNOMAGIC_PRIEST_9_4_1</t>
  </si>
  <si>
    <t>RESTORE_TECHNOMAGIC_PRIEST_9_5_1</t>
  </si>
  <si>
    <t>RESTORE_TECHNOMAGIC_PRIEST_9_6_1</t>
  </si>
  <si>
    <t>RESTORE_TECHNOMAGIC_PRIEST_9_7_1</t>
  </si>
  <si>
    <t>RESTORE_TECHNOMAGIC_PRIEST_9_1_2</t>
  </si>
  <si>
    <t>RESTORE_TECHNOMAGIC_PRIEST_9_2_2</t>
  </si>
  <si>
    <t>RESTORE_TECHNOMAGIC_PRIEST_9_3_2</t>
  </si>
  <si>
    <t>RESTORE_TECHNOMAGIC_PRIEST_9_4_2</t>
  </si>
  <si>
    <t>RESTORE_TECHNOMAGIC_PRIEST_9_5_2</t>
  </si>
  <si>
    <t>RESTORE_TECHNOMAGIC_PRIEST_9_6_2</t>
  </si>
  <si>
    <t>RESTORE_TECHNOMAGIC_PRIEST_9_7_2</t>
  </si>
  <si>
    <t>RESTORE_TECHNOMAGIC_PRIEST_9_1_3</t>
  </si>
  <si>
    <t>RESTORE_TECHNOMAGIC_PRIEST_9_2_3</t>
  </si>
  <si>
    <t>RESTORE_TECHNOMAGIC_PRIEST_9_3_3</t>
  </si>
  <si>
    <t>RESTORE_TECHNOMAGIC_PRIEST_9_4_3</t>
  </si>
  <si>
    <t>RESTORE_TECHNOMAGIC_PRIEST_9_5_3</t>
  </si>
  <si>
    <t>RESTORE_TECHNOMAGIC_PRIEST_9_6_3</t>
  </si>
  <si>
    <t>RESTORE_TECHNOMAGIC_PRIEST_9_7_3</t>
  </si>
  <si>
    <t>희망의 수호 중갑</t>
  </si>
  <si>
    <t>희망의 용기 갑주</t>
  </si>
  <si>
    <t>희망의 냉혈 재킷</t>
  </si>
  <si>
    <t>희망의 분노 견갑</t>
  </si>
  <si>
    <t>희망의 열정 의복</t>
  </si>
  <si>
    <t>희망의 지혜 로브</t>
  </si>
  <si>
    <t>희망의 가호 케이프</t>
  </si>
  <si>
    <t>희망의 수호 방패</t>
  </si>
  <si>
    <t>희망의 용기 투구</t>
  </si>
  <si>
    <t>희망의 냉혈 장갑</t>
  </si>
  <si>
    <t>희망의 분노 망토</t>
  </si>
  <si>
    <t>희망의 열정 신발</t>
  </si>
  <si>
    <t>희망의 지혜 모자</t>
  </si>
  <si>
    <t>희망의 가호 후드</t>
  </si>
  <si>
    <t>희망의 수호 반지</t>
  </si>
  <si>
    <t>희망의 용기 반지</t>
  </si>
  <si>
    <t>희망의 냉혈 반지</t>
  </si>
  <si>
    <t>희망의 분노 반지</t>
  </si>
  <si>
    <t>희망의 열정 반지</t>
  </si>
  <si>
    <t>희망의 지혜 반지</t>
  </si>
  <si>
    <t>희망의 가호 반지</t>
  </si>
  <si>
    <t>희망의 수호 귀걸이</t>
  </si>
  <si>
    <t>희망의 용기 귀걸이</t>
  </si>
  <si>
    <t>희망의 냉혈 귀걸이</t>
  </si>
  <si>
    <t>희망의 분노 귀걸이</t>
  </si>
  <si>
    <t>희망의 열정 귀걸이</t>
  </si>
  <si>
    <t>희망의 지혜 귀걸이</t>
  </si>
  <si>
    <t>희망의 가호 귀걸이</t>
  </si>
  <si>
    <t>희망의 수호 목걸이</t>
  </si>
  <si>
    <t>희망의 용기 목걸이</t>
  </si>
  <si>
    <t>희망의 냉혈 목걸이</t>
  </si>
  <si>
    <t>희망의 분노 목걸이</t>
  </si>
  <si>
    <t>희망의 열정 목걸이</t>
  </si>
  <si>
    <t>희망의 지혜 목걸이</t>
  </si>
  <si>
    <t>희망의 가호 목걸이</t>
  </si>
  <si>
    <t>희망의 수호 팔찌</t>
  </si>
  <si>
    <t>희망의 용기 팔찌</t>
  </si>
  <si>
    <t>희망의 냉혈 팔찌</t>
  </si>
  <si>
    <t>희망의 분노 팔찌</t>
  </si>
  <si>
    <t>희망의 열정 팔찌</t>
  </si>
  <si>
    <t>희망의 지혜 팔찌</t>
  </si>
  <si>
    <t>희망의 가호 팔찌</t>
  </si>
  <si>
    <t>희망의 수호 보주</t>
  </si>
  <si>
    <t>희망의 용기 보주</t>
  </si>
  <si>
    <t>희망의 냉혈 보주</t>
  </si>
  <si>
    <t>희망의 분노 보주</t>
  </si>
  <si>
    <t>희망의 열정 보주</t>
  </si>
  <si>
    <t>희망의 지혜 보주</t>
  </si>
  <si>
    <t>희망의 가호 보주</t>
  </si>
  <si>
    <t>권능의 수호 중갑</t>
  </si>
  <si>
    <t>권능의 용기 갑주</t>
  </si>
  <si>
    <t>권능의 냉혈 재킷</t>
  </si>
  <si>
    <t>권능의 분노 견갑</t>
  </si>
  <si>
    <t>권능의 열정 의복</t>
  </si>
  <si>
    <t>권능의 지혜 로브</t>
  </si>
  <si>
    <t>권능의 가호 케이프</t>
  </si>
  <si>
    <t>권능의 수호 방패</t>
  </si>
  <si>
    <t>권능의 용기 투구</t>
  </si>
  <si>
    <t>권능의 냉혈 장갑</t>
  </si>
  <si>
    <t>권능의 분노 망토</t>
  </si>
  <si>
    <t>권능의 열정 신발</t>
  </si>
  <si>
    <t>권능의 지혜 모자</t>
  </si>
  <si>
    <t>권능의 가호 후드</t>
  </si>
  <si>
    <t>권능의 수호 반지</t>
  </si>
  <si>
    <t>권능의 용기 반지</t>
  </si>
  <si>
    <t>권능의 냉혈 반지</t>
  </si>
  <si>
    <t>권능의 분노 반지</t>
  </si>
  <si>
    <t>권능의 열정 반지</t>
  </si>
  <si>
    <t>권능의 지혜 반지</t>
  </si>
  <si>
    <t>권능의 가호 반지</t>
  </si>
  <si>
    <t>권능의 수호 귀걸이</t>
  </si>
  <si>
    <t>권능의 용기 귀걸이</t>
  </si>
  <si>
    <t>권능의 냉혈 귀걸이</t>
  </si>
  <si>
    <t>권능의 분노 귀걸이</t>
  </si>
  <si>
    <t>권능의 열정 귀걸이</t>
  </si>
  <si>
    <t>권능의 지혜 귀걸이</t>
  </si>
  <si>
    <t>권능의 가호 귀걸이</t>
  </si>
  <si>
    <t>권능의 수호 목걸이</t>
  </si>
  <si>
    <t>권능의 용기 목걸이</t>
  </si>
  <si>
    <t>권능의 냉혈 목걸이</t>
  </si>
  <si>
    <t>권능의 분노 목걸이</t>
  </si>
  <si>
    <t>권능의 열정 목걸이</t>
  </si>
  <si>
    <t>권능의 지혜 목걸이</t>
  </si>
  <si>
    <t>권능의 가호 목걸이</t>
  </si>
  <si>
    <t>권능의 수호 팔찌</t>
  </si>
  <si>
    <t>권능의 용기 팔찌</t>
  </si>
  <si>
    <t>권능의 냉혈 팔찌</t>
  </si>
  <si>
    <t>권능의 분노 팔찌</t>
  </si>
  <si>
    <t>권능의 열정 팔찌</t>
  </si>
  <si>
    <t>권능의 지혜 팔찌</t>
  </si>
  <si>
    <t>권능의 가호 팔찌</t>
  </si>
  <si>
    <t>권능의 수호 보주</t>
  </si>
  <si>
    <t>권능의 용기 보주</t>
  </si>
  <si>
    <t>권능의 냉혈 보주</t>
  </si>
  <si>
    <t>권능의 분노 보주</t>
  </si>
  <si>
    <t>권능의 열정 보주</t>
  </si>
  <si>
    <t>권능의 지혜 보주</t>
  </si>
  <si>
    <t>권능의 가호 보주</t>
  </si>
  <si>
    <t>인고의 수호 중갑</t>
  </si>
  <si>
    <t>인고의 용기 갑주</t>
  </si>
  <si>
    <t>인고의 냉혈 재킷</t>
  </si>
  <si>
    <t>인고의 분노 견갑</t>
  </si>
  <si>
    <t>인고의 열정 의복</t>
  </si>
  <si>
    <t>인고의 지혜 로브</t>
  </si>
  <si>
    <t>인고의 가호 케이프</t>
  </si>
  <si>
    <t>인고의 수호 방패</t>
  </si>
  <si>
    <t>인고의 용기 투구</t>
  </si>
  <si>
    <t>인고의 냉혈 장갑</t>
  </si>
  <si>
    <t>인고의 분노 망토</t>
  </si>
  <si>
    <t>인고의 열정 신발</t>
  </si>
  <si>
    <t>인고의 지혜 모자</t>
  </si>
  <si>
    <t>인고의 가호 후드</t>
  </si>
  <si>
    <t>인고의 수호 반지</t>
  </si>
  <si>
    <t>인고의 용기 반지</t>
  </si>
  <si>
    <t>인고의 냉혈 반지</t>
  </si>
  <si>
    <t>인고의 분노 반지</t>
  </si>
  <si>
    <t>인고의 열정 반지</t>
  </si>
  <si>
    <t>인고의 지혜 반지</t>
  </si>
  <si>
    <t>인고의 가호 반지</t>
  </si>
  <si>
    <t>인고의 수호 귀걸이</t>
  </si>
  <si>
    <t>인고의 용기 귀걸이</t>
  </si>
  <si>
    <t>인고의 냉혈 귀걸이</t>
  </si>
  <si>
    <t>인고의 분노 귀걸이</t>
  </si>
  <si>
    <t>인고의 열정 귀걸이</t>
  </si>
  <si>
    <t>인고의 지혜 귀걸이</t>
  </si>
  <si>
    <t>인고의 가호 귀걸이</t>
  </si>
  <si>
    <t>인고의 수호 목걸이</t>
  </si>
  <si>
    <t>인고의 용기 목걸이</t>
  </si>
  <si>
    <t>인고의 냉혈 목걸이</t>
  </si>
  <si>
    <t>인고의 분노 목걸이</t>
  </si>
  <si>
    <t>인고의 열정 목걸이</t>
  </si>
  <si>
    <t>인고의 지혜 목걸이</t>
  </si>
  <si>
    <t>인고의 가호 목걸이</t>
  </si>
  <si>
    <t>인고의 수호 팔찌</t>
  </si>
  <si>
    <t>인고의 용기 팔찌</t>
  </si>
  <si>
    <t>인고의 냉혈 팔찌</t>
  </si>
  <si>
    <t>인고의 분노 팔찌</t>
  </si>
  <si>
    <t>인고의 열정 팔찌</t>
  </si>
  <si>
    <t>인고의 지혜 팔찌</t>
  </si>
  <si>
    <t>인고의 가호 팔찌</t>
  </si>
  <si>
    <t>인고의 수호 보주</t>
  </si>
  <si>
    <t>인고의 용기 보주</t>
  </si>
  <si>
    <t>인고의 냉혈 보주</t>
  </si>
  <si>
    <t>인고의 분노 보주</t>
  </si>
  <si>
    <t>인고의 열정 보주</t>
  </si>
  <si>
    <t>인고의 지혜 보주</t>
  </si>
  <si>
    <t>인고의 가호 보주</t>
  </si>
  <si>
    <t>갈고리아 방어구(기사)</t>
  </si>
  <si>
    <t>갈고리아 방어구(전사)</t>
  </si>
  <si>
    <t>갈고리아 방어구(암살자)</t>
  </si>
  <si>
    <t>갈고리아 방어구(궁수)</t>
  </si>
  <si>
    <t>갈고리아 방어구(기계공)</t>
  </si>
  <si>
    <t>갈고리아 방어구(마법사)</t>
  </si>
  <si>
    <t>갈고리아 방어구(사제)</t>
  </si>
  <si>
    <t>갈고리아 보조 장비(기사)</t>
  </si>
  <si>
    <t>갈고리아 보조 장비(전사)</t>
  </si>
  <si>
    <t>갈고리아 보조 장비(암살자)</t>
  </si>
  <si>
    <t>갈고리아 보조 장비(궁수)</t>
  </si>
  <si>
    <t>갈고리아 보조 장비(기계공)</t>
  </si>
  <si>
    <t>갈고리아 보조 장비(마법사)</t>
  </si>
  <si>
    <t>갈고리아 보조 장비(사제)</t>
  </si>
  <si>
    <t>갈고리아 반지(기사)</t>
  </si>
  <si>
    <t>갈고리아 반지(전사)</t>
  </si>
  <si>
    <t>갈고리아 반지(암살자)</t>
  </si>
  <si>
    <t>갈고리아 반지(궁수)</t>
  </si>
  <si>
    <t>갈고리아 반지(기계공)</t>
  </si>
  <si>
    <t>갈고리아 반지(마법사)</t>
  </si>
  <si>
    <t>갈고리아 반지(사제)</t>
  </si>
  <si>
    <t>갈고리아 귀걸이(기사)</t>
  </si>
  <si>
    <t>갈고리아 귀걸이(전사)</t>
  </si>
  <si>
    <t>갈고리아 귀걸이(암살자)</t>
  </si>
  <si>
    <t>갈고리아 귀걸이(궁수)</t>
  </si>
  <si>
    <t>갈고리아 귀걸이(기계공)</t>
  </si>
  <si>
    <t>갈고리아 귀걸이(마법사)</t>
  </si>
  <si>
    <t>갈고리아 귀걸이(사제)</t>
  </si>
  <si>
    <t>갈고리아 목걸이(기사)</t>
  </si>
  <si>
    <t>갈고리아 목걸이(전사)</t>
  </si>
  <si>
    <t>갈고리아 목걸이(암살자)</t>
  </si>
  <si>
    <t>갈고리아 목걸이(궁수)</t>
  </si>
  <si>
    <t>갈고리아 목걸이(기계공)</t>
  </si>
  <si>
    <t>갈고리아 목걸이(마법사)</t>
  </si>
  <si>
    <t>갈고리아 목걸이(사제)</t>
  </si>
  <si>
    <t>갈고리아 팔찌(기사)</t>
  </si>
  <si>
    <t>갈고리아 팔찌(전사)</t>
  </si>
  <si>
    <t>갈고리아 팔찌(암살자)</t>
  </si>
  <si>
    <t>갈고리아 팔찌(궁수)</t>
  </si>
  <si>
    <t>갈고리아 팔찌(기계공)</t>
  </si>
  <si>
    <t>갈고리아 팔찌(마법사)</t>
  </si>
  <si>
    <t>갈고리아 팔찌(사제)</t>
  </si>
  <si>
    <t>갈고리아 보주(기사)</t>
  </si>
  <si>
    <t>갈고리아 보주(전사)</t>
  </si>
  <si>
    <t>갈고리아 보주(암살자)</t>
  </si>
  <si>
    <t>갈고리아 보주(궁수)</t>
  </si>
  <si>
    <t>갈고리아 보주(기계공)</t>
  </si>
  <si>
    <t>갈고리아 보주(마법사)</t>
  </si>
  <si>
    <t>갈고리아 보주(사제)</t>
  </si>
  <si>
    <t>지크프리트 방어구(기사)</t>
  </si>
  <si>
    <t>지크프리트 방어구(전사)</t>
  </si>
  <si>
    <t>지크프리트 방어구(암살자)</t>
  </si>
  <si>
    <t>지크프리트 방어구(궁수)</t>
  </si>
  <si>
    <t>지크프리트 방어구(기계공)</t>
  </si>
  <si>
    <t>지크프리트 방어구(마법사)</t>
  </si>
  <si>
    <t>지크프리트 방어구(사제)</t>
  </si>
  <si>
    <t>지크프리트 보조 장비(기사)</t>
  </si>
  <si>
    <t>지크프리트 보조 장비(전사)</t>
  </si>
  <si>
    <t>지크프리트 보조 장비(암살자)</t>
  </si>
  <si>
    <t>지크프리트 보조 장비(궁수)</t>
  </si>
  <si>
    <t>지크프리트 보조 장비(기계공)</t>
  </si>
  <si>
    <t>지크프리트 보조 장비(마법사)</t>
  </si>
  <si>
    <t>지크프리트 보조 장비(사제)</t>
  </si>
  <si>
    <t>지크프리트 반지(기사)</t>
  </si>
  <si>
    <t>지크프리트 반지(전사)</t>
  </si>
  <si>
    <t>지크프리트 반지(암살자)</t>
  </si>
  <si>
    <t>지크프리트 반지(궁수)</t>
  </si>
  <si>
    <t>지크프리트 반지(기계공)</t>
  </si>
  <si>
    <t>지크프리트 반지(마법사)</t>
  </si>
  <si>
    <t>지크프리트 반지(사제)</t>
  </si>
  <si>
    <t>지크프리트 귀걸이(기사)</t>
  </si>
  <si>
    <t>지크프리트 귀걸이(전사)</t>
  </si>
  <si>
    <t>지크프리트 귀걸이(암살자)</t>
  </si>
  <si>
    <t>지크프리트 귀걸이(궁수)</t>
  </si>
  <si>
    <t>지크프리트 귀걸이(기계공)</t>
  </si>
  <si>
    <t>지크프리트 귀걸이(마법사)</t>
  </si>
  <si>
    <t>지크프리트 귀걸이(사제)</t>
  </si>
  <si>
    <t>지크프리트 목걸이(기사)</t>
  </si>
  <si>
    <t>지크프리트 목걸이(전사)</t>
  </si>
  <si>
    <t>지크프리트 목걸이(암살자)</t>
  </si>
  <si>
    <t>지크프리트 목걸이(궁수)</t>
  </si>
  <si>
    <t>지크프리트 목걸이(기계공)</t>
  </si>
  <si>
    <t>지크프리트 목걸이(마법사)</t>
  </si>
  <si>
    <t>지크프리트 목걸이(사제)</t>
  </si>
  <si>
    <t>지크프리트 팔찌(기사)</t>
  </si>
  <si>
    <t>지크프리트 팔찌(전사)</t>
  </si>
  <si>
    <t>지크프리트 팔찌(암살자)</t>
  </si>
  <si>
    <t>지크프리트 팔찌(궁수)</t>
  </si>
  <si>
    <t>지크프리트 팔찌(기계공)</t>
  </si>
  <si>
    <t>지크프리트 팔찌(마법사)</t>
  </si>
  <si>
    <t>지크프리트 팔찌(사제)</t>
  </si>
  <si>
    <t>지크프리트 보주(기사)</t>
  </si>
  <si>
    <t>지크프리트 보주(전사)</t>
  </si>
  <si>
    <t>지크프리트 보주(암살자)</t>
  </si>
  <si>
    <t>지크프리트 보주(궁수)</t>
  </si>
  <si>
    <t>지크프리트 보주(기계공)</t>
  </si>
  <si>
    <t>지크프리트 보주(마법사)</t>
  </si>
  <si>
    <t>지크프리트 보주(사제)</t>
  </si>
  <si>
    <t>아스칼론 방어구(기사)</t>
  </si>
  <si>
    <t>아스칼론 방어구(전사)</t>
  </si>
  <si>
    <t>아스칼론 방어구(암살자)</t>
  </si>
  <si>
    <t>아스칼론 방어구(궁수)</t>
  </si>
  <si>
    <t>아스칼론 방어구(기계공)</t>
  </si>
  <si>
    <t>아스칼론 방어구(마법사)</t>
  </si>
  <si>
    <t>아스칼론 방어구(사제)</t>
  </si>
  <si>
    <t>아스칼론 보조 장비(기사)</t>
  </si>
  <si>
    <t>아스칼론 보조 장비(전사)</t>
  </si>
  <si>
    <t>아스칼론 보조 장비(암살자)</t>
  </si>
  <si>
    <t>아스칼론 보조 장비(궁수)</t>
  </si>
  <si>
    <t>아스칼론 보조 장비(기계공)</t>
  </si>
  <si>
    <t>아스칼론 보조 장비(마법사)</t>
  </si>
  <si>
    <t>아스칼론 보조 장비(사제)</t>
  </si>
  <si>
    <t>아스칼론 반지(기사)</t>
  </si>
  <si>
    <t>아스칼론 반지(전사)</t>
  </si>
  <si>
    <t>아스칼론 반지(암살자)</t>
  </si>
  <si>
    <t>아스칼론 반지(궁수)</t>
  </si>
  <si>
    <t>아스칼론 반지(기계공)</t>
  </si>
  <si>
    <t>아스칼론 반지(마법사)</t>
  </si>
  <si>
    <t>아스칼론 반지(사제)</t>
  </si>
  <si>
    <t>아스칼론 귀걸이(기사)</t>
  </si>
  <si>
    <t>아스칼론 귀걸이(전사)</t>
  </si>
  <si>
    <t>아스칼론 귀걸이(암살자)</t>
  </si>
  <si>
    <t>아스칼론 귀걸이(궁수)</t>
  </si>
  <si>
    <t>아스칼론 귀걸이(기계공)</t>
  </si>
  <si>
    <t>아스칼론 귀걸이(마법사)</t>
  </si>
  <si>
    <t>아스칼론 귀걸이(사제)</t>
  </si>
  <si>
    <t>아스칼론 목걸이(기사)</t>
  </si>
  <si>
    <t>아스칼론 목걸이(전사)</t>
  </si>
  <si>
    <t>아스칼론 목걸이(암살자)</t>
  </si>
  <si>
    <t>아스칼론 목걸이(궁수)</t>
  </si>
  <si>
    <t>아스칼론 목걸이(기계공)</t>
  </si>
  <si>
    <t>아스칼론 목걸이(마법사)</t>
  </si>
  <si>
    <t>아스칼론 목걸이(사제)</t>
  </si>
  <si>
    <t>아스칼론 팔찌(기사)</t>
  </si>
  <si>
    <t>아스칼론 팔찌(전사)</t>
  </si>
  <si>
    <t>아스칼론 팔찌(암살자)</t>
  </si>
  <si>
    <t>아스칼론 팔찌(궁수)</t>
  </si>
  <si>
    <t>아스칼론 팔찌(기계공)</t>
  </si>
  <si>
    <t>아스칼론 팔찌(마법사)</t>
  </si>
  <si>
    <t>아스칼론 팔찌(사제)</t>
  </si>
  <si>
    <t>아스칼론 보주(기사)</t>
  </si>
  <si>
    <t>아스칼론 보주(전사)</t>
  </si>
  <si>
    <t>아스칼론 보주(암살자)</t>
  </si>
  <si>
    <t>아스칼론 보주(궁수)</t>
  </si>
  <si>
    <t>아스칼론 보주(기계공)</t>
  </si>
  <si>
    <t>아스칼론 보주(마법사)</t>
  </si>
  <si>
    <t>아스칼론 보주(사제)</t>
  </si>
  <si>
    <t>되찾은 인고의 수호 중갑</t>
  </si>
  <si>
    <t>되찾은 인고의 수호 방패</t>
  </si>
  <si>
    <t>되찾은 인고의 수호 반지</t>
  </si>
  <si>
    <t>되찾은 인고의 수호 귀걸이</t>
  </si>
  <si>
    <t>되찾은 인고의 수호 목걸이</t>
  </si>
  <si>
    <t>되찾은 인고의 수호 팔찌</t>
  </si>
  <si>
    <t>되찾은 인고의 수호 보주</t>
  </si>
  <si>
    <t>되찾은 희망의 수호 중갑</t>
  </si>
  <si>
    <t>되찾은 희망의 수호 방패</t>
  </si>
  <si>
    <t>되찾은 희망의 수호 반지</t>
  </si>
  <si>
    <t>되찾은 희망의 수호 귀걸이</t>
  </si>
  <si>
    <t>되찾은 희망의 수호 목걸이</t>
  </si>
  <si>
    <t>되찾은 희망의 수호 팔찌</t>
  </si>
  <si>
    <t>되찾은 희망의 수호 보주</t>
  </si>
  <si>
    <t>되찾은 권능의 수호 중갑</t>
  </si>
  <si>
    <t>되찾은 권능의 수호 방패</t>
  </si>
  <si>
    <t>되찾은 권능의 수호 반지</t>
  </si>
  <si>
    <t>되찾은 권능의 수호 귀걸이</t>
  </si>
  <si>
    <t>되찾은 권능의 수호 목걸이</t>
  </si>
  <si>
    <t>되찾은 권능의 수호 팔찌</t>
  </si>
  <si>
    <t>되찾은 권능의 수호 보주</t>
  </si>
  <si>
    <t>되찾은 인고의 용기 갑주</t>
  </si>
  <si>
    <t>되찾은 인고의 용기 투구</t>
  </si>
  <si>
    <t>되찾은 인고의 용기 반지</t>
  </si>
  <si>
    <t>되찾은 인고의 용기 귀걸이</t>
  </si>
  <si>
    <t>되찾은 인고의 용기 목걸이</t>
  </si>
  <si>
    <t>되찾은 인고의 용기 팔찌</t>
  </si>
  <si>
    <t>되찾은 인고의 용기 보주</t>
  </si>
  <si>
    <t>되찾은 희망의 용기 갑주</t>
  </si>
  <si>
    <t>되찾은 희망의 용기 투구</t>
  </si>
  <si>
    <t>되찾은 희망의 용기 반지</t>
  </si>
  <si>
    <t>되찾은 희망의 용기 귀걸이</t>
  </si>
  <si>
    <t>되찾은 희망의 용기 목걸이</t>
  </si>
  <si>
    <t>되찾은 희망의 용기 팔찌</t>
  </si>
  <si>
    <t>되찾은 희망의 용기 보주</t>
  </si>
  <si>
    <t>되찾은 권능의 용기 갑주</t>
  </si>
  <si>
    <t>되찾은 권능의 용기 투구</t>
  </si>
  <si>
    <t>되찾은 권능의 용기 반지</t>
  </si>
  <si>
    <t>되찾은 권능의 용기 귀걸이</t>
  </si>
  <si>
    <t>되찾은 권능의 용기 목걸이</t>
  </si>
  <si>
    <t>되찾은 권능의 용기 팔찌</t>
  </si>
  <si>
    <t>되찾은 권능의 용기 보주</t>
  </si>
  <si>
    <t>되찾은 인고의 냉혈 재킷</t>
  </si>
  <si>
    <t>되찾은 인고의 냉혈 장갑</t>
  </si>
  <si>
    <t>되찾은 인고의 냉혈 반지</t>
  </si>
  <si>
    <t>되찾은 인고의 냉혈 귀걸이</t>
  </si>
  <si>
    <t>되찾은 인고의 냉혈 목걸이</t>
  </si>
  <si>
    <t>되찾은 인고의 냉혈 팔찌</t>
  </si>
  <si>
    <t>되찾은 인고의 냉혈 보주</t>
  </si>
  <si>
    <t>되찾은 희망의 냉혈 재킷</t>
  </si>
  <si>
    <t>되찾은 희망의 냉혈 장갑</t>
  </si>
  <si>
    <t>되찾은 희망의 냉혈 반지</t>
  </si>
  <si>
    <t>되찾은 희망의 냉혈 귀걸이</t>
  </si>
  <si>
    <t>되찾은 희망의 냉혈 목걸이</t>
  </si>
  <si>
    <t>되찾은 희망의 냉혈 팔찌</t>
  </si>
  <si>
    <t>되찾은 희망의 냉혈 보주</t>
  </si>
  <si>
    <t>되찾은 권능의 냉혈 재킷</t>
  </si>
  <si>
    <t>되찾은 권능의 냉혈 장갑</t>
  </si>
  <si>
    <t>되찾은 권능의 냉혈 반지</t>
  </si>
  <si>
    <t>되찾은 권능의 냉혈 귀걸이</t>
  </si>
  <si>
    <t>되찾은 권능의 냉혈 목걸이</t>
  </si>
  <si>
    <t>되찾은 권능의 냉혈 팔찌</t>
  </si>
  <si>
    <t>되찾은 권능의 냉혈 보주</t>
  </si>
  <si>
    <t>되찾은 인고의 분노 견갑</t>
  </si>
  <si>
    <t>되찾은 인고의 분노 망토</t>
  </si>
  <si>
    <t>되찾은 인고의 분노 반지</t>
  </si>
  <si>
    <t>되찾은 인고의 분노 귀걸이</t>
  </si>
  <si>
    <t>되찾은 인고의 분노 목걸이</t>
  </si>
  <si>
    <t>되찾은 인고의 분노 팔찌</t>
  </si>
  <si>
    <t>되찾은 인고의 분노 보주</t>
  </si>
  <si>
    <t>되찾은 희망의 분노 견갑</t>
  </si>
  <si>
    <t>되찾은 희망의 분노 망토</t>
  </si>
  <si>
    <t>되찾은 희망의 분노 반지</t>
  </si>
  <si>
    <t>되찾은 희망의 분노 귀걸이</t>
  </si>
  <si>
    <t>되찾은 희망의 분노 목걸이</t>
  </si>
  <si>
    <t>되찾은 희망의 분노 팔찌</t>
  </si>
  <si>
    <t>되찾은 희망의 분노 보주</t>
  </si>
  <si>
    <t>되찾은 권능의 분노 견갑</t>
  </si>
  <si>
    <t>되찾은 권능의 분노 망토</t>
  </si>
  <si>
    <t>되찾은 권능의 분노 반지</t>
  </si>
  <si>
    <t>되찾은 권능의 분노 귀걸이</t>
  </si>
  <si>
    <t>되찾은 권능의 분노 목걸이</t>
  </si>
  <si>
    <t>되찾은 권능의 분노 팔찌</t>
  </si>
  <si>
    <t>되찾은 권능의 분노 보주</t>
  </si>
  <si>
    <t>되찾은 인고의 열정 의복</t>
  </si>
  <si>
    <t>되찾은 인고의 열정 신발</t>
  </si>
  <si>
    <t>되찾은 인고의 열정 반지</t>
  </si>
  <si>
    <t>되찾은 인고의 열정 귀걸이</t>
  </si>
  <si>
    <t>되찾은 인고의 열정 목걸이</t>
  </si>
  <si>
    <t>되찾은 인고의 열정 팔찌</t>
  </si>
  <si>
    <t>되찾은 인고의 열정 보주</t>
  </si>
  <si>
    <t>되찾은 희망의 열정 의복</t>
  </si>
  <si>
    <t>되찾은 희망의 열정 신발</t>
  </si>
  <si>
    <t>되찾은 희망의 열정 반지</t>
  </si>
  <si>
    <t>되찾은 희망의 열정 귀걸이</t>
  </si>
  <si>
    <t>되찾은 희망의 열정 목걸이</t>
  </si>
  <si>
    <t>되찾은 희망의 열정 팔찌</t>
  </si>
  <si>
    <t>되찾은 희망의 열정 보주</t>
  </si>
  <si>
    <t>되찾은 권능의 열정 의복</t>
  </si>
  <si>
    <t>되찾은 권능의 열정 신발</t>
  </si>
  <si>
    <t>되찾은 권능의 열정 반지</t>
  </si>
  <si>
    <t>되찾은 권능의 열정 귀걸이</t>
  </si>
  <si>
    <t>되찾은 권능의 열정 목걸이</t>
  </si>
  <si>
    <t>되찾은 권능의 열정 팔찌</t>
  </si>
  <si>
    <t>되찾은 권능의 열정 보주</t>
  </si>
  <si>
    <t>되찾은 인고의 지혜 로브</t>
  </si>
  <si>
    <t>되찾은 인고의 지혜 모자</t>
  </si>
  <si>
    <t>되찾은 인고의 지혜 반지</t>
  </si>
  <si>
    <t>되찾은 인고의 지혜 귀걸이</t>
  </si>
  <si>
    <t>되찾은 인고의 지혜 목걸이</t>
  </si>
  <si>
    <t>되찾은 인고의 지혜 팔찌</t>
  </si>
  <si>
    <t>되찾은 인고의 지혜 보주</t>
  </si>
  <si>
    <t>되찾은 희망의 지혜 로브</t>
  </si>
  <si>
    <t>되찾은 희망의 지혜 모자</t>
  </si>
  <si>
    <t>되찾은 희망의 지혜 반지</t>
  </si>
  <si>
    <t>되찾은 희망의 지혜 귀걸이</t>
  </si>
  <si>
    <t>되찾은 희망의 지혜 목걸이</t>
  </si>
  <si>
    <t>되찾은 희망의 지혜 팔찌</t>
  </si>
  <si>
    <t>되찾은 희망의 지혜 보주</t>
  </si>
  <si>
    <t>되찾은 권능의 지혜 로브</t>
  </si>
  <si>
    <t>되찾은 권능의 지혜 모자</t>
  </si>
  <si>
    <t>되찾은 권능의 지혜 반지</t>
  </si>
  <si>
    <t>되찾은 권능의 지혜 귀걸이</t>
  </si>
  <si>
    <t>되찾은 권능의 지혜 목걸이</t>
  </si>
  <si>
    <t>되찾은 권능의 지혜 팔찌</t>
  </si>
  <si>
    <t>되찾은 권능의 지혜 보주</t>
  </si>
  <si>
    <t>되찾은 인고의 가호 케이프</t>
  </si>
  <si>
    <t>되찾은 인고의 가호 후드</t>
  </si>
  <si>
    <t>되찾은 인고의 가호 반지</t>
  </si>
  <si>
    <t>되찾은 인고의 가호 귀걸이</t>
  </si>
  <si>
    <t>되찾은 인고의 가호 목걸이</t>
  </si>
  <si>
    <t>되찾은 인고의 가호 팔찌</t>
  </si>
  <si>
    <t>되찾은 인고의 가호 보주</t>
  </si>
  <si>
    <t>되찾은 희망의 가호 케이프</t>
  </si>
  <si>
    <t>되찾은 희망의 가호 후드</t>
  </si>
  <si>
    <t>되찾은 희망의 가호 반지</t>
  </si>
  <si>
    <t>되찾은 희망의 가호 귀걸이</t>
  </si>
  <si>
    <t>되찾은 희망의 가호 목걸이</t>
  </si>
  <si>
    <t>되찾은 희망의 가호 팔찌</t>
  </si>
  <si>
    <t>되찾은 희망의 가호 보주</t>
  </si>
  <si>
    <t>되찾은 권능의 가호 케이프</t>
  </si>
  <si>
    <t>되찾은 권능의 가호 후드</t>
  </si>
  <si>
    <t>되찾은 권능의 가호 반지</t>
  </si>
  <si>
    <t>되찾은 권능의 가호 귀걸이</t>
  </si>
  <si>
    <t>되찾은 권능의 가호 목걸이</t>
  </si>
  <si>
    <t>되찾은 권능의 가호 팔찌</t>
  </si>
  <si>
    <t>되찾은 권능의 가호 보주</t>
  </si>
  <si>
    <t>상급 갈고리아 방어구(기사)</t>
  </si>
  <si>
    <t>상급 갈고리아 보조 장비(기사)</t>
  </si>
  <si>
    <t>상급 갈고리아 반지(기사)</t>
  </si>
  <si>
    <t>상급 갈고리아 귀걸이(기사)</t>
  </si>
  <si>
    <t>상급 갈고리아 목걸이(기사)</t>
  </si>
  <si>
    <t>상급 갈고리아 팔찌(기사)</t>
  </si>
  <si>
    <t>상급 갈고리아 보주(기사)</t>
  </si>
  <si>
    <t>상급 지크프리트 방어구(기사)</t>
  </si>
  <si>
    <t>상급 지크프리트 보조 장비(기사)</t>
  </si>
  <si>
    <t>상급 지크프리트 반지(기사)</t>
  </si>
  <si>
    <t>상급 지크프리트 귀걸이(기사)</t>
  </si>
  <si>
    <t>상급 지크프리트 목걸이(기사)</t>
  </si>
  <si>
    <t>상급 지크프리트 팔찌(기사)</t>
  </si>
  <si>
    <t>상급 지크프리트 보주(기사)</t>
  </si>
  <si>
    <t>상급 아스칼론 방어구(기사)</t>
  </si>
  <si>
    <t>상급 아스칼론 보조 장비(기사)</t>
  </si>
  <si>
    <t>상급 아스칼론 반지(기사)</t>
  </si>
  <si>
    <t>상급 아스칼론 귀걸이(기사)</t>
  </si>
  <si>
    <t>상급 아스칼론 목걸이(기사)</t>
  </si>
  <si>
    <t>상급 아스칼론 팔찌(기사)</t>
  </si>
  <si>
    <t>상급 아스칼론 보주(기사)</t>
  </si>
  <si>
    <t>상급 갈고리아 방어구(전사)</t>
  </si>
  <si>
    <t>상급 갈고리아 보조 장비(전사)</t>
  </si>
  <si>
    <t>상급 갈고리아 반지(전사)</t>
  </si>
  <si>
    <t>상급 갈고리아 귀걸이(전사)</t>
  </si>
  <si>
    <t>상급 갈고리아 목걸이(전사)</t>
  </si>
  <si>
    <t>상급 갈고리아 팔찌(전사)</t>
  </si>
  <si>
    <t>상급 갈고리아 보주(전사)</t>
  </si>
  <si>
    <t>상급 지크프리트 방어구(전사)</t>
  </si>
  <si>
    <t>상급 지크프리트 보조 장비(전사)</t>
  </si>
  <si>
    <t>상급 지크프리트 반지(전사)</t>
  </si>
  <si>
    <t>상급 지크프리트 귀걸이(전사)</t>
  </si>
  <si>
    <t>상급 지크프리트 목걸이(전사)</t>
  </si>
  <si>
    <t>상급 지크프리트 팔찌(전사)</t>
  </si>
  <si>
    <t>상급 지크프리트 보주(전사)</t>
  </si>
  <si>
    <t>상급 아스칼론 방어구(전사)</t>
  </si>
  <si>
    <t>상급 아스칼론 보조 장비(전사)</t>
  </si>
  <si>
    <t>상급 아스칼론 반지(전사)</t>
  </si>
  <si>
    <t>상급 아스칼론 귀걸이(전사)</t>
  </si>
  <si>
    <t>상급 아스칼론 목걸이(전사)</t>
  </si>
  <si>
    <t>상급 아스칼론 팔찌(전사)</t>
  </si>
  <si>
    <t>상급 아스칼론 보주(전사)</t>
  </si>
  <si>
    <t>상급 갈고리아 방어구(암살자)</t>
  </si>
  <si>
    <t>상급 갈고리아 보조 장비(암살자)</t>
  </si>
  <si>
    <t>상급 갈고리아 반지(암살자)</t>
  </si>
  <si>
    <t>상급 갈고리아 귀걸이(암살자)</t>
  </si>
  <si>
    <t>상급 갈고리아 목걸이(암살자)</t>
  </si>
  <si>
    <t>상급 갈고리아 팔찌(암살자)</t>
  </si>
  <si>
    <t>상급 갈고리아 보주(암살자)</t>
  </si>
  <si>
    <t>상급 지크프리트 방어구(암살자)</t>
  </si>
  <si>
    <t>상급 지크프리트 보조 장비(암살자)</t>
  </si>
  <si>
    <t>상급 지크프리트 반지(암살자)</t>
  </si>
  <si>
    <t>상급 지크프리트 귀걸이(암살자)</t>
  </si>
  <si>
    <t>상급 지크프리트 목걸이(암살자)</t>
  </si>
  <si>
    <t>상급 지크프리트 팔찌(암살자)</t>
  </si>
  <si>
    <t>상급 지크프리트 보주(암살자)</t>
  </si>
  <si>
    <t>상급 아스칼론 방어구(암살자)</t>
  </si>
  <si>
    <t>상급 아스칼론 보조 장비(암살자)</t>
  </si>
  <si>
    <t>상급 아스칼론 반지(암살자)</t>
  </si>
  <si>
    <t>상급 아스칼론 귀걸이(암살자)</t>
  </si>
  <si>
    <t>상급 아스칼론 목걸이(암살자)</t>
  </si>
  <si>
    <t>상급 아스칼론 팔찌(암살자)</t>
  </si>
  <si>
    <t>상급 아스칼론 보주(암살자)</t>
  </si>
  <si>
    <t>상급 갈고리아 방어구(궁수)</t>
  </si>
  <si>
    <t>상급 갈고리아 보조 장비(궁수)</t>
  </si>
  <si>
    <t>상급 갈고리아 반지(궁수)</t>
  </si>
  <si>
    <t>상급 갈고리아 귀걸이(궁수)</t>
  </si>
  <si>
    <t>상급 갈고리아 목걸이(궁수)</t>
  </si>
  <si>
    <t>상급 갈고리아 팔찌(궁수)</t>
  </si>
  <si>
    <t>상급 갈고리아 보주(궁수)</t>
  </si>
  <si>
    <t>상급 지크프리트 방어구(궁수)</t>
  </si>
  <si>
    <t>상급 지크프리트 보조 장비(궁수)</t>
  </si>
  <si>
    <t>상급 지크프리트 반지(궁수)</t>
  </si>
  <si>
    <t>상급 지크프리트 귀걸이(궁수)</t>
  </si>
  <si>
    <t>상급 지크프리트 목걸이(궁수)</t>
  </si>
  <si>
    <t>상급 지크프리트 팔찌(궁수)</t>
  </si>
  <si>
    <t>상급 지크프리트 보주(궁수)</t>
  </si>
  <si>
    <t>상급 아스칼론 방어구(궁수)</t>
  </si>
  <si>
    <t>상급 아스칼론 보조 장비(궁수)</t>
  </si>
  <si>
    <t>상급 아스칼론 반지(궁수)</t>
  </si>
  <si>
    <t>상급 아스칼론 귀걸이(궁수)</t>
  </si>
  <si>
    <t>상급 아스칼론 목걸이(궁수)</t>
  </si>
  <si>
    <t>상급 아스칼론 팔찌(궁수)</t>
  </si>
  <si>
    <t>상급 아스칼론 보주(궁수)</t>
  </si>
  <si>
    <t>상급 갈고리아 방어구(기계공)</t>
  </si>
  <si>
    <t>상급 갈고리아 보조 장비(기계공)</t>
  </si>
  <si>
    <t>상급 갈고리아 반지(기계공)</t>
  </si>
  <si>
    <t>상급 갈고리아 귀걸이(기계공)</t>
  </si>
  <si>
    <t>상급 갈고리아 목걸이(기계공)</t>
  </si>
  <si>
    <t>상급 갈고리아 팔찌(기계공)</t>
  </si>
  <si>
    <t>상급 갈고리아 보주(기계공)</t>
  </si>
  <si>
    <t>상급 지크프리트 방어구(기계공)</t>
  </si>
  <si>
    <t>상급 지크프리트 보조 장비(기계공)</t>
  </si>
  <si>
    <t>상급 지크프리트 반지(기계공)</t>
  </si>
  <si>
    <t>상급 지크프리트 귀걸이(기계공)</t>
  </si>
  <si>
    <t>상급 지크프리트 목걸이(기계공)</t>
  </si>
  <si>
    <t>상급 지크프리트 팔찌(기계공)</t>
  </si>
  <si>
    <t>상급 지크프리트 보주(기계공)</t>
  </si>
  <si>
    <t>상급 아스칼론 방어구(기계공)</t>
  </si>
  <si>
    <t>상급 아스칼론 보조 장비(기계공)</t>
  </si>
  <si>
    <t>상급 아스칼론 반지(기계공)</t>
  </si>
  <si>
    <t>상급 아스칼론 귀걸이(기계공)</t>
  </si>
  <si>
    <t>상급 아스칼론 목걸이(기계공)</t>
  </si>
  <si>
    <t>상급 아스칼론 팔찌(기계공)</t>
  </si>
  <si>
    <t>상급 아스칼론 보주(기계공)</t>
  </si>
  <si>
    <t>상급 갈고리아 방어구(마법사)</t>
  </si>
  <si>
    <t>상급 갈고리아 보조 장비(마법사)</t>
  </si>
  <si>
    <t>상급 갈고리아 반지(마법사)</t>
  </si>
  <si>
    <t>상급 갈고리아 귀걸이(마법사)</t>
  </si>
  <si>
    <t>상급 갈고리아 목걸이(마법사)</t>
  </si>
  <si>
    <t>상급 갈고리아 팔찌(마법사)</t>
  </si>
  <si>
    <t>상급 갈고리아 보주(마법사)</t>
  </si>
  <si>
    <t>상급 지크프리트 방어구(마법사)</t>
  </si>
  <si>
    <t>상급 지크프리트 보조 장비(마법사)</t>
  </si>
  <si>
    <t>상급 지크프리트 반지(마법사)</t>
  </si>
  <si>
    <t>상급 지크프리트 귀걸이(마법사)</t>
  </si>
  <si>
    <t>상급 지크프리트 목걸이(마법사)</t>
  </si>
  <si>
    <t>상급 지크프리트 팔찌(마법사)</t>
  </si>
  <si>
    <t>상급 지크프리트 보주(마법사)</t>
  </si>
  <si>
    <t>상급 아스칼론 방어구(마법사)</t>
  </si>
  <si>
    <t>상급 아스칼론 보조 장비(마법사)</t>
  </si>
  <si>
    <t>상급 아스칼론 반지(마법사)</t>
  </si>
  <si>
    <t>상급 아스칼론 귀걸이(마법사)</t>
  </si>
  <si>
    <t>상급 아스칼론 목걸이(마법사)</t>
  </si>
  <si>
    <t>상급 아스칼론 팔찌(마법사)</t>
  </si>
  <si>
    <t>상급 아스칼론 보주(마법사)</t>
  </si>
  <si>
    <t>상급 갈고리아 방어구(사제)</t>
  </si>
  <si>
    <t>상급 갈고리아 보조 장비(사제)</t>
  </si>
  <si>
    <t>상급 갈고리아 반지(사제)</t>
  </si>
  <si>
    <t>상급 갈고리아 귀걸이(사제)</t>
  </si>
  <si>
    <t>상급 갈고리아 목걸이(사제)</t>
  </si>
  <si>
    <t>상급 갈고리아 팔찌(사제)</t>
  </si>
  <si>
    <t>상급 갈고리아 보주(사제)</t>
  </si>
  <si>
    <t>상급 지크프리트 방어구(사제)</t>
  </si>
  <si>
    <t>상급 지크프리트 보조 장비(사제)</t>
  </si>
  <si>
    <t>상급 지크프리트 반지(사제)</t>
  </si>
  <si>
    <t>상급 지크프리트 귀걸이(사제)</t>
  </si>
  <si>
    <t>상급 지크프리트 목걸이(사제)</t>
  </si>
  <si>
    <t>상급 지크프리트 팔찌(사제)</t>
  </si>
  <si>
    <t>상급 지크프리트 보주(사제)</t>
  </si>
  <si>
    <t>상급 아스칼론 방어구(사제)</t>
  </si>
  <si>
    <t>상급 아스칼론 보조 장비(사제)</t>
  </si>
  <si>
    <t>상급 아스칼론 반지(사제)</t>
  </si>
  <si>
    <t>상급 아스칼론 귀걸이(사제)</t>
  </si>
  <si>
    <t>상급 아스칼론 목걸이(사제)</t>
  </si>
  <si>
    <t>상급 아스칼론 팔찌(사제)</t>
  </si>
  <si>
    <t>상급 아스칼론 보주(사제)</t>
  </si>
  <si>
    <t>9011</t>
    <phoneticPr fontId="4" type="noConversion"/>
  </si>
  <si>
    <t>9012</t>
    <phoneticPr fontId="4" type="noConversion"/>
  </si>
  <si>
    <t>9013</t>
    <phoneticPr fontId="4" type="noConversion"/>
  </si>
  <si>
    <t>1101</t>
    <phoneticPr fontId="4" type="noConversion"/>
  </si>
  <si>
    <t>1102</t>
    <phoneticPr fontId="4" type="noConversion"/>
  </si>
  <si>
    <t>10001</t>
    <phoneticPr fontId="4" type="noConversion"/>
  </si>
  <si>
    <t>10002</t>
    <phoneticPr fontId="4" type="noConversion"/>
  </si>
  <si>
    <t>10003</t>
    <phoneticPr fontId="4" type="noConversion"/>
  </si>
  <si>
    <t>10004</t>
    <phoneticPr fontId="4" type="noConversion"/>
  </si>
  <si>
    <t>18</t>
    <phoneticPr fontId="4" type="noConversion"/>
  </si>
  <si>
    <t>증폭의 마도 갑주</t>
  </si>
  <si>
    <t>증폭의 마도 조끼</t>
  </si>
  <si>
    <t>증폭의 마도 로브</t>
  </si>
  <si>
    <t>증폭의 마도 방패</t>
  </si>
  <si>
    <t>증폭의 마도 신발</t>
  </si>
  <si>
    <t>증폭의 마도 모자</t>
  </si>
  <si>
    <t>증폭의 마도 보주</t>
  </si>
  <si>
    <t>8T 마도공학 아이템</t>
    <phoneticPr fontId="4" type="noConversion"/>
  </si>
  <si>
    <t>TECHNOMAGIC_LEGEND_8_1_2</t>
  </si>
  <si>
    <t>TECHNOMAGIC_LEGEND_8_1_3</t>
  </si>
  <si>
    <t>TECHNOMAGIC_LEGEND_8_1_4</t>
  </si>
  <si>
    <t>TECHNOMAGIC_LEGEND_8_1_5</t>
  </si>
  <si>
    <t>TECHNOMAGIC_LEGEND_8_1_6</t>
  </si>
  <si>
    <t>TECHNOMAGIC_LEGEND_8_1_7</t>
  </si>
  <si>
    <t>TECHNOMAGIC_LEGEND_8_1_8</t>
  </si>
  <si>
    <t>TECHNOMAGIC_LEGEND_8_1_9</t>
  </si>
  <si>
    <t>TECHNOMAGIC_LEGEND_8_1_1</t>
  </si>
  <si>
    <t>TECHNOMAGIC_WIZARD_9_1_1</t>
  </si>
  <si>
    <t>TECHNOMAGIC_WIZARD_9_2_1</t>
  </si>
  <si>
    <t>TECHNOMAGIC_WIZARD_9_3_1</t>
  </si>
  <si>
    <t>TECHNOMAGIC_WIZARD_9_4_1</t>
  </si>
  <si>
    <t>TECHNOMAGIC_WIZARD_9_5_1</t>
  </si>
  <si>
    <t>TECHNOMAGIC_WIZARD_9_6_1</t>
  </si>
  <si>
    <t>TECHNOMAGIC_WIZARD_9_7_1</t>
  </si>
  <si>
    <t>TECHNOMAGIC_WIZARD_9_1_2</t>
  </si>
  <si>
    <t>TECHNOMAGIC_WIZARD_9_2_2</t>
  </si>
  <si>
    <t>TECHNOMAGIC_WIZARD_9_3_2</t>
  </si>
  <si>
    <t>TECHNOMAGIC_WIZARD_9_4_2</t>
  </si>
  <si>
    <t>TECHNOMAGIC_WIZARD_9_5_2</t>
  </si>
  <si>
    <t>TECHNOMAGIC_WIZARD_9_6_2</t>
  </si>
  <si>
    <t>TECHNOMAGIC_WIZARD_9_7_2</t>
  </si>
  <si>
    <t>TECHNOMAGIC_WIZARD_9_1_3</t>
  </si>
  <si>
    <t>TECHNOMAGIC_WIZARD_9_2_3</t>
  </si>
  <si>
    <t>TECHNOMAGIC_WIZARD_9_3_3</t>
  </si>
  <si>
    <t>TECHNOMAGIC_WIZARD_9_4_3</t>
  </si>
  <si>
    <t>TECHNOMAGIC_WIZARD_9_5_3</t>
  </si>
  <si>
    <t>TECHNOMAGIC_WIZARD_9_6_3</t>
  </si>
  <si>
    <t>TECHNOMAGIC_WIZARD_9_7_3</t>
  </si>
  <si>
    <t>RESTORE_TECHNOMAGIC_WIZARD_9_1_1</t>
  </si>
  <si>
    <t>RESTORE_TECHNOMAGIC_WIZARD_9_2_1</t>
  </si>
  <si>
    <t>RESTORE_TECHNOMAGIC_WIZARD_9_3_1</t>
  </si>
  <si>
    <t>RESTORE_TECHNOMAGIC_WIZARD_9_4_1</t>
  </si>
  <si>
    <t>RESTORE_TECHNOMAGIC_WIZARD_9_5_1</t>
  </si>
  <si>
    <t>RESTORE_TECHNOMAGIC_WIZARD_9_6_1</t>
  </si>
  <si>
    <t>RESTORE_TECHNOMAGIC_WIZARD_9_7_1</t>
  </si>
  <si>
    <t>RESTORE_TECHNOMAGIC_WIZARD_9_1_2</t>
  </si>
  <si>
    <t>RESTORE_TECHNOMAGIC_WIZARD_9_2_2</t>
  </si>
  <si>
    <t>RESTORE_TECHNOMAGIC_WIZARD_9_3_2</t>
  </si>
  <si>
    <t>RESTORE_TECHNOMAGIC_WIZARD_9_4_2</t>
  </si>
  <si>
    <t>RESTORE_TECHNOMAGIC_WIZARD_9_5_2</t>
  </si>
  <si>
    <t>RESTORE_TECHNOMAGIC_WIZARD_9_6_2</t>
  </si>
  <si>
    <t>RESTORE_TECHNOMAGIC_WIZARD_9_7_2</t>
  </si>
  <si>
    <t>RESTORE_TECHNOMAGIC_WIZARD_9_1_3</t>
  </si>
  <si>
    <t>RESTORE_TECHNOMAGIC_WIZARD_9_2_3</t>
  </si>
  <si>
    <t>RESTORE_TECHNOMAGIC_WIZARD_9_3_3</t>
  </si>
  <si>
    <t>RESTORE_TECHNOMAGIC_WIZARD_9_4_3</t>
  </si>
  <si>
    <t>RESTORE_TECHNOMAGIC_WIZARD_9_5_3</t>
  </si>
  <si>
    <t>RESTORE_TECHNOMAGIC_WIZARD_9_6_3</t>
  </si>
  <si>
    <t>RESTORE_TECHNOMAGIC_WIZARD_9_7_3</t>
  </si>
  <si>
    <t>SetGroupType</t>
    <phoneticPr fontId="4" type="noConversion"/>
  </si>
  <si>
    <t>Gargoria</t>
    <phoneticPr fontId="4" type="noConversion"/>
  </si>
  <si>
    <t>Ascalon</t>
    <phoneticPr fontId="4" type="noConversion"/>
  </si>
  <si>
    <t>Siegfried</t>
    <phoneticPr fontId="4" type="noConversion"/>
  </si>
  <si>
    <t>증폭의 마도 반지</t>
    <phoneticPr fontId="4" type="noConversion"/>
  </si>
  <si>
    <t>증폭의 마도 귀걸이</t>
    <phoneticPr fontId="4" type="noConversion"/>
  </si>
  <si>
    <t>6395</t>
    <phoneticPr fontId="4" type="noConversion"/>
  </si>
  <si>
    <t>272354</t>
    <phoneticPr fontId="4" type="noConversion"/>
  </si>
  <si>
    <t>5925</t>
    <phoneticPr fontId="4" type="noConversion"/>
  </si>
  <si>
    <t>4263</t>
    <phoneticPr fontId="4" type="noConversion"/>
  </si>
  <si>
    <t>2132</t>
    <phoneticPr fontId="4" type="noConversion"/>
  </si>
  <si>
    <t>WEAPON_UNIQUE_ISOLET_1</t>
    <phoneticPr fontId="4" type="noConversion"/>
  </si>
  <si>
    <t>이솔렛 무기</t>
    <phoneticPr fontId="4" type="noConversion"/>
  </si>
  <si>
    <t xml:space="preserve">어둠을 무릎꿇린 자, 델 테라비온 </t>
    <phoneticPr fontId="4" type="noConversion"/>
  </si>
  <si>
    <t>TREASURE_UNIQUE_ISOLET_1</t>
    <phoneticPr fontId="4" type="noConversion"/>
  </si>
  <si>
    <t>TREASURE_UNIQUE_ISOLET_2</t>
    <phoneticPr fontId="4" type="noConversion"/>
  </si>
  <si>
    <t>TREASURE_UNIQUE_ISOLET_4</t>
    <phoneticPr fontId="4" type="noConversion"/>
  </si>
  <si>
    <t>TREASURE_UNIQUE_ISOLET_3</t>
    <phoneticPr fontId="4" type="noConversion"/>
  </si>
  <si>
    <t>탱커</t>
  </si>
  <si>
    <t>보주</t>
  </si>
  <si>
    <t>딜러</t>
  </si>
  <si>
    <t>장신구</t>
  </si>
  <si>
    <t>보조장비</t>
  </si>
  <si>
    <t>방어구</t>
  </si>
  <si>
    <t>(Grade 6)</t>
    <phoneticPr fontId="9" type="noConversion"/>
  </si>
  <si>
    <t>(Grade 4~5)</t>
    <phoneticPr fontId="9" type="noConversion"/>
  </si>
  <si>
    <t>(Grade 3)</t>
    <phoneticPr fontId="9" type="noConversion"/>
  </si>
  <si>
    <t>(Grade 2)</t>
    <phoneticPr fontId="9" type="noConversion"/>
  </si>
  <si>
    <t>설명</t>
    <phoneticPr fontId="9" type="noConversion"/>
  </si>
  <si>
    <t>옵션개수</t>
    <phoneticPr fontId="9" type="noConversion"/>
  </si>
  <si>
    <t>탱커</t>
    <phoneticPr fontId="9" type="noConversion"/>
  </si>
  <si>
    <t>딜러</t>
    <phoneticPr fontId="9" type="noConversion"/>
  </si>
  <si>
    <t>넘버링</t>
    <phoneticPr fontId="9" type="noConversion"/>
  </si>
  <si>
    <t>타입</t>
    <phoneticPr fontId="9" type="noConversion"/>
  </si>
  <si>
    <t>무기는 장신구로 간주하고 입력</t>
    <phoneticPr fontId="9" type="noConversion"/>
  </si>
  <si>
    <t xml:space="preserve">       </t>
    <phoneticPr fontId="9" type="noConversion"/>
  </si>
  <si>
    <t>보주</t>
    <phoneticPr fontId="9" type="noConversion"/>
  </si>
  <si>
    <t xml:space="preserve">    </t>
    <phoneticPr fontId="9" type="noConversion"/>
  </si>
  <si>
    <t>장신구</t>
    <phoneticPr fontId="9" type="noConversion"/>
  </si>
  <si>
    <t xml:space="preserve"> </t>
    <phoneticPr fontId="9" type="noConversion"/>
  </si>
  <si>
    <t>보조장비</t>
    <phoneticPr fontId="9" type="noConversion"/>
  </si>
  <si>
    <t>방어구</t>
    <phoneticPr fontId="9" type="noConversion"/>
  </si>
  <si>
    <t>띄어쓰기</t>
    <phoneticPr fontId="9" type="noConversion"/>
  </si>
  <si>
    <t>장비종류</t>
    <phoneticPr fontId="9" type="noConversion"/>
  </si>
  <si>
    <t>OptionIndex[]</t>
    <phoneticPr fontId="9" type="noConversion"/>
  </si>
  <si>
    <t>(DESC)</t>
    <phoneticPr fontId="9" type="noConversion"/>
  </si>
  <si>
    <t>Index</t>
    <phoneticPr fontId="9" type="noConversion"/>
  </si>
  <si>
    <t>검색용</t>
    <phoneticPr fontId="9" type="noConversion"/>
  </si>
  <si>
    <t>번호</t>
    <phoneticPr fontId="9" type="noConversion"/>
  </si>
  <si>
    <t>Index3</t>
    <phoneticPr fontId="9" type="noConversion"/>
  </si>
  <si>
    <t>Index2</t>
    <phoneticPr fontId="9" type="noConversion"/>
  </si>
  <si>
    <t>Index1</t>
    <phoneticPr fontId="9" type="noConversion"/>
  </si>
  <si>
    <t>Index</t>
  </si>
  <si>
    <t>옵션4</t>
    <phoneticPr fontId="9" type="noConversion"/>
  </si>
  <si>
    <t>옵션3</t>
    <phoneticPr fontId="9" type="noConversion"/>
  </si>
  <si>
    <t>옵션2</t>
    <phoneticPr fontId="9" type="noConversion"/>
  </si>
  <si>
    <t>옵션1</t>
    <phoneticPr fontId="9" type="noConversion"/>
  </si>
  <si>
    <t>장비종류+옵션타입</t>
    <phoneticPr fontId="9" type="noConversion"/>
  </si>
  <si>
    <t>추가설명</t>
    <phoneticPr fontId="9" type="noConversion"/>
  </si>
  <si>
    <t>옵션타입</t>
    <phoneticPr fontId="9" type="noConversion"/>
  </si>
  <si>
    <t>티어</t>
    <phoneticPr fontId="9" type="noConversion"/>
  </si>
  <si>
    <t>↓ 아래 값을 EquipOptionGroupTable에 복붙</t>
    <phoneticPr fontId="9" type="noConversion"/>
  </si>
  <si>
    <t>체크리스트 검색용</t>
    <phoneticPr fontId="9" type="noConversion"/>
  </si>
  <si>
    <t>계산기</t>
    <phoneticPr fontId="9" type="noConversion"/>
  </si>
  <si>
    <t>OptionGroupIndex[]</t>
    <phoneticPr fontId="9" type="noConversion"/>
  </si>
  <si>
    <t>1차검색</t>
    <phoneticPr fontId="9" type="noConversion"/>
  </si>
  <si>
    <t>장비종류</t>
  </si>
  <si>
    <t>옵션개수</t>
  </si>
  <si>
    <t>티어</t>
  </si>
  <si>
    <t>ModCriticalPower</t>
  </si>
  <si>
    <t>치명타피해_8</t>
  </si>
  <si>
    <t>치명타피해</t>
    <phoneticPr fontId="9" type="noConversion"/>
  </si>
  <si>
    <t>치명타피해_7</t>
  </si>
  <si>
    <t>치명타피해_6</t>
  </si>
  <si>
    <t>치명타피해_5</t>
  </si>
  <si>
    <t>치명타피해_4</t>
  </si>
  <si>
    <t>치명타피해_3</t>
  </si>
  <si>
    <t>치명타피해_2</t>
    <phoneticPr fontId="9" type="noConversion"/>
  </si>
  <si>
    <t>치명타피해_1</t>
    <phoneticPr fontId="9" type="noConversion"/>
  </si>
  <si>
    <t>ModMpOnAttackR</t>
  </si>
  <si>
    <t>공마회_8</t>
  </si>
  <si>
    <t>공마회</t>
    <phoneticPr fontId="9" type="noConversion"/>
  </si>
  <si>
    <t>공마회_7</t>
  </si>
  <si>
    <t>공마회_6</t>
  </si>
  <si>
    <t>공마회_5</t>
  </si>
  <si>
    <t>공마회_4</t>
  </si>
  <si>
    <t>공마회_3</t>
  </si>
  <si>
    <t>공마회_2</t>
    <phoneticPr fontId="9" type="noConversion"/>
  </si>
  <si>
    <t>공마회_1</t>
    <phoneticPr fontId="9" type="noConversion"/>
  </si>
  <si>
    <t>ModMagicalBlockChance</t>
  </si>
  <si>
    <t>마법블록_8</t>
  </si>
  <si>
    <t>마법블록</t>
  </si>
  <si>
    <t>마법블록_7</t>
  </si>
  <si>
    <t>마법블록_6</t>
  </si>
  <si>
    <t>마법블록_5</t>
  </si>
  <si>
    <t>마법블록_4</t>
  </si>
  <si>
    <t>마법블록_3</t>
  </si>
  <si>
    <t>마법블록_2</t>
  </si>
  <si>
    <t>마법블록_1</t>
  </si>
  <si>
    <t>ModAttackSpeed</t>
  </si>
  <si>
    <t>공격속도</t>
    <phoneticPr fontId="9" type="noConversion"/>
  </si>
  <si>
    <t>ModPhysicalBlockChance</t>
  </si>
  <si>
    <t>물리블록</t>
    <phoneticPr fontId="9" type="noConversion"/>
  </si>
  <si>
    <t>None</t>
    <phoneticPr fontId="9" type="noConversion"/>
  </si>
  <si>
    <t>ModCriticalChance</t>
  </si>
  <si>
    <t>치명타확률</t>
  </si>
  <si>
    <t>ModMagicalDefenceR</t>
  </si>
  <si>
    <t>마법방어력</t>
    <phoneticPr fontId="9" type="noConversion"/>
  </si>
  <si>
    <t>SubType</t>
    <phoneticPr fontId="9" type="noConversion"/>
  </si>
  <si>
    <t>ModPhysicalDefenceR</t>
  </si>
  <si>
    <t>물리방어력</t>
    <phoneticPr fontId="9" type="noConversion"/>
  </si>
  <si>
    <t>한글</t>
    <phoneticPr fontId="9" type="noConversion"/>
  </si>
  <si>
    <t>PartType</t>
    <phoneticPr fontId="9" type="noConversion"/>
  </si>
  <si>
    <t>ModMaxHpR</t>
    <phoneticPr fontId="4" type="noConversion"/>
  </si>
  <si>
    <t>체력</t>
    <phoneticPr fontId="9" type="noConversion"/>
  </si>
  <si>
    <t>Grade</t>
    <phoneticPr fontId="9" type="noConversion"/>
  </si>
  <si>
    <t>최대스탯</t>
    <phoneticPr fontId="9" type="noConversion"/>
  </si>
  <si>
    <t>시작스탯</t>
    <phoneticPr fontId="9" type="noConversion"/>
  </si>
  <si>
    <t>치명타피해</t>
  </si>
  <si>
    <t>치명타확률</t>
    <phoneticPr fontId="9" type="noConversion"/>
  </si>
  <si>
    <t>공격력</t>
    <phoneticPr fontId="9" type="noConversion"/>
  </si>
  <si>
    <t>ModPowerR</t>
  </si>
  <si>
    <t>마법블록</t>
    <phoneticPr fontId="9" type="noConversion"/>
  </si>
  <si>
    <t>장비종류_옵션타입</t>
    <phoneticPr fontId="9" type="noConversion"/>
  </si>
  <si>
    <t>OptionType</t>
    <phoneticPr fontId="9" type="noConversion"/>
  </si>
  <si>
    <t>인덱스</t>
    <phoneticPr fontId="9" type="noConversion"/>
  </si>
  <si>
    <t>스탯_티어</t>
    <phoneticPr fontId="9" type="noConversion"/>
  </si>
  <si>
    <t>스탯</t>
    <phoneticPr fontId="9" type="noConversion"/>
  </si>
  <si>
    <t>EquipOptionTable 스탯 정보</t>
    <phoneticPr fontId="9" type="noConversion"/>
  </si>
  <si>
    <t>초반장비개선 데이터 자동 입력 관련 칼럼</t>
  </si>
  <si>
    <t>Index4</t>
    <phoneticPr fontId="9" type="noConversion"/>
  </si>
  <si>
    <t>딜</t>
    <phoneticPr fontId="9" type="noConversion"/>
  </si>
  <si>
    <t>딜/탱/둘다</t>
    <phoneticPr fontId="9" type="noConversion"/>
  </si>
  <si>
    <t>탱</t>
    <phoneticPr fontId="4" type="noConversion"/>
  </si>
  <si>
    <t>둘다</t>
    <phoneticPr fontId="4" type="noConversion"/>
  </si>
  <si>
    <t>OptionGroupIndex[]2</t>
    <phoneticPr fontId="4" type="noConversion"/>
  </si>
  <si>
    <t>3차검색</t>
  </si>
  <si>
    <t>OptionGroupIndex[]22</t>
  </si>
  <si>
    <t>딜러</t>
    <phoneticPr fontId="4" type="noConversion"/>
  </si>
  <si>
    <t>탱커</t>
    <phoneticPr fontId="4" type="noConversion"/>
  </si>
  <si>
    <t>스탯1</t>
    <phoneticPr fontId="9" type="noConversion"/>
  </si>
  <si>
    <t>스탯2</t>
    <phoneticPr fontId="4" type="noConversion"/>
  </si>
  <si>
    <t>코드</t>
    <phoneticPr fontId="9" type="noConversion"/>
  </si>
  <si>
    <t>기사</t>
    <phoneticPr fontId="4" type="noConversion"/>
  </si>
  <si>
    <t>전사</t>
    <phoneticPr fontId="4" type="noConversion"/>
  </si>
  <si>
    <t>암살자</t>
    <phoneticPr fontId="4" type="noConversion"/>
  </si>
  <si>
    <t>궁수</t>
    <phoneticPr fontId="4" type="noConversion"/>
  </si>
  <si>
    <t>기계공</t>
    <phoneticPr fontId="4" type="noConversion"/>
  </si>
  <si>
    <t>법사/사제</t>
    <phoneticPr fontId="4" type="noConversion"/>
  </si>
  <si>
    <t>암/기/궁</t>
    <phoneticPr fontId="4" type="noConversion"/>
  </si>
  <si>
    <t>법/사</t>
    <phoneticPr fontId="4" type="noConversion"/>
  </si>
  <si>
    <t>기/전</t>
    <phoneticPr fontId="4" type="noConversion"/>
  </si>
  <si>
    <t>(코드)</t>
    <phoneticPr fontId="4" type="noConversion"/>
  </si>
  <si>
    <t>흡혈</t>
    <phoneticPr fontId="4" type="noConversion"/>
  </si>
  <si>
    <t>물리방어력</t>
    <phoneticPr fontId="4" type="noConversion"/>
  </si>
  <si>
    <t>마법방어력</t>
    <phoneticPr fontId="4" type="noConversion"/>
  </si>
  <si>
    <t>마법블록</t>
    <phoneticPr fontId="4" type="noConversion"/>
  </si>
  <si>
    <t>물리블록</t>
    <phoneticPr fontId="4" type="noConversion"/>
  </si>
  <si>
    <t>옵션5</t>
    <phoneticPr fontId="4" type="noConversion"/>
  </si>
  <si>
    <t>옵션6</t>
    <phoneticPr fontId="4" type="noConversion"/>
  </si>
  <si>
    <t>관통력</t>
    <phoneticPr fontId="4" type="noConversion"/>
  </si>
  <si>
    <t>Index5</t>
    <phoneticPr fontId="9" type="noConversion"/>
  </si>
  <si>
    <t>Index6</t>
    <phoneticPr fontId="9" type="noConversion"/>
  </si>
  <si>
    <t>옵션5</t>
    <phoneticPr fontId="9" type="noConversion"/>
  </si>
  <si>
    <t>옵션6</t>
    <phoneticPr fontId="9" type="noConversion"/>
  </si>
  <si>
    <t>흡혈_1</t>
  </si>
  <si>
    <t>흡혈_2</t>
  </si>
  <si>
    <t>흡혈_3</t>
  </si>
  <si>
    <t>흡혈_4</t>
  </si>
  <si>
    <t>흡혈_5</t>
  </si>
  <si>
    <t>흡혈_6</t>
  </si>
  <si>
    <t>흡혈_7</t>
  </si>
  <si>
    <t>흡혈_8</t>
  </si>
  <si>
    <t>관통력_1</t>
  </si>
  <si>
    <t>관통력_2</t>
  </si>
  <si>
    <t>관통력_3</t>
  </si>
  <si>
    <t>관통력_4</t>
  </si>
  <si>
    <t>관통력_5</t>
  </si>
  <si>
    <t>관통력_6</t>
  </si>
  <si>
    <t>관통력_7</t>
  </si>
  <si>
    <t>관통력_8</t>
  </si>
  <si>
    <t>ModPiercePower</t>
  </si>
  <si>
    <t>ModHpStealPower</t>
  </si>
  <si>
    <t>WEAPON_UNIQUE_REBELCLAUSE_1</t>
    <phoneticPr fontId="4" type="noConversion"/>
  </si>
  <si>
    <t>반역자 클라우스 무기</t>
    <phoneticPr fontId="4" type="noConversion"/>
  </si>
  <si>
    <t>TREASURE_UNIQUE_REBELCLAUSE_1</t>
    <phoneticPr fontId="4" type="noConversion"/>
  </si>
  <si>
    <t>TREASURE_UNIQUE_REBELCLAUSE_2</t>
    <phoneticPr fontId="4" type="noConversion"/>
  </si>
  <si>
    <t>TREASURE_UNIQUE_REBELCLAUSE_3</t>
    <phoneticPr fontId="4" type="noConversion"/>
  </si>
  <si>
    <t>TREASURE_UNIQUE_REBELCLAUSE_4</t>
    <phoneticPr fontId="4" type="noConversion"/>
  </si>
  <si>
    <t>WEAPON_UNIQUE_GREMORY_1</t>
    <phoneticPr fontId="4" type="noConversion"/>
  </si>
  <si>
    <t>11086</t>
    <phoneticPr fontId="4" type="noConversion"/>
  </si>
  <si>
    <t>그레모리 무기</t>
    <phoneticPr fontId="4" type="noConversion"/>
  </si>
  <si>
    <t>TREASURE_UNIQUE_GREMORY_1</t>
  </si>
  <si>
    <t>TREASURE_UNIQUE_GREMORY_2</t>
    <phoneticPr fontId="4" type="noConversion"/>
  </si>
  <si>
    <t>SpecialTreasure_2</t>
    <phoneticPr fontId="4" type="noConversion"/>
  </si>
  <si>
    <t>13086</t>
    <phoneticPr fontId="4" type="noConversion"/>
  </si>
  <si>
    <t>TREASURE_UNIQUE_GREMORY_3</t>
    <phoneticPr fontId="4" type="noConversion"/>
  </si>
  <si>
    <t>SpecialTreasure_1</t>
    <phoneticPr fontId="4" type="noConversion"/>
  </si>
  <si>
    <t>14086</t>
    <phoneticPr fontId="4" type="noConversion"/>
  </si>
  <si>
    <t>TREASURE_UNIQUE_GREMORY_4</t>
    <phoneticPr fontId="4" type="noConversion"/>
  </si>
  <si>
    <t>SpecialTreasure_4</t>
    <phoneticPr fontId="4" type="noConversion"/>
  </si>
  <si>
    <t>15086</t>
    <phoneticPr fontId="4" type="noConversion"/>
  </si>
  <si>
    <t>WEAPON_UNIQUE_RIHEET_1</t>
    <phoneticPr fontId="4" type="noConversion"/>
  </si>
  <si>
    <t>WEAPON_UNIQUE_RIPINE_1</t>
    <phoneticPr fontId="4" type="noConversion"/>
  </si>
  <si>
    <t>11088</t>
    <phoneticPr fontId="4" type="noConversion"/>
  </si>
  <si>
    <t>11089</t>
    <phoneticPr fontId="4" type="noConversion"/>
  </si>
  <si>
    <t>리히트 무기</t>
    <phoneticPr fontId="4" type="noConversion"/>
  </si>
  <si>
    <t>리피네 무기</t>
    <phoneticPr fontId="4" type="noConversion"/>
  </si>
  <si>
    <t>TREASURE_UNIQUE_RIHEET_1</t>
    <phoneticPr fontId="4" type="noConversion"/>
  </si>
  <si>
    <t>TREASURE_UNIQUE_RIPINE_1</t>
    <phoneticPr fontId="4" type="noConversion"/>
  </si>
  <si>
    <t>12088</t>
    <phoneticPr fontId="4" type="noConversion"/>
  </si>
  <si>
    <t>12089</t>
    <phoneticPr fontId="4" type="noConversion"/>
  </si>
  <si>
    <t>TREASURE_UNIQUE_RIHEET_2</t>
    <phoneticPr fontId="4" type="noConversion"/>
  </si>
  <si>
    <t>TREASURE_UNIQUE_RIPINE_2</t>
    <phoneticPr fontId="4" type="noConversion"/>
  </si>
  <si>
    <t>SpecialTreasure_2</t>
    <phoneticPr fontId="4" type="noConversion"/>
  </si>
  <si>
    <t>13088</t>
    <phoneticPr fontId="4" type="noConversion"/>
  </si>
  <si>
    <t>13089</t>
    <phoneticPr fontId="4" type="noConversion"/>
  </si>
  <si>
    <t>TREASURE_UNIQUE_RIHEET_3</t>
    <phoneticPr fontId="4" type="noConversion"/>
  </si>
  <si>
    <t>TREASURE_UNIQUE_RIPINE_3</t>
    <phoneticPr fontId="4" type="noConversion"/>
  </si>
  <si>
    <t>14088</t>
    <phoneticPr fontId="4" type="noConversion"/>
  </si>
  <si>
    <t>14089</t>
    <phoneticPr fontId="4" type="noConversion"/>
  </si>
  <si>
    <t>TREASURE_UNIQUE_RIHEET_4</t>
    <phoneticPr fontId="4" type="noConversion"/>
  </si>
  <si>
    <t>TREASURE_UNIQUE_RIPINE_4</t>
    <phoneticPr fontId="4" type="noConversion"/>
  </si>
  <si>
    <t>15088</t>
    <phoneticPr fontId="4" type="noConversion"/>
  </si>
  <si>
    <t>15089</t>
    <phoneticPr fontId="4" type="noConversion"/>
  </si>
  <si>
    <t>루시키엘 무기</t>
    <phoneticPr fontId="4" type="noConversion"/>
  </si>
  <si>
    <t>11100</t>
    <phoneticPr fontId="4" type="noConversion"/>
  </si>
  <si>
    <t>12100</t>
    <phoneticPr fontId="4" type="noConversion"/>
  </si>
  <si>
    <t>13100</t>
    <phoneticPr fontId="4" type="noConversion"/>
  </si>
  <si>
    <t>14100</t>
    <phoneticPr fontId="4" type="noConversion"/>
  </si>
  <si>
    <t>15100</t>
    <phoneticPr fontId="4" type="noConversion"/>
  </si>
  <si>
    <t>WEAPON_UNIQUE_ZLUCIKIEL_1</t>
  </si>
  <si>
    <t>TREASURE_UNIQUE_ZLUCIKIEL_1</t>
  </si>
  <si>
    <t>TREASURE_UNIQUE_ZLUCIKIEL_2</t>
  </si>
  <si>
    <t>TREASURE_UNIQUE_ZLUCIKIEL_3</t>
  </si>
  <si>
    <t>TREASURE_UNIQUE_ZLUCIKIEL_4</t>
  </si>
  <si>
    <t>ARTIFACT_UNIQUE_522</t>
    <phoneticPr fontId="4" type="noConversion"/>
  </si>
  <si>
    <t>ARTIFACT_UNIQUE_523</t>
    <phoneticPr fontId="4" type="noConversion"/>
  </si>
  <si>
    <t>대지의 성채</t>
    <phoneticPr fontId="4" type="noConversion"/>
  </si>
  <si>
    <t>심해의 허리장식</t>
    <phoneticPr fontId="4" type="noConversion"/>
  </si>
  <si>
    <t>20522</t>
    <phoneticPr fontId="4" type="noConversion"/>
  </si>
  <si>
    <t>20523</t>
    <phoneticPr fontId="4" type="noConversion"/>
  </si>
  <si>
    <t>ARTIFACT_UNIQUE_524</t>
    <phoneticPr fontId="4" type="noConversion"/>
  </si>
  <si>
    <t>심연의 숨결</t>
    <phoneticPr fontId="4" type="noConversion"/>
  </si>
  <si>
    <t>20524</t>
    <phoneticPr fontId="4" type="noConversion"/>
  </si>
  <si>
    <t>WEAPON_UNIQUE_SHAKMEH_1</t>
    <phoneticPr fontId="4" type="noConversion"/>
  </si>
  <si>
    <t>11080</t>
    <phoneticPr fontId="4" type="noConversion"/>
  </si>
  <si>
    <t>샤크메 무기</t>
    <phoneticPr fontId="4" type="noConversion"/>
  </si>
  <si>
    <t>TREASURE_UNIQUE_SHAKMEH_1</t>
    <phoneticPr fontId="4" type="noConversion"/>
  </si>
  <si>
    <t>12080</t>
    <phoneticPr fontId="4" type="noConversion"/>
  </si>
  <si>
    <t>TREASURE_UNIQUE_SHAKMEH_2</t>
    <phoneticPr fontId="4" type="noConversion"/>
  </si>
  <si>
    <t>13080</t>
    <phoneticPr fontId="4" type="noConversion"/>
  </si>
  <si>
    <t>TREASURE_UNIQUE_SHAKMEH_3</t>
    <phoneticPr fontId="4" type="noConversion"/>
  </si>
  <si>
    <t>14080</t>
    <phoneticPr fontId="4" type="noConversion"/>
  </si>
  <si>
    <t>TREASURE_UNIQUE_SHAKMEH_4</t>
    <phoneticPr fontId="4" type="noConversion"/>
  </si>
  <si>
    <t>15080</t>
    <phoneticPr fontId="4" type="noConversion"/>
  </si>
  <si>
    <t>TREASURE_UNIQUE_ESTELLE_1</t>
    <phoneticPr fontId="4" type="noConversion"/>
  </si>
  <si>
    <t>12101</t>
    <phoneticPr fontId="4" type="noConversion"/>
  </si>
  <si>
    <t>TREASURE_UNIQUE_ESTELLE_2</t>
    <phoneticPr fontId="4" type="noConversion"/>
  </si>
  <si>
    <t>13101</t>
    <phoneticPr fontId="4" type="noConversion"/>
  </si>
  <si>
    <t>TREASURE_UNIQUE_ESTELLE_3</t>
    <phoneticPr fontId="4" type="noConversion"/>
  </si>
  <si>
    <t>14101</t>
    <phoneticPr fontId="4" type="noConversion"/>
  </si>
  <si>
    <t>15101</t>
    <phoneticPr fontId="4" type="noConversion"/>
  </si>
  <si>
    <t>TREASURE_UNIQUE_ESTELLE_4</t>
    <phoneticPr fontId="4" type="noConversion"/>
  </si>
  <si>
    <t>WEAPON_UNIQUE_ESTELLE_1</t>
    <phoneticPr fontId="4" type="noConversion"/>
  </si>
  <si>
    <t>11101</t>
    <phoneticPr fontId="4" type="noConversion"/>
  </si>
  <si>
    <t>에스텔 무기</t>
    <phoneticPr fontId="4" type="noConversion"/>
  </si>
  <si>
    <t>WEAPON_UNIQUE_ISAIAH_1</t>
    <phoneticPr fontId="4" type="noConversion"/>
  </si>
  <si>
    <t>11102</t>
    <phoneticPr fontId="4" type="noConversion"/>
  </si>
  <si>
    <t>이사야 무기</t>
    <phoneticPr fontId="4" type="noConversion"/>
  </si>
  <si>
    <t>TREASURE_UNIQUE_ISAIAH_1</t>
  </si>
  <si>
    <t>12102</t>
    <phoneticPr fontId="4" type="noConversion"/>
  </si>
  <si>
    <t>TREASURE_UNIQUE_ISAIAH_2</t>
  </si>
  <si>
    <t>13102</t>
    <phoneticPr fontId="4" type="noConversion"/>
  </si>
  <si>
    <t>TREASURE_UNIQUE_ISAIAH_3</t>
  </si>
  <si>
    <t>14102</t>
    <phoneticPr fontId="4" type="noConversion"/>
  </si>
  <si>
    <t>TREASURE_UNIQUE_ISAIAH_4</t>
  </si>
  <si>
    <t>15102</t>
    <phoneticPr fontId="4" type="noConversion"/>
  </si>
  <si>
    <t>ARTIFACT_UNIQUE_900</t>
    <phoneticPr fontId="4" type="noConversion"/>
  </si>
  <si>
    <t>명예의 트로피</t>
    <phoneticPr fontId="4" type="noConversion"/>
  </si>
  <si>
    <t>20900</t>
    <phoneticPr fontId="4" type="noConversion"/>
  </si>
  <si>
    <t>ARTIFACT_UNIQUE_901</t>
    <phoneticPr fontId="4" type="noConversion"/>
  </si>
  <si>
    <t>명예의 훈장</t>
    <phoneticPr fontId="4" type="noConversion"/>
  </si>
  <si>
    <t>20901</t>
    <phoneticPr fontId="4" type="noConversion"/>
  </si>
  <si>
    <t>ARTIFACT_UNIQUE_902</t>
    <phoneticPr fontId="4" type="noConversion"/>
  </si>
  <si>
    <t>용사의 감사패</t>
    <phoneticPr fontId="4" type="noConversion"/>
  </si>
  <si>
    <t>20902</t>
    <phoneticPr fontId="4" type="noConversion"/>
  </si>
  <si>
    <t>EVENT_MATERIAL_REINFORCE_ITEM_1</t>
  </si>
  <si>
    <t>이벤트 강화 대상 아이템</t>
    <phoneticPr fontId="4" type="noConversion"/>
  </si>
  <si>
    <t>10001</t>
    <phoneticPr fontId="4" type="noConversion"/>
  </si>
  <si>
    <t>ARTIFACT_UNIQUE_1000</t>
    <phoneticPr fontId="4" type="noConversion"/>
  </si>
  <si>
    <t>용의 파멸석</t>
    <phoneticPr fontId="4" type="noConversion"/>
  </si>
  <si>
    <t>21000</t>
    <phoneticPr fontId="4" type="noConversion"/>
  </si>
  <si>
    <t>ARTIFACT_UNIQUE_1001</t>
    <phoneticPr fontId="4" type="noConversion"/>
  </si>
  <si>
    <t>아포칼립시온의 눈물</t>
    <phoneticPr fontId="4" type="noConversion"/>
  </si>
  <si>
    <t>21001</t>
    <phoneticPr fontId="4" type="noConversion"/>
  </si>
  <si>
    <t>WEAPON_UNIQUE_VALANCE_1</t>
    <phoneticPr fontId="4" type="noConversion"/>
  </si>
  <si>
    <t>발란세 전용무기</t>
    <phoneticPr fontId="4" type="noConversion"/>
  </si>
  <si>
    <t>11111</t>
    <phoneticPr fontId="4" type="noConversion"/>
  </si>
  <si>
    <t>발란세 무기</t>
    <phoneticPr fontId="4" type="noConversion"/>
  </si>
  <si>
    <t>TREASURE_UNIQUE_VALANCE_1</t>
    <phoneticPr fontId="4" type="noConversion"/>
  </si>
  <si>
    <t>12111</t>
    <phoneticPr fontId="4" type="noConversion"/>
  </si>
  <si>
    <t>TREASURE_UNIQUE_VALANCE_2</t>
    <phoneticPr fontId="4" type="noConversion"/>
  </si>
  <si>
    <t>13111</t>
    <phoneticPr fontId="4" type="noConversion"/>
  </si>
  <si>
    <t>TREASURE_UNIQUE_VALANCE_3</t>
    <phoneticPr fontId="4" type="noConversion"/>
  </si>
  <si>
    <t>14111</t>
    <phoneticPr fontId="4" type="noConversion"/>
  </si>
  <si>
    <t>TREASURE_UNIQUE_VALANCE_4</t>
    <phoneticPr fontId="4" type="noConversion"/>
  </si>
  <si>
    <t>15111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</si>
</sst>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>
      <alignment vertical="center"/>
    </xf>
    <xf numFmtId="0" fontId="2" fillId="0" borderId="0">
      <alignment vertical="center"/>
    </xf>
  </cellStyleXfs>
  <cellXfs count="118">
    <xf numFmtId="0" fontId="0" fillId="0" borderId="0" xfId="0"/>
    <xf numFmtId="0" fontId="6" fillId="0" borderId="0" xfId="0" applyFont="1" applyAlignment="1">
      <alignment vertical="center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6" fillId="2" borderId="3" xfId="0" applyNumberFormat="1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 textRotation="90"/>
    </xf>
    <xf numFmtId="49" fontId="6" fillId="4" borderId="1" xfId="0" applyNumberFormat="1" applyFont="1" applyFill="1" applyBorder="1" applyAlignment="1">
      <alignment horizontal="center" vertical="center" textRotation="90"/>
    </xf>
    <xf numFmtId="0" fontId="7" fillId="5" borderId="3" xfId="0" applyFont="1" applyFill="1" applyBorder="1" applyAlignment="1">
      <alignment horizontal="center" vertical="center" textRotation="90"/>
    </xf>
    <xf numFmtId="0" fontId="7" fillId="5" borderId="0" xfId="0" applyFont="1" applyFill="1" applyAlignment="1">
      <alignment horizontal="center" textRotation="90"/>
    </xf>
    <xf numFmtId="0" fontId="6" fillId="6" borderId="3" xfId="0" applyFont="1" applyFill="1" applyBorder="1" applyAlignment="1">
      <alignment horizontal="center" vertical="center" textRotation="90"/>
    </xf>
    <xf numFmtId="49" fontId="6" fillId="0" borderId="0" xfId="0" applyNumberFormat="1" applyFont="1" applyAlignment="1">
      <alignment horizontal="left"/>
    </xf>
    <xf numFmtId="0" fontId="7" fillId="0" borderId="0" xfId="0" applyFont="1" applyAlignment="1">
      <alignment horizontal="center" textRotation="90"/>
    </xf>
    <xf numFmtId="49" fontId="6" fillId="0" borderId="0" xfId="0" applyNumberFormat="1" applyFont="1" applyAlignment="1">
      <alignment horizontal="center"/>
    </xf>
    <xf numFmtId="0" fontId="6" fillId="0" borderId="0" xfId="0" applyFont="1"/>
    <xf numFmtId="49" fontId="6" fillId="9" borderId="0" xfId="0" applyNumberFormat="1" applyFont="1" applyFill="1" applyAlignment="1">
      <alignment horizontal="left"/>
    </xf>
    <xf numFmtId="0" fontId="6" fillId="9" borderId="0" xfId="0" applyFont="1" applyFill="1" applyAlignment="1">
      <alignment vertical="center"/>
    </xf>
    <xf numFmtId="49" fontId="6" fillId="9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 textRotation="90"/>
    </xf>
    <xf numFmtId="49" fontId="6" fillId="7" borderId="1" xfId="0" applyNumberFormat="1" applyFont="1" applyFill="1" applyBorder="1" applyAlignment="1">
      <alignment horizontal="right" vertical="center" textRotation="90"/>
    </xf>
    <xf numFmtId="49" fontId="8" fillId="0" borderId="0" xfId="0" applyNumberFormat="1" applyFont="1" applyAlignment="1">
      <alignment horizontal="left"/>
    </xf>
    <xf numFmtId="1" fontId="6" fillId="0" borderId="0" xfId="0" applyNumberFormat="1" applyFont="1" applyAlignment="1">
      <alignment vertical="center"/>
    </xf>
    <xf numFmtId="49" fontId="6" fillId="8" borderId="3" xfId="0" applyNumberFormat="1" applyFont="1" applyFill="1" applyBorder="1" applyAlignment="1">
      <alignment horizontal="center" vertical="center" textRotation="90"/>
    </xf>
    <xf numFmtId="49" fontId="6" fillId="2" borderId="4" xfId="0" applyNumberFormat="1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10" borderId="0" xfId="0" applyFont="1" applyFill="1" applyAlignment="1">
      <alignment vertical="center"/>
    </xf>
    <xf numFmtId="49" fontId="6" fillId="10" borderId="0" xfId="0" applyNumberFormat="1" applyFont="1" applyFill="1" applyAlignment="1">
      <alignment horizontal="left"/>
    </xf>
    <xf numFmtId="0" fontId="6" fillId="10" borderId="0" xfId="0" applyFont="1" applyFill="1" applyAlignment="1">
      <alignment vertical="center"/>
    </xf>
    <xf numFmtId="0" fontId="7" fillId="10" borderId="0" xfId="0" applyFont="1" applyFill="1" applyAlignment="1">
      <alignment horizontal="center" textRotation="90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left" vertical="center"/>
    </xf>
    <xf numFmtId="0" fontId="8" fillId="0" borderId="0" xfId="0" applyFont="1"/>
    <xf numFmtId="0" fontId="6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0" fontId="6" fillId="2" borderId="1" xfId="0" applyNumberFormat="1" applyFont="1" applyFill="1" applyBorder="1" applyAlignment="1">
      <alignment horizontal="center" vertical="center" textRotation="90"/>
    </xf>
    <xf numFmtId="0" fontId="8" fillId="0" borderId="0" xfId="0" applyNumberFormat="1" applyFont="1" applyAlignment="1">
      <alignment horizontal="center"/>
    </xf>
    <xf numFmtId="0" fontId="6" fillId="2" borderId="3" xfId="0" applyFont="1" applyFill="1" applyBorder="1" applyAlignment="1">
      <alignment horizontal="center" vertical="center" textRotation="90"/>
    </xf>
    <xf numFmtId="0" fontId="6" fillId="2" borderId="3" xfId="0" applyNumberFormat="1" applyFont="1" applyFill="1" applyBorder="1" applyAlignment="1">
      <alignment horizontal="center" vertical="center" textRotation="90"/>
    </xf>
    <xf numFmtId="0" fontId="6" fillId="0" borderId="0" xfId="0" applyNumberFormat="1" applyFont="1" applyAlignment="1">
      <alignment horizontal="center"/>
    </xf>
    <xf numFmtId="0" fontId="6" fillId="12" borderId="1" xfId="0" applyNumberFormat="1" applyFont="1" applyFill="1" applyBorder="1" applyAlignment="1">
      <alignment horizontal="center" vertical="center" textRotation="90"/>
    </xf>
    <xf numFmtId="49" fontId="6" fillId="12" borderId="1" xfId="0" applyNumberFormat="1" applyFont="1" applyFill="1" applyBorder="1" applyAlignment="1">
      <alignment horizontal="center" vertical="center" textRotation="90"/>
    </xf>
    <xf numFmtId="0" fontId="6" fillId="0" borderId="0" xfId="0" applyNumberFormat="1" applyFont="1" applyAlignment="1">
      <alignment horizontal="left"/>
    </xf>
    <xf numFmtId="49" fontId="6" fillId="13" borderId="1" xfId="1" applyNumberFormat="1" applyFont="1" applyFill="1" applyBorder="1" applyAlignment="1">
      <alignment horizontal="center" vertical="center"/>
    </xf>
    <xf numFmtId="49" fontId="6" fillId="13" borderId="1" xfId="0" applyNumberFormat="1" applyFont="1" applyFill="1" applyBorder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 textRotation="90"/>
    </xf>
    <xf numFmtId="49" fontId="6" fillId="7" borderId="0" xfId="0" applyNumberFormat="1" applyFont="1" applyFill="1" applyAlignment="1">
      <alignment horizontal="center"/>
    </xf>
    <xf numFmtId="0" fontId="2" fillId="0" borderId="0" xfId="2">
      <alignment vertical="center"/>
    </xf>
    <xf numFmtId="0" fontId="2" fillId="14" borderId="1" xfId="2" applyFill="1" applyBorder="1" applyAlignment="1">
      <alignment horizontal="left" vertical="center"/>
    </xf>
    <xf numFmtId="0" fontId="2" fillId="14" borderId="1" xfId="2" applyFill="1" applyBorder="1">
      <alignment vertical="center"/>
    </xf>
    <xf numFmtId="0" fontId="2" fillId="14" borderId="1" xfId="2" applyFill="1" applyBorder="1" applyAlignment="1">
      <alignment horizontal="center" vertical="center"/>
    </xf>
    <xf numFmtId="0" fontId="2" fillId="15" borderId="1" xfId="2" applyFill="1" applyBorder="1" applyAlignment="1">
      <alignment horizontal="center" vertical="center"/>
    </xf>
    <xf numFmtId="0" fontId="6" fillId="0" borderId="1" xfId="2" applyFont="1" applyBorder="1" applyAlignment="1">
      <alignment horizontal="left" vertical="center"/>
    </xf>
    <xf numFmtId="0" fontId="2" fillId="0" borderId="1" xfId="2" applyBorder="1" applyAlignment="1">
      <alignment horizontal="center" vertical="center"/>
    </xf>
    <xf numFmtId="0" fontId="2" fillId="16" borderId="1" xfId="2" applyFill="1" applyBorder="1" applyAlignment="1">
      <alignment horizontal="center" vertical="center"/>
    </xf>
    <xf numFmtId="0" fontId="2" fillId="0" borderId="0" xfId="2" applyAlignment="1">
      <alignment horizontal="left" vertical="center"/>
    </xf>
    <xf numFmtId="0" fontId="2" fillId="0" borderId="1" xfId="2" applyBorder="1">
      <alignment vertical="center"/>
    </xf>
    <xf numFmtId="0" fontId="2" fillId="16" borderId="5" xfId="2" applyFill="1" applyBorder="1" applyAlignment="1">
      <alignment horizontal="center" vertical="center"/>
    </xf>
    <xf numFmtId="0" fontId="2" fillId="16" borderId="9" xfId="2" applyFill="1" applyBorder="1" applyAlignment="1">
      <alignment horizontal="center" vertical="center"/>
    </xf>
    <xf numFmtId="0" fontId="2" fillId="7" borderId="0" xfId="2" applyFill="1">
      <alignment vertical="center"/>
    </xf>
    <xf numFmtId="0" fontId="2" fillId="14" borderId="0" xfId="2" applyFill="1" applyAlignment="1">
      <alignment horizontal="left" vertical="center"/>
    </xf>
    <xf numFmtId="0" fontId="2" fillId="14" borderId="0" xfId="2" applyFill="1" applyAlignment="1">
      <alignment horizontal="center" vertical="center"/>
    </xf>
    <xf numFmtId="0" fontId="2" fillId="0" borderId="0" xfId="2" applyAlignment="1">
      <alignment horizontal="center" vertical="center"/>
    </xf>
    <xf numFmtId="0" fontId="2" fillId="0" borderId="1" xfId="2" applyBorder="1" applyAlignment="1">
      <alignment horizontal="left" vertical="center"/>
    </xf>
    <xf numFmtId="0" fontId="2" fillId="16" borderId="1" xfId="2" applyFill="1" applyBorder="1">
      <alignment vertical="center"/>
    </xf>
    <xf numFmtId="0" fontId="5" fillId="16" borderId="1" xfId="2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0" fontId="2" fillId="16" borderId="7" xfId="2" applyFill="1" applyBorder="1" applyAlignment="1">
      <alignment horizontal="center" vertical="center"/>
    </xf>
    <xf numFmtId="0" fontId="2" fillId="16" borderId="3" xfId="2" applyFill="1" applyBorder="1" applyAlignment="1">
      <alignment horizontal="center" vertical="center"/>
    </xf>
    <xf numFmtId="0" fontId="2" fillId="16" borderId="6" xfId="2" applyFill="1" applyBorder="1" applyAlignment="1">
      <alignment horizontal="center" vertical="center"/>
    </xf>
    <xf numFmtId="49" fontId="6" fillId="2" borderId="4" xfId="0" applyNumberFormat="1" applyFont="1" applyFill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49" fontId="6" fillId="2" borderId="2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textRotation="90"/>
    </xf>
    <xf numFmtId="49" fontId="7" fillId="6" borderId="2" xfId="0" applyNumberFormat="1" applyFont="1" applyFill="1" applyBorder="1" applyAlignment="1">
      <alignment horizontal="center" vertical="center" textRotation="90"/>
    </xf>
    <xf numFmtId="0" fontId="6" fillId="4" borderId="2" xfId="0" applyFont="1" applyFill="1" applyBorder="1" applyAlignment="1">
      <alignment horizontal="center" vertical="center"/>
    </xf>
    <xf numFmtId="49" fontId="6" fillId="7" borderId="1" xfId="0" applyNumberFormat="1" applyFont="1" applyFill="1" applyBorder="1" applyAlignment="1">
      <alignment horizontal="center" vertical="center"/>
    </xf>
    <xf numFmtId="49" fontId="6" fillId="7" borderId="2" xfId="0" applyNumberFormat="1" applyFont="1" applyFill="1" applyBorder="1" applyAlignment="1">
      <alignment horizontal="right" vertical="center"/>
    </xf>
    <xf numFmtId="49" fontId="6" fillId="2" borderId="0" xfId="0" applyNumberFormat="1" applyFont="1" applyFill="1" applyAlignment="1">
      <alignment horizontal="center"/>
    </xf>
    <xf numFmtId="49" fontId="6" fillId="7" borderId="1" xfId="0" applyNumberFormat="1" applyFont="1" applyFill="1" applyBorder="1" applyAlignment="1">
      <alignment horizontal="center" vertical="center" textRotation="90"/>
    </xf>
    <xf numFmtId="0" fontId="6" fillId="5" borderId="0" xfId="0" applyFont="1" applyFill="1"/>
    <xf numFmtId="49" fontId="6" fillId="5" borderId="0" xfId="0" applyNumberFormat="1" applyFont="1" applyFill="1" applyAlignment="1">
      <alignment horizontal="center"/>
    </xf>
    <xf numFmtId="0" fontId="6" fillId="0" borderId="0" xfId="0" applyFont="1" applyAlignment="1">
      <alignment horizontal="right" vertical="center"/>
    </xf>
    <xf numFmtId="1" fontId="6" fillId="0" borderId="0" xfId="0" applyNumberFormat="1" applyFont="1"/>
    <xf numFmtId="0" fontId="6" fillId="5" borderId="0" xfId="0" applyFont="1" applyFill="1" applyAlignment="1">
      <alignment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49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6" fillId="10" borderId="0" xfId="0" applyNumberFormat="1" applyFont="1" applyFill="1" applyAlignment="1">
      <alignment horizontal="center" vertical="center"/>
    </xf>
    <xf numFmtId="0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 vertical="center"/>
    </xf>
    <xf numFmtId="49" fontId="6" fillId="11" borderId="0" xfId="0" applyNumberFormat="1" applyFont="1" applyFill="1" applyAlignment="1">
      <alignment horizontal="center"/>
    </xf>
    <xf numFmtId="49" fontId="6" fillId="0" borderId="0" xfId="0" applyNumberFormat="1" applyFont="1" applyAlignment="1"/>
    <xf numFmtId="0" fontId="6" fillId="12" borderId="0" xfId="0" applyNumberFormat="1" applyFont="1" applyFill="1" applyAlignment="1">
      <alignment horizontal="center" vertical="center"/>
    </xf>
    <xf numFmtId="49" fontId="6" fillId="12" borderId="0" xfId="0" applyNumberFormat="1" applyFont="1" applyFill="1" applyAlignment="1">
      <alignment horizontal="center" vertical="center"/>
    </xf>
    <xf numFmtId="0" fontId="2" fillId="0" borderId="5" xfId="2" applyFill="1" applyBorder="1" applyAlignment="1">
      <alignment horizontal="center" vertical="center"/>
    </xf>
    <xf numFmtId="0" fontId="2" fillId="0" borderId="1" xfId="2" applyFill="1" applyBorder="1" applyAlignment="1">
      <alignment horizontal="center" vertical="center"/>
    </xf>
    <xf numFmtId="0" fontId="2" fillId="0" borderId="1" xfId="2" applyFill="1" applyBorder="1" applyAlignment="1">
      <alignment horizontal="left" vertical="center"/>
    </xf>
    <xf numFmtId="0" fontId="2" fillId="0" borderId="4" xfId="2" applyBorder="1" applyAlignment="1">
      <alignment horizontal="center" vertical="center"/>
    </xf>
    <xf numFmtId="0" fontId="6" fillId="9" borderId="0" xfId="0" applyNumberFormat="1" applyFont="1" applyFill="1" applyAlignment="1">
      <alignment horizontal="center"/>
    </xf>
    <xf numFmtId="0" fontId="1" fillId="0" borderId="0" xfId="2" applyFont="1">
      <alignment vertical="center"/>
    </xf>
    <xf numFmtId="0" fontId="1" fillId="16" borderId="1" xfId="2" applyFont="1" applyFill="1" applyBorder="1" applyAlignment="1">
      <alignment horizontal="center" vertical="center"/>
    </xf>
    <xf numFmtId="0" fontId="1" fillId="16" borderId="9" xfId="2" applyFont="1" applyFill="1" applyBorder="1" applyAlignment="1">
      <alignment horizontal="center" vertical="center"/>
    </xf>
    <xf numFmtId="0" fontId="1" fillId="0" borderId="1" xfId="2" applyFont="1" applyFill="1" applyBorder="1">
      <alignment vertical="center"/>
    </xf>
    <xf numFmtId="0" fontId="1" fillId="14" borderId="1" xfId="2" applyFont="1" applyFill="1" applyBorder="1">
      <alignment vertical="center"/>
    </xf>
    <xf numFmtId="49" fontId="5" fillId="0" borderId="0" xfId="0" applyNumberFormat="1" applyFont="1" applyAlignment="1">
      <alignment horizontal="center"/>
    </xf>
    <xf numFmtId="49" fontId="6" fillId="2" borderId="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6" fillId="8" borderId="5" xfId="0" applyNumberFormat="1" applyFont="1" applyFill="1" applyBorder="1" applyAlignment="1">
      <alignment horizontal="center" vertical="center"/>
    </xf>
    <xf numFmtId="49" fontId="6" fillId="2" borderId="6" xfId="0" applyNumberFormat="1" applyFont="1" applyFill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2" fillId="16" borderId="4" xfId="2" applyFill="1" applyBorder="1" applyAlignment="1">
      <alignment horizontal="center" vertical="center"/>
    </xf>
    <xf numFmtId="0" fontId="2" fillId="16" borderId="8" xfId="2" applyFill="1" applyBorder="1" applyAlignment="1">
      <alignment horizontal="center" vertical="center"/>
    </xf>
    <xf numFmtId="0" fontId="2" fillId="16" borderId="5" xfId="2" applyFill="1" applyBorder="1" applyAlignment="1">
      <alignment horizontal="center" vertical="center"/>
    </xf>
  </cellXfs>
  <cellStyles count="3">
    <cellStyle name="표준" xfId="0" builtinId="0"/>
    <cellStyle name="표준 2" xfId="2" xr:uid="{2B00E46A-1144-4429-B5D2-8E097A9034EB}"/>
    <cellStyle name="표준 2 2" xfId="1" xr:uid="{3BDDA605-4A9E-461C-AEAA-3EED3559B7EA}"/>
  </cellStyles>
  <dxfs count="483"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font>
        <color rgb="FFCC3300"/>
      </font>
      <fill>
        <patternFill>
          <bgColor rgb="FFFFCCCC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colors>
    <mruColors>
      <color rgb="FFFFCC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C76661-A9F6-41AE-9269-3740D784A6B5}" name="표1" displayName="표1" ref="B2:L110" totalsRowShown="0" headerRowDxfId="482" headerRowBorderDxfId="481" tableBorderDxfId="480" totalsRowBorderDxfId="479" headerRowCellStyle="표준 2">
  <autoFilter ref="B2:L110" xr:uid="{0C5E11AF-D659-4D56-91A6-D234289DCEF4}"/>
  <sortState xmlns:xlrd2="http://schemas.microsoft.com/office/spreadsheetml/2017/richdata2" ref="B3:L110">
    <sortCondition ref="F2:F110"/>
  </sortState>
  <tableColumns count="11">
    <tableColumn id="1" xr3:uid="{5CDAFC08-BEC7-4CB4-A8C1-56E8D431594D}" name="티어" dataDxfId="478" dataCellStyle="표준 2"/>
    <tableColumn id="2" xr3:uid="{CF0D6A3F-6FD3-4463-B56B-D605D17EAB91}" name="옵션개수" dataDxfId="477" dataCellStyle="표준 2"/>
    <tableColumn id="3" xr3:uid="{922C9A3B-2E95-4CF9-A81D-C9D8C7F553DB}" name="장비종류" dataDxfId="476" dataCellStyle="표준 2"/>
    <tableColumn id="4" xr3:uid="{AB74DC1F-2471-41F5-9825-D4664E059B46}" name="스탯1" dataDxfId="475" dataCellStyle="표준 2"/>
    <tableColumn id="5" xr3:uid="{6140655E-7B68-45DD-B1A8-975C713DA1BD}" name="1차검색" dataDxfId="474" dataCellStyle="표준 2">
      <calculatedColumnFormula>VLOOKUP($I3&amp;"_"&amp;$E3,옵션그룹계산1!$AA$4:$AB$219,2,FALSE)</calculatedColumnFormula>
    </tableColumn>
    <tableColumn id="9" xr3:uid="{4EA3912F-993C-4275-9328-37105C7DF9C5}" name="스탯2" dataDxfId="473" dataCellStyle="표준 2"/>
    <tableColumn id="10" xr3:uid="{4C1F9780-2277-442D-91F5-BE3BCB3A1601}" name="3차검색" dataDxfId="472" dataCellStyle="표준 2">
      <calculatedColumnFormula>VLOOKUP($I3&amp;"_"&amp;$G3,옵션그룹계산1!$AA$4:$AB$219,2,FALSE)</calculatedColumnFormula>
    </tableColumn>
    <tableColumn id="6" xr3:uid="{0342823B-D7B2-4736-822F-D4C470F06CFB}" name="검색용" dataDxfId="471" dataCellStyle="표준 2">
      <calculatedColumnFormula>"T"&amp;B3&amp;"_"&amp;C3&amp;"옵션_"&amp;D3</calculatedColumnFormula>
    </tableColumn>
    <tableColumn id="8" xr3:uid="{5D83AF9F-935B-4302-B8B1-0531C9E90D77}" name="OptionGroupIndex[]" dataDxfId="470" dataCellStyle="표준 2">
      <calculatedColumnFormula>표1[[#This Row],[1차검색]]</calculatedColumnFormula>
    </tableColumn>
    <tableColumn id="11" xr3:uid="{85C8A250-AFD4-4903-899A-2B4390CB7A81}" name="OptionGroupIndex[]2" dataDxfId="469" dataCellStyle="표준 2">
      <calculatedColumnFormula>표1[[#This Row],[3차검색]]</calculatedColumnFormula>
    </tableColumn>
    <tableColumn id="7" xr3:uid="{2B97D116-C954-443D-986A-92EE90B1CD6F}" name="OptionGroupIndex[]22" dataDxfId="468" dataCellStyle="표준 2">
      <calculatedColumnFormula>표1[[#This Row],[OptionGroupIndex'[']]]&amp;","&amp;표1[[#This Row],[OptionGroupIndex'[']2]]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4T15:45:22.12" personId="{00000000-0000-0000-0000-000000000000}" id="{B4F2B499-0FDA-427C-95C2-6AF7B4087E0B}">
    <text>장비 아이템 코드</text>
  </threadedComment>
  <threadedComment ref="E2" dT="2020-09-24T15:45:31.62" personId="{00000000-0000-0000-0000-000000000000}" id="{36CEAFA0-E6F8-40E1-B903-5DEA9C89AC4A}">
    <text>장비 파트</text>
  </threadedComment>
  <threadedComment ref="F2" dT="2020-09-24T15:45:43.42" personId="{00000000-0000-0000-0000-000000000000}" id="{FFBBCEA2-2230-4160-BF7D-CD1C608BD241}">
    <text>착용 가능한 대상 직업</text>
  </threadedComment>
  <threadedComment ref="G2" dT="2020-09-24T15:46:00.97" personId="{00000000-0000-0000-0000-000000000000}" id="{4A57B219-AEBB-404C-8794-6FC61EF2C794}">
    <text>세부 타입</text>
  </threadedComment>
  <threadedComment ref="H2" dT="2020-09-24T15:46:16.64" personId="{00000000-0000-0000-0000-000000000000}" id="{9FBF7D93-B0F1-412C-8EB4-4AFBD04CB2BF}">
    <text>소울웨폰 해방 여부</text>
  </threadedComment>
  <threadedComment ref="I2" dT="2020-09-24T15:46:59.15" personId="{00000000-0000-0000-0000-000000000000}" id="{6F7DC75E-EDC5-4993-9381-08EF6D1FC844}">
    <text>착용 가능한 영웅</text>
  </threadedComment>
  <threadedComment ref="O2" dT="2020-09-24T15:47:11.58" personId="{00000000-0000-0000-0000-000000000000}" id="{5849894F-24FB-4921-921B-95856E8DE762}">
    <text>장비의 티어</text>
  </threadedComment>
  <threadedComment ref="P2" dT="2020-09-24T15:47:19.52" personId="{00000000-0000-0000-0000-000000000000}" id="{66A69E6C-6EA2-4A1F-BB7A-52DA43AC8AA2}">
    <text>착용 시 요구 레벨</text>
  </threadedComment>
  <threadedComment ref="AE2" dT="2020-09-24T15:48:12.75" personId="{00000000-0000-0000-0000-000000000000}" id="{16BBD577-9153-41B4-A895-3FBBD506A0AB}">
    <text>붙을수 있는 옵션 그룹</text>
  </threadedComment>
  <threadedComment ref="AF2" dT="2020-09-24T15:48:28.22" personId="{00000000-0000-0000-0000-000000000000}" id="{4C39FDA5-769B-476A-B3EB-76FFFA538A0A}">
    <text>동일 옵션 허용</text>
  </threadedComment>
  <threadedComment ref="AI2" dT="2020-09-24T15:48:45.16" personId="{00000000-0000-0000-0000-000000000000}" id="{BD5A216E-635B-4AD4-8A4D-F641A1C6ED87}">
    <text>고정 옵션
전무/전보 고유 옵션</text>
  </threadedComment>
  <threadedComment ref="AN2" dT="2020-09-24T15:49:02.47" personId="{00000000-0000-0000-0000-000000000000}" id="{0BC02410-5152-4C7E-A7F0-E93BDF200E3E}">
    <text>세트 옵션 인덱스</text>
  </threadedComment>
  <threadedComment ref="AP2" dT="2020-09-24T15:49:17.72" personId="{00000000-0000-0000-0000-000000000000}" id="{25C79029-744B-445D-BC88-83191CF54441}">
    <text>무기 외형의 Prefix</text>
  </threadedComment>
  <threadedComment ref="AR2" dT="2020-09-24T15:49:28.79" personId="{00000000-0000-0000-0000-000000000000}" id="{17A053D4-576F-4B68-BBB3-BFA92A12BB6D}">
    <text>최소 룬 슬롯 개수</text>
  </threadedComment>
  <threadedComment ref="AS2" dT="2020-09-24T15:49:36.18" personId="{00000000-0000-0000-0000-000000000000}" id="{9B338690-42F8-4C40-8685-69CAB7536EA1}">
    <text>최대 룬 슬롯 개수</text>
  </threadedComment>
  <threadedComment ref="AU2" dT="2020-09-24T15:49:42.45" personId="{00000000-0000-0000-0000-000000000000}" id="{DACE838C-1033-4FE9-B0BF-E51430949496}">
    <text>디테일 인덱스</text>
  </threadedComment>
  <threadedComment ref="C2643" dT="2021-05-27T18:03:49.37" personId="{00000000-0000-0000-0000-000000000000}" id="{0C324C73-5AD2-4860-B365-04D733F6C3DF}">
    <text>리소스명 : EVENTCRAFT_MATERIAL_QUESTION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BA2643"/>
  <sheetViews>
    <sheetView tabSelected="1" zoomScale="115" zoomScaleNormal="115" zoomScaleSheetLayoutView="10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F10" sqref="F10"/>
    </sheetView>
  </sheetViews>
  <sheetFormatPr defaultColWidth="9" defaultRowHeight="14.1" customHeight="1" outlineLevelCol="1" x14ac:dyDescent="0.2"/>
  <cols>
    <col min="1" max="1" width="27.625" style="12" bestFit="1" customWidth="1"/>
    <col min="2" max="2" width="7.625" style="42" bestFit="1" customWidth="1"/>
    <col min="3" max="3" width="17" style="42" customWidth="1"/>
    <col min="4" max="4" width="21.75" style="86" customWidth="1"/>
    <col min="5" max="5" width="21.75" style="86" customWidth="1" outlineLevel="1"/>
    <col min="6" max="6" width="16.75" style="32" customWidth="1" outlineLevel="1"/>
    <col min="7" max="8" width="12.5" style="32" customWidth="1" outlineLevel="1"/>
    <col min="9" max="9" width="3.25" style="32" customWidth="1" outlineLevel="1"/>
    <col min="10" max="10" width="6.75" style="32" customWidth="1" outlineLevel="1"/>
    <col min="11" max="11" width="10.5" style="32" customWidth="1" outlineLevel="1"/>
    <col min="12" max="13" width="8.125" style="32" customWidth="1" outlineLevel="1"/>
    <col min="14" max="14" width="2.75" style="8" bestFit="1" customWidth="1"/>
    <col min="15" max="15" width="3.25" style="32" bestFit="1" customWidth="1"/>
    <col min="16" max="16" width="3.5" style="32" bestFit="1" customWidth="1"/>
    <col min="17" max="17" width="4.875" style="32" customWidth="1" outlineLevel="1"/>
    <col min="18" max="21" width="2.75" style="32" customWidth="1" outlineLevel="1"/>
    <col min="22" max="22" width="5" style="32" customWidth="1" outlineLevel="1"/>
    <col min="23" max="24" width="5" style="12" customWidth="1" outlineLevel="1"/>
    <col min="25" max="25" width="8.875" style="12" customWidth="1" outlineLevel="1"/>
    <col min="26" max="26" width="2.75" style="12" customWidth="1" outlineLevel="1"/>
    <col min="27" max="27" width="5" style="12" customWidth="1" outlineLevel="1"/>
    <col min="28" max="28" width="6.625" style="12" customWidth="1" outlineLevel="1"/>
    <col min="29" max="29" width="2.75" style="8" bestFit="1" customWidth="1"/>
    <col min="30" max="30" width="2.75" style="12" customWidth="1" outlineLevel="1"/>
    <col min="31" max="31" width="8.875" style="39" customWidth="1" outlineLevel="1"/>
    <col min="32" max="32" width="5.5" style="12" customWidth="1" outlineLevel="1"/>
    <col min="33" max="34" width="6.75" style="12" bestFit="1" customWidth="1" outlineLevel="1"/>
    <col min="35" max="35" width="5.875" style="12" customWidth="1" outlineLevel="1"/>
    <col min="36" max="39" width="2.75" style="12" customWidth="1" outlineLevel="1"/>
    <col min="40" max="40" width="4.125" style="46" customWidth="1" outlineLevel="1"/>
    <col min="41" max="41" width="2.75" style="12" customWidth="1" outlineLevel="1"/>
    <col min="42" max="42" width="8" style="12" customWidth="1" outlineLevel="1"/>
    <col min="43" max="43" width="2.75" style="8" bestFit="1" customWidth="1"/>
    <col min="44" max="44" width="5.25" style="34" customWidth="1" outlineLevel="1"/>
    <col min="45" max="45" width="2.75" style="34" customWidth="1" outlineLevel="1"/>
    <col min="46" max="46" width="2.75" style="8" bestFit="1" customWidth="1"/>
    <col min="47" max="47" width="9" style="12"/>
    <col min="48" max="48" width="24.25" style="12" bestFit="1" customWidth="1"/>
    <col min="49" max="49" width="6.75" style="39" bestFit="1" customWidth="1"/>
    <col min="50" max="50" width="6.75" style="12" bestFit="1" customWidth="1"/>
    <col min="51" max="51" width="13" style="39" bestFit="1" customWidth="1"/>
    <col min="52" max="52" width="6.75" style="39" bestFit="1" customWidth="1"/>
    <col min="53" max="53" width="14.75" style="39" bestFit="1" customWidth="1"/>
    <col min="54" max="16384" width="9" style="12"/>
  </cols>
  <sheetData>
    <row r="1" spans="1:53" s="79" customFormat="1" ht="30" customHeight="1" x14ac:dyDescent="0.2">
      <c r="A1" s="70"/>
      <c r="B1" s="71"/>
      <c r="C1" s="71"/>
      <c r="D1" s="72"/>
      <c r="E1" s="73" t="s">
        <v>53</v>
      </c>
      <c r="F1" s="73"/>
      <c r="G1" s="73"/>
      <c r="H1" s="73"/>
      <c r="I1" s="73"/>
      <c r="J1" s="73"/>
      <c r="K1" s="73"/>
      <c r="L1" s="73"/>
      <c r="M1" s="73"/>
      <c r="N1" s="74"/>
      <c r="O1" s="75"/>
      <c r="P1" s="75"/>
      <c r="Q1" s="76" t="s">
        <v>54</v>
      </c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4"/>
      <c r="AD1" s="112" t="s">
        <v>328</v>
      </c>
      <c r="AE1" s="113"/>
      <c r="AF1" s="109"/>
      <c r="AG1" s="112" t="s">
        <v>4465</v>
      </c>
      <c r="AH1" s="114"/>
      <c r="AI1" s="109" t="s">
        <v>327</v>
      </c>
      <c r="AJ1" s="109"/>
      <c r="AK1" s="109"/>
      <c r="AL1" s="109"/>
      <c r="AM1" s="109"/>
      <c r="AN1" s="77"/>
      <c r="AO1" s="110" t="s">
        <v>338</v>
      </c>
      <c r="AP1" s="111"/>
      <c r="AQ1" s="74"/>
      <c r="AR1" s="78" t="s">
        <v>56</v>
      </c>
      <c r="AS1" s="78"/>
      <c r="AT1" s="74"/>
      <c r="AW1" s="96"/>
      <c r="AX1" s="97"/>
      <c r="AY1" s="96" t="s">
        <v>5506</v>
      </c>
      <c r="AZ1" s="96"/>
      <c r="BA1" s="96"/>
    </row>
    <row r="2" spans="1:53" s="2" customFormat="1" ht="112.5" x14ac:dyDescent="0.3">
      <c r="A2" s="3" t="s">
        <v>57</v>
      </c>
      <c r="B2" s="38" t="s">
        <v>2969</v>
      </c>
      <c r="C2" s="38" t="s">
        <v>2974</v>
      </c>
      <c r="D2" s="37" t="s">
        <v>2941</v>
      </c>
      <c r="E2" s="4" t="s">
        <v>2972</v>
      </c>
      <c r="F2" s="4" t="s">
        <v>58</v>
      </c>
      <c r="G2" s="4" t="s">
        <v>1302</v>
      </c>
      <c r="H2" s="4" t="s">
        <v>2899</v>
      </c>
      <c r="I2" s="4" t="s">
        <v>326</v>
      </c>
      <c r="J2" s="4" t="s">
        <v>4462</v>
      </c>
      <c r="K2" s="4" t="s">
        <v>4463</v>
      </c>
      <c r="L2" s="4" t="s">
        <v>4464</v>
      </c>
      <c r="M2" s="4" t="s">
        <v>5377</v>
      </c>
      <c r="N2" s="7" t="s">
        <v>53</v>
      </c>
      <c r="O2" s="9" t="s">
        <v>76</v>
      </c>
      <c r="P2" s="9" t="s">
        <v>59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64</v>
      </c>
      <c r="V2" s="5" t="s">
        <v>65</v>
      </c>
      <c r="W2" s="6" t="s">
        <v>66</v>
      </c>
      <c r="X2" s="6" t="s">
        <v>67</v>
      </c>
      <c r="Y2" s="6" t="s">
        <v>68</v>
      </c>
      <c r="Z2" s="6" t="s">
        <v>69</v>
      </c>
      <c r="AA2" s="6" t="s">
        <v>70</v>
      </c>
      <c r="AB2" s="6" t="s">
        <v>71</v>
      </c>
      <c r="AC2" s="7" t="s">
        <v>54</v>
      </c>
      <c r="AD2" s="2" t="s">
        <v>72</v>
      </c>
      <c r="AE2" s="35" t="s">
        <v>334</v>
      </c>
      <c r="AF2" s="2" t="s">
        <v>2184</v>
      </c>
      <c r="AG2" s="2" t="s">
        <v>4466</v>
      </c>
      <c r="AH2" s="2" t="s">
        <v>4467</v>
      </c>
      <c r="AI2" s="2" t="s">
        <v>329</v>
      </c>
      <c r="AJ2" s="2" t="s">
        <v>330</v>
      </c>
      <c r="AK2" s="2" t="s">
        <v>331</v>
      </c>
      <c r="AL2" s="2" t="s">
        <v>332</v>
      </c>
      <c r="AM2" s="22" t="s">
        <v>333</v>
      </c>
      <c r="AN2" s="80" t="s">
        <v>965</v>
      </c>
      <c r="AO2" s="21" t="s">
        <v>339</v>
      </c>
      <c r="AP2" s="21" t="s">
        <v>340</v>
      </c>
      <c r="AQ2" s="7" t="s">
        <v>55</v>
      </c>
      <c r="AR2" s="18" t="s">
        <v>73</v>
      </c>
      <c r="AS2" s="18" t="s">
        <v>74</v>
      </c>
      <c r="AT2" s="7" t="s">
        <v>55</v>
      </c>
      <c r="AU2" s="2" t="s">
        <v>1929</v>
      </c>
      <c r="AV2" s="2" t="s">
        <v>75</v>
      </c>
      <c r="AW2" s="40" t="s">
        <v>2939</v>
      </c>
      <c r="AX2" s="41" t="s">
        <v>2970</v>
      </c>
      <c r="AY2" s="40" t="s">
        <v>2971</v>
      </c>
      <c r="AZ2" s="40" t="s">
        <v>5529</v>
      </c>
      <c r="BA2" s="40" t="s">
        <v>2973</v>
      </c>
    </row>
    <row r="3" spans="1:53" s="45" customFormat="1" ht="12" customHeight="1" x14ac:dyDescent="0.3">
      <c r="A3" s="44" t="s">
        <v>4390</v>
      </c>
      <c r="B3" s="44"/>
      <c r="C3" s="43"/>
      <c r="D3" s="43"/>
      <c r="E3" s="44" t="s">
        <v>4390</v>
      </c>
      <c r="F3" s="44" t="s">
        <v>4391</v>
      </c>
      <c r="G3" s="44" t="s">
        <v>4390</v>
      </c>
      <c r="I3" s="43"/>
      <c r="J3" s="43"/>
      <c r="K3" s="43"/>
      <c r="L3" s="43"/>
      <c r="M3" s="43"/>
      <c r="N3" s="44"/>
      <c r="O3" s="43" t="s">
        <v>4389</v>
      </c>
      <c r="P3" s="43" t="s">
        <v>4389</v>
      </c>
      <c r="Q3" s="43" t="s">
        <v>4389</v>
      </c>
      <c r="R3" s="43" t="s">
        <v>4389</v>
      </c>
      <c r="AF3" s="43"/>
      <c r="AG3" s="43"/>
      <c r="AH3" s="43"/>
      <c r="AI3" s="43" t="s">
        <v>4389</v>
      </c>
      <c r="AJ3" s="43" t="s">
        <v>4389</v>
      </c>
      <c r="AK3" s="43" t="s">
        <v>4389</v>
      </c>
      <c r="AL3" s="43" t="s">
        <v>4389</v>
      </c>
      <c r="AM3" s="43" t="s">
        <v>4389</v>
      </c>
      <c r="AN3" s="43" t="s">
        <v>4389</v>
      </c>
      <c r="AO3" s="44" t="s">
        <v>4390</v>
      </c>
      <c r="AP3" s="44" t="s">
        <v>4390</v>
      </c>
      <c r="AR3" s="43" t="s">
        <v>4389</v>
      </c>
      <c r="AS3" s="43" t="s">
        <v>4389</v>
      </c>
      <c r="AU3" s="43" t="s">
        <v>4389</v>
      </c>
    </row>
    <row r="4" spans="1:53" ht="12" customHeight="1" x14ac:dyDescent="0.2">
      <c r="A4" s="10" t="s">
        <v>342</v>
      </c>
      <c r="B4" s="39">
        <v>1001</v>
      </c>
      <c r="C4" s="42" t="s">
        <v>2975</v>
      </c>
      <c r="D4" s="10" t="s">
        <v>77</v>
      </c>
      <c r="E4" s="14" t="s">
        <v>0</v>
      </c>
      <c r="F4" s="1" t="s">
        <v>89</v>
      </c>
      <c r="G4" s="1" t="s">
        <v>1303</v>
      </c>
      <c r="H4" s="1" t="b">
        <v>1</v>
      </c>
      <c r="I4" s="1">
        <v>1</v>
      </c>
      <c r="J4" s="1"/>
      <c r="K4" s="1"/>
      <c r="L4" s="1"/>
      <c r="M4" s="1"/>
      <c r="O4" s="16" t="s">
        <v>335</v>
      </c>
      <c r="P4" s="1">
        <v>1</v>
      </c>
      <c r="Q4" s="15"/>
      <c r="R4" s="15"/>
      <c r="S4" s="15"/>
      <c r="T4" s="15"/>
      <c r="U4" s="15"/>
      <c r="V4" s="1"/>
      <c r="W4" s="1">
        <v>442</v>
      </c>
      <c r="X4" s="1">
        <f>W4</f>
        <v>442</v>
      </c>
      <c r="Y4" s="15"/>
      <c r="Z4" s="15"/>
      <c r="AA4" s="15"/>
      <c r="AB4" s="17"/>
      <c r="AC4" s="82"/>
      <c r="AD4" s="16" t="s">
        <v>336</v>
      </c>
      <c r="AE4" s="16" t="s">
        <v>336</v>
      </c>
      <c r="AF4" s="16"/>
      <c r="AG4" s="16"/>
      <c r="AH4" s="16"/>
      <c r="AI4" s="16" t="s">
        <v>401</v>
      </c>
      <c r="AJ4" s="16"/>
      <c r="AK4" s="16"/>
      <c r="AL4" s="16"/>
      <c r="AM4" s="16"/>
      <c r="AN4" s="16"/>
      <c r="AO4" s="16"/>
      <c r="AP4" s="16" t="s">
        <v>341</v>
      </c>
      <c r="AR4" s="88" t="s">
        <v>96</v>
      </c>
      <c r="AS4" s="88" t="s">
        <v>96</v>
      </c>
      <c r="AU4" s="12" t="s">
        <v>1930</v>
      </c>
      <c r="AV4" s="13" t="s">
        <v>337</v>
      </c>
      <c r="AW4" s="39" t="s">
        <v>2940</v>
      </c>
      <c r="AY4" s="32"/>
      <c r="AZ4" s="32"/>
      <c r="BA4" s="32"/>
    </row>
    <row r="5" spans="1:53" ht="12" customHeight="1" x14ac:dyDescent="0.2">
      <c r="A5" s="10" t="s">
        <v>343</v>
      </c>
      <c r="B5" s="39">
        <v>1002</v>
      </c>
      <c r="C5" s="42" t="s">
        <v>2976</v>
      </c>
      <c r="D5" s="10" t="s">
        <v>77</v>
      </c>
      <c r="E5" s="14" t="s">
        <v>0</v>
      </c>
      <c r="F5" s="1" t="s">
        <v>394</v>
      </c>
      <c r="G5" s="1" t="s">
        <v>1303</v>
      </c>
      <c r="H5" s="1" t="b">
        <v>1</v>
      </c>
      <c r="I5" s="1">
        <v>2</v>
      </c>
      <c r="J5" s="1"/>
      <c r="K5" s="1"/>
      <c r="L5" s="1"/>
      <c r="M5" s="1"/>
      <c r="O5" s="16" t="s">
        <v>335</v>
      </c>
      <c r="P5" s="1">
        <v>1</v>
      </c>
      <c r="Q5" s="15"/>
      <c r="R5" s="15"/>
      <c r="S5" s="15"/>
      <c r="T5" s="15"/>
      <c r="U5" s="15"/>
      <c r="V5" s="1"/>
      <c r="W5" s="1">
        <v>510</v>
      </c>
      <c r="X5" s="1">
        <f t="shared" ref="X5:X611" si="0">W5</f>
        <v>510</v>
      </c>
      <c r="Y5" s="15"/>
      <c r="Z5" s="15"/>
      <c r="AA5" s="15"/>
      <c r="AB5" s="17"/>
      <c r="AC5" s="82"/>
      <c r="AD5" s="16" t="s">
        <v>98</v>
      </c>
      <c r="AE5" s="16" t="s">
        <v>98</v>
      </c>
      <c r="AF5" s="16"/>
      <c r="AG5" s="16"/>
      <c r="AH5" s="16"/>
      <c r="AI5" s="16" t="s">
        <v>402</v>
      </c>
      <c r="AJ5" s="16"/>
      <c r="AK5" s="16"/>
      <c r="AL5" s="16"/>
      <c r="AM5" s="16"/>
      <c r="AN5" s="16"/>
      <c r="AO5" s="16"/>
      <c r="AP5" s="16" t="s">
        <v>341</v>
      </c>
      <c r="AR5" s="88" t="s">
        <v>96</v>
      </c>
      <c r="AS5" s="88" t="s">
        <v>96</v>
      </c>
      <c r="AU5" s="12" t="s">
        <v>1930</v>
      </c>
      <c r="AV5" s="19" t="s">
        <v>370</v>
      </c>
      <c r="AW5" s="39" t="s">
        <v>2940</v>
      </c>
      <c r="AY5" s="33"/>
      <c r="AZ5" s="33"/>
      <c r="BA5" s="33"/>
    </row>
    <row r="6" spans="1:53" ht="12" customHeight="1" x14ac:dyDescent="0.2">
      <c r="A6" s="10" t="s">
        <v>344</v>
      </c>
      <c r="B6" s="39">
        <v>1003</v>
      </c>
      <c r="C6" s="42" t="s">
        <v>2977</v>
      </c>
      <c r="D6" s="10" t="s">
        <v>77</v>
      </c>
      <c r="E6" s="14" t="s">
        <v>0</v>
      </c>
      <c r="F6" s="1" t="s">
        <v>395</v>
      </c>
      <c r="G6" s="1" t="s">
        <v>1303</v>
      </c>
      <c r="H6" s="1" t="b">
        <v>1</v>
      </c>
      <c r="I6" s="1">
        <v>3</v>
      </c>
      <c r="J6" s="1"/>
      <c r="K6" s="1"/>
      <c r="L6" s="1"/>
      <c r="M6" s="1"/>
      <c r="O6" s="16" t="s">
        <v>367</v>
      </c>
      <c r="P6" s="1">
        <v>1</v>
      </c>
      <c r="Q6" s="15"/>
      <c r="R6" s="15"/>
      <c r="S6" s="15"/>
      <c r="T6" s="15"/>
      <c r="U6" s="15"/>
      <c r="V6" s="1"/>
      <c r="W6" s="1">
        <v>510</v>
      </c>
      <c r="X6" s="1">
        <f t="shared" si="0"/>
        <v>510</v>
      </c>
      <c r="Y6" s="15"/>
      <c r="Z6" s="15"/>
      <c r="AA6" s="15"/>
      <c r="AB6" s="17"/>
      <c r="AC6" s="82"/>
      <c r="AD6" s="16" t="s">
        <v>52</v>
      </c>
      <c r="AE6" s="16" t="s">
        <v>52</v>
      </c>
      <c r="AF6" s="16"/>
      <c r="AG6" s="16"/>
      <c r="AH6" s="16"/>
      <c r="AI6" s="16" t="s">
        <v>403</v>
      </c>
      <c r="AJ6" s="16"/>
      <c r="AK6" s="16"/>
      <c r="AL6" s="16"/>
      <c r="AM6" s="16"/>
      <c r="AN6" s="16"/>
      <c r="AO6" s="16"/>
      <c r="AP6" s="16" t="s">
        <v>368</v>
      </c>
      <c r="AR6" s="88" t="s">
        <v>369</v>
      </c>
      <c r="AS6" s="88" t="s">
        <v>369</v>
      </c>
      <c r="AU6" s="12" t="s">
        <v>1930</v>
      </c>
      <c r="AV6" s="19" t="s">
        <v>371</v>
      </c>
      <c r="AW6" s="39" t="s">
        <v>2940</v>
      </c>
      <c r="AY6" s="33"/>
      <c r="AZ6" s="33"/>
      <c r="BA6" s="33"/>
    </row>
    <row r="7" spans="1:53" ht="12" customHeight="1" x14ac:dyDescent="0.2">
      <c r="A7" s="10" t="s">
        <v>345</v>
      </c>
      <c r="B7" s="39">
        <v>1004</v>
      </c>
      <c r="C7" s="42" t="s">
        <v>2978</v>
      </c>
      <c r="D7" s="10" t="s">
        <v>77</v>
      </c>
      <c r="E7" s="14" t="s">
        <v>0</v>
      </c>
      <c r="F7" s="1" t="s">
        <v>396</v>
      </c>
      <c r="G7" s="1" t="s">
        <v>1303</v>
      </c>
      <c r="H7" s="1" t="b">
        <v>1</v>
      </c>
      <c r="I7" s="1">
        <v>4</v>
      </c>
      <c r="J7" s="1"/>
      <c r="K7" s="1"/>
      <c r="L7" s="1"/>
      <c r="M7" s="1"/>
      <c r="O7" s="16" t="s">
        <v>367</v>
      </c>
      <c r="P7" s="1">
        <v>1</v>
      </c>
      <c r="Q7" s="15"/>
      <c r="R7" s="15"/>
      <c r="S7" s="15"/>
      <c r="T7" s="15"/>
      <c r="U7" s="15"/>
      <c r="V7" s="1"/>
      <c r="W7" s="1">
        <v>486</v>
      </c>
      <c r="X7" s="1">
        <f t="shared" si="0"/>
        <v>486</v>
      </c>
      <c r="Y7" s="15"/>
      <c r="Z7" s="15"/>
      <c r="AA7" s="15"/>
      <c r="AB7" s="17"/>
      <c r="AC7" s="82"/>
      <c r="AD7" s="16" t="s">
        <v>52</v>
      </c>
      <c r="AE7" s="16" t="s">
        <v>52</v>
      </c>
      <c r="AF7" s="16"/>
      <c r="AG7" s="16"/>
      <c r="AH7" s="16"/>
      <c r="AI7" s="16" t="s">
        <v>404</v>
      </c>
      <c r="AJ7" s="16"/>
      <c r="AK7" s="16"/>
      <c r="AL7" s="16"/>
      <c r="AM7" s="16"/>
      <c r="AN7" s="16"/>
      <c r="AO7" s="16"/>
      <c r="AP7" s="16" t="s">
        <v>368</v>
      </c>
      <c r="AR7" s="88" t="s">
        <v>369</v>
      </c>
      <c r="AS7" s="88" t="s">
        <v>369</v>
      </c>
      <c r="AU7" s="12" t="s">
        <v>1930</v>
      </c>
      <c r="AV7" s="19" t="s">
        <v>372</v>
      </c>
      <c r="AW7" s="39" t="s">
        <v>2940</v>
      </c>
      <c r="AY7" s="33"/>
      <c r="AZ7" s="33"/>
      <c r="BA7" s="33"/>
    </row>
    <row r="8" spans="1:53" ht="12" customHeight="1" x14ac:dyDescent="0.2">
      <c r="A8" s="10" t="s">
        <v>346</v>
      </c>
      <c r="B8" s="39">
        <v>1005</v>
      </c>
      <c r="C8" s="42" t="s">
        <v>2979</v>
      </c>
      <c r="D8" s="10" t="s">
        <v>77</v>
      </c>
      <c r="E8" s="14" t="s">
        <v>0</v>
      </c>
      <c r="F8" s="1" t="s">
        <v>89</v>
      </c>
      <c r="G8" s="1" t="s">
        <v>1303</v>
      </c>
      <c r="H8" s="1" t="b">
        <v>1</v>
      </c>
      <c r="I8" s="1">
        <v>5</v>
      </c>
      <c r="J8" s="1"/>
      <c r="K8" s="1"/>
      <c r="L8" s="1"/>
      <c r="M8" s="1"/>
      <c r="O8" s="16" t="s">
        <v>367</v>
      </c>
      <c r="P8" s="1">
        <v>1</v>
      </c>
      <c r="Q8" s="15"/>
      <c r="R8" s="15"/>
      <c r="S8" s="15"/>
      <c r="T8" s="15"/>
      <c r="U8" s="15"/>
      <c r="V8" s="1"/>
      <c r="W8" s="1">
        <v>442</v>
      </c>
      <c r="X8" s="1">
        <f t="shared" si="0"/>
        <v>442</v>
      </c>
      <c r="Y8" s="15"/>
      <c r="Z8" s="15"/>
      <c r="AA8" s="15"/>
      <c r="AB8" s="17"/>
      <c r="AC8" s="82"/>
      <c r="AD8" s="16" t="s">
        <v>52</v>
      </c>
      <c r="AE8" s="16" t="s">
        <v>52</v>
      </c>
      <c r="AF8" s="16"/>
      <c r="AG8" s="16"/>
      <c r="AH8" s="16"/>
      <c r="AI8" s="16" t="s">
        <v>405</v>
      </c>
      <c r="AJ8" s="16"/>
      <c r="AK8" s="16"/>
      <c r="AL8" s="16"/>
      <c r="AM8" s="16"/>
      <c r="AN8" s="16"/>
      <c r="AO8" s="16"/>
      <c r="AP8" s="16" t="s">
        <v>368</v>
      </c>
      <c r="AR8" s="88" t="s">
        <v>369</v>
      </c>
      <c r="AS8" s="88" t="s">
        <v>369</v>
      </c>
      <c r="AU8" s="12" t="s">
        <v>1930</v>
      </c>
      <c r="AV8" s="19" t="s">
        <v>373</v>
      </c>
      <c r="AW8" s="39" t="s">
        <v>2940</v>
      </c>
      <c r="AY8" s="33"/>
      <c r="AZ8" s="33"/>
      <c r="BA8" s="33"/>
    </row>
    <row r="9" spans="1:53" ht="12" customHeight="1" x14ac:dyDescent="0.2">
      <c r="A9" s="10" t="s">
        <v>347</v>
      </c>
      <c r="B9" s="39">
        <v>1006</v>
      </c>
      <c r="C9" s="42" t="s">
        <v>2980</v>
      </c>
      <c r="D9" s="10" t="s">
        <v>77</v>
      </c>
      <c r="E9" s="14" t="s">
        <v>0</v>
      </c>
      <c r="F9" s="1" t="s">
        <v>397</v>
      </c>
      <c r="G9" s="1" t="s">
        <v>1303</v>
      </c>
      <c r="H9" s="1" t="b">
        <v>1</v>
      </c>
      <c r="I9" s="1">
        <v>6</v>
      </c>
      <c r="J9" s="1"/>
      <c r="K9" s="1"/>
      <c r="L9" s="1"/>
      <c r="M9" s="1"/>
      <c r="O9" s="16" t="s">
        <v>367</v>
      </c>
      <c r="P9" s="1">
        <v>1</v>
      </c>
      <c r="Q9" s="15"/>
      <c r="R9" s="15"/>
      <c r="S9" s="15"/>
      <c r="T9" s="15"/>
      <c r="U9" s="15"/>
      <c r="V9" s="1"/>
      <c r="W9" s="1">
        <v>390</v>
      </c>
      <c r="X9" s="1">
        <f t="shared" si="0"/>
        <v>390</v>
      </c>
      <c r="Y9" s="15"/>
      <c r="Z9" s="15"/>
      <c r="AA9" s="15"/>
      <c r="AB9" s="17"/>
      <c r="AC9" s="82"/>
      <c r="AD9" s="16" t="s">
        <v>52</v>
      </c>
      <c r="AE9" s="16" t="s">
        <v>52</v>
      </c>
      <c r="AF9" s="16"/>
      <c r="AG9" s="16"/>
      <c r="AH9" s="16"/>
      <c r="AI9" s="16" t="s">
        <v>406</v>
      </c>
      <c r="AJ9" s="16"/>
      <c r="AK9" s="16"/>
      <c r="AL9" s="16"/>
      <c r="AM9" s="16"/>
      <c r="AN9" s="16"/>
      <c r="AO9" s="16"/>
      <c r="AP9" s="16" t="s">
        <v>368</v>
      </c>
      <c r="AR9" s="88" t="s">
        <v>369</v>
      </c>
      <c r="AS9" s="88" t="s">
        <v>369</v>
      </c>
      <c r="AU9" s="12" t="s">
        <v>1930</v>
      </c>
      <c r="AV9" s="19" t="s">
        <v>374</v>
      </c>
      <c r="AW9" s="39" t="s">
        <v>2940</v>
      </c>
      <c r="AY9" s="33"/>
      <c r="AZ9" s="33"/>
      <c r="BA9" s="33"/>
    </row>
    <row r="10" spans="1:53" ht="12" customHeight="1" x14ac:dyDescent="0.2">
      <c r="A10" s="10" t="s">
        <v>348</v>
      </c>
      <c r="B10" s="39">
        <v>1007</v>
      </c>
      <c r="C10" s="42" t="s">
        <v>2981</v>
      </c>
      <c r="D10" s="10" t="s">
        <v>77</v>
      </c>
      <c r="E10" s="14" t="s">
        <v>0</v>
      </c>
      <c r="F10" s="1" t="s">
        <v>398</v>
      </c>
      <c r="G10" s="1" t="s">
        <v>1303</v>
      </c>
      <c r="H10" s="1" t="b">
        <v>1</v>
      </c>
      <c r="I10" s="1">
        <v>7</v>
      </c>
      <c r="J10" s="1"/>
      <c r="K10" s="1"/>
      <c r="L10" s="1"/>
      <c r="M10" s="1"/>
      <c r="O10" s="16" t="s">
        <v>367</v>
      </c>
      <c r="P10" s="1">
        <v>1</v>
      </c>
      <c r="Q10" s="15"/>
      <c r="R10" s="15"/>
      <c r="S10" s="15"/>
      <c r="T10" s="15"/>
      <c r="U10" s="15"/>
      <c r="V10" s="1"/>
      <c r="W10" s="1">
        <v>499</v>
      </c>
      <c r="X10" s="1">
        <f t="shared" si="0"/>
        <v>499</v>
      </c>
      <c r="Y10" s="15"/>
      <c r="Z10" s="15"/>
      <c r="AA10" s="15"/>
      <c r="AB10" s="17"/>
      <c r="AC10" s="82"/>
      <c r="AD10" s="16" t="s">
        <v>52</v>
      </c>
      <c r="AE10" s="16" t="s">
        <v>52</v>
      </c>
      <c r="AF10" s="16"/>
      <c r="AG10" s="16"/>
      <c r="AH10" s="16"/>
      <c r="AI10" s="16" t="s">
        <v>407</v>
      </c>
      <c r="AJ10" s="16"/>
      <c r="AK10" s="16"/>
      <c r="AL10" s="16"/>
      <c r="AM10" s="16"/>
      <c r="AN10" s="16"/>
      <c r="AO10" s="16"/>
      <c r="AP10" s="16" t="s">
        <v>368</v>
      </c>
      <c r="AR10" s="88" t="s">
        <v>369</v>
      </c>
      <c r="AS10" s="88" t="s">
        <v>369</v>
      </c>
      <c r="AU10" s="12" t="s">
        <v>1930</v>
      </c>
      <c r="AV10" s="19" t="s">
        <v>375</v>
      </c>
      <c r="AW10" s="39" t="s">
        <v>2940</v>
      </c>
      <c r="AY10" s="33"/>
      <c r="AZ10" s="33"/>
      <c r="BA10" s="33"/>
    </row>
    <row r="11" spans="1:53" ht="12" customHeight="1" x14ac:dyDescent="0.2">
      <c r="A11" s="10" t="s">
        <v>349</v>
      </c>
      <c r="B11" s="39">
        <v>1008</v>
      </c>
      <c r="C11" s="42" t="s">
        <v>2982</v>
      </c>
      <c r="D11" s="10" t="s">
        <v>77</v>
      </c>
      <c r="E11" s="14" t="s">
        <v>0</v>
      </c>
      <c r="F11" s="1" t="s">
        <v>394</v>
      </c>
      <c r="G11" s="1" t="s">
        <v>1303</v>
      </c>
      <c r="H11" s="1" t="b">
        <v>1</v>
      </c>
      <c r="I11" s="1">
        <v>8</v>
      </c>
      <c r="J11" s="1"/>
      <c r="K11" s="1"/>
      <c r="L11" s="1"/>
      <c r="M11" s="1"/>
      <c r="O11" s="16" t="s">
        <v>367</v>
      </c>
      <c r="P11" s="1">
        <v>1</v>
      </c>
      <c r="Q11" s="15"/>
      <c r="R11" s="15"/>
      <c r="S11" s="15"/>
      <c r="T11" s="15"/>
      <c r="U11" s="15"/>
      <c r="V11" s="1"/>
      <c r="W11" s="1">
        <v>510</v>
      </c>
      <c r="X11" s="1">
        <f t="shared" si="0"/>
        <v>510</v>
      </c>
      <c r="Y11" s="15"/>
      <c r="Z11" s="15"/>
      <c r="AA11" s="15"/>
      <c r="AB11" s="17"/>
      <c r="AC11" s="82"/>
      <c r="AD11" s="16" t="s">
        <v>52</v>
      </c>
      <c r="AE11" s="16" t="s">
        <v>52</v>
      </c>
      <c r="AF11" s="16"/>
      <c r="AG11" s="16"/>
      <c r="AH11" s="16"/>
      <c r="AI11" s="16" t="s">
        <v>408</v>
      </c>
      <c r="AJ11" s="16"/>
      <c r="AK11" s="16"/>
      <c r="AL11" s="16"/>
      <c r="AM11" s="16"/>
      <c r="AN11" s="16"/>
      <c r="AO11" s="16"/>
      <c r="AP11" s="16" t="s">
        <v>368</v>
      </c>
      <c r="AR11" s="88" t="s">
        <v>369</v>
      </c>
      <c r="AS11" s="88" t="s">
        <v>369</v>
      </c>
      <c r="AU11" s="12" t="s">
        <v>1930</v>
      </c>
      <c r="AV11" s="19" t="s">
        <v>376</v>
      </c>
      <c r="AW11" s="39" t="s">
        <v>2940</v>
      </c>
      <c r="AY11" s="33"/>
      <c r="AZ11" s="33"/>
      <c r="BA11" s="33"/>
    </row>
    <row r="12" spans="1:53" ht="12" customHeight="1" x14ac:dyDescent="0.2">
      <c r="A12" s="10" t="s">
        <v>350</v>
      </c>
      <c r="B12" s="39">
        <v>1009</v>
      </c>
      <c r="C12" s="42" t="s">
        <v>2983</v>
      </c>
      <c r="D12" s="10" t="s">
        <v>77</v>
      </c>
      <c r="E12" s="14" t="s">
        <v>0</v>
      </c>
      <c r="F12" s="1" t="s">
        <v>396</v>
      </c>
      <c r="G12" s="1" t="s">
        <v>1303</v>
      </c>
      <c r="H12" s="1" t="b">
        <v>1</v>
      </c>
      <c r="I12" s="1">
        <v>9</v>
      </c>
      <c r="J12" s="1"/>
      <c r="K12" s="1"/>
      <c r="L12" s="1"/>
      <c r="M12" s="1"/>
      <c r="O12" s="16" t="s">
        <v>367</v>
      </c>
      <c r="P12" s="1">
        <v>1</v>
      </c>
      <c r="Q12" s="15"/>
      <c r="R12" s="15"/>
      <c r="S12" s="15"/>
      <c r="T12" s="15"/>
      <c r="U12" s="15"/>
      <c r="V12" s="1"/>
      <c r="W12" s="1">
        <v>486</v>
      </c>
      <c r="X12" s="1">
        <f t="shared" si="0"/>
        <v>486</v>
      </c>
      <c r="Y12" s="15"/>
      <c r="Z12" s="15"/>
      <c r="AA12" s="15"/>
      <c r="AB12" s="17"/>
      <c r="AC12" s="82"/>
      <c r="AD12" s="16" t="s">
        <v>52</v>
      </c>
      <c r="AE12" s="16" t="s">
        <v>52</v>
      </c>
      <c r="AF12" s="16"/>
      <c r="AG12" s="16"/>
      <c r="AH12" s="16"/>
      <c r="AI12" s="16" t="s">
        <v>409</v>
      </c>
      <c r="AJ12" s="16"/>
      <c r="AK12" s="16"/>
      <c r="AL12" s="16"/>
      <c r="AM12" s="16"/>
      <c r="AN12" s="16"/>
      <c r="AO12" s="16"/>
      <c r="AP12" s="16" t="s">
        <v>368</v>
      </c>
      <c r="AR12" s="88" t="s">
        <v>369</v>
      </c>
      <c r="AS12" s="88" t="s">
        <v>369</v>
      </c>
      <c r="AU12" s="12" t="s">
        <v>1930</v>
      </c>
      <c r="AV12" s="19" t="s">
        <v>377</v>
      </c>
      <c r="AW12" s="39" t="s">
        <v>2940</v>
      </c>
      <c r="AY12" s="33"/>
      <c r="AZ12" s="33"/>
      <c r="BA12" s="33"/>
    </row>
    <row r="13" spans="1:53" ht="12" customHeight="1" x14ac:dyDescent="0.2">
      <c r="A13" s="10" t="s">
        <v>351</v>
      </c>
      <c r="B13" s="39">
        <v>1010</v>
      </c>
      <c r="C13" s="42" t="s">
        <v>2984</v>
      </c>
      <c r="D13" s="10" t="s">
        <v>77</v>
      </c>
      <c r="E13" s="14" t="s">
        <v>0</v>
      </c>
      <c r="F13" s="1" t="s">
        <v>399</v>
      </c>
      <c r="G13" s="1" t="s">
        <v>1303</v>
      </c>
      <c r="H13" s="1" t="b">
        <v>1</v>
      </c>
      <c r="I13" s="1">
        <v>10</v>
      </c>
      <c r="J13" s="1"/>
      <c r="K13" s="1"/>
      <c r="L13" s="1"/>
      <c r="M13" s="1"/>
      <c r="O13" s="16" t="s">
        <v>367</v>
      </c>
      <c r="P13" s="1">
        <v>1</v>
      </c>
      <c r="Q13" s="15"/>
      <c r="R13" s="15"/>
      <c r="S13" s="15"/>
      <c r="T13" s="15"/>
      <c r="U13" s="15"/>
      <c r="V13" s="1"/>
      <c r="W13" s="1">
        <v>547</v>
      </c>
      <c r="X13" s="1">
        <f t="shared" si="0"/>
        <v>547</v>
      </c>
      <c r="Y13" s="15"/>
      <c r="Z13" s="15"/>
      <c r="AA13" s="15"/>
      <c r="AB13" s="17"/>
      <c r="AC13" s="82"/>
      <c r="AD13" s="16" t="s">
        <v>52</v>
      </c>
      <c r="AE13" s="16" t="s">
        <v>52</v>
      </c>
      <c r="AF13" s="16"/>
      <c r="AG13" s="16"/>
      <c r="AH13" s="16"/>
      <c r="AI13" s="16" t="s">
        <v>410</v>
      </c>
      <c r="AJ13" s="16"/>
      <c r="AK13" s="16"/>
      <c r="AL13" s="16"/>
      <c r="AM13" s="16"/>
      <c r="AN13" s="16"/>
      <c r="AO13" s="16"/>
      <c r="AP13" s="16" t="s">
        <v>368</v>
      </c>
      <c r="AR13" s="88" t="s">
        <v>369</v>
      </c>
      <c r="AS13" s="88" t="s">
        <v>369</v>
      </c>
      <c r="AU13" s="12" t="s">
        <v>1930</v>
      </c>
      <c r="AV13" s="19" t="s">
        <v>378</v>
      </c>
      <c r="AW13" s="39" t="s">
        <v>2940</v>
      </c>
      <c r="AY13" s="33"/>
      <c r="AZ13" s="33"/>
      <c r="BA13" s="33"/>
    </row>
    <row r="14" spans="1:53" ht="12" customHeight="1" x14ac:dyDescent="0.2">
      <c r="A14" s="10" t="s">
        <v>352</v>
      </c>
      <c r="B14" s="39">
        <v>1011</v>
      </c>
      <c r="C14" s="42" t="s">
        <v>2985</v>
      </c>
      <c r="D14" s="10" t="s">
        <v>77</v>
      </c>
      <c r="E14" s="14" t="s">
        <v>0</v>
      </c>
      <c r="F14" s="1" t="s">
        <v>395</v>
      </c>
      <c r="G14" s="1" t="s">
        <v>1303</v>
      </c>
      <c r="H14" s="1" t="b">
        <v>1</v>
      </c>
      <c r="I14" s="1">
        <v>11</v>
      </c>
      <c r="J14" s="1"/>
      <c r="K14" s="1"/>
      <c r="L14" s="1"/>
      <c r="M14" s="1"/>
      <c r="O14" s="16" t="s">
        <v>367</v>
      </c>
      <c r="P14" s="1">
        <v>1</v>
      </c>
      <c r="Q14" s="15"/>
      <c r="R14" s="15"/>
      <c r="S14" s="15"/>
      <c r="T14" s="15"/>
      <c r="U14" s="15"/>
      <c r="V14" s="1"/>
      <c r="W14" s="1">
        <v>510</v>
      </c>
      <c r="X14" s="1">
        <f t="shared" si="0"/>
        <v>510</v>
      </c>
      <c r="Y14" s="15"/>
      <c r="Z14" s="15"/>
      <c r="AA14" s="15"/>
      <c r="AB14" s="17"/>
      <c r="AC14" s="82"/>
      <c r="AD14" s="16" t="s">
        <v>52</v>
      </c>
      <c r="AE14" s="16" t="s">
        <v>52</v>
      </c>
      <c r="AF14" s="16"/>
      <c r="AG14" s="16"/>
      <c r="AH14" s="16"/>
      <c r="AI14" s="16" t="s">
        <v>411</v>
      </c>
      <c r="AJ14" s="16"/>
      <c r="AK14" s="16"/>
      <c r="AL14" s="16"/>
      <c r="AM14" s="16"/>
      <c r="AN14" s="16"/>
      <c r="AO14" s="16"/>
      <c r="AP14" s="16" t="s">
        <v>368</v>
      </c>
      <c r="AR14" s="88" t="s">
        <v>369</v>
      </c>
      <c r="AS14" s="88" t="s">
        <v>369</v>
      </c>
      <c r="AU14" s="12" t="s">
        <v>1930</v>
      </c>
      <c r="AV14" s="19" t="s">
        <v>379</v>
      </c>
      <c r="AW14" s="39" t="s">
        <v>2940</v>
      </c>
      <c r="AY14" s="33"/>
      <c r="AZ14" s="33"/>
      <c r="BA14" s="33"/>
    </row>
    <row r="15" spans="1:53" ht="12" customHeight="1" x14ac:dyDescent="0.2">
      <c r="A15" s="10" t="s">
        <v>353</v>
      </c>
      <c r="B15" s="39">
        <v>1012</v>
      </c>
      <c r="C15" s="42" t="s">
        <v>2986</v>
      </c>
      <c r="D15" s="10" t="s">
        <v>77</v>
      </c>
      <c r="E15" s="14" t="s">
        <v>0</v>
      </c>
      <c r="F15" s="1" t="s">
        <v>398</v>
      </c>
      <c r="G15" s="1" t="s">
        <v>1303</v>
      </c>
      <c r="H15" s="1" t="b">
        <v>1</v>
      </c>
      <c r="I15" s="1">
        <v>12</v>
      </c>
      <c r="J15" s="1"/>
      <c r="K15" s="1"/>
      <c r="L15" s="1"/>
      <c r="M15" s="1"/>
      <c r="O15" s="16" t="s">
        <v>367</v>
      </c>
      <c r="P15" s="1">
        <v>1</v>
      </c>
      <c r="Q15" s="15"/>
      <c r="R15" s="15"/>
      <c r="S15" s="15"/>
      <c r="T15" s="15"/>
      <c r="U15" s="15"/>
      <c r="V15" s="1"/>
      <c r="W15" s="1">
        <v>499</v>
      </c>
      <c r="X15" s="1">
        <f t="shared" si="0"/>
        <v>499</v>
      </c>
      <c r="Y15" s="15"/>
      <c r="Z15" s="15"/>
      <c r="AA15" s="15"/>
      <c r="AB15" s="17"/>
      <c r="AC15" s="82"/>
      <c r="AD15" s="16" t="s">
        <v>52</v>
      </c>
      <c r="AE15" s="16" t="s">
        <v>52</v>
      </c>
      <c r="AF15" s="16"/>
      <c r="AG15" s="16"/>
      <c r="AH15" s="16"/>
      <c r="AI15" s="16" t="s">
        <v>412</v>
      </c>
      <c r="AJ15" s="16"/>
      <c r="AK15" s="16"/>
      <c r="AL15" s="16"/>
      <c r="AM15" s="16"/>
      <c r="AN15" s="16"/>
      <c r="AO15" s="16"/>
      <c r="AP15" s="16" t="s">
        <v>368</v>
      </c>
      <c r="AR15" s="88" t="s">
        <v>369</v>
      </c>
      <c r="AS15" s="88" t="s">
        <v>369</v>
      </c>
      <c r="AU15" s="12" t="s">
        <v>1930</v>
      </c>
      <c r="AV15" s="19" t="s">
        <v>380</v>
      </c>
      <c r="AW15" s="39" t="s">
        <v>2940</v>
      </c>
      <c r="AY15" s="33"/>
      <c r="AZ15" s="33"/>
      <c r="BA15" s="33"/>
    </row>
    <row r="16" spans="1:53" ht="12" customHeight="1" x14ac:dyDescent="0.2">
      <c r="A16" s="10" t="s">
        <v>354</v>
      </c>
      <c r="B16" s="39">
        <v>1013</v>
      </c>
      <c r="C16" s="42" t="s">
        <v>2987</v>
      </c>
      <c r="D16" s="10" t="s">
        <v>77</v>
      </c>
      <c r="E16" s="14" t="s">
        <v>0</v>
      </c>
      <c r="F16" s="1" t="s">
        <v>395</v>
      </c>
      <c r="G16" s="1" t="s">
        <v>1303</v>
      </c>
      <c r="H16" s="1" t="b">
        <v>1</v>
      </c>
      <c r="I16" s="1">
        <v>13</v>
      </c>
      <c r="J16" s="1"/>
      <c r="K16" s="1"/>
      <c r="L16" s="1"/>
      <c r="M16" s="1"/>
      <c r="O16" s="16" t="s">
        <v>367</v>
      </c>
      <c r="P16" s="1">
        <v>1</v>
      </c>
      <c r="Q16" s="15"/>
      <c r="R16" s="15"/>
      <c r="S16" s="15"/>
      <c r="T16" s="15"/>
      <c r="U16" s="15"/>
      <c r="V16" s="1"/>
      <c r="W16" s="1">
        <v>510</v>
      </c>
      <c r="X16" s="1">
        <f t="shared" si="0"/>
        <v>510</v>
      </c>
      <c r="Y16" s="15"/>
      <c r="Z16" s="15"/>
      <c r="AA16" s="15"/>
      <c r="AB16" s="17"/>
      <c r="AC16" s="82"/>
      <c r="AD16" s="16" t="s">
        <v>52</v>
      </c>
      <c r="AE16" s="16" t="s">
        <v>52</v>
      </c>
      <c r="AF16" s="16"/>
      <c r="AG16" s="16"/>
      <c r="AH16" s="16"/>
      <c r="AI16" s="16" t="s">
        <v>413</v>
      </c>
      <c r="AJ16" s="16"/>
      <c r="AK16" s="16"/>
      <c r="AL16" s="16"/>
      <c r="AM16" s="16"/>
      <c r="AN16" s="16"/>
      <c r="AO16" s="16"/>
      <c r="AP16" s="16" t="s">
        <v>368</v>
      </c>
      <c r="AR16" s="88" t="s">
        <v>369</v>
      </c>
      <c r="AS16" s="88" t="s">
        <v>369</v>
      </c>
      <c r="AU16" s="12" t="s">
        <v>1930</v>
      </c>
      <c r="AV16" s="19" t="s">
        <v>381</v>
      </c>
      <c r="AW16" s="39" t="s">
        <v>2940</v>
      </c>
      <c r="AY16" s="33"/>
      <c r="AZ16" s="33"/>
      <c r="BA16" s="33"/>
    </row>
    <row r="17" spans="1:53" ht="12" customHeight="1" x14ac:dyDescent="0.2">
      <c r="A17" s="10" t="s">
        <v>355</v>
      </c>
      <c r="B17" s="39">
        <v>1014</v>
      </c>
      <c r="C17" s="42" t="s">
        <v>2988</v>
      </c>
      <c r="D17" s="10" t="s">
        <v>77</v>
      </c>
      <c r="E17" s="14" t="s">
        <v>0</v>
      </c>
      <c r="F17" s="1" t="s">
        <v>399</v>
      </c>
      <c r="G17" s="1" t="s">
        <v>1303</v>
      </c>
      <c r="H17" s="1"/>
      <c r="I17" s="1">
        <v>14</v>
      </c>
      <c r="J17" s="1"/>
      <c r="K17" s="1"/>
      <c r="L17" s="1"/>
      <c r="M17" s="1"/>
      <c r="O17" s="16" t="s">
        <v>367</v>
      </c>
      <c r="P17" s="1">
        <v>1</v>
      </c>
      <c r="Q17" s="15"/>
      <c r="R17" s="15"/>
      <c r="S17" s="15"/>
      <c r="T17" s="15"/>
      <c r="U17" s="15"/>
      <c r="V17" s="1"/>
      <c r="W17" s="1">
        <v>547</v>
      </c>
      <c r="X17" s="1">
        <f t="shared" si="0"/>
        <v>547</v>
      </c>
      <c r="Y17" s="15"/>
      <c r="Z17" s="15"/>
      <c r="AA17" s="15"/>
      <c r="AB17" s="17"/>
      <c r="AC17" s="82"/>
      <c r="AD17" s="16" t="s">
        <v>52</v>
      </c>
      <c r="AE17" s="16" t="s">
        <v>52</v>
      </c>
      <c r="AF17" s="16"/>
      <c r="AG17" s="16"/>
      <c r="AH17" s="16"/>
      <c r="AI17" s="16" t="s">
        <v>414</v>
      </c>
      <c r="AJ17" s="16"/>
      <c r="AK17" s="16"/>
      <c r="AL17" s="16"/>
      <c r="AM17" s="16"/>
      <c r="AN17" s="16"/>
      <c r="AO17" s="16"/>
      <c r="AP17" s="16" t="s">
        <v>368</v>
      </c>
      <c r="AR17" s="88" t="s">
        <v>369</v>
      </c>
      <c r="AS17" s="88" t="s">
        <v>369</v>
      </c>
      <c r="AU17" s="12" t="s">
        <v>1930</v>
      </c>
      <c r="AV17" s="19" t="s">
        <v>382</v>
      </c>
      <c r="AW17" s="39" t="s">
        <v>2940</v>
      </c>
      <c r="AY17" s="33"/>
      <c r="AZ17" s="33"/>
      <c r="BA17" s="33"/>
    </row>
    <row r="18" spans="1:53" ht="12" customHeight="1" x14ac:dyDescent="0.2">
      <c r="A18" s="10" t="s">
        <v>356</v>
      </c>
      <c r="B18" s="39">
        <v>1015</v>
      </c>
      <c r="C18" s="42" t="s">
        <v>2989</v>
      </c>
      <c r="D18" s="10" t="s">
        <v>77</v>
      </c>
      <c r="E18" s="14" t="s">
        <v>0</v>
      </c>
      <c r="F18" s="1" t="s">
        <v>400</v>
      </c>
      <c r="G18" s="1" t="s">
        <v>1303</v>
      </c>
      <c r="H18" s="1" t="b">
        <v>1</v>
      </c>
      <c r="I18" s="1">
        <v>15</v>
      </c>
      <c r="J18" s="1"/>
      <c r="K18" s="1"/>
      <c r="L18" s="1"/>
      <c r="M18" s="1"/>
      <c r="O18" s="16" t="s">
        <v>367</v>
      </c>
      <c r="P18" s="1">
        <v>1</v>
      </c>
      <c r="Q18" s="15"/>
      <c r="R18" s="15"/>
      <c r="S18" s="15"/>
      <c r="T18" s="15"/>
      <c r="U18" s="15"/>
      <c r="V18" s="1"/>
      <c r="W18" s="1">
        <v>390</v>
      </c>
      <c r="X18" s="1">
        <f t="shared" si="0"/>
        <v>390</v>
      </c>
      <c r="Y18" s="15"/>
      <c r="Z18" s="15"/>
      <c r="AA18" s="15"/>
      <c r="AB18" s="17"/>
      <c r="AC18" s="82"/>
      <c r="AD18" s="16" t="s">
        <v>52</v>
      </c>
      <c r="AE18" s="16" t="s">
        <v>52</v>
      </c>
      <c r="AF18" s="16"/>
      <c r="AG18" s="16"/>
      <c r="AH18" s="16"/>
      <c r="AI18" s="16" t="s">
        <v>415</v>
      </c>
      <c r="AJ18" s="16"/>
      <c r="AK18" s="16"/>
      <c r="AL18" s="16"/>
      <c r="AM18" s="16"/>
      <c r="AN18" s="16"/>
      <c r="AO18" s="16"/>
      <c r="AP18" s="16" t="s">
        <v>368</v>
      </c>
      <c r="AR18" s="88" t="s">
        <v>369</v>
      </c>
      <c r="AS18" s="88" t="s">
        <v>369</v>
      </c>
      <c r="AU18" s="12" t="s">
        <v>1930</v>
      </c>
      <c r="AV18" s="19" t="s">
        <v>383</v>
      </c>
      <c r="AW18" s="39" t="s">
        <v>2940</v>
      </c>
      <c r="AY18" s="33"/>
      <c r="AZ18" s="33"/>
      <c r="BA18" s="33"/>
    </row>
    <row r="19" spans="1:53" ht="12" customHeight="1" x14ac:dyDescent="0.2">
      <c r="A19" s="10" t="s">
        <v>357</v>
      </c>
      <c r="B19" s="39">
        <v>1016</v>
      </c>
      <c r="C19" s="42" t="s">
        <v>2990</v>
      </c>
      <c r="D19" s="10" t="s">
        <v>77</v>
      </c>
      <c r="E19" s="14" t="s">
        <v>0</v>
      </c>
      <c r="F19" s="1" t="s">
        <v>394</v>
      </c>
      <c r="G19" s="1" t="s">
        <v>1303</v>
      </c>
      <c r="H19" s="1" t="b">
        <v>1</v>
      </c>
      <c r="I19" s="1">
        <v>16</v>
      </c>
      <c r="J19" s="1"/>
      <c r="K19" s="1"/>
      <c r="L19" s="1"/>
      <c r="M19" s="1"/>
      <c r="O19" s="16" t="s">
        <v>367</v>
      </c>
      <c r="P19" s="1">
        <v>1</v>
      </c>
      <c r="Q19" s="15"/>
      <c r="R19" s="15"/>
      <c r="S19" s="15"/>
      <c r="T19" s="15"/>
      <c r="U19" s="15"/>
      <c r="V19" s="1"/>
      <c r="W19" s="1">
        <v>510</v>
      </c>
      <c r="X19" s="1">
        <f t="shared" si="0"/>
        <v>510</v>
      </c>
      <c r="Y19" s="15"/>
      <c r="Z19" s="15"/>
      <c r="AA19" s="15"/>
      <c r="AB19" s="17"/>
      <c r="AC19" s="82"/>
      <c r="AD19" s="16" t="s">
        <v>52</v>
      </c>
      <c r="AE19" s="16" t="s">
        <v>52</v>
      </c>
      <c r="AF19" s="16"/>
      <c r="AG19" s="16"/>
      <c r="AH19" s="16"/>
      <c r="AI19" s="16" t="s">
        <v>416</v>
      </c>
      <c r="AJ19" s="16"/>
      <c r="AK19" s="16"/>
      <c r="AL19" s="16"/>
      <c r="AM19" s="16"/>
      <c r="AN19" s="16"/>
      <c r="AO19" s="16"/>
      <c r="AP19" s="16" t="s">
        <v>368</v>
      </c>
      <c r="AR19" s="88" t="s">
        <v>369</v>
      </c>
      <c r="AS19" s="88" t="s">
        <v>369</v>
      </c>
      <c r="AU19" s="12" t="s">
        <v>1930</v>
      </c>
      <c r="AV19" s="19" t="s">
        <v>384</v>
      </c>
      <c r="AW19" s="39" t="s">
        <v>2940</v>
      </c>
      <c r="AY19" s="33"/>
      <c r="AZ19" s="33"/>
      <c r="BA19" s="33"/>
    </row>
    <row r="20" spans="1:53" ht="12" customHeight="1" x14ac:dyDescent="0.2">
      <c r="A20" s="10" t="s">
        <v>358</v>
      </c>
      <c r="B20" s="39">
        <v>1017</v>
      </c>
      <c r="C20" s="42" t="s">
        <v>2991</v>
      </c>
      <c r="D20" s="10" t="s">
        <v>77</v>
      </c>
      <c r="E20" s="14" t="s">
        <v>0</v>
      </c>
      <c r="F20" s="1" t="s">
        <v>399</v>
      </c>
      <c r="G20" s="1" t="s">
        <v>1303</v>
      </c>
      <c r="H20" s="1" t="b">
        <v>1</v>
      </c>
      <c r="I20" s="1">
        <v>17</v>
      </c>
      <c r="J20" s="1"/>
      <c r="K20" s="1"/>
      <c r="L20" s="1"/>
      <c r="M20" s="1"/>
      <c r="O20" s="16" t="s">
        <v>367</v>
      </c>
      <c r="P20" s="1">
        <v>1</v>
      </c>
      <c r="Q20" s="15"/>
      <c r="R20" s="15"/>
      <c r="S20" s="15"/>
      <c r="T20" s="15"/>
      <c r="U20" s="15"/>
      <c r="V20" s="1"/>
      <c r="W20" s="1">
        <v>547</v>
      </c>
      <c r="X20" s="1">
        <f t="shared" si="0"/>
        <v>547</v>
      </c>
      <c r="Y20" s="15"/>
      <c r="Z20" s="15"/>
      <c r="AA20" s="15"/>
      <c r="AB20" s="17"/>
      <c r="AC20" s="82"/>
      <c r="AD20" s="16" t="s">
        <v>52</v>
      </c>
      <c r="AE20" s="16" t="s">
        <v>52</v>
      </c>
      <c r="AF20" s="16"/>
      <c r="AG20" s="16"/>
      <c r="AH20" s="16"/>
      <c r="AI20" s="16" t="s">
        <v>417</v>
      </c>
      <c r="AJ20" s="16"/>
      <c r="AK20" s="16"/>
      <c r="AL20" s="16"/>
      <c r="AM20" s="16"/>
      <c r="AN20" s="16"/>
      <c r="AO20" s="16"/>
      <c r="AP20" s="16" t="s">
        <v>368</v>
      </c>
      <c r="AR20" s="88" t="s">
        <v>369</v>
      </c>
      <c r="AS20" s="88" t="s">
        <v>369</v>
      </c>
      <c r="AU20" s="12" t="s">
        <v>1930</v>
      </c>
      <c r="AV20" s="19" t="s">
        <v>385</v>
      </c>
      <c r="AW20" s="39" t="s">
        <v>2940</v>
      </c>
      <c r="AY20" s="33"/>
      <c r="AZ20" s="33"/>
      <c r="BA20" s="33"/>
    </row>
    <row r="21" spans="1:53" ht="12" customHeight="1" x14ac:dyDescent="0.2">
      <c r="A21" s="10" t="s">
        <v>359</v>
      </c>
      <c r="B21" s="39">
        <v>1018</v>
      </c>
      <c r="C21" s="42" t="s">
        <v>2992</v>
      </c>
      <c r="D21" s="10" t="s">
        <v>77</v>
      </c>
      <c r="E21" s="14" t="s">
        <v>0</v>
      </c>
      <c r="F21" s="1" t="s">
        <v>396</v>
      </c>
      <c r="G21" s="1" t="s">
        <v>1303</v>
      </c>
      <c r="H21" s="1" t="b">
        <v>1</v>
      </c>
      <c r="I21" s="1">
        <v>18</v>
      </c>
      <c r="J21" s="1"/>
      <c r="K21" s="1"/>
      <c r="L21" s="1"/>
      <c r="M21" s="1"/>
      <c r="O21" s="16" t="s">
        <v>367</v>
      </c>
      <c r="P21" s="1">
        <v>1</v>
      </c>
      <c r="Q21" s="15"/>
      <c r="R21" s="15"/>
      <c r="S21" s="15"/>
      <c r="T21" s="15"/>
      <c r="U21" s="15"/>
      <c r="V21" s="1"/>
      <c r="W21" s="1">
        <v>486</v>
      </c>
      <c r="X21" s="1">
        <f t="shared" si="0"/>
        <v>486</v>
      </c>
      <c r="Y21" s="15"/>
      <c r="Z21" s="15"/>
      <c r="AA21" s="15"/>
      <c r="AB21" s="17"/>
      <c r="AC21" s="82"/>
      <c r="AD21" s="16" t="s">
        <v>52</v>
      </c>
      <c r="AE21" s="16" t="s">
        <v>52</v>
      </c>
      <c r="AF21" s="16"/>
      <c r="AG21" s="16"/>
      <c r="AH21" s="16"/>
      <c r="AI21" s="16" t="s">
        <v>418</v>
      </c>
      <c r="AJ21" s="16"/>
      <c r="AK21" s="16"/>
      <c r="AL21" s="16"/>
      <c r="AM21" s="16"/>
      <c r="AN21" s="16"/>
      <c r="AO21" s="16"/>
      <c r="AP21" s="16" t="s">
        <v>368</v>
      </c>
      <c r="AR21" s="88" t="s">
        <v>369</v>
      </c>
      <c r="AS21" s="88" t="s">
        <v>369</v>
      </c>
      <c r="AU21" s="12" t="s">
        <v>1930</v>
      </c>
      <c r="AV21" s="19" t="s">
        <v>386</v>
      </c>
      <c r="AW21" s="39" t="s">
        <v>2940</v>
      </c>
      <c r="AY21" s="33"/>
      <c r="AZ21" s="33"/>
      <c r="BA21" s="33"/>
    </row>
    <row r="22" spans="1:53" ht="12" customHeight="1" x14ac:dyDescent="0.2">
      <c r="A22" s="10" t="s">
        <v>360</v>
      </c>
      <c r="B22" s="39">
        <v>1019</v>
      </c>
      <c r="C22" s="42" t="s">
        <v>2993</v>
      </c>
      <c r="D22" s="10" t="s">
        <v>77</v>
      </c>
      <c r="E22" s="14" t="s">
        <v>0</v>
      </c>
      <c r="F22" s="1" t="s">
        <v>395</v>
      </c>
      <c r="G22" s="1" t="s">
        <v>1303</v>
      </c>
      <c r="H22" s="1" t="b">
        <v>1</v>
      </c>
      <c r="I22" s="1">
        <v>19</v>
      </c>
      <c r="J22" s="1"/>
      <c r="K22" s="1"/>
      <c r="L22" s="1"/>
      <c r="M22" s="1"/>
      <c r="O22" s="16" t="s">
        <v>367</v>
      </c>
      <c r="P22" s="1">
        <v>1</v>
      </c>
      <c r="Q22" s="15"/>
      <c r="R22" s="15"/>
      <c r="S22" s="15"/>
      <c r="T22" s="15"/>
      <c r="U22" s="15"/>
      <c r="V22" s="1"/>
      <c r="W22" s="1">
        <v>510</v>
      </c>
      <c r="X22" s="1">
        <f t="shared" si="0"/>
        <v>510</v>
      </c>
      <c r="Y22" s="15"/>
      <c r="Z22" s="15"/>
      <c r="AA22" s="15"/>
      <c r="AB22" s="17"/>
      <c r="AC22" s="82"/>
      <c r="AD22" s="16" t="s">
        <v>52</v>
      </c>
      <c r="AE22" s="16" t="s">
        <v>52</v>
      </c>
      <c r="AF22" s="16"/>
      <c r="AG22" s="16"/>
      <c r="AH22" s="16"/>
      <c r="AI22" s="16" t="s">
        <v>419</v>
      </c>
      <c r="AJ22" s="16"/>
      <c r="AK22" s="16"/>
      <c r="AL22" s="16"/>
      <c r="AM22" s="16"/>
      <c r="AN22" s="16"/>
      <c r="AO22" s="16"/>
      <c r="AP22" s="16" t="s">
        <v>368</v>
      </c>
      <c r="AR22" s="88" t="s">
        <v>369</v>
      </c>
      <c r="AS22" s="88" t="s">
        <v>369</v>
      </c>
      <c r="AU22" s="12" t="s">
        <v>1930</v>
      </c>
      <c r="AV22" s="19" t="s">
        <v>387</v>
      </c>
      <c r="AW22" s="39" t="s">
        <v>2940</v>
      </c>
      <c r="AY22" s="33"/>
      <c r="AZ22" s="33"/>
      <c r="BA22" s="33"/>
    </row>
    <row r="23" spans="1:53" ht="12" customHeight="1" x14ac:dyDescent="0.2">
      <c r="A23" s="10" t="s">
        <v>361</v>
      </c>
      <c r="B23" s="39">
        <v>1020</v>
      </c>
      <c r="C23" s="42" t="s">
        <v>2994</v>
      </c>
      <c r="D23" s="10" t="s">
        <v>77</v>
      </c>
      <c r="E23" s="14" t="s">
        <v>0</v>
      </c>
      <c r="F23" s="1" t="s">
        <v>400</v>
      </c>
      <c r="G23" s="1" t="s">
        <v>1303</v>
      </c>
      <c r="H23" s="1" t="b">
        <v>1</v>
      </c>
      <c r="I23" s="1">
        <v>20</v>
      </c>
      <c r="J23" s="1"/>
      <c r="K23" s="1"/>
      <c r="L23" s="1"/>
      <c r="M23" s="1"/>
      <c r="O23" s="16" t="s">
        <v>367</v>
      </c>
      <c r="P23" s="1">
        <v>1</v>
      </c>
      <c r="Q23" s="15"/>
      <c r="R23" s="15"/>
      <c r="S23" s="15"/>
      <c r="T23" s="15"/>
      <c r="U23" s="15"/>
      <c r="V23" s="1"/>
      <c r="W23" s="1">
        <v>390</v>
      </c>
      <c r="X23" s="1">
        <f t="shared" si="0"/>
        <v>390</v>
      </c>
      <c r="Y23" s="15"/>
      <c r="Z23" s="15"/>
      <c r="AA23" s="15"/>
      <c r="AB23" s="17"/>
      <c r="AC23" s="82"/>
      <c r="AD23" s="16" t="s">
        <v>52</v>
      </c>
      <c r="AE23" s="16" t="s">
        <v>52</v>
      </c>
      <c r="AF23" s="16"/>
      <c r="AG23" s="16"/>
      <c r="AH23" s="16"/>
      <c r="AI23" s="16" t="s">
        <v>420</v>
      </c>
      <c r="AJ23" s="16"/>
      <c r="AK23" s="16"/>
      <c r="AL23" s="16"/>
      <c r="AM23" s="16"/>
      <c r="AN23" s="16"/>
      <c r="AO23" s="16"/>
      <c r="AP23" s="16" t="s">
        <v>368</v>
      </c>
      <c r="AR23" s="88" t="s">
        <v>369</v>
      </c>
      <c r="AS23" s="88" t="s">
        <v>369</v>
      </c>
      <c r="AU23" s="12" t="s">
        <v>1930</v>
      </c>
      <c r="AV23" s="19" t="s">
        <v>388</v>
      </c>
      <c r="AW23" s="39" t="s">
        <v>2940</v>
      </c>
      <c r="AY23" s="33"/>
      <c r="AZ23" s="33"/>
      <c r="BA23" s="33"/>
    </row>
    <row r="24" spans="1:53" ht="12" customHeight="1" x14ac:dyDescent="0.2">
      <c r="A24" s="10" t="s">
        <v>362</v>
      </c>
      <c r="B24" s="39">
        <v>1021</v>
      </c>
      <c r="C24" s="42" t="s">
        <v>2995</v>
      </c>
      <c r="D24" s="10" t="s">
        <v>77</v>
      </c>
      <c r="E24" s="14" t="s">
        <v>0</v>
      </c>
      <c r="F24" s="1" t="s">
        <v>89</v>
      </c>
      <c r="G24" s="1" t="s">
        <v>1303</v>
      </c>
      <c r="H24" s="1" t="b">
        <v>1</v>
      </c>
      <c r="I24" s="1">
        <v>21</v>
      </c>
      <c r="J24" s="1"/>
      <c r="K24" s="1"/>
      <c r="L24" s="1"/>
      <c r="M24" s="1"/>
      <c r="O24" s="16" t="s">
        <v>367</v>
      </c>
      <c r="P24" s="1">
        <v>1</v>
      </c>
      <c r="Q24" s="15"/>
      <c r="R24" s="15"/>
      <c r="S24" s="15"/>
      <c r="T24" s="15"/>
      <c r="U24" s="15"/>
      <c r="V24" s="1"/>
      <c r="W24" s="1">
        <v>442</v>
      </c>
      <c r="X24" s="1">
        <f t="shared" si="0"/>
        <v>442</v>
      </c>
      <c r="Y24" s="15"/>
      <c r="Z24" s="15"/>
      <c r="AA24" s="15"/>
      <c r="AB24" s="17"/>
      <c r="AC24" s="82"/>
      <c r="AD24" s="16" t="s">
        <v>52</v>
      </c>
      <c r="AE24" s="16" t="s">
        <v>52</v>
      </c>
      <c r="AF24" s="16"/>
      <c r="AG24" s="16"/>
      <c r="AH24" s="16"/>
      <c r="AI24" s="16" t="s">
        <v>421</v>
      </c>
      <c r="AJ24" s="16"/>
      <c r="AK24" s="16"/>
      <c r="AL24" s="16"/>
      <c r="AM24" s="16"/>
      <c r="AN24" s="16"/>
      <c r="AO24" s="16"/>
      <c r="AP24" s="16" t="s">
        <v>368</v>
      </c>
      <c r="AR24" s="88" t="s">
        <v>369</v>
      </c>
      <c r="AS24" s="88" t="s">
        <v>369</v>
      </c>
      <c r="AU24" s="12" t="s">
        <v>1930</v>
      </c>
      <c r="AV24" s="19" t="s">
        <v>389</v>
      </c>
      <c r="AW24" s="39" t="s">
        <v>2940</v>
      </c>
      <c r="AY24" s="33"/>
      <c r="AZ24" s="33"/>
      <c r="BA24" s="33"/>
    </row>
    <row r="25" spans="1:53" ht="12" customHeight="1" x14ac:dyDescent="0.2">
      <c r="A25" s="10" t="s">
        <v>363</v>
      </c>
      <c r="B25" s="39">
        <v>1022</v>
      </c>
      <c r="C25" s="42" t="s">
        <v>2996</v>
      </c>
      <c r="D25" s="10" t="s">
        <v>77</v>
      </c>
      <c r="E25" s="14" t="s">
        <v>0</v>
      </c>
      <c r="F25" s="1" t="s">
        <v>398</v>
      </c>
      <c r="G25" s="1" t="s">
        <v>1303</v>
      </c>
      <c r="H25" s="1" t="b">
        <v>1</v>
      </c>
      <c r="I25" s="1">
        <v>22</v>
      </c>
      <c r="J25" s="1"/>
      <c r="K25" s="1"/>
      <c r="L25" s="1"/>
      <c r="M25" s="1"/>
      <c r="O25" s="16" t="s">
        <v>367</v>
      </c>
      <c r="P25" s="1">
        <v>1</v>
      </c>
      <c r="Q25" s="15"/>
      <c r="R25" s="15"/>
      <c r="S25" s="15"/>
      <c r="T25" s="15"/>
      <c r="U25" s="15"/>
      <c r="V25" s="1"/>
      <c r="W25" s="1">
        <v>499</v>
      </c>
      <c r="X25" s="1">
        <f t="shared" si="0"/>
        <v>499</v>
      </c>
      <c r="Y25" s="15"/>
      <c r="Z25" s="15"/>
      <c r="AA25" s="15"/>
      <c r="AB25" s="17"/>
      <c r="AC25" s="82"/>
      <c r="AD25" s="16" t="s">
        <v>52</v>
      </c>
      <c r="AE25" s="16" t="s">
        <v>52</v>
      </c>
      <c r="AF25" s="16"/>
      <c r="AG25" s="16"/>
      <c r="AH25" s="16"/>
      <c r="AI25" s="16" t="s">
        <v>422</v>
      </c>
      <c r="AJ25" s="16"/>
      <c r="AK25" s="16"/>
      <c r="AL25" s="16"/>
      <c r="AM25" s="16"/>
      <c r="AN25" s="16"/>
      <c r="AO25" s="16"/>
      <c r="AP25" s="16" t="s">
        <v>368</v>
      </c>
      <c r="AR25" s="88" t="s">
        <v>369</v>
      </c>
      <c r="AS25" s="88" t="s">
        <v>369</v>
      </c>
      <c r="AU25" s="12" t="s">
        <v>1930</v>
      </c>
      <c r="AV25" s="19" t="s">
        <v>390</v>
      </c>
      <c r="AW25" s="39" t="s">
        <v>2940</v>
      </c>
      <c r="AY25" s="33"/>
      <c r="AZ25" s="33"/>
      <c r="BA25" s="33"/>
    </row>
    <row r="26" spans="1:53" ht="12" customHeight="1" x14ac:dyDescent="0.2">
      <c r="A26" s="10" t="s">
        <v>364</v>
      </c>
      <c r="B26" s="39">
        <v>1023</v>
      </c>
      <c r="C26" s="42" t="s">
        <v>2997</v>
      </c>
      <c r="D26" s="10" t="s">
        <v>77</v>
      </c>
      <c r="E26" s="14" t="s">
        <v>0</v>
      </c>
      <c r="F26" s="1" t="s">
        <v>400</v>
      </c>
      <c r="G26" s="1" t="s">
        <v>1303</v>
      </c>
      <c r="H26" s="1" t="b">
        <v>1</v>
      </c>
      <c r="I26" s="1">
        <v>23</v>
      </c>
      <c r="J26" s="1"/>
      <c r="K26" s="1"/>
      <c r="L26" s="1"/>
      <c r="M26" s="1"/>
      <c r="O26" s="16" t="s">
        <v>367</v>
      </c>
      <c r="P26" s="1">
        <v>1</v>
      </c>
      <c r="Q26" s="15"/>
      <c r="R26" s="15"/>
      <c r="S26" s="15"/>
      <c r="T26" s="15"/>
      <c r="U26" s="15"/>
      <c r="V26" s="1"/>
      <c r="W26" s="1">
        <v>390</v>
      </c>
      <c r="X26" s="1">
        <f t="shared" si="0"/>
        <v>390</v>
      </c>
      <c r="Y26" s="15"/>
      <c r="Z26" s="15"/>
      <c r="AA26" s="15"/>
      <c r="AB26" s="17"/>
      <c r="AC26" s="82"/>
      <c r="AD26" s="16" t="s">
        <v>52</v>
      </c>
      <c r="AE26" s="16" t="s">
        <v>52</v>
      </c>
      <c r="AF26" s="16"/>
      <c r="AG26" s="16"/>
      <c r="AH26" s="16"/>
      <c r="AI26" s="16" t="s">
        <v>423</v>
      </c>
      <c r="AJ26" s="16"/>
      <c r="AK26" s="16"/>
      <c r="AL26" s="16"/>
      <c r="AM26" s="16"/>
      <c r="AN26" s="16"/>
      <c r="AO26" s="16"/>
      <c r="AP26" s="16" t="s">
        <v>368</v>
      </c>
      <c r="AR26" s="88" t="s">
        <v>369</v>
      </c>
      <c r="AS26" s="88" t="s">
        <v>369</v>
      </c>
      <c r="AU26" s="12" t="s">
        <v>1930</v>
      </c>
      <c r="AV26" s="19" t="s">
        <v>391</v>
      </c>
      <c r="AW26" s="39" t="s">
        <v>2940</v>
      </c>
      <c r="AY26" s="33"/>
      <c r="AZ26" s="33"/>
      <c r="BA26" s="33"/>
    </row>
    <row r="27" spans="1:53" ht="12" customHeight="1" x14ac:dyDescent="0.2">
      <c r="A27" s="10" t="s">
        <v>365</v>
      </c>
      <c r="B27" s="39">
        <v>1024</v>
      </c>
      <c r="C27" s="42" t="s">
        <v>2998</v>
      </c>
      <c r="D27" s="10" t="s">
        <v>77</v>
      </c>
      <c r="E27" s="14" t="s">
        <v>0</v>
      </c>
      <c r="F27" s="1" t="s">
        <v>394</v>
      </c>
      <c r="G27" s="1" t="s">
        <v>1303</v>
      </c>
      <c r="H27" s="1" t="b">
        <v>1</v>
      </c>
      <c r="I27" s="1">
        <v>24</v>
      </c>
      <c r="J27" s="1"/>
      <c r="K27" s="1"/>
      <c r="L27" s="1"/>
      <c r="M27" s="1"/>
      <c r="O27" s="16" t="s">
        <v>367</v>
      </c>
      <c r="P27" s="1">
        <v>1</v>
      </c>
      <c r="Q27" s="15"/>
      <c r="R27" s="15"/>
      <c r="S27" s="15"/>
      <c r="T27" s="15"/>
      <c r="U27" s="15"/>
      <c r="V27" s="1"/>
      <c r="W27" s="1">
        <v>510</v>
      </c>
      <c r="X27" s="1">
        <f t="shared" si="0"/>
        <v>510</v>
      </c>
      <c r="Y27" s="15"/>
      <c r="Z27" s="15"/>
      <c r="AA27" s="15"/>
      <c r="AB27" s="17"/>
      <c r="AC27" s="82"/>
      <c r="AD27" s="16" t="s">
        <v>52</v>
      </c>
      <c r="AE27" s="16" t="s">
        <v>52</v>
      </c>
      <c r="AF27" s="16"/>
      <c r="AG27" s="16"/>
      <c r="AH27" s="16"/>
      <c r="AI27" s="16" t="s">
        <v>424</v>
      </c>
      <c r="AJ27" s="16"/>
      <c r="AK27" s="16"/>
      <c r="AL27" s="16"/>
      <c r="AM27" s="16"/>
      <c r="AN27" s="16"/>
      <c r="AO27" s="16"/>
      <c r="AP27" s="16" t="s">
        <v>368</v>
      </c>
      <c r="AR27" s="88" t="s">
        <v>369</v>
      </c>
      <c r="AS27" s="88" t="s">
        <v>369</v>
      </c>
      <c r="AU27" s="12" t="s">
        <v>1930</v>
      </c>
      <c r="AV27" s="19" t="s">
        <v>392</v>
      </c>
      <c r="AW27" s="39" t="s">
        <v>2940</v>
      </c>
      <c r="AY27" s="33"/>
      <c r="AZ27" s="33"/>
      <c r="BA27" s="33"/>
    </row>
    <row r="28" spans="1:53" ht="12" customHeight="1" x14ac:dyDescent="0.2">
      <c r="A28" s="10" t="s">
        <v>366</v>
      </c>
      <c r="B28" s="39">
        <v>1025</v>
      </c>
      <c r="C28" s="42" t="s">
        <v>2999</v>
      </c>
      <c r="D28" s="10" t="s">
        <v>77</v>
      </c>
      <c r="E28" s="14" t="s">
        <v>0</v>
      </c>
      <c r="F28" s="1" t="s">
        <v>400</v>
      </c>
      <c r="G28" s="1" t="s">
        <v>1303</v>
      </c>
      <c r="H28" s="1" t="b">
        <v>1</v>
      </c>
      <c r="I28" s="1">
        <v>25</v>
      </c>
      <c r="J28" s="1"/>
      <c r="K28" s="1"/>
      <c r="L28" s="1"/>
      <c r="M28" s="1"/>
      <c r="O28" s="16" t="s">
        <v>367</v>
      </c>
      <c r="P28" s="1">
        <v>1</v>
      </c>
      <c r="Q28" s="15"/>
      <c r="R28" s="15"/>
      <c r="S28" s="15"/>
      <c r="T28" s="15"/>
      <c r="U28" s="15"/>
      <c r="V28" s="1"/>
      <c r="W28" s="1">
        <v>390</v>
      </c>
      <c r="X28" s="1">
        <f t="shared" si="0"/>
        <v>390</v>
      </c>
      <c r="Y28" s="15"/>
      <c r="Z28" s="15"/>
      <c r="AA28" s="15"/>
      <c r="AB28" s="17"/>
      <c r="AC28" s="82"/>
      <c r="AD28" s="16" t="s">
        <v>52</v>
      </c>
      <c r="AE28" s="16" t="s">
        <v>52</v>
      </c>
      <c r="AF28" s="16"/>
      <c r="AG28" s="16"/>
      <c r="AH28" s="16"/>
      <c r="AI28" s="16" t="s">
        <v>425</v>
      </c>
      <c r="AJ28" s="16"/>
      <c r="AK28" s="16"/>
      <c r="AL28" s="16"/>
      <c r="AM28" s="16"/>
      <c r="AN28" s="16"/>
      <c r="AO28" s="16"/>
      <c r="AP28" s="16" t="s">
        <v>368</v>
      </c>
      <c r="AR28" s="88" t="s">
        <v>369</v>
      </c>
      <c r="AS28" s="88" t="s">
        <v>369</v>
      </c>
      <c r="AU28" s="12" t="s">
        <v>1930</v>
      </c>
      <c r="AV28" s="19" t="s">
        <v>393</v>
      </c>
      <c r="AW28" s="39" t="s">
        <v>2940</v>
      </c>
      <c r="AY28" s="33"/>
      <c r="AZ28" s="33"/>
      <c r="BA28" s="33"/>
    </row>
    <row r="29" spans="1:53" ht="12" customHeight="1" x14ac:dyDescent="0.2">
      <c r="A29" s="10" t="s">
        <v>870</v>
      </c>
      <c r="B29" s="39">
        <v>1026</v>
      </c>
      <c r="C29" s="42" t="s">
        <v>3000</v>
      </c>
      <c r="D29" s="10" t="s">
        <v>77</v>
      </c>
      <c r="E29" s="14" t="s">
        <v>0</v>
      </c>
      <c r="F29" s="1" t="s">
        <v>872</v>
      </c>
      <c r="G29" s="1" t="s">
        <v>1303</v>
      </c>
      <c r="H29" s="1" t="b">
        <v>1</v>
      </c>
      <c r="I29" s="1">
        <v>26</v>
      </c>
      <c r="J29" s="1"/>
      <c r="K29" s="1"/>
      <c r="L29" s="1"/>
      <c r="M29" s="1"/>
      <c r="O29" s="16" t="s">
        <v>367</v>
      </c>
      <c r="P29" s="1">
        <v>1</v>
      </c>
      <c r="Q29" s="15"/>
      <c r="R29" s="15"/>
      <c r="S29" s="15"/>
      <c r="T29" s="15"/>
      <c r="U29" s="15"/>
      <c r="V29" s="1"/>
      <c r="W29" s="1">
        <v>510</v>
      </c>
      <c r="X29" s="1">
        <f>W29</f>
        <v>510</v>
      </c>
      <c r="Y29" s="15"/>
      <c r="Z29" s="15"/>
      <c r="AA29" s="15"/>
      <c r="AB29" s="17"/>
      <c r="AC29" s="82"/>
      <c r="AD29" s="16" t="s">
        <v>52</v>
      </c>
      <c r="AE29" s="16" t="s">
        <v>52</v>
      </c>
      <c r="AF29" s="16"/>
      <c r="AG29" s="16"/>
      <c r="AH29" s="16"/>
      <c r="AI29" s="16" t="s">
        <v>873</v>
      </c>
      <c r="AJ29" s="16"/>
      <c r="AK29" s="16"/>
      <c r="AL29" s="16"/>
      <c r="AM29" s="16"/>
      <c r="AN29" s="16"/>
      <c r="AO29" s="16"/>
      <c r="AP29" s="16" t="s">
        <v>368</v>
      </c>
      <c r="AR29" s="88" t="s">
        <v>369</v>
      </c>
      <c r="AS29" s="88" t="s">
        <v>369</v>
      </c>
      <c r="AU29" s="12" t="s">
        <v>1930</v>
      </c>
      <c r="AV29" s="19" t="s">
        <v>956</v>
      </c>
      <c r="AW29" s="39" t="s">
        <v>2940</v>
      </c>
      <c r="AY29" s="33"/>
      <c r="AZ29" s="33"/>
      <c r="BA29" s="33"/>
    </row>
    <row r="30" spans="1:53" ht="12" customHeight="1" x14ac:dyDescent="0.2">
      <c r="A30" s="10" t="s">
        <v>592</v>
      </c>
      <c r="B30" s="39">
        <v>1027</v>
      </c>
      <c r="C30" s="42" t="s">
        <v>3001</v>
      </c>
      <c r="D30" s="10" t="s">
        <v>77</v>
      </c>
      <c r="E30" s="14" t="s">
        <v>0</v>
      </c>
      <c r="F30" s="1" t="s">
        <v>394</v>
      </c>
      <c r="G30" s="1" t="s">
        <v>1303</v>
      </c>
      <c r="H30" s="1" t="b">
        <v>1</v>
      </c>
      <c r="I30" s="1">
        <v>27</v>
      </c>
      <c r="J30" s="1"/>
      <c r="K30" s="1"/>
      <c r="L30" s="1"/>
      <c r="M30" s="1"/>
      <c r="O30" s="16" t="s">
        <v>367</v>
      </c>
      <c r="P30" s="1">
        <v>1</v>
      </c>
      <c r="Q30" s="15"/>
      <c r="R30" s="15"/>
      <c r="S30" s="15"/>
      <c r="T30" s="15"/>
      <c r="U30" s="15"/>
      <c r="V30" s="1"/>
      <c r="W30" s="1">
        <v>510</v>
      </c>
      <c r="X30" s="1">
        <f t="shared" ref="X30:X31" si="1">W30</f>
        <v>510</v>
      </c>
      <c r="Y30" s="15"/>
      <c r="Z30" s="15"/>
      <c r="AA30" s="15"/>
      <c r="AB30" s="17"/>
      <c r="AC30" s="82"/>
      <c r="AD30" s="16" t="s">
        <v>52</v>
      </c>
      <c r="AE30" s="16" t="s">
        <v>52</v>
      </c>
      <c r="AF30" s="16"/>
      <c r="AG30" s="16"/>
      <c r="AH30" s="16"/>
      <c r="AI30" s="16" t="s">
        <v>593</v>
      </c>
      <c r="AJ30" s="16"/>
      <c r="AK30" s="16"/>
      <c r="AL30" s="16"/>
      <c r="AM30" s="16"/>
      <c r="AN30" s="16"/>
      <c r="AO30" s="16"/>
      <c r="AP30" s="16" t="s">
        <v>368</v>
      </c>
      <c r="AR30" s="88" t="s">
        <v>369</v>
      </c>
      <c r="AS30" s="88" t="s">
        <v>369</v>
      </c>
      <c r="AU30" s="12" t="s">
        <v>1930</v>
      </c>
      <c r="AV30" s="19" t="s">
        <v>957</v>
      </c>
      <c r="AW30" s="39" t="s">
        <v>2940</v>
      </c>
      <c r="AY30" s="33"/>
      <c r="AZ30" s="33"/>
      <c r="BA30" s="33"/>
    </row>
    <row r="31" spans="1:53" ht="12" customHeight="1" x14ac:dyDescent="0.2">
      <c r="A31" s="10" t="s">
        <v>639</v>
      </c>
      <c r="B31" s="39">
        <v>1028</v>
      </c>
      <c r="C31" s="42" t="s">
        <v>3002</v>
      </c>
      <c r="D31" s="10" t="s">
        <v>77</v>
      </c>
      <c r="E31" s="14" t="s">
        <v>0</v>
      </c>
      <c r="F31" s="1" t="s">
        <v>743</v>
      </c>
      <c r="G31" s="1" t="s">
        <v>1303</v>
      </c>
      <c r="H31" s="1" t="b">
        <v>1</v>
      </c>
      <c r="I31" s="1">
        <v>28</v>
      </c>
      <c r="J31" s="1"/>
      <c r="K31" s="1"/>
      <c r="L31" s="1"/>
      <c r="M31" s="1"/>
      <c r="O31" s="16" t="s">
        <v>367</v>
      </c>
      <c r="P31" s="1">
        <v>1</v>
      </c>
      <c r="Q31" s="15"/>
      <c r="R31" s="15"/>
      <c r="S31" s="15"/>
      <c r="T31" s="15"/>
      <c r="U31" s="15"/>
      <c r="V31" s="1"/>
      <c r="W31" s="1">
        <v>486</v>
      </c>
      <c r="X31" s="1">
        <f t="shared" si="1"/>
        <v>486</v>
      </c>
      <c r="Y31" s="15"/>
      <c r="Z31" s="15"/>
      <c r="AA31" s="15"/>
      <c r="AB31" s="17"/>
      <c r="AC31" s="82"/>
      <c r="AD31" s="16" t="s">
        <v>52</v>
      </c>
      <c r="AE31" s="16" t="s">
        <v>52</v>
      </c>
      <c r="AF31" s="16"/>
      <c r="AG31" s="16"/>
      <c r="AH31" s="16"/>
      <c r="AI31" s="16" t="s">
        <v>641</v>
      </c>
      <c r="AJ31" s="16"/>
      <c r="AK31" s="16"/>
      <c r="AL31" s="16"/>
      <c r="AM31" s="16"/>
      <c r="AN31" s="16"/>
      <c r="AO31" s="16"/>
      <c r="AP31" s="16" t="s">
        <v>368</v>
      </c>
      <c r="AR31" s="88" t="s">
        <v>369</v>
      </c>
      <c r="AS31" s="88" t="s">
        <v>369</v>
      </c>
      <c r="AU31" s="12" t="s">
        <v>1930</v>
      </c>
      <c r="AV31" s="19" t="s">
        <v>958</v>
      </c>
      <c r="AW31" s="39" t="s">
        <v>2940</v>
      </c>
      <c r="AY31" s="33"/>
      <c r="AZ31" s="33"/>
      <c r="BA31" s="33"/>
    </row>
    <row r="32" spans="1:53" ht="12" customHeight="1" x14ac:dyDescent="0.2">
      <c r="A32" s="10" t="s">
        <v>640</v>
      </c>
      <c r="B32" s="39">
        <v>1029</v>
      </c>
      <c r="C32" s="42" t="s">
        <v>3003</v>
      </c>
      <c r="D32" s="10" t="s">
        <v>77</v>
      </c>
      <c r="E32" s="14" t="s">
        <v>0</v>
      </c>
      <c r="F32" s="1" t="s">
        <v>744</v>
      </c>
      <c r="G32" s="1" t="s">
        <v>1303</v>
      </c>
      <c r="H32" s="1" t="b">
        <v>1</v>
      </c>
      <c r="I32" s="1">
        <v>29</v>
      </c>
      <c r="J32" s="1"/>
      <c r="K32" s="1"/>
      <c r="L32" s="1"/>
      <c r="M32" s="1"/>
      <c r="O32" s="16" t="s">
        <v>367</v>
      </c>
      <c r="P32" s="1">
        <v>1</v>
      </c>
      <c r="Q32" s="15"/>
      <c r="R32" s="15"/>
      <c r="S32" s="15"/>
      <c r="T32" s="15"/>
      <c r="U32" s="15"/>
      <c r="V32" s="1"/>
      <c r="W32" s="1">
        <v>547</v>
      </c>
      <c r="X32" s="1">
        <f t="shared" ref="X32" si="2">W32</f>
        <v>547</v>
      </c>
      <c r="Y32" s="15"/>
      <c r="Z32" s="15"/>
      <c r="AA32" s="15"/>
      <c r="AB32" s="17"/>
      <c r="AC32" s="82"/>
      <c r="AD32" s="16" t="s">
        <v>52</v>
      </c>
      <c r="AE32" s="16" t="s">
        <v>52</v>
      </c>
      <c r="AF32" s="16"/>
      <c r="AG32" s="16"/>
      <c r="AH32" s="16"/>
      <c r="AI32" s="16" t="s">
        <v>642</v>
      </c>
      <c r="AJ32" s="16"/>
      <c r="AK32" s="16"/>
      <c r="AL32" s="16"/>
      <c r="AM32" s="16"/>
      <c r="AN32" s="16"/>
      <c r="AO32" s="16"/>
      <c r="AP32" s="16" t="s">
        <v>368</v>
      </c>
      <c r="AR32" s="88" t="s">
        <v>369</v>
      </c>
      <c r="AS32" s="88" t="s">
        <v>369</v>
      </c>
      <c r="AU32" s="12" t="s">
        <v>1930</v>
      </c>
      <c r="AV32" s="19" t="s">
        <v>959</v>
      </c>
      <c r="AW32" s="39" t="s">
        <v>2940</v>
      </c>
      <c r="AY32" s="33"/>
      <c r="AZ32" s="33"/>
      <c r="BA32" s="33"/>
    </row>
    <row r="33" spans="1:53" ht="12" customHeight="1" x14ac:dyDescent="0.2">
      <c r="A33" s="10" t="s">
        <v>875</v>
      </c>
      <c r="B33" s="39">
        <v>1030</v>
      </c>
      <c r="C33" s="42" t="s">
        <v>3004</v>
      </c>
      <c r="D33" s="10" t="s">
        <v>77</v>
      </c>
      <c r="E33" s="14" t="s">
        <v>0</v>
      </c>
      <c r="F33" s="1" t="s">
        <v>394</v>
      </c>
      <c r="G33" s="1" t="s">
        <v>1303</v>
      </c>
      <c r="H33" s="1" t="b">
        <v>1</v>
      </c>
      <c r="I33" s="1">
        <v>30</v>
      </c>
      <c r="J33" s="1"/>
      <c r="K33" s="1"/>
      <c r="L33" s="1"/>
      <c r="M33" s="1"/>
      <c r="O33" s="16" t="s">
        <v>367</v>
      </c>
      <c r="P33" s="1">
        <v>1</v>
      </c>
      <c r="Q33" s="15"/>
      <c r="R33" s="15"/>
      <c r="S33" s="15"/>
      <c r="T33" s="15"/>
      <c r="U33" s="15"/>
      <c r="V33" s="1"/>
      <c r="W33" s="1">
        <v>510</v>
      </c>
      <c r="X33" s="1">
        <f>W33</f>
        <v>510</v>
      </c>
      <c r="Y33" s="15"/>
      <c r="Z33" s="15"/>
      <c r="AA33" s="15"/>
      <c r="AB33" s="17"/>
      <c r="AC33" s="82"/>
      <c r="AD33" s="16" t="s">
        <v>52</v>
      </c>
      <c r="AE33" s="16" t="s">
        <v>52</v>
      </c>
      <c r="AF33" s="16"/>
      <c r="AG33" s="16"/>
      <c r="AH33" s="16"/>
      <c r="AI33" s="16" t="s">
        <v>876</v>
      </c>
      <c r="AJ33" s="16"/>
      <c r="AK33" s="16"/>
      <c r="AL33" s="16"/>
      <c r="AM33" s="16"/>
      <c r="AN33" s="16"/>
      <c r="AO33" s="16"/>
      <c r="AP33" s="16" t="s">
        <v>368</v>
      </c>
      <c r="AR33" s="88" t="s">
        <v>369</v>
      </c>
      <c r="AS33" s="88" t="s">
        <v>369</v>
      </c>
      <c r="AU33" s="12" t="s">
        <v>1930</v>
      </c>
      <c r="AV33" s="19" t="s">
        <v>960</v>
      </c>
      <c r="AW33" s="39" t="s">
        <v>2940</v>
      </c>
      <c r="AY33" s="33"/>
      <c r="AZ33" s="33"/>
      <c r="BA33" s="33"/>
    </row>
    <row r="34" spans="1:53" ht="12" customHeight="1" x14ac:dyDescent="0.2">
      <c r="A34" s="10" t="s">
        <v>869</v>
      </c>
      <c r="B34" s="39">
        <v>1031</v>
      </c>
      <c r="C34" s="42" t="s">
        <v>3005</v>
      </c>
      <c r="D34" s="10" t="s">
        <v>77</v>
      </c>
      <c r="E34" s="14" t="s">
        <v>0</v>
      </c>
      <c r="F34" s="1" t="s">
        <v>871</v>
      </c>
      <c r="G34" s="1" t="s">
        <v>1303</v>
      </c>
      <c r="H34" s="1" t="b">
        <v>1</v>
      </c>
      <c r="I34" s="1">
        <v>31</v>
      </c>
      <c r="J34" s="1"/>
      <c r="K34" s="1"/>
      <c r="L34" s="1"/>
      <c r="M34" s="1"/>
      <c r="O34" s="16" t="s">
        <v>367</v>
      </c>
      <c r="P34" s="1">
        <v>1</v>
      </c>
      <c r="Q34" s="15"/>
      <c r="R34" s="15"/>
      <c r="S34" s="15"/>
      <c r="T34" s="15"/>
      <c r="U34" s="15"/>
      <c r="V34" s="1"/>
      <c r="W34" s="1">
        <v>547</v>
      </c>
      <c r="X34" s="1">
        <f t="shared" ref="X34:X46" si="3">W34</f>
        <v>547</v>
      </c>
      <c r="Y34" s="15"/>
      <c r="Z34" s="15"/>
      <c r="AA34" s="15"/>
      <c r="AB34" s="17"/>
      <c r="AC34" s="82"/>
      <c r="AD34" s="16" t="s">
        <v>52</v>
      </c>
      <c r="AE34" s="16" t="s">
        <v>52</v>
      </c>
      <c r="AF34" s="16"/>
      <c r="AG34" s="16"/>
      <c r="AH34" s="16"/>
      <c r="AI34" s="16" t="s">
        <v>874</v>
      </c>
      <c r="AJ34" s="16"/>
      <c r="AK34" s="16"/>
      <c r="AL34" s="16"/>
      <c r="AM34" s="16"/>
      <c r="AN34" s="16"/>
      <c r="AO34" s="16"/>
      <c r="AP34" s="16" t="s">
        <v>368</v>
      </c>
      <c r="AR34" s="88" t="s">
        <v>369</v>
      </c>
      <c r="AS34" s="88" t="s">
        <v>369</v>
      </c>
      <c r="AU34" s="12" t="s">
        <v>1930</v>
      </c>
      <c r="AV34" s="19" t="s">
        <v>961</v>
      </c>
      <c r="AW34" s="39" t="s">
        <v>2940</v>
      </c>
      <c r="AY34" s="33"/>
      <c r="AZ34" s="33"/>
      <c r="BA34" s="33"/>
    </row>
    <row r="35" spans="1:53" ht="12" customHeight="1" x14ac:dyDescent="0.2">
      <c r="A35" s="10" t="s">
        <v>1739</v>
      </c>
      <c r="B35" s="39">
        <v>1032</v>
      </c>
      <c r="C35" s="42" t="s">
        <v>3006</v>
      </c>
      <c r="D35" s="10" t="s">
        <v>77</v>
      </c>
      <c r="E35" s="14" t="s">
        <v>0</v>
      </c>
      <c r="F35" s="1" t="s">
        <v>395</v>
      </c>
      <c r="G35" s="1" t="s">
        <v>1303</v>
      </c>
      <c r="H35" s="1" t="b">
        <v>1</v>
      </c>
      <c r="I35" s="1">
        <v>32</v>
      </c>
      <c r="J35" s="1"/>
      <c r="K35" s="1"/>
      <c r="L35" s="1"/>
      <c r="M35" s="1"/>
      <c r="O35" s="16" t="s">
        <v>367</v>
      </c>
      <c r="P35" s="1">
        <v>1</v>
      </c>
      <c r="Q35" s="15"/>
      <c r="R35" s="15"/>
      <c r="S35" s="15"/>
      <c r="T35" s="15"/>
      <c r="U35" s="15"/>
      <c r="V35" s="1"/>
      <c r="W35" s="1">
        <v>510</v>
      </c>
      <c r="X35" s="1">
        <f>W35</f>
        <v>510</v>
      </c>
      <c r="Y35" s="15"/>
      <c r="Z35" s="15"/>
      <c r="AA35" s="15"/>
      <c r="AB35" s="17"/>
      <c r="AC35" s="82"/>
      <c r="AD35" s="16" t="s">
        <v>52</v>
      </c>
      <c r="AE35" s="16" t="s">
        <v>52</v>
      </c>
      <c r="AF35" s="16"/>
      <c r="AG35" s="16"/>
      <c r="AH35" s="16"/>
      <c r="AI35" s="16" t="s">
        <v>1740</v>
      </c>
      <c r="AJ35" s="16"/>
      <c r="AK35" s="16"/>
      <c r="AL35" s="16"/>
      <c r="AM35" s="16"/>
      <c r="AN35" s="16"/>
      <c r="AO35" s="16"/>
      <c r="AP35" s="16" t="s">
        <v>368</v>
      </c>
      <c r="AR35" s="88" t="s">
        <v>369</v>
      </c>
      <c r="AS35" s="88" t="s">
        <v>369</v>
      </c>
      <c r="AU35" s="12" t="s">
        <v>1930</v>
      </c>
      <c r="AV35" s="19" t="s">
        <v>1744</v>
      </c>
      <c r="AW35" s="39" t="s">
        <v>2940</v>
      </c>
      <c r="AY35" s="33"/>
      <c r="AZ35" s="33"/>
      <c r="BA35" s="33"/>
    </row>
    <row r="36" spans="1:53" ht="12" customHeight="1" x14ac:dyDescent="0.2">
      <c r="A36" s="10" t="s">
        <v>949</v>
      </c>
      <c r="B36" s="39">
        <v>1033</v>
      </c>
      <c r="C36" s="42" t="s">
        <v>3007</v>
      </c>
      <c r="D36" s="10" t="s">
        <v>77</v>
      </c>
      <c r="E36" s="14" t="s">
        <v>0</v>
      </c>
      <c r="F36" s="1" t="s">
        <v>395</v>
      </c>
      <c r="G36" s="1" t="s">
        <v>1303</v>
      </c>
      <c r="H36" s="1" t="b">
        <v>1</v>
      </c>
      <c r="I36" s="1">
        <v>33</v>
      </c>
      <c r="J36" s="1"/>
      <c r="K36" s="1"/>
      <c r="L36" s="1"/>
      <c r="M36" s="1"/>
      <c r="O36" s="16" t="s">
        <v>367</v>
      </c>
      <c r="P36" s="1">
        <v>1</v>
      </c>
      <c r="Q36" s="15"/>
      <c r="R36" s="15"/>
      <c r="S36" s="15"/>
      <c r="T36" s="15"/>
      <c r="U36" s="15"/>
      <c r="V36" s="1"/>
      <c r="W36" s="1">
        <v>510</v>
      </c>
      <c r="X36" s="1">
        <f>W36</f>
        <v>510</v>
      </c>
      <c r="Y36" s="15"/>
      <c r="Z36" s="15"/>
      <c r="AA36" s="15"/>
      <c r="AB36" s="17"/>
      <c r="AC36" s="82"/>
      <c r="AD36" s="16" t="s">
        <v>52</v>
      </c>
      <c r="AE36" s="16" t="s">
        <v>52</v>
      </c>
      <c r="AF36" s="16"/>
      <c r="AG36" s="16"/>
      <c r="AH36" s="16"/>
      <c r="AI36" s="16" t="s">
        <v>952</v>
      </c>
      <c r="AJ36" s="16"/>
      <c r="AK36" s="16"/>
      <c r="AL36" s="16"/>
      <c r="AM36" s="16"/>
      <c r="AN36" s="16"/>
      <c r="AO36" s="16"/>
      <c r="AP36" s="16" t="s">
        <v>368</v>
      </c>
      <c r="AR36" s="88" t="s">
        <v>369</v>
      </c>
      <c r="AS36" s="88" t="s">
        <v>369</v>
      </c>
      <c r="AU36" s="12" t="s">
        <v>1930</v>
      </c>
      <c r="AV36" s="19" t="s">
        <v>962</v>
      </c>
      <c r="AW36" s="39" t="s">
        <v>2940</v>
      </c>
      <c r="AY36" s="33"/>
      <c r="AZ36" s="33"/>
      <c r="BA36" s="33"/>
    </row>
    <row r="37" spans="1:53" ht="12" customHeight="1" x14ac:dyDescent="0.2">
      <c r="A37" s="10" t="s">
        <v>964</v>
      </c>
      <c r="B37" s="39">
        <v>1034</v>
      </c>
      <c r="C37" s="42" t="s">
        <v>3008</v>
      </c>
      <c r="D37" s="10" t="s">
        <v>77</v>
      </c>
      <c r="E37" s="14" t="s">
        <v>0</v>
      </c>
      <c r="F37" s="1" t="s">
        <v>398</v>
      </c>
      <c r="G37" s="1" t="s">
        <v>1303</v>
      </c>
      <c r="H37" s="1" t="b">
        <v>1</v>
      </c>
      <c r="I37" s="1">
        <v>34</v>
      </c>
      <c r="J37" s="1"/>
      <c r="K37" s="1"/>
      <c r="L37" s="1"/>
      <c r="M37" s="1"/>
      <c r="O37" s="16" t="s">
        <v>367</v>
      </c>
      <c r="P37" s="1">
        <v>1</v>
      </c>
      <c r="Q37" s="15"/>
      <c r="R37" s="15"/>
      <c r="S37" s="15"/>
      <c r="T37" s="15"/>
      <c r="U37" s="15"/>
      <c r="V37" s="1"/>
      <c r="W37" s="1">
        <v>499</v>
      </c>
      <c r="X37" s="1">
        <f t="shared" si="3"/>
        <v>499</v>
      </c>
      <c r="Y37" s="15"/>
      <c r="Z37" s="15"/>
      <c r="AA37" s="15"/>
      <c r="AB37" s="17"/>
      <c r="AC37" s="82"/>
      <c r="AD37" s="16" t="s">
        <v>52</v>
      </c>
      <c r="AE37" s="16" t="s">
        <v>52</v>
      </c>
      <c r="AF37" s="16"/>
      <c r="AG37" s="16"/>
      <c r="AH37" s="16"/>
      <c r="AI37" s="16" t="s">
        <v>953</v>
      </c>
      <c r="AJ37" s="16"/>
      <c r="AK37" s="16"/>
      <c r="AL37" s="16"/>
      <c r="AM37" s="16"/>
      <c r="AN37" s="16"/>
      <c r="AO37" s="16"/>
      <c r="AP37" s="16" t="s">
        <v>368</v>
      </c>
      <c r="AR37" s="88" t="s">
        <v>369</v>
      </c>
      <c r="AS37" s="88" t="s">
        <v>369</v>
      </c>
      <c r="AU37" s="12" t="s">
        <v>1930</v>
      </c>
      <c r="AV37" s="19" t="s">
        <v>963</v>
      </c>
      <c r="AW37" s="39" t="s">
        <v>2940</v>
      </c>
      <c r="AY37" s="33"/>
      <c r="AZ37" s="33"/>
      <c r="BA37" s="33"/>
    </row>
    <row r="38" spans="1:53" ht="12" customHeight="1" x14ac:dyDescent="0.2">
      <c r="A38" s="10" t="s">
        <v>966</v>
      </c>
      <c r="B38" s="39">
        <v>1035</v>
      </c>
      <c r="C38" s="42" t="s">
        <v>3009</v>
      </c>
      <c r="D38" s="10" t="s">
        <v>77</v>
      </c>
      <c r="E38" s="14" t="s">
        <v>0</v>
      </c>
      <c r="F38" s="1" t="s">
        <v>398</v>
      </c>
      <c r="G38" s="1" t="s">
        <v>1303</v>
      </c>
      <c r="H38" s="1" t="b">
        <v>1</v>
      </c>
      <c r="I38" s="1">
        <v>35</v>
      </c>
      <c r="J38" s="1"/>
      <c r="K38" s="1"/>
      <c r="L38" s="1"/>
      <c r="M38" s="1"/>
      <c r="O38" s="16" t="s">
        <v>367</v>
      </c>
      <c r="P38" s="1">
        <v>1</v>
      </c>
      <c r="Q38" s="15"/>
      <c r="R38" s="15"/>
      <c r="S38" s="15"/>
      <c r="T38" s="15"/>
      <c r="U38" s="15"/>
      <c r="V38" s="1"/>
      <c r="W38" s="1">
        <v>499</v>
      </c>
      <c r="X38" s="1">
        <f t="shared" ref="X38:X39" si="4">W38</f>
        <v>499</v>
      </c>
      <c r="Y38" s="15"/>
      <c r="Z38" s="15"/>
      <c r="AA38" s="15"/>
      <c r="AB38" s="17"/>
      <c r="AC38" s="82"/>
      <c r="AD38" s="16" t="s">
        <v>52</v>
      </c>
      <c r="AE38" s="16" t="s">
        <v>1902</v>
      </c>
      <c r="AF38" s="16"/>
      <c r="AG38" s="16"/>
      <c r="AH38" s="16"/>
      <c r="AI38" s="16" t="s">
        <v>967</v>
      </c>
      <c r="AJ38" s="16"/>
      <c r="AK38" s="16"/>
      <c r="AL38" s="16"/>
      <c r="AM38" s="16"/>
      <c r="AN38" s="16"/>
      <c r="AO38" s="16"/>
      <c r="AP38" s="16" t="s">
        <v>368</v>
      </c>
      <c r="AR38" s="88" t="s">
        <v>369</v>
      </c>
      <c r="AS38" s="88" t="s">
        <v>369</v>
      </c>
      <c r="AU38" s="12" t="s">
        <v>1930</v>
      </c>
      <c r="AV38" s="19" t="s">
        <v>968</v>
      </c>
      <c r="AW38" s="39" t="s">
        <v>2940</v>
      </c>
      <c r="AY38" s="33"/>
      <c r="AZ38" s="33"/>
      <c r="BA38" s="33"/>
    </row>
    <row r="39" spans="1:53" ht="12" customHeight="1" x14ac:dyDescent="0.2">
      <c r="A39" s="10" t="s">
        <v>1741</v>
      </c>
      <c r="B39" s="39">
        <v>1036</v>
      </c>
      <c r="C39" s="42" t="s">
        <v>3010</v>
      </c>
      <c r="D39" s="10" t="s">
        <v>77</v>
      </c>
      <c r="E39" s="14" t="s">
        <v>0</v>
      </c>
      <c r="F39" s="1" t="s">
        <v>400</v>
      </c>
      <c r="G39" s="1" t="s">
        <v>1303</v>
      </c>
      <c r="H39" s="1" t="b">
        <v>1</v>
      </c>
      <c r="I39" s="1">
        <v>36</v>
      </c>
      <c r="J39" s="1"/>
      <c r="K39" s="1"/>
      <c r="L39" s="1"/>
      <c r="M39" s="1"/>
      <c r="O39" s="16" t="s">
        <v>367</v>
      </c>
      <c r="P39" s="1">
        <v>1</v>
      </c>
      <c r="Q39" s="15"/>
      <c r="R39" s="15"/>
      <c r="S39" s="15"/>
      <c r="T39" s="15"/>
      <c r="U39" s="15"/>
      <c r="V39" s="1"/>
      <c r="W39" s="1">
        <v>390</v>
      </c>
      <c r="X39" s="1">
        <f t="shared" si="4"/>
        <v>390</v>
      </c>
      <c r="Y39" s="15"/>
      <c r="Z39" s="15"/>
      <c r="AA39" s="15"/>
      <c r="AB39" s="17"/>
      <c r="AC39" s="82"/>
      <c r="AD39" s="16" t="s">
        <v>52</v>
      </c>
      <c r="AE39" s="16" t="s">
        <v>52</v>
      </c>
      <c r="AF39" s="16"/>
      <c r="AG39" s="16"/>
      <c r="AH39" s="16"/>
      <c r="AI39" s="16" t="s">
        <v>1742</v>
      </c>
      <c r="AJ39" s="16"/>
      <c r="AK39" s="16"/>
      <c r="AL39" s="16"/>
      <c r="AM39" s="16"/>
      <c r="AN39" s="16"/>
      <c r="AO39" s="16"/>
      <c r="AP39" s="16" t="s">
        <v>368</v>
      </c>
      <c r="AR39" s="88" t="s">
        <v>369</v>
      </c>
      <c r="AS39" s="88" t="s">
        <v>369</v>
      </c>
      <c r="AU39" s="12" t="s">
        <v>1930</v>
      </c>
      <c r="AV39" s="19" t="s">
        <v>1743</v>
      </c>
      <c r="AW39" s="39" t="s">
        <v>2940</v>
      </c>
      <c r="AY39" s="33"/>
      <c r="AZ39" s="33"/>
      <c r="BA39" s="33"/>
    </row>
    <row r="40" spans="1:53" ht="12" customHeight="1" x14ac:dyDescent="0.2">
      <c r="A40" s="10" t="s">
        <v>950</v>
      </c>
      <c r="B40" s="39">
        <v>1037</v>
      </c>
      <c r="C40" s="42" t="s">
        <v>3011</v>
      </c>
      <c r="D40" s="10" t="s">
        <v>77</v>
      </c>
      <c r="E40" s="14" t="s">
        <v>0</v>
      </c>
      <c r="F40" s="1" t="s">
        <v>951</v>
      </c>
      <c r="G40" s="1" t="s">
        <v>1303</v>
      </c>
      <c r="H40" s="1" t="b">
        <v>1</v>
      </c>
      <c r="I40" s="1">
        <v>37</v>
      </c>
      <c r="J40" s="1"/>
      <c r="K40" s="1"/>
      <c r="L40" s="1"/>
      <c r="M40" s="1"/>
      <c r="O40" s="16" t="s">
        <v>367</v>
      </c>
      <c r="P40" s="1">
        <v>1</v>
      </c>
      <c r="Q40" s="15"/>
      <c r="R40" s="15"/>
      <c r="S40" s="15"/>
      <c r="T40" s="15"/>
      <c r="U40" s="15"/>
      <c r="V40" s="1"/>
      <c r="W40" s="1">
        <v>486</v>
      </c>
      <c r="X40" s="1">
        <f t="shared" si="3"/>
        <v>486</v>
      </c>
      <c r="Y40" s="15"/>
      <c r="Z40" s="15"/>
      <c r="AA40" s="15"/>
      <c r="AB40" s="17"/>
      <c r="AC40" s="82"/>
      <c r="AD40" s="16" t="s">
        <v>52</v>
      </c>
      <c r="AE40" s="16" t="s">
        <v>52</v>
      </c>
      <c r="AF40" s="16"/>
      <c r="AG40" s="16"/>
      <c r="AH40" s="16"/>
      <c r="AI40" s="16" t="s">
        <v>954</v>
      </c>
      <c r="AJ40" s="16"/>
      <c r="AK40" s="16"/>
      <c r="AL40" s="16"/>
      <c r="AM40" s="16"/>
      <c r="AN40" s="16"/>
      <c r="AO40" s="16"/>
      <c r="AP40" s="16" t="s">
        <v>368</v>
      </c>
      <c r="AR40" s="88" t="s">
        <v>369</v>
      </c>
      <c r="AS40" s="88" t="s">
        <v>369</v>
      </c>
      <c r="AU40" s="12" t="s">
        <v>1930</v>
      </c>
      <c r="AV40" s="19" t="s">
        <v>955</v>
      </c>
      <c r="AW40" s="39" t="s">
        <v>2940</v>
      </c>
      <c r="AY40" s="33"/>
      <c r="AZ40" s="33"/>
      <c r="BA40" s="33"/>
    </row>
    <row r="41" spans="1:53" ht="12" customHeight="1" x14ac:dyDescent="0.2">
      <c r="A41" s="10" t="s">
        <v>1831</v>
      </c>
      <c r="B41" s="39">
        <v>1038</v>
      </c>
      <c r="C41" s="42" t="s">
        <v>3012</v>
      </c>
      <c r="D41" s="10" t="s">
        <v>77</v>
      </c>
      <c r="E41" s="14" t="s">
        <v>0</v>
      </c>
      <c r="F41" s="1" t="s">
        <v>396</v>
      </c>
      <c r="G41" s="1" t="s">
        <v>1303</v>
      </c>
      <c r="H41" s="1" t="b">
        <v>1</v>
      </c>
      <c r="I41" s="1">
        <v>38</v>
      </c>
      <c r="J41" s="1"/>
      <c r="K41" s="1"/>
      <c r="L41" s="1"/>
      <c r="M41" s="1"/>
      <c r="O41" s="16" t="s">
        <v>367</v>
      </c>
      <c r="P41" s="1">
        <v>1</v>
      </c>
      <c r="Q41" s="15"/>
      <c r="R41" s="15"/>
      <c r="S41" s="15"/>
      <c r="T41" s="15"/>
      <c r="U41" s="15"/>
      <c r="V41" s="1"/>
      <c r="W41" s="1">
        <v>486</v>
      </c>
      <c r="X41" s="1">
        <f t="shared" ref="X41" si="5">W41</f>
        <v>486</v>
      </c>
      <c r="Y41" s="15"/>
      <c r="Z41" s="15"/>
      <c r="AA41" s="15"/>
      <c r="AB41" s="17"/>
      <c r="AC41" s="82"/>
      <c r="AD41" s="16" t="s">
        <v>52</v>
      </c>
      <c r="AE41" s="16" t="s">
        <v>52</v>
      </c>
      <c r="AF41" s="16"/>
      <c r="AG41" s="16"/>
      <c r="AH41" s="16"/>
      <c r="AI41" s="16" t="s">
        <v>1829</v>
      </c>
      <c r="AJ41" s="16"/>
      <c r="AK41" s="16"/>
      <c r="AL41" s="16"/>
      <c r="AM41" s="16"/>
      <c r="AN41" s="16"/>
      <c r="AO41" s="16"/>
      <c r="AP41" s="16" t="s">
        <v>368</v>
      </c>
      <c r="AR41" s="88" t="s">
        <v>369</v>
      </c>
      <c r="AS41" s="88" t="s">
        <v>369</v>
      </c>
      <c r="AU41" s="12" t="s">
        <v>1930</v>
      </c>
      <c r="AV41" s="19" t="s">
        <v>1830</v>
      </c>
      <c r="AW41" s="39" t="s">
        <v>2940</v>
      </c>
      <c r="AY41" s="33"/>
      <c r="AZ41" s="33"/>
      <c r="BA41" s="33"/>
    </row>
    <row r="42" spans="1:53" ht="12" customHeight="1" x14ac:dyDescent="0.2">
      <c r="A42" s="10" t="s">
        <v>1764</v>
      </c>
      <c r="B42" s="39">
        <v>1039</v>
      </c>
      <c r="C42" s="42" t="s">
        <v>3013</v>
      </c>
      <c r="D42" s="10" t="s">
        <v>77</v>
      </c>
      <c r="E42" s="14" t="s">
        <v>0</v>
      </c>
      <c r="F42" s="1" t="s">
        <v>1772</v>
      </c>
      <c r="G42" s="1" t="s">
        <v>1303</v>
      </c>
      <c r="H42" s="1" t="b">
        <v>1</v>
      </c>
      <c r="I42" s="1">
        <v>39</v>
      </c>
      <c r="J42" s="1"/>
      <c r="K42" s="1"/>
      <c r="L42" s="1"/>
      <c r="M42" s="1"/>
      <c r="O42" s="16" t="s">
        <v>367</v>
      </c>
      <c r="P42" s="1">
        <v>1</v>
      </c>
      <c r="Q42" s="15"/>
      <c r="R42" s="15"/>
      <c r="S42" s="15"/>
      <c r="T42" s="15"/>
      <c r="U42" s="15"/>
      <c r="V42" s="1"/>
      <c r="W42" s="1">
        <v>510</v>
      </c>
      <c r="X42" s="1">
        <f t="shared" si="3"/>
        <v>510</v>
      </c>
      <c r="Y42" s="15"/>
      <c r="Z42" s="15"/>
      <c r="AA42" s="15"/>
      <c r="AB42" s="17"/>
      <c r="AC42" s="82"/>
      <c r="AD42" s="16" t="s">
        <v>52</v>
      </c>
      <c r="AE42" s="16" t="s">
        <v>52</v>
      </c>
      <c r="AF42" s="16"/>
      <c r="AG42" s="16"/>
      <c r="AH42" s="16"/>
      <c r="AI42" s="16" t="s">
        <v>1769</v>
      </c>
      <c r="AJ42" s="16"/>
      <c r="AK42" s="16"/>
      <c r="AL42" s="16"/>
      <c r="AM42" s="16"/>
      <c r="AN42" s="16"/>
      <c r="AO42" s="16"/>
      <c r="AP42" s="16" t="s">
        <v>368</v>
      </c>
      <c r="AR42" s="88" t="s">
        <v>369</v>
      </c>
      <c r="AS42" s="88" t="s">
        <v>369</v>
      </c>
      <c r="AU42" s="12" t="s">
        <v>1930</v>
      </c>
      <c r="AV42" s="19" t="s">
        <v>1770</v>
      </c>
      <c r="AW42" s="39" t="s">
        <v>2940</v>
      </c>
      <c r="AY42" s="33"/>
      <c r="AZ42" s="33"/>
      <c r="BA42" s="33"/>
    </row>
    <row r="43" spans="1:53" ht="12" customHeight="1" x14ac:dyDescent="0.2">
      <c r="A43" s="10" t="s">
        <v>1790</v>
      </c>
      <c r="B43" s="39">
        <v>1040</v>
      </c>
      <c r="C43" s="42" t="s">
        <v>3014</v>
      </c>
      <c r="D43" s="10" t="s">
        <v>77</v>
      </c>
      <c r="E43" s="14" t="s">
        <v>0</v>
      </c>
      <c r="F43" s="1" t="s">
        <v>89</v>
      </c>
      <c r="G43" s="1" t="s">
        <v>1303</v>
      </c>
      <c r="H43" s="1" t="b">
        <v>1</v>
      </c>
      <c r="I43" s="1">
        <v>40</v>
      </c>
      <c r="J43" s="1"/>
      <c r="K43" s="1"/>
      <c r="L43" s="1"/>
      <c r="M43" s="1"/>
      <c r="O43" s="16" t="s">
        <v>367</v>
      </c>
      <c r="P43" s="1">
        <v>1</v>
      </c>
      <c r="Q43" s="15"/>
      <c r="R43" s="15"/>
      <c r="S43" s="15"/>
      <c r="T43" s="15"/>
      <c r="U43" s="15"/>
      <c r="V43" s="1"/>
      <c r="W43" s="1">
        <v>442</v>
      </c>
      <c r="X43" s="1">
        <f t="shared" ref="X43:X44" si="6">W43</f>
        <v>442</v>
      </c>
      <c r="Y43" s="15"/>
      <c r="Z43" s="15"/>
      <c r="AA43" s="15"/>
      <c r="AB43" s="17"/>
      <c r="AC43" s="82"/>
      <c r="AD43" s="16" t="s">
        <v>52</v>
      </c>
      <c r="AE43" s="16" t="s">
        <v>52</v>
      </c>
      <c r="AF43" s="16"/>
      <c r="AG43" s="16"/>
      <c r="AH43" s="16"/>
      <c r="AI43" s="16" t="s">
        <v>1792</v>
      </c>
      <c r="AJ43" s="16"/>
      <c r="AK43" s="16"/>
      <c r="AL43" s="16"/>
      <c r="AM43" s="16"/>
      <c r="AN43" s="16"/>
      <c r="AO43" s="16"/>
      <c r="AP43" s="16" t="s">
        <v>368</v>
      </c>
      <c r="AR43" s="88" t="s">
        <v>369</v>
      </c>
      <c r="AS43" s="88" t="s">
        <v>369</v>
      </c>
      <c r="AU43" s="12" t="s">
        <v>1930</v>
      </c>
      <c r="AV43" s="19" t="s">
        <v>1794</v>
      </c>
      <c r="AW43" s="39" t="s">
        <v>2940</v>
      </c>
      <c r="AY43" s="33"/>
      <c r="AZ43" s="33"/>
      <c r="BA43" s="33"/>
    </row>
    <row r="44" spans="1:53" ht="12" customHeight="1" x14ac:dyDescent="0.2">
      <c r="A44" s="10" t="s">
        <v>1791</v>
      </c>
      <c r="B44" s="39">
        <v>1041</v>
      </c>
      <c r="C44" s="42" t="s">
        <v>3015</v>
      </c>
      <c r="D44" s="10" t="s">
        <v>77</v>
      </c>
      <c r="E44" s="14" t="s">
        <v>0</v>
      </c>
      <c r="F44" s="1" t="s">
        <v>394</v>
      </c>
      <c r="G44" s="1" t="s">
        <v>1303</v>
      </c>
      <c r="H44" s="1" t="b">
        <v>1</v>
      </c>
      <c r="I44" s="1">
        <v>41</v>
      </c>
      <c r="J44" s="1"/>
      <c r="K44" s="1"/>
      <c r="L44" s="1"/>
      <c r="M44" s="1"/>
      <c r="O44" s="16" t="s">
        <v>367</v>
      </c>
      <c r="P44" s="1">
        <v>1</v>
      </c>
      <c r="Q44" s="15"/>
      <c r="R44" s="15"/>
      <c r="S44" s="15"/>
      <c r="T44" s="15"/>
      <c r="U44" s="15"/>
      <c r="V44" s="1"/>
      <c r="W44" s="1">
        <v>510</v>
      </c>
      <c r="X44" s="1">
        <f t="shared" si="6"/>
        <v>510</v>
      </c>
      <c r="Y44" s="15"/>
      <c r="Z44" s="15"/>
      <c r="AA44" s="15"/>
      <c r="AB44" s="17"/>
      <c r="AC44" s="82"/>
      <c r="AD44" s="16" t="s">
        <v>52</v>
      </c>
      <c r="AE44" s="16" t="s">
        <v>52</v>
      </c>
      <c r="AF44" s="16"/>
      <c r="AG44" s="16"/>
      <c r="AH44" s="16"/>
      <c r="AI44" s="16" t="s">
        <v>1793</v>
      </c>
      <c r="AJ44" s="16"/>
      <c r="AK44" s="16"/>
      <c r="AL44" s="16"/>
      <c r="AM44" s="16"/>
      <c r="AN44" s="16"/>
      <c r="AO44" s="16"/>
      <c r="AP44" s="16" t="s">
        <v>368</v>
      </c>
      <c r="AR44" s="88" t="s">
        <v>369</v>
      </c>
      <c r="AS44" s="88" t="s">
        <v>369</v>
      </c>
      <c r="AU44" s="12" t="s">
        <v>1930</v>
      </c>
      <c r="AV44" s="19" t="s">
        <v>1795</v>
      </c>
      <c r="AW44" s="39" t="s">
        <v>2940</v>
      </c>
      <c r="AY44" s="33"/>
      <c r="AZ44" s="33"/>
      <c r="BA44" s="33"/>
    </row>
    <row r="45" spans="1:53" ht="12" customHeight="1" x14ac:dyDescent="0.2">
      <c r="A45" s="10" t="s">
        <v>1765</v>
      </c>
      <c r="B45" s="39">
        <v>1042</v>
      </c>
      <c r="C45" s="42" t="s">
        <v>3016</v>
      </c>
      <c r="D45" s="10" t="s">
        <v>77</v>
      </c>
      <c r="E45" s="14" t="s">
        <v>0</v>
      </c>
      <c r="F45" s="1" t="s">
        <v>398</v>
      </c>
      <c r="G45" s="1" t="s">
        <v>1303</v>
      </c>
      <c r="H45" s="1" t="b">
        <v>1</v>
      </c>
      <c r="I45" s="1">
        <v>42</v>
      </c>
      <c r="J45" s="1"/>
      <c r="K45" s="1"/>
      <c r="L45" s="1"/>
      <c r="M45" s="1"/>
      <c r="O45" s="16" t="s">
        <v>367</v>
      </c>
      <c r="P45" s="1">
        <v>1</v>
      </c>
      <c r="Q45" s="15"/>
      <c r="R45" s="15"/>
      <c r="S45" s="15"/>
      <c r="T45" s="15"/>
      <c r="U45" s="15"/>
      <c r="V45" s="1"/>
      <c r="W45" s="1">
        <v>499</v>
      </c>
      <c r="X45" s="1">
        <f t="shared" si="3"/>
        <v>499</v>
      </c>
      <c r="Y45" s="15"/>
      <c r="Z45" s="15"/>
      <c r="AA45" s="15"/>
      <c r="AB45" s="17"/>
      <c r="AC45" s="82"/>
      <c r="AD45" s="16" t="s">
        <v>52</v>
      </c>
      <c r="AE45" s="16" t="s">
        <v>52</v>
      </c>
      <c r="AF45" s="16"/>
      <c r="AG45" s="16"/>
      <c r="AH45" s="16"/>
      <c r="AI45" s="16" t="s">
        <v>1768</v>
      </c>
      <c r="AJ45" s="16"/>
      <c r="AK45" s="16"/>
      <c r="AL45" s="16"/>
      <c r="AM45" s="16"/>
      <c r="AN45" s="16"/>
      <c r="AO45" s="16"/>
      <c r="AP45" s="16" t="s">
        <v>368</v>
      </c>
      <c r="AR45" s="88" t="s">
        <v>369</v>
      </c>
      <c r="AS45" s="88" t="s">
        <v>369</v>
      </c>
      <c r="AU45" s="12" t="s">
        <v>1930</v>
      </c>
      <c r="AV45" s="19" t="s">
        <v>1914</v>
      </c>
      <c r="AW45" s="39" t="s">
        <v>2940</v>
      </c>
      <c r="AY45" s="33"/>
      <c r="AZ45" s="33"/>
      <c r="BA45" s="33"/>
    </row>
    <row r="46" spans="1:53" ht="12" customHeight="1" x14ac:dyDescent="0.2">
      <c r="A46" s="10" t="s">
        <v>1298</v>
      </c>
      <c r="B46" s="39">
        <v>1043</v>
      </c>
      <c r="C46" s="42" t="s">
        <v>3017</v>
      </c>
      <c r="D46" s="10" t="s">
        <v>77</v>
      </c>
      <c r="E46" s="14" t="s">
        <v>0</v>
      </c>
      <c r="F46" s="1" t="s">
        <v>1299</v>
      </c>
      <c r="G46" s="1" t="s">
        <v>1303</v>
      </c>
      <c r="H46" s="1" t="b">
        <v>1</v>
      </c>
      <c r="I46" s="1">
        <v>43</v>
      </c>
      <c r="J46" s="1"/>
      <c r="K46" s="1"/>
      <c r="L46" s="1"/>
      <c r="M46" s="1"/>
      <c r="O46" s="16" t="s">
        <v>367</v>
      </c>
      <c r="P46" s="1">
        <v>1</v>
      </c>
      <c r="Q46" s="15"/>
      <c r="R46" s="15"/>
      <c r="S46" s="15"/>
      <c r="T46" s="15"/>
      <c r="U46" s="15"/>
      <c r="V46" s="1"/>
      <c r="W46" s="1">
        <v>442</v>
      </c>
      <c r="X46" s="1">
        <f t="shared" si="3"/>
        <v>442</v>
      </c>
      <c r="Y46" s="15"/>
      <c r="Z46" s="15"/>
      <c r="AA46" s="15"/>
      <c r="AB46" s="17"/>
      <c r="AC46" s="82"/>
      <c r="AD46" s="16" t="s">
        <v>52</v>
      </c>
      <c r="AE46" s="16" t="s">
        <v>52</v>
      </c>
      <c r="AF46" s="16"/>
      <c r="AG46" s="16"/>
      <c r="AH46" s="16"/>
      <c r="AI46" s="16" t="s">
        <v>1300</v>
      </c>
      <c r="AJ46" s="16"/>
      <c r="AK46" s="16"/>
      <c r="AL46" s="16"/>
      <c r="AM46" s="16"/>
      <c r="AN46" s="16"/>
      <c r="AO46" s="16"/>
      <c r="AP46" s="16" t="s">
        <v>368</v>
      </c>
      <c r="AR46" s="88" t="s">
        <v>369</v>
      </c>
      <c r="AS46" s="88" t="s">
        <v>369</v>
      </c>
      <c r="AU46" s="12" t="s">
        <v>1930</v>
      </c>
      <c r="AV46" s="19" t="s">
        <v>1301</v>
      </c>
      <c r="AW46" s="39" t="s">
        <v>2940</v>
      </c>
      <c r="AY46" s="33"/>
      <c r="AZ46" s="33"/>
      <c r="BA46" s="33"/>
    </row>
    <row r="47" spans="1:53" ht="12" customHeight="1" x14ac:dyDescent="0.2">
      <c r="A47" s="10" t="s">
        <v>1745</v>
      </c>
      <c r="B47" s="39">
        <v>1044</v>
      </c>
      <c r="C47" s="42" t="s">
        <v>3018</v>
      </c>
      <c r="D47" s="10" t="s">
        <v>77</v>
      </c>
      <c r="E47" s="14" t="s">
        <v>0</v>
      </c>
      <c r="F47" s="1" t="s">
        <v>758</v>
      </c>
      <c r="G47" s="1" t="s">
        <v>1303</v>
      </c>
      <c r="H47" s="1" t="b">
        <v>1</v>
      </c>
      <c r="I47" s="1">
        <v>44</v>
      </c>
      <c r="J47" s="1"/>
      <c r="K47" s="1"/>
      <c r="L47" s="1"/>
      <c r="M47" s="1"/>
      <c r="O47" s="16" t="s">
        <v>367</v>
      </c>
      <c r="P47" s="1">
        <v>1</v>
      </c>
      <c r="Q47" s="15"/>
      <c r="R47" s="15"/>
      <c r="S47" s="15"/>
      <c r="T47" s="15"/>
      <c r="U47" s="15"/>
      <c r="V47" s="1"/>
      <c r="W47" s="1">
        <v>442</v>
      </c>
      <c r="X47" s="1">
        <f t="shared" ref="X47:X66" si="7">W47</f>
        <v>442</v>
      </c>
      <c r="Y47" s="15"/>
      <c r="Z47" s="15"/>
      <c r="AA47" s="15"/>
      <c r="AB47" s="17"/>
      <c r="AC47" s="82"/>
      <c r="AD47" s="16" t="s">
        <v>52</v>
      </c>
      <c r="AE47" s="16" t="s">
        <v>52</v>
      </c>
      <c r="AF47" s="16"/>
      <c r="AG47" s="16"/>
      <c r="AH47" s="16"/>
      <c r="AI47" s="16" t="s">
        <v>1746</v>
      </c>
      <c r="AJ47" s="16"/>
      <c r="AK47" s="16"/>
      <c r="AL47" s="16"/>
      <c r="AM47" s="16"/>
      <c r="AN47" s="16"/>
      <c r="AO47" s="16"/>
      <c r="AP47" s="16" t="s">
        <v>368</v>
      </c>
      <c r="AR47" s="88" t="s">
        <v>369</v>
      </c>
      <c r="AS47" s="88" t="s">
        <v>369</v>
      </c>
      <c r="AU47" s="12" t="s">
        <v>1930</v>
      </c>
      <c r="AV47" s="19" t="s">
        <v>1747</v>
      </c>
      <c r="AW47" s="39" t="s">
        <v>2940</v>
      </c>
      <c r="AY47" s="33"/>
      <c r="AZ47" s="33"/>
      <c r="BA47" s="33"/>
    </row>
    <row r="48" spans="1:53" ht="12" customHeight="1" x14ac:dyDescent="0.2">
      <c r="A48" s="10" t="s">
        <v>1766</v>
      </c>
      <c r="B48" s="39">
        <v>1045</v>
      </c>
      <c r="C48" s="42" t="s">
        <v>3019</v>
      </c>
      <c r="D48" s="10" t="s">
        <v>77</v>
      </c>
      <c r="E48" s="14" t="s">
        <v>0</v>
      </c>
      <c r="F48" s="1" t="s">
        <v>1773</v>
      </c>
      <c r="G48" s="1" t="s">
        <v>1303</v>
      </c>
      <c r="H48" s="1" t="b">
        <v>1</v>
      </c>
      <c r="I48" s="1">
        <v>45</v>
      </c>
      <c r="J48" s="1"/>
      <c r="K48" s="1"/>
      <c r="L48" s="1"/>
      <c r="M48" s="1"/>
      <c r="O48" s="16" t="s">
        <v>367</v>
      </c>
      <c r="P48" s="1">
        <v>1</v>
      </c>
      <c r="Q48" s="15"/>
      <c r="R48" s="15"/>
      <c r="S48" s="15"/>
      <c r="T48" s="15"/>
      <c r="U48" s="15"/>
      <c r="V48" s="1"/>
      <c r="W48" s="1">
        <v>547</v>
      </c>
      <c r="X48" s="1">
        <f t="shared" si="7"/>
        <v>547</v>
      </c>
      <c r="Y48" s="15"/>
      <c r="Z48" s="15"/>
      <c r="AA48" s="15"/>
      <c r="AB48" s="17"/>
      <c r="AC48" s="82"/>
      <c r="AD48" s="16" t="s">
        <v>52</v>
      </c>
      <c r="AE48" s="16" t="s">
        <v>52</v>
      </c>
      <c r="AF48" s="16"/>
      <c r="AG48" s="16"/>
      <c r="AH48" s="16"/>
      <c r="AI48" s="16" t="s">
        <v>1767</v>
      </c>
      <c r="AJ48" s="16"/>
      <c r="AK48" s="16"/>
      <c r="AL48" s="16"/>
      <c r="AM48" s="16"/>
      <c r="AN48" s="16"/>
      <c r="AO48" s="16"/>
      <c r="AP48" s="16" t="s">
        <v>368</v>
      </c>
      <c r="AR48" s="88" t="s">
        <v>369</v>
      </c>
      <c r="AS48" s="88" t="s">
        <v>369</v>
      </c>
      <c r="AU48" s="12" t="s">
        <v>1930</v>
      </c>
      <c r="AV48" s="19" t="s">
        <v>1771</v>
      </c>
      <c r="AW48" s="39" t="s">
        <v>2940</v>
      </c>
      <c r="AY48" s="33"/>
      <c r="AZ48" s="33"/>
      <c r="BA48" s="33"/>
    </row>
    <row r="49" spans="1:53" ht="12" customHeight="1" x14ac:dyDescent="0.2">
      <c r="A49" s="10" t="s">
        <v>2306</v>
      </c>
      <c r="B49" s="39">
        <v>1046</v>
      </c>
      <c r="C49" s="42" t="s">
        <v>3020</v>
      </c>
      <c r="D49" s="10" t="s">
        <v>77</v>
      </c>
      <c r="E49" s="14" t="s">
        <v>0</v>
      </c>
      <c r="F49" s="1" t="s">
        <v>90</v>
      </c>
      <c r="G49" s="1" t="s">
        <v>1303</v>
      </c>
      <c r="H49" s="1" t="b">
        <v>1</v>
      </c>
      <c r="I49" s="1">
        <v>46</v>
      </c>
      <c r="J49" s="1"/>
      <c r="K49" s="1"/>
      <c r="L49" s="1"/>
      <c r="M49" s="1"/>
      <c r="O49" s="16" t="s">
        <v>367</v>
      </c>
      <c r="P49" s="1">
        <v>1</v>
      </c>
      <c r="Q49" s="15"/>
      <c r="R49" s="15"/>
      <c r="S49" s="15"/>
      <c r="T49" s="15"/>
      <c r="U49" s="15"/>
      <c r="V49" s="1"/>
      <c r="W49" s="1">
        <v>547</v>
      </c>
      <c r="X49" s="1">
        <f t="shared" ref="X49" si="8">W49</f>
        <v>547</v>
      </c>
      <c r="Y49" s="15"/>
      <c r="Z49" s="15"/>
      <c r="AA49" s="15"/>
      <c r="AB49" s="17"/>
      <c r="AC49" s="82"/>
      <c r="AD49" s="16" t="s">
        <v>52</v>
      </c>
      <c r="AE49" s="16" t="s">
        <v>52</v>
      </c>
      <c r="AF49" s="16"/>
      <c r="AG49" s="16"/>
      <c r="AH49" s="16"/>
      <c r="AI49" s="16" t="s">
        <v>2318</v>
      </c>
      <c r="AJ49" s="16"/>
      <c r="AK49" s="16"/>
      <c r="AL49" s="16"/>
      <c r="AM49" s="16"/>
      <c r="AN49" s="16"/>
      <c r="AO49" s="16"/>
      <c r="AP49" s="16" t="s">
        <v>368</v>
      </c>
      <c r="AR49" s="88" t="s">
        <v>369</v>
      </c>
      <c r="AS49" s="88" t="s">
        <v>369</v>
      </c>
      <c r="AU49" s="12" t="s">
        <v>1930</v>
      </c>
      <c r="AV49" s="19" t="s">
        <v>2809</v>
      </c>
      <c r="AW49" s="39" t="s">
        <v>2940</v>
      </c>
      <c r="AY49" s="33"/>
      <c r="AZ49" s="33"/>
      <c r="BA49" s="33"/>
    </row>
    <row r="50" spans="1:53" ht="12" customHeight="1" x14ac:dyDescent="0.2">
      <c r="A50" s="10" t="s">
        <v>2807</v>
      </c>
      <c r="B50" s="39">
        <v>1047</v>
      </c>
      <c r="C50" s="42" t="s">
        <v>3021</v>
      </c>
      <c r="D50" s="10" t="s">
        <v>77</v>
      </c>
      <c r="E50" s="14" t="s">
        <v>0</v>
      </c>
      <c r="F50" s="1" t="s">
        <v>90</v>
      </c>
      <c r="G50" s="1" t="s">
        <v>1303</v>
      </c>
      <c r="H50" s="1" t="b">
        <v>1</v>
      </c>
      <c r="I50" s="1">
        <v>47</v>
      </c>
      <c r="J50" s="1"/>
      <c r="K50" s="1"/>
      <c r="L50" s="1"/>
      <c r="M50" s="1"/>
      <c r="O50" s="16" t="s">
        <v>367</v>
      </c>
      <c r="P50" s="1">
        <v>1</v>
      </c>
      <c r="Q50" s="15"/>
      <c r="R50" s="15"/>
      <c r="S50" s="15"/>
      <c r="T50" s="15"/>
      <c r="U50" s="15"/>
      <c r="V50" s="1"/>
      <c r="W50" s="1">
        <v>547</v>
      </c>
      <c r="X50" s="1">
        <f t="shared" ref="X50:X51" si="9">W50</f>
        <v>547</v>
      </c>
      <c r="Y50" s="15"/>
      <c r="Z50" s="15"/>
      <c r="AA50" s="15"/>
      <c r="AB50" s="17"/>
      <c r="AC50" s="82"/>
      <c r="AD50" s="16" t="s">
        <v>52</v>
      </c>
      <c r="AE50" s="16" t="s">
        <v>52</v>
      </c>
      <c r="AF50" s="16"/>
      <c r="AG50" s="16"/>
      <c r="AH50" s="16"/>
      <c r="AI50" s="16" t="s">
        <v>2808</v>
      </c>
      <c r="AJ50" s="16"/>
      <c r="AK50" s="16"/>
      <c r="AL50" s="16"/>
      <c r="AM50" s="16"/>
      <c r="AN50" s="16"/>
      <c r="AO50" s="16"/>
      <c r="AP50" s="16" t="s">
        <v>368</v>
      </c>
      <c r="AR50" s="88" t="s">
        <v>369</v>
      </c>
      <c r="AS50" s="88" t="s">
        <v>369</v>
      </c>
      <c r="AU50" s="12" t="s">
        <v>1930</v>
      </c>
      <c r="AV50" s="19" t="s">
        <v>2810</v>
      </c>
      <c r="AW50" s="39" t="s">
        <v>2940</v>
      </c>
      <c r="AY50" s="33"/>
      <c r="AZ50" s="33"/>
      <c r="BA50" s="33"/>
    </row>
    <row r="51" spans="1:53" ht="12" customHeight="1" x14ac:dyDescent="0.2">
      <c r="A51" s="10" t="s">
        <v>2889</v>
      </c>
      <c r="B51" s="39">
        <v>1048</v>
      </c>
      <c r="C51" s="42" t="s">
        <v>3022</v>
      </c>
      <c r="D51" s="10" t="s">
        <v>77</v>
      </c>
      <c r="E51" s="14" t="s">
        <v>0</v>
      </c>
      <c r="F51" s="1" t="s">
        <v>394</v>
      </c>
      <c r="G51" s="1" t="s">
        <v>1303</v>
      </c>
      <c r="H51" s="1" t="b">
        <v>1</v>
      </c>
      <c r="I51" s="1">
        <v>48</v>
      </c>
      <c r="J51" s="1"/>
      <c r="K51" s="1"/>
      <c r="L51" s="1"/>
      <c r="M51" s="1"/>
      <c r="O51" s="16" t="s">
        <v>367</v>
      </c>
      <c r="P51" s="1">
        <v>1</v>
      </c>
      <c r="Q51" s="15"/>
      <c r="R51" s="15"/>
      <c r="S51" s="15"/>
      <c r="T51" s="15"/>
      <c r="U51" s="15"/>
      <c r="V51" s="1"/>
      <c r="W51" s="1">
        <v>510</v>
      </c>
      <c r="X51" s="1">
        <f t="shared" si="9"/>
        <v>510</v>
      </c>
      <c r="Y51" s="15"/>
      <c r="Z51" s="15"/>
      <c r="AA51" s="15"/>
      <c r="AB51" s="17"/>
      <c r="AC51" s="82"/>
      <c r="AD51" s="16" t="s">
        <v>52</v>
      </c>
      <c r="AE51" s="16" t="s">
        <v>52</v>
      </c>
      <c r="AF51" s="16"/>
      <c r="AG51" s="16"/>
      <c r="AH51" s="16"/>
      <c r="AI51" s="16" t="s">
        <v>2890</v>
      </c>
      <c r="AJ51" s="16"/>
      <c r="AK51" s="16"/>
      <c r="AL51" s="16"/>
      <c r="AM51" s="16"/>
      <c r="AN51" s="16"/>
      <c r="AO51" s="16"/>
      <c r="AP51" s="16" t="s">
        <v>368</v>
      </c>
      <c r="AR51" s="88" t="s">
        <v>369</v>
      </c>
      <c r="AS51" s="88" t="s">
        <v>369</v>
      </c>
      <c r="AU51" s="12" t="s">
        <v>1930</v>
      </c>
      <c r="AV51" s="19" t="s">
        <v>1795</v>
      </c>
      <c r="AW51" s="39" t="s">
        <v>2940</v>
      </c>
      <c r="AY51" s="33"/>
      <c r="AZ51" s="33"/>
      <c r="BA51" s="33"/>
    </row>
    <row r="52" spans="1:53" ht="12" customHeight="1" x14ac:dyDescent="0.2">
      <c r="A52" s="10" t="s">
        <v>1832</v>
      </c>
      <c r="B52" s="39">
        <v>1049</v>
      </c>
      <c r="C52" s="42" t="s">
        <v>3023</v>
      </c>
      <c r="D52" s="10" t="s">
        <v>77</v>
      </c>
      <c r="E52" s="14" t="s">
        <v>0</v>
      </c>
      <c r="F52" s="1" t="s">
        <v>395</v>
      </c>
      <c r="G52" s="1" t="s">
        <v>1303</v>
      </c>
      <c r="H52" s="1" t="b">
        <v>1</v>
      </c>
      <c r="I52" s="1">
        <v>49</v>
      </c>
      <c r="J52" s="1"/>
      <c r="K52" s="1"/>
      <c r="L52" s="1"/>
      <c r="M52" s="1"/>
      <c r="O52" s="16" t="s">
        <v>367</v>
      </c>
      <c r="P52" s="1">
        <v>1</v>
      </c>
      <c r="Q52" s="15"/>
      <c r="R52" s="15"/>
      <c r="S52" s="15"/>
      <c r="T52" s="15"/>
      <c r="U52" s="15"/>
      <c r="V52" s="1"/>
      <c r="W52" s="1">
        <v>510</v>
      </c>
      <c r="X52" s="1">
        <f>W52</f>
        <v>510</v>
      </c>
      <c r="Y52" s="15"/>
      <c r="Z52" s="15"/>
      <c r="AA52" s="15"/>
      <c r="AB52" s="17"/>
      <c r="AC52" s="82"/>
      <c r="AD52" s="16" t="s">
        <v>52</v>
      </c>
      <c r="AE52" s="16" t="s">
        <v>52</v>
      </c>
      <c r="AF52" s="16"/>
      <c r="AG52" s="16"/>
      <c r="AH52" s="16"/>
      <c r="AI52" s="16" t="s">
        <v>1837</v>
      </c>
      <c r="AJ52" s="16"/>
      <c r="AK52" s="16"/>
      <c r="AL52" s="16"/>
      <c r="AM52" s="16"/>
      <c r="AN52" s="16"/>
      <c r="AO52" s="16"/>
      <c r="AP52" s="16" t="s">
        <v>368</v>
      </c>
      <c r="AR52" s="88" t="s">
        <v>369</v>
      </c>
      <c r="AS52" s="88" t="s">
        <v>369</v>
      </c>
      <c r="AU52" s="12" t="s">
        <v>1930</v>
      </c>
      <c r="AV52" s="19" t="s">
        <v>1834</v>
      </c>
      <c r="AW52" s="39" t="s">
        <v>2940</v>
      </c>
      <c r="AY52" s="33"/>
      <c r="AZ52" s="33"/>
      <c r="BA52" s="33"/>
    </row>
    <row r="53" spans="1:53" ht="12" customHeight="1" x14ac:dyDescent="0.2">
      <c r="A53" s="10" t="s">
        <v>1833</v>
      </c>
      <c r="B53" s="39">
        <v>1050</v>
      </c>
      <c r="C53" s="42" t="s">
        <v>3024</v>
      </c>
      <c r="D53" s="10" t="s">
        <v>77</v>
      </c>
      <c r="E53" s="14" t="s">
        <v>0</v>
      </c>
      <c r="F53" s="1" t="s">
        <v>90</v>
      </c>
      <c r="G53" s="1" t="s">
        <v>1303</v>
      </c>
      <c r="H53" s="1" t="b">
        <v>1</v>
      </c>
      <c r="I53" s="1">
        <v>50</v>
      </c>
      <c r="J53" s="1"/>
      <c r="K53" s="1"/>
      <c r="L53" s="1"/>
      <c r="M53" s="1"/>
      <c r="O53" s="16" t="s">
        <v>367</v>
      </c>
      <c r="P53" s="1">
        <v>1</v>
      </c>
      <c r="Q53" s="15"/>
      <c r="R53" s="15"/>
      <c r="S53" s="15"/>
      <c r="T53" s="15"/>
      <c r="U53" s="15"/>
      <c r="V53" s="1"/>
      <c r="W53" s="1">
        <v>547</v>
      </c>
      <c r="X53" s="1">
        <f t="shared" ref="X53:X55" si="10">W53</f>
        <v>547</v>
      </c>
      <c r="Y53" s="15"/>
      <c r="Z53" s="15"/>
      <c r="AA53" s="15"/>
      <c r="AB53" s="17"/>
      <c r="AC53" s="82"/>
      <c r="AD53" s="16" t="s">
        <v>52</v>
      </c>
      <c r="AE53" s="16" t="s">
        <v>52</v>
      </c>
      <c r="AF53" s="16"/>
      <c r="AG53" s="16"/>
      <c r="AH53" s="16"/>
      <c r="AI53" s="16" t="s">
        <v>1836</v>
      </c>
      <c r="AJ53" s="16"/>
      <c r="AK53" s="16"/>
      <c r="AL53" s="16"/>
      <c r="AM53" s="16"/>
      <c r="AN53" s="16"/>
      <c r="AO53" s="16"/>
      <c r="AP53" s="16" t="s">
        <v>368</v>
      </c>
      <c r="AR53" s="88" t="s">
        <v>369</v>
      </c>
      <c r="AS53" s="88" t="s">
        <v>369</v>
      </c>
      <c r="AU53" s="12" t="s">
        <v>1930</v>
      </c>
      <c r="AV53" s="19" t="s">
        <v>1835</v>
      </c>
      <c r="AW53" s="39" t="s">
        <v>2940</v>
      </c>
      <c r="AY53" s="33"/>
      <c r="AZ53" s="33"/>
      <c r="BA53" s="33"/>
    </row>
    <row r="54" spans="1:53" ht="12" customHeight="1" x14ac:dyDescent="0.2">
      <c r="A54" s="10" t="s">
        <v>1907</v>
      </c>
      <c r="B54" s="39">
        <v>1051</v>
      </c>
      <c r="C54" s="42" t="s">
        <v>3025</v>
      </c>
      <c r="D54" s="10" t="s">
        <v>77</v>
      </c>
      <c r="E54" s="14" t="s">
        <v>0</v>
      </c>
      <c r="F54" s="1" t="s">
        <v>88</v>
      </c>
      <c r="G54" s="1" t="s">
        <v>1303</v>
      </c>
      <c r="H54" s="1" t="b">
        <v>1</v>
      </c>
      <c r="I54" s="1">
        <v>51</v>
      </c>
      <c r="J54" s="1"/>
      <c r="K54" s="1"/>
      <c r="L54" s="1"/>
      <c r="M54" s="1"/>
      <c r="O54" s="16" t="s">
        <v>367</v>
      </c>
      <c r="P54" s="1">
        <v>1</v>
      </c>
      <c r="Q54" s="15"/>
      <c r="R54" s="15"/>
      <c r="S54" s="15"/>
      <c r="T54" s="15"/>
      <c r="U54" s="15"/>
      <c r="V54" s="1"/>
      <c r="W54" s="1">
        <v>390</v>
      </c>
      <c r="X54" s="1">
        <f t="shared" si="10"/>
        <v>390</v>
      </c>
      <c r="Y54" s="15"/>
      <c r="Z54" s="15"/>
      <c r="AA54" s="15"/>
      <c r="AB54" s="17"/>
      <c r="AC54" s="82"/>
      <c r="AD54" s="16" t="s">
        <v>52</v>
      </c>
      <c r="AE54" s="16" t="s">
        <v>52</v>
      </c>
      <c r="AF54" s="16"/>
      <c r="AG54" s="16"/>
      <c r="AH54" s="16"/>
      <c r="AI54" s="16" t="s">
        <v>1919</v>
      </c>
      <c r="AJ54" s="16"/>
      <c r="AK54" s="16"/>
      <c r="AL54" s="16"/>
      <c r="AM54" s="16"/>
      <c r="AN54" s="16"/>
      <c r="AO54" s="16"/>
      <c r="AP54" s="16" t="s">
        <v>368</v>
      </c>
      <c r="AR54" s="88" t="s">
        <v>369</v>
      </c>
      <c r="AS54" s="88" t="s">
        <v>369</v>
      </c>
      <c r="AU54" s="12" t="s">
        <v>1930</v>
      </c>
      <c r="AV54" s="19" t="s">
        <v>1911</v>
      </c>
      <c r="AW54" s="39" t="s">
        <v>2940</v>
      </c>
      <c r="AY54" s="33"/>
      <c r="AZ54" s="33"/>
      <c r="BA54" s="33"/>
    </row>
    <row r="55" spans="1:53" ht="12" customHeight="1" x14ac:dyDescent="0.2">
      <c r="A55" s="10" t="s">
        <v>1908</v>
      </c>
      <c r="B55" s="39">
        <v>1052</v>
      </c>
      <c r="C55" s="42" t="s">
        <v>3026</v>
      </c>
      <c r="D55" s="10" t="s">
        <v>77</v>
      </c>
      <c r="E55" s="14" t="s">
        <v>0</v>
      </c>
      <c r="F55" s="1" t="s">
        <v>91</v>
      </c>
      <c r="G55" s="1" t="s">
        <v>1303</v>
      </c>
      <c r="H55" s="1" t="b">
        <v>1</v>
      </c>
      <c r="I55" s="1">
        <v>52</v>
      </c>
      <c r="J55" s="1"/>
      <c r="K55" s="1"/>
      <c r="L55" s="1"/>
      <c r="M55" s="1"/>
      <c r="O55" s="16" t="s">
        <v>367</v>
      </c>
      <c r="P55" s="1">
        <v>1</v>
      </c>
      <c r="Q55" s="15"/>
      <c r="R55" s="15"/>
      <c r="S55" s="15"/>
      <c r="T55" s="15"/>
      <c r="U55" s="15"/>
      <c r="V55" s="1"/>
      <c r="W55" s="1">
        <v>499</v>
      </c>
      <c r="X55" s="1">
        <f t="shared" si="10"/>
        <v>499</v>
      </c>
      <c r="Y55" s="15"/>
      <c r="Z55" s="15"/>
      <c r="AA55" s="15"/>
      <c r="AB55" s="17"/>
      <c r="AC55" s="82"/>
      <c r="AD55" s="16" t="s">
        <v>52</v>
      </c>
      <c r="AE55" s="16" t="s">
        <v>52</v>
      </c>
      <c r="AF55" s="16"/>
      <c r="AG55" s="16"/>
      <c r="AH55" s="16"/>
      <c r="AI55" s="16" t="s">
        <v>1920</v>
      </c>
      <c r="AJ55" s="16"/>
      <c r="AK55" s="16"/>
      <c r="AL55" s="16"/>
      <c r="AM55" s="16"/>
      <c r="AN55" s="16"/>
      <c r="AO55" s="16"/>
      <c r="AP55" s="16" t="s">
        <v>368</v>
      </c>
      <c r="AR55" s="88" t="s">
        <v>369</v>
      </c>
      <c r="AS55" s="88" t="s">
        <v>369</v>
      </c>
      <c r="AU55" s="12" t="s">
        <v>1930</v>
      </c>
      <c r="AV55" s="19" t="s">
        <v>1912</v>
      </c>
      <c r="AW55" s="39" t="s">
        <v>2940</v>
      </c>
      <c r="AY55" s="33"/>
      <c r="AZ55" s="33"/>
      <c r="BA55" s="33"/>
    </row>
    <row r="56" spans="1:53" ht="12" customHeight="1" x14ac:dyDescent="0.2">
      <c r="A56" s="10" t="s">
        <v>1956</v>
      </c>
      <c r="B56" s="39">
        <v>1053</v>
      </c>
      <c r="C56" s="42" t="s">
        <v>3027</v>
      </c>
      <c r="D56" s="10" t="s">
        <v>77</v>
      </c>
      <c r="E56" s="14" t="s">
        <v>0</v>
      </c>
      <c r="F56" s="1" t="s">
        <v>1957</v>
      </c>
      <c r="G56" s="1" t="s">
        <v>1303</v>
      </c>
      <c r="H56" s="1" t="b">
        <v>1</v>
      </c>
      <c r="I56" s="1">
        <v>53</v>
      </c>
      <c r="J56" s="1"/>
      <c r="K56" s="1"/>
      <c r="L56" s="1"/>
      <c r="M56" s="1"/>
      <c r="O56" s="16" t="s">
        <v>367</v>
      </c>
      <c r="P56" s="1">
        <v>1</v>
      </c>
      <c r="Q56" s="15"/>
      <c r="R56" s="15"/>
      <c r="S56" s="15"/>
      <c r="T56" s="15"/>
      <c r="U56" s="15"/>
      <c r="V56" s="1"/>
      <c r="W56" s="1">
        <v>547</v>
      </c>
      <c r="X56" s="1">
        <f t="shared" ref="X56:X59" si="11">W56</f>
        <v>547</v>
      </c>
      <c r="Y56" s="15"/>
      <c r="Z56" s="15"/>
      <c r="AA56" s="15"/>
      <c r="AB56" s="17"/>
      <c r="AC56" s="82"/>
      <c r="AD56" s="16" t="s">
        <v>52</v>
      </c>
      <c r="AE56" s="16" t="s">
        <v>52</v>
      </c>
      <c r="AF56" s="16"/>
      <c r="AG56" s="16"/>
      <c r="AH56" s="16"/>
      <c r="AI56" s="16" t="s">
        <v>1958</v>
      </c>
      <c r="AJ56" s="16"/>
      <c r="AK56" s="16"/>
      <c r="AL56" s="16"/>
      <c r="AM56" s="16"/>
      <c r="AN56" s="16"/>
      <c r="AO56" s="16"/>
      <c r="AP56" s="16" t="s">
        <v>368</v>
      </c>
      <c r="AR56" s="88" t="s">
        <v>369</v>
      </c>
      <c r="AS56" s="88" t="s">
        <v>369</v>
      </c>
      <c r="AU56" s="12" t="s">
        <v>1930</v>
      </c>
      <c r="AV56" s="19" t="s">
        <v>1959</v>
      </c>
      <c r="AW56" s="39" t="s">
        <v>2940</v>
      </c>
      <c r="AY56" s="33"/>
      <c r="AZ56" s="33"/>
      <c r="BA56" s="33"/>
    </row>
    <row r="57" spans="1:53" ht="12" customHeight="1" x14ac:dyDescent="0.2">
      <c r="A57" s="10" t="s">
        <v>2496</v>
      </c>
      <c r="B57" s="39">
        <v>1054</v>
      </c>
      <c r="C57" s="42" t="s">
        <v>3028</v>
      </c>
      <c r="D57" s="10" t="s">
        <v>77</v>
      </c>
      <c r="E57" s="14" t="s">
        <v>0</v>
      </c>
      <c r="F57" s="1" t="s">
        <v>394</v>
      </c>
      <c r="G57" s="1" t="s">
        <v>1303</v>
      </c>
      <c r="H57" s="1" t="b">
        <v>1</v>
      </c>
      <c r="I57" s="1">
        <v>54</v>
      </c>
      <c r="J57" s="1"/>
      <c r="K57" s="1"/>
      <c r="L57" s="1"/>
      <c r="M57" s="1"/>
      <c r="O57" s="16" t="s">
        <v>367</v>
      </c>
      <c r="P57" s="1">
        <v>1</v>
      </c>
      <c r="Q57" s="15"/>
      <c r="R57" s="15"/>
      <c r="S57" s="15"/>
      <c r="T57" s="15"/>
      <c r="U57" s="15"/>
      <c r="V57" s="1"/>
      <c r="W57" s="1">
        <v>510</v>
      </c>
      <c r="X57" s="1">
        <f t="shared" si="11"/>
        <v>510</v>
      </c>
      <c r="Y57" s="15"/>
      <c r="Z57" s="15"/>
      <c r="AA57" s="15"/>
      <c r="AB57" s="17"/>
      <c r="AC57" s="82"/>
      <c r="AD57" s="16" t="s">
        <v>52</v>
      </c>
      <c r="AE57" s="16" t="s">
        <v>52</v>
      </c>
      <c r="AF57" s="16"/>
      <c r="AG57" s="16"/>
      <c r="AH57" s="16"/>
      <c r="AI57" s="16">
        <v>11054</v>
      </c>
      <c r="AJ57" s="16"/>
      <c r="AK57" s="16"/>
      <c r="AL57" s="16"/>
      <c r="AM57" s="16"/>
      <c r="AN57" s="16"/>
      <c r="AO57" s="16"/>
      <c r="AP57" s="16" t="s">
        <v>368</v>
      </c>
      <c r="AR57" s="88" t="s">
        <v>369</v>
      </c>
      <c r="AS57" s="88" t="s">
        <v>369</v>
      </c>
      <c r="AU57" s="12" t="s">
        <v>1930</v>
      </c>
      <c r="AV57" s="19" t="s">
        <v>2497</v>
      </c>
      <c r="AW57" s="39" t="s">
        <v>2940</v>
      </c>
      <c r="AY57" s="33"/>
      <c r="AZ57" s="33"/>
      <c r="BA57" s="33"/>
    </row>
    <row r="58" spans="1:53" ht="12" customHeight="1" x14ac:dyDescent="0.2">
      <c r="A58" s="10" t="s">
        <v>2345</v>
      </c>
      <c r="B58" s="39">
        <v>1055</v>
      </c>
      <c r="C58" s="42" t="s">
        <v>3029</v>
      </c>
      <c r="D58" s="10" t="s">
        <v>77</v>
      </c>
      <c r="E58" s="14" t="s">
        <v>0</v>
      </c>
      <c r="F58" s="1" t="s">
        <v>89</v>
      </c>
      <c r="G58" s="1" t="s">
        <v>1303</v>
      </c>
      <c r="H58" s="1" t="b">
        <v>1</v>
      </c>
      <c r="I58" s="1">
        <v>55</v>
      </c>
      <c r="J58" s="1"/>
      <c r="K58" s="1"/>
      <c r="L58" s="1"/>
      <c r="M58" s="1"/>
      <c r="O58" s="16" t="s">
        <v>367</v>
      </c>
      <c r="P58" s="1">
        <v>1</v>
      </c>
      <c r="Q58" s="15"/>
      <c r="R58" s="15"/>
      <c r="S58" s="15"/>
      <c r="T58" s="15"/>
      <c r="U58" s="15"/>
      <c r="V58" s="1"/>
      <c r="W58" s="1">
        <v>442</v>
      </c>
      <c r="X58" s="1">
        <f t="shared" si="11"/>
        <v>442</v>
      </c>
      <c r="Y58" s="15"/>
      <c r="Z58" s="15"/>
      <c r="AA58" s="15"/>
      <c r="AB58" s="17"/>
      <c r="AC58" s="82"/>
      <c r="AD58" s="16" t="s">
        <v>52</v>
      </c>
      <c r="AE58" s="16" t="s">
        <v>52</v>
      </c>
      <c r="AF58" s="16"/>
      <c r="AG58" s="16"/>
      <c r="AH58" s="16"/>
      <c r="AI58" s="16" t="s">
        <v>2346</v>
      </c>
      <c r="AJ58" s="16"/>
      <c r="AK58" s="16"/>
      <c r="AL58" s="16"/>
      <c r="AM58" s="16"/>
      <c r="AN58" s="16"/>
      <c r="AO58" s="16"/>
      <c r="AP58" s="16" t="s">
        <v>368</v>
      </c>
      <c r="AR58" s="88" t="s">
        <v>369</v>
      </c>
      <c r="AS58" s="88" t="s">
        <v>369</v>
      </c>
      <c r="AU58" s="12" t="s">
        <v>1930</v>
      </c>
      <c r="AV58" s="19" t="s">
        <v>2347</v>
      </c>
      <c r="AW58" s="39" t="s">
        <v>2940</v>
      </c>
      <c r="AY58" s="33"/>
      <c r="AZ58" s="33"/>
      <c r="BA58" s="33"/>
    </row>
    <row r="59" spans="1:53" ht="12" customHeight="1" x14ac:dyDescent="0.2">
      <c r="A59" s="10" t="s">
        <v>2332</v>
      </c>
      <c r="B59" s="39">
        <v>1056</v>
      </c>
      <c r="C59" s="42" t="s">
        <v>3030</v>
      </c>
      <c r="D59" s="10" t="s">
        <v>77</v>
      </c>
      <c r="E59" s="14" t="s">
        <v>0</v>
      </c>
      <c r="F59" s="1" t="s">
        <v>396</v>
      </c>
      <c r="G59" s="1" t="s">
        <v>1303</v>
      </c>
      <c r="H59" s="1" t="b">
        <v>1</v>
      </c>
      <c r="I59" s="1">
        <v>56</v>
      </c>
      <c r="J59" s="1"/>
      <c r="K59" s="1"/>
      <c r="L59" s="1"/>
      <c r="M59" s="1"/>
      <c r="O59" s="16" t="s">
        <v>367</v>
      </c>
      <c r="P59" s="1">
        <v>1</v>
      </c>
      <c r="Q59" s="15"/>
      <c r="R59" s="15"/>
      <c r="S59" s="15"/>
      <c r="T59" s="15"/>
      <c r="U59" s="15"/>
      <c r="V59" s="1"/>
      <c r="W59" s="1">
        <v>486</v>
      </c>
      <c r="X59" s="1">
        <f t="shared" si="11"/>
        <v>486</v>
      </c>
      <c r="Y59" s="15"/>
      <c r="Z59" s="15"/>
      <c r="AA59" s="15"/>
      <c r="AB59" s="17"/>
      <c r="AC59" s="82"/>
      <c r="AD59" s="16" t="s">
        <v>52</v>
      </c>
      <c r="AE59" s="16" t="s">
        <v>52</v>
      </c>
      <c r="AF59" s="16"/>
      <c r="AG59" s="16"/>
      <c r="AH59" s="16"/>
      <c r="AI59" s="16">
        <v>11056</v>
      </c>
      <c r="AJ59" s="16"/>
      <c r="AK59" s="16"/>
      <c r="AL59" s="16"/>
      <c r="AM59" s="16"/>
      <c r="AN59" s="16"/>
      <c r="AO59" s="16"/>
      <c r="AP59" s="16" t="s">
        <v>368</v>
      </c>
      <c r="AR59" s="88" t="s">
        <v>369</v>
      </c>
      <c r="AS59" s="88" t="s">
        <v>369</v>
      </c>
      <c r="AU59" s="12" t="s">
        <v>1930</v>
      </c>
      <c r="AV59" s="19" t="s">
        <v>2333</v>
      </c>
      <c r="AW59" s="39" t="s">
        <v>2940</v>
      </c>
      <c r="AY59" s="33"/>
      <c r="AZ59" s="33"/>
      <c r="BA59" s="33"/>
    </row>
    <row r="60" spans="1:53" ht="12" customHeight="1" x14ac:dyDescent="0.2">
      <c r="A60" s="10" t="s">
        <v>2307</v>
      </c>
      <c r="B60" s="39">
        <v>1057</v>
      </c>
      <c r="C60" s="42" t="s">
        <v>3031</v>
      </c>
      <c r="D60" s="10" t="s">
        <v>77</v>
      </c>
      <c r="E60" s="14" t="s">
        <v>0</v>
      </c>
      <c r="F60" s="1" t="s">
        <v>395</v>
      </c>
      <c r="G60" s="1" t="s">
        <v>1303</v>
      </c>
      <c r="H60" s="1" t="b">
        <v>1</v>
      </c>
      <c r="I60" s="1">
        <v>57</v>
      </c>
      <c r="J60" s="1"/>
      <c r="K60" s="1"/>
      <c r="L60" s="1"/>
      <c r="M60" s="1"/>
      <c r="O60" s="16" t="s">
        <v>367</v>
      </c>
      <c r="P60" s="1">
        <v>1</v>
      </c>
      <c r="Q60" s="15"/>
      <c r="R60" s="15"/>
      <c r="S60" s="15"/>
      <c r="T60" s="15"/>
      <c r="U60" s="15"/>
      <c r="V60" s="1"/>
      <c r="W60" s="1">
        <v>510</v>
      </c>
      <c r="X60" s="1">
        <f>W60</f>
        <v>510</v>
      </c>
      <c r="Y60" s="15"/>
      <c r="Z60" s="15"/>
      <c r="AA60" s="15"/>
      <c r="AB60" s="17"/>
      <c r="AC60" s="82"/>
      <c r="AD60" s="16" t="s">
        <v>52</v>
      </c>
      <c r="AE60" s="16" t="s">
        <v>52</v>
      </c>
      <c r="AF60" s="16"/>
      <c r="AG60" s="16"/>
      <c r="AH60" s="16"/>
      <c r="AI60" s="16" t="s">
        <v>2315</v>
      </c>
      <c r="AJ60" s="16"/>
      <c r="AK60" s="16"/>
      <c r="AL60" s="16"/>
      <c r="AM60" s="16"/>
      <c r="AN60" s="16"/>
      <c r="AO60" s="16"/>
      <c r="AP60" s="16" t="s">
        <v>368</v>
      </c>
      <c r="AR60" s="88" t="s">
        <v>369</v>
      </c>
      <c r="AS60" s="88" t="s">
        <v>369</v>
      </c>
      <c r="AU60" s="12" t="s">
        <v>1930</v>
      </c>
      <c r="AV60" s="19" t="s">
        <v>2486</v>
      </c>
      <c r="AW60" s="39" t="s">
        <v>2940</v>
      </c>
      <c r="AY60" s="33"/>
      <c r="AZ60" s="33"/>
      <c r="BA60" s="33"/>
    </row>
    <row r="61" spans="1:53" ht="12" customHeight="1" x14ac:dyDescent="0.2">
      <c r="A61" s="10" t="s">
        <v>2308</v>
      </c>
      <c r="B61" s="39">
        <v>1058</v>
      </c>
      <c r="C61" s="42" t="s">
        <v>3032</v>
      </c>
      <c r="D61" s="10" t="s">
        <v>77</v>
      </c>
      <c r="E61" s="14" t="s">
        <v>0</v>
      </c>
      <c r="F61" s="1" t="s">
        <v>396</v>
      </c>
      <c r="G61" s="1" t="s">
        <v>1303</v>
      </c>
      <c r="H61" s="1" t="b">
        <v>1</v>
      </c>
      <c r="I61" s="1">
        <v>58</v>
      </c>
      <c r="J61" s="1"/>
      <c r="K61" s="1"/>
      <c r="L61" s="1"/>
      <c r="M61" s="1"/>
      <c r="O61" s="16" t="s">
        <v>367</v>
      </c>
      <c r="P61" s="1">
        <v>1</v>
      </c>
      <c r="Q61" s="15"/>
      <c r="R61" s="15"/>
      <c r="S61" s="15"/>
      <c r="T61" s="15"/>
      <c r="U61" s="15"/>
      <c r="V61" s="1"/>
      <c r="W61" s="1">
        <v>486</v>
      </c>
      <c r="X61" s="1">
        <f t="shared" ref="X61:X64" si="12">W61</f>
        <v>486</v>
      </c>
      <c r="Y61" s="15"/>
      <c r="Z61" s="15"/>
      <c r="AA61" s="15"/>
      <c r="AB61" s="17"/>
      <c r="AC61" s="82"/>
      <c r="AD61" s="16" t="s">
        <v>52</v>
      </c>
      <c r="AE61" s="16" t="s">
        <v>52</v>
      </c>
      <c r="AF61" s="16"/>
      <c r="AG61" s="16"/>
      <c r="AH61" s="16"/>
      <c r="AI61" s="16" t="s">
        <v>2319</v>
      </c>
      <c r="AJ61" s="16"/>
      <c r="AK61" s="16"/>
      <c r="AL61" s="16"/>
      <c r="AM61" s="16"/>
      <c r="AN61" s="16"/>
      <c r="AO61" s="16"/>
      <c r="AP61" s="16" t="s">
        <v>368</v>
      </c>
      <c r="AR61" s="88" t="s">
        <v>369</v>
      </c>
      <c r="AS61" s="88" t="s">
        <v>369</v>
      </c>
      <c r="AU61" s="12" t="s">
        <v>1930</v>
      </c>
      <c r="AV61" s="19" t="s">
        <v>1812</v>
      </c>
      <c r="AW61" s="39" t="s">
        <v>2940</v>
      </c>
      <c r="AY61" s="33"/>
      <c r="AZ61" s="33"/>
      <c r="BA61" s="33"/>
    </row>
    <row r="62" spans="1:53" ht="12" customHeight="1" x14ac:dyDescent="0.2">
      <c r="A62" s="10" t="s">
        <v>2362</v>
      </c>
      <c r="B62" s="39">
        <v>1059</v>
      </c>
      <c r="C62" s="42" t="s">
        <v>3033</v>
      </c>
      <c r="D62" s="10" t="s">
        <v>77</v>
      </c>
      <c r="E62" s="14" t="s">
        <v>0</v>
      </c>
      <c r="F62" s="1" t="s">
        <v>394</v>
      </c>
      <c r="G62" s="1" t="s">
        <v>1303</v>
      </c>
      <c r="H62" s="1" t="b">
        <v>1</v>
      </c>
      <c r="I62" s="1">
        <v>59</v>
      </c>
      <c r="J62" s="1"/>
      <c r="K62" s="1"/>
      <c r="L62" s="1"/>
      <c r="M62" s="1"/>
      <c r="O62" s="16" t="s">
        <v>367</v>
      </c>
      <c r="P62" s="1">
        <v>1</v>
      </c>
      <c r="Q62" s="15"/>
      <c r="R62" s="15"/>
      <c r="S62" s="15"/>
      <c r="T62" s="15"/>
      <c r="U62" s="15"/>
      <c r="V62" s="1"/>
      <c r="W62" s="1">
        <v>510</v>
      </c>
      <c r="X62" s="1">
        <f t="shared" si="12"/>
        <v>510</v>
      </c>
      <c r="Y62" s="15"/>
      <c r="Z62" s="15"/>
      <c r="AA62" s="15"/>
      <c r="AB62" s="17"/>
      <c r="AC62" s="82"/>
      <c r="AD62" s="16" t="s">
        <v>52</v>
      </c>
      <c r="AE62" s="16" t="s">
        <v>52</v>
      </c>
      <c r="AF62" s="16"/>
      <c r="AG62" s="16"/>
      <c r="AH62" s="16"/>
      <c r="AI62" s="16">
        <v>11059</v>
      </c>
      <c r="AJ62" s="16"/>
      <c r="AK62" s="16"/>
      <c r="AL62" s="16"/>
      <c r="AM62" s="16"/>
      <c r="AN62" s="16"/>
      <c r="AO62" s="16"/>
      <c r="AP62" s="16" t="s">
        <v>368</v>
      </c>
      <c r="AR62" s="88" t="s">
        <v>369</v>
      </c>
      <c r="AS62" s="88" t="s">
        <v>369</v>
      </c>
      <c r="AU62" s="12" t="s">
        <v>1930</v>
      </c>
      <c r="AV62" s="19" t="s">
        <v>2364</v>
      </c>
      <c r="AW62" s="39" t="s">
        <v>2940</v>
      </c>
      <c r="AY62" s="33"/>
      <c r="AZ62" s="33"/>
      <c r="BA62" s="33"/>
    </row>
    <row r="63" spans="1:53" ht="12" customHeight="1" x14ac:dyDescent="0.2">
      <c r="A63" s="10" t="s">
        <v>2363</v>
      </c>
      <c r="B63" s="39">
        <v>1060</v>
      </c>
      <c r="C63" s="42" t="s">
        <v>3034</v>
      </c>
      <c r="D63" s="10" t="s">
        <v>77</v>
      </c>
      <c r="E63" s="14" t="s">
        <v>0</v>
      </c>
      <c r="F63" s="1" t="s">
        <v>91</v>
      </c>
      <c r="G63" s="1" t="s">
        <v>1303</v>
      </c>
      <c r="H63" s="1" t="b">
        <v>1</v>
      </c>
      <c r="I63" s="1">
        <v>60</v>
      </c>
      <c r="J63" s="1"/>
      <c r="K63" s="1"/>
      <c r="L63" s="1"/>
      <c r="M63" s="1"/>
      <c r="O63" s="16" t="s">
        <v>367</v>
      </c>
      <c r="P63" s="1">
        <v>1</v>
      </c>
      <c r="Q63" s="15"/>
      <c r="R63" s="15"/>
      <c r="S63" s="15"/>
      <c r="T63" s="15"/>
      <c r="U63" s="15"/>
      <c r="V63" s="1"/>
      <c r="W63" s="1">
        <v>499</v>
      </c>
      <c r="X63" s="1">
        <f t="shared" si="12"/>
        <v>499</v>
      </c>
      <c r="Y63" s="15"/>
      <c r="Z63" s="15"/>
      <c r="AA63" s="15"/>
      <c r="AB63" s="17"/>
      <c r="AC63" s="82"/>
      <c r="AD63" s="16" t="s">
        <v>52</v>
      </c>
      <c r="AE63" s="16" t="s">
        <v>52</v>
      </c>
      <c r="AF63" s="16"/>
      <c r="AG63" s="16"/>
      <c r="AH63" s="16"/>
      <c r="AI63" s="16">
        <v>11060</v>
      </c>
      <c r="AJ63" s="16"/>
      <c r="AK63" s="16"/>
      <c r="AL63" s="16"/>
      <c r="AM63" s="16"/>
      <c r="AN63" s="16"/>
      <c r="AO63" s="16"/>
      <c r="AP63" s="16" t="s">
        <v>368</v>
      </c>
      <c r="AR63" s="88" t="s">
        <v>369</v>
      </c>
      <c r="AS63" s="88" t="s">
        <v>369</v>
      </c>
      <c r="AU63" s="12" t="s">
        <v>1930</v>
      </c>
      <c r="AV63" s="19" t="s">
        <v>2365</v>
      </c>
      <c r="AW63" s="39" t="s">
        <v>2940</v>
      </c>
      <c r="AY63" s="33"/>
      <c r="AZ63" s="33"/>
      <c r="BA63" s="33"/>
    </row>
    <row r="64" spans="1:53" ht="12" customHeight="1" x14ac:dyDescent="0.2">
      <c r="A64" s="10" t="s">
        <v>2334</v>
      </c>
      <c r="B64" s="39">
        <v>1061</v>
      </c>
      <c r="C64" s="42" t="s">
        <v>3035</v>
      </c>
      <c r="D64" s="10" t="s">
        <v>77</v>
      </c>
      <c r="E64" s="14" t="s">
        <v>0</v>
      </c>
      <c r="F64" s="1" t="s">
        <v>88</v>
      </c>
      <c r="G64" s="1" t="s">
        <v>1303</v>
      </c>
      <c r="H64" s="1" t="b">
        <v>1</v>
      </c>
      <c r="I64" s="1">
        <v>61</v>
      </c>
      <c r="J64" s="1"/>
      <c r="K64" s="1"/>
      <c r="L64" s="1"/>
      <c r="M64" s="1"/>
      <c r="O64" s="16" t="s">
        <v>367</v>
      </c>
      <c r="P64" s="1">
        <v>1</v>
      </c>
      <c r="Q64" s="15"/>
      <c r="R64" s="15"/>
      <c r="S64" s="15"/>
      <c r="T64" s="15"/>
      <c r="U64" s="15"/>
      <c r="V64" s="1"/>
      <c r="W64" s="1">
        <v>390</v>
      </c>
      <c r="X64" s="1">
        <f t="shared" si="12"/>
        <v>390</v>
      </c>
      <c r="Y64" s="15"/>
      <c r="Z64" s="15"/>
      <c r="AA64" s="15"/>
      <c r="AB64" s="17"/>
      <c r="AC64" s="82"/>
      <c r="AD64" s="16" t="s">
        <v>52</v>
      </c>
      <c r="AE64" s="16" t="s">
        <v>52</v>
      </c>
      <c r="AF64" s="16"/>
      <c r="AG64" s="16"/>
      <c r="AH64" s="16"/>
      <c r="AI64" s="16">
        <v>11061</v>
      </c>
      <c r="AJ64" s="16"/>
      <c r="AK64" s="16"/>
      <c r="AL64" s="16"/>
      <c r="AM64" s="16"/>
      <c r="AN64" s="16"/>
      <c r="AO64" s="16"/>
      <c r="AP64" s="16" t="s">
        <v>368</v>
      </c>
      <c r="AR64" s="88" t="s">
        <v>369</v>
      </c>
      <c r="AS64" s="88" t="s">
        <v>369</v>
      </c>
      <c r="AU64" s="12" t="s">
        <v>1930</v>
      </c>
      <c r="AV64" s="19" t="s">
        <v>2335</v>
      </c>
      <c r="AW64" s="39" t="s">
        <v>2940</v>
      </c>
      <c r="AY64" s="33"/>
      <c r="AZ64" s="33"/>
      <c r="BA64" s="33"/>
    </row>
    <row r="65" spans="1:53" ht="12" customHeight="1" x14ac:dyDescent="0.2">
      <c r="A65" s="10" t="s">
        <v>1815</v>
      </c>
      <c r="B65" s="39">
        <v>1062</v>
      </c>
      <c r="C65" s="42" t="s">
        <v>3036</v>
      </c>
      <c r="D65" s="10" t="s">
        <v>77</v>
      </c>
      <c r="E65" s="14" t="s">
        <v>0</v>
      </c>
      <c r="F65" s="1" t="s">
        <v>89</v>
      </c>
      <c r="G65" s="1" t="s">
        <v>1303</v>
      </c>
      <c r="H65" s="1" t="b">
        <v>1</v>
      </c>
      <c r="I65" s="1">
        <v>62</v>
      </c>
      <c r="J65" s="1"/>
      <c r="K65" s="1"/>
      <c r="L65" s="1"/>
      <c r="M65" s="1"/>
      <c r="O65" s="16" t="s">
        <v>367</v>
      </c>
      <c r="P65" s="1">
        <v>1</v>
      </c>
      <c r="Q65" s="15"/>
      <c r="R65" s="15"/>
      <c r="S65" s="15"/>
      <c r="T65" s="15"/>
      <c r="U65" s="15"/>
      <c r="V65" s="1"/>
      <c r="W65" s="1">
        <v>442</v>
      </c>
      <c r="X65" s="1">
        <f t="shared" si="7"/>
        <v>442</v>
      </c>
      <c r="Y65" s="15"/>
      <c r="Z65" s="15"/>
      <c r="AA65" s="15"/>
      <c r="AB65" s="17"/>
      <c r="AC65" s="82"/>
      <c r="AD65" s="16" t="s">
        <v>52</v>
      </c>
      <c r="AE65" s="16" t="s">
        <v>52</v>
      </c>
      <c r="AF65" s="16"/>
      <c r="AG65" s="16"/>
      <c r="AH65" s="16"/>
      <c r="AI65" s="16" t="s">
        <v>1810</v>
      </c>
      <c r="AJ65" s="16"/>
      <c r="AK65" s="16"/>
      <c r="AL65" s="16"/>
      <c r="AM65" s="16"/>
      <c r="AN65" s="16"/>
      <c r="AO65" s="16"/>
      <c r="AP65" s="16" t="s">
        <v>368</v>
      </c>
      <c r="AR65" s="88" t="s">
        <v>369</v>
      </c>
      <c r="AS65" s="88" t="s">
        <v>369</v>
      </c>
      <c r="AU65" s="12" t="s">
        <v>1930</v>
      </c>
      <c r="AV65" s="19" t="s">
        <v>1915</v>
      </c>
      <c r="AW65" s="39" t="s">
        <v>2940</v>
      </c>
      <c r="AY65" s="33"/>
      <c r="AZ65" s="33"/>
      <c r="BA65" s="33"/>
    </row>
    <row r="66" spans="1:53" ht="12" customHeight="1" x14ac:dyDescent="0.2">
      <c r="A66" s="10" t="s">
        <v>1814</v>
      </c>
      <c r="B66" s="39">
        <v>1063</v>
      </c>
      <c r="C66" s="42" t="s">
        <v>3037</v>
      </c>
      <c r="D66" s="10" t="s">
        <v>77</v>
      </c>
      <c r="E66" s="14" t="s">
        <v>0</v>
      </c>
      <c r="F66" s="1" t="s">
        <v>400</v>
      </c>
      <c r="G66" s="1" t="s">
        <v>1303</v>
      </c>
      <c r="H66" s="1" t="b">
        <v>1</v>
      </c>
      <c r="I66" s="1">
        <v>63</v>
      </c>
      <c r="J66" s="1"/>
      <c r="K66" s="1"/>
      <c r="L66" s="1"/>
      <c r="M66" s="1"/>
      <c r="O66" s="16" t="s">
        <v>367</v>
      </c>
      <c r="P66" s="1">
        <v>1</v>
      </c>
      <c r="Q66" s="15"/>
      <c r="R66" s="15"/>
      <c r="S66" s="15"/>
      <c r="T66" s="15"/>
      <c r="U66" s="15"/>
      <c r="V66" s="1"/>
      <c r="W66" s="1">
        <v>390</v>
      </c>
      <c r="X66" s="1">
        <f t="shared" si="7"/>
        <v>390</v>
      </c>
      <c r="Y66" s="15"/>
      <c r="Z66" s="15"/>
      <c r="AA66" s="15"/>
      <c r="AB66" s="17"/>
      <c r="AC66" s="82"/>
      <c r="AD66" s="16" t="s">
        <v>52</v>
      </c>
      <c r="AE66" s="16" t="s">
        <v>52</v>
      </c>
      <c r="AF66" s="16"/>
      <c r="AG66" s="16"/>
      <c r="AH66" s="16"/>
      <c r="AI66" s="16" t="s">
        <v>1809</v>
      </c>
      <c r="AJ66" s="16"/>
      <c r="AK66" s="16"/>
      <c r="AL66" s="16"/>
      <c r="AM66" s="16"/>
      <c r="AN66" s="16"/>
      <c r="AO66" s="16"/>
      <c r="AP66" s="16" t="s">
        <v>368</v>
      </c>
      <c r="AR66" s="88" t="s">
        <v>369</v>
      </c>
      <c r="AS66" s="88" t="s">
        <v>369</v>
      </c>
      <c r="AU66" s="12" t="s">
        <v>1930</v>
      </c>
      <c r="AV66" s="19" t="s">
        <v>1811</v>
      </c>
      <c r="AW66" s="39" t="s">
        <v>2940</v>
      </c>
      <c r="AY66" s="33"/>
      <c r="AZ66" s="33"/>
      <c r="BA66" s="33"/>
    </row>
    <row r="67" spans="1:53" ht="12" customHeight="1" x14ac:dyDescent="0.2">
      <c r="A67" s="10" t="s">
        <v>1796</v>
      </c>
      <c r="B67" s="39">
        <v>1064</v>
      </c>
      <c r="C67" s="42" t="s">
        <v>3038</v>
      </c>
      <c r="D67" s="10" t="s">
        <v>77</v>
      </c>
      <c r="E67" s="14" t="s">
        <v>0</v>
      </c>
      <c r="F67" s="1" t="s">
        <v>395</v>
      </c>
      <c r="G67" s="1" t="s">
        <v>1303</v>
      </c>
      <c r="H67" s="1" t="b">
        <v>1</v>
      </c>
      <c r="I67" s="1">
        <v>64</v>
      </c>
      <c r="J67" s="1"/>
      <c r="K67" s="1"/>
      <c r="L67" s="1"/>
      <c r="M67" s="1"/>
      <c r="O67" s="16" t="s">
        <v>367</v>
      </c>
      <c r="P67" s="1">
        <v>1</v>
      </c>
      <c r="Q67" s="15"/>
      <c r="R67" s="15"/>
      <c r="S67" s="15"/>
      <c r="T67" s="15"/>
      <c r="U67" s="15"/>
      <c r="V67" s="1"/>
      <c r="W67" s="1">
        <v>510</v>
      </c>
      <c r="X67" s="1">
        <f>W67</f>
        <v>510</v>
      </c>
      <c r="Y67" s="15"/>
      <c r="Z67" s="15"/>
      <c r="AA67" s="15"/>
      <c r="AB67" s="17"/>
      <c r="AC67" s="82"/>
      <c r="AD67" s="16" t="s">
        <v>52</v>
      </c>
      <c r="AE67" s="16" t="s">
        <v>52</v>
      </c>
      <c r="AF67" s="16"/>
      <c r="AG67" s="16"/>
      <c r="AH67" s="16"/>
      <c r="AI67" s="16" t="s">
        <v>1797</v>
      </c>
      <c r="AJ67" s="16"/>
      <c r="AK67" s="16"/>
      <c r="AL67" s="16"/>
      <c r="AM67" s="16"/>
      <c r="AN67" s="16"/>
      <c r="AO67" s="16"/>
      <c r="AP67" s="16" t="s">
        <v>368</v>
      </c>
      <c r="AR67" s="88" t="s">
        <v>369</v>
      </c>
      <c r="AS67" s="88" t="s">
        <v>369</v>
      </c>
      <c r="AU67" s="12" t="s">
        <v>1930</v>
      </c>
      <c r="AV67" s="19" t="s">
        <v>1798</v>
      </c>
      <c r="AW67" s="39" t="s">
        <v>2940</v>
      </c>
      <c r="AY67" s="33"/>
      <c r="AZ67" s="33"/>
      <c r="BA67" s="33"/>
    </row>
    <row r="68" spans="1:53" ht="12" customHeight="1" x14ac:dyDescent="0.2">
      <c r="A68" s="10" t="s">
        <v>1813</v>
      </c>
      <c r="B68" s="39">
        <v>1065</v>
      </c>
      <c r="C68" s="42" t="s">
        <v>3039</v>
      </c>
      <c r="D68" s="10" t="s">
        <v>77</v>
      </c>
      <c r="E68" s="14" t="s">
        <v>0</v>
      </c>
      <c r="F68" s="1" t="s">
        <v>1787</v>
      </c>
      <c r="G68" s="1" t="s">
        <v>1303</v>
      </c>
      <c r="H68" s="1" t="b">
        <v>1</v>
      </c>
      <c r="I68" s="1">
        <v>65</v>
      </c>
      <c r="J68" s="1"/>
      <c r="K68" s="1"/>
      <c r="L68" s="1"/>
      <c r="M68" s="1"/>
      <c r="O68" s="16" t="s">
        <v>367</v>
      </c>
      <c r="P68" s="1">
        <v>1</v>
      </c>
      <c r="Q68" s="15"/>
      <c r="R68" s="15"/>
      <c r="S68" s="15"/>
      <c r="T68" s="15"/>
      <c r="U68" s="15"/>
      <c r="V68" s="1"/>
      <c r="W68" s="1">
        <v>486</v>
      </c>
      <c r="X68" s="1">
        <f t="shared" ref="X68:X92" si="13">W68</f>
        <v>486</v>
      </c>
      <c r="Y68" s="15"/>
      <c r="Z68" s="15"/>
      <c r="AA68" s="15"/>
      <c r="AB68" s="17"/>
      <c r="AC68" s="82"/>
      <c r="AD68" s="16" t="s">
        <v>52</v>
      </c>
      <c r="AE68" s="16" t="s">
        <v>52</v>
      </c>
      <c r="AF68" s="16"/>
      <c r="AG68" s="16"/>
      <c r="AH68" s="16"/>
      <c r="AI68" s="16" t="s">
        <v>1808</v>
      </c>
      <c r="AJ68" s="16"/>
      <c r="AK68" s="16"/>
      <c r="AL68" s="16"/>
      <c r="AM68" s="16"/>
      <c r="AN68" s="16"/>
      <c r="AO68" s="16"/>
      <c r="AP68" s="16" t="s">
        <v>368</v>
      </c>
      <c r="AR68" s="88" t="s">
        <v>369</v>
      </c>
      <c r="AS68" s="88" t="s">
        <v>369</v>
      </c>
      <c r="AU68" s="12" t="s">
        <v>1930</v>
      </c>
      <c r="AV68" s="19" t="s">
        <v>1812</v>
      </c>
      <c r="AW68" s="39" t="s">
        <v>2940</v>
      </c>
      <c r="AY68" s="33"/>
      <c r="AZ68" s="33"/>
      <c r="BA68" s="33"/>
    </row>
    <row r="69" spans="1:53" ht="12" customHeight="1" x14ac:dyDescent="0.2">
      <c r="A69" s="10" t="s">
        <v>1910</v>
      </c>
      <c r="B69" s="39">
        <v>1066</v>
      </c>
      <c r="C69" s="42" t="s">
        <v>3040</v>
      </c>
      <c r="D69" s="10" t="s">
        <v>77</v>
      </c>
      <c r="E69" s="14" t="s">
        <v>0</v>
      </c>
      <c r="F69" s="1" t="s">
        <v>394</v>
      </c>
      <c r="G69" s="1" t="s">
        <v>1303</v>
      </c>
      <c r="H69" s="1" t="b">
        <v>1</v>
      </c>
      <c r="I69" s="1">
        <v>66</v>
      </c>
      <c r="J69" s="1"/>
      <c r="K69" s="1"/>
      <c r="L69" s="1"/>
      <c r="M69" s="1"/>
      <c r="O69" s="16" t="s">
        <v>367</v>
      </c>
      <c r="P69" s="1">
        <v>1</v>
      </c>
      <c r="Q69" s="15"/>
      <c r="R69" s="15"/>
      <c r="S69" s="15"/>
      <c r="T69" s="15"/>
      <c r="U69" s="15"/>
      <c r="V69" s="1"/>
      <c r="W69" s="1">
        <v>510</v>
      </c>
      <c r="X69" s="1">
        <f t="shared" si="13"/>
        <v>510</v>
      </c>
      <c r="Y69" s="15"/>
      <c r="Z69" s="15"/>
      <c r="AA69" s="15"/>
      <c r="AB69" s="17"/>
      <c r="AC69" s="82"/>
      <c r="AD69" s="16" t="s">
        <v>52</v>
      </c>
      <c r="AE69" s="16" t="s">
        <v>52</v>
      </c>
      <c r="AF69" s="16"/>
      <c r="AG69" s="16"/>
      <c r="AH69" s="16"/>
      <c r="AI69" s="16" t="s">
        <v>1918</v>
      </c>
      <c r="AJ69" s="16"/>
      <c r="AK69" s="16"/>
      <c r="AL69" s="16"/>
      <c r="AM69" s="16"/>
      <c r="AN69" s="16"/>
      <c r="AO69" s="16"/>
      <c r="AP69" s="16" t="s">
        <v>368</v>
      </c>
      <c r="AR69" s="88" t="s">
        <v>369</v>
      </c>
      <c r="AS69" s="88" t="s">
        <v>369</v>
      </c>
      <c r="AU69" s="12" t="s">
        <v>1930</v>
      </c>
      <c r="AV69" s="19" t="s">
        <v>1916</v>
      </c>
      <c r="AW69" s="39" t="s">
        <v>2940</v>
      </c>
      <c r="AY69" s="33"/>
      <c r="AZ69" s="33"/>
      <c r="BA69" s="33"/>
    </row>
    <row r="70" spans="1:53" ht="12" customHeight="1" x14ac:dyDescent="0.2">
      <c r="A70" s="10" t="s">
        <v>1960</v>
      </c>
      <c r="B70" s="39">
        <v>1067</v>
      </c>
      <c r="C70" s="42" t="s">
        <v>3041</v>
      </c>
      <c r="D70" s="10" t="s">
        <v>77</v>
      </c>
      <c r="E70" s="14" t="s">
        <v>0</v>
      </c>
      <c r="F70" s="1" t="s">
        <v>91</v>
      </c>
      <c r="G70" s="1" t="s">
        <v>1303</v>
      </c>
      <c r="H70" s="1" t="b">
        <v>1</v>
      </c>
      <c r="I70" s="1">
        <v>67</v>
      </c>
      <c r="J70" s="1"/>
      <c r="K70" s="1"/>
      <c r="L70" s="1"/>
      <c r="M70" s="1"/>
      <c r="O70" s="16" t="s">
        <v>367</v>
      </c>
      <c r="P70" s="1">
        <v>1</v>
      </c>
      <c r="Q70" s="15"/>
      <c r="R70" s="15"/>
      <c r="S70" s="15"/>
      <c r="T70" s="15"/>
      <c r="U70" s="15"/>
      <c r="V70" s="1"/>
      <c r="W70" s="1">
        <v>499</v>
      </c>
      <c r="X70" s="1">
        <f t="shared" si="13"/>
        <v>499</v>
      </c>
      <c r="Y70" s="15"/>
      <c r="Z70" s="15"/>
      <c r="AA70" s="15"/>
      <c r="AB70" s="17"/>
      <c r="AC70" s="82"/>
      <c r="AD70" s="16" t="s">
        <v>52</v>
      </c>
      <c r="AE70" s="16" t="s">
        <v>52</v>
      </c>
      <c r="AF70" s="16"/>
      <c r="AG70" s="16"/>
      <c r="AH70" s="16"/>
      <c r="AI70" s="16" t="s">
        <v>1961</v>
      </c>
      <c r="AJ70" s="16"/>
      <c r="AK70" s="16"/>
      <c r="AL70" s="16"/>
      <c r="AM70" s="16"/>
      <c r="AN70" s="16"/>
      <c r="AO70" s="16"/>
      <c r="AP70" s="16" t="s">
        <v>368</v>
      </c>
      <c r="AR70" s="88" t="s">
        <v>369</v>
      </c>
      <c r="AS70" s="88" t="s">
        <v>369</v>
      </c>
      <c r="AU70" s="12" t="s">
        <v>1930</v>
      </c>
      <c r="AV70" s="19" t="s">
        <v>1965</v>
      </c>
      <c r="AW70" s="39" t="s">
        <v>2940</v>
      </c>
      <c r="AY70" s="33"/>
      <c r="AZ70" s="33"/>
      <c r="BA70" s="33"/>
    </row>
    <row r="71" spans="1:53" ht="12" customHeight="1" x14ac:dyDescent="0.2">
      <c r="A71" s="10" t="s">
        <v>2469</v>
      </c>
      <c r="B71" s="39">
        <v>1068</v>
      </c>
      <c r="C71" s="42" t="s">
        <v>3042</v>
      </c>
      <c r="D71" s="10" t="s">
        <v>77</v>
      </c>
      <c r="E71" s="14" t="s">
        <v>0</v>
      </c>
      <c r="F71" s="1" t="s">
        <v>396</v>
      </c>
      <c r="G71" s="1" t="s">
        <v>1303</v>
      </c>
      <c r="H71" s="1" t="b">
        <v>1</v>
      </c>
      <c r="I71" s="1">
        <v>68</v>
      </c>
      <c r="J71" s="1"/>
      <c r="K71" s="1"/>
      <c r="L71" s="1"/>
      <c r="M71" s="1"/>
      <c r="O71" s="16" t="s">
        <v>367</v>
      </c>
      <c r="P71" s="1">
        <v>1</v>
      </c>
      <c r="Q71" s="15"/>
      <c r="R71" s="15"/>
      <c r="S71" s="15"/>
      <c r="T71" s="15"/>
      <c r="U71" s="15"/>
      <c r="V71" s="1"/>
      <c r="W71" s="1">
        <v>486</v>
      </c>
      <c r="X71" s="1">
        <f t="shared" si="13"/>
        <v>486</v>
      </c>
      <c r="Y71" s="15"/>
      <c r="Z71" s="15"/>
      <c r="AA71" s="15"/>
      <c r="AB71" s="17"/>
      <c r="AC71" s="82"/>
      <c r="AD71" s="16" t="s">
        <v>52</v>
      </c>
      <c r="AE71" s="16" t="s">
        <v>52</v>
      </c>
      <c r="AF71" s="16"/>
      <c r="AG71" s="16"/>
      <c r="AH71" s="16"/>
      <c r="AI71" s="16" t="s">
        <v>2470</v>
      </c>
      <c r="AJ71" s="16"/>
      <c r="AK71" s="16"/>
      <c r="AL71" s="16"/>
      <c r="AM71" s="16"/>
      <c r="AN71" s="16"/>
      <c r="AO71" s="16"/>
      <c r="AP71" s="16" t="s">
        <v>368</v>
      </c>
      <c r="AR71" s="88" t="s">
        <v>369</v>
      </c>
      <c r="AS71" s="88" t="s">
        <v>369</v>
      </c>
      <c r="AU71" s="12" t="s">
        <v>1930</v>
      </c>
      <c r="AV71" s="19" t="s">
        <v>2471</v>
      </c>
      <c r="AW71" s="39" t="s">
        <v>2940</v>
      </c>
      <c r="AY71" s="33"/>
      <c r="AZ71" s="33"/>
      <c r="BA71" s="33"/>
    </row>
    <row r="72" spans="1:53" ht="12" customHeight="1" x14ac:dyDescent="0.2">
      <c r="A72" s="10" t="s">
        <v>2484</v>
      </c>
      <c r="B72" s="39">
        <v>1069</v>
      </c>
      <c r="C72" s="42" t="s">
        <v>3043</v>
      </c>
      <c r="D72" s="10" t="s">
        <v>77</v>
      </c>
      <c r="E72" s="14" t="s">
        <v>0</v>
      </c>
      <c r="F72" s="1" t="s">
        <v>395</v>
      </c>
      <c r="G72" s="1" t="s">
        <v>1303</v>
      </c>
      <c r="H72" s="1" t="b">
        <v>1</v>
      </c>
      <c r="I72" s="1">
        <v>69</v>
      </c>
      <c r="J72" s="1"/>
      <c r="K72" s="1"/>
      <c r="L72" s="1"/>
      <c r="M72" s="1"/>
      <c r="O72" s="16" t="s">
        <v>367</v>
      </c>
      <c r="P72" s="1">
        <v>1</v>
      </c>
      <c r="Q72" s="15"/>
      <c r="R72" s="15"/>
      <c r="S72" s="15"/>
      <c r="T72" s="15"/>
      <c r="U72" s="15"/>
      <c r="V72" s="1"/>
      <c r="W72" s="1">
        <v>510</v>
      </c>
      <c r="X72" s="1">
        <f>W72</f>
        <v>510</v>
      </c>
      <c r="Y72" s="15"/>
      <c r="Z72" s="15"/>
      <c r="AA72" s="15"/>
      <c r="AB72" s="17"/>
      <c r="AC72" s="82"/>
      <c r="AD72" s="16" t="s">
        <v>52</v>
      </c>
      <c r="AE72" s="16" t="s">
        <v>52</v>
      </c>
      <c r="AF72" s="16"/>
      <c r="AG72" s="16"/>
      <c r="AH72" s="16"/>
      <c r="AI72" s="16">
        <v>11069</v>
      </c>
      <c r="AJ72" s="16"/>
      <c r="AK72" s="16"/>
      <c r="AL72" s="16"/>
      <c r="AM72" s="16"/>
      <c r="AN72" s="16"/>
      <c r="AO72" s="16"/>
      <c r="AP72" s="16" t="s">
        <v>368</v>
      </c>
      <c r="AR72" s="88" t="s">
        <v>369</v>
      </c>
      <c r="AS72" s="88" t="s">
        <v>369</v>
      </c>
      <c r="AU72" s="12" t="s">
        <v>1930</v>
      </c>
      <c r="AV72" s="19" t="s">
        <v>2485</v>
      </c>
      <c r="AW72" s="39" t="s">
        <v>2940</v>
      </c>
      <c r="AY72" s="33"/>
      <c r="AZ72" s="33"/>
      <c r="BA72" s="33"/>
    </row>
    <row r="73" spans="1:53" ht="12" customHeight="1" x14ac:dyDescent="0.2">
      <c r="A73" s="10" t="s">
        <v>2821</v>
      </c>
      <c r="B73" s="39">
        <v>1070</v>
      </c>
      <c r="C73" s="42" t="s">
        <v>3044</v>
      </c>
      <c r="D73" s="10" t="s">
        <v>77</v>
      </c>
      <c r="E73" s="14" t="s">
        <v>0</v>
      </c>
      <c r="F73" s="1" t="s">
        <v>91</v>
      </c>
      <c r="G73" s="1" t="s">
        <v>1303</v>
      </c>
      <c r="H73" s="1" t="b">
        <v>1</v>
      </c>
      <c r="I73" s="1">
        <v>70</v>
      </c>
      <c r="J73" s="1"/>
      <c r="K73" s="1"/>
      <c r="L73" s="1"/>
      <c r="M73" s="1"/>
      <c r="O73" s="16" t="s">
        <v>367</v>
      </c>
      <c r="P73" s="1">
        <v>1</v>
      </c>
      <c r="Q73" s="15"/>
      <c r="R73" s="15"/>
      <c r="S73" s="15"/>
      <c r="T73" s="15"/>
      <c r="U73" s="15"/>
      <c r="V73" s="1"/>
      <c r="W73" s="1">
        <v>499</v>
      </c>
      <c r="X73" s="1">
        <f t="shared" ref="X73:X74" si="14">W73</f>
        <v>499</v>
      </c>
      <c r="Y73" s="15"/>
      <c r="Z73" s="15"/>
      <c r="AA73" s="15"/>
      <c r="AB73" s="17"/>
      <c r="AC73" s="82"/>
      <c r="AD73" s="16" t="s">
        <v>52</v>
      </c>
      <c r="AE73" s="16" t="s">
        <v>52</v>
      </c>
      <c r="AF73" s="16"/>
      <c r="AG73" s="16"/>
      <c r="AH73" s="16"/>
      <c r="AI73" s="16" t="s">
        <v>2822</v>
      </c>
      <c r="AJ73" s="16"/>
      <c r="AK73" s="16"/>
      <c r="AL73" s="16"/>
      <c r="AM73" s="16"/>
      <c r="AN73" s="16"/>
      <c r="AO73" s="16"/>
      <c r="AP73" s="16" t="s">
        <v>368</v>
      </c>
      <c r="AR73" s="88" t="s">
        <v>369</v>
      </c>
      <c r="AS73" s="88" t="s">
        <v>369</v>
      </c>
      <c r="AU73" s="12" t="s">
        <v>1930</v>
      </c>
      <c r="AV73" s="19" t="s">
        <v>2823</v>
      </c>
      <c r="AW73" s="39" t="s">
        <v>2940</v>
      </c>
      <c r="AY73" s="33"/>
      <c r="AZ73" s="33"/>
      <c r="BA73" s="33"/>
    </row>
    <row r="74" spans="1:53" ht="12" customHeight="1" x14ac:dyDescent="0.2">
      <c r="A74" s="10" t="s">
        <v>2849</v>
      </c>
      <c r="B74" s="39">
        <v>1071</v>
      </c>
      <c r="C74" s="42" t="s">
        <v>3045</v>
      </c>
      <c r="D74" s="10" t="s">
        <v>77</v>
      </c>
      <c r="E74" s="14" t="s">
        <v>0</v>
      </c>
      <c r="F74" s="1" t="s">
        <v>89</v>
      </c>
      <c r="G74" s="1" t="s">
        <v>1303</v>
      </c>
      <c r="H74" s="1" t="b">
        <v>1</v>
      </c>
      <c r="I74" s="1">
        <v>71</v>
      </c>
      <c r="J74" s="1"/>
      <c r="K74" s="1"/>
      <c r="L74" s="1"/>
      <c r="M74" s="1"/>
      <c r="O74" s="16" t="s">
        <v>367</v>
      </c>
      <c r="P74" s="1">
        <v>1</v>
      </c>
      <c r="Q74" s="15"/>
      <c r="R74" s="15"/>
      <c r="S74" s="15"/>
      <c r="T74" s="15"/>
      <c r="U74" s="15"/>
      <c r="V74" s="1"/>
      <c r="W74" s="1">
        <v>442</v>
      </c>
      <c r="X74" s="1">
        <f t="shared" si="14"/>
        <v>442</v>
      </c>
      <c r="Y74" s="15"/>
      <c r="Z74" s="15"/>
      <c r="AA74" s="15"/>
      <c r="AB74" s="17"/>
      <c r="AC74" s="82"/>
      <c r="AD74" s="16" t="s">
        <v>52</v>
      </c>
      <c r="AE74" s="16" t="s">
        <v>52</v>
      </c>
      <c r="AF74" s="16"/>
      <c r="AG74" s="16"/>
      <c r="AH74" s="16"/>
      <c r="AI74" s="16" t="s">
        <v>2850</v>
      </c>
      <c r="AJ74" s="16"/>
      <c r="AK74" s="16"/>
      <c r="AL74" s="16"/>
      <c r="AM74" s="16"/>
      <c r="AN74" s="16"/>
      <c r="AO74" s="16"/>
      <c r="AP74" s="16" t="s">
        <v>368</v>
      </c>
      <c r="AR74" s="88" t="s">
        <v>369</v>
      </c>
      <c r="AS74" s="88" t="s">
        <v>369</v>
      </c>
      <c r="AU74" s="12" t="s">
        <v>1930</v>
      </c>
      <c r="AV74" s="19" t="s">
        <v>2851</v>
      </c>
      <c r="AW74" s="39" t="s">
        <v>2940</v>
      </c>
      <c r="AY74" s="33"/>
      <c r="AZ74" s="33"/>
      <c r="BA74" s="33"/>
    </row>
    <row r="75" spans="1:53" ht="12" customHeight="1" x14ac:dyDescent="0.2">
      <c r="A75" s="10" t="s">
        <v>2904</v>
      </c>
      <c r="B75" s="39">
        <v>1072</v>
      </c>
      <c r="C75" s="42" t="s">
        <v>3046</v>
      </c>
      <c r="D75" s="10" t="s">
        <v>77</v>
      </c>
      <c r="E75" s="14" t="s">
        <v>0</v>
      </c>
      <c r="F75" s="1" t="s">
        <v>91</v>
      </c>
      <c r="G75" s="1" t="s">
        <v>1303</v>
      </c>
      <c r="H75" s="1" t="b">
        <v>1</v>
      </c>
      <c r="I75" s="1">
        <v>72</v>
      </c>
      <c r="J75" s="1"/>
      <c r="K75" s="1"/>
      <c r="L75" s="1"/>
      <c r="M75" s="1"/>
      <c r="O75" s="16" t="s">
        <v>367</v>
      </c>
      <c r="P75" s="1">
        <v>1</v>
      </c>
      <c r="Q75" s="15"/>
      <c r="R75" s="15"/>
      <c r="S75" s="15"/>
      <c r="T75" s="15"/>
      <c r="U75" s="15"/>
      <c r="V75" s="1"/>
      <c r="W75" s="1">
        <v>499</v>
      </c>
      <c r="X75" s="1">
        <f t="shared" ref="X75" si="15">W75</f>
        <v>499</v>
      </c>
      <c r="Y75" s="15"/>
      <c r="Z75" s="15"/>
      <c r="AA75" s="15"/>
      <c r="AB75" s="17"/>
      <c r="AC75" s="82"/>
      <c r="AD75" s="16" t="s">
        <v>52</v>
      </c>
      <c r="AE75" s="16" t="s">
        <v>52</v>
      </c>
      <c r="AF75" s="16"/>
      <c r="AG75" s="16"/>
      <c r="AH75" s="16"/>
      <c r="AI75" s="16" t="s">
        <v>2905</v>
      </c>
      <c r="AJ75" s="16"/>
      <c r="AK75" s="16"/>
      <c r="AL75" s="16"/>
      <c r="AM75" s="16"/>
      <c r="AN75" s="16"/>
      <c r="AO75" s="16"/>
      <c r="AP75" s="16" t="s">
        <v>368</v>
      </c>
      <c r="AR75" s="88" t="s">
        <v>369</v>
      </c>
      <c r="AS75" s="88" t="s">
        <v>369</v>
      </c>
      <c r="AU75" s="12" t="s">
        <v>1930</v>
      </c>
      <c r="AV75" s="19" t="s">
        <v>2906</v>
      </c>
      <c r="AW75" s="39" t="s">
        <v>2940</v>
      </c>
      <c r="AY75" s="33"/>
      <c r="AZ75" s="33"/>
      <c r="BA75" s="33"/>
    </row>
    <row r="76" spans="1:53" ht="12" customHeight="1" x14ac:dyDescent="0.2">
      <c r="A76" s="10" t="s">
        <v>1962</v>
      </c>
      <c r="B76" s="39">
        <v>1073</v>
      </c>
      <c r="C76" s="42" t="s">
        <v>3047</v>
      </c>
      <c r="D76" s="10" t="s">
        <v>77</v>
      </c>
      <c r="E76" s="14" t="s">
        <v>0</v>
      </c>
      <c r="F76" s="1" t="s">
        <v>1299</v>
      </c>
      <c r="G76" s="1" t="s">
        <v>1303</v>
      </c>
      <c r="H76" s="1" t="b">
        <v>1</v>
      </c>
      <c r="I76" s="1">
        <v>73</v>
      </c>
      <c r="J76" s="1"/>
      <c r="K76" s="1"/>
      <c r="L76" s="1"/>
      <c r="M76" s="1"/>
      <c r="O76" s="16" t="s">
        <v>367</v>
      </c>
      <c r="P76" s="1">
        <v>1</v>
      </c>
      <c r="Q76" s="15"/>
      <c r="R76" s="15"/>
      <c r="S76" s="15"/>
      <c r="T76" s="15"/>
      <c r="U76" s="15"/>
      <c r="V76" s="1"/>
      <c r="W76" s="1">
        <v>442</v>
      </c>
      <c r="X76" s="1">
        <f t="shared" si="13"/>
        <v>442</v>
      </c>
      <c r="Y76" s="15"/>
      <c r="Z76" s="15"/>
      <c r="AA76" s="15"/>
      <c r="AB76" s="17"/>
      <c r="AC76" s="82"/>
      <c r="AD76" s="16" t="s">
        <v>52</v>
      </c>
      <c r="AE76" s="16" t="s">
        <v>52</v>
      </c>
      <c r="AF76" s="16"/>
      <c r="AG76" s="16"/>
      <c r="AH76" s="16"/>
      <c r="AI76" s="16" t="s">
        <v>1963</v>
      </c>
      <c r="AJ76" s="16"/>
      <c r="AK76" s="16"/>
      <c r="AL76" s="16"/>
      <c r="AM76" s="16"/>
      <c r="AN76" s="16"/>
      <c r="AO76" s="16"/>
      <c r="AP76" s="16" t="s">
        <v>368</v>
      </c>
      <c r="AR76" s="88" t="s">
        <v>369</v>
      </c>
      <c r="AS76" s="88" t="s">
        <v>369</v>
      </c>
      <c r="AU76" s="12" t="s">
        <v>1930</v>
      </c>
      <c r="AV76" s="19" t="s">
        <v>1964</v>
      </c>
      <c r="AW76" s="39" t="s">
        <v>2940</v>
      </c>
      <c r="AY76" s="33"/>
      <c r="AZ76" s="33"/>
      <c r="BA76" s="33"/>
    </row>
    <row r="77" spans="1:53" ht="12" customHeight="1" x14ac:dyDescent="0.2">
      <c r="A77" s="10" t="s">
        <v>2914</v>
      </c>
      <c r="B77" s="39">
        <v>1074</v>
      </c>
      <c r="C77" s="42" t="e">
        <v>#N/A</v>
      </c>
      <c r="D77" s="10" t="s">
        <v>77</v>
      </c>
      <c r="E77" s="14" t="s">
        <v>0</v>
      </c>
      <c r="F77" s="1" t="s">
        <v>396</v>
      </c>
      <c r="G77" s="1" t="s">
        <v>1303</v>
      </c>
      <c r="H77" s="1" t="b">
        <v>1</v>
      </c>
      <c r="I77" s="1">
        <v>74</v>
      </c>
      <c r="J77" s="1"/>
      <c r="K77" s="1"/>
      <c r="L77" s="1"/>
      <c r="M77" s="1"/>
      <c r="O77" s="16" t="s">
        <v>367</v>
      </c>
      <c r="P77" s="1">
        <v>1</v>
      </c>
      <c r="Q77" s="15"/>
      <c r="R77" s="15"/>
      <c r="S77" s="15"/>
      <c r="T77" s="15"/>
      <c r="U77" s="15"/>
      <c r="V77" s="1"/>
      <c r="W77" s="1">
        <v>486</v>
      </c>
      <c r="X77" s="1">
        <f t="shared" ref="X77" si="16">W77</f>
        <v>486</v>
      </c>
      <c r="Y77" s="15"/>
      <c r="Z77" s="15"/>
      <c r="AA77" s="15"/>
      <c r="AB77" s="17"/>
      <c r="AC77" s="82"/>
      <c r="AD77" s="16" t="s">
        <v>52</v>
      </c>
      <c r="AE77" s="16" t="s">
        <v>52</v>
      </c>
      <c r="AF77" s="16"/>
      <c r="AG77" s="16"/>
      <c r="AH77" s="16"/>
      <c r="AI77" s="16" t="s">
        <v>2916</v>
      </c>
      <c r="AJ77" s="16"/>
      <c r="AK77" s="16"/>
      <c r="AL77" s="16"/>
      <c r="AM77" s="16"/>
      <c r="AN77" s="16"/>
      <c r="AO77" s="16"/>
      <c r="AP77" s="16" t="s">
        <v>368</v>
      </c>
      <c r="AR77" s="88" t="s">
        <v>369</v>
      </c>
      <c r="AS77" s="88" t="s">
        <v>369</v>
      </c>
      <c r="AU77" s="12" t="s">
        <v>1930</v>
      </c>
      <c r="AV77" s="19" t="s">
        <v>2915</v>
      </c>
      <c r="AW77" s="39" t="s">
        <v>2940</v>
      </c>
      <c r="AY77" s="33"/>
      <c r="AZ77" s="33"/>
      <c r="BA77" s="33"/>
    </row>
    <row r="78" spans="1:53" ht="12" customHeight="1" x14ac:dyDescent="0.2">
      <c r="A78" s="10" t="s">
        <v>2836</v>
      </c>
      <c r="B78" s="39">
        <v>1075</v>
      </c>
      <c r="C78" s="42" t="s">
        <v>3048</v>
      </c>
      <c r="D78" s="10" t="s">
        <v>77</v>
      </c>
      <c r="E78" s="14" t="s">
        <v>0</v>
      </c>
      <c r="F78" s="1" t="s">
        <v>395</v>
      </c>
      <c r="G78" s="1" t="s">
        <v>1303</v>
      </c>
      <c r="H78" s="1" t="b">
        <v>1</v>
      </c>
      <c r="I78" s="1">
        <v>75</v>
      </c>
      <c r="J78" s="1"/>
      <c r="K78" s="1"/>
      <c r="L78" s="1"/>
      <c r="M78" s="1"/>
      <c r="O78" s="16" t="s">
        <v>367</v>
      </c>
      <c r="P78" s="1">
        <v>1</v>
      </c>
      <c r="Q78" s="15"/>
      <c r="R78" s="15"/>
      <c r="S78" s="15"/>
      <c r="T78" s="15"/>
      <c r="U78" s="15"/>
      <c r="V78" s="1"/>
      <c r="W78" s="1">
        <v>510</v>
      </c>
      <c r="X78" s="1">
        <f>W78</f>
        <v>510</v>
      </c>
      <c r="Y78" s="15"/>
      <c r="Z78" s="15"/>
      <c r="AA78" s="15"/>
      <c r="AB78" s="17"/>
      <c r="AC78" s="82"/>
      <c r="AD78" s="16" t="s">
        <v>52</v>
      </c>
      <c r="AE78" s="16" t="s">
        <v>52</v>
      </c>
      <c r="AF78" s="16"/>
      <c r="AG78" s="16"/>
      <c r="AH78" s="16"/>
      <c r="AI78" s="16" t="s">
        <v>2837</v>
      </c>
      <c r="AJ78" s="16"/>
      <c r="AK78" s="16"/>
      <c r="AL78" s="16"/>
      <c r="AM78" s="16"/>
      <c r="AN78" s="16"/>
      <c r="AO78" s="16"/>
      <c r="AP78" s="16" t="s">
        <v>368</v>
      </c>
      <c r="AR78" s="88" t="s">
        <v>369</v>
      </c>
      <c r="AS78" s="88" t="s">
        <v>369</v>
      </c>
      <c r="AU78" s="12" t="s">
        <v>1930</v>
      </c>
      <c r="AV78" s="19" t="s">
        <v>2835</v>
      </c>
      <c r="AW78" s="39" t="s">
        <v>2940</v>
      </c>
      <c r="AY78" s="33"/>
      <c r="AZ78" s="33"/>
      <c r="BA78" s="33"/>
    </row>
    <row r="79" spans="1:53" ht="12" customHeight="1" x14ac:dyDescent="0.2">
      <c r="A79" s="10" t="s">
        <v>2928</v>
      </c>
      <c r="B79" s="39">
        <v>1076</v>
      </c>
      <c r="C79" s="42" t="e">
        <v>#N/A</v>
      </c>
      <c r="D79" s="10" t="s">
        <v>77</v>
      </c>
      <c r="E79" s="14" t="s">
        <v>0</v>
      </c>
      <c r="F79" s="1" t="s">
        <v>88</v>
      </c>
      <c r="G79" s="1" t="s">
        <v>1303</v>
      </c>
      <c r="H79" s="1" t="b">
        <v>1</v>
      </c>
      <c r="I79" s="1">
        <v>76</v>
      </c>
      <c r="J79" s="1"/>
      <c r="K79" s="1"/>
      <c r="L79" s="1"/>
      <c r="M79" s="1"/>
      <c r="O79" s="16" t="s">
        <v>367</v>
      </c>
      <c r="P79" s="1">
        <v>1</v>
      </c>
      <c r="Q79" s="15"/>
      <c r="R79" s="15"/>
      <c r="S79" s="15"/>
      <c r="T79" s="15"/>
      <c r="U79" s="15"/>
      <c r="V79" s="1"/>
      <c r="W79" s="1">
        <v>390</v>
      </c>
      <c r="X79" s="1">
        <f t="shared" ref="X79" si="17">W79</f>
        <v>390</v>
      </c>
      <c r="Y79" s="15"/>
      <c r="Z79" s="15"/>
      <c r="AA79" s="15"/>
      <c r="AB79" s="17"/>
      <c r="AC79" s="82"/>
      <c r="AD79" s="16" t="s">
        <v>52</v>
      </c>
      <c r="AE79" s="16" t="s">
        <v>52</v>
      </c>
      <c r="AF79" s="16"/>
      <c r="AG79" s="16"/>
      <c r="AH79" s="16"/>
      <c r="AI79" s="16" t="s">
        <v>2929</v>
      </c>
      <c r="AJ79" s="16"/>
      <c r="AK79" s="16"/>
      <c r="AL79" s="16"/>
      <c r="AM79" s="16"/>
      <c r="AN79" s="16"/>
      <c r="AO79" s="16"/>
      <c r="AP79" s="16" t="s">
        <v>368</v>
      </c>
      <c r="AR79" s="88" t="s">
        <v>369</v>
      </c>
      <c r="AS79" s="88" t="s">
        <v>369</v>
      </c>
      <c r="AU79" s="12" t="s">
        <v>1930</v>
      </c>
      <c r="AV79" s="19" t="s">
        <v>2930</v>
      </c>
      <c r="AW79" s="39" t="s">
        <v>2940</v>
      </c>
      <c r="AY79" s="33"/>
      <c r="AZ79" s="33"/>
      <c r="BA79" s="33"/>
    </row>
    <row r="80" spans="1:53" ht="12" customHeight="1" x14ac:dyDescent="0.2">
      <c r="A80" s="10" t="s">
        <v>4369</v>
      </c>
      <c r="B80" s="39">
        <v>1077</v>
      </c>
      <c r="C80" s="42" t="e">
        <v>#N/A</v>
      </c>
      <c r="D80" s="10" t="s">
        <v>77</v>
      </c>
      <c r="E80" s="14" t="s">
        <v>0</v>
      </c>
      <c r="F80" s="1" t="s">
        <v>395</v>
      </c>
      <c r="G80" s="1" t="s">
        <v>1303</v>
      </c>
      <c r="H80" s="1" t="b">
        <v>1</v>
      </c>
      <c r="I80" s="1">
        <v>77</v>
      </c>
      <c r="J80" s="1"/>
      <c r="K80" s="1"/>
      <c r="L80" s="1"/>
      <c r="M80" s="1"/>
      <c r="O80" s="16" t="s">
        <v>367</v>
      </c>
      <c r="P80" s="1">
        <v>1</v>
      </c>
      <c r="Q80" s="15"/>
      <c r="R80" s="15"/>
      <c r="S80" s="15"/>
      <c r="T80" s="15"/>
      <c r="U80" s="15"/>
      <c r="V80" s="1"/>
      <c r="W80" s="1">
        <v>510</v>
      </c>
      <c r="X80" s="1">
        <f>W80</f>
        <v>510</v>
      </c>
      <c r="Y80" s="15"/>
      <c r="Z80" s="15"/>
      <c r="AA80" s="15"/>
      <c r="AB80" s="17"/>
      <c r="AC80" s="82"/>
      <c r="AD80" s="16" t="s">
        <v>52</v>
      </c>
      <c r="AE80" s="16" t="s">
        <v>52</v>
      </c>
      <c r="AF80" s="16"/>
      <c r="AG80" s="16"/>
      <c r="AH80" s="16"/>
      <c r="AI80" s="16" t="s">
        <v>4370</v>
      </c>
      <c r="AJ80" s="16"/>
      <c r="AK80" s="16"/>
      <c r="AL80" s="16"/>
      <c r="AM80" s="16"/>
      <c r="AN80" s="16"/>
      <c r="AO80" s="16"/>
      <c r="AP80" s="16" t="s">
        <v>368</v>
      </c>
      <c r="AR80" s="88" t="s">
        <v>369</v>
      </c>
      <c r="AS80" s="88" t="s">
        <v>369</v>
      </c>
      <c r="AU80" s="12" t="s">
        <v>1930</v>
      </c>
      <c r="AV80" s="19" t="s">
        <v>4371</v>
      </c>
      <c r="AW80" s="39" t="s">
        <v>2940</v>
      </c>
      <c r="AY80" s="33"/>
      <c r="AZ80" s="33"/>
      <c r="BA80" s="33"/>
    </row>
    <row r="81" spans="1:53" ht="12" customHeight="1" x14ac:dyDescent="0.2">
      <c r="A81" s="10" t="s">
        <v>2796</v>
      </c>
      <c r="B81" s="39">
        <v>1078</v>
      </c>
      <c r="C81" s="42" t="s">
        <v>3049</v>
      </c>
      <c r="D81" s="10" t="s">
        <v>77</v>
      </c>
      <c r="E81" s="14" t="s">
        <v>0</v>
      </c>
      <c r="F81" s="1" t="s">
        <v>89</v>
      </c>
      <c r="G81" s="1" t="s">
        <v>1303</v>
      </c>
      <c r="H81" s="1" t="b">
        <v>1</v>
      </c>
      <c r="I81" s="1">
        <v>78</v>
      </c>
      <c r="J81" s="1"/>
      <c r="K81" s="1"/>
      <c r="L81" s="1"/>
      <c r="M81" s="1"/>
      <c r="O81" s="16" t="s">
        <v>367</v>
      </c>
      <c r="P81" s="1">
        <v>1</v>
      </c>
      <c r="Q81" s="15"/>
      <c r="R81" s="15"/>
      <c r="S81" s="15"/>
      <c r="T81" s="15"/>
      <c r="U81" s="15"/>
      <c r="V81" s="1"/>
      <c r="W81" s="1">
        <v>442</v>
      </c>
      <c r="X81" s="1">
        <f t="shared" ref="X81:X89" si="18">W81</f>
        <v>442</v>
      </c>
      <c r="Y81" s="15"/>
      <c r="Z81" s="15"/>
      <c r="AA81" s="15"/>
      <c r="AB81" s="17"/>
      <c r="AC81" s="82"/>
      <c r="AD81" s="16" t="s">
        <v>52</v>
      </c>
      <c r="AE81" s="16" t="s">
        <v>52</v>
      </c>
      <c r="AF81" s="16"/>
      <c r="AG81" s="16"/>
      <c r="AH81" s="16"/>
      <c r="AI81" s="16" t="s">
        <v>2797</v>
      </c>
      <c r="AJ81" s="16"/>
      <c r="AK81" s="16"/>
      <c r="AL81" s="16"/>
      <c r="AM81" s="16"/>
      <c r="AN81" s="16"/>
      <c r="AO81" s="16"/>
      <c r="AP81" s="16" t="s">
        <v>368</v>
      </c>
      <c r="AR81" s="88" t="s">
        <v>369</v>
      </c>
      <c r="AS81" s="88" t="s">
        <v>369</v>
      </c>
      <c r="AU81" s="12" t="s">
        <v>1930</v>
      </c>
      <c r="AV81" s="19" t="s">
        <v>2798</v>
      </c>
      <c r="AW81" s="39" t="s">
        <v>2940</v>
      </c>
      <c r="AY81" s="33"/>
      <c r="AZ81" s="33"/>
      <c r="BA81" s="33"/>
    </row>
    <row r="82" spans="1:53" ht="12" customHeight="1" x14ac:dyDescent="0.2">
      <c r="A82" s="10" t="s">
        <v>4392</v>
      </c>
      <c r="B82" s="39">
        <v>1079</v>
      </c>
      <c r="C82" s="42" t="s">
        <v>4393</v>
      </c>
      <c r="D82" s="10" t="s">
        <v>77</v>
      </c>
      <c r="E82" s="14" t="s">
        <v>0</v>
      </c>
      <c r="F82" s="1" t="s">
        <v>394</v>
      </c>
      <c r="G82" s="1" t="s">
        <v>1303</v>
      </c>
      <c r="H82" s="1" t="b">
        <v>1</v>
      </c>
      <c r="I82" s="1">
        <v>79</v>
      </c>
      <c r="J82" s="1"/>
      <c r="K82" s="1"/>
      <c r="L82" s="1"/>
      <c r="M82" s="1"/>
      <c r="O82" s="16" t="s">
        <v>367</v>
      </c>
      <c r="P82" s="1">
        <v>1</v>
      </c>
      <c r="Q82" s="15"/>
      <c r="R82" s="15"/>
      <c r="S82" s="15"/>
      <c r="T82" s="15"/>
      <c r="U82" s="15"/>
      <c r="V82" s="1"/>
      <c r="W82" s="1">
        <v>510</v>
      </c>
      <c r="X82" s="1">
        <f t="shared" si="18"/>
        <v>510</v>
      </c>
      <c r="Y82" s="15"/>
      <c r="Z82" s="15"/>
      <c r="AA82" s="15"/>
      <c r="AB82" s="17"/>
      <c r="AC82" s="82"/>
      <c r="AD82" s="16" t="s">
        <v>52</v>
      </c>
      <c r="AE82" s="16" t="s">
        <v>52</v>
      </c>
      <c r="AF82" s="16"/>
      <c r="AG82" s="16"/>
      <c r="AH82" s="16"/>
      <c r="AI82" s="16" t="s">
        <v>4394</v>
      </c>
      <c r="AJ82" s="16"/>
      <c r="AK82" s="16"/>
      <c r="AL82" s="16"/>
      <c r="AM82" s="16"/>
      <c r="AN82" s="16"/>
      <c r="AO82" s="16"/>
      <c r="AP82" s="16" t="s">
        <v>368</v>
      </c>
      <c r="AR82" s="88" t="s">
        <v>369</v>
      </c>
      <c r="AS82" s="88" t="s">
        <v>369</v>
      </c>
      <c r="AU82" s="12" t="s">
        <v>1930</v>
      </c>
      <c r="AV82" s="19" t="s">
        <v>4395</v>
      </c>
      <c r="AW82" s="39" t="s">
        <v>2940</v>
      </c>
      <c r="AY82" s="33"/>
      <c r="AZ82" s="33"/>
      <c r="BA82" s="33"/>
    </row>
    <row r="83" spans="1:53" ht="12" customHeight="1" x14ac:dyDescent="0.2">
      <c r="A83" s="10" t="s">
        <v>5622</v>
      </c>
      <c r="B83" s="39">
        <v>1080</v>
      </c>
      <c r="D83" s="10" t="s">
        <v>77</v>
      </c>
      <c r="E83" s="14" t="s">
        <v>0</v>
      </c>
      <c r="F83" s="1" t="s">
        <v>88</v>
      </c>
      <c r="G83" s="1" t="s">
        <v>1303</v>
      </c>
      <c r="H83" s="1" t="b">
        <v>1</v>
      </c>
      <c r="I83" s="1">
        <v>80</v>
      </c>
      <c r="J83" s="1"/>
      <c r="K83" s="1"/>
      <c r="L83" s="1"/>
      <c r="M83" s="1"/>
      <c r="O83" s="16" t="s">
        <v>367</v>
      </c>
      <c r="P83" s="1">
        <v>1</v>
      </c>
      <c r="Q83" s="15"/>
      <c r="R83" s="15"/>
      <c r="S83" s="15"/>
      <c r="T83" s="15"/>
      <c r="U83" s="15"/>
      <c r="V83" s="1"/>
      <c r="W83" s="1">
        <v>390</v>
      </c>
      <c r="X83" s="1">
        <f t="shared" si="18"/>
        <v>390</v>
      </c>
      <c r="Y83" s="15"/>
      <c r="Z83" s="15"/>
      <c r="AA83" s="15"/>
      <c r="AB83" s="17"/>
      <c r="AC83" s="82"/>
      <c r="AD83" s="16" t="s">
        <v>52</v>
      </c>
      <c r="AE83" s="16" t="s">
        <v>52</v>
      </c>
      <c r="AF83" s="16"/>
      <c r="AG83" s="16"/>
      <c r="AH83" s="16"/>
      <c r="AI83" s="16" t="s">
        <v>5623</v>
      </c>
      <c r="AJ83" s="16"/>
      <c r="AK83" s="16"/>
      <c r="AL83" s="16"/>
      <c r="AM83" s="16"/>
      <c r="AN83" s="16"/>
      <c r="AO83" s="16"/>
      <c r="AP83" s="16" t="s">
        <v>368</v>
      </c>
      <c r="AR83" s="88" t="s">
        <v>369</v>
      </c>
      <c r="AS83" s="88" t="s">
        <v>369</v>
      </c>
      <c r="AU83" s="12" t="s">
        <v>1930</v>
      </c>
      <c r="AV83" s="19" t="s">
        <v>5624</v>
      </c>
      <c r="AW83" s="39" t="s">
        <v>2940</v>
      </c>
      <c r="AY83" s="33"/>
      <c r="AZ83" s="33"/>
      <c r="BA83" s="33"/>
    </row>
    <row r="84" spans="1:53" ht="12" customHeight="1" x14ac:dyDescent="0.2">
      <c r="A84" s="10" t="s">
        <v>4433</v>
      </c>
      <c r="B84" s="39">
        <v>1081</v>
      </c>
      <c r="C84" s="42" t="e">
        <v>#N/A</v>
      </c>
      <c r="D84" s="10" t="s">
        <v>77</v>
      </c>
      <c r="E84" s="14" t="s">
        <v>0</v>
      </c>
      <c r="F84" s="1" t="s">
        <v>89</v>
      </c>
      <c r="G84" s="1" t="s">
        <v>1303</v>
      </c>
      <c r="H84" s="1" t="b">
        <v>1</v>
      </c>
      <c r="I84" s="1">
        <v>81</v>
      </c>
      <c r="J84" s="1"/>
      <c r="K84" s="1"/>
      <c r="L84" s="1"/>
      <c r="M84" s="1"/>
      <c r="O84" s="16" t="s">
        <v>367</v>
      </c>
      <c r="P84" s="1">
        <v>1</v>
      </c>
      <c r="Q84" s="15"/>
      <c r="R84" s="15"/>
      <c r="S84" s="15"/>
      <c r="T84" s="15"/>
      <c r="U84" s="15"/>
      <c r="V84" s="1"/>
      <c r="W84" s="1">
        <v>442</v>
      </c>
      <c r="X84" s="1">
        <f t="shared" ref="X84" si="19">W84</f>
        <v>442</v>
      </c>
      <c r="Y84" s="15"/>
      <c r="Z84" s="15"/>
      <c r="AA84" s="15"/>
      <c r="AB84" s="17"/>
      <c r="AC84" s="82"/>
      <c r="AD84" s="16" t="s">
        <v>52</v>
      </c>
      <c r="AE84" s="16" t="s">
        <v>52</v>
      </c>
      <c r="AF84" s="16"/>
      <c r="AG84" s="16"/>
      <c r="AH84" s="16"/>
      <c r="AI84" s="16" t="s">
        <v>4434</v>
      </c>
      <c r="AJ84" s="16"/>
      <c r="AK84" s="16"/>
      <c r="AL84" s="16"/>
      <c r="AM84" s="16"/>
      <c r="AN84" s="16"/>
      <c r="AO84" s="16"/>
      <c r="AP84" s="16" t="s">
        <v>368</v>
      </c>
      <c r="AR84" s="88" t="s">
        <v>369</v>
      </c>
      <c r="AS84" s="88" t="s">
        <v>369</v>
      </c>
      <c r="AU84" s="12" t="s">
        <v>1930</v>
      </c>
      <c r="AV84" s="19" t="s">
        <v>4435</v>
      </c>
      <c r="AW84" s="39" t="s">
        <v>2940</v>
      </c>
      <c r="AY84" s="33"/>
      <c r="AZ84" s="33"/>
      <c r="BA84" s="33"/>
    </row>
    <row r="85" spans="1:53" ht="12" customHeight="1" x14ac:dyDescent="0.2">
      <c r="A85" s="10" t="s">
        <v>5388</v>
      </c>
      <c r="B85" s="39">
        <v>1082</v>
      </c>
      <c r="C85" s="42" t="s">
        <v>5390</v>
      </c>
      <c r="D85" s="10" t="s">
        <v>77</v>
      </c>
      <c r="E85" s="14" t="s">
        <v>0</v>
      </c>
      <c r="F85" s="1" t="s">
        <v>395</v>
      </c>
      <c r="G85" s="1" t="s">
        <v>1303</v>
      </c>
      <c r="H85" s="1" t="b">
        <v>1</v>
      </c>
      <c r="I85" s="1">
        <v>82</v>
      </c>
      <c r="J85" s="1"/>
      <c r="K85" s="1"/>
      <c r="L85" s="1"/>
      <c r="M85" s="1"/>
      <c r="O85" s="16" t="s">
        <v>367</v>
      </c>
      <c r="P85" s="1">
        <v>1</v>
      </c>
      <c r="Q85" s="15"/>
      <c r="R85" s="15"/>
      <c r="S85" s="15"/>
      <c r="T85" s="15"/>
      <c r="U85" s="15"/>
      <c r="V85" s="1"/>
      <c r="W85" s="1">
        <v>510</v>
      </c>
      <c r="X85" s="1">
        <f>W85</f>
        <v>510</v>
      </c>
      <c r="Y85" s="15"/>
      <c r="Z85" s="15"/>
      <c r="AA85" s="15"/>
      <c r="AB85" s="17"/>
      <c r="AC85" s="82"/>
      <c r="AD85" s="16" t="s">
        <v>52</v>
      </c>
      <c r="AE85" s="16" t="s">
        <v>52</v>
      </c>
      <c r="AF85" s="16"/>
      <c r="AG85" s="16"/>
      <c r="AH85" s="16"/>
      <c r="AI85" s="16">
        <v>11082</v>
      </c>
      <c r="AJ85" s="16"/>
      <c r="AK85" s="16"/>
      <c r="AL85" s="16"/>
      <c r="AM85" s="16"/>
      <c r="AN85" s="16"/>
      <c r="AO85" s="16"/>
      <c r="AP85" s="16" t="s">
        <v>368</v>
      </c>
      <c r="AR85" s="88" t="s">
        <v>369</v>
      </c>
      <c r="AS85" s="88" t="s">
        <v>369</v>
      </c>
      <c r="AU85" s="12" t="s">
        <v>1930</v>
      </c>
      <c r="AV85" s="19" t="s">
        <v>5389</v>
      </c>
      <c r="AW85" s="39" t="s">
        <v>2940</v>
      </c>
      <c r="AY85" s="33"/>
      <c r="AZ85" s="33"/>
      <c r="BA85" s="33"/>
    </row>
    <row r="86" spans="1:53" ht="12" customHeight="1" x14ac:dyDescent="0.2">
      <c r="A86" s="10" t="s">
        <v>5560</v>
      </c>
      <c r="B86" s="39">
        <v>1083</v>
      </c>
      <c r="C86" s="42" t="e">
        <v>#N/A</v>
      </c>
      <c r="D86" s="10" t="s">
        <v>77</v>
      </c>
      <c r="E86" s="14" t="s">
        <v>0</v>
      </c>
      <c r="F86" s="1" t="s">
        <v>89</v>
      </c>
      <c r="G86" s="1" t="s">
        <v>1303</v>
      </c>
      <c r="H86" s="1" t="b">
        <v>1</v>
      </c>
      <c r="I86" s="1">
        <v>83</v>
      </c>
      <c r="J86" s="1"/>
      <c r="K86" s="1"/>
      <c r="L86" s="1"/>
      <c r="M86" s="1"/>
      <c r="O86" s="16" t="s">
        <v>367</v>
      </c>
      <c r="P86" s="1">
        <v>1</v>
      </c>
      <c r="Q86" s="15"/>
      <c r="R86" s="15"/>
      <c r="S86" s="15"/>
      <c r="T86" s="15"/>
      <c r="U86" s="15"/>
      <c r="V86" s="1"/>
      <c r="W86" s="1">
        <v>442</v>
      </c>
      <c r="X86" s="1">
        <f t="shared" ref="X86" si="20">W86</f>
        <v>442</v>
      </c>
      <c r="Y86" s="15"/>
      <c r="Z86" s="15"/>
      <c r="AA86" s="15"/>
      <c r="AB86" s="17"/>
      <c r="AC86" s="82"/>
      <c r="AD86" s="16" t="s">
        <v>52</v>
      </c>
      <c r="AE86" s="16" t="s">
        <v>52</v>
      </c>
      <c r="AF86" s="16"/>
      <c r="AG86" s="16"/>
      <c r="AH86" s="16"/>
      <c r="AI86" s="16">
        <v>11083</v>
      </c>
      <c r="AJ86" s="16"/>
      <c r="AK86" s="16"/>
      <c r="AL86" s="16"/>
      <c r="AM86" s="16"/>
      <c r="AN86" s="16"/>
      <c r="AO86" s="16"/>
      <c r="AP86" s="16" t="s">
        <v>368</v>
      </c>
      <c r="AR86" s="88" t="s">
        <v>369</v>
      </c>
      <c r="AS86" s="88" t="s">
        <v>369</v>
      </c>
      <c r="AU86" s="12" t="s">
        <v>1930</v>
      </c>
      <c r="AV86" s="19" t="s">
        <v>5561</v>
      </c>
      <c r="AW86" s="39" t="s">
        <v>2940</v>
      </c>
      <c r="AY86" s="33"/>
      <c r="AZ86" s="33"/>
      <c r="BA86" s="33"/>
    </row>
    <row r="87" spans="1:53" ht="12" customHeight="1" x14ac:dyDescent="0.2">
      <c r="A87" s="10" t="s">
        <v>4410</v>
      </c>
      <c r="B87" s="39">
        <v>1084</v>
      </c>
      <c r="C87" s="42" t="e">
        <v>#N/A</v>
      </c>
      <c r="D87" s="10" t="s">
        <v>77</v>
      </c>
      <c r="E87" s="14" t="s">
        <v>0</v>
      </c>
      <c r="F87" s="1" t="s">
        <v>89</v>
      </c>
      <c r="G87" s="1" t="s">
        <v>1303</v>
      </c>
      <c r="H87" s="1" t="b">
        <v>1</v>
      </c>
      <c r="I87" s="1">
        <v>84</v>
      </c>
      <c r="J87" s="1"/>
      <c r="K87" s="1"/>
      <c r="L87" s="1"/>
      <c r="M87" s="1"/>
      <c r="O87" s="16" t="s">
        <v>367</v>
      </c>
      <c r="P87" s="1">
        <v>1</v>
      </c>
      <c r="Q87" s="15"/>
      <c r="R87" s="15"/>
      <c r="S87" s="15"/>
      <c r="T87" s="15"/>
      <c r="U87" s="15"/>
      <c r="V87" s="1"/>
      <c r="W87" s="1">
        <v>442</v>
      </c>
      <c r="X87" s="1">
        <f t="shared" si="18"/>
        <v>442</v>
      </c>
      <c r="Y87" s="15"/>
      <c r="Z87" s="15"/>
      <c r="AA87" s="15"/>
      <c r="AB87" s="17"/>
      <c r="AC87" s="82"/>
      <c r="AD87" s="16" t="s">
        <v>52</v>
      </c>
      <c r="AE87" s="16" t="s">
        <v>52</v>
      </c>
      <c r="AF87" s="16"/>
      <c r="AG87" s="16"/>
      <c r="AH87" s="16"/>
      <c r="AI87" s="16" t="s">
        <v>4411</v>
      </c>
      <c r="AJ87" s="16"/>
      <c r="AK87" s="16"/>
      <c r="AL87" s="16"/>
      <c r="AM87" s="16"/>
      <c r="AN87" s="16"/>
      <c r="AO87" s="16"/>
      <c r="AP87" s="16" t="s">
        <v>368</v>
      </c>
      <c r="AR87" s="88" t="s">
        <v>369</v>
      </c>
      <c r="AS87" s="88" t="s">
        <v>369</v>
      </c>
      <c r="AU87" s="12" t="s">
        <v>1930</v>
      </c>
      <c r="AV87" s="19" t="s">
        <v>4412</v>
      </c>
      <c r="AW87" s="39" t="s">
        <v>2940</v>
      </c>
      <c r="AY87" s="33"/>
      <c r="AZ87" s="33"/>
      <c r="BA87" s="33"/>
    </row>
    <row r="88" spans="1:53" ht="12" customHeight="1" x14ac:dyDescent="0.2">
      <c r="A88" s="10" t="s">
        <v>4421</v>
      </c>
      <c r="B88" s="39">
        <v>1085</v>
      </c>
      <c r="C88" s="42" t="s">
        <v>4422</v>
      </c>
      <c r="D88" s="10" t="s">
        <v>77</v>
      </c>
      <c r="E88" s="14" t="s">
        <v>0</v>
      </c>
      <c r="F88" s="1" t="s">
        <v>394</v>
      </c>
      <c r="G88" s="1" t="s">
        <v>1303</v>
      </c>
      <c r="H88" s="1" t="b">
        <v>1</v>
      </c>
      <c r="I88" s="1">
        <v>85</v>
      </c>
      <c r="J88" s="1"/>
      <c r="K88" s="1"/>
      <c r="L88" s="1"/>
      <c r="M88" s="1"/>
      <c r="O88" s="16" t="s">
        <v>367</v>
      </c>
      <c r="P88" s="1">
        <v>1</v>
      </c>
      <c r="Q88" s="15"/>
      <c r="R88" s="15"/>
      <c r="S88" s="15"/>
      <c r="T88" s="15"/>
      <c r="U88" s="15"/>
      <c r="V88" s="1"/>
      <c r="W88" s="1">
        <v>510</v>
      </c>
      <c r="X88" s="1">
        <f t="shared" si="18"/>
        <v>510</v>
      </c>
      <c r="Y88" s="15"/>
      <c r="Z88" s="15"/>
      <c r="AA88" s="15"/>
      <c r="AB88" s="17"/>
      <c r="AC88" s="82"/>
      <c r="AD88" s="16" t="s">
        <v>52</v>
      </c>
      <c r="AE88" s="16" t="s">
        <v>52</v>
      </c>
      <c r="AF88" s="16"/>
      <c r="AG88" s="16"/>
      <c r="AH88" s="16"/>
      <c r="AI88" s="16" t="s">
        <v>4423</v>
      </c>
      <c r="AJ88" s="16"/>
      <c r="AK88" s="16"/>
      <c r="AL88" s="16"/>
      <c r="AM88" s="16"/>
      <c r="AN88" s="16"/>
      <c r="AO88" s="16"/>
      <c r="AP88" s="16" t="s">
        <v>368</v>
      </c>
      <c r="AR88" s="88" t="s">
        <v>369</v>
      </c>
      <c r="AS88" s="88" t="s">
        <v>369</v>
      </c>
      <c r="AU88" s="12" t="s">
        <v>1930</v>
      </c>
      <c r="AV88" s="19" t="s">
        <v>4424</v>
      </c>
      <c r="AW88" s="39" t="s">
        <v>2940</v>
      </c>
      <c r="AY88" s="33"/>
      <c r="AZ88" s="33"/>
      <c r="BA88" s="33"/>
    </row>
    <row r="89" spans="1:53" ht="12" customHeight="1" x14ac:dyDescent="0.2">
      <c r="A89" s="10" t="s">
        <v>5566</v>
      </c>
      <c r="B89" s="39">
        <v>1086</v>
      </c>
      <c r="D89" s="10" t="s">
        <v>77</v>
      </c>
      <c r="E89" s="14" t="s">
        <v>0</v>
      </c>
      <c r="F89" s="1" t="s">
        <v>396</v>
      </c>
      <c r="G89" s="1" t="s">
        <v>1303</v>
      </c>
      <c r="H89" s="1" t="b">
        <v>1</v>
      </c>
      <c r="I89" s="1">
        <v>86</v>
      </c>
      <c r="J89" s="1"/>
      <c r="K89" s="1"/>
      <c r="L89" s="1"/>
      <c r="M89" s="1"/>
      <c r="O89" s="16" t="s">
        <v>367</v>
      </c>
      <c r="P89" s="1">
        <v>1</v>
      </c>
      <c r="Q89" s="15"/>
      <c r="R89" s="15"/>
      <c r="S89" s="15"/>
      <c r="T89" s="15"/>
      <c r="U89" s="15"/>
      <c r="V89" s="1"/>
      <c r="W89" s="1">
        <v>486</v>
      </c>
      <c r="X89" s="1">
        <f t="shared" si="18"/>
        <v>486</v>
      </c>
      <c r="Y89" s="15"/>
      <c r="Z89" s="15"/>
      <c r="AA89" s="15"/>
      <c r="AB89" s="17"/>
      <c r="AC89" s="82"/>
      <c r="AD89" s="16" t="s">
        <v>52</v>
      </c>
      <c r="AE89" s="16" t="s">
        <v>52</v>
      </c>
      <c r="AF89" s="16"/>
      <c r="AG89" s="16"/>
      <c r="AH89" s="16"/>
      <c r="AI89" s="16" t="s">
        <v>5567</v>
      </c>
      <c r="AJ89" s="16"/>
      <c r="AK89" s="16"/>
      <c r="AL89" s="16"/>
      <c r="AM89" s="16"/>
      <c r="AN89" s="16"/>
      <c r="AO89" s="16"/>
      <c r="AP89" s="16" t="s">
        <v>368</v>
      </c>
      <c r="AR89" s="88" t="s">
        <v>369</v>
      </c>
      <c r="AS89" s="88" t="s">
        <v>369</v>
      </c>
      <c r="AU89" s="12" t="s">
        <v>1930</v>
      </c>
      <c r="AV89" s="19" t="s">
        <v>5568</v>
      </c>
      <c r="AW89" s="39" t="s">
        <v>2940</v>
      </c>
      <c r="AY89" s="33"/>
      <c r="AZ89" s="33"/>
      <c r="BA89" s="33"/>
    </row>
    <row r="90" spans="1:53" ht="12" customHeight="1" x14ac:dyDescent="0.2">
      <c r="A90" s="10" t="s">
        <v>2579</v>
      </c>
      <c r="B90" s="39">
        <v>1087</v>
      </c>
      <c r="C90" s="42" t="s">
        <v>3050</v>
      </c>
      <c r="D90" s="10" t="s">
        <v>77</v>
      </c>
      <c r="E90" s="14" t="s">
        <v>0</v>
      </c>
      <c r="F90" s="1" t="s">
        <v>88</v>
      </c>
      <c r="G90" s="1" t="s">
        <v>1303</v>
      </c>
      <c r="H90" s="1" t="b">
        <v>1</v>
      </c>
      <c r="I90" s="1">
        <v>87</v>
      </c>
      <c r="J90" s="1"/>
      <c r="K90" s="1"/>
      <c r="L90" s="1"/>
      <c r="M90" s="1"/>
      <c r="O90" s="16" t="s">
        <v>367</v>
      </c>
      <c r="P90" s="1">
        <v>1</v>
      </c>
      <c r="Q90" s="15"/>
      <c r="R90" s="15"/>
      <c r="S90" s="15"/>
      <c r="T90" s="15"/>
      <c r="U90" s="15"/>
      <c r="V90" s="1"/>
      <c r="W90" s="1">
        <v>390</v>
      </c>
      <c r="X90" s="1">
        <f t="shared" si="13"/>
        <v>390</v>
      </c>
      <c r="Y90" s="15"/>
      <c r="Z90" s="15"/>
      <c r="AA90" s="15"/>
      <c r="AB90" s="17"/>
      <c r="AC90" s="82"/>
      <c r="AD90" s="16" t="s">
        <v>52</v>
      </c>
      <c r="AE90" s="16" t="s">
        <v>52</v>
      </c>
      <c r="AF90" s="16"/>
      <c r="AG90" s="16"/>
      <c r="AH90" s="16"/>
      <c r="AI90" s="16" t="s">
        <v>2580</v>
      </c>
      <c r="AJ90" s="16"/>
      <c r="AK90" s="16"/>
      <c r="AL90" s="16"/>
      <c r="AM90" s="16"/>
      <c r="AN90" s="16"/>
      <c r="AO90" s="16"/>
      <c r="AP90" s="16" t="s">
        <v>368</v>
      </c>
      <c r="AR90" s="88" t="s">
        <v>369</v>
      </c>
      <c r="AS90" s="88" t="s">
        <v>369</v>
      </c>
      <c r="AU90" s="12" t="s">
        <v>1930</v>
      </c>
      <c r="AV90" s="19" t="s">
        <v>2581</v>
      </c>
      <c r="AW90" s="39" t="s">
        <v>2940</v>
      </c>
      <c r="AY90" s="33"/>
      <c r="AZ90" s="33"/>
      <c r="BA90" s="33"/>
    </row>
    <row r="91" spans="1:53" ht="12" customHeight="1" x14ac:dyDescent="0.2">
      <c r="A91" s="10" t="s">
        <v>5579</v>
      </c>
      <c r="B91" s="39">
        <v>1088</v>
      </c>
      <c r="D91" s="10" t="s">
        <v>77</v>
      </c>
      <c r="E91" s="14" t="s">
        <v>0</v>
      </c>
      <c r="F91" s="1" t="s">
        <v>89</v>
      </c>
      <c r="G91" s="1" t="s">
        <v>1303</v>
      </c>
      <c r="H91" s="1" t="b">
        <v>1</v>
      </c>
      <c r="I91" s="1">
        <v>88</v>
      </c>
      <c r="J91" s="1"/>
      <c r="K91" s="1"/>
      <c r="L91" s="1"/>
      <c r="M91" s="1"/>
      <c r="O91" s="16" t="s">
        <v>367</v>
      </c>
      <c r="P91" s="1">
        <v>1</v>
      </c>
      <c r="Q91" s="15"/>
      <c r="R91" s="15"/>
      <c r="S91" s="15"/>
      <c r="T91" s="15"/>
      <c r="U91" s="15"/>
      <c r="V91" s="1"/>
      <c r="W91" s="1">
        <v>442</v>
      </c>
      <c r="X91" s="1">
        <f t="shared" si="13"/>
        <v>442</v>
      </c>
      <c r="Y91" s="15"/>
      <c r="Z91" s="15"/>
      <c r="AA91" s="15"/>
      <c r="AB91" s="17"/>
      <c r="AC91" s="82"/>
      <c r="AD91" s="16" t="s">
        <v>52</v>
      </c>
      <c r="AE91" s="16" t="s">
        <v>52</v>
      </c>
      <c r="AF91" s="16"/>
      <c r="AG91" s="16"/>
      <c r="AH91" s="16"/>
      <c r="AI91" s="16" t="s">
        <v>5581</v>
      </c>
      <c r="AJ91" s="16"/>
      <c r="AK91" s="16"/>
      <c r="AL91" s="16"/>
      <c r="AM91" s="16"/>
      <c r="AN91" s="16"/>
      <c r="AO91" s="16"/>
      <c r="AP91" s="16" t="s">
        <v>368</v>
      </c>
      <c r="AR91" s="88" t="s">
        <v>369</v>
      </c>
      <c r="AS91" s="88" t="s">
        <v>369</v>
      </c>
      <c r="AU91" s="12" t="s">
        <v>1930</v>
      </c>
      <c r="AV91" s="19" t="s">
        <v>5583</v>
      </c>
      <c r="AW91" s="39" t="s">
        <v>2940</v>
      </c>
      <c r="AY91" s="33"/>
      <c r="AZ91" s="33"/>
      <c r="BA91" s="33"/>
    </row>
    <row r="92" spans="1:53" ht="12" customHeight="1" x14ac:dyDescent="0.2">
      <c r="A92" s="10" t="s">
        <v>5580</v>
      </c>
      <c r="B92" s="39">
        <v>1089</v>
      </c>
      <c r="D92" s="10" t="s">
        <v>77</v>
      </c>
      <c r="E92" s="14" t="s">
        <v>0</v>
      </c>
      <c r="F92" s="1" t="s">
        <v>396</v>
      </c>
      <c r="G92" s="1" t="s">
        <v>1303</v>
      </c>
      <c r="H92" s="1" t="b">
        <v>1</v>
      </c>
      <c r="I92" s="1">
        <v>89</v>
      </c>
      <c r="J92" s="1"/>
      <c r="K92" s="1"/>
      <c r="L92" s="1"/>
      <c r="M92" s="1"/>
      <c r="O92" s="16" t="s">
        <v>367</v>
      </c>
      <c r="P92" s="1">
        <v>1</v>
      </c>
      <c r="Q92" s="15"/>
      <c r="R92" s="15"/>
      <c r="S92" s="15"/>
      <c r="T92" s="15"/>
      <c r="U92" s="15"/>
      <c r="V92" s="1"/>
      <c r="W92" s="1">
        <v>486</v>
      </c>
      <c r="X92" s="1">
        <f t="shared" si="13"/>
        <v>486</v>
      </c>
      <c r="Y92" s="15"/>
      <c r="Z92" s="15"/>
      <c r="AA92" s="15"/>
      <c r="AB92" s="17"/>
      <c r="AC92" s="82"/>
      <c r="AD92" s="16" t="s">
        <v>52</v>
      </c>
      <c r="AE92" s="16" t="s">
        <v>52</v>
      </c>
      <c r="AF92" s="16"/>
      <c r="AG92" s="16"/>
      <c r="AH92" s="16"/>
      <c r="AI92" s="16" t="s">
        <v>5582</v>
      </c>
      <c r="AJ92" s="16"/>
      <c r="AK92" s="16"/>
      <c r="AL92" s="16"/>
      <c r="AM92" s="16"/>
      <c r="AN92" s="16"/>
      <c r="AO92" s="16"/>
      <c r="AP92" s="16" t="s">
        <v>368</v>
      </c>
      <c r="AR92" s="88" t="s">
        <v>369</v>
      </c>
      <c r="AS92" s="88" t="s">
        <v>369</v>
      </c>
      <c r="AU92" s="12" t="s">
        <v>1930</v>
      </c>
      <c r="AV92" s="19" t="s">
        <v>5584</v>
      </c>
      <c r="AW92" s="39" t="s">
        <v>2940</v>
      </c>
      <c r="AY92" s="33"/>
      <c r="AZ92" s="33"/>
      <c r="BA92" s="33"/>
    </row>
    <row r="93" spans="1:53" ht="12" customHeight="1" x14ac:dyDescent="0.2">
      <c r="A93" s="10" t="s">
        <v>1763</v>
      </c>
      <c r="B93" s="39">
        <v>1090</v>
      </c>
      <c r="C93" s="42" t="s">
        <v>3051</v>
      </c>
      <c r="D93" s="10" t="s">
        <v>77</v>
      </c>
      <c r="E93" s="14" t="s">
        <v>0</v>
      </c>
      <c r="F93" s="1" t="s">
        <v>394</v>
      </c>
      <c r="G93" s="1" t="s">
        <v>1303</v>
      </c>
      <c r="H93" s="1" t="b">
        <v>1</v>
      </c>
      <c r="I93" s="1">
        <v>90</v>
      </c>
      <c r="J93" s="1"/>
      <c r="K93" s="1"/>
      <c r="L93" s="1"/>
      <c r="M93" s="1"/>
      <c r="O93" s="16" t="s">
        <v>367</v>
      </c>
      <c r="P93" s="1">
        <v>1</v>
      </c>
      <c r="Q93" s="15"/>
      <c r="R93" s="15"/>
      <c r="S93" s="15"/>
      <c r="T93" s="15"/>
      <c r="U93" s="15"/>
      <c r="V93" s="1"/>
      <c r="W93" s="1">
        <v>510</v>
      </c>
      <c r="X93" s="1">
        <f t="shared" ref="X93:X94" si="21">W93</f>
        <v>510</v>
      </c>
      <c r="Y93" s="15"/>
      <c r="Z93" s="15"/>
      <c r="AA93" s="15"/>
      <c r="AB93" s="17"/>
      <c r="AC93" s="82"/>
      <c r="AD93" s="16" t="s">
        <v>52</v>
      </c>
      <c r="AE93" s="16" t="s">
        <v>52</v>
      </c>
      <c r="AF93" s="16"/>
      <c r="AG93" s="16"/>
      <c r="AH93" s="16"/>
      <c r="AI93" s="16" t="s">
        <v>1748</v>
      </c>
      <c r="AJ93" s="16"/>
      <c r="AK93" s="16"/>
      <c r="AL93" s="16"/>
      <c r="AM93" s="16"/>
      <c r="AN93" s="16"/>
      <c r="AO93" s="16"/>
      <c r="AP93" s="16" t="s">
        <v>368</v>
      </c>
      <c r="AR93" s="88" t="s">
        <v>369</v>
      </c>
      <c r="AS93" s="88" t="s">
        <v>369</v>
      </c>
      <c r="AU93" s="12" t="s">
        <v>1930</v>
      </c>
      <c r="AV93" s="19" t="s">
        <v>1749</v>
      </c>
      <c r="AW93" s="39" t="s">
        <v>2940</v>
      </c>
      <c r="AY93" s="33"/>
      <c r="AZ93" s="33"/>
      <c r="BA93" s="33"/>
    </row>
    <row r="94" spans="1:53" ht="12" customHeight="1" x14ac:dyDescent="0.2">
      <c r="A94" s="10" t="s">
        <v>1786</v>
      </c>
      <c r="B94" s="39">
        <v>1091</v>
      </c>
      <c r="C94" s="42" t="s">
        <v>3052</v>
      </c>
      <c r="D94" s="10" t="s">
        <v>77</v>
      </c>
      <c r="E94" s="14" t="s">
        <v>0</v>
      </c>
      <c r="F94" s="1" t="s">
        <v>1787</v>
      </c>
      <c r="G94" s="1" t="s">
        <v>1303</v>
      </c>
      <c r="H94" s="1" t="b">
        <v>1</v>
      </c>
      <c r="I94" s="1">
        <v>91</v>
      </c>
      <c r="J94" s="1"/>
      <c r="K94" s="1"/>
      <c r="L94" s="1"/>
      <c r="M94" s="1"/>
      <c r="O94" s="16" t="s">
        <v>367</v>
      </c>
      <c r="P94" s="1">
        <v>1</v>
      </c>
      <c r="Q94" s="15"/>
      <c r="R94" s="15"/>
      <c r="S94" s="15"/>
      <c r="T94" s="15"/>
      <c r="U94" s="15"/>
      <c r="V94" s="1"/>
      <c r="W94" s="1">
        <v>486</v>
      </c>
      <c r="X94" s="1">
        <f t="shared" si="21"/>
        <v>486</v>
      </c>
      <c r="Y94" s="15"/>
      <c r="Z94" s="15"/>
      <c r="AA94" s="15"/>
      <c r="AB94" s="17"/>
      <c r="AC94" s="82"/>
      <c r="AD94" s="16" t="s">
        <v>52</v>
      </c>
      <c r="AE94" s="16" t="s">
        <v>52</v>
      </c>
      <c r="AF94" s="16"/>
      <c r="AG94" s="16"/>
      <c r="AH94" s="16"/>
      <c r="AI94" s="16" t="s">
        <v>1788</v>
      </c>
      <c r="AJ94" s="16"/>
      <c r="AK94" s="16"/>
      <c r="AL94" s="16"/>
      <c r="AM94" s="16"/>
      <c r="AN94" s="16"/>
      <c r="AO94" s="16"/>
      <c r="AP94" s="16" t="s">
        <v>368</v>
      </c>
      <c r="AR94" s="88" t="s">
        <v>369</v>
      </c>
      <c r="AS94" s="88" t="s">
        <v>369</v>
      </c>
      <c r="AU94" s="12" t="s">
        <v>1930</v>
      </c>
      <c r="AV94" s="19" t="s">
        <v>1789</v>
      </c>
      <c r="AW94" s="39" t="s">
        <v>2940</v>
      </c>
      <c r="AY94" s="33"/>
      <c r="AZ94" s="33"/>
      <c r="BA94" s="33"/>
    </row>
    <row r="95" spans="1:53" ht="12" customHeight="1" x14ac:dyDescent="0.2">
      <c r="A95" s="10" t="s">
        <v>1909</v>
      </c>
      <c r="B95" s="39">
        <v>1092</v>
      </c>
      <c r="C95" s="42" t="s">
        <v>3053</v>
      </c>
      <c r="D95" s="10" t="s">
        <v>77</v>
      </c>
      <c r="E95" s="14" t="s">
        <v>0</v>
      </c>
      <c r="F95" s="1" t="s">
        <v>395</v>
      </c>
      <c r="G95" s="1" t="s">
        <v>1303</v>
      </c>
      <c r="H95" s="1" t="b">
        <v>1</v>
      </c>
      <c r="I95" s="1">
        <v>92</v>
      </c>
      <c r="J95" s="1"/>
      <c r="K95" s="1"/>
      <c r="L95" s="1"/>
      <c r="M95" s="1"/>
      <c r="O95" s="16" t="s">
        <v>367</v>
      </c>
      <c r="P95" s="1">
        <v>1</v>
      </c>
      <c r="Q95" s="15"/>
      <c r="R95" s="15"/>
      <c r="S95" s="15"/>
      <c r="T95" s="15"/>
      <c r="U95" s="15"/>
      <c r="V95" s="1"/>
      <c r="W95" s="1">
        <v>510</v>
      </c>
      <c r="X95" s="1">
        <f>W95</f>
        <v>510</v>
      </c>
      <c r="Y95" s="15"/>
      <c r="Z95" s="15"/>
      <c r="AA95" s="15"/>
      <c r="AB95" s="17"/>
      <c r="AC95" s="82"/>
      <c r="AD95" s="16" t="s">
        <v>52</v>
      </c>
      <c r="AE95" s="16" t="s">
        <v>52</v>
      </c>
      <c r="AF95" s="16"/>
      <c r="AG95" s="16"/>
      <c r="AH95" s="16"/>
      <c r="AI95" s="16" t="s">
        <v>1917</v>
      </c>
      <c r="AJ95" s="16"/>
      <c r="AK95" s="16"/>
      <c r="AL95" s="16"/>
      <c r="AM95" s="16"/>
      <c r="AN95" s="16"/>
      <c r="AO95" s="16"/>
      <c r="AP95" s="16" t="s">
        <v>368</v>
      </c>
      <c r="AR95" s="88" t="s">
        <v>369</v>
      </c>
      <c r="AS95" s="88" t="s">
        <v>369</v>
      </c>
      <c r="AU95" s="12" t="s">
        <v>1930</v>
      </c>
      <c r="AV95" s="19" t="s">
        <v>1913</v>
      </c>
      <c r="AW95" s="39" t="s">
        <v>2940</v>
      </c>
      <c r="AY95" s="33"/>
      <c r="AZ95" s="33"/>
      <c r="BA95" s="33"/>
    </row>
    <row r="96" spans="1:53" ht="12" customHeight="1" x14ac:dyDescent="0.2">
      <c r="A96" s="10" t="s">
        <v>2238</v>
      </c>
      <c r="B96" s="39">
        <v>1093</v>
      </c>
      <c r="C96" s="42" t="s">
        <v>3054</v>
      </c>
      <c r="D96" s="10" t="s">
        <v>77</v>
      </c>
      <c r="E96" s="14" t="s">
        <v>0</v>
      </c>
      <c r="F96" s="1" t="s">
        <v>88</v>
      </c>
      <c r="G96" s="1" t="s">
        <v>1303</v>
      </c>
      <c r="H96" s="1" t="b">
        <v>1</v>
      </c>
      <c r="I96" s="1">
        <v>93</v>
      </c>
      <c r="J96" s="1"/>
      <c r="K96" s="1"/>
      <c r="L96" s="1"/>
      <c r="M96" s="1"/>
      <c r="O96" s="16" t="s">
        <v>367</v>
      </c>
      <c r="P96" s="1">
        <v>1</v>
      </c>
      <c r="Q96" s="15"/>
      <c r="R96" s="15"/>
      <c r="S96" s="15"/>
      <c r="T96" s="15"/>
      <c r="U96" s="15"/>
      <c r="V96" s="1"/>
      <c r="W96" s="1">
        <v>390</v>
      </c>
      <c r="X96" s="1">
        <f t="shared" ref="X96:X100" si="22">W96</f>
        <v>390</v>
      </c>
      <c r="Y96" s="15"/>
      <c r="Z96" s="15"/>
      <c r="AA96" s="15"/>
      <c r="AB96" s="17"/>
      <c r="AC96" s="82"/>
      <c r="AD96" s="16" t="s">
        <v>52</v>
      </c>
      <c r="AE96" s="16" t="s">
        <v>52</v>
      </c>
      <c r="AF96" s="16"/>
      <c r="AG96" s="16"/>
      <c r="AH96" s="16"/>
      <c r="AI96" s="16" t="s">
        <v>2235</v>
      </c>
      <c r="AJ96" s="16"/>
      <c r="AK96" s="16"/>
      <c r="AL96" s="16"/>
      <c r="AM96" s="16"/>
      <c r="AN96" s="16"/>
      <c r="AO96" s="16"/>
      <c r="AP96" s="16" t="s">
        <v>368</v>
      </c>
      <c r="AR96" s="88" t="s">
        <v>369</v>
      </c>
      <c r="AS96" s="88" t="s">
        <v>369</v>
      </c>
      <c r="AU96" s="12" t="s">
        <v>1930</v>
      </c>
      <c r="AV96" s="19" t="s">
        <v>2236</v>
      </c>
      <c r="AW96" s="39" t="s">
        <v>2940</v>
      </c>
      <c r="AY96" s="33"/>
      <c r="AZ96" s="33"/>
      <c r="BA96" s="33"/>
    </row>
    <row r="97" spans="1:53" ht="12" customHeight="1" x14ac:dyDescent="0.2">
      <c r="A97" s="10" t="s">
        <v>2326</v>
      </c>
      <c r="B97" s="39">
        <v>1094</v>
      </c>
      <c r="C97" s="42" t="s">
        <v>3055</v>
      </c>
      <c r="D97" s="10" t="s">
        <v>77</v>
      </c>
      <c r="E97" s="14" t="s">
        <v>0</v>
      </c>
      <c r="F97" s="1" t="s">
        <v>394</v>
      </c>
      <c r="G97" s="1" t="s">
        <v>1303</v>
      </c>
      <c r="H97" s="1" t="b">
        <v>1</v>
      </c>
      <c r="I97" s="1">
        <v>94</v>
      </c>
      <c r="J97" s="1"/>
      <c r="K97" s="1"/>
      <c r="L97" s="1"/>
      <c r="M97" s="1"/>
      <c r="O97" s="16" t="s">
        <v>367</v>
      </c>
      <c r="P97" s="1">
        <v>1</v>
      </c>
      <c r="Q97" s="15"/>
      <c r="R97" s="15"/>
      <c r="S97" s="15"/>
      <c r="T97" s="15"/>
      <c r="U97" s="15"/>
      <c r="V97" s="1"/>
      <c r="W97" s="1">
        <v>510</v>
      </c>
      <c r="X97" s="1">
        <f t="shared" si="22"/>
        <v>510</v>
      </c>
      <c r="Y97" s="15"/>
      <c r="Z97" s="15"/>
      <c r="AA97" s="15"/>
      <c r="AB97" s="17"/>
      <c r="AC97" s="82"/>
      <c r="AD97" s="16" t="s">
        <v>52</v>
      </c>
      <c r="AE97" s="16" t="s">
        <v>52</v>
      </c>
      <c r="AF97" s="16"/>
      <c r="AG97" s="16"/>
      <c r="AH97" s="16"/>
      <c r="AI97" s="16" t="s">
        <v>2327</v>
      </c>
      <c r="AJ97" s="16"/>
      <c r="AK97" s="16"/>
      <c r="AL97" s="16"/>
      <c r="AM97" s="16"/>
      <c r="AN97" s="16"/>
      <c r="AO97" s="16"/>
      <c r="AP97" s="16" t="s">
        <v>368</v>
      </c>
      <c r="AR97" s="88" t="s">
        <v>369</v>
      </c>
      <c r="AS97" s="88" t="s">
        <v>369</v>
      </c>
      <c r="AU97" s="12" t="s">
        <v>1930</v>
      </c>
      <c r="AV97" s="19" t="s">
        <v>2328</v>
      </c>
      <c r="AW97" s="39" t="s">
        <v>2940</v>
      </c>
      <c r="AY97" s="33"/>
      <c r="AZ97" s="33"/>
      <c r="BA97" s="33"/>
    </row>
    <row r="98" spans="1:53" ht="12" customHeight="1" x14ac:dyDescent="0.2">
      <c r="A98" s="10" t="s">
        <v>2450</v>
      </c>
      <c r="B98" s="39">
        <v>1095</v>
      </c>
      <c r="C98" s="42" t="s">
        <v>3056</v>
      </c>
      <c r="D98" s="10" t="s">
        <v>77</v>
      </c>
      <c r="E98" s="14" t="s">
        <v>0</v>
      </c>
      <c r="F98" s="1" t="s">
        <v>89</v>
      </c>
      <c r="G98" s="1" t="s">
        <v>1303</v>
      </c>
      <c r="H98" s="1" t="b">
        <v>1</v>
      </c>
      <c r="I98" s="1">
        <v>95</v>
      </c>
      <c r="J98" s="1"/>
      <c r="K98" s="1"/>
      <c r="L98" s="1"/>
      <c r="M98" s="1"/>
      <c r="O98" s="16" t="s">
        <v>367</v>
      </c>
      <c r="P98" s="1">
        <v>1</v>
      </c>
      <c r="Q98" s="15"/>
      <c r="R98" s="15"/>
      <c r="S98" s="15"/>
      <c r="T98" s="15"/>
      <c r="U98" s="15"/>
      <c r="V98" s="1"/>
      <c r="W98" s="1">
        <v>442</v>
      </c>
      <c r="X98" s="1">
        <f t="shared" si="22"/>
        <v>442</v>
      </c>
      <c r="Y98" s="15"/>
      <c r="Z98" s="15"/>
      <c r="AA98" s="15"/>
      <c r="AB98" s="17"/>
      <c r="AC98" s="82"/>
      <c r="AD98" s="16" t="s">
        <v>52</v>
      </c>
      <c r="AE98" s="16" t="s">
        <v>52</v>
      </c>
      <c r="AF98" s="16"/>
      <c r="AG98" s="16"/>
      <c r="AH98" s="16"/>
      <c r="AI98" s="16" t="s">
        <v>2451</v>
      </c>
      <c r="AJ98" s="16"/>
      <c r="AK98" s="16"/>
      <c r="AL98" s="16"/>
      <c r="AM98" s="16"/>
      <c r="AN98" s="16"/>
      <c r="AO98" s="16"/>
      <c r="AP98" s="16" t="s">
        <v>368</v>
      </c>
      <c r="AR98" s="88" t="s">
        <v>369</v>
      </c>
      <c r="AS98" s="88" t="s">
        <v>369</v>
      </c>
      <c r="AU98" s="12" t="s">
        <v>1930</v>
      </c>
      <c r="AV98" s="19" t="s">
        <v>2452</v>
      </c>
      <c r="AW98" s="39" t="s">
        <v>2940</v>
      </c>
      <c r="AY98" s="33"/>
      <c r="AZ98" s="33"/>
      <c r="BA98" s="33"/>
    </row>
    <row r="99" spans="1:53" ht="12" customHeight="1" x14ac:dyDescent="0.2">
      <c r="A99" s="10" t="s">
        <v>2601</v>
      </c>
      <c r="B99" s="39">
        <v>1096</v>
      </c>
      <c r="C99" s="42" t="s">
        <v>3057</v>
      </c>
      <c r="D99" s="10" t="s">
        <v>77</v>
      </c>
      <c r="E99" s="14" t="s">
        <v>0</v>
      </c>
      <c r="F99" s="1" t="s">
        <v>88</v>
      </c>
      <c r="G99" s="1" t="s">
        <v>1303</v>
      </c>
      <c r="H99" s="1" t="b">
        <v>1</v>
      </c>
      <c r="I99" s="1">
        <v>96</v>
      </c>
      <c r="J99" s="1"/>
      <c r="K99" s="1"/>
      <c r="L99" s="1"/>
      <c r="M99" s="1"/>
      <c r="O99" s="16" t="s">
        <v>367</v>
      </c>
      <c r="P99" s="1">
        <v>1</v>
      </c>
      <c r="Q99" s="15"/>
      <c r="R99" s="15"/>
      <c r="S99" s="15"/>
      <c r="T99" s="15"/>
      <c r="U99" s="15"/>
      <c r="V99" s="1"/>
      <c r="W99" s="1">
        <v>390</v>
      </c>
      <c r="X99" s="1">
        <f t="shared" si="22"/>
        <v>390</v>
      </c>
      <c r="Y99" s="15"/>
      <c r="Z99" s="15"/>
      <c r="AA99" s="15"/>
      <c r="AB99" s="17"/>
      <c r="AC99" s="82"/>
      <c r="AD99" s="16" t="s">
        <v>52</v>
      </c>
      <c r="AE99" s="16" t="s">
        <v>52</v>
      </c>
      <c r="AF99" s="16"/>
      <c r="AG99" s="16"/>
      <c r="AH99" s="16"/>
      <c r="AI99" s="16" t="s">
        <v>2602</v>
      </c>
      <c r="AJ99" s="16"/>
      <c r="AK99" s="16"/>
      <c r="AL99" s="16"/>
      <c r="AM99" s="16"/>
      <c r="AN99" s="16"/>
      <c r="AO99" s="16"/>
      <c r="AP99" s="16" t="s">
        <v>368</v>
      </c>
      <c r="AR99" s="88" t="s">
        <v>369</v>
      </c>
      <c r="AS99" s="88" t="s">
        <v>369</v>
      </c>
      <c r="AU99" s="12" t="s">
        <v>1930</v>
      </c>
      <c r="AV99" s="19" t="s">
        <v>2603</v>
      </c>
      <c r="AW99" s="39" t="s">
        <v>2940</v>
      </c>
      <c r="AY99" s="33"/>
      <c r="AZ99" s="33"/>
      <c r="BA99" s="33"/>
    </row>
    <row r="100" spans="1:53" ht="12" customHeight="1" x14ac:dyDescent="0.2">
      <c r="A100" s="10" t="s">
        <v>2870</v>
      </c>
      <c r="B100" s="39">
        <v>1097</v>
      </c>
      <c r="C100" s="42" t="s">
        <v>3058</v>
      </c>
      <c r="D100" s="10" t="s">
        <v>77</v>
      </c>
      <c r="E100" s="14" t="s">
        <v>0</v>
      </c>
      <c r="F100" s="1" t="s">
        <v>91</v>
      </c>
      <c r="G100" s="1" t="s">
        <v>1303</v>
      </c>
      <c r="H100" s="1" t="b">
        <v>1</v>
      </c>
      <c r="I100" s="1">
        <v>97</v>
      </c>
      <c r="J100" s="1"/>
      <c r="K100" s="1"/>
      <c r="L100" s="1"/>
      <c r="M100" s="1"/>
      <c r="O100" s="16" t="s">
        <v>367</v>
      </c>
      <c r="P100" s="1">
        <v>1</v>
      </c>
      <c r="Q100" s="15"/>
      <c r="R100" s="15"/>
      <c r="S100" s="15"/>
      <c r="T100" s="15"/>
      <c r="U100" s="15"/>
      <c r="V100" s="1"/>
      <c r="W100" s="1">
        <v>499</v>
      </c>
      <c r="X100" s="1">
        <f t="shared" si="22"/>
        <v>499</v>
      </c>
      <c r="Y100" s="15"/>
      <c r="Z100" s="15"/>
      <c r="AA100" s="15"/>
      <c r="AB100" s="17"/>
      <c r="AC100" s="82"/>
      <c r="AD100" s="16" t="s">
        <v>52</v>
      </c>
      <c r="AE100" s="16" t="s">
        <v>52</v>
      </c>
      <c r="AF100" s="16"/>
      <c r="AG100" s="16"/>
      <c r="AH100" s="16"/>
      <c r="AI100" s="16" t="s">
        <v>2863</v>
      </c>
      <c r="AJ100" s="16"/>
      <c r="AK100" s="16"/>
      <c r="AL100" s="16"/>
      <c r="AM100" s="16"/>
      <c r="AN100" s="16"/>
      <c r="AO100" s="16"/>
      <c r="AP100" s="16" t="s">
        <v>368</v>
      </c>
      <c r="AR100" s="88" t="s">
        <v>369</v>
      </c>
      <c r="AS100" s="88" t="s">
        <v>369</v>
      </c>
      <c r="AU100" s="12" t="s">
        <v>1930</v>
      </c>
      <c r="AV100" s="19" t="s">
        <v>2860</v>
      </c>
      <c r="AW100" s="39" t="s">
        <v>2940</v>
      </c>
      <c r="AY100" s="33"/>
      <c r="AZ100" s="33"/>
      <c r="BA100" s="33"/>
    </row>
    <row r="101" spans="1:53" ht="12" customHeight="1" x14ac:dyDescent="0.2">
      <c r="A101" s="10" t="s">
        <v>2879</v>
      </c>
      <c r="B101" s="39">
        <v>1098</v>
      </c>
      <c r="C101" s="42" t="s">
        <v>3059</v>
      </c>
      <c r="D101" s="10" t="s">
        <v>77</v>
      </c>
      <c r="E101" s="14" t="s">
        <v>0</v>
      </c>
      <c r="F101" s="1" t="s">
        <v>395</v>
      </c>
      <c r="G101" s="1" t="s">
        <v>1303</v>
      </c>
      <c r="H101" s="1" t="b">
        <v>1</v>
      </c>
      <c r="I101" s="1">
        <v>98</v>
      </c>
      <c r="J101" s="1"/>
      <c r="K101" s="1"/>
      <c r="L101" s="1"/>
      <c r="M101" s="1"/>
      <c r="O101" s="16" t="s">
        <v>367</v>
      </c>
      <c r="P101" s="1">
        <v>1</v>
      </c>
      <c r="Q101" s="15"/>
      <c r="R101" s="15"/>
      <c r="S101" s="15"/>
      <c r="T101" s="15"/>
      <c r="U101" s="15"/>
      <c r="V101" s="1"/>
      <c r="W101" s="1">
        <v>510</v>
      </c>
      <c r="X101" s="1">
        <f>W101</f>
        <v>510</v>
      </c>
      <c r="Y101" s="15"/>
      <c r="Z101" s="15"/>
      <c r="AA101" s="15"/>
      <c r="AB101" s="17"/>
      <c r="AC101" s="82"/>
      <c r="AD101" s="16" t="s">
        <v>52</v>
      </c>
      <c r="AE101" s="16" t="s">
        <v>52</v>
      </c>
      <c r="AF101" s="16"/>
      <c r="AG101" s="16"/>
      <c r="AH101" s="16"/>
      <c r="AI101" s="16" t="s">
        <v>2880</v>
      </c>
      <c r="AJ101" s="16"/>
      <c r="AK101" s="16"/>
      <c r="AL101" s="16"/>
      <c r="AM101" s="16"/>
      <c r="AN101" s="16"/>
      <c r="AO101" s="16"/>
      <c r="AP101" s="16" t="s">
        <v>368</v>
      </c>
      <c r="AR101" s="88" t="s">
        <v>369</v>
      </c>
      <c r="AS101" s="88" t="s">
        <v>369</v>
      </c>
      <c r="AU101" s="12" t="s">
        <v>1930</v>
      </c>
      <c r="AV101" s="19" t="s">
        <v>2881</v>
      </c>
      <c r="AW101" s="39" t="s">
        <v>2940</v>
      </c>
      <c r="AY101" s="33"/>
      <c r="AZ101" s="33"/>
      <c r="BA101" s="33"/>
    </row>
    <row r="102" spans="1:53" ht="12" customHeight="1" x14ac:dyDescent="0.2">
      <c r="A102" s="10" t="s">
        <v>4444</v>
      </c>
      <c r="B102" s="39">
        <v>1099</v>
      </c>
      <c r="D102" s="10" t="s">
        <v>77</v>
      </c>
      <c r="E102" s="14" t="s">
        <v>0</v>
      </c>
      <c r="F102" s="1" t="s">
        <v>90</v>
      </c>
      <c r="G102" s="1" t="s">
        <v>1303</v>
      </c>
      <c r="H102" s="1" t="b">
        <v>1</v>
      </c>
      <c r="I102" s="1">
        <v>99</v>
      </c>
      <c r="J102" s="1"/>
      <c r="K102" s="1"/>
      <c r="L102" s="1"/>
      <c r="M102" s="1"/>
      <c r="O102" s="16" t="s">
        <v>367</v>
      </c>
      <c r="P102" s="1">
        <v>1</v>
      </c>
      <c r="Q102" s="15"/>
      <c r="R102" s="15"/>
      <c r="S102" s="15"/>
      <c r="T102" s="15"/>
      <c r="U102" s="15"/>
      <c r="V102" s="1"/>
      <c r="W102" s="1">
        <v>547</v>
      </c>
      <c r="X102" s="1">
        <f t="shared" ref="X102" si="23">W102</f>
        <v>547</v>
      </c>
      <c r="Y102" s="15"/>
      <c r="Z102" s="15"/>
      <c r="AA102" s="15"/>
      <c r="AB102" s="17"/>
      <c r="AC102" s="82"/>
      <c r="AD102" s="16" t="s">
        <v>52</v>
      </c>
      <c r="AE102" s="16" t="s">
        <v>52</v>
      </c>
      <c r="AF102" s="16"/>
      <c r="AG102" s="16"/>
      <c r="AH102" s="16"/>
      <c r="AI102" s="16" t="s">
        <v>4445</v>
      </c>
      <c r="AJ102" s="16"/>
      <c r="AK102" s="16"/>
      <c r="AL102" s="16"/>
      <c r="AM102" s="16"/>
      <c r="AN102" s="16"/>
      <c r="AO102" s="16"/>
      <c r="AP102" s="16" t="s">
        <v>368</v>
      </c>
      <c r="AR102" s="88" t="s">
        <v>369</v>
      </c>
      <c r="AS102" s="88" t="s">
        <v>369</v>
      </c>
      <c r="AU102" s="12" t="s">
        <v>1930</v>
      </c>
      <c r="AV102" s="19" t="s">
        <v>4446</v>
      </c>
      <c r="AW102" s="39" t="s">
        <v>2940</v>
      </c>
      <c r="AY102" s="33"/>
      <c r="AZ102" s="33"/>
      <c r="BA102" s="33"/>
    </row>
    <row r="103" spans="1:53" ht="12" customHeight="1" x14ac:dyDescent="0.2">
      <c r="A103" s="10" t="s">
        <v>5608</v>
      </c>
      <c r="B103" s="39">
        <v>1100</v>
      </c>
      <c r="D103" s="10" t="s">
        <v>77</v>
      </c>
      <c r="E103" s="14" t="s">
        <v>0</v>
      </c>
      <c r="F103" s="1" t="s">
        <v>395</v>
      </c>
      <c r="G103" s="1" t="s">
        <v>1303</v>
      </c>
      <c r="H103" s="1" t="b">
        <v>1</v>
      </c>
      <c r="I103" s="1">
        <v>100</v>
      </c>
      <c r="J103" s="1"/>
      <c r="K103" s="1"/>
      <c r="L103" s="1"/>
      <c r="M103" s="1"/>
      <c r="O103" s="16" t="s">
        <v>367</v>
      </c>
      <c r="P103" s="1">
        <v>1</v>
      </c>
      <c r="Q103" s="15"/>
      <c r="R103" s="15"/>
      <c r="S103" s="15"/>
      <c r="T103" s="15"/>
      <c r="U103" s="15"/>
      <c r="V103" s="1"/>
      <c r="W103" s="1">
        <v>510</v>
      </c>
      <c r="X103" s="1">
        <f>W103</f>
        <v>510</v>
      </c>
      <c r="Y103" s="15"/>
      <c r="Z103" s="15"/>
      <c r="AA103" s="15"/>
      <c r="AB103" s="17"/>
      <c r="AC103" s="82"/>
      <c r="AD103" s="16" t="s">
        <v>52</v>
      </c>
      <c r="AE103" s="16" t="s">
        <v>52</v>
      </c>
      <c r="AF103" s="16"/>
      <c r="AG103" s="16"/>
      <c r="AH103" s="16"/>
      <c r="AI103" s="16" t="s">
        <v>5603</v>
      </c>
      <c r="AJ103" s="16"/>
      <c r="AK103" s="16"/>
      <c r="AL103" s="16"/>
      <c r="AM103" s="16"/>
      <c r="AN103" s="16"/>
      <c r="AO103" s="16"/>
      <c r="AP103" s="16" t="s">
        <v>368</v>
      </c>
      <c r="AR103" s="88" t="s">
        <v>369</v>
      </c>
      <c r="AS103" s="88" t="s">
        <v>369</v>
      </c>
      <c r="AU103" s="12" t="s">
        <v>1930</v>
      </c>
      <c r="AV103" s="19" t="s">
        <v>5602</v>
      </c>
      <c r="AW103" s="39" t="s">
        <v>2940</v>
      </c>
      <c r="AY103" s="33"/>
      <c r="AZ103" s="33"/>
      <c r="BA103" s="33"/>
    </row>
    <row r="104" spans="1:53" ht="12" customHeight="1" x14ac:dyDescent="0.2">
      <c r="A104" s="10" t="s">
        <v>5641</v>
      </c>
      <c r="B104" s="39">
        <v>1101</v>
      </c>
      <c r="D104" s="10" t="s">
        <v>77</v>
      </c>
      <c r="E104" s="14" t="s">
        <v>0</v>
      </c>
      <c r="F104" s="1" t="s">
        <v>90</v>
      </c>
      <c r="G104" s="1" t="s">
        <v>1303</v>
      </c>
      <c r="H104" s="1" t="b">
        <v>1</v>
      </c>
      <c r="I104" s="1">
        <v>101</v>
      </c>
      <c r="J104" s="1"/>
      <c r="K104" s="1"/>
      <c r="L104" s="1"/>
      <c r="M104" s="1"/>
      <c r="O104" s="16" t="s">
        <v>367</v>
      </c>
      <c r="P104" s="1">
        <v>1</v>
      </c>
      <c r="Q104" s="15"/>
      <c r="R104" s="15"/>
      <c r="S104" s="15"/>
      <c r="T104" s="15"/>
      <c r="U104" s="15"/>
      <c r="V104" s="1"/>
      <c r="W104" s="1">
        <v>547</v>
      </c>
      <c r="X104" s="1">
        <f t="shared" ref="X104:X106" si="24">W104</f>
        <v>547</v>
      </c>
      <c r="Y104" s="15"/>
      <c r="Z104" s="15"/>
      <c r="AA104" s="15"/>
      <c r="AB104" s="17"/>
      <c r="AC104" s="82"/>
      <c r="AD104" s="16" t="s">
        <v>52</v>
      </c>
      <c r="AE104" s="16" t="s">
        <v>52</v>
      </c>
      <c r="AF104" s="16"/>
      <c r="AG104" s="16"/>
      <c r="AH104" s="16"/>
      <c r="AI104" s="16" t="s">
        <v>5642</v>
      </c>
      <c r="AJ104" s="16"/>
      <c r="AK104" s="16"/>
      <c r="AL104" s="16"/>
      <c r="AM104" s="16"/>
      <c r="AN104" s="16"/>
      <c r="AO104" s="16"/>
      <c r="AP104" s="16" t="s">
        <v>368</v>
      </c>
      <c r="AR104" s="88" t="s">
        <v>369</v>
      </c>
      <c r="AS104" s="88" t="s">
        <v>369</v>
      </c>
      <c r="AU104" s="12" t="s">
        <v>1930</v>
      </c>
      <c r="AV104" s="19" t="s">
        <v>5643</v>
      </c>
      <c r="AW104" s="39" t="s">
        <v>2940</v>
      </c>
      <c r="AY104" s="33"/>
      <c r="AZ104" s="33"/>
      <c r="BA104" s="33"/>
    </row>
    <row r="105" spans="1:53" ht="12" customHeight="1" x14ac:dyDescent="0.2">
      <c r="A105" s="10" t="s">
        <v>5644</v>
      </c>
      <c r="B105" s="39">
        <v>1102</v>
      </c>
      <c r="D105" s="10" t="s">
        <v>77</v>
      </c>
      <c r="E105" s="14" t="s">
        <v>0</v>
      </c>
      <c r="F105" s="1" t="s">
        <v>394</v>
      </c>
      <c r="G105" s="1" t="s">
        <v>1303</v>
      </c>
      <c r="H105" s="1" t="b">
        <v>1</v>
      </c>
      <c r="I105" s="1">
        <v>102</v>
      </c>
      <c r="J105" s="1"/>
      <c r="K105" s="1"/>
      <c r="L105" s="1"/>
      <c r="M105" s="1"/>
      <c r="O105" s="16" t="s">
        <v>367</v>
      </c>
      <c r="P105" s="1">
        <v>1</v>
      </c>
      <c r="Q105" s="15"/>
      <c r="R105" s="15"/>
      <c r="S105" s="15"/>
      <c r="T105" s="15"/>
      <c r="U105" s="15"/>
      <c r="V105" s="1"/>
      <c r="W105" s="1">
        <v>510</v>
      </c>
      <c r="X105" s="1">
        <f t="shared" si="24"/>
        <v>510</v>
      </c>
      <c r="Y105" s="15"/>
      <c r="Z105" s="15"/>
      <c r="AA105" s="15"/>
      <c r="AB105" s="17"/>
      <c r="AC105" s="82"/>
      <c r="AD105" s="16" t="s">
        <v>52</v>
      </c>
      <c r="AE105" s="16" t="s">
        <v>52</v>
      </c>
      <c r="AF105" s="16"/>
      <c r="AG105" s="16"/>
      <c r="AH105" s="16"/>
      <c r="AI105" s="16" t="s">
        <v>5645</v>
      </c>
      <c r="AJ105" s="16"/>
      <c r="AK105" s="16"/>
      <c r="AL105" s="16"/>
      <c r="AM105" s="16"/>
      <c r="AN105" s="16"/>
      <c r="AO105" s="16"/>
      <c r="AP105" s="16" t="s">
        <v>368</v>
      </c>
      <c r="AR105" s="88" t="s">
        <v>369</v>
      </c>
      <c r="AS105" s="88" t="s">
        <v>369</v>
      </c>
      <c r="AU105" s="12" t="s">
        <v>1930</v>
      </c>
      <c r="AV105" s="19" t="s">
        <v>5646</v>
      </c>
      <c r="AW105" s="39" t="s">
        <v>2940</v>
      </c>
      <c r="AY105" s="33"/>
      <c r="AZ105" s="33"/>
      <c r="BA105" s="33"/>
    </row>
    <row r="106" spans="1:53" ht="12" customHeight="1" x14ac:dyDescent="0.2">
      <c r="A106" s="10" t="s">
        <v>5673</v>
      </c>
      <c r="B106" s="39">
        <v>1111</v>
      </c>
      <c r="C106" s="42" t="s">
        <v>5674</v>
      </c>
      <c r="D106" s="10" t="s">
        <v>77</v>
      </c>
      <c r="E106" s="14" t="s">
        <v>0</v>
      </c>
      <c r="F106" s="1" t="s">
        <v>91</v>
      </c>
      <c r="G106" s="1" t="s">
        <v>1303</v>
      </c>
      <c r="H106" s="1" t="b">
        <v>1</v>
      </c>
      <c r="I106" s="1">
        <v>111</v>
      </c>
      <c r="J106" s="1"/>
      <c r="K106" s="1"/>
      <c r="L106" s="1"/>
      <c r="M106" s="1"/>
      <c r="O106" s="16" t="s">
        <v>367</v>
      </c>
      <c r="P106" s="1">
        <v>1</v>
      </c>
      <c r="Q106" s="15"/>
      <c r="R106" s="15"/>
      <c r="S106" s="15"/>
      <c r="T106" s="15"/>
      <c r="U106" s="15"/>
      <c r="V106" s="1"/>
      <c r="W106" s="1">
        <v>499</v>
      </c>
      <c r="X106" s="1">
        <f t="shared" si="24"/>
        <v>499</v>
      </c>
      <c r="Y106" s="15"/>
      <c r="Z106" s="15"/>
      <c r="AA106" s="15"/>
      <c r="AB106" s="17"/>
      <c r="AC106" s="82"/>
      <c r="AD106" s="16" t="s">
        <v>52</v>
      </c>
      <c r="AE106" s="16" t="s">
        <v>52</v>
      </c>
      <c r="AF106" s="16"/>
      <c r="AG106" s="16"/>
      <c r="AH106" s="16"/>
      <c r="AI106" s="16" t="s">
        <v>5675</v>
      </c>
      <c r="AJ106" s="16"/>
      <c r="AK106" s="16"/>
      <c r="AL106" s="16"/>
      <c r="AM106" s="16"/>
      <c r="AN106" s="16"/>
      <c r="AO106" s="16"/>
      <c r="AP106" s="16" t="s">
        <v>368</v>
      </c>
      <c r="AR106" s="88" t="s">
        <v>369</v>
      </c>
      <c r="AS106" s="88" t="s">
        <v>369</v>
      </c>
      <c r="AU106" s="12" t="s">
        <v>1930</v>
      </c>
      <c r="AV106" s="19" t="s">
        <v>5676</v>
      </c>
      <c r="AW106" s="39" t="s">
        <v>2940</v>
      </c>
      <c r="AY106" s="33"/>
      <c r="AZ106" s="33"/>
      <c r="BA106" s="33"/>
    </row>
    <row r="107" spans="1:53" ht="12" customHeight="1" x14ac:dyDescent="0.2">
      <c r="A107" s="10" t="s">
        <v>1848</v>
      </c>
      <c r="B107" s="39">
        <v>101001</v>
      </c>
      <c r="C107" s="42" t="s">
        <v>3060</v>
      </c>
      <c r="D107" s="10" t="s">
        <v>2942</v>
      </c>
      <c r="E107" s="14" t="s">
        <v>1901</v>
      </c>
      <c r="F107" s="1" t="s">
        <v>89</v>
      </c>
      <c r="G107" s="1" t="s">
        <v>2302</v>
      </c>
      <c r="H107" s="1"/>
      <c r="I107" s="1">
        <v>1</v>
      </c>
      <c r="J107" s="1"/>
      <c r="K107" s="1"/>
      <c r="L107" s="1"/>
      <c r="M107" s="1"/>
      <c r="O107" s="16" t="s">
        <v>335</v>
      </c>
      <c r="P107" s="1">
        <v>1</v>
      </c>
      <c r="Q107" s="15"/>
      <c r="R107" s="15"/>
      <c r="S107" s="15"/>
      <c r="T107" s="15"/>
      <c r="U107" s="15"/>
      <c r="V107" s="1"/>
      <c r="W107" s="1"/>
      <c r="X107" s="1"/>
      <c r="Y107" s="15">
        <v>13800</v>
      </c>
      <c r="Z107" s="15"/>
      <c r="AA107" s="15"/>
      <c r="AB107" s="17"/>
      <c r="AC107" s="82"/>
      <c r="AD107" s="16" t="s">
        <v>336</v>
      </c>
      <c r="AE107" s="16" t="s">
        <v>1903</v>
      </c>
      <c r="AF107" s="16"/>
      <c r="AG107" s="16"/>
      <c r="AH107" s="16"/>
      <c r="AI107" s="16">
        <v>12001</v>
      </c>
      <c r="AJ107" s="16"/>
      <c r="AK107" s="16"/>
      <c r="AL107" s="16"/>
      <c r="AM107" s="16"/>
      <c r="AN107" s="16"/>
      <c r="AO107" s="16"/>
      <c r="AP107" s="16"/>
      <c r="AR107" s="88"/>
      <c r="AS107" s="88"/>
      <c r="AU107" s="12" t="s">
        <v>1931</v>
      </c>
      <c r="AV107" s="13"/>
      <c r="AW107" s="39">
        <v>90</v>
      </c>
      <c r="AY107" s="32"/>
      <c r="AZ107" s="32"/>
      <c r="BA107" s="32"/>
    </row>
    <row r="108" spans="1:53" ht="12" customHeight="1" x14ac:dyDescent="0.2">
      <c r="A108" s="10" t="s">
        <v>1849</v>
      </c>
      <c r="B108" s="39">
        <v>101002</v>
      </c>
      <c r="C108" s="42" t="s">
        <v>3061</v>
      </c>
      <c r="D108" s="10" t="s">
        <v>2942</v>
      </c>
      <c r="E108" s="14" t="s">
        <v>1901</v>
      </c>
      <c r="F108" s="1" t="s">
        <v>394</v>
      </c>
      <c r="G108" s="1" t="s">
        <v>2303</v>
      </c>
      <c r="H108" s="1"/>
      <c r="I108" s="1">
        <v>2</v>
      </c>
      <c r="J108" s="1"/>
      <c r="K108" s="1"/>
      <c r="L108" s="1"/>
      <c r="M108" s="1"/>
      <c r="O108" s="16" t="s">
        <v>335</v>
      </c>
      <c r="P108" s="1">
        <v>1</v>
      </c>
      <c r="Q108" s="15"/>
      <c r="R108" s="15"/>
      <c r="S108" s="15"/>
      <c r="T108" s="15"/>
      <c r="U108" s="15"/>
      <c r="V108" s="1"/>
      <c r="W108" s="1"/>
      <c r="X108" s="1"/>
      <c r="Y108" s="15">
        <v>13800</v>
      </c>
      <c r="Z108" s="15"/>
      <c r="AA108" s="15"/>
      <c r="AB108" s="17"/>
      <c r="AC108" s="82"/>
      <c r="AD108" s="16" t="s">
        <v>98</v>
      </c>
      <c r="AE108" s="16" t="s">
        <v>1903</v>
      </c>
      <c r="AF108" s="16"/>
      <c r="AG108" s="16"/>
      <c r="AH108" s="16"/>
      <c r="AI108" s="16">
        <v>12002</v>
      </c>
      <c r="AJ108" s="16"/>
      <c r="AK108" s="16"/>
      <c r="AL108" s="16"/>
      <c r="AM108" s="16"/>
      <c r="AN108" s="16"/>
      <c r="AO108" s="16"/>
      <c r="AP108" s="16"/>
      <c r="AR108" s="88"/>
      <c r="AS108" s="88"/>
      <c r="AU108" s="12" t="s">
        <v>1931</v>
      </c>
      <c r="AV108" s="19"/>
      <c r="AW108" s="39">
        <v>90</v>
      </c>
      <c r="AY108" s="33"/>
      <c r="AZ108" s="33"/>
      <c r="BA108" s="33"/>
    </row>
    <row r="109" spans="1:53" ht="12" customHeight="1" x14ac:dyDescent="0.2">
      <c r="A109" s="10" t="s">
        <v>1850</v>
      </c>
      <c r="B109" s="39">
        <v>101003</v>
      </c>
      <c r="C109" s="42" t="s">
        <v>3062</v>
      </c>
      <c r="D109" s="10" t="s">
        <v>2942</v>
      </c>
      <c r="E109" s="14" t="s">
        <v>1901</v>
      </c>
      <c r="F109" s="1" t="s">
        <v>395</v>
      </c>
      <c r="G109" s="1" t="s">
        <v>2302</v>
      </c>
      <c r="H109" s="1"/>
      <c r="I109" s="1">
        <v>3</v>
      </c>
      <c r="J109" s="1"/>
      <c r="K109" s="1"/>
      <c r="L109" s="1"/>
      <c r="M109" s="1"/>
      <c r="O109" s="16" t="s">
        <v>367</v>
      </c>
      <c r="P109" s="1">
        <v>1</v>
      </c>
      <c r="Q109" s="15"/>
      <c r="R109" s="15"/>
      <c r="S109" s="15"/>
      <c r="T109" s="15"/>
      <c r="U109" s="15"/>
      <c r="V109" s="1"/>
      <c r="W109" s="1"/>
      <c r="X109" s="1"/>
      <c r="Y109" s="15">
        <v>13800</v>
      </c>
      <c r="Z109" s="15"/>
      <c r="AA109" s="15"/>
      <c r="AB109" s="17"/>
      <c r="AC109" s="82"/>
      <c r="AD109" s="16" t="s">
        <v>52</v>
      </c>
      <c r="AE109" s="16" t="s">
        <v>1903</v>
      </c>
      <c r="AF109" s="16"/>
      <c r="AG109" s="16"/>
      <c r="AH109" s="16"/>
      <c r="AI109" s="16">
        <v>12003</v>
      </c>
      <c r="AJ109" s="16"/>
      <c r="AK109" s="16"/>
      <c r="AL109" s="16"/>
      <c r="AM109" s="16"/>
      <c r="AN109" s="16"/>
      <c r="AO109" s="16"/>
      <c r="AP109" s="16"/>
      <c r="AR109" s="88"/>
      <c r="AS109" s="88"/>
      <c r="AU109" s="12" t="s">
        <v>1931</v>
      </c>
      <c r="AV109" s="19"/>
      <c r="AW109" s="39">
        <v>90</v>
      </c>
      <c r="AY109" s="33"/>
      <c r="AZ109" s="33"/>
      <c r="BA109" s="33"/>
    </row>
    <row r="110" spans="1:53" ht="12" customHeight="1" x14ac:dyDescent="0.2">
      <c r="A110" s="10" t="s">
        <v>1851</v>
      </c>
      <c r="B110" s="39">
        <v>101004</v>
      </c>
      <c r="C110" s="42" t="s">
        <v>3063</v>
      </c>
      <c r="D110" s="10" t="s">
        <v>2942</v>
      </c>
      <c r="E110" s="14" t="s">
        <v>1901</v>
      </c>
      <c r="F110" s="1" t="s">
        <v>396</v>
      </c>
      <c r="G110" s="1" t="s">
        <v>2302</v>
      </c>
      <c r="H110" s="1"/>
      <c r="I110" s="1">
        <v>4</v>
      </c>
      <c r="J110" s="1"/>
      <c r="K110" s="1"/>
      <c r="L110" s="1"/>
      <c r="M110" s="1"/>
      <c r="O110" s="16" t="s">
        <v>367</v>
      </c>
      <c r="P110" s="1">
        <v>1</v>
      </c>
      <c r="Q110" s="15"/>
      <c r="R110" s="15"/>
      <c r="S110" s="15"/>
      <c r="T110" s="15"/>
      <c r="U110" s="15"/>
      <c r="V110" s="1"/>
      <c r="W110" s="1"/>
      <c r="X110" s="1"/>
      <c r="Y110" s="15">
        <v>13800</v>
      </c>
      <c r="Z110" s="15"/>
      <c r="AA110" s="15"/>
      <c r="AB110" s="17"/>
      <c r="AC110" s="82"/>
      <c r="AD110" s="16" t="s">
        <v>52</v>
      </c>
      <c r="AE110" s="16" t="s">
        <v>1903</v>
      </c>
      <c r="AF110" s="16"/>
      <c r="AG110" s="16"/>
      <c r="AH110" s="16"/>
      <c r="AI110" s="16">
        <v>12004</v>
      </c>
      <c r="AJ110" s="16"/>
      <c r="AK110" s="16"/>
      <c r="AL110" s="16"/>
      <c r="AM110" s="16"/>
      <c r="AN110" s="16"/>
      <c r="AO110" s="16"/>
      <c r="AP110" s="16"/>
      <c r="AR110" s="88"/>
      <c r="AS110" s="88"/>
      <c r="AU110" s="12" t="s">
        <v>1931</v>
      </c>
      <c r="AV110" s="19"/>
      <c r="AW110" s="39">
        <v>90</v>
      </c>
      <c r="AY110" s="33"/>
      <c r="AZ110" s="33"/>
      <c r="BA110" s="33"/>
    </row>
    <row r="111" spans="1:53" ht="12" customHeight="1" x14ac:dyDescent="0.2">
      <c r="A111" s="10" t="s">
        <v>1852</v>
      </c>
      <c r="B111" s="39">
        <v>101005</v>
      </c>
      <c r="C111" s="42" t="s">
        <v>3064</v>
      </c>
      <c r="D111" s="10" t="s">
        <v>2942</v>
      </c>
      <c r="E111" s="14" t="s">
        <v>1901</v>
      </c>
      <c r="F111" s="1" t="s">
        <v>89</v>
      </c>
      <c r="G111" s="1" t="s">
        <v>2302</v>
      </c>
      <c r="H111" s="1"/>
      <c r="I111" s="1">
        <v>5</v>
      </c>
      <c r="J111" s="1"/>
      <c r="K111" s="1"/>
      <c r="L111" s="1"/>
      <c r="M111" s="1"/>
      <c r="O111" s="16" t="s">
        <v>367</v>
      </c>
      <c r="P111" s="1">
        <v>1</v>
      </c>
      <c r="Q111" s="15"/>
      <c r="R111" s="15"/>
      <c r="S111" s="15"/>
      <c r="T111" s="15"/>
      <c r="U111" s="15"/>
      <c r="V111" s="1"/>
      <c r="W111" s="1"/>
      <c r="X111" s="1"/>
      <c r="Y111" s="15">
        <v>13800</v>
      </c>
      <c r="Z111" s="15"/>
      <c r="AA111" s="15"/>
      <c r="AB111" s="17"/>
      <c r="AC111" s="82"/>
      <c r="AD111" s="16" t="s">
        <v>52</v>
      </c>
      <c r="AE111" s="16" t="s">
        <v>1903</v>
      </c>
      <c r="AF111" s="16"/>
      <c r="AG111" s="16"/>
      <c r="AH111" s="16"/>
      <c r="AI111" s="16">
        <v>12005</v>
      </c>
      <c r="AJ111" s="16"/>
      <c r="AK111" s="16"/>
      <c r="AL111" s="16"/>
      <c r="AM111" s="16"/>
      <c r="AN111" s="16"/>
      <c r="AO111" s="16"/>
      <c r="AP111" s="16"/>
      <c r="AR111" s="88"/>
      <c r="AS111" s="88"/>
      <c r="AU111" s="12" t="s">
        <v>1931</v>
      </c>
      <c r="AV111" s="19"/>
      <c r="AW111" s="39">
        <v>90</v>
      </c>
      <c r="AY111" s="33"/>
      <c r="AZ111" s="33"/>
      <c r="BA111" s="33"/>
    </row>
    <row r="112" spans="1:53" ht="12" customHeight="1" x14ac:dyDescent="0.2">
      <c r="A112" s="10" t="s">
        <v>1853</v>
      </c>
      <c r="B112" s="39">
        <v>101006</v>
      </c>
      <c r="C112" s="42" t="s">
        <v>3065</v>
      </c>
      <c r="D112" s="10" t="s">
        <v>2942</v>
      </c>
      <c r="E112" s="14" t="s">
        <v>1901</v>
      </c>
      <c r="F112" s="1" t="s">
        <v>88</v>
      </c>
      <c r="G112" s="1" t="s">
        <v>2302</v>
      </c>
      <c r="H112" s="1"/>
      <c r="I112" s="1">
        <v>6</v>
      </c>
      <c r="J112" s="1"/>
      <c r="K112" s="1"/>
      <c r="L112" s="1"/>
      <c r="M112" s="1"/>
      <c r="O112" s="16" t="s">
        <v>367</v>
      </c>
      <c r="P112" s="1">
        <v>1</v>
      </c>
      <c r="Q112" s="15"/>
      <c r="R112" s="15"/>
      <c r="S112" s="15"/>
      <c r="T112" s="15"/>
      <c r="U112" s="15"/>
      <c r="V112" s="1"/>
      <c r="W112" s="1"/>
      <c r="X112" s="1"/>
      <c r="Y112" s="15">
        <v>13800</v>
      </c>
      <c r="Z112" s="15"/>
      <c r="AA112" s="15"/>
      <c r="AB112" s="17"/>
      <c r="AC112" s="82"/>
      <c r="AD112" s="16" t="s">
        <v>52</v>
      </c>
      <c r="AE112" s="16" t="s">
        <v>1903</v>
      </c>
      <c r="AF112" s="16"/>
      <c r="AG112" s="16"/>
      <c r="AH112" s="16"/>
      <c r="AI112" s="16">
        <v>12006</v>
      </c>
      <c r="AJ112" s="16"/>
      <c r="AK112" s="16"/>
      <c r="AL112" s="16"/>
      <c r="AM112" s="16"/>
      <c r="AN112" s="16"/>
      <c r="AO112" s="16"/>
      <c r="AP112" s="16"/>
      <c r="AR112" s="88"/>
      <c r="AS112" s="88"/>
      <c r="AU112" s="12" t="s">
        <v>1931</v>
      </c>
      <c r="AV112" s="19"/>
      <c r="AW112" s="39">
        <v>90</v>
      </c>
      <c r="AY112" s="33"/>
      <c r="AZ112" s="33"/>
      <c r="BA112" s="33"/>
    </row>
    <row r="113" spans="1:53" ht="12" customHeight="1" x14ac:dyDescent="0.2">
      <c r="A113" s="10" t="s">
        <v>1854</v>
      </c>
      <c r="B113" s="39">
        <v>101007</v>
      </c>
      <c r="C113" s="42" t="s">
        <v>3066</v>
      </c>
      <c r="D113" s="10" t="s">
        <v>2942</v>
      </c>
      <c r="E113" s="14" t="s">
        <v>1901</v>
      </c>
      <c r="F113" s="1" t="s">
        <v>398</v>
      </c>
      <c r="G113" s="1" t="s">
        <v>2302</v>
      </c>
      <c r="H113" s="1"/>
      <c r="I113" s="1">
        <v>7</v>
      </c>
      <c r="J113" s="1"/>
      <c r="K113" s="1"/>
      <c r="L113" s="1"/>
      <c r="M113" s="1"/>
      <c r="O113" s="16" t="s">
        <v>367</v>
      </c>
      <c r="P113" s="1">
        <v>1</v>
      </c>
      <c r="Q113" s="15"/>
      <c r="R113" s="15"/>
      <c r="S113" s="15"/>
      <c r="T113" s="15"/>
      <c r="U113" s="15"/>
      <c r="V113" s="1"/>
      <c r="W113" s="1"/>
      <c r="X113" s="1"/>
      <c r="Y113" s="15">
        <v>13800</v>
      </c>
      <c r="Z113" s="15"/>
      <c r="AA113" s="15"/>
      <c r="AB113" s="17"/>
      <c r="AC113" s="82"/>
      <c r="AD113" s="16" t="s">
        <v>52</v>
      </c>
      <c r="AE113" s="16" t="s">
        <v>1903</v>
      </c>
      <c r="AF113" s="16"/>
      <c r="AG113" s="16"/>
      <c r="AH113" s="16"/>
      <c r="AI113" s="16">
        <v>12007</v>
      </c>
      <c r="AJ113" s="16"/>
      <c r="AK113" s="16"/>
      <c r="AL113" s="16"/>
      <c r="AM113" s="16"/>
      <c r="AN113" s="16"/>
      <c r="AO113" s="16"/>
      <c r="AP113" s="16"/>
      <c r="AR113" s="88"/>
      <c r="AS113" s="88"/>
      <c r="AU113" s="12" t="s">
        <v>1931</v>
      </c>
      <c r="AV113" s="19"/>
      <c r="AW113" s="39">
        <v>90</v>
      </c>
      <c r="AY113" s="33"/>
      <c r="AZ113" s="33"/>
      <c r="BA113" s="33"/>
    </row>
    <row r="114" spans="1:53" ht="12" customHeight="1" x14ac:dyDescent="0.2">
      <c r="A114" s="10" t="s">
        <v>1855</v>
      </c>
      <c r="B114" s="39">
        <v>101008</v>
      </c>
      <c r="C114" s="42" t="s">
        <v>3067</v>
      </c>
      <c r="D114" s="10" t="s">
        <v>2942</v>
      </c>
      <c r="E114" s="14" t="s">
        <v>1901</v>
      </c>
      <c r="F114" s="1" t="s">
        <v>394</v>
      </c>
      <c r="G114" s="1" t="s">
        <v>2302</v>
      </c>
      <c r="H114" s="1"/>
      <c r="I114" s="1">
        <v>8</v>
      </c>
      <c r="J114" s="1"/>
      <c r="K114" s="1"/>
      <c r="L114" s="1"/>
      <c r="M114" s="1"/>
      <c r="O114" s="16" t="s">
        <v>367</v>
      </c>
      <c r="P114" s="1">
        <v>1</v>
      </c>
      <c r="Q114" s="15"/>
      <c r="R114" s="15"/>
      <c r="S114" s="15"/>
      <c r="T114" s="15"/>
      <c r="U114" s="15"/>
      <c r="V114" s="1"/>
      <c r="W114" s="1"/>
      <c r="X114" s="1"/>
      <c r="Y114" s="15">
        <v>13800</v>
      </c>
      <c r="Z114" s="15"/>
      <c r="AA114" s="15"/>
      <c r="AB114" s="17"/>
      <c r="AC114" s="82"/>
      <c r="AD114" s="16" t="s">
        <v>52</v>
      </c>
      <c r="AE114" s="16" t="s">
        <v>1903</v>
      </c>
      <c r="AF114" s="16"/>
      <c r="AG114" s="16"/>
      <c r="AH114" s="16"/>
      <c r="AI114" s="16">
        <v>12008</v>
      </c>
      <c r="AJ114" s="16"/>
      <c r="AK114" s="16"/>
      <c r="AL114" s="16"/>
      <c r="AM114" s="16"/>
      <c r="AN114" s="16"/>
      <c r="AO114" s="16"/>
      <c r="AP114" s="16"/>
      <c r="AR114" s="88"/>
      <c r="AS114" s="88"/>
      <c r="AU114" s="12" t="s">
        <v>1931</v>
      </c>
      <c r="AV114" s="19"/>
      <c r="AW114" s="39">
        <v>90</v>
      </c>
      <c r="AY114" s="33"/>
      <c r="AZ114" s="33"/>
      <c r="BA114" s="33"/>
    </row>
    <row r="115" spans="1:53" ht="12" customHeight="1" x14ac:dyDescent="0.2">
      <c r="A115" s="10" t="s">
        <v>1856</v>
      </c>
      <c r="B115" s="39">
        <v>101009</v>
      </c>
      <c r="C115" s="42" t="s">
        <v>3068</v>
      </c>
      <c r="D115" s="10" t="s">
        <v>2942</v>
      </c>
      <c r="E115" s="14" t="s">
        <v>1901</v>
      </c>
      <c r="F115" s="1" t="s">
        <v>396</v>
      </c>
      <c r="G115" s="1" t="s">
        <v>2302</v>
      </c>
      <c r="H115" s="1"/>
      <c r="I115" s="1">
        <v>9</v>
      </c>
      <c r="J115" s="1"/>
      <c r="K115" s="1"/>
      <c r="L115" s="1"/>
      <c r="M115" s="1"/>
      <c r="O115" s="16" t="s">
        <v>367</v>
      </c>
      <c r="P115" s="1">
        <v>1</v>
      </c>
      <c r="Q115" s="15"/>
      <c r="R115" s="15"/>
      <c r="S115" s="15"/>
      <c r="T115" s="15"/>
      <c r="U115" s="15"/>
      <c r="V115" s="1"/>
      <c r="W115" s="1"/>
      <c r="X115" s="1"/>
      <c r="Y115" s="15">
        <v>13800</v>
      </c>
      <c r="Z115" s="15"/>
      <c r="AA115" s="15"/>
      <c r="AB115" s="17"/>
      <c r="AC115" s="82"/>
      <c r="AD115" s="16" t="s">
        <v>52</v>
      </c>
      <c r="AE115" s="16" t="s">
        <v>1903</v>
      </c>
      <c r="AF115" s="16"/>
      <c r="AG115" s="16"/>
      <c r="AH115" s="16"/>
      <c r="AI115" s="16">
        <v>12009</v>
      </c>
      <c r="AJ115" s="16"/>
      <c r="AK115" s="16"/>
      <c r="AL115" s="16"/>
      <c r="AM115" s="16"/>
      <c r="AN115" s="16"/>
      <c r="AO115" s="16"/>
      <c r="AP115" s="16"/>
      <c r="AR115" s="88"/>
      <c r="AS115" s="88"/>
      <c r="AU115" s="12" t="s">
        <v>1931</v>
      </c>
      <c r="AV115" s="19"/>
      <c r="AW115" s="39">
        <v>90</v>
      </c>
      <c r="AY115" s="33"/>
      <c r="AZ115" s="33"/>
      <c r="BA115" s="33"/>
    </row>
    <row r="116" spans="1:53" ht="12" customHeight="1" x14ac:dyDescent="0.2">
      <c r="A116" s="10" t="s">
        <v>1857</v>
      </c>
      <c r="B116" s="39">
        <v>101010</v>
      </c>
      <c r="C116" s="42" t="s">
        <v>3069</v>
      </c>
      <c r="D116" s="10" t="s">
        <v>2942</v>
      </c>
      <c r="E116" s="14" t="s">
        <v>1901</v>
      </c>
      <c r="F116" s="1" t="s">
        <v>399</v>
      </c>
      <c r="G116" s="1" t="s">
        <v>2302</v>
      </c>
      <c r="H116" s="1"/>
      <c r="I116" s="1">
        <v>10</v>
      </c>
      <c r="J116" s="1"/>
      <c r="K116" s="1"/>
      <c r="L116" s="1"/>
      <c r="M116" s="1"/>
      <c r="O116" s="16" t="s">
        <v>367</v>
      </c>
      <c r="P116" s="1">
        <v>1</v>
      </c>
      <c r="Q116" s="15"/>
      <c r="R116" s="15"/>
      <c r="S116" s="15"/>
      <c r="T116" s="15"/>
      <c r="U116" s="15"/>
      <c r="V116" s="1"/>
      <c r="W116" s="1"/>
      <c r="X116" s="1"/>
      <c r="Y116" s="15">
        <v>13800</v>
      </c>
      <c r="Z116" s="15"/>
      <c r="AA116" s="15"/>
      <c r="AB116" s="17"/>
      <c r="AC116" s="82"/>
      <c r="AD116" s="16" t="s">
        <v>52</v>
      </c>
      <c r="AE116" s="16" t="s">
        <v>1903</v>
      </c>
      <c r="AF116" s="16"/>
      <c r="AG116" s="16"/>
      <c r="AH116" s="16"/>
      <c r="AI116" s="16">
        <v>12010</v>
      </c>
      <c r="AJ116" s="16"/>
      <c r="AK116" s="16"/>
      <c r="AL116" s="16"/>
      <c r="AM116" s="16"/>
      <c r="AN116" s="16"/>
      <c r="AO116" s="16"/>
      <c r="AP116" s="16"/>
      <c r="AR116" s="88"/>
      <c r="AS116" s="88"/>
      <c r="AU116" s="12" t="s">
        <v>1931</v>
      </c>
      <c r="AV116" s="19"/>
      <c r="AW116" s="39">
        <v>90</v>
      </c>
      <c r="AY116" s="33"/>
      <c r="AZ116" s="33"/>
      <c r="BA116" s="33"/>
    </row>
    <row r="117" spans="1:53" ht="12" customHeight="1" x14ac:dyDescent="0.2">
      <c r="A117" s="10" t="s">
        <v>1858</v>
      </c>
      <c r="B117" s="39">
        <v>101011</v>
      </c>
      <c r="C117" s="42" t="s">
        <v>3070</v>
      </c>
      <c r="D117" s="10" t="s">
        <v>2942</v>
      </c>
      <c r="E117" s="14" t="s">
        <v>1901</v>
      </c>
      <c r="F117" s="1" t="s">
        <v>395</v>
      </c>
      <c r="G117" s="1" t="s">
        <v>2302</v>
      </c>
      <c r="H117" s="1"/>
      <c r="I117" s="1">
        <v>11</v>
      </c>
      <c r="J117" s="1"/>
      <c r="K117" s="1"/>
      <c r="L117" s="1"/>
      <c r="M117" s="1"/>
      <c r="O117" s="16" t="s">
        <v>367</v>
      </c>
      <c r="P117" s="1">
        <v>1</v>
      </c>
      <c r="Q117" s="15"/>
      <c r="R117" s="15"/>
      <c r="S117" s="15"/>
      <c r="T117" s="15"/>
      <c r="U117" s="15"/>
      <c r="V117" s="1"/>
      <c r="W117" s="1"/>
      <c r="X117" s="1"/>
      <c r="Y117" s="15">
        <v>13800</v>
      </c>
      <c r="Z117" s="15"/>
      <c r="AA117" s="15"/>
      <c r="AB117" s="17"/>
      <c r="AC117" s="82"/>
      <c r="AD117" s="16" t="s">
        <v>52</v>
      </c>
      <c r="AE117" s="16" t="s">
        <v>1903</v>
      </c>
      <c r="AF117" s="16"/>
      <c r="AG117" s="16"/>
      <c r="AH117" s="16"/>
      <c r="AI117" s="16">
        <v>12011</v>
      </c>
      <c r="AJ117" s="16"/>
      <c r="AK117" s="16"/>
      <c r="AL117" s="16"/>
      <c r="AM117" s="16"/>
      <c r="AN117" s="16"/>
      <c r="AO117" s="16"/>
      <c r="AP117" s="16"/>
      <c r="AR117" s="88"/>
      <c r="AS117" s="88"/>
      <c r="AU117" s="12" t="s">
        <v>1931</v>
      </c>
      <c r="AV117" s="19"/>
      <c r="AW117" s="39">
        <v>90</v>
      </c>
      <c r="AY117" s="33"/>
      <c r="AZ117" s="33"/>
      <c r="BA117" s="33"/>
    </row>
    <row r="118" spans="1:53" ht="12" customHeight="1" x14ac:dyDescent="0.2">
      <c r="A118" s="10" t="s">
        <v>1859</v>
      </c>
      <c r="B118" s="39">
        <v>101012</v>
      </c>
      <c r="C118" s="42" t="s">
        <v>3071</v>
      </c>
      <c r="D118" s="10" t="s">
        <v>2942</v>
      </c>
      <c r="E118" s="14" t="s">
        <v>1901</v>
      </c>
      <c r="F118" s="1" t="s">
        <v>398</v>
      </c>
      <c r="G118" s="1" t="s">
        <v>2302</v>
      </c>
      <c r="H118" s="1"/>
      <c r="I118" s="1">
        <v>12</v>
      </c>
      <c r="J118" s="1"/>
      <c r="K118" s="1"/>
      <c r="L118" s="1"/>
      <c r="M118" s="1"/>
      <c r="O118" s="16" t="s">
        <v>367</v>
      </c>
      <c r="P118" s="1">
        <v>1</v>
      </c>
      <c r="Q118" s="15"/>
      <c r="R118" s="15"/>
      <c r="S118" s="15"/>
      <c r="T118" s="15"/>
      <c r="U118" s="15"/>
      <c r="V118" s="1"/>
      <c r="W118" s="1"/>
      <c r="X118" s="1"/>
      <c r="Y118" s="15">
        <v>13800</v>
      </c>
      <c r="Z118" s="15"/>
      <c r="AA118" s="15"/>
      <c r="AB118" s="17"/>
      <c r="AC118" s="82"/>
      <c r="AD118" s="16" t="s">
        <v>52</v>
      </c>
      <c r="AE118" s="16" t="s">
        <v>1903</v>
      </c>
      <c r="AF118" s="16"/>
      <c r="AG118" s="16"/>
      <c r="AH118" s="16"/>
      <c r="AI118" s="16">
        <v>12012</v>
      </c>
      <c r="AJ118" s="16"/>
      <c r="AK118" s="16"/>
      <c r="AL118" s="16"/>
      <c r="AM118" s="16"/>
      <c r="AN118" s="16"/>
      <c r="AO118" s="16"/>
      <c r="AP118" s="16"/>
      <c r="AR118" s="88"/>
      <c r="AS118" s="88"/>
      <c r="AU118" s="12" t="s">
        <v>1931</v>
      </c>
      <c r="AV118" s="19"/>
      <c r="AW118" s="39">
        <v>90</v>
      </c>
      <c r="AY118" s="33"/>
      <c r="AZ118" s="33"/>
      <c r="BA118" s="33"/>
    </row>
    <row r="119" spans="1:53" ht="12" customHeight="1" x14ac:dyDescent="0.2">
      <c r="A119" s="10" t="s">
        <v>1860</v>
      </c>
      <c r="B119" s="39">
        <v>101013</v>
      </c>
      <c r="C119" s="42" t="s">
        <v>3072</v>
      </c>
      <c r="D119" s="10" t="s">
        <v>2942</v>
      </c>
      <c r="E119" s="14" t="s">
        <v>1901</v>
      </c>
      <c r="F119" s="1" t="s">
        <v>395</v>
      </c>
      <c r="G119" s="1" t="s">
        <v>2302</v>
      </c>
      <c r="H119" s="1"/>
      <c r="I119" s="1">
        <v>13</v>
      </c>
      <c r="J119" s="1"/>
      <c r="K119" s="1"/>
      <c r="L119" s="1"/>
      <c r="M119" s="1"/>
      <c r="O119" s="16" t="s">
        <v>367</v>
      </c>
      <c r="P119" s="1">
        <v>1</v>
      </c>
      <c r="Q119" s="15"/>
      <c r="R119" s="15"/>
      <c r="S119" s="15"/>
      <c r="T119" s="15"/>
      <c r="U119" s="15"/>
      <c r="V119" s="1"/>
      <c r="W119" s="1"/>
      <c r="X119" s="1"/>
      <c r="Y119" s="15">
        <v>13800</v>
      </c>
      <c r="Z119" s="15"/>
      <c r="AA119" s="15"/>
      <c r="AB119" s="17"/>
      <c r="AC119" s="82"/>
      <c r="AD119" s="16" t="s">
        <v>52</v>
      </c>
      <c r="AE119" s="16" t="s">
        <v>1903</v>
      </c>
      <c r="AF119" s="16"/>
      <c r="AG119" s="16"/>
      <c r="AH119" s="16"/>
      <c r="AI119" s="16">
        <v>12013</v>
      </c>
      <c r="AJ119" s="16"/>
      <c r="AK119" s="16"/>
      <c r="AL119" s="16"/>
      <c r="AM119" s="16"/>
      <c r="AN119" s="16"/>
      <c r="AO119" s="16"/>
      <c r="AP119" s="16"/>
      <c r="AR119" s="88"/>
      <c r="AS119" s="88"/>
      <c r="AU119" s="12" t="s">
        <v>1931</v>
      </c>
      <c r="AV119" s="19"/>
      <c r="AW119" s="39">
        <v>90</v>
      </c>
      <c r="AY119" s="33"/>
      <c r="AZ119" s="33"/>
      <c r="BA119" s="33"/>
    </row>
    <row r="120" spans="1:53" ht="12" customHeight="1" x14ac:dyDescent="0.2">
      <c r="A120" s="10" t="s">
        <v>1861</v>
      </c>
      <c r="B120" s="39">
        <v>101014</v>
      </c>
      <c r="C120" s="42" t="e">
        <v>#N/A</v>
      </c>
      <c r="D120" s="10" t="s">
        <v>2942</v>
      </c>
      <c r="E120" s="14" t="s">
        <v>1901</v>
      </c>
      <c r="F120" s="1" t="s">
        <v>399</v>
      </c>
      <c r="G120" s="1" t="s">
        <v>2302</v>
      </c>
      <c r="H120" s="1"/>
      <c r="I120" s="1">
        <v>14</v>
      </c>
      <c r="J120" s="1"/>
      <c r="K120" s="1"/>
      <c r="L120" s="1"/>
      <c r="M120" s="1"/>
      <c r="O120" s="16" t="s">
        <v>367</v>
      </c>
      <c r="P120" s="1">
        <v>1</v>
      </c>
      <c r="Q120" s="15"/>
      <c r="R120" s="15"/>
      <c r="S120" s="15"/>
      <c r="T120" s="15"/>
      <c r="U120" s="15"/>
      <c r="V120" s="1"/>
      <c r="W120" s="1"/>
      <c r="X120" s="1"/>
      <c r="Y120" s="15">
        <v>13800</v>
      </c>
      <c r="Z120" s="15"/>
      <c r="AA120" s="15"/>
      <c r="AB120" s="17"/>
      <c r="AC120" s="82"/>
      <c r="AD120" s="16" t="s">
        <v>52</v>
      </c>
      <c r="AE120" s="16" t="s">
        <v>1903</v>
      </c>
      <c r="AF120" s="16"/>
      <c r="AG120" s="16"/>
      <c r="AH120" s="16"/>
      <c r="AI120" s="16">
        <v>12014</v>
      </c>
      <c r="AJ120" s="16"/>
      <c r="AK120" s="16"/>
      <c r="AL120" s="16"/>
      <c r="AM120" s="16"/>
      <c r="AN120" s="16"/>
      <c r="AO120" s="16"/>
      <c r="AP120" s="16"/>
      <c r="AR120" s="88"/>
      <c r="AS120" s="88"/>
      <c r="AU120" s="12" t="s">
        <v>1931</v>
      </c>
      <c r="AV120" s="19"/>
      <c r="AW120" s="39">
        <v>90</v>
      </c>
      <c r="AY120" s="33"/>
      <c r="AZ120" s="33"/>
      <c r="BA120" s="33"/>
    </row>
    <row r="121" spans="1:53" ht="12" customHeight="1" x14ac:dyDescent="0.2">
      <c r="A121" s="10" t="s">
        <v>1862</v>
      </c>
      <c r="B121" s="39">
        <v>101015</v>
      </c>
      <c r="C121" s="42" t="s">
        <v>3073</v>
      </c>
      <c r="D121" s="10" t="s">
        <v>2942</v>
      </c>
      <c r="E121" s="14" t="s">
        <v>1901</v>
      </c>
      <c r="F121" s="1" t="s">
        <v>400</v>
      </c>
      <c r="G121" s="1" t="s">
        <v>2302</v>
      </c>
      <c r="H121" s="1"/>
      <c r="I121" s="1">
        <v>15</v>
      </c>
      <c r="J121" s="1"/>
      <c r="K121" s="1"/>
      <c r="L121" s="1"/>
      <c r="M121" s="1"/>
      <c r="O121" s="16" t="s">
        <v>367</v>
      </c>
      <c r="P121" s="1">
        <v>1</v>
      </c>
      <c r="Q121" s="15"/>
      <c r="R121" s="15"/>
      <c r="S121" s="15"/>
      <c r="T121" s="15"/>
      <c r="U121" s="15"/>
      <c r="V121" s="1"/>
      <c r="W121" s="1"/>
      <c r="X121" s="1"/>
      <c r="Y121" s="15">
        <v>13800</v>
      </c>
      <c r="Z121" s="15"/>
      <c r="AA121" s="15"/>
      <c r="AB121" s="17"/>
      <c r="AC121" s="82"/>
      <c r="AD121" s="16" t="s">
        <v>52</v>
      </c>
      <c r="AE121" s="16" t="s">
        <v>1903</v>
      </c>
      <c r="AF121" s="16"/>
      <c r="AG121" s="16"/>
      <c r="AH121" s="16"/>
      <c r="AI121" s="16">
        <v>12015</v>
      </c>
      <c r="AJ121" s="16"/>
      <c r="AK121" s="16"/>
      <c r="AL121" s="16"/>
      <c r="AM121" s="16"/>
      <c r="AN121" s="16"/>
      <c r="AO121" s="16"/>
      <c r="AP121" s="16"/>
      <c r="AR121" s="88"/>
      <c r="AS121" s="88"/>
      <c r="AU121" s="12" t="s">
        <v>1931</v>
      </c>
      <c r="AV121" s="19"/>
      <c r="AW121" s="39">
        <v>90</v>
      </c>
      <c r="AY121" s="33"/>
      <c r="AZ121" s="33"/>
      <c r="BA121" s="33"/>
    </row>
    <row r="122" spans="1:53" ht="12" customHeight="1" x14ac:dyDescent="0.2">
      <c r="A122" s="10" t="s">
        <v>1863</v>
      </c>
      <c r="B122" s="39">
        <v>101016</v>
      </c>
      <c r="C122" s="42" t="s">
        <v>3074</v>
      </c>
      <c r="D122" s="10" t="s">
        <v>2942</v>
      </c>
      <c r="E122" s="14" t="s">
        <v>1901</v>
      </c>
      <c r="F122" s="1" t="s">
        <v>394</v>
      </c>
      <c r="G122" s="1" t="s">
        <v>2302</v>
      </c>
      <c r="H122" s="1"/>
      <c r="I122" s="1">
        <v>16</v>
      </c>
      <c r="J122" s="1"/>
      <c r="K122" s="1"/>
      <c r="L122" s="1"/>
      <c r="M122" s="1"/>
      <c r="O122" s="16" t="s">
        <v>367</v>
      </c>
      <c r="P122" s="1">
        <v>1</v>
      </c>
      <c r="Q122" s="15"/>
      <c r="R122" s="15"/>
      <c r="S122" s="15"/>
      <c r="T122" s="15"/>
      <c r="U122" s="15"/>
      <c r="V122" s="1"/>
      <c r="W122" s="1"/>
      <c r="X122" s="1"/>
      <c r="Y122" s="15">
        <v>13800</v>
      </c>
      <c r="Z122" s="15"/>
      <c r="AA122" s="15"/>
      <c r="AB122" s="17"/>
      <c r="AC122" s="82"/>
      <c r="AD122" s="16" t="s">
        <v>52</v>
      </c>
      <c r="AE122" s="16" t="s">
        <v>1903</v>
      </c>
      <c r="AF122" s="16"/>
      <c r="AG122" s="16"/>
      <c r="AH122" s="16"/>
      <c r="AI122" s="16">
        <v>12016</v>
      </c>
      <c r="AJ122" s="16"/>
      <c r="AK122" s="16"/>
      <c r="AL122" s="16"/>
      <c r="AM122" s="16"/>
      <c r="AN122" s="16"/>
      <c r="AO122" s="16"/>
      <c r="AP122" s="16"/>
      <c r="AR122" s="88"/>
      <c r="AS122" s="88"/>
      <c r="AU122" s="12" t="s">
        <v>1931</v>
      </c>
      <c r="AV122" s="19"/>
      <c r="AW122" s="39">
        <v>90</v>
      </c>
      <c r="AY122" s="33"/>
      <c r="AZ122" s="33"/>
      <c r="BA122" s="33"/>
    </row>
    <row r="123" spans="1:53" ht="12" customHeight="1" x14ac:dyDescent="0.2">
      <c r="A123" s="10" t="s">
        <v>1864</v>
      </c>
      <c r="B123" s="39">
        <v>101017</v>
      </c>
      <c r="C123" s="42" t="s">
        <v>3075</v>
      </c>
      <c r="D123" s="10" t="s">
        <v>2942</v>
      </c>
      <c r="E123" s="14" t="s">
        <v>1901</v>
      </c>
      <c r="F123" s="1" t="s">
        <v>399</v>
      </c>
      <c r="G123" s="1" t="s">
        <v>2302</v>
      </c>
      <c r="H123" s="1"/>
      <c r="I123" s="1">
        <v>17</v>
      </c>
      <c r="J123" s="1"/>
      <c r="K123" s="1"/>
      <c r="L123" s="1"/>
      <c r="M123" s="1"/>
      <c r="O123" s="16" t="s">
        <v>367</v>
      </c>
      <c r="P123" s="1">
        <v>1</v>
      </c>
      <c r="Q123" s="15"/>
      <c r="R123" s="15"/>
      <c r="S123" s="15"/>
      <c r="T123" s="15"/>
      <c r="U123" s="15"/>
      <c r="V123" s="1"/>
      <c r="W123" s="1"/>
      <c r="X123" s="1"/>
      <c r="Y123" s="15">
        <v>13800</v>
      </c>
      <c r="Z123" s="15"/>
      <c r="AA123" s="15"/>
      <c r="AB123" s="17"/>
      <c r="AC123" s="82"/>
      <c r="AD123" s="16" t="s">
        <v>52</v>
      </c>
      <c r="AE123" s="16" t="s">
        <v>1903</v>
      </c>
      <c r="AF123" s="16"/>
      <c r="AG123" s="16"/>
      <c r="AH123" s="16"/>
      <c r="AI123" s="16">
        <v>12017</v>
      </c>
      <c r="AJ123" s="16"/>
      <c r="AK123" s="16"/>
      <c r="AL123" s="16"/>
      <c r="AM123" s="16"/>
      <c r="AN123" s="16"/>
      <c r="AO123" s="16"/>
      <c r="AP123" s="16"/>
      <c r="AR123" s="88"/>
      <c r="AS123" s="88"/>
      <c r="AU123" s="12" t="s">
        <v>1931</v>
      </c>
      <c r="AV123" s="19"/>
      <c r="AW123" s="39">
        <v>90</v>
      </c>
      <c r="AY123" s="33"/>
      <c r="AZ123" s="33"/>
      <c r="BA123" s="33"/>
    </row>
    <row r="124" spans="1:53" ht="12" customHeight="1" x14ac:dyDescent="0.2">
      <c r="A124" s="10" t="s">
        <v>1865</v>
      </c>
      <c r="B124" s="39">
        <v>101018</v>
      </c>
      <c r="C124" s="42" t="s">
        <v>3076</v>
      </c>
      <c r="D124" s="10" t="s">
        <v>2942</v>
      </c>
      <c r="E124" s="14" t="s">
        <v>1901</v>
      </c>
      <c r="F124" s="1" t="s">
        <v>396</v>
      </c>
      <c r="G124" s="1" t="s">
        <v>2302</v>
      </c>
      <c r="H124" s="1"/>
      <c r="I124" s="1">
        <v>18</v>
      </c>
      <c r="J124" s="1"/>
      <c r="K124" s="1"/>
      <c r="L124" s="1"/>
      <c r="M124" s="1"/>
      <c r="O124" s="16" t="s">
        <v>367</v>
      </c>
      <c r="P124" s="1">
        <v>1</v>
      </c>
      <c r="Q124" s="15"/>
      <c r="R124" s="15"/>
      <c r="S124" s="15"/>
      <c r="T124" s="15"/>
      <c r="U124" s="15"/>
      <c r="V124" s="1"/>
      <c r="W124" s="1"/>
      <c r="X124" s="1"/>
      <c r="Y124" s="15">
        <v>13800</v>
      </c>
      <c r="Z124" s="15"/>
      <c r="AA124" s="15"/>
      <c r="AB124" s="17"/>
      <c r="AC124" s="82"/>
      <c r="AD124" s="16" t="s">
        <v>52</v>
      </c>
      <c r="AE124" s="16" t="s">
        <v>1903</v>
      </c>
      <c r="AF124" s="16"/>
      <c r="AG124" s="16"/>
      <c r="AH124" s="16"/>
      <c r="AI124" s="16">
        <v>12018</v>
      </c>
      <c r="AJ124" s="16"/>
      <c r="AK124" s="16"/>
      <c r="AL124" s="16"/>
      <c r="AM124" s="16"/>
      <c r="AN124" s="16"/>
      <c r="AO124" s="16"/>
      <c r="AP124" s="16"/>
      <c r="AR124" s="88"/>
      <c r="AS124" s="88"/>
      <c r="AU124" s="12" t="s">
        <v>1931</v>
      </c>
      <c r="AV124" s="19"/>
      <c r="AW124" s="39">
        <v>90</v>
      </c>
      <c r="AY124" s="33"/>
      <c r="AZ124" s="33"/>
      <c r="BA124" s="33"/>
    </row>
    <row r="125" spans="1:53" ht="12" customHeight="1" x14ac:dyDescent="0.2">
      <c r="A125" s="10" t="s">
        <v>1866</v>
      </c>
      <c r="B125" s="39">
        <v>101019</v>
      </c>
      <c r="C125" s="42" t="s">
        <v>3077</v>
      </c>
      <c r="D125" s="10" t="s">
        <v>2942</v>
      </c>
      <c r="E125" s="14" t="s">
        <v>1901</v>
      </c>
      <c r="F125" s="1" t="s">
        <v>395</v>
      </c>
      <c r="G125" s="1" t="s">
        <v>2302</v>
      </c>
      <c r="H125" s="1"/>
      <c r="I125" s="1">
        <v>19</v>
      </c>
      <c r="J125" s="1"/>
      <c r="K125" s="1"/>
      <c r="L125" s="1"/>
      <c r="M125" s="1"/>
      <c r="O125" s="16" t="s">
        <v>367</v>
      </c>
      <c r="P125" s="1">
        <v>1</v>
      </c>
      <c r="Q125" s="15"/>
      <c r="R125" s="15"/>
      <c r="S125" s="15"/>
      <c r="T125" s="15"/>
      <c r="U125" s="15"/>
      <c r="V125" s="1"/>
      <c r="W125" s="1"/>
      <c r="X125" s="1"/>
      <c r="Y125" s="15">
        <v>13800</v>
      </c>
      <c r="Z125" s="15"/>
      <c r="AA125" s="15"/>
      <c r="AB125" s="17"/>
      <c r="AC125" s="82"/>
      <c r="AD125" s="16" t="s">
        <v>52</v>
      </c>
      <c r="AE125" s="16" t="s">
        <v>1903</v>
      </c>
      <c r="AF125" s="16"/>
      <c r="AG125" s="16"/>
      <c r="AH125" s="16"/>
      <c r="AI125" s="16">
        <v>12019</v>
      </c>
      <c r="AJ125" s="16"/>
      <c r="AK125" s="16"/>
      <c r="AL125" s="16"/>
      <c r="AM125" s="16"/>
      <c r="AN125" s="16"/>
      <c r="AO125" s="16"/>
      <c r="AP125" s="16"/>
      <c r="AR125" s="88"/>
      <c r="AS125" s="88"/>
      <c r="AU125" s="12" t="s">
        <v>1931</v>
      </c>
      <c r="AV125" s="19"/>
      <c r="AW125" s="39">
        <v>90</v>
      </c>
      <c r="AY125" s="33"/>
      <c r="AZ125" s="33"/>
      <c r="BA125" s="33"/>
    </row>
    <row r="126" spans="1:53" ht="12" customHeight="1" x14ac:dyDescent="0.2">
      <c r="A126" s="10" t="s">
        <v>1867</v>
      </c>
      <c r="B126" s="39">
        <v>101020</v>
      </c>
      <c r="C126" s="42" t="s">
        <v>3078</v>
      </c>
      <c r="D126" s="10" t="s">
        <v>2942</v>
      </c>
      <c r="E126" s="14" t="s">
        <v>1901</v>
      </c>
      <c r="F126" s="1" t="s">
        <v>400</v>
      </c>
      <c r="G126" s="1" t="s">
        <v>2302</v>
      </c>
      <c r="H126" s="1"/>
      <c r="I126" s="1">
        <v>20</v>
      </c>
      <c r="J126" s="1"/>
      <c r="K126" s="1"/>
      <c r="L126" s="1"/>
      <c r="M126" s="1"/>
      <c r="O126" s="16" t="s">
        <v>367</v>
      </c>
      <c r="P126" s="1">
        <v>1</v>
      </c>
      <c r="Q126" s="15"/>
      <c r="R126" s="15"/>
      <c r="S126" s="15"/>
      <c r="T126" s="15"/>
      <c r="U126" s="15"/>
      <c r="V126" s="1"/>
      <c r="W126" s="1"/>
      <c r="X126" s="1"/>
      <c r="Y126" s="15">
        <v>13800</v>
      </c>
      <c r="Z126" s="15"/>
      <c r="AA126" s="15"/>
      <c r="AB126" s="17"/>
      <c r="AC126" s="82"/>
      <c r="AD126" s="16" t="s">
        <v>52</v>
      </c>
      <c r="AE126" s="16" t="s">
        <v>1903</v>
      </c>
      <c r="AF126" s="16"/>
      <c r="AG126" s="16"/>
      <c r="AH126" s="16"/>
      <c r="AI126" s="16">
        <v>12020</v>
      </c>
      <c r="AJ126" s="16"/>
      <c r="AK126" s="16"/>
      <c r="AL126" s="16"/>
      <c r="AM126" s="16"/>
      <c r="AN126" s="16"/>
      <c r="AO126" s="16"/>
      <c r="AP126" s="16"/>
      <c r="AR126" s="88"/>
      <c r="AS126" s="88"/>
      <c r="AU126" s="12" t="s">
        <v>1931</v>
      </c>
      <c r="AV126" s="19"/>
      <c r="AW126" s="39">
        <v>90</v>
      </c>
      <c r="AY126" s="33"/>
      <c r="AZ126" s="33"/>
      <c r="BA126" s="33"/>
    </row>
    <row r="127" spans="1:53" ht="12" customHeight="1" x14ac:dyDescent="0.2">
      <c r="A127" s="10" t="s">
        <v>1868</v>
      </c>
      <c r="B127" s="39">
        <v>101021</v>
      </c>
      <c r="C127" s="42" t="s">
        <v>3079</v>
      </c>
      <c r="D127" s="10" t="s">
        <v>2942</v>
      </c>
      <c r="E127" s="14" t="s">
        <v>1901</v>
      </c>
      <c r="F127" s="1" t="s">
        <v>89</v>
      </c>
      <c r="G127" s="1" t="s">
        <v>2302</v>
      </c>
      <c r="H127" s="1"/>
      <c r="I127" s="1">
        <v>21</v>
      </c>
      <c r="J127" s="1"/>
      <c r="K127" s="1"/>
      <c r="L127" s="1"/>
      <c r="M127" s="1"/>
      <c r="O127" s="16" t="s">
        <v>367</v>
      </c>
      <c r="P127" s="1">
        <v>1</v>
      </c>
      <c r="Q127" s="15"/>
      <c r="R127" s="15"/>
      <c r="S127" s="15"/>
      <c r="T127" s="15"/>
      <c r="U127" s="15"/>
      <c r="V127" s="1"/>
      <c r="W127" s="1"/>
      <c r="X127" s="1"/>
      <c r="Y127" s="15">
        <v>13800</v>
      </c>
      <c r="Z127" s="15"/>
      <c r="AA127" s="15"/>
      <c r="AB127" s="17"/>
      <c r="AC127" s="82"/>
      <c r="AD127" s="16" t="s">
        <v>52</v>
      </c>
      <c r="AE127" s="16" t="s">
        <v>1903</v>
      </c>
      <c r="AF127" s="16"/>
      <c r="AG127" s="16"/>
      <c r="AH127" s="16"/>
      <c r="AI127" s="16">
        <v>12021</v>
      </c>
      <c r="AJ127" s="16"/>
      <c r="AK127" s="16"/>
      <c r="AL127" s="16"/>
      <c r="AM127" s="16"/>
      <c r="AN127" s="16"/>
      <c r="AO127" s="16"/>
      <c r="AP127" s="16"/>
      <c r="AR127" s="88"/>
      <c r="AS127" s="88"/>
      <c r="AU127" s="12" t="s">
        <v>1931</v>
      </c>
      <c r="AV127" s="19"/>
      <c r="AW127" s="39">
        <v>90</v>
      </c>
      <c r="AY127" s="33"/>
      <c r="AZ127" s="33"/>
      <c r="BA127" s="33"/>
    </row>
    <row r="128" spans="1:53" ht="12" customHeight="1" x14ac:dyDescent="0.2">
      <c r="A128" s="10" t="s">
        <v>1869</v>
      </c>
      <c r="B128" s="39">
        <v>101022</v>
      </c>
      <c r="C128" s="42" t="s">
        <v>3080</v>
      </c>
      <c r="D128" s="10" t="s">
        <v>2942</v>
      </c>
      <c r="E128" s="14" t="s">
        <v>1901</v>
      </c>
      <c r="F128" s="1" t="s">
        <v>398</v>
      </c>
      <c r="G128" s="1" t="s">
        <v>2302</v>
      </c>
      <c r="H128" s="1"/>
      <c r="I128" s="1">
        <v>22</v>
      </c>
      <c r="J128" s="1"/>
      <c r="K128" s="1"/>
      <c r="L128" s="1"/>
      <c r="M128" s="1"/>
      <c r="O128" s="16" t="s">
        <v>367</v>
      </c>
      <c r="P128" s="1">
        <v>1</v>
      </c>
      <c r="Q128" s="15"/>
      <c r="R128" s="15"/>
      <c r="S128" s="15"/>
      <c r="T128" s="15"/>
      <c r="U128" s="15"/>
      <c r="V128" s="1"/>
      <c r="W128" s="1"/>
      <c r="X128" s="1"/>
      <c r="Y128" s="15">
        <v>13800</v>
      </c>
      <c r="Z128" s="15"/>
      <c r="AA128" s="15"/>
      <c r="AB128" s="17"/>
      <c r="AC128" s="82"/>
      <c r="AD128" s="16" t="s">
        <v>52</v>
      </c>
      <c r="AE128" s="16" t="s">
        <v>1903</v>
      </c>
      <c r="AF128" s="16"/>
      <c r="AG128" s="16"/>
      <c r="AH128" s="16"/>
      <c r="AI128" s="16">
        <v>12022</v>
      </c>
      <c r="AJ128" s="16"/>
      <c r="AK128" s="16"/>
      <c r="AL128" s="16"/>
      <c r="AM128" s="16"/>
      <c r="AN128" s="16"/>
      <c r="AO128" s="16"/>
      <c r="AP128" s="16"/>
      <c r="AR128" s="88"/>
      <c r="AS128" s="88"/>
      <c r="AU128" s="12" t="s">
        <v>1931</v>
      </c>
      <c r="AV128" s="19"/>
      <c r="AW128" s="39">
        <v>90</v>
      </c>
      <c r="AY128" s="33"/>
      <c r="AZ128" s="33"/>
      <c r="BA128" s="33"/>
    </row>
    <row r="129" spans="1:53" ht="12" customHeight="1" x14ac:dyDescent="0.2">
      <c r="A129" s="10" t="s">
        <v>1870</v>
      </c>
      <c r="B129" s="39">
        <v>101023</v>
      </c>
      <c r="C129" s="42" t="s">
        <v>3081</v>
      </c>
      <c r="D129" s="10" t="s">
        <v>2942</v>
      </c>
      <c r="E129" s="14" t="s">
        <v>1901</v>
      </c>
      <c r="F129" s="1" t="s">
        <v>400</v>
      </c>
      <c r="G129" s="1" t="s">
        <v>2302</v>
      </c>
      <c r="H129" s="1"/>
      <c r="I129" s="1">
        <v>23</v>
      </c>
      <c r="J129" s="1"/>
      <c r="K129" s="1"/>
      <c r="L129" s="1"/>
      <c r="M129" s="1"/>
      <c r="O129" s="16" t="s">
        <v>367</v>
      </c>
      <c r="P129" s="1">
        <v>1</v>
      </c>
      <c r="Q129" s="15"/>
      <c r="R129" s="15"/>
      <c r="S129" s="15"/>
      <c r="T129" s="15"/>
      <c r="U129" s="15"/>
      <c r="V129" s="1"/>
      <c r="W129" s="1"/>
      <c r="X129" s="1"/>
      <c r="Y129" s="15">
        <v>13800</v>
      </c>
      <c r="Z129" s="15"/>
      <c r="AA129" s="15"/>
      <c r="AB129" s="17"/>
      <c r="AC129" s="82"/>
      <c r="AD129" s="16" t="s">
        <v>52</v>
      </c>
      <c r="AE129" s="16" t="s">
        <v>1903</v>
      </c>
      <c r="AF129" s="16"/>
      <c r="AG129" s="16"/>
      <c r="AH129" s="16"/>
      <c r="AI129" s="16">
        <v>12023</v>
      </c>
      <c r="AJ129" s="16"/>
      <c r="AK129" s="16"/>
      <c r="AL129" s="16"/>
      <c r="AM129" s="16"/>
      <c r="AN129" s="16"/>
      <c r="AO129" s="16"/>
      <c r="AP129" s="16"/>
      <c r="AR129" s="88"/>
      <c r="AS129" s="88"/>
      <c r="AU129" s="12" t="s">
        <v>1931</v>
      </c>
      <c r="AV129" s="19"/>
      <c r="AW129" s="39">
        <v>90</v>
      </c>
      <c r="AY129" s="33"/>
      <c r="AZ129" s="33"/>
      <c r="BA129" s="33"/>
    </row>
    <row r="130" spans="1:53" ht="12" customHeight="1" x14ac:dyDescent="0.2">
      <c r="A130" s="10" t="s">
        <v>1871</v>
      </c>
      <c r="B130" s="39">
        <v>101024</v>
      </c>
      <c r="C130" s="42" t="s">
        <v>3082</v>
      </c>
      <c r="D130" s="10" t="s">
        <v>2942</v>
      </c>
      <c r="E130" s="14" t="s">
        <v>1901</v>
      </c>
      <c r="F130" s="1" t="s">
        <v>394</v>
      </c>
      <c r="G130" s="1" t="s">
        <v>2302</v>
      </c>
      <c r="H130" s="1"/>
      <c r="I130" s="1">
        <v>24</v>
      </c>
      <c r="J130" s="1"/>
      <c r="K130" s="1"/>
      <c r="L130" s="1"/>
      <c r="M130" s="1"/>
      <c r="O130" s="16" t="s">
        <v>367</v>
      </c>
      <c r="P130" s="1">
        <v>1</v>
      </c>
      <c r="Q130" s="15"/>
      <c r="R130" s="15"/>
      <c r="S130" s="15"/>
      <c r="T130" s="15"/>
      <c r="U130" s="15"/>
      <c r="V130" s="1"/>
      <c r="W130" s="1"/>
      <c r="X130" s="1"/>
      <c r="Y130" s="15">
        <v>13800</v>
      </c>
      <c r="Z130" s="15"/>
      <c r="AA130" s="15"/>
      <c r="AB130" s="17"/>
      <c r="AC130" s="82"/>
      <c r="AD130" s="16" t="s">
        <v>52</v>
      </c>
      <c r="AE130" s="16" t="s">
        <v>1903</v>
      </c>
      <c r="AF130" s="16"/>
      <c r="AG130" s="16"/>
      <c r="AH130" s="16"/>
      <c r="AI130" s="16">
        <v>12024</v>
      </c>
      <c r="AJ130" s="16"/>
      <c r="AK130" s="16"/>
      <c r="AL130" s="16"/>
      <c r="AM130" s="16"/>
      <c r="AN130" s="16"/>
      <c r="AO130" s="16"/>
      <c r="AP130" s="16"/>
      <c r="AR130" s="88"/>
      <c r="AS130" s="88"/>
      <c r="AU130" s="12" t="s">
        <v>1931</v>
      </c>
      <c r="AV130" s="19"/>
      <c r="AW130" s="39">
        <v>90</v>
      </c>
      <c r="AY130" s="33"/>
      <c r="AZ130" s="33"/>
      <c r="BA130" s="33"/>
    </row>
    <row r="131" spans="1:53" ht="12" customHeight="1" x14ac:dyDescent="0.2">
      <c r="A131" s="10" t="s">
        <v>1872</v>
      </c>
      <c r="B131" s="39">
        <v>101025</v>
      </c>
      <c r="C131" s="42" t="s">
        <v>3083</v>
      </c>
      <c r="D131" s="10" t="s">
        <v>2942</v>
      </c>
      <c r="E131" s="14" t="s">
        <v>1901</v>
      </c>
      <c r="F131" s="1" t="s">
        <v>400</v>
      </c>
      <c r="G131" s="1" t="s">
        <v>2302</v>
      </c>
      <c r="H131" s="1"/>
      <c r="I131" s="1">
        <v>25</v>
      </c>
      <c r="J131" s="1"/>
      <c r="K131" s="1"/>
      <c r="L131" s="1"/>
      <c r="M131" s="1"/>
      <c r="O131" s="16" t="s">
        <v>367</v>
      </c>
      <c r="P131" s="1">
        <v>1</v>
      </c>
      <c r="Q131" s="15"/>
      <c r="R131" s="15"/>
      <c r="S131" s="15"/>
      <c r="T131" s="15"/>
      <c r="U131" s="15"/>
      <c r="V131" s="1"/>
      <c r="W131" s="1"/>
      <c r="X131" s="1"/>
      <c r="Y131" s="15">
        <v>13800</v>
      </c>
      <c r="Z131" s="15"/>
      <c r="AA131" s="15"/>
      <c r="AB131" s="17"/>
      <c r="AC131" s="82"/>
      <c r="AD131" s="16" t="s">
        <v>52</v>
      </c>
      <c r="AE131" s="16" t="s">
        <v>1903</v>
      </c>
      <c r="AF131" s="16"/>
      <c r="AG131" s="16"/>
      <c r="AH131" s="16"/>
      <c r="AI131" s="16">
        <v>12025</v>
      </c>
      <c r="AJ131" s="16"/>
      <c r="AK131" s="16"/>
      <c r="AL131" s="16"/>
      <c r="AM131" s="16"/>
      <c r="AN131" s="16"/>
      <c r="AO131" s="16"/>
      <c r="AP131" s="16"/>
      <c r="AR131" s="88"/>
      <c r="AS131" s="88"/>
      <c r="AU131" s="12" t="s">
        <v>1931</v>
      </c>
      <c r="AV131" s="19"/>
      <c r="AW131" s="39">
        <v>90</v>
      </c>
      <c r="AY131" s="33"/>
      <c r="AZ131" s="33"/>
      <c r="BA131" s="33"/>
    </row>
    <row r="132" spans="1:53" ht="12" customHeight="1" x14ac:dyDescent="0.2">
      <c r="A132" s="10" t="s">
        <v>1873</v>
      </c>
      <c r="B132" s="39">
        <v>101026</v>
      </c>
      <c r="C132" s="42" t="s">
        <v>3084</v>
      </c>
      <c r="D132" s="10" t="s">
        <v>2942</v>
      </c>
      <c r="E132" s="14" t="s">
        <v>1901</v>
      </c>
      <c r="F132" s="1" t="s">
        <v>395</v>
      </c>
      <c r="G132" s="1" t="s">
        <v>2302</v>
      </c>
      <c r="H132" s="1"/>
      <c r="I132" s="1">
        <v>26</v>
      </c>
      <c r="J132" s="1"/>
      <c r="K132" s="1"/>
      <c r="L132" s="1"/>
      <c r="M132" s="1"/>
      <c r="O132" s="16" t="s">
        <v>367</v>
      </c>
      <c r="P132" s="1">
        <v>1</v>
      </c>
      <c r="Q132" s="15"/>
      <c r="R132" s="15"/>
      <c r="S132" s="15"/>
      <c r="T132" s="15"/>
      <c r="U132" s="15"/>
      <c r="V132" s="1"/>
      <c r="W132" s="1"/>
      <c r="X132" s="1"/>
      <c r="Y132" s="15">
        <v>13800</v>
      </c>
      <c r="Z132" s="15"/>
      <c r="AA132" s="15"/>
      <c r="AB132" s="17"/>
      <c r="AC132" s="82"/>
      <c r="AD132" s="16" t="s">
        <v>52</v>
      </c>
      <c r="AE132" s="16" t="s">
        <v>1903</v>
      </c>
      <c r="AF132" s="16"/>
      <c r="AG132" s="16"/>
      <c r="AH132" s="16"/>
      <c r="AI132" s="16">
        <v>12026</v>
      </c>
      <c r="AJ132" s="16"/>
      <c r="AK132" s="16"/>
      <c r="AL132" s="16"/>
      <c r="AM132" s="16"/>
      <c r="AN132" s="16"/>
      <c r="AO132" s="16"/>
      <c r="AP132" s="16"/>
      <c r="AR132" s="88"/>
      <c r="AS132" s="88"/>
      <c r="AU132" s="12" t="s">
        <v>1931</v>
      </c>
      <c r="AV132" s="19"/>
      <c r="AW132" s="39">
        <v>90</v>
      </c>
      <c r="AY132" s="33"/>
      <c r="AZ132" s="33"/>
      <c r="BA132" s="33"/>
    </row>
    <row r="133" spans="1:53" ht="12" customHeight="1" x14ac:dyDescent="0.2">
      <c r="A133" s="10" t="s">
        <v>1874</v>
      </c>
      <c r="B133" s="39">
        <v>101027</v>
      </c>
      <c r="C133" s="42" t="s">
        <v>3085</v>
      </c>
      <c r="D133" s="10" t="s">
        <v>2942</v>
      </c>
      <c r="E133" s="14" t="s">
        <v>1901</v>
      </c>
      <c r="F133" s="1" t="s">
        <v>394</v>
      </c>
      <c r="G133" s="1" t="s">
        <v>2302</v>
      </c>
      <c r="H133" s="1"/>
      <c r="I133" s="1">
        <v>27</v>
      </c>
      <c r="J133" s="1"/>
      <c r="K133" s="1"/>
      <c r="L133" s="1"/>
      <c r="M133" s="1"/>
      <c r="O133" s="16" t="s">
        <v>367</v>
      </c>
      <c r="P133" s="1">
        <v>1</v>
      </c>
      <c r="Q133" s="15"/>
      <c r="R133" s="15"/>
      <c r="S133" s="15"/>
      <c r="T133" s="15"/>
      <c r="U133" s="15"/>
      <c r="V133" s="1"/>
      <c r="W133" s="1"/>
      <c r="X133" s="1"/>
      <c r="Y133" s="15">
        <v>13800</v>
      </c>
      <c r="Z133" s="15"/>
      <c r="AA133" s="15"/>
      <c r="AB133" s="17"/>
      <c r="AC133" s="82"/>
      <c r="AD133" s="16" t="s">
        <v>52</v>
      </c>
      <c r="AE133" s="16" t="s">
        <v>1903</v>
      </c>
      <c r="AF133" s="16"/>
      <c r="AG133" s="16"/>
      <c r="AH133" s="16"/>
      <c r="AI133" s="16">
        <v>12027</v>
      </c>
      <c r="AJ133" s="16"/>
      <c r="AK133" s="16"/>
      <c r="AL133" s="16"/>
      <c r="AM133" s="16"/>
      <c r="AN133" s="16"/>
      <c r="AO133" s="16"/>
      <c r="AP133" s="16"/>
      <c r="AR133" s="88"/>
      <c r="AS133" s="88"/>
      <c r="AU133" s="12" t="s">
        <v>1931</v>
      </c>
      <c r="AV133" s="19"/>
      <c r="AW133" s="39">
        <v>90</v>
      </c>
      <c r="AY133" s="33"/>
      <c r="AZ133" s="33"/>
      <c r="BA133" s="33"/>
    </row>
    <row r="134" spans="1:53" ht="12" customHeight="1" x14ac:dyDescent="0.2">
      <c r="A134" s="10" t="s">
        <v>1875</v>
      </c>
      <c r="B134" s="39">
        <v>101028</v>
      </c>
      <c r="C134" s="42" t="s">
        <v>3086</v>
      </c>
      <c r="D134" s="10" t="s">
        <v>2942</v>
      </c>
      <c r="E134" s="14" t="s">
        <v>1901</v>
      </c>
      <c r="F134" s="1" t="s">
        <v>743</v>
      </c>
      <c r="G134" s="1" t="s">
        <v>2302</v>
      </c>
      <c r="H134" s="1"/>
      <c r="I134" s="1">
        <v>28</v>
      </c>
      <c r="J134" s="1"/>
      <c r="K134" s="1"/>
      <c r="L134" s="1"/>
      <c r="M134" s="1"/>
      <c r="O134" s="16" t="s">
        <v>367</v>
      </c>
      <c r="P134" s="1">
        <v>1</v>
      </c>
      <c r="Q134" s="15"/>
      <c r="R134" s="15"/>
      <c r="S134" s="15"/>
      <c r="T134" s="15"/>
      <c r="U134" s="15"/>
      <c r="V134" s="1"/>
      <c r="W134" s="1"/>
      <c r="X134" s="1"/>
      <c r="Y134" s="15">
        <v>13800</v>
      </c>
      <c r="Z134" s="15"/>
      <c r="AA134" s="15"/>
      <c r="AB134" s="17"/>
      <c r="AC134" s="82"/>
      <c r="AD134" s="16" t="s">
        <v>52</v>
      </c>
      <c r="AE134" s="16" t="s">
        <v>1903</v>
      </c>
      <c r="AF134" s="16"/>
      <c r="AG134" s="16"/>
      <c r="AH134" s="16"/>
      <c r="AI134" s="16">
        <v>12028</v>
      </c>
      <c r="AJ134" s="16"/>
      <c r="AK134" s="16"/>
      <c r="AL134" s="16"/>
      <c r="AM134" s="16"/>
      <c r="AN134" s="16"/>
      <c r="AO134" s="16"/>
      <c r="AP134" s="16"/>
      <c r="AR134" s="88"/>
      <c r="AS134" s="88"/>
      <c r="AU134" s="12" t="s">
        <v>1931</v>
      </c>
      <c r="AV134" s="19"/>
      <c r="AW134" s="39">
        <v>90</v>
      </c>
      <c r="AY134" s="33"/>
      <c r="AZ134" s="33"/>
      <c r="BA134" s="33"/>
    </row>
    <row r="135" spans="1:53" ht="12" customHeight="1" x14ac:dyDescent="0.2">
      <c r="A135" s="10" t="s">
        <v>1876</v>
      </c>
      <c r="B135" s="39">
        <v>101029</v>
      </c>
      <c r="C135" s="42" t="s">
        <v>3087</v>
      </c>
      <c r="D135" s="10" t="s">
        <v>2942</v>
      </c>
      <c r="E135" s="14" t="s">
        <v>1901</v>
      </c>
      <c r="F135" s="1" t="s">
        <v>744</v>
      </c>
      <c r="G135" s="1" t="s">
        <v>2302</v>
      </c>
      <c r="H135" s="1"/>
      <c r="I135" s="1">
        <v>29</v>
      </c>
      <c r="J135" s="1"/>
      <c r="K135" s="1"/>
      <c r="L135" s="1"/>
      <c r="M135" s="1"/>
      <c r="O135" s="16" t="s">
        <v>367</v>
      </c>
      <c r="P135" s="1">
        <v>1</v>
      </c>
      <c r="Q135" s="15"/>
      <c r="R135" s="15"/>
      <c r="S135" s="15"/>
      <c r="T135" s="15"/>
      <c r="U135" s="15"/>
      <c r="V135" s="1"/>
      <c r="W135" s="1"/>
      <c r="X135" s="1"/>
      <c r="Y135" s="15">
        <v>13800</v>
      </c>
      <c r="Z135" s="15"/>
      <c r="AA135" s="15"/>
      <c r="AB135" s="17"/>
      <c r="AC135" s="82"/>
      <c r="AD135" s="16" t="s">
        <v>52</v>
      </c>
      <c r="AE135" s="16" t="s">
        <v>1903</v>
      </c>
      <c r="AF135" s="16"/>
      <c r="AG135" s="16"/>
      <c r="AH135" s="16"/>
      <c r="AI135" s="16">
        <v>12029</v>
      </c>
      <c r="AJ135" s="16"/>
      <c r="AK135" s="16"/>
      <c r="AL135" s="16"/>
      <c r="AM135" s="16"/>
      <c r="AN135" s="16"/>
      <c r="AO135" s="16"/>
      <c r="AP135" s="16"/>
      <c r="AR135" s="88"/>
      <c r="AS135" s="88"/>
      <c r="AU135" s="12" t="s">
        <v>1931</v>
      </c>
      <c r="AV135" s="19"/>
      <c r="AW135" s="39">
        <v>90</v>
      </c>
      <c r="AY135" s="33"/>
      <c r="AZ135" s="33"/>
      <c r="BA135" s="33"/>
    </row>
    <row r="136" spans="1:53" ht="12" customHeight="1" x14ac:dyDescent="0.2">
      <c r="A136" s="10" t="s">
        <v>1877</v>
      </c>
      <c r="B136" s="39">
        <v>101030</v>
      </c>
      <c r="C136" s="42" t="s">
        <v>3088</v>
      </c>
      <c r="D136" s="10" t="s">
        <v>2942</v>
      </c>
      <c r="E136" s="14" t="s">
        <v>1901</v>
      </c>
      <c r="F136" s="1" t="s">
        <v>394</v>
      </c>
      <c r="G136" s="1" t="s">
        <v>2302</v>
      </c>
      <c r="H136" s="1"/>
      <c r="I136" s="1">
        <v>30</v>
      </c>
      <c r="J136" s="1"/>
      <c r="K136" s="1"/>
      <c r="L136" s="1"/>
      <c r="M136" s="1"/>
      <c r="O136" s="16" t="s">
        <v>367</v>
      </c>
      <c r="P136" s="1">
        <v>1</v>
      </c>
      <c r="Q136" s="15"/>
      <c r="R136" s="15"/>
      <c r="S136" s="15"/>
      <c r="T136" s="15"/>
      <c r="U136" s="15"/>
      <c r="V136" s="1"/>
      <c r="W136" s="1"/>
      <c r="X136" s="1"/>
      <c r="Y136" s="15">
        <v>13800</v>
      </c>
      <c r="Z136" s="15"/>
      <c r="AA136" s="15"/>
      <c r="AB136" s="17"/>
      <c r="AC136" s="82"/>
      <c r="AD136" s="16" t="s">
        <v>52</v>
      </c>
      <c r="AE136" s="16" t="s">
        <v>1903</v>
      </c>
      <c r="AF136" s="16"/>
      <c r="AG136" s="16"/>
      <c r="AH136" s="16"/>
      <c r="AI136" s="16">
        <v>12030</v>
      </c>
      <c r="AJ136" s="16"/>
      <c r="AK136" s="16"/>
      <c r="AL136" s="16"/>
      <c r="AM136" s="16"/>
      <c r="AN136" s="16"/>
      <c r="AO136" s="16"/>
      <c r="AP136" s="16"/>
      <c r="AR136" s="88"/>
      <c r="AS136" s="88"/>
      <c r="AU136" s="12" t="s">
        <v>1931</v>
      </c>
      <c r="AV136" s="19"/>
      <c r="AW136" s="39">
        <v>90</v>
      </c>
      <c r="AY136" s="33"/>
      <c r="AZ136" s="33"/>
      <c r="BA136" s="33"/>
    </row>
    <row r="137" spans="1:53" ht="12" customHeight="1" x14ac:dyDescent="0.2">
      <c r="A137" s="10" t="s">
        <v>1878</v>
      </c>
      <c r="B137" s="39">
        <v>101031</v>
      </c>
      <c r="C137" s="42" t="s">
        <v>3089</v>
      </c>
      <c r="D137" s="10" t="s">
        <v>2942</v>
      </c>
      <c r="E137" s="14" t="s">
        <v>1901</v>
      </c>
      <c r="F137" s="1" t="s">
        <v>871</v>
      </c>
      <c r="G137" s="1" t="s">
        <v>2302</v>
      </c>
      <c r="H137" s="1"/>
      <c r="I137" s="1">
        <v>31</v>
      </c>
      <c r="J137" s="1"/>
      <c r="K137" s="1"/>
      <c r="L137" s="1"/>
      <c r="M137" s="1"/>
      <c r="O137" s="16" t="s">
        <v>367</v>
      </c>
      <c r="P137" s="1">
        <v>1</v>
      </c>
      <c r="Q137" s="15"/>
      <c r="R137" s="15"/>
      <c r="S137" s="15"/>
      <c r="T137" s="15"/>
      <c r="U137" s="15"/>
      <c r="V137" s="1"/>
      <c r="W137" s="1"/>
      <c r="X137" s="1"/>
      <c r="Y137" s="15">
        <v>13800</v>
      </c>
      <c r="Z137" s="15"/>
      <c r="AA137" s="15"/>
      <c r="AB137" s="17"/>
      <c r="AC137" s="82"/>
      <c r="AD137" s="16" t="s">
        <v>52</v>
      </c>
      <c r="AE137" s="16" t="s">
        <v>1903</v>
      </c>
      <c r="AF137" s="16"/>
      <c r="AG137" s="16"/>
      <c r="AH137" s="16"/>
      <c r="AI137" s="16">
        <v>12031</v>
      </c>
      <c r="AJ137" s="16"/>
      <c r="AK137" s="16"/>
      <c r="AL137" s="16"/>
      <c r="AM137" s="16"/>
      <c r="AN137" s="16"/>
      <c r="AO137" s="16"/>
      <c r="AP137" s="16"/>
      <c r="AR137" s="88"/>
      <c r="AS137" s="88"/>
      <c r="AU137" s="12" t="s">
        <v>1931</v>
      </c>
      <c r="AV137" s="19"/>
      <c r="AW137" s="39">
        <v>90</v>
      </c>
      <c r="AY137" s="33"/>
      <c r="AZ137" s="33"/>
      <c r="BA137" s="33"/>
    </row>
    <row r="138" spans="1:53" ht="12" customHeight="1" x14ac:dyDescent="0.2">
      <c r="A138" s="10" t="s">
        <v>1879</v>
      </c>
      <c r="B138" s="39">
        <v>101032</v>
      </c>
      <c r="C138" s="42" t="s">
        <v>3090</v>
      </c>
      <c r="D138" s="10" t="s">
        <v>2942</v>
      </c>
      <c r="E138" s="14" t="s">
        <v>1901</v>
      </c>
      <c r="F138" s="1" t="s">
        <v>395</v>
      </c>
      <c r="G138" s="1" t="s">
        <v>2302</v>
      </c>
      <c r="H138" s="1"/>
      <c r="I138" s="1">
        <v>32</v>
      </c>
      <c r="J138" s="1"/>
      <c r="K138" s="1"/>
      <c r="L138" s="1"/>
      <c r="M138" s="1"/>
      <c r="O138" s="16" t="s">
        <v>367</v>
      </c>
      <c r="P138" s="1">
        <v>1</v>
      </c>
      <c r="Q138" s="15"/>
      <c r="R138" s="15"/>
      <c r="S138" s="15"/>
      <c r="T138" s="15"/>
      <c r="U138" s="15"/>
      <c r="V138" s="1"/>
      <c r="W138" s="1"/>
      <c r="X138" s="1"/>
      <c r="Y138" s="15">
        <v>13800</v>
      </c>
      <c r="Z138" s="15"/>
      <c r="AA138" s="15"/>
      <c r="AB138" s="17"/>
      <c r="AC138" s="82"/>
      <c r="AD138" s="16" t="s">
        <v>52</v>
      </c>
      <c r="AE138" s="16" t="s">
        <v>1903</v>
      </c>
      <c r="AF138" s="16"/>
      <c r="AG138" s="16"/>
      <c r="AH138" s="16"/>
      <c r="AI138" s="16">
        <v>12032</v>
      </c>
      <c r="AJ138" s="16"/>
      <c r="AK138" s="16"/>
      <c r="AL138" s="16"/>
      <c r="AM138" s="16"/>
      <c r="AN138" s="16"/>
      <c r="AO138" s="16"/>
      <c r="AP138" s="16"/>
      <c r="AR138" s="88"/>
      <c r="AS138" s="88"/>
      <c r="AU138" s="12" t="s">
        <v>1931</v>
      </c>
      <c r="AV138" s="19"/>
      <c r="AW138" s="39">
        <v>90</v>
      </c>
      <c r="AY138" s="33"/>
      <c r="AZ138" s="33"/>
      <c r="BA138" s="33"/>
    </row>
    <row r="139" spans="1:53" ht="12" customHeight="1" x14ac:dyDescent="0.2">
      <c r="A139" s="10" t="s">
        <v>1880</v>
      </c>
      <c r="B139" s="39">
        <v>101033</v>
      </c>
      <c r="C139" s="42" t="s">
        <v>3091</v>
      </c>
      <c r="D139" s="10" t="s">
        <v>2942</v>
      </c>
      <c r="E139" s="14" t="s">
        <v>1901</v>
      </c>
      <c r="F139" s="1" t="s">
        <v>395</v>
      </c>
      <c r="G139" s="1" t="s">
        <v>2302</v>
      </c>
      <c r="H139" s="1"/>
      <c r="I139" s="1">
        <v>33</v>
      </c>
      <c r="J139" s="1"/>
      <c r="K139" s="1"/>
      <c r="L139" s="1"/>
      <c r="M139" s="1"/>
      <c r="O139" s="16" t="s">
        <v>367</v>
      </c>
      <c r="P139" s="1">
        <v>1</v>
      </c>
      <c r="Q139" s="15"/>
      <c r="R139" s="15"/>
      <c r="S139" s="15"/>
      <c r="T139" s="15"/>
      <c r="U139" s="15"/>
      <c r="V139" s="1"/>
      <c r="W139" s="1"/>
      <c r="X139" s="1"/>
      <c r="Y139" s="15">
        <v>13800</v>
      </c>
      <c r="Z139" s="15"/>
      <c r="AA139" s="15"/>
      <c r="AB139" s="17"/>
      <c r="AC139" s="82"/>
      <c r="AD139" s="16" t="s">
        <v>52</v>
      </c>
      <c r="AE139" s="16" t="s">
        <v>1903</v>
      </c>
      <c r="AF139" s="16"/>
      <c r="AG139" s="16"/>
      <c r="AH139" s="16"/>
      <c r="AI139" s="16">
        <v>12033</v>
      </c>
      <c r="AJ139" s="16"/>
      <c r="AK139" s="16"/>
      <c r="AL139" s="16"/>
      <c r="AM139" s="16"/>
      <c r="AN139" s="16"/>
      <c r="AO139" s="16"/>
      <c r="AP139" s="16"/>
      <c r="AR139" s="88"/>
      <c r="AS139" s="88"/>
      <c r="AU139" s="12" t="s">
        <v>1931</v>
      </c>
      <c r="AV139" s="19"/>
      <c r="AW139" s="39">
        <v>90</v>
      </c>
      <c r="AY139" s="33"/>
      <c r="AZ139" s="33"/>
      <c r="BA139" s="33"/>
    </row>
    <row r="140" spans="1:53" ht="12" customHeight="1" x14ac:dyDescent="0.2">
      <c r="A140" s="10" t="s">
        <v>1881</v>
      </c>
      <c r="B140" s="39">
        <v>101034</v>
      </c>
      <c r="C140" s="42" t="s">
        <v>3092</v>
      </c>
      <c r="D140" s="10" t="s">
        <v>2942</v>
      </c>
      <c r="E140" s="14" t="s">
        <v>1901</v>
      </c>
      <c r="F140" s="1" t="s">
        <v>398</v>
      </c>
      <c r="G140" s="1" t="s">
        <v>2302</v>
      </c>
      <c r="H140" s="1"/>
      <c r="I140" s="1">
        <v>34</v>
      </c>
      <c r="J140" s="1"/>
      <c r="K140" s="1"/>
      <c r="L140" s="1"/>
      <c r="M140" s="1"/>
      <c r="O140" s="16" t="s">
        <v>367</v>
      </c>
      <c r="P140" s="1">
        <v>1</v>
      </c>
      <c r="Q140" s="15"/>
      <c r="R140" s="15"/>
      <c r="S140" s="15"/>
      <c r="T140" s="15"/>
      <c r="U140" s="15"/>
      <c r="V140" s="1"/>
      <c r="W140" s="1"/>
      <c r="X140" s="1"/>
      <c r="Y140" s="15">
        <v>13800</v>
      </c>
      <c r="Z140" s="15"/>
      <c r="AA140" s="15"/>
      <c r="AB140" s="17"/>
      <c r="AC140" s="82"/>
      <c r="AD140" s="16" t="s">
        <v>52</v>
      </c>
      <c r="AE140" s="16" t="s">
        <v>1903</v>
      </c>
      <c r="AF140" s="16"/>
      <c r="AG140" s="16"/>
      <c r="AH140" s="16"/>
      <c r="AI140" s="16">
        <v>12034</v>
      </c>
      <c r="AJ140" s="16"/>
      <c r="AK140" s="16"/>
      <c r="AL140" s="16"/>
      <c r="AM140" s="16"/>
      <c r="AN140" s="16"/>
      <c r="AO140" s="16"/>
      <c r="AP140" s="16"/>
      <c r="AR140" s="88"/>
      <c r="AS140" s="88"/>
      <c r="AU140" s="12" t="s">
        <v>1931</v>
      </c>
      <c r="AV140" s="19"/>
      <c r="AW140" s="39">
        <v>90</v>
      </c>
      <c r="AY140" s="33"/>
      <c r="AZ140" s="33"/>
      <c r="BA140" s="33"/>
    </row>
    <row r="141" spans="1:53" ht="12" customHeight="1" x14ac:dyDescent="0.2">
      <c r="A141" s="10" t="s">
        <v>1882</v>
      </c>
      <c r="B141" s="39">
        <v>101035</v>
      </c>
      <c r="C141" s="42" t="s">
        <v>3093</v>
      </c>
      <c r="D141" s="10" t="s">
        <v>2942</v>
      </c>
      <c r="E141" s="14" t="s">
        <v>1901</v>
      </c>
      <c r="F141" s="1" t="s">
        <v>398</v>
      </c>
      <c r="G141" s="1" t="s">
        <v>2302</v>
      </c>
      <c r="H141" s="1"/>
      <c r="I141" s="1">
        <v>35</v>
      </c>
      <c r="J141" s="1"/>
      <c r="K141" s="1"/>
      <c r="L141" s="1"/>
      <c r="M141" s="1"/>
      <c r="O141" s="16" t="s">
        <v>367</v>
      </c>
      <c r="P141" s="1">
        <v>1</v>
      </c>
      <c r="Q141" s="15"/>
      <c r="R141" s="15"/>
      <c r="S141" s="15"/>
      <c r="T141" s="15"/>
      <c r="U141" s="15"/>
      <c r="V141" s="1"/>
      <c r="W141" s="1"/>
      <c r="X141" s="1"/>
      <c r="Y141" s="15">
        <v>13800</v>
      </c>
      <c r="Z141" s="15"/>
      <c r="AA141" s="15"/>
      <c r="AB141" s="17"/>
      <c r="AC141" s="82"/>
      <c r="AD141" s="16" t="s">
        <v>52</v>
      </c>
      <c r="AE141" s="16" t="s">
        <v>1903</v>
      </c>
      <c r="AF141" s="16"/>
      <c r="AG141" s="16"/>
      <c r="AH141" s="16"/>
      <c r="AI141" s="16">
        <v>12035</v>
      </c>
      <c r="AJ141" s="16"/>
      <c r="AK141" s="16"/>
      <c r="AL141" s="16"/>
      <c r="AM141" s="16"/>
      <c r="AN141" s="16"/>
      <c r="AO141" s="16"/>
      <c r="AP141" s="16"/>
      <c r="AR141" s="88"/>
      <c r="AS141" s="88"/>
      <c r="AU141" s="12" t="s">
        <v>1931</v>
      </c>
      <c r="AV141" s="19"/>
      <c r="AW141" s="39">
        <v>90</v>
      </c>
      <c r="AY141" s="33"/>
      <c r="AZ141" s="33"/>
      <c r="BA141" s="33"/>
    </row>
    <row r="142" spans="1:53" ht="12" customHeight="1" x14ac:dyDescent="0.2">
      <c r="A142" s="10" t="s">
        <v>1883</v>
      </c>
      <c r="B142" s="39">
        <v>101036</v>
      </c>
      <c r="C142" s="42" t="s">
        <v>3094</v>
      </c>
      <c r="D142" s="10" t="s">
        <v>2942</v>
      </c>
      <c r="E142" s="14" t="s">
        <v>1901</v>
      </c>
      <c r="F142" s="1" t="s">
        <v>400</v>
      </c>
      <c r="G142" s="1" t="s">
        <v>2302</v>
      </c>
      <c r="H142" s="1"/>
      <c r="I142" s="1">
        <v>36</v>
      </c>
      <c r="J142" s="1"/>
      <c r="K142" s="1"/>
      <c r="L142" s="1"/>
      <c r="M142" s="1"/>
      <c r="O142" s="16" t="s">
        <v>367</v>
      </c>
      <c r="P142" s="1">
        <v>1</v>
      </c>
      <c r="Q142" s="15"/>
      <c r="R142" s="15"/>
      <c r="S142" s="15"/>
      <c r="T142" s="15"/>
      <c r="U142" s="15"/>
      <c r="V142" s="1"/>
      <c r="W142" s="1"/>
      <c r="X142" s="1"/>
      <c r="Y142" s="15">
        <v>13800</v>
      </c>
      <c r="Z142" s="15"/>
      <c r="AA142" s="15"/>
      <c r="AB142" s="17"/>
      <c r="AC142" s="82"/>
      <c r="AD142" s="16" t="s">
        <v>52</v>
      </c>
      <c r="AE142" s="16" t="s">
        <v>1903</v>
      </c>
      <c r="AF142" s="16"/>
      <c r="AG142" s="16"/>
      <c r="AH142" s="16"/>
      <c r="AI142" s="16">
        <v>12036</v>
      </c>
      <c r="AJ142" s="16"/>
      <c r="AK142" s="16"/>
      <c r="AL142" s="16"/>
      <c r="AM142" s="16"/>
      <c r="AN142" s="16"/>
      <c r="AO142" s="16"/>
      <c r="AP142" s="16"/>
      <c r="AR142" s="88"/>
      <c r="AS142" s="88"/>
      <c r="AU142" s="12" t="s">
        <v>1931</v>
      </c>
      <c r="AV142" s="19"/>
      <c r="AW142" s="39">
        <v>90</v>
      </c>
      <c r="AY142" s="33"/>
      <c r="AZ142" s="33"/>
      <c r="BA142" s="33"/>
    </row>
    <row r="143" spans="1:53" ht="12" customHeight="1" x14ac:dyDescent="0.2">
      <c r="A143" s="10" t="s">
        <v>1884</v>
      </c>
      <c r="B143" s="39">
        <v>101037</v>
      </c>
      <c r="C143" s="42" t="s">
        <v>3095</v>
      </c>
      <c r="D143" s="10" t="s">
        <v>2942</v>
      </c>
      <c r="E143" s="14" t="s">
        <v>1901</v>
      </c>
      <c r="F143" s="1" t="s">
        <v>951</v>
      </c>
      <c r="G143" s="1" t="s">
        <v>2302</v>
      </c>
      <c r="H143" s="1"/>
      <c r="I143" s="1">
        <v>37</v>
      </c>
      <c r="J143" s="1"/>
      <c r="K143" s="1"/>
      <c r="L143" s="1"/>
      <c r="M143" s="1"/>
      <c r="O143" s="16" t="s">
        <v>367</v>
      </c>
      <c r="P143" s="1">
        <v>1</v>
      </c>
      <c r="Q143" s="15"/>
      <c r="R143" s="15"/>
      <c r="S143" s="15"/>
      <c r="T143" s="15"/>
      <c r="U143" s="15"/>
      <c r="V143" s="1"/>
      <c r="W143" s="1"/>
      <c r="X143" s="1"/>
      <c r="Y143" s="15">
        <v>13800</v>
      </c>
      <c r="Z143" s="15"/>
      <c r="AA143" s="15"/>
      <c r="AB143" s="17"/>
      <c r="AC143" s="82"/>
      <c r="AD143" s="16" t="s">
        <v>52</v>
      </c>
      <c r="AE143" s="16" t="s">
        <v>1903</v>
      </c>
      <c r="AF143" s="16"/>
      <c r="AG143" s="16"/>
      <c r="AH143" s="16"/>
      <c r="AI143" s="16">
        <v>12037</v>
      </c>
      <c r="AJ143" s="16"/>
      <c r="AK143" s="16"/>
      <c r="AL143" s="16"/>
      <c r="AM143" s="16"/>
      <c r="AN143" s="16"/>
      <c r="AO143" s="16"/>
      <c r="AP143" s="16"/>
      <c r="AR143" s="88"/>
      <c r="AS143" s="88"/>
      <c r="AU143" s="12" t="s">
        <v>1931</v>
      </c>
      <c r="AV143" s="19"/>
      <c r="AW143" s="39">
        <v>90</v>
      </c>
      <c r="AY143" s="33"/>
      <c r="AZ143" s="33"/>
      <c r="BA143" s="33"/>
    </row>
    <row r="144" spans="1:53" ht="12" customHeight="1" x14ac:dyDescent="0.2">
      <c r="A144" s="10" t="s">
        <v>1885</v>
      </c>
      <c r="B144" s="39">
        <v>101038</v>
      </c>
      <c r="C144" s="42" t="s">
        <v>3096</v>
      </c>
      <c r="D144" s="10" t="s">
        <v>2942</v>
      </c>
      <c r="E144" s="14" t="s">
        <v>1901</v>
      </c>
      <c r="F144" s="1" t="s">
        <v>396</v>
      </c>
      <c r="G144" s="1" t="s">
        <v>2302</v>
      </c>
      <c r="H144" s="1"/>
      <c r="I144" s="1">
        <v>38</v>
      </c>
      <c r="J144" s="1"/>
      <c r="K144" s="1"/>
      <c r="L144" s="1"/>
      <c r="M144" s="1"/>
      <c r="O144" s="16" t="s">
        <v>367</v>
      </c>
      <c r="P144" s="1">
        <v>1</v>
      </c>
      <c r="Q144" s="15"/>
      <c r="R144" s="15"/>
      <c r="S144" s="15"/>
      <c r="T144" s="15"/>
      <c r="U144" s="15"/>
      <c r="V144" s="1"/>
      <c r="W144" s="1"/>
      <c r="X144" s="1"/>
      <c r="Y144" s="15">
        <v>13800</v>
      </c>
      <c r="Z144" s="15"/>
      <c r="AA144" s="15"/>
      <c r="AB144" s="17"/>
      <c r="AC144" s="82"/>
      <c r="AD144" s="16" t="s">
        <v>52</v>
      </c>
      <c r="AE144" s="16" t="s">
        <v>1903</v>
      </c>
      <c r="AF144" s="16"/>
      <c r="AG144" s="16"/>
      <c r="AH144" s="16"/>
      <c r="AI144" s="16">
        <v>12038</v>
      </c>
      <c r="AJ144" s="16"/>
      <c r="AK144" s="16"/>
      <c r="AL144" s="16"/>
      <c r="AM144" s="16"/>
      <c r="AN144" s="16"/>
      <c r="AO144" s="16"/>
      <c r="AP144" s="16"/>
      <c r="AR144" s="88"/>
      <c r="AS144" s="88"/>
      <c r="AU144" s="12" t="s">
        <v>1931</v>
      </c>
      <c r="AV144" s="19"/>
      <c r="AW144" s="39">
        <v>90</v>
      </c>
      <c r="AY144" s="33"/>
      <c r="AZ144" s="33"/>
      <c r="BA144" s="33"/>
    </row>
    <row r="145" spans="1:53" ht="12" customHeight="1" x14ac:dyDescent="0.2">
      <c r="A145" s="10" t="s">
        <v>1886</v>
      </c>
      <c r="B145" s="39">
        <v>101039</v>
      </c>
      <c r="C145" s="42" t="s">
        <v>3097</v>
      </c>
      <c r="D145" s="10" t="s">
        <v>2942</v>
      </c>
      <c r="E145" s="14" t="s">
        <v>1901</v>
      </c>
      <c r="F145" s="1" t="s">
        <v>1772</v>
      </c>
      <c r="G145" s="1" t="s">
        <v>2302</v>
      </c>
      <c r="H145" s="1"/>
      <c r="I145" s="1">
        <v>39</v>
      </c>
      <c r="J145" s="1"/>
      <c r="K145" s="1"/>
      <c r="L145" s="1"/>
      <c r="M145" s="1"/>
      <c r="O145" s="16" t="s">
        <v>367</v>
      </c>
      <c r="P145" s="1">
        <v>1</v>
      </c>
      <c r="Q145" s="15"/>
      <c r="R145" s="15"/>
      <c r="S145" s="15"/>
      <c r="T145" s="15"/>
      <c r="U145" s="15"/>
      <c r="V145" s="1"/>
      <c r="W145" s="1"/>
      <c r="X145" s="1"/>
      <c r="Y145" s="15">
        <v>13800</v>
      </c>
      <c r="Z145" s="15"/>
      <c r="AA145" s="15"/>
      <c r="AB145" s="17"/>
      <c r="AC145" s="82"/>
      <c r="AD145" s="16" t="s">
        <v>52</v>
      </c>
      <c r="AE145" s="16" t="s">
        <v>1903</v>
      </c>
      <c r="AF145" s="16"/>
      <c r="AG145" s="16"/>
      <c r="AH145" s="16"/>
      <c r="AI145" s="16">
        <v>12039</v>
      </c>
      <c r="AJ145" s="16"/>
      <c r="AK145" s="16"/>
      <c r="AL145" s="16"/>
      <c r="AM145" s="16"/>
      <c r="AN145" s="16"/>
      <c r="AO145" s="16"/>
      <c r="AP145" s="16"/>
      <c r="AR145" s="88"/>
      <c r="AS145" s="88"/>
      <c r="AU145" s="12" t="s">
        <v>1931</v>
      </c>
      <c r="AV145" s="19"/>
      <c r="AW145" s="39">
        <v>90</v>
      </c>
      <c r="AY145" s="33"/>
      <c r="AZ145" s="33"/>
      <c r="BA145" s="33"/>
    </row>
    <row r="146" spans="1:53" ht="12" customHeight="1" x14ac:dyDescent="0.2">
      <c r="A146" s="10" t="s">
        <v>1887</v>
      </c>
      <c r="B146" s="39">
        <v>101040</v>
      </c>
      <c r="C146" s="42" t="s">
        <v>3098</v>
      </c>
      <c r="D146" s="10" t="s">
        <v>2942</v>
      </c>
      <c r="E146" s="14" t="s">
        <v>1901</v>
      </c>
      <c r="F146" s="1" t="s">
        <v>89</v>
      </c>
      <c r="G146" s="1" t="s">
        <v>2302</v>
      </c>
      <c r="H146" s="1"/>
      <c r="I146" s="1">
        <v>40</v>
      </c>
      <c r="J146" s="1"/>
      <c r="K146" s="1"/>
      <c r="L146" s="1"/>
      <c r="M146" s="1"/>
      <c r="O146" s="16" t="s">
        <v>367</v>
      </c>
      <c r="P146" s="1">
        <v>1</v>
      </c>
      <c r="Q146" s="15"/>
      <c r="R146" s="15"/>
      <c r="S146" s="15"/>
      <c r="T146" s="15"/>
      <c r="U146" s="15"/>
      <c r="V146" s="1"/>
      <c r="W146" s="1"/>
      <c r="X146" s="1"/>
      <c r="Y146" s="15">
        <v>13800</v>
      </c>
      <c r="Z146" s="15"/>
      <c r="AA146" s="15"/>
      <c r="AB146" s="17"/>
      <c r="AC146" s="82"/>
      <c r="AD146" s="16" t="s">
        <v>52</v>
      </c>
      <c r="AE146" s="16" t="s">
        <v>1903</v>
      </c>
      <c r="AF146" s="16"/>
      <c r="AG146" s="16"/>
      <c r="AH146" s="16"/>
      <c r="AI146" s="16">
        <v>12040</v>
      </c>
      <c r="AJ146" s="16"/>
      <c r="AK146" s="16"/>
      <c r="AL146" s="16"/>
      <c r="AM146" s="16"/>
      <c r="AN146" s="16"/>
      <c r="AO146" s="16"/>
      <c r="AP146" s="16"/>
      <c r="AR146" s="88"/>
      <c r="AS146" s="88"/>
      <c r="AU146" s="12" t="s">
        <v>1931</v>
      </c>
      <c r="AV146" s="19"/>
      <c r="AW146" s="39">
        <v>90</v>
      </c>
      <c r="AY146" s="33"/>
      <c r="AZ146" s="33"/>
      <c r="BA146" s="33"/>
    </row>
    <row r="147" spans="1:53" ht="12" customHeight="1" x14ac:dyDescent="0.2">
      <c r="A147" s="10" t="s">
        <v>1888</v>
      </c>
      <c r="B147" s="39">
        <v>101041</v>
      </c>
      <c r="C147" s="42" t="s">
        <v>3099</v>
      </c>
      <c r="D147" s="10" t="s">
        <v>2942</v>
      </c>
      <c r="E147" s="14" t="s">
        <v>1901</v>
      </c>
      <c r="F147" s="1" t="s">
        <v>394</v>
      </c>
      <c r="G147" s="1" t="s">
        <v>2302</v>
      </c>
      <c r="H147" s="1"/>
      <c r="I147" s="1">
        <v>41</v>
      </c>
      <c r="J147" s="1"/>
      <c r="K147" s="1"/>
      <c r="L147" s="1"/>
      <c r="M147" s="1"/>
      <c r="O147" s="16" t="s">
        <v>367</v>
      </c>
      <c r="P147" s="1">
        <v>1</v>
      </c>
      <c r="Q147" s="15"/>
      <c r="R147" s="15"/>
      <c r="S147" s="15"/>
      <c r="T147" s="15"/>
      <c r="U147" s="15"/>
      <c r="V147" s="1"/>
      <c r="W147" s="1"/>
      <c r="X147" s="1"/>
      <c r="Y147" s="15">
        <v>13800</v>
      </c>
      <c r="Z147" s="15"/>
      <c r="AA147" s="15"/>
      <c r="AB147" s="17"/>
      <c r="AC147" s="82"/>
      <c r="AD147" s="16" t="s">
        <v>52</v>
      </c>
      <c r="AE147" s="16" t="s">
        <v>1903</v>
      </c>
      <c r="AF147" s="16"/>
      <c r="AG147" s="16"/>
      <c r="AH147" s="16"/>
      <c r="AI147" s="16">
        <v>12041</v>
      </c>
      <c r="AJ147" s="16"/>
      <c r="AK147" s="16"/>
      <c r="AL147" s="16"/>
      <c r="AM147" s="16"/>
      <c r="AN147" s="16"/>
      <c r="AO147" s="16"/>
      <c r="AP147" s="16"/>
      <c r="AR147" s="88"/>
      <c r="AS147" s="88"/>
      <c r="AU147" s="12" t="s">
        <v>1931</v>
      </c>
      <c r="AV147" s="19"/>
      <c r="AW147" s="39">
        <v>90</v>
      </c>
      <c r="AY147" s="33"/>
      <c r="AZ147" s="33"/>
      <c r="BA147" s="33"/>
    </row>
    <row r="148" spans="1:53" ht="12" customHeight="1" x14ac:dyDescent="0.2">
      <c r="A148" s="10" t="s">
        <v>1889</v>
      </c>
      <c r="B148" s="39">
        <v>101042</v>
      </c>
      <c r="C148" s="42" t="s">
        <v>3100</v>
      </c>
      <c r="D148" s="10" t="s">
        <v>2942</v>
      </c>
      <c r="E148" s="14" t="s">
        <v>1901</v>
      </c>
      <c r="F148" s="1" t="s">
        <v>398</v>
      </c>
      <c r="G148" s="1" t="s">
        <v>2302</v>
      </c>
      <c r="H148" s="1"/>
      <c r="I148" s="1">
        <v>42</v>
      </c>
      <c r="J148" s="1"/>
      <c r="K148" s="1"/>
      <c r="L148" s="1"/>
      <c r="M148" s="1"/>
      <c r="O148" s="16" t="s">
        <v>367</v>
      </c>
      <c r="P148" s="1">
        <v>1</v>
      </c>
      <c r="Q148" s="15"/>
      <c r="R148" s="15"/>
      <c r="S148" s="15"/>
      <c r="T148" s="15"/>
      <c r="U148" s="15"/>
      <c r="V148" s="1"/>
      <c r="W148" s="1"/>
      <c r="X148" s="1"/>
      <c r="Y148" s="15">
        <v>13800</v>
      </c>
      <c r="Z148" s="15"/>
      <c r="AA148" s="15"/>
      <c r="AB148" s="17"/>
      <c r="AC148" s="82"/>
      <c r="AD148" s="16" t="s">
        <v>52</v>
      </c>
      <c r="AE148" s="16" t="s">
        <v>1903</v>
      </c>
      <c r="AF148" s="16"/>
      <c r="AG148" s="16"/>
      <c r="AH148" s="16"/>
      <c r="AI148" s="16">
        <v>12042</v>
      </c>
      <c r="AJ148" s="16"/>
      <c r="AK148" s="16"/>
      <c r="AL148" s="16"/>
      <c r="AM148" s="16"/>
      <c r="AN148" s="16"/>
      <c r="AO148" s="16"/>
      <c r="AP148" s="16"/>
      <c r="AR148" s="88"/>
      <c r="AS148" s="88"/>
      <c r="AU148" s="12" t="s">
        <v>1931</v>
      </c>
      <c r="AV148" s="19"/>
      <c r="AW148" s="39">
        <v>90</v>
      </c>
      <c r="AY148" s="33"/>
      <c r="AZ148" s="33"/>
      <c r="BA148" s="33"/>
    </row>
    <row r="149" spans="1:53" ht="12" customHeight="1" x14ac:dyDescent="0.2">
      <c r="A149" s="10" t="s">
        <v>1890</v>
      </c>
      <c r="B149" s="39">
        <v>101043</v>
      </c>
      <c r="C149" s="42" t="s">
        <v>3101</v>
      </c>
      <c r="D149" s="10" t="s">
        <v>2942</v>
      </c>
      <c r="E149" s="14" t="s">
        <v>1901</v>
      </c>
      <c r="F149" s="1" t="s">
        <v>1299</v>
      </c>
      <c r="G149" s="1" t="s">
        <v>2302</v>
      </c>
      <c r="H149" s="1"/>
      <c r="I149" s="1">
        <v>43</v>
      </c>
      <c r="J149" s="1"/>
      <c r="K149" s="1"/>
      <c r="L149" s="1"/>
      <c r="M149" s="1"/>
      <c r="O149" s="16" t="s">
        <v>367</v>
      </c>
      <c r="P149" s="1">
        <v>1</v>
      </c>
      <c r="Q149" s="15"/>
      <c r="R149" s="15"/>
      <c r="S149" s="15"/>
      <c r="T149" s="15"/>
      <c r="U149" s="15"/>
      <c r="V149" s="1"/>
      <c r="W149" s="1"/>
      <c r="X149" s="1"/>
      <c r="Y149" s="15">
        <v>13800</v>
      </c>
      <c r="Z149" s="15"/>
      <c r="AA149" s="15"/>
      <c r="AB149" s="17"/>
      <c r="AC149" s="82"/>
      <c r="AD149" s="16" t="s">
        <v>52</v>
      </c>
      <c r="AE149" s="16" t="s">
        <v>1903</v>
      </c>
      <c r="AF149" s="16"/>
      <c r="AG149" s="16"/>
      <c r="AH149" s="16"/>
      <c r="AI149" s="16">
        <v>12043</v>
      </c>
      <c r="AJ149" s="16"/>
      <c r="AK149" s="16"/>
      <c r="AL149" s="16"/>
      <c r="AM149" s="16"/>
      <c r="AN149" s="16"/>
      <c r="AO149" s="16"/>
      <c r="AP149" s="16"/>
      <c r="AR149" s="88"/>
      <c r="AS149" s="88"/>
      <c r="AU149" s="12" t="s">
        <v>1931</v>
      </c>
      <c r="AV149" s="19"/>
      <c r="AW149" s="39">
        <v>90</v>
      </c>
      <c r="AY149" s="33"/>
      <c r="AZ149" s="33"/>
      <c r="BA149" s="33"/>
    </row>
    <row r="150" spans="1:53" ht="12" customHeight="1" x14ac:dyDescent="0.2">
      <c r="A150" s="10" t="s">
        <v>1891</v>
      </c>
      <c r="B150" s="39">
        <v>101044</v>
      </c>
      <c r="C150" s="42" t="s">
        <v>3102</v>
      </c>
      <c r="D150" s="10" t="s">
        <v>2942</v>
      </c>
      <c r="E150" s="14" t="s">
        <v>1901</v>
      </c>
      <c r="F150" s="1" t="s">
        <v>758</v>
      </c>
      <c r="G150" s="1" t="s">
        <v>2302</v>
      </c>
      <c r="H150" s="1"/>
      <c r="I150" s="1">
        <v>44</v>
      </c>
      <c r="J150" s="1"/>
      <c r="K150" s="1"/>
      <c r="L150" s="1"/>
      <c r="M150" s="1"/>
      <c r="O150" s="16" t="s">
        <v>367</v>
      </c>
      <c r="P150" s="1">
        <v>1</v>
      </c>
      <c r="Q150" s="15"/>
      <c r="R150" s="15"/>
      <c r="S150" s="15"/>
      <c r="T150" s="15"/>
      <c r="U150" s="15"/>
      <c r="V150" s="1"/>
      <c r="W150" s="1"/>
      <c r="X150" s="1"/>
      <c r="Y150" s="15">
        <v>13800</v>
      </c>
      <c r="Z150" s="15"/>
      <c r="AA150" s="15"/>
      <c r="AB150" s="17"/>
      <c r="AC150" s="82"/>
      <c r="AD150" s="16" t="s">
        <v>52</v>
      </c>
      <c r="AE150" s="16" t="s">
        <v>1903</v>
      </c>
      <c r="AF150" s="16"/>
      <c r="AG150" s="16"/>
      <c r="AH150" s="16"/>
      <c r="AI150" s="16">
        <v>12044</v>
      </c>
      <c r="AJ150" s="16"/>
      <c r="AK150" s="16"/>
      <c r="AL150" s="16"/>
      <c r="AM150" s="16"/>
      <c r="AN150" s="16"/>
      <c r="AO150" s="16"/>
      <c r="AP150" s="16"/>
      <c r="AR150" s="88"/>
      <c r="AS150" s="88"/>
      <c r="AU150" s="12" t="s">
        <v>1931</v>
      </c>
      <c r="AV150" s="19"/>
      <c r="AW150" s="39">
        <v>90</v>
      </c>
      <c r="AY150" s="33"/>
      <c r="AZ150" s="33"/>
      <c r="BA150" s="33"/>
    </row>
    <row r="151" spans="1:53" ht="12" customHeight="1" x14ac:dyDescent="0.2">
      <c r="A151" s="10" t="s">
        <v>1892</v>
      </c>
      <c r="B151" s="39">
        <v>101045</v>
      </c>
      <c r="C151" s="42" t="s">
        <v>3103</v>
      </c>
      <c r="D151" s="10" t="s">
        <v>2942</v>
      </c>
      <c r="E151" s="14" t="s">
        <v>1901</v>
      </c>
      <c r="F151" s="1" t="s">
        <v>1773</v>
      </c>
      <c r="G151" s="1" t="s">
        <v>2302</v>
      </c>
      <c r="H151" s="1"/>
      <c r="I151" s="1">
        <v>45</v>
      </c>
      <c r="J151" s="1"/>
      <c r="K151" s="1"/>
      <c r="L151" s="1"/>
      <c r="M151" s="1"/>
      <c r="O151" s="16" t="s">
        <v>367</v>
      </c>
      <c r="P151" s="1">
        <v>1</v>
      </c>
      <c r="Q151" s="15"/>
      <c r="R151" s="15"/>
      <c r="S151" s="15"/>
      <c r="T151" s="15"/>
      <c r="U151" s="15"/>
      <c r="V151" s="1"/>
      <c r="W151" s="1"/>
      <c r="X151" s="1"/>
      <c r="Y151" s="15">
        <v>13800</v>
      </c>
      <c r="Z151" s="15"/>
      <c r="AA151" s="15"/>
      <c r="AB151" s="17"/>
      <c r="AC151" s="82"/>
      <c r="AD151" s="16" t="s">
        <v>52</v>
      </c>
      <c r="AE151" s="16" t="s">
        <v>1903</v>
      </c>
      <c r="AF151" s="16"/>
      <c r="AG151" s="16"/>
      <c r="AH151" s="16"/>
      <c r="AI151" s="16">
        <v>12045</v>
      </c>
      <c r="AJ151" s="16"/>
      <c r="AK151" s="16"/>
      <c r="AL151" s="16"/>
      <c r="AM151" s="16"/>
      <c r="AN151" s="16"/>
      <c r="AO151" s="16"/>
      <c r="AP151" s="16"/>
      <c r="AR151" s="88"/>
      <c r="AS151" s="88"/>
      <c r="AU151" s="12" t="s">
        <v>1931</v>
      </c>
      <c r="AV151" s="19"/>
      <c r="AW151" s="39">
        <v>90</v>
      </c>
      <c r="AY151" s="33"/>
      <c r="AZ151" s="33"/>
      <c r="BA151" s="33"/>
    </row>
    <row r="152" spans="1:53" ht="12" customHeight="1" x14ac:dyDescent="0.2">
      <c r="A152" s="10" t="s">
        <v>2309</v>
      </c>
      <c r="B152" s="39">
        <v>101046</v>
      </c>
      <c r="C152" s="42" t="s">
        <v>3104</v>
      </c>
      <c r="D152" s="10" t="s">
        <v>2942</v>
      </c>
      <c r="E152" s="14" t="s">
        <v>1901</v>
      </c>
      <c r="F152" s="1" t="s">
        <v>90</v>
      </c>
      <c r="G152" s="1" t="s">
        <v>2302</v>
      </c>
      <c r="H152" s="1"/>
      <c r="I152" s="1">
        <v>46</v>
      </c>
      <c r="J152" s="1"/>
      <c r="K152" s="1"/>
      <c r="L152" s="1"/>
      <c r="M152" s="1"/>
      <c r="O152" s="16" t="s">
        <v>367</v>
      </c>
      <c r="P152" s="1">
        <v>1</v>
      </c>
      <c r="Q152" s="15"/>
      <c r="R152" s="15"/>
      <c r="S152" s="15"/>
      <c r="T152" s="15"/>
      <c r="U152" s="15"/>
      <c r="V152" s="1"/>
      <c r="W152" s="1"/>
      <c r="X152" s="1"/>
      <c r="Y152" s="15">
        <v>13800</v>
      </c>
      <c r="Z152" s="15"/>
      <c r="AA152" s="15"/>
      <c r="AB152" s="17"/>
      <c r="AC152" s="82"/>
      <c r="AD152" s="16" t="s">
        <v>52</v>
      </c>
      <c r="AE152" s="16" t="s">
        <v>1903</v>
      </c>
      <c r="AF152" s="16"/>
      <c r="AG152" s="16"/>
      <c r="AH152" s="16"/>
      <c r="AI152" s="16" t="s">
        <v>2320</v>
      </c>
      <c r="AJ152" s="16"/>
      <c r="AK152" s="16"/>
      <c r="AL152" s="16"/>
      <c r="AM152" s="16"/>
      <c r="AN152" s="16"/>
      <c r="AO152" s="16"/>
      <c r="AP152" s="16"/>
      <c r="AR152" s="88"/>
      <c r="AS152" s="88"/>
      <c r="AU152" s="12" t="s">
        <v>1931</v>
      </c>
      <c r="AV152" s="19"/>
      <c r="AW152" s="39">
        <v>90</v>
      </c>
      <c r="AY152" s="33"/>
      <c r="AZ152" s="33"/>
      <c r="BA152" s="33"/>
    </row>
    <row r="153" spans="1:53" ht="12" customHeight="1" x14ac:dyDescent="0.2">
      <c r="A153" s="10" t="s">
        <v>2811</v>
      </c>
      <c r="B153" s="39">
        <v>101047</v>
      </c>
      <c r="C153" s="42" t="s">
        <v>3105</v>
      </c>
      <c r="D153" s="10" t="s">
        <v>2942</v>
      </c>
      <c r="E153" s="14" t="s">
        <v>1901</v>
      </c>
      <c r="F153" s="1" t="s">
        <v>90</v>
      </c>
      <c r="G153" s="1" t="s">
        <v>2302</v>
      </c>
      <c r="H153" s="1"/>
      <c r="I153" s="1">
        <v>47</v>
      </c>
      <c r="J153" s="1"/>
      <c r="K153" s="1"/>
      <c r="L153" s="1"/>
      <c r="M153" s="1"/>
      <c r="O153" s="16" t="s">
        <v>367</v>
      </c>
      <c r="P153" s="1">
        <v>1</v>
      </c>
      <c r="Q153" s="15"/>
      <c r="R153" s="15"/>
      <c r="S153" s="15"/>
      <c r="T153" s="15"/>
      <c r="U153" s="15"/>
      <c r="V153" s="1"/>
      <c r="W153" s="1"/>
      <c r="X153" s="1"/>
      <c r="Y153" s="15">
        <v>13800</v>
      </c>
      <c r="Z153" s="15"/>
      <c r="AA153" s="15"/>
      <c r="AB153" s="17"/>
      <c r="AC153" s="82"/>
      <c r="AD153" s="16" t="s">
        <v>52</v>
      </c>
      <c r="AE153" s="16" t="s">
        <v>1903</v>
      </c>
      <c r="AF153" s="16"/>
      <c r="AG153" s="16"/>
      <c r="AH153" s="16"/>
      <c r="AI153" s="16" t="s">
        <v>2812</v>
      </c>
      <c r="AJ153" s="16"/>
      <c r="AK153" s="16"/>
      <c r="AL153" s="16"/>
      <c r="AM153" s="16"/>
      <c r="AN153" s="16"/>
      <c r="AO153" s="16"/>
      <c r="AP153" s="16"/>
      <c r="AR153" s="88"/>
      <c r="AS153" s="88"/>
      <c r="AU153" s="12" t="s">
        <v>1931</v>
      </c>
      <c r="AV153" s="19"/>
      <c r="AW153" s="39">
        <v>90</v>
      </c>
      <c r="AY153" s="33"/>
      <c r="AZ153" s="33"/>
      <c r="BA153" s="33"/>
    </row>
    <row r="154" spans="1:53" ht="12" customHeight="1" x14ac:dyDescent="0.2">
      <c r="A154" s="10" t="s">
        <v>2891</v>
      </c>
      <c r="B154" s="39">
        <v>101048</v>
      </c>
      <c r="C154" s="42" t="s">
        <v>3106</v>
      </c>
      <c r="D154" s="10" t="s">
        <v>2942</v>
      </c>
      <c r="E154" s="14" t="s">
        <v>1901</v>
      </c>
      <c r="F154" s="1" t="s">
        <v>394</v>
      </c>
      <c r="G154" s="1" t="s">
        <v>2302</v>
      </c>
      <c r="H154" s="1"/>
      <c r="I154" s="1">
        <v>48</v>
      </c>
      <c r="J154" s="1"/>
      <c r="K154" s="1"/>
      <c r="L154" s="1"/>
      <c r="M154" s="1"/>
      <c r="O154" s="16" t="s">
        <v>367</v>
      </c>
      <c r="P154" s="1">
        <v>1</v>
      </c>
      <c r="Q154" s="15"/>
      <c r="R154" s="15"/>
      <c r="S154" s="15"/>
      <c r="T154" s="15"/>
      <c r="U154" s="15"/>
      <c r="V154" s="1"/>
      <c r="W154" s="1"/>
      <c r="X154" s="1"/>
      <c r="Y154" s="15">
        <v>13800</v>
      </c>
      <c r="Z154" s="15"/>
      <c r="AA154" s="15"/>
      <c r="AB154" s="17"/>
      <c r="AC154" s="82"/>
      <c r="AD154" s="16" t="s">
        <v>52</v>
      </c>
      <c r="AE154" s="16" t="s">
        <v>1903</v>
      </c>
      <c r="AF154" s="16"/>
      <c r="AG154" s="16"/>
      <c r="AH154" s="16"/>
      <c r="AI154" s="16" t="s">
        <v>2892</v>
      </c>
      <c r="AJ154" s="16"/>
      <c r="AK154" s="16"/>
      <c r="AL154" s="16"/>
      <c r="AM154" s="16"/>
      <c r="AN154" s="16"/>
      <c r="AO154" s="16"/>
      <c r="AP154" s="16"/>
      <c r="AR154" s="88"/>
      <c r="AS154" s="88"/>
      <c r="AU154" s="12" t="s">
        <v>1931</v>
      </c>
      <c r="AV154" s="19"/>
      <c r="AW154" s="39">
        <v>90</v>
      </c>
      <c r="AY154" s="33"/>
      <c r="AZ154" s="33"/>
      <c r="BA154" s="33"/>
    </row>
    <row r="155" spans="1:53" ht="12" customHeight="1" x14ac:dyDescent="0.2">
      <c r="A155" s="10" t="s">
        <v>1893</v>
      </c>
      <c r="B155" s="39">
        <v>101049</v>
      </c>
      <c r="C155" s="42" t="s">
        <v>3107</v>
      </c>
      <c r="D155" s="10" t="s">
        <v>2942</v>
      </c>
      <c r="E155" s="14" t="s">
        <v>1901</v>
      </c>
      <c r="F155" s="1" t="s">
        <v>395</v>
      </c>
      <c r="G155" s="1" t="s">
        <v>2302</v>
      </c>
      <c r="H155" s="1"/>
      <c r="I155" s="1">
        <v>49</v>
      </c>
      <c r="J155" s="1"/>
      <c r="K155" s="1"/>
      <c r="L155" s="1"/>
      <c r="M155" s="1"/>
      <c r="O155" s="16" t="s">
        <v>367</v>
      </c>
      <c r="P155" s="1">
        <v>1</v>
      </c>
      <c r="Q155" s="15"/>
      <c r="R155" s="15"/>
      <c r="S155" s="15"/>
      <c r="T155" s="15"/>
      <c r="U155" s="15"/>
      <c r="V155" s="1"/>
      <c r="W155" s="1"/>
      <c r="X155" s="1"/>
      <c r="Y155" s="15">
        <v>13800</v>
      </c>
      <c r="Z155" s="15"/>
      <c r="AA155" s="15"/>
      <c r="AB155" s="17"/>
      <c r="AC155" s="82"/>
      <c r="AD155" s="16" t="s">
        <v>52</v>
      </c>
      <c r="AE155" s="16" t="s">
        <v>1903</v>
      </c>
      <c r="AF155" s="16"/>
      <c r="AG155" s="16"/>
      <c r="AH155" s="16"/>
      <c r="AI155" s="16">
        <v>12049</v>
      </c>
      <c r="AJ155" s="16"/>
      <c r="AK155" s="16"/>
      <c r="AL155" s="16"/>
      <c r="AM155" s="16"/>
      <c r="AN155" s="16"/>
      <c r="AO155" s="16"/>
      <c r="AP155" s="16"/>
      <c r="AR155" s="88"/>
      <c r="AS155" s="88"/>
      <c r="AU155" s="12" t="s">
        <v>1931</v>
      </c>
      <c r="AV155" s="19"/>
      <c r="AW155" s="39">
        <v>90</v>
      </c>
      <c r="AY155" s="33"/>
      <c r="AZ155" s="33"/>
      <c r="BA155" s="33"/>
    </row>
    <row r="156" spans="1:53" ht="12" customHeight="1" x14ac:dyDescent="0.2">
      <c r="A156" s="10" t="s">
        <v>1894</v>
      </c>
      <c r="B156" s="39">
        <v>101050</v>
      </c>
      <c r="C156" s="42" t="s">
        <v>3108</v>
      </c>
      <c r="D156" s="10" t="s">
        <v>2942</v>
      </c>
      <c r="E156" s="14" t="s">
        <v>1901</v>
      </c>
      <c r="F156" s="1" t="s">
        <v>90</v>
      </c>
      <c r="G156" s="1" t="s">
        <v>2302</v>
      </c>
      <c r="H156" s="1"/>
      <c r="I156" s="1">
        <v>50</v>
      </c>
      <c r="J156" s="1"/>
      <c r="K156" s="1"/>
      <c r="L156" s="1"/>
      <c r="M156" s="1"/>
      <c r="O156" s="16" t="s">
        <v>367</v>
      </c>
      <c r="P156" s="1">
        <v>1</v>
      </c>
      <c r="Q156" s="15"/>
      <c r="R156" s="15"/>
      <c r="S156" s="15"/>
      <c r="T156" s="15"/>
      <c r="U156" s="15"/>
      <c r="V156" s="1"/>
      <c r="W156" s="1"/>
      <c r="X156" s="1"/>
      <c r="Y156" s="15">
        <v>13800</v>
      </c>
      <c r="Z156" s="15"/>
      <c r="AA156" s="15"/>
      <c r="AB156" s="17"/>
      <c r="AC156" s="82"/>
      <c r="AD156" s="16" t="s">
        <v>52</v>
      </c>
      <c r="AE156" s="16" t="s">
        <v>1903</v>
      </c>
      <c r="AF156" s="16"/>
      <c r="AG156" s="16"/>
      <c r="AH156" s="16"/>
      <c r="AI156" s="16">
        <v>12050</v>
      </c>
      <c r="AJ156" s="16"/>
      <c r="AK156" s="16"/>
      <c r="AL156" s="16"/>
      <c r="AM156" s="16"/>
      <c r="AN156" s="16"/>
      <c r="AO156" s="16"/>
      <c r="AP156" s="16"/>
      <c r="AR156" s="88"/>
      <c r="AS156" s="88"/>
      <c r="AU156" s="12" t="s">
        <v>1931</v>
      </c>
      <c r="AV156" s="19"/>
      <c r="AW156" s="39">
        <v>90</v>
      </c>
      <c r="AY156" s="33"/>
      <c r="AZ156" s="33"/>
      <c r="BA156" s="33"/>
    </row>
    <row r="157" spans="1:53" ht="12" customHeight="1" x14ac:dyDescent="0.2">
      <c r="A157" s="10" t="s">
        <v>1921</v>
      </c>
      <c r="B157" s="39">
        <v>101051</v>
      </c>
      <c r="C157" s="42" t="s">
        <v>3109</v>
      </c>
      <c r="D157" s="10" t="s">
        <v>2942</v>
      </c>
      <c r="E157" s="14" t="s">
        <v>1901</v>
      </c>
      <c r="F157" s="1" t="s">
        <v>88</v>
      </c>
      <c r="G157" s="1" t="s">
        <v>2302</v>
      </c>
      <c r="H157" s="1"/>
      <c r="I157" s="1">
        <v>51</v>
      </c>
      <c r="J157" s="1"/>
      <c r="K157" s="1"/>
      <c r="L157" s="1"/>
      <c r="M157" s="1"/>
      <c r="O157" s="16" t="s">
        <v>367</v>
      </c>
      <c r="P157" s="1">
        <v>1</v>
      </c>
      <c r="Q157" s="15"/>
      <c r="R157" s="15"/>
      <c r="S157" s="15"/>
      <c r="T157" s="15"/>
      <c r="U157" s="15"/>
      <c r="V157" s="1"/>
      <c r="W157" s="1"/>
      <c r="X157" s="1"/>
      <c r="Y157" s="15">
        <v>13800</v>
      </c>
      <c r="Z157" s="15"/>
      <c r="AA157" s="15"/>
      <c r="AB157" s="17"/>
      <c r="AC157" s="82"/>
      <c r="AD157" s="16" t="s">
        <v>52</v>
      </c>
      <c r="AE157" s="16" t="s">
        <v>1903</v>
      </c>
      <c r="AF157" s="16"/>
      <c r="AG157" s="16"/>
      <c r="AH157" s="16"/>
      <c r="AI157" s="16" t="s">
        <v>1924</v>
      </c>
      <c r="AJ157" s="16"/>
      <c r="AK157" s="16"/>
      <c r="AL157" s="16"/>
      <c r="AM157" s="16"/>
      <c r="AN157" s="16"/>
      <c r="AO157" s="16"/>
      <c r="AP157" s="16"/>
      <c r="AR157" s="88"/>
      <c r="AS157" s="88"/>
      <c r="AU157" s="12" t="s">
        <v>1931</v>
      </c>
      <c r="AV157" s="19"/>
      <c r="AW157" s="39">
        <v>90</v>
      </c>
      <c r="AY157" s="33"/>
      <c r="AZ157" s="33"/>
      <c r="BA157" s="33"/>
    </row>
    <row r="158" spans="1:53" ht="12" customHeight="1" x14ac:dyDescent="0.2">
      <c r="A158" s="10" t="s">
        <v>1922</v>
      </c>
      <c r="B158" s="39">
        <v>101052</v>
      </c>
      <c r="C158" s="42" t="s">
        <v>3110</v>
      </c>
      <c r="D158" s="10" t="s">
        <v>2942</v>
      </c>
      <c r="E158" s="14" t="s">
        <v>1901</v>
      </c>
      <c r="F158" s="1" t="s">
        <v>91</v>
      </c>
      <c r="G158" s="1" t="s">
        <v>2302</v>
      </c>
      <c r="H158" s="1"/>
      <c r="I158" s="1">
        <v>52</v>
      </c>
      <c r="J158" s="1"/>
      <c r="K158" s="1"/>
      <c r="L158" s="1"/>
      <c r="M158" s="1"/>
      <c r="O158" s="16" t="s">
        <v>367</v>
      </c>
      <c r="P158" s="1">
        <v>1</v>
      </c>
      <c r="Q158" s="15"/>
      <c r="R158" s="15"/>
      <c r="S158" s="15"/>
      <c r="T158" s="15"/>
      <c r="U158" s="15"/>
      <c r="V158" s="1"/>
      <c r="W158" s="1"/>
      <c r="X158" s="1"/>
      <c r="Y158" s="15">
        <v>13800</v>
      </c>
      <c r="Z158" s="15"/>
      <c r="AA158" s="15"/>
      <c r="AB158" s="17"/>
      <c r="AC158" s="82"/>
      <c r="AD158" s="16" t="s">
        <v>52</v>
      </c>
      <c r="AE158" s="16" t="s">
        <v>1903</v>
      </c>
      <c r="AF158" s="16"/>
      <c r="AG158" s="16"/>
      <c r="AH158" s="16"/>
      <c r="AI158" s="16" t="s">
        <v>1925</v>
      </c>
      <c r="AJ158" s="16"/>
      <c r="AK158" s="16"/>
      <c r="AL158" s="16"/>
      <c r="AM158" s="16"/>
      <c r="AN158" s="16"/>
      <c r="AO158" s="16"/>
      <c r="AP158" s="16"/>
      <c r="AR158" s="88"/>
      <c r="AS158" s="88"/>
      <c r="AU158" s="12" t="s">
        <v>1931</v>
      </c>
      <c r="AV158" s="19"/>
      <c r="AW158" s="39">
        <v>90</v>
      </c>
      <c r="AY158" s="33"/>
      <c r="AZ158" s="33"/>
      <c r="BA158" s="33"/>
    </row>
    <row r="159" spans="1:53" ht="12" customHeight="1" x14ac:dyDescent="0.2">
      <c r="A159" s="10" t="s">
        <v>1968</v>
      </c>
      <c r="B159" s="39">
        <v>101053</v>
      </c>
      <c r="C159" s="42" t="s">
        <v>3111</v>
      </c>
      <c r="D159" s="10" t="s">
        <v>2942</v>
      </c>
      <c r="E159" s="14" t="s">
        <v>1901</v>
      </c>
      <c r="F159" s="1" t="s">
        <v>1957</v>
      </c>
      <c r="G159" s="1" t="s">
        <v>2302</v>
      </c>
      <c r="H159" s="1"/>
      <c r="I159" s="1">
        <v>53</v>
      </c>
      <c r="J159" s="1"/>
      <c r="K159" s="1"/>
      <c r="L159" s="1"/>
      <c r="M159" s="1"/>
      <c r="O159" s="16" t="s">
        <v>367</v>
      </c>
      <c r="P159" s="1">
        <v>1</v>
      </c>
      <c r="Q159" s="15"/>
      <c r="R159" s="15"/>
      <c r="S159" s="15"/>
      <c r="T159" s="15"/>
      <c r="U159" s="15"/>
      <c r="V159" s="1"/>
      <c r="W159" s="1"/>
      <c r="X159" s="1"/>
      <c r="Y159" s="15">
        <v>13800</v>
      </c>
      <c r="Z159" s="15"/>
      <c r="AA159" s="15"/>
      <c r="AB159" s="17"/>
      <c r="AC159" s="82"/>
      <c r="AD159" s="16" t="s">
        <v>52</v>
      </c>
      <c r="AE159" s="16" t="s">
        <v>1903</v>
      </c>
      <c r="AF159" s="16"/>
      <c r="AG159" s="16"/>
      <c r="AH159" s="16"/>
      <c r="AI159" s="16" t="s">
        <v>1969</v>
      </c>
      <c r="AJ159" s="16"/>
      <c r="AK159" s="16"/>
      <c r="AL159" s="16"/>
      <c r="AM159" s="16"/>
      <c r="AN159" s="16"/>
      <c r="AO159" s="16"/>
      <c r="AP159" s="16"/>
      <c r="AR159" s="88"/>
      <c r="AS159" s="88"/>
      <c r="AU159" s="12" t="s">
        <v>1931</v>
      </c>
      <c r="AV159" s="19"/>
      <c r="AW159" s="39">
        <v>90</v>
      </c>
      <c r="AY159" s="33"/>
      <c r="AZ159" s="33"/>
      <c r="BA159" s="33"/>
    </row>
    <row r="160" spans="1:53" ht="12" customHeight="1" x14ac:dyDescent="0.2">
      <c r="A160" s="10" t="s">
        <v>2498</v>
      </c>
      <c r="B160" s="39">
        <v>101054</v>
      </c>
      <c r="C160" s="42" t="s">
        <v>3112</v>
      </c>
      <c r="D160" s="10" t="s">
        <v>2942</v>
      </c>
      <c r="E160" s="14" t="s">
        <v>1901</v>
      </c>
      <c r="F160" s="1" t="s">
        <v>394</v>
      </c>
      <c r="G160" s="1" t="s">
        <v>2302</v>
      </c>
      <c r="H160" s="1"/>
      <c r="I160" s="1">
        <v>54</v>
      </c>
      <c r="J160" s="1"/>
      <c r="K160" s="1"/>
      <c r="L160" s="1"/>
      <c r="M160" s="1"/>
      <c r="O160" s="16" t="s">
        <v>367</v>
      </c>
      <c r="P160" s="1">
        <v>1</v>
      </c>
      <c r="Q160" s="15"/>
      <c r="R160" s="15"/>
      <c r="S160" s="15"/>
      <c r="T160" s="15"/>
      <c r="U160" s="15"/>
      <c r="V160" s="1"/>
      <c r="W160" s="1"/>
      <c r="X160" s="1"/>
      <c r="Y160" s="15">
        <v>13800</v>
      </c>
      <c r="Z160" s="15"/>
      <c r="AA160" s="15"/>
      <c r="AB160" s="17"/>
      <c r="AC160" s="82"/>
      <c r="AD160" s="16" t="s">
        <v>52</v>
      </c>
      <c r="AE160" s="16" t="s">
        <v>1903</v>
      </c>
      <c r="AF160" s="16"/>
      <c r="AG160" s="16"/>
      <c r="AH160" s="16"/>
      <c r="AI160" s="16">
        <v>12054</v>
      </c>
      <c r="AJ160" s="16"/>
      <c r="AK160" s="16"/>
      <c r="AL160" s="16"/>
      <c r="AM160" s="16"/>
      <c r="AN160" s="16"/>
      <c r="AO160" s="16"/>
      <c r="AP160" s="16"/>
      <c r="AR160" s="88"/>
      <c r="AS160" s="88"/>
      <c r="AU160" s="12" t="s">
        <v>1931</v>
      </c>
      <c r="AV160" s="19"/>
      <c r="AW160" s="39">
        <v>90</v>
      </c>
      <c r="AY160" s="33"/>
      <c r="AZ160" s="33"/>
      <c r="BA160" s="33"/>
    </row>
    <row r="161" spans="1:53" ht="12" customHeight="1" x14ac:dyDescent="0.2">
      <c r="A161" s="10" t="s">
        <v>2348</v>
      </c>
      <c r="B161" s="39">
        <v>101055</v>
      </c>
      <c r="C161" s="42" t="s">
        <v>3113</v>
      </c>
      <c r="D161" s="10" t="s">
        <v>2942</v>
      </c>
      <c r="E161" s="14" t="s">
        <v>1901</v>
      </c>
      <c r="F161" s="1" t="s">
        <v>89</v>
      </c>
      <c r="G161" s="1" t="s">
        <v>2302</v>
      </c>
      <c r="H161" s="1"/>
      <c r="I161" s="1">
        <v>55</v>
      </c>
      <c r="J161" s="1"/>
      <c r="K161" s="1"/>
      <c r="L161" s="1"/>
      <c r="M161" s="1"/>
      <c r="O161" s="16" t="s">
        <v>367</v>
      </c>
      <c r="P161" s="1">
        <v>1</v>
      </c>
      <c r="Q161" s="15"/>
      <c r="R161" s="15"/>
      <c r="S161" s="15"/>
      <c r="T161" s="15"/>
      <c r="U161" s="15"/>
      <c r="V161" s="1"/>
      <c r="W161" s="1"/>
      <c r="X161" s="1"/>
      <c r="Y161" s="15">
        <v>13800</v>
      </c>
      <c r="Z161" s="15"/>
      <c r="AA161" s="15"/>
      <c r="AB161" s="17"/>
      <c r="AC161" s="82"/>
      <c r="AD161" s="16" t="s">
        <v>52</v>
      </c>
      <c r="AE161" s="16" t="s">
        <v>1903</v>
      </c>
      <c r="AF161" s="16"/>
      <c r="AG161" s="16"/>
      <c r="AH161" s="16"/>
      <c r="AI161" s="16" t="s">
        <v>2349</v>
      </c>
      <c r="AJ161" s="16"/>
      <c r="AK161" s="16"/>
      <c r="AL161" s="16"/>
      <c r="AM161" s="16"/>
      <c r="AN161" s="16"/>
      <c r="AO161" s="16"/>
      <c r="AP161" s="16"/>
      <c r="AR161" s="88"/>
      <c r="AS161" s="88"/>
      <c r="AU161" s="12" t="s">
        <v>1931</v>
      </c>
      <c r="AV161" s="19"/>
      <c r="AW161" s="39">
        <v>90</v>
      </c>
      <c r="AY161" s="33"/>
      <c r="AZ161" s="33"/>
      <c r="BA161" s="33"/>
    </row>
    <row r="162" spans="1:53" ht="12" customHeight="1" x14ac:dyDescent="0.2">
      <c r="A162" s="10" t="s">
        <v>2336</v>
      </c>
      <c r="B162" s="39">
        <v>101056</v>
      </c>
      <c r="C162" s="42" t="s">
        <v>3114</v>
      </c>
      <c r="D162" s="10" t="s">
        <v>2942</v>
      </c>
      <c r="E162" s="14" t="s">
        <v>1901</v>
      </c>
      <c r="F162" s="1" t="s">
        <v>396</v>
      </c>
      <c r="G162" s="1" t="s">
        <v>2302</v>
      </c>
      <c r="H162" s="1"/>
      <c r="I162" s="1">
        <v>56</v>
      </c>
      <c r="J162" s="1"/>
      <c r="K162" s="1"/>
      <c r="L162" s="1"/>
      <c r="M162" s="1"/>
      <c r="O162" s="16" t="s">
        <v>367</v>
      </c>
      <c r="P162" s="1">
        <v>1</v>
      </c>
      <c r="Q162" s="15"/>
      <c r="R162" s="15"/>
      <c r="S162" s="15"/>
      <c r="T162" s="15"/>
      <c r="U162" s="15"/>
      <c r="V162" s="1"/>
      <c r="W162" s="1"/>
      <c r="X162" s="1"/>
      <c r="Y162" s="15">
        <v>13800</v>
      </c>
      <c r="Z162" s="15"/>
      <c r="AA162" s="15"/>
      <c r="AB162" s="17"/>
      <c r="AC162" s="82"/>
      <c r="AD162" s="16" t="s">
        <v>52</v>
      </c>
      <c r="AE162" s="16" t="s">
        <v>1903</v>
      </c>
      <c r="AF162" s="16"/>
      <c r="AG162" s="16"/>
      <c r="AH162" s="16"/>
      <c r="AI162" s="16">
        <v>12056</v>
      </c>
      <c r="AJ162" s="16"/>
      <c r="AK162" s="16"/>
      <c r="AL162" s="16"/>
      <c r="AM162" s="16"/>
      <c r="AN162" s="16"/>
      <c r="AO162" s="16"/>
      <c r="AP162" s="16"/>
      <c r="AR162" s="88"/>
      <c r="AS162" s="88"/>
      <c r="AU162" s="12" t="s">
        <v>1931</v>
      </c>
      <c r="AV162" s="19"/>
      <c r="AW162" s="39">
        <v>90</v>
      </c>
      <c r="AY162" s="33"/>
      <c r="AZ162" s="33"/>
      <c r="BA162" s="33"/>
    </row>
    <row r="163" spans="1:53" ht="12" customHeight="1" x14ac:dyDescent="0.2">
      <c r="A163" s="10" t="s">
        <v>2310</v>
      </c>
      <c r="B163" s="39">
        <v>101057</v>
      </c>
      <c r="C163" s="42" t="s">
        <v>3115</v>
      </c>
      <c r="D163" s="10" t="s">
        <v>2942</v>
      </c>
      <c r="E163" s="14" t="s">
        <v>1901</v>
      </c>
      <c r="F163" s="1" t="s">
        <v>395</v>
      </c>
      <c r="G163" s="1" t="s">
        <v>2302</v>
      </c>
      <c r="H163" s="1"/>
      <c r="I163" s="1">
        <v>57</v>
      </c>
      <c r="J163" s="1"/>
      <c r="K163" s="1"/>
      <c r="L163" s="1"/>
      <c r="M163" s="1"/>
      <c r="O163" s="16" t="s">
        <v>367</v>
      </c>
      <c r="P163" s="1">
        <v>1</v>
      </c>
      <c r="Q163" s="15"/>
      <c r="R163" s="15"/>
      <c r="S163" s="15"/>
      <c r="T163" s="15"/>
      <c r="U163" s="15"/>
      <c r="V163" s="1"/>
      <c r="W163" s="1"/>
      <c r="X163" s="1"/>
      <c r="Y163" s="15">
        <v>13800</v>
      </c>
      <c r="Z163" s="15"/>
      <c r="AA163" s="15"/>
      <c r="AB163" s="17"/>
      <c r="AC163" s="82"/>
      <c r="AD163" s="16" t="s">
        <v>52</v>
      </c>
      <c r="AE163" s="16" t="s">
        <v>1903</v>
      </c>
      <c r="AF163" s="16"/>
      <c r="AG163" s="16"/>
      <c r="AH163" s="16"/>
      <c r="AI163" s="16" t="s">
        <v>2316</v>
      </c>
      <c r="AJ163" s="16"/>
      <c r="AK163" s="16"/>
      <c r="AL163" s="16"/>
      <c r="AM163" s="16"/>
      <c r="AN163" s="16"/>
      <c r="AO163" s="16"/>
      <c r="AP163" s="16"/>
      <c r="AR163" s="88"/>
      <c r="AS163" s="88"/>
      <c r="AU163" s="12" t="s">
        <v>1931</v>
      </c>
      <c r="AV163" s="19"/>
      <c r="AW163" s="39">
        <v>90</v>
      </c>
      <c r="AY163" s="33"/>
      <c r="AZ163" s="33"/>
      <c r="BA163" s="33"/>
    </row>
    <row r="164" spans="1:53" ht="12" customHeight="1" x14ac:dyDescent="0.2">
      <c r="A164" s="10" t="s">
        <v>2311</v>
      </c>
      <c r="B164" s="39">
        <v>101058</v>
      </c>
      <c r="C164" s="42" t="s">
        <v>3116</v>
      </c>
      <c r="D164" s="10" t="s">
        <v>2942</v>
      </c>
      <c r="E164" s="14" t="s">
        <v>1901</v>
      </c>
      <c r="F164" s="1" t="s">
        <v>396</v>
      </c>
      <c r="G164" s="1" t="s">
        <v>2302</v>
      </c>
      <c r="H164" s="1"/>
      <c r="I164" s="1">
        <v>58</v>
      </c>
      <c r="J164" s="1"/>
      <c r="K164" s="1"/>
      <c r="L164" s="1"/>
      <c r="M164" s="1"/>
      <c r="O164" s="16" t="s">
        <v>367</v>
      </c>
      <c r="P164" s="1">
        <v>1</v>
      </c>
      <c r="Q164" s="15"/>
      <c r="R164" s="15"/>
      <c r="S164" s="15"/>
      <c r="T164" s="15"/>
      <c r="U164" s="15"/>
      <c r="V164" s="1"/>
      <c r="W164" s="1"/>
      <c r="X164" s="1"/>
      <c r="Y164" s="15">
        <v>13800</v>
      </c>
      <c r="Z164" s="15"/>
      <c r="AA164" s="15"/>
      <c r="AB164" s="17"/>
      <c r="AC164" s="82"/>
      <c r="AD164" s="16" t="s">
        <v>52</v>
      </c>
      <c r="AE164" s="16" t="s">
        <v>1903</v>
      </c>
      <c r="AF164" s="16"/>
      <c r="AG164" s="16"/>
      <c r="AH164" s="16"/>
      <c r="AI164" s="16" t="s">
        <v>2321</v>
      </c>
      <c r="AJ164" s="16"/>
      <c r="AK164" s="16"/>
      <c r="AL164" s="16"/>
      <c r="AM164" s="16"/>
      <c r="AN164" s="16"/>
      <c r="AO164" s="16"/>
      <c r="AP164" s="16"/>
      <c r="AR164" s="88"/>
      <c r="AS164" s="88"/>
      <c r="AU164" s="12" t="s">
        <v>1931</v>
      </c>
      <c r="AV164" s="19"/>
      <c r="AW164" s="39">
        <v>90</v>
      </c>
      <c r="AY164" s="33"/>
      <c r="AZ164" s="33"/>
      <c r="BA164" s="33"/>
    </row>
    <row r="165" spans="1:53" ht="12" customHeight="1" x14ac:dyDescent="0.2">
      <c r="A165" s="10" t="s">
        <v>2368</v>
      </c>
      <c r="B165" s="39">
        <v>101059</v>
      </c>
      <c r="C165" s="42" t="s">
        <v>3117</v>
      </c>
      <c r="D165" s="10" t="s">
        <v>2942</v>
      </c>
      <c r="E165" s="14" t="s">
        <v>1901</v>
      </c>
      <c r="F165" s="1" t="s">
        <v>394</v>
      </c>
      <c r="G165" s="1" t="s">
        <v>2302</v>
      </c>
      <c r="H165" s="1"/>
      <c r="I165" s="1">
        <v>59</v>
      </c>
      <c r="J165" s="1"/>
      <c r="K165" s="1"/>
      <c r="L165" s="1"/>
      <c r="M165" s="1"/>
      <c r="O165" s="16" t="s">
        <v>367</v>
      </c>
      <c r="P165" s="1">
        <v>1</v>
      </c>
      <c r="Q165" s="15"/>
      <c r="R165" s="15"/>
      <c r="S165" s="15"/>
      <c r="T165" s="15"/>
      <c r="U165" s="15"/>
      <c r="V165" s="1"/>
      <c r="W165" s="1"/>
      <c r="X165" s="1"/>
      <c r="Y165" s="15">
        <v>13800</v>
      </c>
      <c r="Z165" s="15"/>
      <c r="AA165" s="15"/>
      <c r="AB165" s="17"/>
      <c r="AC165" s="82"/>
      <c r="AD165" s="16" t="s">
        <v>52</v>
      </c>
      <c r="AE165" s="16" t="s">
        <v>1903</v>
      </c>
      <c r="AF165" s="16"/>
      <c r="AG165" s="16"/>
      <c r="AH165" s="16"/>
      <c r="AI165" s="16" t="s">
        <v>2369</v>
      </c>
      <c r="AJ165" s="16"/>
      <c r="AK165" s="16"/>
      <c r="AL165" s="16"/>
      <c r="AM165" s="16"/>
      <c r="AN165" s="16"/>
      <c r="AO165" s="16"/>
      <c r="AP165" s="16"/>
      <c r="AR165" s="88"/>
      <c r="AS165" s="88"/>
      <c r="AU165" s="12" t="s">
        <v>1931</v>
      </c>
      <c r="AV165" s="19"/>
      <c r="AW165" s="39">
        <v>90</v>
      </c>
      <c r="AY165" s="33"/>
      <c r="AZ165" s="33"/>
      <c r="BA165" s="33"/>
    </row>
    <row r="166" spans="1:53" ht="12" customHeight="1" x14ac:dyDescent="0.2">
      <c r="A166" s="10" t="s">
        <v>2366</v>
      </c>
      <c r="B166" s="39">
        <v>101060</v>
      </c>
      <c r="C166" s="42" t="s">
        <v>3118</v>
      </c>
      <c r="D166" s="10" t="s">
        <v>2942</v>
      </c>
      <c r="E166" s="14" t="s">
        <v>1901</v>
      </c>
      <c r="F166" s="1" t="s">
        <v>91</v>
      </c>
      <c r="G166" s="1" t="s">
        <v>2302</v>
      </c>
      <c r="H166" s="1"/>
      <c r="I166" s="1">
        <v>60</v>
      </c>
      <c r="J166" s="1"/>
      <c r="K166" s="1"/>
      <c r="L166" s="1"/>
      <c r="M166" s="1"/>
      <c r="O166" s="16" t="s">
        <v>367</v>
      </c>
      <c r="P166" s="1">
        <v>1</v>
      </c>
      <c r="Q166" s="15"/>
      <c r="R166" s="15"/>
      <c r="S166" s="15"/>
      <c r="T166" s="15"/>
      <c r="U166" s="15"/>
      <c r="V166" s="1"/>
      <c r="W166" s="1"/>
      <c r="X166" s="1"/>
      <c r="Y166" s="15">
        <v>13800</v>
      </c>
      <c r="Z166" s="15"/>
      <c r="AA166" s="15"/>
      <c r="AB166" s="17"/>
      <c r="AC166" s="82"/>
      <c r="AD166" s="16" t="s">
        <v>52</v>
      </c>
      <c r="AE166" s="16" t="s">
        <v>1903</v>
      </c>
      <c r="AF166" s="16"/>
      <c r="AG166" s="16"/>
      <c r="AH166" s="16"/>
      <c r="AI166" s="16" t="s">
        <v>2367</v>
      </c>
      <c r="AJ166" s="16"/>
      <c r="AK166" s="16"/>
      <c r="AL166" s="16"/>
      <c r="AM166" s="16"/>
      <c r="AN166" s="16"/>
      <c r="AO166" s="16"/>
      <c r="AP166" s="16"/>
      <c r="AR166" s="88"/>
      <c r="AS166" s="88"/>
      <c r="AU166" s="12" t="s">
        <v>1931</v>
      </c>
      <c r="AV166" s="19"/>
      <c r="AW166" s="39">
        <v>90</v>
      </c>
      <c r="AY166" s="33"/>
      <c r="AZ166" s="33"/>
      <c r="BA166" s="33"/>
    </row>
    <row r="167" spans="1:53" ht="12" customHeight="1" x14ac:dyDescent="0.2">
      <c r="A167" s="10" t="s">
        <v>2337</v>
      </c>
      <c r="B167" s="39">
        <v>101061</v>
      </c>
      <c r="C167" s="42" t="s">
        <v>3119</v>
      </c>
      <c r="D167" s="10" t="s">
        <v>2942</v>
      </c>
      <c r="E167" s="14" t="s">
        <v>1901</v>
      </c>
      <c r="F167" s="1" t="s">
        <v>88</v>
      </c>
      <c r="G167" s="1" t="s">
        <v>2302</v>
      </c>
      <c r="H167" s="1"/>
      <c r="I167" s="1">
        <v>61</v>
      </c>
      <c r="J167" s="1"/>
      <c r="K167" s="1"/>
      <c r="L167" s="1"/>
      <c r="M167" s="1"/>
      <c r="O167" s="16" t="s">
        <v>367</v>
      </c>
      <c r="P167" s="1">
        <v>1</v>
      </c>
      <c r="Q167" s="15"/>
      <c r="R167" s="15"/>
      <c r="S167" s="15"/>
      <c r="T167" s="15"/>
      <c r="U167" s="15"/>
      <c r="V167" s="1"/>
      <c r="W167" s="1"/>
      <c r="X167" s="1"/>
      <c r="Y167" s="15">
        <v>13800</v>
      </c>
      <c r="Z167" s="15"/>
      <c r="AA167" s="15"/>
      <c r="AB167" s="17"/>
      <c r="AC167" s="82"/>
      <c r="AD167" s="16" t="s">
        <v>52</v>
      </c>
      <c r="AE167" s="16" t="s">
        <v>1903</v>
      </c>
      <c r="AF167" s="16"/>
      <c r="AG167" s="16"/>
      <c r="AH167" s="16"/>
      <c r="AI167" s="16">
        <v>12061</v>
      </c>
      <c r="AJ167" s="16"/>
      <c r="AK167" s="16"/>
      <c r="AL167" s="16"/>
      <c r="AM167" s="16"/>
      <c r="AN167" s="16"/>
      <c r="AO167" s="16"/>
      <c r="AP167" s="16"/>
      <c r="AR167" s="88"/>
      <c r="AS167" s="88"/>
      <c r="AU167" s="12" t="s">
        <v>1931</v>
      </c>
      <c r="AV167" s="19"/>
      <c r="AW167" s="39">
        <v>90</v>
      </c>
      <c r="AY167" s="33"/>
      <c r="AZ167" s="33"/>
      <c r="BA167" s="33"/>
    </row>
    <row r="168" spans="1:53" ht="12" customHeight="1" x14ac:dyDescent="0.2">
      <c r="A168" s="10" t="s">
        <v>1895</v>
      </c>
      <c r="B168" s="39">
        <v>101062</v>
      </c>
      <c r="C168" s="42" t="s">
        <v>3120</v>
      </c>
      <c r="D168" s="10" t="s">
        <v>2942</v>
      </c>
      <c r="E168" s="14" t="s">
        <v>1901</v>
      </c>
      <c r="F168" s="1" t="s">
        <v>89</v>
      </c>
      <c r="G168" s="1" t="s">
        <v>2302</v>
      </c>
      <c r="H168" s="1"/>
      <c r="I168" s="1">
        <v>62</v>
      </c>
      <c r="J168" s="1"/>
      <c r="K168" s="1"/>
      <c r="L168" s="1"/>
      <c r="M168" s="1"/>
      <c r="O168" s="16" t="s">
        <v>367</v>
      </c>
      <c r="P168" s="1">
        <v>1</v>
      </c>
      <c r="Q168" s="15"/>
      <c r="R168" s="15"/>
      <c r="S168" s="15"/>
      <c r="T168" s="15"/>
      <c r="U168" s="15"/>
      <c r="V168" s="1"/>
      <c r="W168" s="1"/>
      <c r="X168" s="1"/>
      <c r="Y168" s="15">
        <v>13800</v>
      </c>
      <c r="Z168" s="15"/>
      <c r="AA168" s="15"/>
      <c r="AB168" s="17"/>
      <c r="AC168" s="82"/>
      <c r="AD168" s="16" t="s">
        <v>52</v>
      </c>
      <c r="AE168" s="16" t="s">
        <v>1903</v>
      </c>
      <c r="AF168" s="16"/>
      <c r="AG168" s="16"/>
      <c r="AH168" s="16"/>
      <c r="AI168" s="16">
        <v>12062</v>
      </c>
      <c r="AJ168" s="16"/>
      <c r="AK168" s="16"/>
      <c r="AL168" s="16"/>
      <c r="AM168" s="16"/>
      <c r="AN168" s="16"/>
      <c r="AO168" s="16"/>
      <c r="AP168" s="16"/>
      <c r="AR168" s="88"/>
      <c r="AS168" s="88"/>
      <c r="AU168" s="12" t="s">
        <v>1931</v>
      </c>
      <c r="AV168" s="19"/>
      <c r="AW168" s="39">
        <v>90</v>
      </c>
      <c r="AY168" s="33"/>
      <c r="AZ168" s="33"/>
      <c r="BA168" s="33"/>
    </row>
    <row r="169" spans="1:53" ht="12" customHeight="1" x14ac:dyDescent="0.2">
      <c r="A169" s="10" t="s">
        <v>1896</v>
      </c>
      <c r="B169" s="39">
        <v>101063</v>
      </c>
      <c r="C169" s="42" t="s">
        <v>3121</v>
      </c>
      <c r="D169" s="10" t="s">
        <v>2942</v>
      </c>
      <c r="E169" s="14" t="s">
        <v>1901</v>
      </c>
      <c r="F169" s="1" t="s">
        <v>400</v>
      </c>
      <c r="G169" s="1" t="s">
        <v>2302</v>
      </c>
      <c r="H169" s="1"/>
      <c r="I169" s="1">
        <v>63</v>
      </c>
      <c r="J169" s="1"/>
      <c r="K169" s="1"/>
      <c r="L169" s="1"/>
      <c r="M169" s="1"/>
      <c r="O169" s="16" t="s">
        <v>367</v>
      </c>
      <c r="P169" s="1">
        <v>1</v>
      </c>
      <c r="Q169" s="15"/>
      <c r="R169" s="15"/>
      <c r="S169" s="15"/>
      <c r="T169" s="15"/>
      <c r="U169" s="15"/>
      <c r="V169" s="1"/>
      <c r="W169" s="1"/>
      <c r="X169" s="1"/>
      <c r="Y169" s="15">
        <v>13800</v>
      </c>
      <c r="Z169" s="15"/>
      <c r="AA169" s="15"/>
      <c r="AB169" s="17"/>
      <c r="AC169" s="82"/>
      <c r="AD169" s="16" t="s">
        <v>52</v>
      </c>
      <c r="AE169" s="16" t="s">
        <v>1903</v>
      </c>
      <c r="AF169" s="16"/>
      <c r="AG169" s="16"/>
      <c r="AH169" s="16"/>
      <c r="AI169" s="16">
        <v>12063</v>
      </c>
      <c r="AJ169" s="16"/>
      <c r="AK169" s="16"/>
      <c r="AL169" s="16"/>
      <c r="AM169" s="16"/>
      <c r="AN169" s="16"/>
      <c r="AO169" s="16"/>
      <c r="AP169" s="16"/>
      <c r="AR169" s="88"/>
      <c r="AS169" s="88"/>
      <c r="AU169" s="12" t="s">
        <v>1931</v>
      </c>
      <c r="AV169" s="19"/>
      <c r="AW169" s="39">
        <v>90</v>
      </c>
      <c r="AY169" s="33"/>
      <c r="AZ169" s="33"/>
      <c r="BA169" s="33"/>
    </row>
    <row r="170" spans="1:53" ht="12" customHeight="1" x14ac:dyDescent="0.2">
      <c r="A170" s="10" t="s">
        <v>1897</v>
      </c>
      <c r="B170" s="39">
        <v>101064</v>
      </c>
      <c r="C170" s="42" t="s">
        <v>3122</v>
      </c>
      <c r="D170" s="10" t="s">
        <v>2942</v>
      </c>
      <c r="E170" s="14" t="s">
        <v>1901</v>
      </c>
      <c r="F170" s="1" t="s">
        <v>395</v>
      </c>
      <c r="G170" s="1" t="s">
        <v>2302</v>
      </c>
      <c r="H170" s="1"/>
      <c r="I170" s="1">
        <v>64</v>
      </c>
      <c r="J170" s="1"/>
      <c r="K170" s="1"/>
      <c r="L170" s="1"/>
      <c r="M170" s="1"/>
      <c r="O170" s="16" t="s">
        <v>367</v>
      </c>
      <c r="P170" s="1">
        <v>1</v>
      </c>
      <c r="Q170" s="15"/>
      <c r="R170" s="15"/>
      <c r="S170" s="15"/>
      <c r="T170" s="15"/>
      <c r="U170" s="15"/>
      <c r="V170" s="1"/>
      <c r="W170" s="1"/>
      <c r="X170" s="1"/>
      <c r="Y170" s="15">
        <v>13800</v>
      </c>
      <c r="Z170" s="15"/>
      <c r="AA170" s="15"/>
      <c r="AB170" s="17"/>
      <c r="AC170" s="82"/>
      <c r="AD170" s="16" t="s">
        <v>52</v>
      </c>
      <c r="AE170" s="16" t="s">
        <v>1903</v>
      </c>
      <c r="AF170" s="16"/>
      <c r="AG170" s="16"/>
      <c r="AH170" s="16"/>
      <c r="AI170" s="16">
        <v>12064</v>
      </c>
      <c r="AJ170" s="16"/>
      <c r="AK170" s="16"/>
      <c r="AL170" s="16"/>
      <c r="AM170" s="16"/>
      <c r="AN170" s="16"/>
      <c r="AO170" s="16"/>
      <c r="AP170" s="16"/>
      <c r="AR170" s="88"/>
      <c r="AS170" s="88"/>
      <c r="AU170" s="12" t="s">
        <v>1931</v>
      </c>
      <c r="AV170" s="19"/>
      <c r="AW170" s="39">
        <v>90</v>
      </c>
      <c r="AY170" s="33"/>
      <c r="AZ170" s="33"/>
      <c r="BA170" s="33"/>
    </row>
    <row r="171" spans="1:53" ht="12" customHeight="1" x14ac:dyDescent="0.2">
      <c r="A171" s="10" t="s">
        <v>1898</v>
      </c>
      <c r="B171" s="39">
        <v>101065</v>
      </c>
      <c r="C171" s="42" t="s">
        <v>3123</v>
      </c>
      <c r="D171" s="10" t="s">
        <v>2942</v>
      </c>
      <c r="E171" s="14" t="s">
        <v>1901</v>
      </c>
      <c r="F171" s="1" t="s">
        <v>1787</v>
      </c>
      <c r="G171" s="1" t="s">
        <v>2302</v>
      </c>
      <c r="H171" s="1"/>
      <c r="I171" s="1">
        <v>65</v>
      </c>
      <c r="J171" s="1"/>
      <c r="K171" s="1"/>
      <c r="L171" s="1"/>
      <c r="M171" s="1"/>
      <c r="O171" s="16" t="s">
        <v>367</v>
      </c>
      <c r="P171" s="1">
        <v>1</v>
      </c>
      <c r="Q171" s="15"/>
      <c r="R171" s="15"/>
      <c r="S171" s="15"/>
      <c r="T171" s="15"/>
      <c r="U171" s="15"/>
      <c r="V171" s="1"/>
      <c r="W171" s="1"/>
      <c r="X171" s="1"/>
      <c r="Y171" s="15">
        <v>13800</v>
      </c>
      <c r="Z171" s="15"/>
      <c r="AA171" s="15"/>
      <c r="AB171" s="17"/>
      <c r="AC171" s="82"/>
      <c r="AD171" s="16" t="s">
        <v>52</v>
      </c>
      <c r="AE171" s="16" t="s">
        <v>1903</v>
      </c>
      <c r="AF171" s="16"/>
      <c r="AG171" s="16"/>
      <c r="AH171" s="16"/>
      <c r="AI171" s="16">
        <v>12065</v>
      </c>
      <c r="AJ171" s="16"/>
      <c r="AK171" s="16"/>
      <c r="AL171" s="16"/>
      <c r="AM171" s="16"/>
      <c r="AN171" s="16"/>
      <c r="AO171" s="16"/>
      <c r="AP171" s="16"/>
      <c r="AR171" s="88"/>
      <c r="AS171" s="88"/>
      <c r="AU171" s="12" t="s">
        <v>1931</v>
      </c>
      <c r="AV171" s="19"/>
      <c r="AW171" s="39">
        <v>90</v>
      </c>
      <c r="AY171" s="33"/>
      <c r="AZ171" s="33"/>
      <c r="BA171" s="33"/>
    </row>
    <row r="172" spans="1:53" ht="12" customHeight="1" x14ac:dyDescent="0.2">
      <c r="A172" s="10" t="s">
        <v>1923</v>
      </c>
      <c r="B172" s="39">
        <v>101066</v>
      </c>
      <c r="C172" s="42" t="s">
        <v>3124</v>
      </c>
      <c r="D172" s="10" t="s">
        <v>2942</v>
      </c>
      <c r="E172" s="14" t="s">
        <v>1901</v>
      </c>
      <c r="F172" s="1" t="s">
        <v>1772</v>
      </c>
      <c r="G172" s="1" t="s">
        <v>2302</v>
      </c>
      <c r="H172" s="1"/>
      <c r="I172" s="1">
        <v>66</v>
      </c>
      <c r="J172" s="1"/>
      <c r="K172" s="1"/>
      <c r="L172" s="1"/>
      <c r="M172" s="1"/>
      <c r="O172" s="16" t="s">
        <v>367</v>
      </c>
      <c r="P172" s="1">
        <v>1</v>
      </c>
      <c r="Q172" s="15"/>
      <c r="R172" s="15"/>
      <c r="S172" s="15"/>
      <c r="T172" s="15"/>
      <c r="U172" s="15"/>
      <c r="V172" s="1"/>
      <c r="W172" s="1"/>
      <c r="X172" s="1"/>
      <c r="Y172" s="15">
        <v>13800</v>
      </c>
      <c r="Z172" s="15"/>
      <c r="AA172" s="15"/>
      <c r="AB172" s="17"/>
      <c r="AC172" s="82"/>
      <c r="AD172" s="16" t="s">
        <v>52</v>
      </c>
      <c r="AE172" s="16" t="s">
        <v>1903</v>
      </c>
      <c r="AF172" s="16"/>
      <c r="AG172" s="16"/>
      <c r="AH172" s="16"/>
      <c r="AI172" s="16" t="s">
        <v>1926</v>
      </c>
      <c r="AJ172" s="16"/>
      <c r="AK172" s="16"/>
      <c r="AL172" s="16"/>
      <c r="AM172" s="16"/>
      <c r="AN172" s="16"/>
      <c r="AO172" s="16"/>
      <c r="AP172" s="16"/>
      <c r="AR172" s="88"/>
      <c r="AS172" s="88"/>
      <c r="AU172" s="12" t="s">
        <v>1931</v>
      </c>
      <c r="AV172" s="19"/>
      <c r="AW172" s="39">
        <v>90</v>
      </c>
      <c r="AY172" s="33"/>
      <c r="AZ172" s="33"/>
      <c r="BA172" s="33"/>
    </row>
    <row r="173" spans="1:53" ht="12" customHeight="1" x14ac:dyDescent="0.2">
      <c r="A173" s="10" t="s">
        <v>1966</v>
      </c>
      <c r="B173" s="39">
        <v>101067</v>
      </c>
      <c r="C173" s="42" t="s">
        <v>3125</v>
      </c>
      <c r="D173" s="10" t="s">
        <v>2942</v>
      </c>
      <c r="E173" s="14" t="s">
        <v>1901</v>
      </c>
      <c r="F173" s="1" t="s">
        <v>1970</v>
      </c>
      <c r="G173" s="1" t="s">
        <v>2302</v>
      </c>
      <c r="H173" s="1"/>
      <c r="I173" s="1">
        <v>67</v>
      </c>
      <c r="J173" s="1"/>
      <c r="K173" s="1"/>
      <c r="L173" s="1"/>
      <c r="M173" s="1"/>
      <c r="O173" s="16" t="s">
        <v>367</v>
      </c>
      <c r="P173" s="1">
        <v>1</v>
      </c>
      <c r="Q173" s="15"/>
      <c r="R173" s="15"/>
      <c r="S173" s="15"/>
      <c r="T173" s="15"/>
      <c r="U173" s="15"/>
      <c r="V173" s="1"/>
      <c r="W173" s="1"/>
      <c r="X173" s="1"/>
      <c r="Y173" s="15">
        <v>13800</v>
      </c>
      <c r="Z173" s="15"/>
      <c r="AA173" s="15"/>
      <c r="AB173" s="17"/>
      <c r="AC173" s="82"/>
      <c r="AD173" s="16" t="s">
        <v>52</v>
      </c>
      <c r="AE173" s="16" t="s">
        <v>1903</v>
      </c>
      <c r="AF173" s="16"/>
      <c r="AG173" s="16"/>
      <c r="AH173" s="16"/>
      <c r="AI173" s="16" t="s">
        <v>1972</v>
      </c>
      <c r="AJ173" s="16"/>
      <c r="AK173" s="16"/>
      <c r="AL173" s="16"/>
      <c r="AM173" s="16"/>
      <c r="AN173" s="16"/>
      <c r="AO173" s="16"/>
      <c r="AP173" s="16"/>
      <c r="AR173" s="88"/>
      <c r="AS173" s="88"/>
      <c r="AU173" s="12" t="s">
        <v>1931</v>
      </c>
      <c r="AV173" s="19"/>
      <c r="AW173" s="39">
        <v>90</v>
      </c>
      <c r="AY173" s="33"/>
      <c r="AZ173" s="33"/>
      <c r="BA173" s="33"/>
    </row>
    <row r="174" spans="1:53" ht="12" customHeight="1" x14ac:dyDescent="0.2">
      <c r="A174" s="10" t="s">
        <v>2472</v>
      </c>
      <c r="B174" s="39">
        <v>101068</v>
      </c>
      <c r="C174" s="42" t="s">
        <v>3126</v>
      </c>
      <c r="D174" s="10" t="s">
        <v>2942</v>
      </c>
      <c r="E174" s="14" t="s">
        <v>1901</v>
      </c>
      <c r="F174" s="1" t="s">
        <v>396</v>
      </c>
      <c r="G174" s="1" t="s">
        <v>2302</v>
      </c>
      <c r="H174" s="1"/>
      <c r="I174" s="1">
        <v>68</v>
      </c>
      <c r="J174" s="1"/>
      <c r="K174" s="1"/>
      <c r="L174" s="1"/>
      <c r="M174" s="1"/>
      <c r="O174" s="16" t="s">
        <v>367</v>
      </c>
      <c r="P174" s="1">
        <v>1</v>
      </c>
      <c r="Q174" s="15"/>
      <c r="R174" s="15"/>
      <c r="S174" s="15"/>
      <c r="T174" s="15"/>
      <c r="U174" s="15"/>
      <c r="V174" s="1"/>
      <c r="W174" s="1"/>
      <c r="X174" s="1"/>
      <c r="Y174" s="15">
        <v>13800</v>
      </c>
      <c r="Z174" s="15"/>
      <c r="AA174" s="15"/>
      <c r="AB174" s="17"/>
      <c r="AC174" s="82"/>
      <c r="AD174" s="16" t="s">
        <v>52</v>
      </c>
      <c r="AE174" s="16" t="s">
        <v>1903</v>
      </c>
      <c r="AF174" s="16"/>
      <c r="AG174" s="16"/>
      <c r="AH174" s="16"/>
      <c r="AI174" s="16" t="s">
        <v>2473</v>
      </c>
      <c r="AJ174" s="16"/>
      <c r="AK174" s="16"/>
      <c r="AL174" s="16"/>
      <c r="AM174" s="16"/>
      <c r="AN174" s="16"/>
      <c r="AO174" s="16"/>
      <c r="AP174" s="16"/>
      <c r="AR174" s="88"/>
      <c r="AS174" s="88"/>
      <c r="AU174" s="12" t="s">
        <v>1931</v>
      </c>
      <c r="AV174" s="19"/>
      <c r="AW174" s="39">
        <v>90</v>
      </c>
      <c r="AY174" s="33"/>
      <c r="AZ174" s="33"/>
      <c r="BA174" s="33"/>
    </row>
    <row r="175" spans="1:53" ht="12" customHeight="1" x14ac:dyDescent="0.2">
      <c r="A175" s="10" t="s">
        <v>2487</v>
      </c>
      <c r="B175" s="39">
        <v>101069</v>
      </c>
      <c r="C175" s="42" t="s">
        <v>3127</v>
      </c>
      <c r="D175" s="10" t="s">
        <v>2942</v>
      </c>
      <c r="E175" s="14" t="s">
        <v>1901</v>
      </c>
      <c r="F175" s="1" t="s">
        <v>395</v>
      </c>
      <c r="G175" s="1" t="s">
        <v>2302</v>
      </c>
      <c r="H175" s="1"/>
      <c r="I175" s="1">
        <v>69</v>
      </c>
      <c r="J175" s="1"/>
      <c r="K175" s="1"/>
      <c r="L175" s="1"/>
      <c r="M175" s="1"/>
      <c r="O175" s="16" t="s">
        <v>367</v>
      </c>
      <c r="P175" s="1">
        <v>1</v>
      </c>
      <c r="Q175" s="15"/>
      <c r="R175" s="15"/>
      <c r="S175" s="15"/>
      <c r="T175" s="15"/>
      <c r="U175" s="15"/>
      <c r="V175" s="1"/>
      <c r="W175" s="1"/>
      <c r="X175" s="1"/>
      <c r="Y175" s="15">
        <v>13800</v>
      </c>
      <c r="Z175" s="15"/>
      <c r="AA175" s="15"/>
      <c r="AB175" s="17"/>
      <c r="AC175" s="82"/>
      <c r="AD175" s="16" t="s">
        <v>52</v>
      </c>
      <c r="AE175" s="16" t="s">
        <v>1903</v>
      </c>
      <c r="AF175" s="16"/>
      <c r="AG175" s="16"/>
      <c r="AH175" s="16"/>
      <c r="AI175" s="16">
        <v>12069</v>
      </c>
      <c r="AJ175" s="16"/>
      <c r="AK175" s="16"/>
      <c r="AL175" s="16"/>
      <c r="AM175" s="16"/>
      <c r="AN175" s="16"/>
      <c r="AO175" s="16"/>
      <c r="AP175" s="16"/>
      <c r="AR175" s="88"/>
      <c r="AS175" s="88"/>
      <c r="AU175" s="12" t="s">
        <v>1931</v>
      </c>
      <c r="AV175" s="19"/>
      <c r="AW175" s="39">
        <v>90</v>
      </c>
      <c r="AY175" s="33"/>
      <c r="AZ175" s="33"/>
      <c r="BA175" s="33"/>
    </row>
    <row r="176" spans="1:53" ht="12" customHeight="1" x14ac:dyDescent="0.2">
      <c r="A176" s="10" t="s">
        <v>2824</v>
      </c>
      <c r="B176" s="39">
        <v>101070</v>
      </c>
      <c r="C176" s="42" t="s">
        <v>3128</v>
      </c>
      <c r="D176" s="10" t="s">
        <v>2942</v>
      </c>
      <c r="E176" s="14" t="s">
        <v>1901</v>
      </c>
      <c r="F176" s="1" t="s">
        <v>91</v>
      </c>
      <c r="G176" s="1" t="s">
        <v>2302</v>
      </c>
      <c r="H176" s="1"/>
      <c r="I176" s="1">
        <v>70</v>
      </c>
      <c r="J176" s="1"/>
      <c r="K176" s="1"/>
      <c r="L176" s="1"/>
      <c r="M176" s="1"/>
      <c r="O176" s="16" t="s">
        <v>367</v>
      </c>
      <c r="P176" s="1">
        <v>1</v>
      </c>
      <c r="Q176" s="15"/>
      <c r="R176" s="15"/>
      <c r="S176" s="15"/>
      <c r="T176" s="15"/>
      <c r="U176" s="15"/>
      <c r="V176" s="1"/>
      <c r="W176" s="1"/>
      <c r="X176" s="1"/>
      <c r="Y176" s="15">
        <v>13800</v>
      </c>
      <c r="Z176" s="15"/>
      <c r="AA176" s="15"/>
      <c r="AB176" s="17"/>
      <c r="AC176" s="82"/>
      <c r="AD176" s="16" t="s">
        <v>52</v>
      </c>
      <c r="AE176" s="16" t="s">
        <v>1903</v>
      </c>
      <c r="AF176" s="16"/>
      <c r="AG176" s="16"/>
      <c r="AH176" s="16"/>
      <c r="AI176" s="16" t="s">
        <v>2825</v>
      </c>
      <c r="AJ176" s="16"/>
      <c r="AK176" s="16"/>
      <c r="AL176" s="16"/>
      <c r="AM176" s="16"/>
      <c r="AN176" s="16"/>
      <c r="AO176" s="16"/>
      <c r="AP176" s="16"/>
      <c r="AR176" s="88"/>
      <c r="AS176" s="88"/>
      <c r="AU176" s="12" t="s">
        <v>1931</v>
      </c>
      <c r="AV176" s="19"/>
      <c r="AW176" s="39">
        <v>90</v>
      </c>
      <c r="AY176" s="33"/>
      <c r="AZ176" s="33"/>
      <c r="BA176" s="33"/>
    </row>
    <row r="177" spans="1:53" ht="12" customHeight="1" x14ac:dyDescent="0.2">
      <c r="A177" s="10" t="s">
        <v>2852</v>
      </c>
      <c r="B177" s="39">
        <v>101071</v>
      </c>
      <c r="C177" s="42" t="s">
        <v>3129</v>
      </c>
      <c r="D177" s="10" t="s">
        <v>2942</v>
      </c>
      <c r="E177" s="14" t="s">
        <v>1901</v>
      </c>
      <c r="F177" s="1" t="s">
        <v>89</v>
      </c>
      <c r="G177" s="1" t="s">
        <v>2302</v>
      </c>
      <c r="H177" s="1"/>
      <c r="I177" s="1">
        <v>71</v>
      </c>
      <c r="J177" s="1"/>
      <c r="K177" s="1"/>
      <c r="L177" s="1"/>
      <c r="M177" s="1"/>
      <c r="O177" s="16" t="s">
        <v>367</v>
      </c>
      <c r="P177" s="1">
        <v>1</v>
      </c>
      <c r="Q177" s="15"/>
      <c r="R177" s="15"/>
      <c r="S177" s="15"/>
      <c r="T177" s="15"/>
      <c r="U177" s="15"/>
      <c r="V177" s="1"/>
      <c r="W177" s="1"/>
      <c r="X177" s="1"/>
      <c r="Y177" s="15">
        <v>13800</v>
      </c>
      <c r="Z177" s="15"/>
      <c r="AA177" s="15"/>
      <c r="AB177" s="17"/>
      <c r="AC177" s="82"/>
      <c r="AD177" s="16" t="s">
        <v>52</v>
      </c>
      <c r="AE177" s="16" t="s">
        <v>1903</v>
      </c>
      <c r="AF177" s="16"/>
      <c r="AG177" s="16"/>
      <c r="AH177" s="16"/>
      <c r="AI177" s="16" t="s">
        <v>2853</v>
      </c>
      <c r="AJ177" s="16"/>
      <c r="AK177" s="16"/>
      <c r="AL177" s="16"/>
      <c r="AM177" s="16"/>
      <c r="AN177" s="16"/>
      <c r="AO177" s="16"/>
      <c r="AP177" s="16"/>
      <c r="AR177" s="88"/>
      <c r="AS177" s="88"/>
      <c r="AU177" s="12" t="s">
        <v>1931</v>
      </c>
      <c r="AV177" s="19"/>
      <c r="AW177" s="39">
        <v>90</v>
      </c>
      <c r="AY177" s="33"/>
      <c r="AZ177" s="33"/>
      <c r="BA177" s="33"/>
    </row>
    <row r="178" spans="1:53" ht="12" customHeight="1" x14ac:dyDescent="0.2">
      <c r="A178" s="10" t="s">
        <v>2907</v>
      </c>
      <c r="B178" s="39">
        <v>101072</v>
      </c>
      <c r="C178" s="42" t="s">
        <v>3130</v>
      </c>
      <c r="D178" s="10" t="s">
        <v>2942</v>
      </c>
      <c r="E178" s="14" t="s">
        <v>1901</v>
      </c>
      <c r="F178" s="1" t="s">
        <v>91</v>
      </c>
      <c r="G178" s="1" t="s">
        <v>2302</v>
      </c>
      <c r="H178" s="1"/>
      <c r="I178" s="1">
        <v>72</v>
      </c>
      <c r="J178" s="1"/>
      <c r="K178" s="1"/>
      <c r="L178" s="1"/>
      <c r="M178" s="1"/>
      <c r="O178" s="16" t="s">
        <v>367</v>
      </c>
      <c r="P178" s="1">
        <v>1</v>
      </c>
      <c r="Q178" s="15"/>
      <c r="R178" s="15"/>
      <c r="S178" s="15"/>
      <c r="T178" s="15"/>
      <c r="U178" s="15"/>
      <c r="V178" s="1"/>
      <c r="W178" s="1"/>
      <c r="X178" s="1"/>
      <c r="Y178" s="15">
        <v>13800</v>
      </c>
      <c r="Z178" s="15"/>
      <c r="AA178" s="15"/>
      <c r="AB178" s="17"/>
      <c r="AC178" s="82"/>
      <c r="AD178" s="16" t="s">
        <v>52</v>
      </c>
      <c r="AE178" s="16" t="s">
        <v>1903</v>
      </c>
      <c r="AF178" s="16"/>
      <c r="AG178" s="16"/>
      <c r="AH178" s="16"/>
      <c r="AI178" s="16" t="s">
        <v>2908</v>
      </c>
      <c r="AJ178" s="16"/>
      <c r="AK178" s="16"/>
      <c r="AL178" s="16"/>
      <c r="AM178" s="16"/>
      <c r="AN178" s="16"/>
      <c r="AO178" s="16"/>
      <c r="AP178" s="16"/>
      <c r="AR178" s="88"/>
      <c r="AS178" s="88"/>
      <c r="AU178" s="12" t="s">
        <v>1931</v>
      </c>
      <c r="AV178" s="19"/>
      <c r="AW178" s="39">
        <v>90</v>
      </c>
      <c r="AY178" s="33"/>
      <c r="AZ178" s="33"/>
      <c r="BA178" s="33"/>
    </row>
    <row r="179" spans="1:53" ht="12" customHeight="1" x14ac:dyDescent="0.2">
      <c r="A179" s="10" t="s">
        <v>1967</v>
      </c>
      <c r="B179" s="39">
        <v>101073</v>
      </c>
      <c r="C179" s="42" t="s">
        <v>3131</v>
      </c>
      <c r="D179" s="10" t="s">
        <v>2942</v>
      </c>
      <c r="E179" s="14" t="s">
        <v>1901</v>
      </c>
      <c r="F179" s="1" t="s">
        <v>1971</v>
      </c>
      <c r="G179" s="1" t="s">
        <v>2302</v>
      </c>
      <c r="H179" s="1"/>
      <c r="I179" s="1">
        <v>73</v>
      </c>
      <c r="J179" s="1"/>
      <c r="K179" s="1"/>
      <c r="L179" s="1"/>
      <c r="M179" s="1"/>
      <c r="O179" s="16" t="s">
        <v>367</v>
      </c>
      <c r="P179" s="1">
        <v>1</v>
      </c>
      <c r="Q179" s="15"/>
      <c r="R179" s="15"/>
      <c r="S179" s="15"/>
      <c r="T179" s="15"/>
      <c r="U179" s="15"/>
      <c r="V179" s="1"/>
      <c r="W179" s="1"/>
      <c r="X179" s="1"/>
      <c r="Y179" s="15">
        <v>13800</v>
      </c>
      <c r="Z179" s="15"/>
      <c r="AA179" s="15"/>
      <c r="AB179" s="17"/>
      <c r="AC179" s="82"/>
      <c r="AD179" s="16" t="s">
        <v>52</v>
      </c>
      <c r="AE179" s="16" t="s">
        <v>1903</v>
      </c>
      <c r="AF179" s="16"/>
      <c r="AG179" s="16"/>
      <c r="AH179" s="16"/>
      <c r="AI179" s="16" t="s">
        <v>1973</v>
      </c>
      <c r="AJ179" s="16"/>
      <c r="AK179" s="16"/>
      <c r="AL179" s="16"/>
      <c r="AM179" s="16"/>
      <c r="AN179" s="16"/>
      <c r="AO179" s="16"/>
      <c r="AP179" s="16"/>
      <c r="AR179" s="88"/>
      <c r="AS179" s="88"/>
      <c r="AU179" s="12" t="s">
        <v>1931</v>
      </c>
      <c r="AV179" s="19"/>
      <c r="AW179" s="39">
        <v>90</v>
      </c>
      <c r="AY179" s="33"/>
      <c r="AZ179" s="33"/>
      <c r="BA179" s="33"/>
    </row>
    <row r="180" spans="1:53" ht="12" customHeight="1" x14ac:dyDescent="0.2">
      <c r="A180" s="10" t="s">
        <v>2917</v>
      </c>
      <c r="B180" s="39">
        <v>101074</v>
      </c>
      <c r="C180" s="42" t="e">
        <v>#N/A</v>
      </c>
      <c r="D180" s="10" t="s">
        <v>2942</v>
      </c>
      <c r="E180" s="14" t="s">
        <v>1901</v>
      </c>
      <c r="F180" s="1" t="s">
        <v>396</v>
      </c>
      <c r="G180" s="1" t="s">
        <v>2302</v>
      </c>
      <c r="H180" s="1"/>
      <c r="I180" s="1">
        <v>74</v>
      </c>
      <c r="J180" s="1"/>
      <c r="K180" s="1"/>
      <c r="L180" s="1"/>
      <c r="M180" s="1"/>
      <c r="O180" s="16" t="s">
        <v>367</v>
      </c>
      <c r="P180" s="1">
        <v>1</v>
      </c>
      <c r="Q180" s="15"/>
      <c r="R180" s="15"/>
      <c r="S180" s="15"/>
      <c r="T180" s="15"/>
      <c r="U180" s="15"/>
      <c r="V180" s="1"/>
      <c r="W180" s="1"/>
      <c r="X180" s="1"/>
      <c r="Y180" s="15">
        <v>13800</v>
      </c>
      <c r="Z180" s="15"/>
      <c r="AA180" s="15"/>
      <c r="AB180" s="17"/>
      <c r="AC180" s="82"/>
      <c r="AD180" s="16" t="s">
        <v>52</v>
      </c>
      <c r="AE180" s="16" t="s">
        <v>1903</v>
      </c>
      <c r="AF180" s="16"/>
      <c r="AG180" s="16"/>
      <c r="AH180" s="16"/>
      <c r="AI180" s="16" t="s">
        <v>2918</v>
      </c>
      <c r="AJ180" s="16"/>
      <c r="AK180" s="16"/>
      <c r="AL180" s="16"/>
      <c r="AM180" s="16"/>
      <c r="AN180" s="16"/>
      <c r="AO180" s="16"/>
      <c r="AP180" s="16"/>
      <c r="AR180" s="88"/>
      <c r="AS180" s="88"/>
      <c r="AU180" s="12" t="s">
        <v>1931</v>
      </c>
      <c r="AV180" s="19"/>
      <c r="AW180" s="39">
        <v>90</v>
      </c>
      <c r="AY180" s="33"/>
      <c r="AZ180" s="33"/>
      <c r="BA180" s="33"/>
    </row>
    <row r="181" spans="1:53" ht="12" customHeight="1" x14ac:dyDescent="0.2">
      <c r="A181" s="10" t="s">
        <v>2838</v>
      </c>
      <c r="B181" s="39">
        <v>101075</v>
      </c>
      <c r="C181" s="42" t="s">
        <v>3132</v>
      </c>
      <c r="D181" s="10" t="s">
        <v>2942</v>
      </c>
      <c r="E181" s="14" t="s">
        <v>1901</v>
      </c>
      <c r="F181" s="1" t="s">
        <v>395</v>
      </c>
      <c r="G181" s="1" t="s">
        <v>2302</v>
      </c>
      <c r="H181" s="1"/>
      <c r="I181" s="1">
        <v>75</v>
      </c>
      <c r="J181" s="1"/>
      <c r="K181" s="1"/>
      <c r="L181" s="1"/>
      <c r="M181" s="1"/>
      <c r="O181" s="16" t="s">
        <v>367</v>
      </c>
      <c r="P181" s="1">
        <v>1</v>
      </c>
      <c r="Q181" s="15"/>
      <c r="R181" s="15"/>
      <c r="S181" s="15"/>
      <c r="T181" s="15"/>
      <c r="U181" s="15"/>
      <c r="V181" s="1"/>
      <c r="W181" s="1"/>
      <c r="X181" s="1"/>
      <c r="Y181" s="15">
        <v>13800</v>
      </c>
      <c r="Z181" s="15"/>
      <c r="AA181" s="15"/>
      <c r="AB181" s="17"/>
      <c r="AC181" s="82"/>
      <c r="AD181" s="16" t="s">
        <v>52</v>
      </c>
      <c r="AE181" s="16" t="s">
        <v>1903</v>
      </c>
      <c r="AF181" s="16"/>
      <c r="AG181" s="16"/>
      <c r="AH181" s="16"/>
      <c r="AI181" s="16" t="s">
        <v>2839</v>
      </c>
      <c r="AJ181" s="16"/>
      <c r="AK181" s="16"/>
      <c r="AL181" s="16"/>
      <c r="AM181" s="16"/>
      <c r="AN181" s="16"/>
      <c r="AO181" s="16"/>
      <c r="AP181" s="16"/>
      <c r="AR181" s="88"/>
      <c r="AS181" s="88"/>
      <c r="AU181" s="12" t="s">
        <v>1931</v>
      </c>
      <c r="AV181" s="19"/>
      <c r="AW181" s="39">
        <v>90</v>
      </c>
      <c r="AY181" s="33"/>
      <c r="AZ181" s="33"/>
      <c r="BA181" s="33"/>
    </row>
    <row r="182" spans="1:53" ht="12" customHeight="1" x14ac:dyDescent="0.2">
      <c r="A182" s="10" t="s">
        <v>2931</v>
      </c>
      <c r="B182" s="39">
        <v>101076</v>
      </c>
      <c r="C182" s="42" t="e">
        <v>#N/A</v>
      </c>
      <c r="D182" s="10" t="s">
        <v>2942</v>
      </c>
      <c r="E182" s="14" t="s">
        <v>1901</v>
      </c>
      <c r="F182" s="1" t="s">
        <v>88</v>
      </c>
      <c r="G182" s="1" t="s">
        <v>2302</v>
      </c>
      <c r="H182" s="1"/>
      <c r="I182" s="1">
        <v>76</v>
      </c>
      <c r="J182" s="1"/>
      <c r="K182" s="1"/>
      <c r="L182" s="1"/>
      <c r="M182" s="1"/>
      <c r="O182" s="16" t="s">
        <v>367</v>
      </c>
      <c r="P182" s="1">
        <v>1</v>
      </c>
      <c r="Q182" s="15"/>
      <c r="R182" s="15"/>
      <c r="S182" s="15"/>
      <c r="T182" s="15"/>
      <c r="U182" s="15"/>
      <c r="V182" s="1"/>
      <c r="W182" s="1"/>
      <c r="X182" s="1"/>
      <c r="Y182" s="15">
        <v>13800</v>
      </c>
      <c r="Z182" s="15"/>
      <c r="AA182" s="15"/>
      <c r="AB182" s="17"/>
      <c r="AC182" s="82"/>
      <c r="AD182" s="16" t="s">
        <v>52</v>
      </c>
      <c r="AE182" s="16" t="s">
        <v>1903</v>
      </c>
      <c r="AF182" s="16"/>
      <c r="AG182" s="16"/>
      <c r="AH182" s="16"/>
      <c r="AI182" s="16" t="s">
        <v>2932</v>
      </c>
      <c r="AJ182" s="16"/>
      <c r="AK182" s="16"/>
      <c r="AL182" s="16"/>
      <c r="AM182" s="16"/>
      <c r="AN182" s="16"/>
      <c r="AO182" s="16"/>
      <c r="AP182" s="16"/>
      <c r="AR182" s="88"/>
      <c r="AS182" s="88"/>
      <c r="AU182" s="12" t="s">
        <v>1931</v>
      </c>
      <c r="AV182" s="19"/>
      <c r="AW182" s="39">
        <v>90</v>
      </c>
      <c r="AY182" s="33"/>
      <c r="AZ182" s="33"/>
      <c r="BA182" s="33"/>
    </row>
    <row r="183" spans="1:53" ht="12" customHeight="1" x14ac:dyDescent="0.2">
      <c r="A183" s="10" t="s">
        <v>4372</v>
      </c>
      <c r="B183" s="39">
        <v>101077</v>
      </c>
      <c r="C183" s="42" t="e">
        <v>#N/A</v>
      </c>
      <c r="D183" s="10" t="s">
        <v>2942</v>
      </c>
      <c r="E183" s="14" t="s">
        <v>1901</v>
      </c>
      <c r="F183" s="1" t="s">
        <v>395</v>
      </c>
      <c r="G183" s="1" t="s">
        <v>2302</v>
      </c>
      <c r="H183" s="1"/>
      <c r="I183" s="1">
        <v>77</v>
      </c>
      <c r="J183" s="1"/>
      <c r="K183" s="1"/>
      <c r="L183" s="1"/>
      <c r="M183" s="1"/>
      <c r="O183" s="16" t="s">
        <v>367</v>
      </c>
      <c r="P183" s="1">
        <v>1</v>
      </c>
      <c r="Q183" s="15"/>
      <c r="R183" s="15"/>
      <c r="S183" s="15"/>
      <c r="T183" s="15"/>
      <c r="U183" s="15"/>
      <c r="V183" s="1"/>
      <c r="W183" s="1"/>
      <c r="X183" s="1"/>
      <c r="Y183" s="15">
        <v>13800</v>
      </c>
      <c r="Z183" s="15"/>
      <c r="AA183" s="15"/>
      <c r="AB183" s="17"/>
      <c r="AC183" s="82"/>
      <c r="AD183" s="16" t="s">
        <v>52</v>
      </c>
      <c r="AE183" s="16" t="s">
        <v>1903</v>
      </c>
      <c r="AF183" s="16"/>
      <c r="AG183" s="16"/>
      <c r="AH183" s="16"/>
      <c r="AI183" s="16" t="s">
        <v>4373</v>
      </c>
      <c r="AJ183" s="16"/>
      <c r="AK183" s="16"/>
      <c r="AL183" s="16"/>
      <c r="AM183" s="16"/>
      <c r="AN183" s="16"/>
      <c r="AO183" s="16"/>
      <c r="AP183" s="16"/>
      <c r="AR183" s="88"/>
      <c r="AS183" s="88"/>
      <c r="AU183" s="12" t="s">
        <v>1931</v>
      </c>
      <c r="AV183" s="19"/>
      <c r="AW183" s="39">
        <v>90</v>
      </c>
      <c r="AY183" s="33"/>
      <c r="AZ183" s="33"/>
      <c r="BA183" s="33"/>
    </row>
    <row r="184" spans="1:53" ht="12" customHeight="1" x14ac:dyDescent="0.2">
      <c r="A184" s="10" t="s">
        <v>2799</v>
      </c>
      <c r="B184" s="39">
        <v>101078</v>
      </c>
      <c r="C184" s="42" t="s">
        <v>3133</v>
      </c>
      <c r="D184" s="10" t="s">
        <v>2942</v>
      </c>
      <c r="E184" s="14" t="s">
        <v>1901</v>
      </c>
      <c r="F184" s="1" t="s">
        <v>89</v>
      </c>
      <c r="G184" s="1" t="s">
        <v>2302</v>
      </c>
      <c r="H184" s="1"/>
      <c r="I184" s="1">
        <v>78</v>
      </c>
      <c r="J184" s="1"/>
      <c r="K184" s="1"/>
      <c r="L184" s="1"/>
      <c r="M184" s="1"/>
      <c r="O184" s="16" t="s">
        <v>367</v>
      </c>
      <c r="P184" s="1">
        <v>1</v>
      </c>
      <c r="Q184" s="15"/>
      <c r="R184" s="15"/>
      <c r="S184" s="15"/>
      <c r="T184" s="15"/>
      <c r="U184" s="15"/>
      <c r="V184" s="1"/>
      <c r="W184" s="1"/>
      <c r="X184" s="1"/>
      <c r="Y184" s="15">
        <v>13800</v>
      </c>
      <c r="Z184" s="15"/>
      <c r="AA184" s="15"/>
      <c r="AB184" s="17"/>
      <c r="AC184" s="82"/>
      <c r="AD184" s="16" t="s">
        <v>52</v>
      </c>
      <c r="AE184" s="16" t="s">
        <v>1903</v>
      </c>
      <c r="AF184" s="16"/>
      <c r="AG184" s="16"/>
      <c r="AH184" s="16"/>
      <c r="AI184" s="16" t="s">
        <v>2800</v>
      </c>
      <c r="AJ184" s="16"/>
      <c r="AK184" s="16"/>
      <c r="AL184" s="16"/>
      <c r="AM184" s="16"/>
      <c r="AN184" s="16"/>
      <c r="AO184" s="16"/>
      <c r="AP184" s="16"/>
      <c r="AR184" s="88"/>
      <c r="AS184" s="88"/>
      <c r="AU184" s="12" t="s">
        <v>1931</v>
      </c>
      <c r="AV184" s="19"/>
      <c r="AW184" s="39">
        <v>90</v>
      </c>
      <c r="AY184" s="33"/>
      <c r="AZ184" s="33"/>
      <c r="BA184" s="33"/>
    </row>
    <row r="185" spans="1:53" ht="12" customHeight="1" x14ac:dyDescent="0.2">
      <c r="A185" s="10" t="s">
        <v>4396</v>
      </c>
      <c r="B185" s="39">
        <v>101079</v>
      </c>
      <c r="C185" s="42" t="s">
        <v>4398</v>
      </c>
      <c r="D185" s="10" t="s">
        <v>2942</v>
      </c>
      <c r="E185" s="14" t="s">
        <v>1901</v>
      </c>
      <c r="F185" s="1" t="s">
        <v>394</v>
      </c>
      <c r="G185" s="1" t="s">
        <v>2302</v>
      </c>
      <c r="H185" s="1"/>
      <c r="I185" s="1">
        <v>79</v>
      </c>
      <c r="J185" s="1"/>
      <c r="K185" s="1"/>
      <c r="L185" s="1"/>
      <c r="M185" s="1"/>
      <c r="O185" s="16" t="s">
        <v>367</v>
      </c>
      <c r="P185" s="1">
        <v>1</v>
      </c>
      <c r="Q185" s="15"/>
      <c r="R185" s="15"/>
      <c r="S185" s="15"/>
      <c r="T185" s="15"/>
      <c r="U185" s="15"/>
      <c r="V185" s="1"/>
      <c r="W185" s="1"/>
      <c r="X185" s="1"/>
      <c r="Y185" s="15">
        <v>13800</v>
      </c>
      <c r="Z185" s="15"/>
      <c r="AA185" s="15"/>
      <c r="AB185" s="17"/>
      <c r="AC185" s="82"/>
      <c r="AD185" s="16" t="s">
        <v>52</v>
      </c>
      <c r="AE185" s="16" t="s">
        <v>1903</v>
      </c>
      <c r="AF185" s="16"/>
      <c r="AG185" s="16"/>
      <c r="AH185" s="16"/>
      <c r="AI185" s="16" t="s">
        <v>4397</v>
      </c>
      <c r="AJ185" s="16"/>
      <c r="AK185" s="16"/>
      <c r="AL185" s="16"/>
      <c r="AM185" s="16"/>
      <c r="AN185" s="16"/>
      <c r="AO185" s="16"/>
      <c r="AP185" s="16"/>
      <c r="AR185" s="88"/>
      <c r="AS185" s="88"/>
      <c r="AU185" s="12" t="s">
        <v>1931</v>
      </c>
      <c r="AV185" s="19"/>
      <c r="AW185" s="39">
        <v>90</v>
      </c>
      <c r="AY185" s="33"/>
      <c r="AZ185" s="33"/>
      <c r="BA185" s="33"/>
    </row>
    <row r="186" spans="1:53" ht="12" customHeight="1" x14ac:dyDescent="0.2">
      <c r="A186" s="10" t="s">
        <v>5625</v>
      </c>
      <c r="B186" s="39">
        <v>101080</v>
      </c>
      <c r="D186" s="10" t="s">
        <v>2942</v>
      </c>
      <c r="E186" s="14" t="s">
        <v>1901</v>
      </c>
      <c r="F186" s="1" t="s">
        <v>88</v>
      </c>
      <c r="G186" s="1" t="s">
        <v>2302</v>
      </c>
      <c r="H186" s="1"/>
      <c r="I186" s="1">
        <v>80</v>
      </c>
      <c r="J186" s="1"/>
      <c r="K186" s="1"/>
      <c r="L186" s="1"/>
      <c r="M186" s="1"/>
      <c r="O186" s="16" t="s">
        <v>367</v>
      </c>
      <c r="P186" s="1">
        <v>1</v>
      </c>
      <c r="Q186" s="15"/>
      <c r="R186" s="15"/>
      <c r="S186" s="15"/>
      <c r="T186" s="15"/>
      <c r="U186" s="15"/>
      <c r="V186" s="1"/>
      <c r="W186" s="1"/>
      <c r="X186" s="1"/>
      <c r="Y186" s="15">
        <v>13800</v>
      </c>
      <c r="Z186" s="15"/>
      <c r="AA186" s="15"/>
      <c r="AB186" s="17"/>
      <c r="AC186" s="82"/>
      <c r="AD186" s="16" t="s">
        <v>52</v>
      </c>
      <c r="AE186" s="16" t="s">
        <v>1903</v>
      </c>
      <c r="AF186" s="16"/>
      <c r="AG186" s="16"/>
      <c r="AH186" s="16"/>
      <c r="AI186" s="16" t="s">
        <v>5626</v>
      </c>
      <c r="AJ186" s="16"/>
      <c r="AK186" s="16"/>
      <c r="AL186" s="16"/>
      <c r="AM186" s="16"/>
      <c r="AN186" s="16"/>
      <c r="AO186" s="16"/>
      <c r="AP186" s="16"/>
      <c r="AR186" s="88"/>
      <c r="AS186" s="88"/>
      <c r="AU186" s="12" t="s">
        <v>1931</v>
      </c>
      <c r="AV186" s="19"/>
      <c r="AW186" s="39">
        <v>90</v>
      </c>
      <c r="AY186" s="33"/>
      <c r="AZ186" s="33"/>
      <c r="BA186" s="33"/>
    </row>
    <row r="187" spans="1:53" ht="12" customHeight="1" x14ac:dyDescent="0.2">
      <c r="A187" s="10" t="s">
        <v>4436</v>
      </c>
      <c r="B187" s="39">
        <v>101081</v>
      </c>
      <c r="C187" s="42" t="e">
        <v>#N/A</v>
      </c>
      <c r="D187" s="10" t="s">
        <v>2942</v>
      </c>
      <c r="E187" s="14" t="s">
        <v>1901</v>
      </c>
      <c r="F187" s="1" t="s">
        <v>89</v>
      </c>
      <c r="G187" s="1" t="s">
        <v>2302</v>
      </c>
      <c r="H187" s="1"/>
      <c r="I187" s="1">
        <v>81</v>
      </c>
      <c r="J187" s="1"/>
      <c r="K187" s="1"/>
      <c r="L187" s="1"/>
      <c r="M187" s="1"/>
      <c r="O187" s="16" t="s">
        <v>367</v>
      </c>
      <c r="P187" s="1">
        <v>1</v>
      </c>
      <c r="Q187" s="15"/>
      <c r="R187" s="15"/>
      <c r="S187" s="15"/>
      <c r="T187" s="15"/>
      <c r="U187" s="15"/>
      <c r="V187" s="1"/>
      <c r="W187" s="1"/>
      <c r="X187" s="1"/>
      <c r="Y187" s="15">
        <v>13800</v>
      </c>
      <c r="Z187" s="15"/>
      <c r="AA187" s="15"/>
      <c r="AB187" s="17"/>
      <c r="AC187" s="82"/>
      <c r="AD187" s="16" t="s">
        <v>52</v>
      </c>
      <c r="AE187" s="16" t="s">
        <v>1903</v>
      </c>
      <c r="AF187" s="16"/>
      <c r="AG187" s="16"/>
      <c r="AH187" s="16"/>
      <c r="AI187" s="16" t="s">
        <v>4437</v>
      </c>
      <c r="AJ187" s="16"/>
      <c r="AK187" s="16"/>
      <c r="AL187" s="16"/>
      <c r="AM187" s="16"/>
      <c r="AN187" s="16"/>
      <c r="AO187" s="16"/>
      <c r="AP187" s="16"/>
      <c r="AR187" s="88"/>
      <c r="AS187" s="88"/>
      <c r="AU187" s="12" t="s">
        <v>1931</v>
      </c>
      <c r="AV187" s="19"/>
      <c r="AW187" s="39">
        <v>90</v>
      </c>
      <c r="AY187" s="33"/>
      <c r="AZ187" s="33"/>
      <c r="BA187" s="33"/>
    </row>
    <row r="188" spans="1:53" ht="12" customHeight="1" x14ac:dyDescent="0.2">
      <c r="A188" s="10" t="s">
        <v>5391</v>
      </c>
      <c r="B188" s="39">
        <v>101082</v>
      </c>
      <c r="C188" s="42" t="e">
        <v>#N/A</v>
      </c>
      <c r="D188" s="10" t="s">
        <v>2942</v>
      </c>
      <c r="E188" s="14" t="s">
        <v>1901</v>
      </c>
      <c r="F188" s="1" t="s">
        <v>395</v>
      </c>
      <c r="G188" s="1" t="s">
        <v>2302</v>
      </c>
      <c r="H188" s="1"/>
      <c r="I188" s="1">
        <v>82</v>
      </c>
      <c r="J188" s="1"/>
      <c r="K188" s="1"/>
      <c r="L188" s="1"/>
      <c r="M188" s="1"/>
      <c r="O188" s="16" t="s">
        <v>367</v>
      </c>
      <c r="P188" s="1">
        <v>1</v>
      </c>
      <c r="Q188" s="15"/>
      <c r="R188" s="15"/>
      <c r="S188" s="15"/>
      <c r="T188" s="15"/>
      <c r="U188" s="15"/>
      <c r="V188" s="1"/>
      <c r="W188" s="1"/>
      <c r="X188" s="1"/>
      <c r="Y188" s="15">
        <v>13800</v>
      </c>
      <c r="Z188" s="15"/>
      <c r="AA188" s="15"/>
      <c r="AB188" s="17"/>
      <c r="AC188" s="82"/>
      <c r="AD188" s="16" t="s">
        <v>52</v>
      </c>
      <c r="AE188" s="16" t="s">
        <v>1903</v>
      </c>
      <c r="AF188" s="16"/>
      <c r="AG188" s="16"/>
      <c r="AH188" s="16"/>
      <c r="AI188" s="16">
        <v>12082</v>
      </c>
      <c r="AJ188" s="16"/>
      <c r="AK188" s="16"/>
      <c r="AL188" s="16"/>
      <c r="AM188" s="16"/>
      <c r="AN188" s="16"/>
      <c r="AO188" s="16"/>
      <c r="AP188" s="16"/>
      <c r="AR188" s="88"/>
      <c r="AS188" s="88"/>
      <c r="AU188" s="12" t="s">
        <v>1931</v>
      </c>
      <c r="AV188" s="19"/>
      <c r="AW188" s="39">
        <v>90</v>
      </c>
      <c r="AY188" s="33"/>
      <c r="AZ188" s="33"/>
      <c r="BA188" s="33"/>
    </row>
    <row r="189" spans="1:53" ht="12" customHeight="1" x14ac:dyDescent="0.2">
      <c r="A189" s="10" t="s">
        <v>5562</v>
      </c>
      <c r="B189" s="39">
        <v>101083</v>
      </c>
      <c r="C189" s="42" t="e">
        <v>#N/A</v>
      </c>
      <c r="D189" s="10" t="s">
        <v>2942</v>
      </c>
      <c r="E189" s="14" t="s">
        <v>1901</v>
      </c>
      <c r="F189" s="1" t="s">
        <v>89</v>
      </c>
      <c r="G189" s="1" t="s">
        <v>2302</v>
      </c>
      <c r="H189" s="1"/>
      <c r="I189" s="1">
        <v>83</v>
      </c>
      <c r="J189" s="1"/>
      <c r="K189" s="1"/>
      <c r="L189" s="1"/>
      <c r="M189" s="1"/>
      <c r="O189" s="16" t="s">
        <v>367</v>
      </c>
      <c r="P189" s="1">
        <v>1</v>
      </c>
      <c r="Q189" s="15"/>
      <c r="R189" s="15"/>
      <c r="S189" s="15"/>
      <c r="T189" s="15"/>
      <c r="U189" s="15"/>
      <c r="V189" s="1"/>
      <c r="W189" s="1"/>
      <c r="X189" s="1"/>
      <c r="Y189" s="15">
        <v>13800</v>
      </c>
      <c r="Z189" s="15"/>
      <c r="AA189" s="15"/>
      <c r="AB189" s="17"/>
      <c r="AC189" s="82"/>
      <c r="AD189" s="16" t="s">
        <v>52</v>
      </c>
      <c r="AE189" s="16" t="s">
        <v>1903</v>
      </c>
      <c r="AF189" s="16"/>
      <c r="AG189" s="16"/>
      <c r="AH189" s="16"/>
      <c r="AI189" s="16">
        <v>12083</v>
      </c>
      <c r="AJ189" s="16"/>
      <c r="AK189" s="16"/>
      <c r="AL189" s="16"/>
      <c r="AM189" s="16"/>
      <c r="AN189" s="16"/>
      <c r="AO189" s="16"/>
      <c r="AP189" s="16"/>
      <c r="AR189" s="88"/>
      <c r="AS189" s="88"/>
      <c r="AU189" s="12" t="s">
        <v>1931</v>
      </c>
      <c r="AV189" s="19"/>
      <c r="AW189" s="39">
        <v>90</v>
      </c>
      <c r="AY189" s="33"/>
      <c r="AZ189" s="33"/>
      <c r="BA189" s="33"/>
    </row>
    <row r="190" spans="1:53" ht="12" customHeight="1" x14ac:dyDescent="0.2">
      <c r="A190" s="10" t="s">
        <v>4413</v>
      </c>
      <c r="B190" s="39">
        <v>101084</v>
      </c>
      <c r="C190" s="42" t="e">
        <v>#N/A</v>
      </c>
      <c r="D190" s="10" t="s">
        <v>2942</v>
      </c>
      <c r="E190" s="14" t="s">
        <v>1901</v>
      </c>
      <c r="F190" s="1" t="s">
        <v>89</v>
      </c>
      <c r="G190" s="1" t="s">
        <v>2302</v>
      </c>
      <c r="H190" s="1"/>
      <c r="I190" s="1">
        <v>84</v>
      </c>
      <c r="J190" s="1"/>
      <c r="K190" s="1"/>
      <c r="L190" s="1"/>
      <c r="M190" s="1"/>
      <c r="O190" s="16" t="s">
        <v>367</v>
      </c>
      <c r="P190" s="1">
        <v>1</v>
      </c>
      <c r="Q190" s="15"/>
      <c r="R190" s="15"/>
      <c r="S190" s="15"/>
      <c r="T190" s="15"/>
      <c r="U190" s="15"/>
      <c r="V190" s="1"/>
      <c r="W190" s="1"/>
      <c r="X190" s="1"/>
      <c r="Y190" s="15">
        <v>13800</v>
      </c>
      <c r="Z190" s="15"/>
      <c r="AA190" s="15"/>
      <c r="AB190" s="17"/>
      <c r="AC190" s="82"/>
      <c r="AD190" s="16" t="s">
        <v>52</v>
      </c>
      <c r="AE190" s="16" t="s">
        <v>1903</v>
      </c>
      <c r="AF190" s="16"/>
      <c r="AG190" s="16"/>
      <c r="AH190" s="16"/>
      <c r="AI190" s="16" t="s">
        <v>4414</v>
      </c>
      <c r="AJ190" s="16"/>
      <c r="AK190" s="16"/>
      <c r="AL190" s="16"/>
      <c r="AM190" s="16"/>
      <c r="AN190" s="16"/>
      <c r="AO190" s="16"/>
      <c r="AP190" s="16"/>
      <c r="AR190" s="88"/>
      <c r="AS190" s="88"/>
      <c r="AU190" s="12" t="s">
        <v>1931</v>
      </c>
      <c r="AV190" s="19"/>
      <c r="AW190" s="39">
        <v>90</v>
      </c>
      <c r="AY190" s="33"/>
      <c r="AZ190" s="33"/>
      <c r="BA190" s="33"/>
    </row>
    <row r="191" spans="1:53" ht="12" customHeight="1" x14ac:dyDescent="0.2">
      <c r="A191" s="10" t="s">
        <v>4425</v>
      </c>
      <c r="B191" s="39">
        <v>101085</v>
      </c>
      <c r="C191" s="42" t="e">
        <v>#N/A</v>
      </c>
      <c r="D191" s="10" t="s">
        <v>2942</v>
      </c>
      <c r="E191" s="14" t="s">
        <v>1901</v>
      </c>
      <c r="F191" s="1" t="s">
        <v>394</v>
      </c>
      <c r="G191" s="1" t="s">
        <v>2302</v>
      </c>
      <c r="H191" s="1"/>
      <c r="I191" s="1">
        <v>85</v>
      </c>
      <c r="J191" s="1"/>
      <c r="K191" s="1"/>
      <c r="L191" s="1"/>
      <c r="M191" s="1"/>
      <c r="O191" s="16" t="s">
        <v>367</v>
      </c>
      <c r="P191" s="1">
        <v>1</v>
      </c>
      <c r="Q191" s="15"/>
      <c r="R191" s="15"/>
      <c r="S191" s="15"/>
      <c r="T191" s="15"/>
      <c r="U191" s="15"/>
      <c r="V191" s="1"/>
      <c r="W191" s="1"/>
      <c r="X191" s="1"/>
      <c r="Y191" s="15">
        <v>13800</v>
      </c>
      <c r="Z191" s="15"/>
      <c r="AA191" s="15"/>
      <c r="AB191" s="17"/>
      <c r="AC191" s="82"/>
      <c r="AD191" s="16" t="s">
        <v>52</v>
      </c>
      <c r="AE191" s="16" t="s">
        <v>1903</v>
      </c>
      <c r="AF191" s="16"/>
      <c r="AG191" s="16"/>
      <c r="AH191" s="16"/>
      <c r="AI191" s="16" t="s">
        <v>4426</v>
      </c>
      <c r="AJ191" s="16"/>
      <c r="AK191" s="16"/>
      <c r="AL191" s="16"/>
      <c r="AM191" s="16"/>
      <c r="AN191" s="16"/>
      <c r="AO191" s="16"/>
      <c r="AP191" s="16"/>
      <c r="AR191" s="88"/>
      <c r="AS191" s="88"/>
      <c r="AU191" s="12" t="s">
        <v>1931</v>
      </c>
      <c r="AV191" s="19"/>
      <c r="AW191" s="39">
        <v>90</v>
      </c>
      <c r="AY191" s="33"/>
      <c r="AZ191" s="33"/>
      <c r="BA191" s="33"/>
    </row>
    <row r="192" spans="1:53" ht="12" customHeight="1" x14ac:dyDescent="0.2">
      <c r="A192" s="10" t="s">
        <v>5569</v>
      </c>
      <c r="B192" s="39">
        <v>101086</v>
      </c>
      <c r="D192" s="10" t="s">
        <v>1847</v>
      </c>
      <c r="E192" s="14" t="s">
        <v>1905</v>
      </c>
      <c r="F192" s="1" t="s">
        <v>396</v>
      </c>
      <c r="G192" s="1" t="s">
        <v>2302</v>
      </c>
      <c r="H192" s="1"/>
      <c r="I192" s="1">
        <v>86</v>
      </c>
      <c r="J192" s="1"/>
      <c r="K192" s="1"/>
      <c r="L192" s="1"/>
      <c r="M192" s="1"/>
      <c r="O192" s="16" t="s">
        <v>367</v>
      </c>
      <c r="P192" s="1">
        <v>1</v>
      </c>
      <c r="Q192" s="15"/>
      <c r="R192" s="15"/>
      <c r="S192" s="15"/>
      <c r="T192" s="15"/>
      <c r="U192" s="15"/>
      <c r="V192" s="1"/>
      <c r="W192" s="1"/>
      <c r="X192" s="1"/>
      <c r="Y192" s="15">
        <v>13800</v>
      </c>
      <c r="Z192" s="15"/>
      <c r="AA192" s="15"/>
      <c r="AB192" s="17"/>
      <c r="AC192" s="82"/>
      <c r="AD192" s="16" t="s">
        <v>52</v>
      </c>
      <c r="AE192" s="16" t="s">
        <v>1903</v>
      </c>
      <c r="AF192" s="16"/>
      <c r="AG192" s="16"/>
      <c r="AH192" s="16"/>
      <c r="AI192" s="16">
        <v>12086</v>
      </c>
      <c r="AJ192" s="16"/>
      <c r="AK192" s="16"/>
      <c r="AL192" s="16"/>
      <c r="AM192" s="16"/>
      <c r="AN192" s="16"/>
      <c r="AO192" s="16"/>
      <c r="AP192" s="16"/>
      <c r="AR192" s="88"/>
      <c r="AS192" s="88"/>
      <c r="AU192" s="12" t="s">
        <v>1931</v>
      </c>
      <c r="AV192" s="19"/>
      <c r="AW192" s="39">
        <v>90</v>
      </c>
      <c r="AY192" s="33"/>
      <c r="AZ192" s="33"/>
      <c r="BA192" s="33"/>
    </row>
    <row r="193" spans="1:53" ht="12" customHeight="1" x14ac:dyDescent="0.2">
      <c r="A193" s="10" t="s">
        <v>2582</v>
      </c>
      <c r="B193" s="39">
        <v>101087</v>
      </c>
      <c r="C193" s="42" t="s">
        <v>3134</v>
      </c>
      <c r="D193" s="10" t="s">
        <v>2942</v>
      </c>
      <c r="E193" s="14" t="s">
        <v>1901</v>
      </c>
      <c r="F193" s="1" t="s">
        <v>88</v>
      </c>
      <c r="G193" s="1" t="s">
        <v>2302</v>
      </c>
      <c r="H193" s="1"/>
      <c r="I193" s="1">
        <v>87</v>
      </c>
      <c r="J193" s="1"/>
      <c r="K193" s="1"/>
      <c r="L193" s="1"/>
      <c r="M193" s="1"/>
      <c r="O193" s="16" t="s">
        <v>367</v>
      </c>
      <c r="P193" s="1">
        <v>1</v>
      </c>
      <c r="Q193" s="15"/>
      <c r="R193" s="15"/>
      <c r="S193" s="15"/>
      <c r="T193" s="15"/>
      <c r="U193" s="15"/>
      <c r="V193" s="1"/>
      <c r="W193" s="1"/>
      <c r="X193" s="1"/>
      <c r="Y193" s="15">
        <v>13800</v>
      </c>
      <c r="Z193" s="15"/>
      <c r="AA193" s="15"/>
      <c r="AB193" s="17"/>
      <c r="AC193" s="82"/>
      <c r="AD193" s="16" t="s">
        <v>52</v>
      </c>
      <c r="AE193" s="16" t="s">
        <v>1903</v>
      </c>
      <c r="AF193" s="16"/>
      <c r="AG193" s="16"/>
      <c r="AH193" s="16"/>
      <c r="AI193" s="16" t="s">
        <v>2583</v>
      </c>
      <c r="AJ193" s="16"/>
      <c r="AK193" s="16"/>
      <c r="AL193" s="16"/>
      <c r="AM193" s="16"/>
      <c r="AN193" s="16"/>
      <c r="AO193" s="16"/>
      <c r="AP193" s="16"/>
      <c r="AR193" s="88"/>
      <c r="AS193" s="88"/>
      <c r="AU193" s="12" t="s">
        <v>1931</v>
      </c>
      <c r="AV193" s="19"/>
      <c r="AW193" s="39">
        <v>90</v>
      </c>
      <c r="AY193" s="33"/>
      <c r="AZ193" s="33"/>
      <c r="BA193" s="33"/>
    </row>
    <row r="194" spans="1:53" ht="12" customHeight="1" x14ac:dyDescent="0.2">
      <c r="A194" s="10" t="s">
        <v>5585</v>
      </c>
      <c r="B194" s="39">
        <v>101088</v>
      </c>
      <c r="D194" s="10" t="s">
        <v>2942</v>
      </c>
      <c r="E194" s="14" t="s">
        <v>1901</v>
      </c>
      <c r="F194" s="1" t="s">
        <v>89</v>
      </c>
      <c r="G194" s="1" t="s">
        <v>2302</v>
      </c>
      <c r="H194" s="1"/>
      <c r="I194" s="1">
        <v>88</v>
      </c>
      <c r="J194" s="1"/>
      <c r="K194" s="1"/>
      <c r="L194" s="1"/>
      <c r="M194" s="1"/>
      <c r="O194" s="16" t="s">
        <v>367</v>
      </c>
      <c r="P194" s="1">
        <v>1</v>
      </c>
      <c r="Q194" s="15"/>
      <c r="R194" s="15"/>
      <c r="S194" s="15"/>
      <c r="T194" s="15"/>
      <c r="U194" s="15"/>
      <c r="V194" s="1"/>
      <c r="W194" s="1"/>
      <c r="X194" s="1"/>
      <c r="Y194" s="15">
        <v>13800</v>
      </c>
      <c r="Z194" s="15"/>
      <c r="AA194" s="15"/>
      <c r="AB194" s="17"/>
      <c r="AC194" s="82"/>
      <c r="AD194" s="16" t="s">
        <v>52</v>
      </c>
      <c r="AE194" s="16" t="s">
        <v>1903</v>
      </c>
      <c r="AF194" s="16"/>
      <c r="AG194" s="16"/>
      <c r="AH194" s="16"/>
      <c r="AI194" s="16" t="s">
        <v>5587</v>
      </c>
      <c r="AJ194" s="16"/>
      <c r="AK194" s="16"/>
      <c r="AL194" s="16"/>
      <c r="AM194" s="16"/>
      <c r="AN194" s="16"/>
      <c r="AO194" s="16"/>
      <c r="AP194" s="16"/>
      <c r="AR194" s="88"/>
      <c r="AS194" s="88"/>
      <c r="AU194" s="12" t="s">
        <v>1931</v>
      </c>
      <c r="AV194" s="19"/>
      <c r="AW194" s="39">
        <v>90</v>
      </c>
      <c r="AY194" s="33"/>
      <c r="AZ194" s="33"/>
      <c r="BA194" s="33"/>
    </row>
    <row r="195" spans="1:53" ht="12" customHeight="1" x14ac:dyDescent="0.2">
      <c r="A195" s="10" t="s">
        <v>5586</v>
      </c>
      <c r="B195" s="39">
        <v>101089</v>
      </c>
      <c r="D195" s="10" t="s">
        <v>1847</v>
      </c>
      <c r="E195" s="14" t="s">
        <v>1905</v>
      </c>
      <c r="F195" s="1" t="s">
        <v>396</v>
      </c>
      <c r="G195" s="1" t="s">
        <v>2302</v>
      </c>
      <c r="H195" s="1"/>
      <c r="I195" s="1">
        <v>89</v>
      </c>
      <c r="J195" s="1"/>
      <c r="K195" s="1"/>
      <c r="L195" s="1"/>
      <c r="M195" s="1"/>
      <c r="O195" s="16" t="s">
        <v>367</v>
      </c>
      <c r="P195" s="1">
        <v>1</v>
      </c>
      <c r="Q195" s="15"/>
      <c r="R195" s="15"/>
      <c r="S195" s="15"/>
      <c r="T195" s="15"/>
      <c r="U195" s="15"/>
      <c r="V195" s="1"/>
      <c r="W195" s="1"/>
      <c r="X195" s="1"/>
      <c r="Y195" s="15">
        <v>13800</v>
      </c>
      <c r="Z195" s="15"/>
      <c r="AA195" s="15"/>
      <c r="AB195" s="17"/>
      <c r="AC195" s="82"/>
      <c r="AD195" s="16" t="s">
        <v>52</v>
      </c>
      <c r="AE195" s="16" t="s">
        <v>1903</v>
      </c>
      <c r="AF195" s="16"/>
      <c r="AG195" s="16"/>
      <c r="AH195" s="16"/>
      <c r="AI195" s="16" t="s">
        <v>5588</v>
      </c>
      <c r="AJ195" s="16"/>
      <c r="AK195" s="16"/>
      <c r="AL195" s="16"/>
      <c r="AM195" s="16"/>
      <c r="AN195" s="16"/>
      <c r="AO195" s="16"/>
      <c r="AP195" s="16"/>
      <c r="AR195" s="88"/>
      <c r="AS195" s="88"/>
      <c r="AU195" s="12" t="s">
        <v>1931</v>
      </c>
      <c r="AV195" s="19"/>
      <c r="AW195" s="39">
        <v>90</v>
      </c>
      <c r="AY195" s="33"/>
      <c r="AZ195" s="33"/>
      <c r="BA195" s="33"/>
    </row>
    <row r="196" spans="1:53" ht="12" customHeight="1" x14ac:dyDescent="0.2">
      <c r="A196" s="10" t="s">
        <v>1899</v>
      </c>
      <c r="B196" s="39">
        <v>101090</v>
      </c>
      <c r="C196" s="42" t="s">
        <v>3135</v>
      </c>
      <c r="D196" s="10" t="s">
        <v>2942</v>
      </c>
      <c r="E196" s="14" t="s">
        <v>1901</v>
      </c>
      <c r="F196" s="1" t="s">
        <v>394</v>
      </c>
      <c r="G196" s="1" t="s">
        <v>2302</v>
      </c>
      <c r="H196" s="1"/>
      <c r="I196" s="1">
        <v>90</v>
      </c>
      <c r="J196" s="1"/>
      <c r="K196" s="1"/>
      <c r="L196" s="1"/>
      <c r="M196" s="1"/>
      <c r="O196" s="16" t="s">
        <v>367</v>
      </c>
      <c r="P196" s="1">
        <v>1</v>
      </c>
      <c r="Q196" s="15"/>
      <c r="R196" s="15"/>
      <c r="S196" s="15"/>
      <c r="T196" s="15"/>
      <c r="U196" s="15"/>
      <c r="V196" s="1"/>
      <c r="W196" s="1"/>
      <c r="X196" s="1"/>
      <c r="Y196" s="15">
        <v>13800</v>
      </c>
      <c r="Z196" s="15"/>
      <c r="AA196" s="15"/>
      <c r="AB196" s="17"/>
      <c r="AC196" s="82"/>
      <c r="AD196" s="16" t="s">
        <v>52</v>
      </c>
      <c r="AE196" s="16" t="s">
        <v>1903</v>
      </c>
      <c r="AF196" s="16"/>
      <c r="AG196" s="16"/>
      <c r="AH196" s="16"/>
      <c r="AI196" s="16">
        <v>12090</v>
      </c>
      <c r="AJ196" s="16"/>
      <c r="AK196" s="16"/>
      <c r="AL196" s="16"/>
      <c r="AM196" s="16"/>
      <c r="AN196" s="16"/>
      <c r="AO196" s="16"/>
      <c r="AP196" s="16"/>
      <c r="AR196" s="88"/>
      <c r="AS196" s="88"/>
      <c r="AU196" s="12" t="s">
        <v>1931</v>
      </c>
      <c r="AV196" s="19"/>
      <c r="AW196" s="39">
        <v>90</v>
      </c>
      <c r="AY196" s="33"/>
      <c r="AZ196" s="33"/>
      <c r="BA196" s="33"/>
    </row>
    <row r="197" spans="1:53" ht="12" customHeight="1" x14ac:dyDescent="0.2">
      <c r="A197" s="10" t="s">
        <v>1900</v>
      </c>
      <c r="B197" s="39">
        <v>101091</v>
      </c>
      <c r="C197" s="42" t="s">
        <v>3136</v>
      </c>
      <c r="D197" s="10" t="s">
        <v>1847</v>
      </c>
      <c r="E197" s="14" t="s">
        <v>1905</v>
      </c>
      <c r="F197" s="1" t="s">
        <v>1787</v>
      </c>
      <c r="G197" s="1" t="s">
        <v>2302</v>
      </c>
      <c r="H197" s="1"/>
      <c r="I197" s="1">
        <v>91</v>
      </c>
      <c r="J197" s="1"/>
      <c r="K197" s="1"/>
      <c r="L197" s="1"/>
      <c r="M197" s="1"/>
      <c r="O197" s="16" t="s">
        <v>367</v>
      </c>
      <c r="P197" s="1">
        <v>1</v>
      </c>
      <c r="Q197" s="15"/>
      <c r="R197" s="15"/>
      <c r="S197" s="15"/>
      <c r="T197" s="15"/>
      <c r="U197" s="15"/>
      <c r="V197" s="1"/>
      <c r="W197" s="1"/>
      <c r="X197" s="1"/>
      <c r="Y197" s="15">
        <v>13800</v>
      </c>
      <c r="Z197" s="15"/>
      <c r="AA197" s="15"/>
      <c r="AB197" s="17"/>
      <c r="AC197" s="82"/>
      <c r="AD197" s="16" t="s">
        <v>52</v>
      </c>
      <c r="AE197" s="16" t="s">
        <v>1903</v>
      </c>
      <c r="AF197" s="16"/>
      <c r="AG197" s="16"/>
      <c r="AH197" s="16"/>
      <c r="AI197" s="16">
        <v>12091</v>
      </c>
      <c r="AJ197" s="16"/>
      <c r="AK197" s="16"/>
      <c r="AL197" s="16"/>
      <c r="AM197" s="16"/>
      <c r="AN197" s="16"/>
      <c r="AO197" s="16"/>
      <c r="AP197" s="16"/>
      <c r="AR197" s="88"/>
      <c r="AS197" s="88"/>
      <c r="AU197" s="12" t="s">
        <v>1931</v>
      </c>
      <c r="AV197" s="19"/>
      <c r="AW197" s="39">
        <v>90</v>
      </c>
      <c r="AY197" s="33"/>
      <c r="AZ197" s="33"/>
      <c r="BA197" s="33"/>
    </row>
    <row r="198" spans="1:53" ht="12" customHeight="1" x14ac:dyDescent="0.2">
      <c r="A198" s="10" t="s">
        <v>1928</v>
      </c>
      <c r="B198" s="39">
        <v>101092</v>
      </c>
      <c r="C198" s="42" t="s">
        <v>3137</v>
      </c>
      <c r="D198" s="10" t="s">
        <v>2942</v>
      </c>
      <c r="E198" s="14" t="s">
        <v>1901</v>
      </c>
      <c r="F198" s="1" t="s">
        <v>395</v>
      </c>
      <c r="G198" s="1" t="s">
        <v>2302</v>
      </c>
      <c r="H198" s="1"/>
      <c r="I198" s="1">
        <v>92</v>
      </c>
      <c r="J198" s="1"/>
      <c r="K198" s="1"/>
      <c r="L198" s="1"/>
      <c r="M198" s="1"/>
      <c r="O198" s="16" t="s">
        <v>367</v>
      </c>
      <c r="P198" s="1">
        <v>1</v>
      </c>
      <c r="Q198" s="15"/>
      <c r="R198" s="15"/>
      <c r="S198" s="15"/>
      <c r="T198" s="15"/>
      <c r="U198" s="15"/>
      <c r="V198" s="1"/>
      <c r="W198" s="1"/>
      <c r="X198" s="1"/>
      <c r="Y198" s="15">
        <v>13800</v>
      </c>
      <c r="Z198" s="15"/>
      <c r="AA198" s="15"/>
      <c r="AB198" s="17"/>
      <c r="AC198" s="82"/>
      <c r="AD198" s="16" t="s">
        <v>52</v>
      </c>
      <c r="AE198" s="16" t="s">
        <v>1903</v>
      </c>
      <c r="AF198" s="16"/>
      <c r="AG198" s="16"/>
      <c r="AH198" s="16"/>
      <c r="AI198" s="16" t="s">
        <v>1927</v>
      </c>
      <c r="AJ198" s="16"/>
      <c r="AK198" s="16"/>
      <c r="AL198" s="16"/>
      <c r="AM198" s="16"/>
      <c r="AN198" s="16"/>
      <c r="AO198" s="16"/>
      <c r="AP198" s="16"/>
      <c r="AR198" s="88"/>
      <c r="AS198" s="88"/>
      <c r="AU198" s="12" t="s">
        <v>1931</v>
      </c>
      <c r="AV198" s="19"/>
      <c r="AW198" s="39">
        <v>90</v>
      </c>
      <c r="AY198" s="33"/>
      <c r="AZ198" s="33"/>
      <c r="BA198" s="33"/>
    </row>
    <row r="199" spans="1:53" ht="12" customHeight="1" x14ac:dyDescent="0.2">
      <c r="A199" s="10" t="s">
        <v>2239</v>
      </c>
      <c r="B199" s="39">
        <v>101093</v>
      </c>
      <c r="C199" s="42" t="s">
        <v>3138</v>
      </c>
      <c r="D199" s="10" t="s">
        <v>2942</v>
      </c>
      <c r="E199" s="14" t="s">
        <v>1901</v>
      </c>
      <c r="F199" s="1" t="s">
        <v>88</v>
      </c>
      <c r="G199" s="1" t="s">
        <v>2302</v>
      </c>
      <c r="H199" s="1"/>
      <c r="I199" s="1">
        <v>93</v>
      </c>
      <c r="J199" s="1"/>
      <c r="K199" s="1"/>
      <c r="L199" s="1"/>
      <c r="M199" s="1"/>
      <c r="O199" s="16" t="s">
        <v>367</v>
      </c>
      <c r="P199" s="1">
        <v>1</v>
      </c>
      <c r="Q199" s="15"/>
      <c r="R199" s="15"/>
      <c r="S199" s="15"/>
      <c r="T199" s="15"/>
      <c r="U199" s="15"/>
      <c r="V199" s="1"/>
      <c r="W199" s="1"/>
      <c r="X199" s="1"/>
      <c r="Y199" s="15">
        <v>13800</v>
      </c>
      <c r="Z199" s="15"/>
      <c r="AA199" s="15"/>
      <c r="AB199" s="17"/>
      <c r="AC199" s="82"/>
      <c r="AD199" s="16" t="s">
        <v>52</v>
      </c>
      <c r="AE199" s="16" t="s">
        <v>1903</v>
      </c>
      <c r="AF199" s="16"/>
      <c r="AG199" s="16"/>
      <c r="AH199" s="16"/>
      <c r="AI199" s="16" t="s">
        <v>2237</v>
      </c>
      <c r="AJ199" s="16"/>
      <c r="AK199" s="16"/>
      <c r="AL199" s="16"/>
      <c r="AM199" s="16"/>
      <c r="AN199" s="16"/>
      <c r="AO199" s="16"/>
      <c r="AP199" s="16"/>
      <c r="AR199" s="88"/>
      <c r="AS199" s="88"/>
      <c r="AU199" s="12" t="s">
        <v>1931</v>
      </c>
      <c r="AV199" s="19"/>
      <c r="AW199" s="39">
        <v>90</v>
      </c>
      <c r="AY199" s="33"/>
      <c r="AZ199" s="33"/>
      <c r="BA199" s="33"/>
    </row>
    <row r="200" spans="1:53" ht="12" customHeight="1" x14ac:dyDescent="0.2">
      <c r="A200" s="10" t="s">
        <v>2329</v>
      </c>
      <c r="B200" s="39">
        <v>101094</v>
      </c>
      <c r="C200" s="42" t="s">
        <v>3139</v>
      </c>
      <c r="D200" s="10" t="s">
        <v>2942</v>
      </c>
      <c r="E200" s="14" t="s">
        <v>1901</v>
      </c>
      <c r="F200" s="1" t="s">
        <v>394</v>
      </c>
      <c r="G200" s="1" t="s">
        <v>2302</v>
      </c>
      <c r="H200" s="1"/>
      <c r="I200" s="1">
        <v>94</v>
      </c>
      <c r="J200" s="1"/>
      <c r="K200" s="1"/>
      <c r="L200" s="1"/>
      <c r="M200" s="1"/>
      <c r="O200" s="16" t="s">
        <v>367</v>
      </c>
      <c r="P200" s="1">
        <v>1</v>
      </c>
      <c r="Q200" s="15"/>
      <c r="R200" s="15"/>
      <c r="S200" s="15"/>
      <c r="T200" s="15"/>
      <c r="U200" s="15"/>
      <c r="V200" s="1"/>
      <c r="W200" s="1"/>
      <c r="X200" s="1"/>
      <c r="Y200" s="15">
        <v>13800</v>
      </c>
      <c r="Z200" s="15"/>
      <c r="AA200" s="15"/>
      <c r="AB200" s="17"/>
      <c r="AC200" s="82"/>
      <c r="AD200" s="16" t="s">
        <v>52</v>
      </c>
      <c r="AE200" s="16" t="s">
        <v>1903</v>
      </c>
      <c r="AF200" s="16"/>
      <c r="AG200" s="16"/>
      <c r="AH200" s="16"/>
      <c r="AI200" s="16">
        <v>12094</v>
      </c>
      <c r="AJ200" s="16"/>
      <c r="AK200" s="16"/>
      <c r="AL200" s="16"/>
      <c r="AM200" s="16"/>
      <c r="AN200" s="16"/>
      <c r="AO200" s="16"/>
      <c r="AP200" s="16"/>
      <c r="AR200" s="88"/>
      <c r="AS200" s="88"/>
      <c r="AU200" s="12" t="s">
        <v>2331</v>
      </c>
      <c r="AV200" s="19"/>
      <c r="AW200" s="39">
        <v>90</v>
      </c>
      <c r="AY200" s="33"/>
      <c r="AZ200" s="33"/>
      <c r="BA200" s="33"/>
    </row>
    <row r="201" spans="1:53" ht="12" customHeight="1" x14ac:dyDescent="0.2">
      <c r="A201" s="10" t="s">
        <v>2448</v>
      </c>
      <c r="B201" s="39">
        <v>101095</v>
      </c>
      <c r="C201" s="42" t="s">
        <v>3140</v>
      </c>
      <c r="D201" s="10" t="s">
        <v>2942</v>
      </c>
      <c r="E201" s="14" t="s">
        <v>1901</v>
      </c>
      <c r="F201" s="1" t="s">
        <v>89</v>
      </c>
      <c r="G201" s="1" t="s">
        <v>2302</v>
      </c>
      <c r="H201" s="1"/>
      <c r="I201" s="1">
        <v>95</v>
      </c>
      <c r="J201" s="1"/>
      <c r="K201" s="1"/>
      <c r="L201" s="1"/>
      <c r="M201" s="1"/>
      <c r="O201" s="16" t="s">
        <v>367</v>
      </c>
      <c r="P201" s="1">
        <v>1</v>
      </c>
      <c r="Q201" s="15"/>
      <c r="R201" s="15"/>
      <c r="S201" s="15"/>
      <c r="T201" s="15"/>
      <c r="U201" s="15"/>
      <c r="V201" s="1"/>
      <c r="W201" s="1"/>
      <c r="X201" s="1"/>
      <c r="Y201" s="15">
        <v>13800</v>
      </c>
      <c r="Z201" s="15"/>
      <c r="AA201" s="15"/>
      <c r="AB201" s="17"/>
      <c r="AC201" s="82"/>
      <c r="AD201" s="16" t="s">
        <v>52</v>
      </c>
      <c r="AE201" s="16" t="s">
        <v>1903</v>
      </c>
      <c r="AF201" s="16"/>
      <c r="AG201" s="16"/>
      <c r="AH201" s="16"/>
      <c r="AI201" s="16" t="s">
        <v>2449</v>
      </c>
      <c r="AJ201" s="16"/>
      <c r="AK201" s="16"/>
      <c r="AL201" s="16"/>
      <c r="AM201" s="16"/>
      <c r="AN201" s="16"/>
      <c r="AO201" s="16"/>
      <c r="AP201" s="16"/>
      <c r="AR201" s="88"/>
      <c r="AS201" s="88"/>
      <c r="AU201" s="12" t="s">
        <v>1931</v>
      </c>
      <c r="AV201" s="19"/>
      <c r="AW201" s="39">
        <v>90</v>
      </c>
      <c r="AY201" s="33"/>
      <c r="AZ201" s="33"/>
      <c r="BA201" s="33"/>
    </row>
    <row r="202" spans="1:53" ht="12" customHeight="1" x14ac:dyDescent="0.2">
      <c r="A202" s="10" t="s">
        <v>2599</v>
      </c>
      <c r="B202" s="39">
        <v>101096</v>
      </c>
      <c r="C202" s="42" t="s">
        <v>3141</v>
      </c>
      <c r="D202" s="10" t="s">
        <v>2942</v>
      </c>
      <c r="E202" s="14" t="s">
        <v>1901</v>
      </c>
      <c r="F202" s="1" t="s">
        <v>88</v>
      </c>
      <c r="G202" s="1" t="s">
        <v>2302</v>
      </c>
      <c r="H202" s="1"/>
      <c r="I202" s="1">
        <v>96</v>
      </c>
      <c r="J202" s="1"/>
      <c r="K202" s="1"/>
      <c r="L202" s="1"/>
      <c r="M202" s="1"/>
      <c r="O202" s="16" t="s">
        <v>367</v>
      </c>
      <c r="P202" s="1">
        <v>1</v>
      </c>
      <c r="Q202" s="15"/>
      <c r="R202" s="15"/>
      <c r="S202" s="15"/>
      <c r="T202" s="15"/>
      <c r="U202" s="15"/>
      <c r="V202" s="1"/>
      <c r="W202" s="1"/>
      <c r="X202" s="1"/>
      <c r="Y202" s="15">
        <v>13800</v>
      </c>
      <c r="Z202" s="15"/>
      <c r="AA202" s="15"/>
      <c r="AB202" s="17"/>
      <c r="AC202" s="82"/>
      <c r="AD202" s="16" t="s">
        <v>52</v>
      </c>
      <c r="AE202" s="16" t="s">
        <v>1903</v>
      </c>
      <c r="AF202" s="16"/>
      <c r="AG202" s="16"/>
      <c r="AH202" s="16"/>
      <c r="AI202" s="16" t="s">
        <v>2600</v>
      </c>
      <c r="AJ202" s="16"/>
      <c r="AK202" s="16"/>
      <c r="AL202" s="16"/>
      <c r="AM202" s="16"/>
      <c r="AN202" s="16"/>
      <c r="AO202" s="16"/>
      <c r="AP202" s="16"/>
      <c r="AR202" s="88"/>
      <c r="AS202" s="88"/>
      <c r="AU202" s="12" t="s">
        <v>1931</v>
      </c>
      <c r="AV202" s="19"/>
      <c r="AW202" s="39">
        <v>90</v>
      </c>
      <c r="AY202" s="33"/>
      <c r="AZ202" s="33"/>
      <c r="BA202" s="33"/>
    </row>
    <row r="203" spans="1:53" ht="12" customHeight="1" x14ac:dyDescent="0.2">
      <c r="A203" s="10" t="s">
        <v>2861</v>
      </c>
      <c r="B203" s="39">
        <v>101097</v>
      </c>
      <c r="C203" s="42" t="s">
        <v>3142</v>
      </c>
      <c r="D203" s="10" t="s">
        <v>2942</v>
      </c>
      <c r="E203" s="14" t="s">
        <v>1901</v>
      </c>
      <c r="F203" s="1" t="s">
        <v>91</v>
      </c>
      <c r="G203" s="1" t="s">
        <v>2302</v>
      </c>
      <c r="H203" s="1"/>
      <c r="I203" s="1">
        <v>97</v>
      </c>
      <c r="J203" s="1"/>
      <c r="K203" s="1"/>
      <c r="L203" s="1"/>
      <c r="M203" s="1"/>
      <c r="O203" s="16" t="s">
        <v>367</v>
      </c>
      <c r="P203" s="1">
        <v>1</v>
      </c>
      <c r="Q203" s="15"/>
      <c r="R203" s="15"/>
      <c r="S203" s="15"/>
      <c r="T203" s="15"/>
      <c r="U203" s="15"/>
      <c r="V203" s="1"/>
      <c r="W203" s="1"/>
      <c r="X203" s="1"/>
      <c r="Y203" s="15">
        <v>13800</v>
      </c>
      <c r="Z203" s="15"/>
      <c r="AA203" s="15"/>
      <c r="AB203" s="17"/>
      <c r="AC203" s="82"/>
      <c r="AD203" s="16" t="s">
        <v>52</v>
      </c>
      <c r="AE203" s="16" t="s">
        <v>1903</v>
      </c>
      <c r="AF203" s="16"/>
      <c r="AG203" s="16"/>
      <c r="AH203" s="16"/>
      <c r="AI203" s="16" t="s">
        <v>2862</v>
      </c>
      <c r="AJ203" s="16"/>
      <c r="AK203" s="16"/>
      <c r="AL203" s="16"/>
      <c r="AM203" s="16"/>
      <c r="AN203" s="16"/>
      <c r="AO203" s="16"/>
      <c r="AP203" s="16"/>
      <c r="AR203" s="88"/>
      <c r="AS203" s="88"/>
      <c r="AU203" s="12" t="s">
        <v>1931</v>
      </c>
      <c r="AV203" s="19"/>
      <c r="AW203" s="39">
        <v>90</v>
      </c>
      <c r="AY203" s="33"/>
      <c r="AZ203" s="33"/>
      <c r="BA203" s="33"/>
    </row>
    <row r="204" spans="1:53" ht="12" customHeight="1" x14ac:dyDescent="0.2">
      <c r="A204" s="10" t="s">
        <v>2882</v>
      </c>
      <c r="B204" s="39">
        <v>101098</v>
      </c>
      <c r="C204" s="42" t="s">
        <v>3143</v>
      </c>
      <c r="D204" s="10" t="s">
        <v>2942</v>
      </c>
      <c r="E204" s="14" t="s">
        <v>1901</v>
      </c>
      <c r="F204" s="1" t="s">
        <v>395</v>
      </c>
      <c r="G204" s="1" t="s">
        <v>2302</v>
      </c>
      <c r="H204" s="1"/>
      <c r="I204" s="1">
        <v>98</v>
      </c>
      <c r="J204" s="1"/>
      <c r="K204" s="1"/>
      <c r="L204" s="1"/>
      <c r="M204" s="1"/>
      <c r="O204" s="16" t="s">
        <v>367</v>
      </c>
      <c r="P204" s="1">
        <v>1</v>
      </c>
      <c r="Q204" s="15"/>
      <c r="R204" s="15"/>
      <c r="S204" s="15"/>
      <c r="T204" s="15"/>
      <c r="U204" s="15"/>
      <c r="V204" s="1"/>
      <c r="W204" s="1"/>
      <c r="X204" s="1"/>
      <c r="Y204" s="15">
        <v>13800</v>
      </c>
      <c r="Z204" s="15"/>
      <c r="AA204" s="15"/>
      <c r="AB204" s="17"/>
      <c r="AC204" s="82"/>
      <c r="AD204" s="16" t="s">
        <v>52</v>
      </c>
      <c r="AE204" s="16" t="s">
        <v>1903</v>
      </c>
      <c r="AF204" s="16"/>
      <c r="AG204" s="16"/>
      <c r="AH204" s="16"/>
      <c r="AI204" s="16">
        <v>12098</v>
      </c>
      <c r="AJ204" s="16"/>
      <c r="AK204" s="16"/>
      <c r="AL204" s="16"/>
      <c r="AM204" s="16"/>
      <c r="AN204" s="16"/>
      <c r="AO204" s="16"/>
      <c r="AP204" s="16"/>
      <c r="AR204" s="88"/>
      <c r="AS204" s="88"/>
      <c r="AU204" s="12" t="s">
        <v>1931</v>
      </c>
      <c r="AV204" s="19"/>
      <c r="AW204" s="39">
        <v>90</v>
      </c>
      <c r="AY204" s="33"/>
      <c r="AZ204" s="33"/>
      <c r="BA204" s="33"/>
    </row>
    <row r="205" spans="1:53" ht="12" customHeight="1" x14ac:dyDescent="0.2">
      <c r="A205" s="10" t="s">
        <v>4447</v>
      </c>
      <c r="B205" s="39">
        <v>101099</v>
      </c>
      <c r="D205" s="10" t="s">
        <v>2942</v>
      </c>
      <c r="E205" s="14" t="s">
        <v>1901</v>
      </c>
      <c r="F205" s="1" t="s">
        <v>90</v>
      </c>
      <c r="G205" s="1" t="s">
        <v>2302</v>
      </c>
      <c r="H205" s="1"/>
      <c r="I205" s="1">
        <v>99</v>
      </c>
      <c r="J205" s="1"/>
      <c r="K205" s="1"/>
      <c r="L205" s="1"/>
      <c r="M205" s="1"/>
      <c r="O205" s="16" t="s">
        <v>367</v>
      </c>
      <c r="P205" s="1">
        <v>1</v>
      </c>
      <c r="Q205" s="15"/>
      <c r="R205" s="15"/>
      <c r="S205" s="15"/>
      <c r="T205" s="15"/>
      <c r="U205" s="15"/>
      <c r="V205" s="1"/>
      <c r="W205" s="1"/>
      <c r="X205" s="1"/>
      <c r="Y205" s="15">
        <v>13800</v>
      </c>
      <c r="Z205" s="15"/>
      <c r="AA205" s="15"/>
      <c r="AB205" s="17"/>
      <c r="AC205" s="82"/>
      <c r="AD205" s="16" t="s">
        <v>52</v>
      </c>
      <c r="AE205" s="16" t="s">
        <v>1903</v>
      </c>
      <c r="AF205" s="16"/>
      <c r="AG205" s="16"/>
      <c r="AH205" s="16"/>
      <c r="AI205" s="16" t="s">
        <v>4448</v>
      </c>
      <c r="AJ205" s="16"/>
      <c r="AK205" s="16"/>
      <c r="AL205" s="16"/>
      <c r="AM205" s="16"/>
      <c r="AN205" s="16"/>
      <c r="AO205" s="16"/>
      <c r="AP205" s="16"/>
      <c r="AR205" s="88"/>
      <c r="AS205" s="88"/>
      <c r="AU205" s="12" t="s">
        <v>1931</v>
      </c>
      <c r="AV205" s="19"/>
      <c r="AW205" s="39">
        <v>90</v>
      </c>
      <c r="AY205" s="33"/>
      <c r="AZ205" s="33"/>
      <c r="BA205" s="33"/>
    </row>
    <row r="206" spans="1:53" ht="12" customHeight="1" x14ac:dyDescent="0.2">
      <c r="A206" s="10" t="s">
        <v>5609</v>
      </c>
      <c r="B206" s="39">
        <v>101100</v>
      </c>
      <c r="D206" s="10" t="s">
        <v>2942</v>
      </c>
      <c r="E206" s="14" t="s">
        <v>1901</v>
      </c>
      <c r="F206" s="1" t="s">
        <v>395</v>
      </c>
      <c r="G206" s="1" t="s">
        <v>2302</v>
      </c>
      <c r="H206" s="1"/>
      <c r="I206" s="1">
        <v>100</v>
      </c>
      <c r="J206" s="1"/>
      <c r="K206" s="1"/>
      <c r="L206" s="1"/>
      <c r="M206" s="1"/>
      <c r="O206" s="16" t="s">
        <v>367</v>
      </c>
      <c r="P206" s="1">
        <v>1</v>
      </c>
      <c r="Q206" s="15"/>
      <c r="R206" s="15"/>
      <c r="S206" s="15"/>
      <c r="T206" s="15"/>
      <c r="U206" s="15"/>
      <c r="V206" s="1"/>
      <c r="W206" s="1"/>
      <c r="X206" s="1"/>
      <c r="Y206" s="15">
        <v>13800</v>
      </c>
      <c r="Z206" s="15"/>
      <c r="AA206" s="15"/>
      <c r="AB206" s="17"/>
      <c r="AC206" s="82"/>
      <c r="AD206" s="16" t="s">
        <v>52</v>
      </c>
      <c r="AE206" s="16" t="s">
        <v>1903</v>
      </c>
      <c r="AF206" s="16"/>
      <c r="AG206" s="16"/>
      <c r="AH206" s="16"/>
      <c r="AI206" s="16" t="s">
        <v>5604</v>
      </c>
      <c r="AJ206" s="16"/>
      <c r="AK206" s="16"/>
      <c r="AL206" s="16"/>
      <c r="AM206" s="16"/>
      <c r="AN206" s="16"/>
      <c r="AO206" s="16"/>
      <c r="AP206" s="16"/>
      <c r="AR206" s="88"/>
      <c r="AS206" s="88"/>
      <c r="AU206" s="12" t="s">
        <v>1931</v>
      </c>
      <c r="AV206" s="19"/>
      <c r="AW206" s="39">
        <v>90</v>
      </c>
      <c r="AY206" s="33"/>
      <c r="AZ206" s="33"/>
      <c r="BA206" s="33"/>
    </row>
    <row r="207" spans="1:53" ht="12" customHeight="1" x14ac:dyDescent="0.2">
      <c r="A207" s="10" t="s">
        <v>5633</v>
      </c>
      <c r="B207" s="39">
        <v>101101</v>
      </c>
      <c r="D207" s="10" t="s">
        <v>2942</v>
      </c>
      <c r="E207" s="14" t="s">
        <v>1901</v>
      </c>
      <c r="F207" s="1" t="s">
        <v>90</v>
      </c>
      <c r="G207" s="1" t="s">
        <v>2302</v>
      </c>
      <c r="H207" s="1"/>
      <c r="I207" s="1">
        <v>101</v>
      </c>
      <c r="J207" s="1"/>
      <c r="K207" s="1"/>
      <c r="L207" s="1"/>
      <c r="M207" s="1"/>
      <c r="O207" s="16" t="s">
        <v>367</v>
      </c>
      <c r="P207" s="1">
        <v>1</v>
      </c>
      <c r="Q207" s="15"/>
      <c r="R207" s="15"/>
      <c r="S207" s="15"/>
      <c r="T207" s="15"/>
      <c r="U207" s="15"/>
      <c r="V207" s="1"/>
      <c r="W207" s="1"/>
      <c r="X207" s="1"/>
      <c r="Y207" s="15">
        <v>13800</v>
      </c>
      <c r="Z207" s="15"/>
      <c r="AA207" s="15"/>
      <c r="AB207" s="17"/>
      <c r="AC207" s="82"/>
      <c r="AD207" s="16" t="s">
        <v>52</v>
      </c>
      <c r="AE207" s="16" t="s">
        <v>1903</v>
      </c>
      <c r="AF207" s="16"/>
      <c r="AG207" s="16"/>
      <c r="AH207" s="16"/>
      <c r="AI207" s="16" t="s">
        <v>5634</v>
      </c>
      <c r="AJ207" s="16"/>
      <c r="AK207" s="16"/>
      <c r="AL207" s="16"/>
      <c r="AM207" s="16"/>
      <c r="AN207" s="16"/>
      <c r="AO207" s="16"/>
      <c r="AP207" s="16"/>
      <c r="AR207" s="88"/>
      <c r="AS207" s="88"/>
      <c r="AU207" s="12" t="s">
        <v>1931</v>
      </c>
      <c r="AV207" s="19"/>
      <c r="AW207" s="39">
        <v>90</v>
      </c>
      <c r="AY207" s="33"/>
      <c r="AZ207" s="33"/>
      <c r="BA207" s="33"/>
    </row>
    <row r="208" spans="1:53" ht="12" customHeight="1" x14ac:dyDescent="0.2">
      <c r="A208" s="10" t="s">
        <v>5647</v>
      </c>
      <c r="B208" s="39">
        <v>101102</v>
      </c>
      <c r="D208" s="10" t="s">
        <v>2942</v>
      </c>
      <c r="E208" s="14" t="s">
        <v>1901</v>
      </c>
      <c r="F208" s="1" t="s">
        <v>394</v>
      </c>
      <c r="G208" s="1" t="s">
        <v>2302</v>
      </c>
      <c r="H208" s="1"/>
      <c r="I208" s="1">
        <v>102</v>
      </c>
      <c r="J208" s="1"/>
      <c r="K208" s="1"/>
      <c r="L208" s="1"/>
      <c r="M208" s="1"/>
      <c r="O208" s="16" t="s">
        <v>367</v>
      </c>
      <c r="P208" s="1">
        <v>1</v>
      </c>
      <c r="Q208" s="15"/>
      <c r="R208" s="15"/>
      <c r="S208" s="15"/>
      <c r="T208" s="15"/>
      <c r="U208" s="15"/>
      <c r="V208" s="1"/>
      <c r="W208" s="1"/>
      <c r="X208" s="1"/>
      <c r="Y208" s="15">
        <v>13800</v>
      </c>
      <c r="Z208" s="15"/>
      <c r="AA208" s="15"/>
      <c r="AB208" s="17"/>
      <c r="AC208" s="82"/>
      <c r="AD208" s="16" t="s">
        <v>52</v>
      </c>
      <c r="AE208" s="16" t="s">
        <v>1903</v>
      </c>
      <c r="AF208" s="16"/>
      <c r="AG208" s="16"/>
      <c r="AH208" s="16"/>
      <c r="AI208" s="16" t="s">
        <v>5648</v>
      </c>
      <c r="AJ208" s="16"/>
      <c r="AK208" s="16"/>
      <c r="AL208" s="16"/>
      <c r="AM208" s="16"/>
      <c r="AN208" s="16"/>
      <c r="AO208" s="16"/>
      <c r="AP208" s="16"/>
      <c r="AR208" s="88"/>
      <c r="AS208" s="88"/>
      <c r="AU208" s="12" t="s">
        <v>1931</v>
      </c>
      <c r="AV208" s="19"/>
      <c r="AW208" s="39">
        <v>90</v>
      </c>
      <c r="AY208" s="33"/>
      <c r="AZ208" s="33"/>
      <c r="BA208" s="33"/>
    </row>
    <row r="209" spans="1:53" ht="12" customHeight="1" x14ac:dyDescent="0.2">
      <c r="A209" s="10" t="s">
        <v>5677</v>
      </c>
      <c r="B209" s="39">
        <v>101111</v>
      </c>
      <c r="D209" s="10" t="s">
        <v>2942</v>
      </c>
      <c r="E209" s="14" t="s">
        <v>1901</v>
      </c>
      <c r="F209" s="1" t="s">
        <v>91</v>
      </c>
      <c r="G209" s="1" t="s">
        <v>2302</v>
      </c>
      <c r="H209" s="1"/>
      <c r="I209" s="1">
        <v>111</v>
      </c>
      <c r="J209" s="1"/>
      <c r="K209" s="1"/>
      <c r="L209" s="1"/>
      <c r="M209" s="1"/>
      <c r="O209" s="16" t="s">
        <v>367</v>
      </c>
      <c r="P209" s="1">
        <v>1</v>
      </c>
      <c r="Q209" s="15"/>
      <c r="R209" s="15"/>
      <c r="S209" s="15"/>
      <c r="T209" s="15"/>
      <c r="U209" s="15"/>
      <c r="V209" s="1"/>
      <c r="W209" s="1"/>
      <c r="X209" s="1"/>
      <c r="Y209" s="15">
        <v>13800</v>
      </c>
      <c r="Z209" s="15"/>
      <c r="AA209" s="15"/>
      <c r="AB209" s="17"/>
      <c r="AC209" s="82"/>
      <c r="AD209" s="16" t="s">
        <v>52</v>
      </c>
      <c r="AE209" s="16" t="s">
        <v>1903</v>
      </c>
      <c r="AF209" s="16"/>
      <c r="AG209" s="16"/>
      <c r="AH209" s="16"/>
      <c r="AI209" s="16" t="s">
        <v>5678</v>
      </c>
      <c r="AJ209" s="16"/>
      <c r="AK209" s="16"/>
      <c r="AL209" s="16"/>
      <c r="AM209" s="16"/>
      <c r="AN209" s="16"/>
      <c r="AO209" s="16"/>
      <c r="AP209" s="16"/>
      <c r="AR209" s="88"/>
      <c r="AS209" s="88"/>
      <c r="AU209" s="12" t="s">
        <v>1931</v>
      </c>
      <c r="AV209" s="19"/>
      <c r="AW209" s="39">
        <v>90</v>
      </c>
      <c r="AY209" s="33"/>
      <c r="AZ209" s="33"/>
      <c r="BA209" s="33"/>
    </row>
    <row r="210" spans="1:53" ht="12" customHeight="1" x14ac:dyDescent="0.2">
      <c r="A210" s="10" t="s">
        <v>2241</v>
      </c>
      <c r="B210" s="39">
        <v>102001</v>
      </c>
      <c r="C210" s="42" t="s">
        <v>3144</v>
      </c>
      <c r="D210" s="10" t="s">
        <v>2943</v>
      </c>
      <c r="E210" s="14" t="s">
        <v>1901</v>
      </c>
      <c r="F210" s="1" t="s">
        <v>89</v>
      </c>
      <c r="G210" s="1" t="s">
        <v>2304</v>
      </c>
      <c r="H210" s="1"/>
      <c r="I210" s="1">
        <v>1</v>
      </c>
      <c r="J210" s="1"/>
      <c r="K210" s="1"/>
      <c r="L210" s="1"/>
      <c r="M210" s="1"/>
      <c r="O210" s="16" t="s">
        <v>335</v>
      </c>
      <c r="P210" s="1">
        <v>1</v>
      </c>
      <c r="Q210" s="15"/>
      <c r="R210" s="15"/>
      <c r="S210" s="15"/>
      <c r="T210" s="15"/>
      <c r="U210" s="15"/>
      <c r="V210" s="1"/>
      <c r="W210" s="1"/>
      <c r="X210" s="1"/>
      <c r="Y210" s="15">
        <v>13800</v>
      </c>
      <c r="Z210" s="15"/>
      <c r="AA210" s="15"/>
      <c r="AB210" s="17"/>
      <c r="AC210" s="82"/>
      <c r="AD210" s="16" t="s">
        <v>98</v>
      </c>
      <c r="AE210" s="16" t="s">
        <v>1903</v>
      </c>
      <c r="AF210" s="16"/>
      <c r="AG210" s="16"/>
      <c r="AH210" s="16"/>
      <c r="AI210" s="16">
        <v>13001</v>
      </c>
      <c r="AJ210" s="16"/>
      <c r="AK210" s="16"/>
      <c r="AL210" s="16"/>
      <c r="AM210" s="16"/>
      <c r="AN210" s="16"/>
      <c r="AO210" s="16"/>
      <c r="AP210" s="16"/>
      <c r="AR210" s="88"/>
      <c r="AS210" s="88"/>
      <c r="AU210" s="12" t="s">
        <v>1931</v>
      </c>
      <c r="AV210" s="13"/>
      <c r="AW210" s="39">
        <v>90</v>
      </c>
      <c r="AY210" s="32"/>
      <c r="AZ210" s="32"/>
      <c r="BA210" s="32"/>
    </row>
    <row r="211" spans="1:53" ht="12" customHeight="1" x14ac:dyDescent="0.2">
      <c r="A211" s="10" t="s">
        <v>2242</v>
      </c>
      <c r="B211" s="39">
        <v>102002</v>
      </c>
      <c r="C211" s="42" t="s">
        <v>3145</v>
      </c>
      <c r="D211" s="10" t="s">
        <v>2943</v>
      </c>
      <c r="E211" s="14" t="s">
        <v>1901</v>
      </c>
      <c r="F211" s="1" t="s">
        <v>394</v>
      </c>
      <c r="G211" s="1" t="s">
        <v>2304</v>
      </c>
      <c r="H211" s="1"/>
      <c r="I211" s="1">
        <v>2</v>
      </c>
      <c r="J211" s="1"/>
      <c r="K211" s="1"/>
      <c r="L211" s="1"/>
      <c r="M211" s="1"/>
      <c r="O211" s="16" t="s">
        <v>335</v>
      </c>
      <c r="P211" s="1">
        <v>1</v>
      </c>
      <c r="Q211" s="15"/>
      <c r="R211" s="15"/>
      <c r="S211" s="15"/>
      <c r="T211" s="15"/>
      <c r="U211" s="15"/>
      <c r="V211" s="1"/>
      <c r="W211" s="1"/>
      <c r="X211" s="1"/>
      <c r="Y211" s="15">
        <v>13800</v>
      </c>
      <c r="Z211" s="15"/>
      <c r="AA211" s="15"/>
      <c r="AB211" s="17"/>
      <c r="AC211" s="82"/>
      <c r="AD211" s="16" t="s">
        <v>98</v>
      </c>
      <c r="AE211" s="16" t="s">
        <v>1903</v>
      </c>
      <c r="AF211" s="16"/>
      <c r="AG211" s="16"/>
      <c r="AH211" s="16"/>
      <c r="AI211" s="16">
        <v>13002</v>
      </c>
      <c r="AJ211" s="16"/>
      <c r="AK211" s="16"/>
      <c r="AL211" s="16"/>
      <c r="AM211" s="16"/>
      <c r="AN211" s="16"/>
      <c r="AO211" s="16"/>
      <c r="AP211" s="16"/>
      <c r="AR211" s="88"/>
      <c r="AS211" s="88"/>
      <c r="AU211" s="12" t="s">
        <v>1931</v>
      </c>
      <c r="AV211" s="19"/>
      <c r="AW211" s="39">
        <v>90</v>
      </c>
      <c r="AY211" s="33"/>
      <c r="AZ211" s="33"/>
      <c r="BA211" s="33"/>
    </row>
    <row r="212" spans="1:53" ht="12" customHeight="1" x14ac:dyDescent="0.2">
      <c r="A212" s="10" t="s">
        <v>2243</v>
      </c>
      <c r="B212" s="39">
        <v>102003</v>
      </c>
      <c r="C212" s="42" t="s">
        <v>3146</v>
      </c>
      <c r="D212" s="10" t="s">
        <v>2943</v>
      </c>
      <c r="E212" s="14" t="s">
        <v>1901</v>
      </c>
      <c r="F212" s="1" t="s">
        <v>395</v>
      </c>
      <c r="G212" s="1" t="s">
        <v>2304</v>
      </c>
      <c r="H212" s="1"/>
      <c r="I212" s="1">
        <v>3</v>
      </c>
      <c r="J212" s="1"/>
      <c r="K212" s="1"/>
      <c r="L212" s="1"/>
      <c r="M212" s="1"/>
      <c r="O212" s="16" t="s">
        <v>367</v>
      </c>
      <c r="P212" s="1">
        <v>1</v>
      </c>
      <c r="Q212" s="15"/>
      <c r="R212" s="15"/>
      <c r="S212" s="15"/>
      <c r="T212" s="15"/>
      <c r="U212" s="15"/>
      <c r="V212" s="1"/>
      <c r="W212" s="1"/>
      <c r="X212" s="1"/>
      <c r="Y212" s="15">
        <v>13800</v>
      </c>
      <c r="Z212" s="15"/>
      <c r="AA212" s="15"/>
      <c r="AB212" s="17"/>
      <c r="AC212" s="82"/>
      <c r="AD212" s="16" t="s">
        <v>52</v>
      </c>
      <c r="AE212" s="16" t="s">
        <v>1903</v>
      </c>
      <c r="AF212" s="16"/>
      <c r="AG212" s="16"/>
      <c r="AH212" s="16"/>
      <c r="AI212" s="16">
        <v>13003</v>
      </c>
      <c r="AJ212" s="16"/>
      <c r="AK212" s="16"/>
      <c r="AL212" s="16"/>
      <c r="AM212" s="16"/>
      <c r="AN212" s="16"/>
      <c r="AO212" s="16"/>
      <c r="AP212" s="16"/>
      <c r="AR212" s="88"/>
      <c r="AS212" s="88"/>
      <c r="AU212" s="12" t="s">
        <v>1931</v>
      </c>
      <c r="AV212" s="19"/>
      <c r="AW212" s="39">
        <v>90</v>
      </c>
      <c r="AY212" s="33"/>
      <c r="AZ212" s="33"/>
      <c r="BA212" s="33"/>
    </row>
    <row r="213" spans="1:53" ht="12" customHeight="1" x14ac:dyDescent="0.2">
      <c r="A213" s="10" t="s">
        <v>2244</v>
      </c>
      <c r="B213" s="39">
        <v>102004</v>
      </c>
      <c r="C213" s="42" t="s">
        <v>3147</v>
      </c>
      <c r="D213" s="10" t="s">
        <v>2943</v>
      </c>
      <c r="E213" s="14" t="s">
        <v>1901</v>
      </c>
      <c r="F213" s="1" t="s">
        <v>396</v>
      </c>
      <c r="G213" s="1" t="s">
        <v>2304</v>
      </c>
      <c r="H213" s="1"/>
      <c r="I213" s="1">
        <v>4</v>
      </c>
      <c r="J213" s="1"/>
      <c r="K213" s="1"/>
      <c r="L213" s="1"/>
      <c r="M213" s="1"/>
      <c r="O213" s="16" t="s">
        <v>367</v>
      </c>
      <c r="P213" s="1">
        <v>1</v>
      </c>
      <c r="Q213" s="15"/>
      <c r="R213" s="15"/>
      <c r="S213" s="15"/>
      <c r="T213" s="15"/>
      <c r="U213" s="15"/>
      <c r="V213" s="1"/>
      <c r="W213" s="1"/>
      <c r="X213" s="1"/>
      <c r="Y213" s="15">
        <v>13800</v>
      </c>
      <c r="Z213" s="15"/>
      <c r="AA213" s="15"/>
      <c r="AB213" s="17"/>
      <c r="AC213" s="82"/>
      <c r="AD213" s="16" t="s">
        <v>52</v>
      </c>
      <c r="AE213" s="16" t="s">
        <v>1903</v>
      </c>
      <c r="AF213" s="16"/>
      <c r="AG213" s="16"/>
      <c r="AH213" s="16"/>
      <c r="AI213" s="16">
        <v>13004</v>
      </c>
      <c r="AJ213" s="16"/>
      <c r="AK213" s="16"/>
      <c r="AL213" s="16"/>
      <c r="AM213" s="16"/>
      <c r="AN213" s="16"/>
      <c r="AO213" s="16"/>
      <c r="AP213" s="16"/>
      <c r="AR213" s="88"/>
      <c r="AS213" s="88"/>
      <c r="AU213" s="12" t="s">
        <v>1931</v>
      </c>
      <c r="AV213" s="19"/>
      <c r="AW213" s="39">
        <v>90</v>
      </c>
      <c r="AY213" s="33"/>
      <c r="AZ213" s="33"/>
      <c r="BA213" s="33"/>
    </row>
    <row r="214" spans="1:53" ht="12" customHeight="1" x14ac:dyDescent="0.2">
      <c r="A214" s="10" t="s">
        <v>2245</v>
      </c>
      <c r="B214" s="39">
        <v>102005</v>
      </c>
      <c r="C214" s="42" t="s">
        <v>3148</v>
      </c>
      <c r="D214" s="10" t="s">
        <v>2943</v>
      </c>
      <c r="E214" s="14" t="s">
        <v>1901</v>
      </c>
      <c r="F214" s="1" t="s">
        <v>89</v>
      </c>
      <c r="G214" s="1" t="s">
        <v>2304</v>
      </c>
      <c r="H214" s="1"/>
      <c r="I214" s="1">
        <v>5</v>
      </c>
      <c r="J214" s="1"/>
      <c r="K214" s="1"/>
      <c r="L214" s="1"/>
      <c r="M214" s="1"/>
      <c r="O214" s="16" t="s">
        <v>367</v>
      </c>
      <c r="P214" s="1">
        <v>1</v>
      </c>
      <c r="Q214" s="15"/>
      <c r="R214" s="15"/>
      <c r="S214" s="15"/>
      <c r="T214" s="15"/>
      <c r="U214" s="15"/>
      <c r="V214" s="1"/>
      <c r="W214" s="1"/>
      <c r="X214" s="1"/>
      <c r="Y214" s="15">
        <v>13800</v>
      </c>
      <c r="Z214" s="15"/>
      <c r="AA214" s="15"/>
      <c r="AB214" s="17"/>
      <c r="AC214" s="82"/>
      <c r="AD214" s="16" t="s">
        <v>52</v>
      </c>
      <c r="AE214" s="16" t="s">
        <v>1903</v>
      </c>
      <c r="AF214" s="16"/>
      <c r="AG214" s="16"/>
      <c r="AH214" s="16"/>
      <c r="AI214" s="16">
        <v>13005</v>
      </c>
      <c r="AJ214" s="16"/>
      <c r="AK214" s="16"/>
      <c r="AL214" s="16"/>
      <c r="AM214" s="16"/>
      <c r="AN214" s="16"/>
      <c r="AO214" s="16"/>
      <c r="AP214" s="16"/>
      <c r="AR214" s="88"/>
      <c r="AS214" s="88"/>
      <c r="AU214" s="12" t="s">
        <v>1931</v>
      </c>
      <c r="AV214" s="19"/>
      <c r="AW214" s="39">
        <v>90</v>
      </c>
      <c r="AY214" s="33"/>
      <c r="AZ214" s="33"/>
      <c r="BA214" s="33"/>
    </row>
    <row r="215" spans="1:53" ht="12" customHeight="1" x14ac:dyDescent="0.2">
      <c r="A215" s="10" t="s">
        <v>2246</v>
      </c>
      <c r="B215" s="39">
        <v>102006</v>
      </c>
      <c r="C215" s="42" t="s">
        <v>3149</v>
      </c>
      <c r="D215" s="10" t="s">
        <v>2943</v>
      </c>
      <c r="E215" s="14" t="s">
        <v>1901</v>
      </c>
      <c r="F215" s="1" t="s">
        <v>88</v>
      </c>
      <c r="G215" s="1" t="s">
        <v>2304</v>
      </c>
      <c r="H215" s="1"/>
      <c r="I215" s="1">
        <v>6</v>
      </c>
      <c r="J215" s="1"/>
      <c r="K215" s="1"/>
      <c r="L215" s="1"/>
      <c r="M215" s="1"/>
      <c r="O215" s="16" t="s">
        <v>367</v>
      </c>
      <c r="P215" s="1">
        <v>1</v>
      </c>
      <c r="Q215" s="15"/>
      <c r="R215" s="15"/>
      <c r="S215" s="15"/>
      <c r="T215" s="15"/>
      <c r="U215" s="15"/>
      <c r="V215" s="1"/>
      <c r="W215" s="1"/>
      <c r="X215" s="1"/>
      <c r="Y215" s="15">
        <v>13800</v>
      </c>
      <c r="Z215" s="15"/>
      <c r="AA215" s="15"/>
      <c r="AB215" s="17"/>
      <c r="AC215" s="82"/>
      <c r="AD215" s="16" t="s">
        <v>52</v>
      </c>
      <c r="AE215" s="16" t="s">
        <v>1903</v>
      </c>
      <c r="AF215" s="16"/>
      <c r="AG215" s="16"/>
      <c r="AH215" s="16"/>
      <c r="AI215" s="16">
        <v>13006</v>
      </c>
      <c r="AJ215" s="16"/>
      <c r="AK215" s="16"/>
      <c r="AL215" s="16"/>
      <c r="AM215" s="16"/>
      <c r="AN215" s="16"/>
      <c r="AO215" s="16"/>
      <c r="AP215" s="16"/>
      <c r="AR215" s="88"/>
      <c r="AS215" s="88"/>
      <c r="AU215" s="12" t="s">
        <v>1931</v>
      </c>
      <c r="AV215" s="19"/>
      <c r="AW215" s="39">
        <v>90</v>
      </c>
      <c r="AY215" s="33"/>
      <c r="AZ215" s="33"/>
      <c r="BA215" s="33"/>
    </row>
    <row r="216" spans="1:53" ht="12" customHeight="1" x14ac:dyDescent="0.2">
      <c r="A216" s="10" t="s">
        <v>2247</v>
      </c>
      <c r="B216" s="39">
        <v>102007</v>
      </c>
      <c r="C216" s="42" t="s">
        <v>3150</v>
      </c>
      <c r="D216" s="10" t="s">
        <v>2943</v>
      </c>
      <c r="E216" s="14" t="s">
        <v>1901</v>
      </c>
      <c r="F216" s="1" t="s">
        <v>91</v>
      </c>
      <c r="G216" s="1" t="s">
        <v>2304</v>
      </c>
      <c r="H216" s="1"/>
      <c r="I216" s="1">
        <v>7</v>
      </c>
      <c r="J216" s="1"/>
      <c r="K216" s="1"/>
      <c r="L216" s="1"/>
      <c r="M216" s="1"/>
      <c r="O216" s="16" t="s">
        <v>367</v>
      </c>
      <c r="P216" s="1">
        <v>1</v>
      </c>
      <c r="Q216" s="15"/>
      <c r="R216" s="15"/>
      <c r="S216" s="15"/>
      <c r="T216" s="15"/>
      <c r="U216" s="15"/>
      <c r="V216" s="1"/>
      <c r="W216" s="1"/>
      <c r="X216" s="1"/>
      <c r="Y216" s="15">
        <v>13800</v>
      </c>
      <c r="Z216" s="15"/>
      <c r="AA216" s="15"/>
      <c r="AB216" s="17"/>
      <c r="AC216" s="82"/>
      <c r="AD216" s="16" t="s">
        <v>52</v>
      </c>
      <c r="AE216" s="16" t="s">
        <v>1903</v>
      </c>
      <c r="AF216" s="16"/>
      <c r="AG216" s="16"/>
      <c r="AH216" s="16"/>
      <c r="AI216" s="16">
        <v>13007</v>
      </c>
      <c r="AJ216" s="16"/>
      <c r="AK216" s="16"/>
      <c r="AL216" s="16"/>
      <c r="AM216" s="16"/>
      <c r="AN216" s="16"/>
      <c r="AO216" s="16"/>
      <c r="AP216" s="16"/>
      <c r="AR216" s="88"/>
      <c r="AS216" s="88"/>
      <c r="AU216" s="12" t="s">
        <v>1931</v>
      </c>
      <c r="AV216" s="19"/>
      <c r="AW216" s="39">
        <v>90</v>
      </c>
      <c r="AY216" s="33"/>
      <c r="AZ216" s="33"/>
      <c r="BA216" s="33"/>
    </row>
    <row r="217" spans="1:53" ht="12" customHeight="1" x14ac:dyDescent="0.2">
      <c r="A217" s="10" t="s">
        <v>2248</v>
      </c>
      <c r="B217" s="39">
        <v>102008</v>
      </c>
      <c r="C217" s="42" t="s">
        <v>3151</v>
      </c>
      <c r="D217" s="10" t="s">
        <v>2943</v>
      </c>
      <c r="E217" s="14" t="s">
        <v>1901</v>
      </c>
      <c r="F217" s="1" t="s">
        <v>394</v>
      </c>
      <c r="G217" s="1" t="s">
        <v>2304</v>
      </c>
      <c r="H217" s="1"/>
      <c r="I217" s="1">
        <v>8</v>
      </c>
      <c r="J217" s="1"/>
      <c r="K217" s="1"/>
      <c r="L217" s="1"/>
      <c r="M217" s="1"/>
      <c r="O217" s="16" t="s">
        <v>367</v>
      </c>
      <c r="P217" s="1">
        <v>1</v>
      </c>
      <c r="Q217" s="15"/>
      <c r="R217" s="15"/>
      <c r="S217" s="15"/>
      <c r="T217" s="15"/>
      <c r="U217" s="15"/>
      <c r="V217" s="1"/>
      <c r="W217" s="1"/>
      <c r="X217" s="1"/>
      <c r="Y217" s="15">
        <v>13800</v>
      </c>
      <c r="Z217" s="15"/>
      <c r="AA217" s="15"/>
      <c r="AB217" s="17"/>
      <c r="AC217" s="82"/>
      <c r="AD217" s="16" t="s">
        <v>52</v>
      </c>
      <c r="AE217" s="16" t="s">
        <v>1903</v>
      </c>
      <c r="AF217" s="16"/>
      <c r="AG217" s="16"/>
      <c r="AH217" s="16"/>
      <c r="AI217" s="16">
        <v>13008</v>
      </c>
      <c r="AJ217" s="16"/>
      <c r="AK217" s="16"/>
      <c r="AL217" s="16"/>
      <c r="AM217" s="16"/>
      <c r="AN217" s="16"/>
      <c r="AO217" s="16"/>
      <c r="AP217" s="16"/>
      <c r="AR217" s="88"/>
      <c r="AS217" s="88"/>
      <c r="AU217" s="12" t="s">
        <v>1931</v>
      </c>
      <c r="AV217" s="19"/>
      <c r="AW217" s="39">
        <v>90</v>
      </c>
      <c r="AY217" s="33"/>
      <c r="AZ217" s="33"/>
      <c r="BA217" s="33"/>
    </row>
    <row r="218" spans="1:53" ht="12" customHeight="1" x14ac:dyDescent="0.2">
      <c r="A218" s="10" t="s">
        <v>2249</v>
      </c>
      <c r="B218" s="39">
        <v>102009</v>
      </c>
      <c r="C218" s="42" t="s">
        <v>3152</v>
      </c>
      <c r="D218" s="10" t="s">
        <v>2943</v>
      </c>
      <c r="E218" s="14" t="s">
        <v>1901</v>
      </c>
      <c r="F218" s="1" t="s">
        <v>396</v>
      </c>
      <c r="G218" s="1" t="s">
        <v>2304</v>
      </c>
      <c r="H218" s="1"/>
      <c r="I218" s="1">
        <v>9</v>
      </c>
      <c r="J218" s="1"/>
      <c r="K218" s="1"/>
      <c r="L218" s="1"/>
      <c r="M218" s="1"/>
      <c r="O218" s="16" t="s">
        <v>367</v>
      </c>
      <c r="P218" s="1">
        <v>1</v>
      </c>
      <c r="Q218" s="15"/>
      <c r="R218" s="15"/>
      <c r="S218" s="15"/>
      <c r="T218" s="15"/>
      <c r="U218" s="15"/>
      <c r="V218" s="1"/>
      <c r="W218" s="1"/>
      <c r="X218" s="1"/>
      <c r="Y218" s="15">
        <v>13800</v>
      </c>
      <c r="Z218" s="15"/>
      <c r="AA218" s="15"/>
      <c r="AB218" s="17"/>
      <c r="AC218" s="82"/>
      <c r="AD218" s="16" t="s">
        <v>52</v>
      </c>
      <c r="AE218" s="16" t="s">
        <v>1903</v>
      </c>
      <c r="AF218" s="16"/>
      <c r="AG218" s="16"/>
      <c r="AH218" s="16"/>
      <c r="AI218" s="16">
        <v>13009</v>
      </c>
      <c r="AJ218" s="16"/>
      <c r="AK218" s="16"/>
      <c r="AL218" s="16"/>
      <c r="AM218" s="16"/>
      <c r="AN218" s="16"/>
      <c r="AO218" s="16"/>
      <c r="AP218" s="16"/>
      <c r="AR218" s="88"/>
      <c r="AS218" s="88"/>
      <c r="AU218" s="12" t="s">
        <v>1931</v>
      </c>
      <c r="AV218" s="19"/>
      <c r="AW218" s="39">
        <v>90</v>
      </c>
      <c r="AY218" s="33"/>
      <c r="AZ218" s="33"/>
      <c r="BA218" s="33"/>
    </row>
    <row r="219" spans="1:53" ht="12" customHeight="1" x14ac:dyDescent="0.2">
      <c r="A219" s="10" t="s">
        <v>2250</v>
      </c>
      <c r="B219" s="39">
        <v>102010</v>
      </c>
      <c r="C219" s="42" t="s">
        <v>3153</v>
      </c>
      <c r="D219" s="10" t="s">
        <v>2943</v>
      </c>
      <c r="E219" s="14" t="s">
        <v>1901</v>
      </c>
      <c r="F219" s="1" t="s">
        <v>90</v>
      </c>
      <c r="G219" s="1" t="s">
        <v>2304</v>
      </c>
      <c r="H219" s="1"/>
      <c r="I219" s="1">
        <v>10</v>
      </c>
      <c r="J219" s="1"/>
      <c r="K219" s="1"/>
      <c r="L219" s="1"/>
      <c r="M219" s="1"/>
      <c r="O219" s="16" t="s">
        <v>367</v>
      </c>
      <c r="P219" s="1">
        <v>1</v>
      </c>
      <c r="Q219" s="15"/>
      <c r="R219" s="15"/>
      <c r="S219" s="15"/>
      <c r="T219" s="15"/>
      <c r="U219" s="15"/>
      <c r="V219" s="1"/>
      <c r="W219" s="1"/>
      <c r="X219" s="1"/>
      <c r="Y219" s="15">
        <v>13800</v>
      </c>
      <c r="Z219" s="15"/>
      <c r="AA219" s="15"/>
      <c r="AB219" s="17"/>
      <c r="AC219" s="82"/>
      <c r="AD219" s="16" t="s">
        <v>52</v>
      </c>
      <c r="AE219" s="16" t="s">
        <v>1903</v>
      </c>
      <c r="AF219" s="16"/>
      <c r="AG219" s="16"/>
      <c r="AH219" s="16"/>
      <c r="AI219" s="16">
        <v>13010</v>
      </c>
      <c r="AJ219" s="16"/>
      <c r="AK219" s="16"/>
      <c r="AL219" s="16"/>
      <c r="AM219" s="16"/>
      <c r="AN219" s="16"/>
      <c r="AO219" s="16"/>
      <c r="AP219" s="16"/>
      <c r="AR219" s="88"/>
      <c r="AS219" s="88"/>
      <c r="AU219" s="12" t="s">
        <v>1931</v>
      </c>
      <c r="AV219" s="19"/>
      <c r="AW219" s="39">
        <v>90</v>
      </c>
      <c r="AY219" s="33"/>
      <c r="AZ219" s="33"/>
      <c r="BA219" s="33"/>
    </row>
    <row r="220" spans="1:53" ht="12" customHeight="1" x14ac:dyDescent="0.2">
      <c r="A220" s="10" t="s">
        <v>2251</v>
      </c>
      <c r="B220" s="39">
        <v>102011</v>
      </c>
      <c r="C220" s="42" t="s">
        <v>3154</v>
      </c>
      <c r="D220" s="10" t="s">
        <v>2943</v>
      </c>
      <c r="E220" s="14" t="s">
        <v>1901</v>
      </c>
      <c r="F220" s="1" t="s">
        <v>395</v>
      </c>
      <c r="G220" s="1" t="s">
        <v>2304</v>
      </c>
      <c r="H220" s="1"/>
      <c r="I220" s="1">
        <v>11</v>
      </c>
      <c r="J220" s="1"/>
      <c r="K220" s="1"/>
      <c r="L220" s="1"/>
      <c r="M220" s="1"/>
      <c r="O220" s="16" t="s">
        <v>367</v>
      </c>
      <c r="P220" s="1">
        <v>1</v>
      </c>
      <c r="Q220" s="15"/>
      <c r="R220" s="15"/>
      <c r="S220" s="15"/>
      <c r="T220" s="15"/>
      <c r="U220" s="15"/>
      <c r="V220" s="1"/>
      <c r="W220" s="1"/>
      <c r="X220" s="1"/>
      <c r="Y220" s="15">
        <v>13800</v>
      </c>
      <c r="Z220" s="15"/>
      <c r="AA220" s="15"/>
      <c r="AB220" s="17"/>
      <c r="AC220" s="82"/>
      <c r="AD220" s="16" t="s">
        <v>52</v>
      </c>
      <c r="AE220" s="16" t="s">
        <v>1903</v>
      </c>
      <c r="AF220" s="16"/>
      <c r="AG220" s="16"/>
      <c r="AH220" s="16"/>
      <c r="AI220" s="16">
        <v>13011</v>
      </c>
      <c r="AJ220" s="16"/>
      <c r="AK220" s="16"/>
      <c r="AL220" s="16"/>
      <c r="AM220" s="16"/>
      <c r="AN220" s="16"/>
      <c r="AO220" s="16"/>
      <c r="AP220" s="16"/>
      <c r="AR220" s="88"/>
      <c r="AS220" s="88"/>
      <c r="AU220" s="12" t="s">
        <v>1931</v>
      </c>
      <c r="AV220" s="19"/>
      <c r="AW220" s="39">
        <v>90</v>
      </c>
      <c r="AY220" s="33"/>
      <c r="AZ220" s="33"/>
      <c r="BA220" s="33"/>
    </row>
    <row r="221" spans="1:53" ht="12" customHeight="1" x14ac:dyDescent="0.2">
      <c r="A221" s="10" t="s">
        <v>2252</v>
      </c>
      <c r="B221" s="39">
        <v>102012</v>
      </c>
      <c r="C221" s="42" t="s">
        <v>3155</v>
      </c>
      <c r="D221" s="10" t="s">
        <v>2943</v>
      </c>
      <c r="E221" s="14" t="s">
        <v>1901</v>
      </c>
      <c r="F221" s="1" t="s">
        <v>91</v>
      </c>
      <c r="G221" s="1" t="s">
        <v>2304</v>
      </c>
      <c r="H221" s="1"/>
      <c r="I221" s="1">
        <v>12</v>
      </c>
      <c r="J221" s="1"/>
      <c r="K221" s="1"/>
      <c r="L221" s="1"/>
      <c r="M221" s="1"/>
      <c r="O221" s="16" t="s">
        <v>367</v>
      </c>
      <c r="P221" s="1">
        <v>1</v>
      </c>
      <c r="Q221" s="15"/>
      <c r="R221" s="15"/>
      <c r="S221" s="15"/>
      <c r="T221" s="15"/>
      <c r="U221" s="15"/>
      <c r="V221" s="1"/>
      <c r="W221" s="1"/>
      <c r="X221" s="1"/>
      <c r="Y221" s="15">
        <v>13800</v>
      </c>
      <c r="Z221" s="15"/>
      <c r="AA221" s="15"/>
      <c r="AB221" s="17"/>
      <c r="AC221" s="82"/>
      <c r="AD221" s="16" t="s">
        <v>52</v>
      </c>
      <c r="AE221" s="16" t="s">
        <v>1903</v>
      </c>
      <c r="AF221" s="16"/>
      <c r="AG221" s="16"/>
      <c r="AH221" s="16"/>
      <c r="AI221" s="16">
        <v>13012</v>
      </c>
      <c r="AJ221" s="16"/>
      <c r="AK221" s="16"/>
      <c r="AL221" s="16"/>
      <c r="AM221" s="16"/>
      <c r="AN221" s="16"/>
      <c r="AO221" s="16"/>
      <c r="AP221" s="16"/>
      <c r="AR221" s="88"/>
      <c r="AS221" s="88"/>
      <c r="AU221" s="12" t="s">
        <v>1931</v>
      </c>
      <c r="AV221" s="19"/>
      <c r="AW221" s="39">
        <v>90</v>
      </c>
      <c r="AY221" s="33"/>
      <c r="AZ221" s="33"/>
      <c r="BA221" s="33"/>
    </row>
    <row r="222" spans="1:53" ht="12" customHeight="1" x14ac:dyDescent="0.2">
      <c r="A222" s="10" t="s">
        <v>2253</v>
      </c>
      <c r="B222" s="39">
        <v>102013</v>
      </c>
      <c r="C222" s="42" t="s">
        <v>3156</v>
      </c>
      <c r="D222" s="10" t="s">
        <v>2943</v>
      </c>
      <c r="E222" s="14" t="s">
        <v>1901</v>
      </c>
      <c r="F222" s="1" t="s">
        <v>395</v>
      </c>
      <c r="G222" s="1" t="s">
        <v>2304</v>
      </c>
      <c r="H222" s="1"/>
      <c r="I222" s="1">
        <v>13</v>
      </c>
      <c r="J222" s="1"/>
      <c r="K222" s="1"/>
      <c r="L222" s="1"/>
      <c r="M222" s="1"/>
      <c r="O222" s="16" t="s">
        <v>367</v>
      </c>
      <c r="P222" s="1">
        <v>1</v>
      </c>
      <c r="Q222" s="15"/>
      <c r="R222" s="15"/>
      <c r="S222" s="15"/>
      <c r="T222" s="15"/>
      <c r="U222" s="15"/>
      <c r="V222" s="1"/>
      <c r="W222" s="1"/>
      <c r="X222" s="1"/>
      <c r="Y222" s="15">
        <v>13800</v>
      </c>
      <c r="Z222" s="15"/>
      <c r="AA222" s="15"/>
      <c r="AB222" s="17"/>
      <c r="AC222" s="82"/>
      <c r="AD222" s="16" t="s">
        <v>52</v>
      </c>
      <c r="AE222" s="16" t="s">
        <v>1903</v>
      </c>
      <c r="AF222" s="16"/>
      <c r="AG222" s="16"/>
      <c r="AH222" s="16"/>
      <c r="AI222" s="16">
        <v>13013</v>
      </c>
      <c r="AJ222" s="16"/>
      <c r="AK222" s="16"/>
      <c r="AL222" s="16"/>
      <c r="AM222" s="16"/>
      <c r="AN222" s="16"/>
      <c r="AO222" s="16"/>
      <c r="AP222" s="16"/>
      <c r="AR222" s="88"/>
      <c r="AS222" s="88"/>
      <c r="AU222" s="12" t="s">
        <v>1931</v>
      </c>
      <c r="AV222" s="19"/>
      <c r="AW222" s="39">
        <v>90</v>
      </c>
      <c r="AY222" s="33"/>
      <c r="AZ222" s="33"/>
      <c r="BA222" s="33"/>
    </row>
    <row r="223" spans="1:53" ht="12" customHeight="1" x14ac:dyDescent="0.2">
      <c r="A223" s="10" t="s">
        <v>2254</v>
      </c>
      <c r="B223" s="39">
        <v>102014</v>
      </c>
      <c r="C223" s="42" t="e">
        <v>#N/A</v>
      </c>
      <c r="D223" s="10" t="s">
        <v>2943</v>
      </c>
      <c r="E223" s="14" t="s">
        <v>1901</v>
      </c>
      <c r="F223" s="1" t="s">
        <v>90</v>
      </c>
      <c r="G223" s="1" t="s">
        <v>2304</v>
      </c>
      <c r="H223" s="1"/>
      <c r="I223" s="1">
        <v>14</v>
      </c>
      <c r="J223" s="1"/>
      <c r="K223" s="1"/>
      <c r="L223" s="1"/>
      <c r="M223" s="1"/>
      <c r="O223" s="16" t="s">
        <v>367</v>
      </c>
      <c r="P223" s="1">
        <v>1</v>
      </c>
      <c r="Q223" s="15"/>
      <c r="R223" s="15"/>
      <c r="S223" s="15"/>
      <c r="T223" s="15"/>
      <c r="U223" s="15"/>
      <c r="V223" s="1"/>
      <c r="W223" s="1"/>
      <c r="X223" s="1"/>
      <c r="Y223" s="15">
        <v>13800</v>
      </c>
      <c r="Z223" s="15"/>
      <c r="AA223" s="15"/>
      <c r="AB223" s="17"/>
      <c r="AC223" s="82"/>
      <c r="AD223" s="16" t="s">
        <v>52</v>
      </c>
      <c r="AE223" s="16" t="s">
        <v>1903</v>
      </c>
      <c r="AF223" s="16"/>
      <c r="AG223" s="16"/>
      <c r="AH223" s="16"/>
      <c r="AI223" s="16">
        <v>13014</v>
      </c>
      <c r="AJ223" s="16"/>
      <c r="AK223" s="16"/>
      <c r="AL223" s="16"/>
      <c r="AM223" s="16"/>
      <c r="AN223" s="16"/>
      <c r="AO223" s="16"/>
      <c r="AP223" s="16"/>
      <c r="AR223" s="88"/>
      <c r="AS223" s="88"/>
      <c r="AU223" s="12" t="s">
        <v>1931</v>
      </c>
      <c r="AV223" s="19"/>
      <c r="AW223" s="39">
        <v>90</v>
      </c>
      <c r="AY223" s="33"/>
      <c r="AZ223" s="33"/>
      <c r="BA223" s="33"/>
    </row>
    <row r="224" spans="1:53" ht="12" customHeight="1" x14ac:dyDescent="0.2">
      <c r="A224" s="10" t="s">
        <v>2255</v>
      </c>
      <c r="B224" s="39">
        <v>102015</v>
      </c>
      <c r="C224" s="42" t="s">
        <v>3157</v>
      </c>
      <c r="D224" s="10" t="s">
        <v>2943</v>
      </c>
      <c r="E224" s="14" t="s">
        <v>1901</v>
      </c>
      <c r="F224" s="1" t="s">
        <v>88</v>
      </c>
      <c r="G224" s="1" t="s">
        <v>2304</v>
      </c>
      <c r="H224" s="1"/>
      <c r="I224" s="1">
        <v>15</v>
      </c>
      <c r="J224" s="1"/>
      <c r="K224" s="1"/>
      <c r="L224" s="1"/>
      <c r="M224" s="1"/>
      <c r="O224" s="16" t="s">
        <v>367</v>
      </c>
      <c r="P224" s="1">
        <v>1</v>
      </c>
      <c r="Q224" s="15"/>
      <c r="R224" s="15"/>
      <c r="S224" s="15"/>
      <c r="T224" s="15"/>
      <c r="U224" s="15"/>
      <c r="V224" s="1"/>
      <c r="W224" s="1"/>
      <c r="X224" s="1"/>
      <c r="Y224" s="15">
        <v>13800</v>
      </c>
      <c r="Z224" s="15"/>
      <c r="AA224" s="15"/>
      <c r="AB224" s="17"/>
      <c r="AC224" s="82"/>
      <c r="AD224" s="16" t="s">
        <v>52</v>
      </c>
      <c r="AE224" s="16" t="s">
        <v>1903</v>
      </c>
      <c r="AF224" s="16"/>
      <c r="AG224" s="16"/>
      <c r="AH224" s="16"/>
      <c r="AI224" s="16">
        <v>13015</v>
      </c>
      <c r="AJ224" s="16"/>
      <c r="AK224" s="16"/>
      <c r="AL224" s="16"/>
      <c r="AM224" s="16"/>
      <c r="AN224" s="16"/>
      <c r="AO224" s="16"/>
      <c r="AP224" s="16"/>
      <c r="AR224" s="88"/>
      <c r="AS224" s="88"/>
      <c r="AU224" s="12" t="s">
        <v>1931</v>
      </c>
      <c r="AV224" s="19"/>
      <c r="AW224" s="39">
        <v>90</v>
      </c>
      <c r="AY224" s="33"/>
      <c r="AZ224" s="33"/>
      <c r="BA224" s="33"/>
    </row>
    <row r="225" spans="1:53" ht="12" customHeight="1" x14ac:dyDescent="0.2">
      <c r="A225" s="10" t="s">
        <v>2256</v>
      </c>
      <c r="B225" s="39">
        <v>102016</v>
      </c>
      <c r="C225" s="42" t="s">
        <v>3158</v>
      </c>
      <c r="D225" s="10" t="s">
        <v>2943</v>
      </c>
      <c r="E225" s="14" t="s">
        <v>1901</v>
      </c>
      <c r="F225" s="1" t="s">
        <v>394</v>
      </c>
      <c r="G225" s="1" t="s">
        <v>2304</v>
      </c>
      <c r="H225" s="1"/>
      <c r="I225" s="1">
        <v>16</v>
      </c>
      <c r="J225" s="1"/>
      <c r="K225" s="1"/>
      <c r="L225" s="1"/>
      <c r="M225" s="1"/>
      <c r="O225" s="16" t="s">
        <v>367</v>
      </c>
      <c r="P225" s="1">
        <v>1</v>
      </c>
      <c r="Q225" s="15"/>
      <c r="R225" s="15"/>
      <c r="S225" s="15"/>
      <c r="T225" s="15"/>
      <c r="U225" s="15"/>
      <c r="V225" s="1"/>
      <c r="W225" s="1"/>
      <c r="X225" s="1"/>
      <c r="Y225" s="15">
        <v>13800</v>
      </c>
      <c r="Z225" s="15"/>
      <c r="AA225" s="15"/>
      <c r="AB225" s="17"/>
      <c r="AC225" s="82"/>
      <c r="AD225" s="16" t="s">
        <v>52</v>
      </c>
      <c r="AE225" s="16" t="s">
        <v>1903</v>
      </c>
      <c r="AF225" s="16"/>
      <c r="AG225" s="16"/>
      <c r="AH225" s="16"/>
      <c r="AI225" s="16">
        <v>13016</v>
      </c>
      <c r="AJ225" s="16"/>
      <c r="AK225" s="16"/>
      <c r="AL225" s="16"/>
      <c r="AM225" s="16"/>
      <c r="AN225" s="16"/>
      <c r="AO225" s="16"/>
      <c r="AP225" s="16"/>
      <c r="AR225" s="88"/>
      <c r="AS225" s="88"/>
      <c r="AU225" s="12" t="s">
        <v>1931</v>
      </c>
      <c r="AV225" s="19"/>
      <c r="AW225" s="39">
        <v>90</v>
      </c>
      <c r="AY225" s="33"/>
      <c r="AZ225" s="33"/>
      <c r="BA225" s="33"/>
    </row>
    <row r="226" spans="1:53" ht="12" customHeight="1" x14ac:dyDescent="0.2">
      <c r="A226" s="10" t="s">
        <v>2257</v>
      </c>
      <c r="B226" s="39">
        <v>102017</v>
      </c>
      <c r="C226" s="42" t="s">
        <v>3159</v>
      </c>
      <c r="D226" s="10" t="s">
        <v>2943</v>
      </c>
      <c r="E226" s="14" t="s">
        <v>1901</v>
      </c>
      <c r="F226" s="1" t="s">
        <v>90</v>
      </c>
      <c r="G226" s="1" t="s">
        <v>2304</v>
      </c>
      <c r="H226" s="1"/>
      <c r="I226" s="1">
        <v>17</v>
      </c>
      <c r="J226" s="1"/>
      <c r="K226" s="1"/>
      <c r="L226" s="1"/>
      <c r="M226" s="1"/>
      <c r="O226" s="16" t="s">
        <v>367</v>
      </c>
      <c r="P226" s="1">
        <v>1</v>
      </c>
      <c r="Q226" s="15"/>
      <c r="R226" s="15"/>
      <c r="S226" s="15"/>
      <c r="T226" s="15"/>
      <c r="U226" s="15"/>
      <c r="V226" s="1"/>
      <c r="W226" s="1"/>
      <c r="X226" s="1"/>
      <c r="Y226" s="15">
        <v>13800</v>
      </c>
      <c r="Z226" s="15"/>
      <c r="AA226" s="15"/>
      <c r="AB226" s="17"/>
      <c r="AC226" s="82"/>
      <c r="AD226" s="16" t="s">
        <v>52</v>
      </c>
      <c r="AE226" s="16" t="s">
        <v>1903</v>
      </c>
      <c r="AF226" s="16"/>
      <c r="AG226" s="16"/>
      <c r="AH226" s="16"/>
      <c r="AI226" s="16">
        <v>13017</v>
      </c>
      <c r="AJ226" s="16"/>
      <c r="AK226" s="16"/>
      <c r="AL226" s="16"/>
      <c r="AM226" s="16"/>
      <c r="AN226" s="16"/>
      <c r="AO226" s="16"/>
      <c r="AP226" s="16"/>
      <c r="AR226" s="88"/>
      <c r="AS226" s="88"/>
      <c r="AU226" s="12" t="s">
        <v>1931</v>
      </c>
      <c r="AV226" s="19"/>
      <c r="AW226" s="39">
        <v>90</v>
      </c>
      <c r="AY226" s="33"/>
      <c r="AZ226" s="33"/>
      <c r="BA226" s="33"/>
    </row>
    <row r="227" spans="1:53" ht="12" customHeight="1" x14ac:dyDescent="0.2">
      <c r="A227" s="10" t="s">
        <v>2258</v>
      </c>
      <c r="B227" s="39">
        <v>102018</v>
      </c>
      <c r="C227" s="42" t="s">
        <v>3160</v>
      </c>
      <c r="D227" s="10" t="s">
        <v>2943</v>
      </c>
      <c r="E227" s="14" t="s">
        <v>1901</v>
      </c>
      <c r="F227" s="1" t="s">
        <v>396</v>
      </c>
      <c r="G227" s="1" t="s">
        <v>2304</v>
      </c>
      <c r="H227" s="1"/>
      <c r="I227" s="1">
        <v>18</v>
      </c>
      <c r="J227" s="1"/>
      <c r="K227" s="1"/>
      <c r="L227" s="1"/>
      <c r="M227" s="1"/>
      <c r="O227" s="16" t="s">
        <v>367</v>
      </c>
      <c r="P227" s="1">
        <v>1</v>
      </c>
      <c r="Q227" s="15"/>
      <c r="R227" s="15"/>
      <c r="S227" s="15"/>
      <c r="T227" s="15"/>
      <c r="U227" s="15"/>
      <c r="V227" s="1"/>
      <c r="W227" s="1"/>
      <c r="X227" s="1"/>
      <c r="Y227" s="15">
        <v>13800</v>
      </c>
      <c r="Z227" s="15"/>
      <c r="AA227" s="15"/>
      <c r="AB227" s="17"/>
      <c r="AC227" s="82"/>
      <c r="AD227" s="16" t="s">
        <v>52</v>
      </c>
      <c r="AE227" s="16" t="s">
        <v>1903</v>
      </c>
      <c r="AF227" s="16"/>
      <c r="AG227" s="16"/>
      <c r="AH227" s="16"/>
      <c r="AI227" s="16">
        <v>13018</v>
      </c>
      <c r="AJ227" s="16"/>
      <c r="AK227" s="16"/>
      <c r="AL227" s="16"/>
      <c r="AM227" s="16"/>
      <c r="AN227" s="16"/>
      <c r="AO227" s="16"/>
      <c r="AP227" s="16"/>
      <c r="AR227" s="88"/>
      <c r="AS227" s="88"/>
      <c r="AU227" s="12" t="s">
        <v>1931</v>
      </c>
      <c r="AV227" s="19"/>
      <c r="AW227" s="39">
        <v>90</v>
      </c>
      <c r="AY227" s="33"/>
      <c r="AZ227" s="33"/>
      <c r="BA227" s="33"/>
    </row>
    <row r="228" spans="1:53" ht="12" customHeight="1" x14ac:dyDescent="0.2">
      <c r="A228" s="10" t="s">
        <v>2259</v>
      </c>
      <c r="B228" s="39">
        <v>102019</v>
      </c>
      <c r="C228" s="42" t="s">
        <v>3161</v>
      </c>
      <c r="D228" s="10" t="s">
        <v>2943</v>
      </c>
      <c r="E228" s="14" t="s">
        <v>1901</v>
      </c>
      <c r="F228" s="1" t="s">
        <v>395</v>
      </c>
      <c r="G228" s="1" t="s">
        <v>2304</v>
      </c>
      <c r="H228" s="1"/>
      <c r="I228" s="1">
        <v>19</v>
      </c>
      <c r="J228" s="1"/>
      <c r="K228" s="1"/>
      <c r="L228" s="1"/>
      <c r="M228" s="1"/>
      <c r="O228" s="16" t="s">
        <v>367</v>
      </c>
      <c r="P228" s="1">
        <v>1</v>
      </c>
      <c r="Q228" s="15"/>
      <c r="R228" s="15"/>
      <c r="S228" s="15"/>
      <c r="T228" s="15"/>
      <c r="U228" s="15"/>
      <c r="V228" s="1"/>
      <c r="W228" s="1"/>
      <c r="X228" s="1"/>
      <c r="Y228" s="15">
        <v>13800</v>
      </c>
      <c r="Z228" s="15"/>
      <c r="AA228" s="15"/>
      <c r="AB228" s="17"/>
      <c r="AC228" s="82"/>
      <c r="AD228" s="16" t="s">
        <v>52</v>
      </c>
      <c r="AE228" s="16" t="s">
        <v>1903</v>
      </c>
      <c r="AF228" s="16"/>
      <c r="AG228" s="16"/>
      <c r="AH228" s="16"/>
      <c r="AI228" s="16">
        <v>13019</v>
      </c>
      <c r="AJ228" s="16"/>
      <c r="AK228" s="16"/>
      <c r="AL228" s="16"/>
      <c r="AM228" s="16"/>
      <c r="AN228" s="16"/>
      <c r="AO228" s="16"/>
      <c r="AP228" s="16"/>
      <c r="AR228" s="88"/>
      <c r="AS228" s="88"/>
      <c r="AU228" s="12" t="s">
        <v>1931</v>
      </c>
      <c r="AV228" s="19"/>
      <c r="AW228" s="39">
        <v>90</v>
      </c>
      <c r="AY228" s="33"/>
      <c r="AZ228" s="33"/>
      <c r="BA228" s="33"/>
    </row>
    <row r="229" spans="1:53" ht="12" customHeight="1" x14ac:dyDescent="0.2">
      <c r="A229" s="10" t="s">
        <v>2260</v>
      </c>
      <c r="B229" s="39">
        <v>102020</v>
      </c>
      <c r="C229" s="42" t="s">
        <v>3162</v>
      </c>
      <c r="D229" s="10" t="s">
        <v>2943</v>
      </c>
      <c r="E229" s="14" t="s">
        <v>1901</v>
      </c>
      <c r="F229" s="1" t="s">
        <v>88</v>
      </c>
      <c r="G229" s="1" t="s">
        <v>2304</v>
      </c>
      <c r="H229" s="1"/>
      <c r="I229" s="1">
        <v>20</v>
      </c>
      <c r="J229" s="1"/>
      <c r="K229" s="1"/>
      <c r="L229" s="1"/>
      <c r="M229" s="1"/>
      <c r="O229" s="16" t="s">
        <v>367</v>
      </c>
      <c r="P229" s="1">
        <v>1</v>
      </c>
      <c r="Q229" s="15"/>
      <c r="R229" s="15"/>
      <c r="S229" s="15"/>
      <c r="T229" s="15"/>
      <c r="U229" s="15"/>
      <c r="V229" s="1"/>
      <c r="W229" s="1"/>
      <c r="X229" s="1"/>
      <c r="Y229" s="15">
        <v>13800</v>
      </c>
      <c r="Z229" s="15"/>
      <c r="AA229" s="15"/>
      <c r="AB229" s="17"/>
      <c r="AC229" s="82"/>
      <c r="AD229" s="16" t="s">
        <v>52</v>
      </c>
      <c r="AE229" s="16" t="s">
        <v>1903</v>
      </c>
      <c r="AF229" s="16"/>
      <c r="AG229" s="16"/>
      <c r="AH229" s="16"/>
      <c r="AI229" s="16">
        <v>13020</v>
      </c>
      <c r="AJ229" s="16"/>
      <c r="AK229" s="16"/>
      <c r="AL229" s="16"/>
      <c r="AM229" s="16"/>
      <c r="AN229" s="16"/>
      <c r="AO229" s="16"/>
      <c r="AP229" s="16"/>
      <c r="AR229" s="88"/>
      <c r="AS229" s="88"/>
      <c r="AU229" s="12" t="s">
        <v>1931</v>
      </c>
      <c r="AV229" s="19"/>
      <c r="AW229" s="39">
        <v>90</v>
      </c>
      <c r="AY229" s="33"/>
      <c r="AZ229" s="33"/>
      <c r="BA229" s="33"/>
    </row>
    <row r="230" spans="1:53" ht="12" customHeight="1" x14ac:dyDescent="0.2">
      <c r="A230" s="10" t="s">
        <v>2261</v>
      </c>
      <c r="B230" s="39">
        <v>102021</v>
      </c>
      <c r="C230" s="42" t="s">
        <v>3163</v>
      </c>
      <c r="D230" s="10" t="s">
        <v>2943</v>
      </c>
      <c r="E230" s="14" t="s">
        <v>1901</v>
      </c>
      <c r="F230" s="1" t="s">
        <v>89</v>
      </c>
      <c r="G230" s="1" t="s">
        <v>2304</v>
      </c>
      <c r="H230" s="1"/>
      <c r="I230" s="1">
        <v>21</v>
      </c>
      <c r="J230" s="1"/>
      <c r="K230" s="1"/>
      <c r="L230" s="1"/>
      <c r="M230" s="1"/>
      <c r="O230" s="16" t="s">
        <v>367</v>
      </c>
      <c r="P230" s="1">
        <v>1</v>
      </c>
      <c r="Q230" s="15"/>
      <c r="R230" s="15"/>
      <c r="S230" s="15"/>
      <c r="T230" s="15"/>
      <c r="U230" s="15"/>
      <c r="V230" s="1"/>
      <c r="W230" s="1"/>
      <c r="X230" s="1"/>
      <c r="Y230" s="15">
        <v>13800</v>
      </c>
      <c r="Z230" s="15"/>
      <c r="AA230" s="15"/>
      <c r="AB230" s="17"/>
      <c r="AC230" s="82"/>
      <c r="AD230" s="16" t="s">
        <v>52</v>
      </c>
      <c r="AE230" s="16" t="s">
        <v>1903</v>
      </c>
      <c r="AF230" s="16"/>
      <c r="AG230" s="16"/>
      <c r="AH230" s="16"/>
      <c r="AI230" s="16">
        <v>13021</v>
      </c>
      <c r="AJ230" s="16"/>
      <c r="AK230" s="16"/>
      <c r="AL230" s="16"/>
      <c r="AM230" s="16"/>
      <c r="AN230" s="16"/>
      <c r="AO230" s="16"/>
      <c r="AP230" s="16"/>
      <c r="AR230" s="88"/>
      <c r="AS230" s="88"/>
      <c r="AU230" s="12" t="s">
        <v>1931</v>
      </c>
      <c r="AV230" s="19"/>
      <c r="AW230" s="39">
        <v>90</v>
      </c>
      <c r="AY230" s="33"/>
      <c r="AZ230" s="33"/>
      <c r="BA230" s="33"/>
    </row>
    <row r="231" spans="1:53" ht="12" customHeight="1" x14ac:dyDescent="0.2">
      <c r="A231" s="10" t="s">
        <v>2262</v>
      </c>
      <c r="B231" s="39">
        <v>102022</v>
      </c>
      <c r="C231" s="42" t="s">
        <v>3164</v>
      </c>
      <c r="D231" s="10" t="s">
        <v>2943</v>
      </c>
      <c r="E231" s="14" t="s">
        <v>1901</v>
      </c>
      <c r="F231" s="1" t="s">
        <v>91</v>
      </c>
      <c r="G231" s="1" t="s">
        <v>2304</v>
      </c>
      <c r="H231" s="1"/>
      <c r="I231" s="1">
        <v>22</v>
      </c>
      <c r="J231" s="1"/>
      <c r="K231" s="1"/>
      <c r="L231" s="1"/>
      <c r="M231" s="1"/>
      <c r="O231" s="16" t="s">
        <v>367</v>
      </c>
      <c r="P231" s="1">
        <v>1</v>
      </c>
      <c r="Q231" s="15"/>
      <c r="R231" s="15"/>
      <c r="S231" s="15"/>
      <c r="T231" s="15"/>
      <c r="U231" s="15"/>
      <c r="V231" s="1"/>
      <c r="W231" s="1"/>
      <c r="X231" s="1"/>
      <c r="Y231" s="15">
        <v>13800</v>
      </c>
      <c r="Z231" s="15"/>
      <c r="AA231" s="15"/>
      <c r="AB231" s="17"/>
      <c r="AC231" s="82"/>
      <c r="AD231" s="16" t="s">
        <v>52</v>
      </c>
      <c r="AE231" s="16" t="s">
        <v>1903</v>
      </c>
      <c r="AF231" s="16"/>
      <c r="AG231" s="16"/>
      <c r="AH231" s="16"/>
      <c r="AI231" s="16">
        <v>13022</v>
      </c>
      <c r="AJ231" s="16"/>
      <c r="AK231" s="16"/>
      <c r="AL231" s="16"/>
      <c r="AM231" s="16"/>
      <c r="AN231" s="16"/>
      <c r="AO231" s="16"/>
      <c r="AP231" s="16"/>
      <c r="AR231" s="88"/>
      <c r="AS231" s="88"/>
      <c r="AU231" s="12" t="s">
        <v>1931</v>
      </c>
      <c r="AV231" s="19"/>
      <c r="AW231" s="39">
        <v>90</v>
      </c>
      <c r="AY231" s="33"/>
      <c r="AZ231" s="33"/>
      <c r="BA231" s="33"/>
    </row>
    <row r="232" spans="1:53" ht="12" customHeight="1" x14ac:dyDescent="0.2">
      <c r="A232" s="10" t="s">
        <v>2263</v>
      </c>
      <c r="B232" s="39">
        <v>102023</v>
      </c>
      <c r="C232" s="42" t="s">
        <v>3165</v>
      </c>
      <c r="D232" s="10" t="s">
        <v>2943</v>
      </c>
      <c r="E232" s="14" t="s">
        <v>1901</v>
      </c>
      <c r="F232" s="1" t="s">
        <v>88</v>
      </c>
      <c r="G232" s="1" t="s">
        <v>2304</v>
      </c>
      <c r="H232" s="1"/>
      <c r="I232" s="1">
        <v>23</v>
      </c>
      <c r="J232" s="1"/>
      <c r="K232" s="1"/>
      <c r="L232" s="1"/>
      <c r="M232" s="1"/>
      <c r="O232" s="16" t="s">
        <v>367</v>
      </c>
      <c r="P232" s="1">
        <v>1</v>
      </c>
      <c r="Q232" s="15"/>
      <c r="R232" s="15"/>
      <c r="S232" s="15"/>
      <c r="T232" s="15"/>
      <c r="U232" s="15"/>
      <c r="V232" s="1"/>
      <c r="W232" s="1"/>
      <c r="X232" s="1"/>
      <c r="Y232" s="15">
        <v>13800</v>
      </c>
      <c r="Z232" s="15"/>
      <c r="AA232" s="15"/>
      <c r="AB232" s="17"/>
      <c r="AC232" s="82"/>
      <c r="AD232" s="16" t="s">
        <v>52</v>
      </c>
      <c r="AE232" s="16" t="s">
        <v>1903</v>
      </c>
      <c r="AF232" s="16"/>
      <c r="AG232" s="16"/>
      <c r="AH232" s="16"/>
      <c r="AI232" s="16">
        <v>13023</v>
      </c>
      <c r="AJ232" s="16"/>
      <c r="AK232" s="16"/>
      <c r="AL232" s="16"/>
      <c r="AM232" s="16"/>
      <c r="AN232" s="16"/>
      <c r="AO232" s="16"/>
      <c r="AP232" s="16"/>
      <c r="AR232" s="88"/>
      <c r="AS232" s="88"/>
      <c r="AU232" s="12" t="s">
        <v>1931</v>
      </c>
      <c r="AV232" s="19"/>
      <c r="AW232" s="39">
        <v>90</v>
      </c>
      <c r="AY232" s="33"/>
      <c r="AZ232" s="33"/>
      <c r="BA232" s="33"/>
    </row>
    <row r="233" spans="1:53" ht="12" customHeight="1" x14ac:dyDescent="0.2">
      <c r="A233" s="10" t="s">
        <v>2264</v>
      </c>
      <c r="B233" s="39">
        <v>102024</v>
      </c>
      <c r="C233" s="42" t="s">
        <v>3166</v>
      </c>
      <c r="D233" s="10" t="s">
        <v>2943</v>
      </c>
      <c r="E233" s="14" t="s">
        <v>1901</v>
      </c>
      <c r="F233" s="1" t="s">
        <v>394</v>
      </c>
      <c r="G233" s="1" t="s">
        <v>2304</v>
      </c>
      <c r="H233" s="1"/>
      <c r="I233" s="1">
        <v>24</v>
      </c>
      <c r="J233" s="1"/>
      <c r="K233" s="1"/>
      <c r="L233" s="1"/>
      <c r="M233" s="1"/>
      <c r="O233" s="16" t="s">
        <v>367</v>
      </c>
      <c r="P233" s="1">
        <v>1</v>
      </c>
      <c r="Q233" s="15"/>
      <c r="R233" s="15"/>
      <c r="S233" s="15"/>
      <c r="T233" s="15"/>
      <c r="U233" s="15"/>
      <c r="V233" s="1"/>
      <c r="W233" s="1"/>
      <c r="X233" s="1"/>
      <c r="Y233" s="15">
        <v>13800</v>
      </c>
      <c r="Z233" s="15"/>
      <c r="AA233" s="15"/>
      <c r="AB233" s="17"/>
      <c r="AC233" s="82"/>
      <c r="AD233" s="16" t="s">
        <v>52</v>
      </c>
      <c r="AE233" s="16" t="s">
        <v>1903</v>
      </c>
      <c r="AF233" s="16"/>
      <c r="AG233" s="16"/>
      <c r="AH233" s="16"/>
      <c r="AI233" s="16">
        <v>13024</v>
      </c>
      <c r="AJ233" s="16"/>
      <c r="AK233" s="16"/>
      <c r="AL233" s="16"/>
      <c r="AM233" s="16"/>
      <c r="AN233" s="16"/>
      <c r="AO233" s="16"/>
      <c r="AP233" s="16"/>
      <c r="AR233" s="88"/>
      <c r="AS233" s="88"/>
      <c r="AU233" s="12" t="s">
        <v>1931</v>
      </c>
      <c r="AV233" s="19"/>
      <c r="AW233" s="39">
        <v>90</v>
      </c>
      <c r="AY233" s="33"/>
      <c r="AZ233" s="33"/>
      <c r="BA233" s="33"/>
    </row>
    <row r="234" spans="1:53" ht="12" customHeight="1" x14ac:dyDescent="0.2">
      <c r="A234" s="10" t="s">
        <v>2265</v>
      </c>
      <c r="B234" s="39">
        <v>102025</v>
      </c>
      <c r="C234" s="42" t="s">
        <v>3167</v>
      </c>
      <c r="D234" s="10" t="s">
        <v>2943</v>
      </c>
      <c r="E234" s="14" t="s">
        <v>1901</v>
      </c>
      <c r="F234" s="1" t="s">
        <v>88</v>
      </c>
      <c r="G234" s="1" t="s">
        <v>2304</v>
      </c>
      <c r="H234" s="1"/>
      <c r="I234" s="1">
        <v>25</v>
      </c>
      <c r="J234" s="1"/>
      <c r="K234" s="1"/>
      <c r="L234" s="1"/>
      <c r="M234" s="1"/>
      <c r="O234" s="16" t="s">
        <v>367</v>
      </c>
      <c r="P234" s="1">
        <v>1</v>
      </c>
      <c r="Q234" s="15"/>
      <c r="R234" s="15"/>
      <c r="S234" s="15"/>
      <c r="T234" s="15"/>
      <c r="U234" s="15"/>
      <c r="V234" s="1"/>
      <c r="W234" s="1"/>
      <c r="X234" s="1"/>
      <c r="Y234" s="15">
        <v>13800</v>
      </c>
      <c r="Z234" s="15"/>
      <c r="AA234" s="15"/>
      <c r="AB234" s="17"/>
      <c r="AC234" s="82"/>
      <c r="AD234" s="16" t="s">
        <v>52</v>
      </c>
      <c r="AE234" s="16" t="s">
        <v>1903</v>
      </c>
      <c r="AF234" s="16"/>
      <c r="AG234" s="16"/>
      <c r="AH234" s="16"/>
      <c r="AI234" s="16">
        <v>13025</v>
      </c>
      <c r="AJ234" s="16"/>
      <c r="AK234" s="16"/>
      <c r="AL234" s="16"/>
      <c r="AM234" s="16"/>
      <c r="AN234" s="16"/>
      <c r="AO234" s="16"/>
      <c r="AP234" s="16"/>
      <c r="AR234" s="88"/>
      <c r="AS234" s="88"/>
      <c r="AU234" s="12" t="s">
        <v>1931</v>
      </c>
      <c r="AV234" s="19"/>
      <c r="AW234" s="39">
        <v>90</v>
      </c>
      <c r="AY234" s="33"/>
      <c r="AZ234" s="33"/>
      <c r="BA234" s="33"/>
    </row>
    <row r="235" spans="1:53" ht="12" customHeight="1" x14ac:dyDescent="0.2">
      <c r="A235" s="10" t="s">
        <v>2266</v>
      </c>
      <c r="B235" s="39">
        <v>102026</v>
      </c>
      <c r="C235" s="42" t="s">
        <v>3168</v>
      </c>
      <c r="D235" s="10" t="s">
        <v>2943</v>
      </c>
      <c r="E235" s="14" t="s">
        <v>1901</v>
      </c>
      <c r="F235" s="1" t="s">
        <v>395</v>
      </c>
      <c r="G235" s="1" t="s">
        <v>2304</v>
      </c>
      <c r="H235" s="1"/>
      <c r="I235" s="1">
        <v>26</v>
      </c>
      <c r="J235" s="1"/>
      <c r="K235" s="1"/>
      <c r="L235" s="1"/>
      <c r="M235" s="1"/>
      <c r="O235" s="16" t="s">
        <v>367</v>
      </c>
      <c r="P235" s="1">
        <v>1</v>
      </c>
      <c r="Q235" s="15"/>
      <c r="R235" s="15"/>
      <c r="S235" s="15"/>
      <c r="T235" s="15"/>
      <c r="U235" s="15"/>
      <c r="V235" s="1"/>
      <c r="W235" s="1"/>
      <c r="X235" s="1"/>
      <c r="Y235" s="15">
        <v>13800</v>
      </c>
      <c r="Z235" s="15"/>
      <c r="AA235" s="15"/>
      <c r="AB235" s="17"/>
      <c r="AC235" s="82"/>
      <c r="AD235" s="16" t="s">
        <v>52</v>
      </c>
      <c r="AE235" s="16" t="s">
        <v>1903</v>
      </c>
      <c r="AF235" s="16"/>
      <c r="AG235" s="16"/>
      <c r="AH235" s="16"/>
      <c r="AI235" s="16">
        <v>13026</v>
      </c>
      <c r="AJ235" s="16"/>
      <c r="AK235" s="16"/>
      <c r="AL235" s="16"/>
      <c r="AM235" s="16"/>
      <c r="AN235" s="16"/>
      <c r="AO235" s="16"/>
      <c r="AP235" s="16"/>
      <c r="AR235" s="88"/>
      <c r="AS235" s="88"/>
      <c r="AU235" s="12" t="s">
        <v>1931</v>
      </c>
      <c r="AV235" s="19"/>
      <c r="AW235" s="39">
        <v>90</v>
      </c>
      <c r="AY235" s="33"/>
      <c r="AZ235" s="33"/>
      <c r="BA235" s="33"/>
    </row>
    <row r="236" spans="1:53" ht="12" customHeight="1" x14ac:dyDescent="0.2">
      <c r="A236" s="10" t="s">
        <v>2267</v>
      </c>
      <c r="B236" s="39">
        <v>102027</v>
      </c>
      <c r="C236" s="42" t="s">
        <v>3169</v>
      </c>
      <c r="D236" s="10" t="s">
        <v>2943</v>
      </c>
      <c r="E236" s="14" t="s">
        <v>1901</v>
      </c>
      <c r="F236" s="1" t="s">
        <v>394</v>
      </c>
      <c r="G236" s="1" t="s">
        <v>2304</v>
      </c>
      <c r="H236" s="1"/>
      <c r="I236" s="1">
        <v>27</v>
      </c>
      <c r="J236" s="1"/>
      <c r="K236" s="1"/>
      <c r="L236" s="1"/>
      <c r="M236" s="1"/>
      <c r="O236" s="16" t="s">
        <v>367</v>
      </c>
      <c r="P236" s="1">
        <v>1</v>
      </c>
      <c r="Q236" s="15"/>
      <c r="R236" s="15"/>
      <c r="S236" s="15"/>
      <c r="T236" s="15"/>
      <c r="U236" s="15"/>
      <c r="V236" s="1"/>
      <c r="W236" s="1"/>
      <c r="X236" s="1"/>
      <c r="Y236" s="15">
        <v>13800</v>
      </c>
      <c r="Z236" s="15"/>
      <c r="AA236" s="15"/>
      <c r="AB236" s="17"/>
      <c r="AC236" s="82"/>
      <c r="AD236" s="16" t="s">
        <v>52</v>
      </c>
      <c r="AE236" s="16" t="s">
        <v>1903</v>
      </c>
      <c r="AF236" s="16"/>
      <c r="AG236" s="16"/>
      <c r="AH236" s="16"/>
      <c r="AI236" s="16">
        <v>13027</v>
      </c>
      <c r="AJ236" s="16"/>
      <c r="AK236" s="16"/>
      <c r="AL236" s="16"/>
      <c r="AM236" s="16"/>
      <c r="AN236" s="16"/>
      <c r="AO236" s="16"/>
      <c r="AP236" s="16"/>
      <c r="AR236" s="88"/>
      <c r="AS236" s="88"/>
      <c r="AU236" s="12" t="s">
        <v>1931</v>
      </c>
      <c r="AV236" s="19"/>
      <c r="AW236" s="39">
        <v>90</v>
      </c>
      <c r="AY236" s="33"/>
      <c r="AZ236" s="33"/>
      <c r="BA236" s="33"/>
    </row>
    <row r="237" spans="1:53" ht="12" customHeight="1" x14ac:dyDescent="0.2">
      <c r="A237" s="10" t="s">
        <v>2268</v>
      </c>
      <c r="B237" s="39">
        <v>102028</v>
      </c>
      <c r="C237" s="42" t="s">
        <v>3170</v>
      </c>
      <c r="D237" s="10" t="s">
        <v>2943</v>
      </c>
      <c r="E237" s="14" t="s">
        <v>1901</v>
      </c>
      <c r="F237" s="1" t="s">
        <v>396</v>
      </c>
      <c r="G237" s="1" t="s">
        <v>2304</v>
      </c>
      <c r="H237" s="1"/>
      <c r="I237" s="1">
        <v>28</v>
      </c>
      <c r="J237" s="1"/>
      <c r="K237" s="1"/>
      <c r="L237" s="1"/>
      <c r="M237" s="1"/>
      <c r="O237" s="16" t="s">
        <v>367</v>
      </c>
      <c r="P237" s="1">
        <v>1</v>
      </c>
      <c r="Q237" s="15"/>
      <c r="R237" s="15"/>
      <c r="S237" s="15"/>
      <c r="T237" s="15"/>
      <c r="U237" s="15"/>
      <c r="V237" s="1"/>
      <c r="W237" s="1"/>
      <c r="X237" s="1"/>
      <c r="Y237" s="15">
        <v>13800</v>
      </c>
      <c r="Z237" s="15"/>
      <c r="AA237" s="15"/>
      <c r="AB237" s="17"/>
      <c r="AC237" s="82"/>
      <c r="AD237" s="16" t="s">
        <v>52</v>
      </c>
      <c r="AE237" s="16" t="s">
        <v>1903</v>
      </c>
      <c r="AF237" s="16"/>
      <c r="AG237" s="16"/>
      <c r="AH237" s="16"/>
      <c r="AI237" s="16">
        <v>13028</v>
      </c>
      <c r="AJ237" s="16"/>
      <c r="AK237" s="16"/>
      <c r="AL237" s="16"/>
      <c r="AM237" s="16"/>
      <c r="AN237" s="16"/>
      <c r="AO237" s="16"/>
      <c r="AP237" s="16"/>
      <c r="AR237" s="88"/>
      <c r="AS237" s="88"/>
      <c r="AU237" s="12" t="s">
        <v>1931</v>
      </c>
      <c r="AV237" s="19"/>
      <c r="AW237" s="39">
        <v>90</v>
      </c>
      <c r="AY237" s="33"/>
      <c r="AZ237" s="33"/>
      <c r="BA237" s="33"/>
    </row>
    <row r="238" spans="1:53" ht="12" customHeight="1" x14ac:dyDescent="0.2">
      <c r="A238" s="10" t="s">
        <v>2269</v>
      </c>
      <c r="B238" s="39">
        <v>102029</v>
      </c>
      <c r="C238" s="42" t="s">
        <v>3171</v>
      </c>
      <c r="D238" s="10" t="s">
        <v>2943</v>
      </c>
      <c r="E238" s="14" t="s">
        <v>1901</v>
      </c>
      <c r="F238" s="1" t="s">
        <v>90</v>
      </c>
      <c r="G238" s="1" t="s">
        <v>2304</v>
      </c>
      <c r="H238" s="1"/>
      <c r="I238" s="1">
        <v>29</v>
      </c>
      <c r="J238" s="1"/>
      <c r="K238" s="1"/>
      <c r="L238" s="1"/>
      <c r="M238" s="1"/>
      <c r="O238" s="16" t="s">
        <v>367</v>
      </c>
      <c r="P238" s="1">
        <v>1</v>
      </c>
      <c r="Q238" s="15"/>
      <c r="R238" s="15"/>
      <c r="S238" s="15"/>
      <c r="T238" s="15"/>
      <c r="U238" s="15"/>
      <c r="V238" s="1"/>
      <c r="W238" s="1"/>
      <c r="X238" s="1"/>
      <c r="Y238" s="15">
        <v>13800</v>
      </c>
      <c r="Z238" s="15"/>
      <c r="AA238" s="15"/>
      <c r="AB238" s="17"/>
      <c r="AC238" s="82"/>
      <c r="AD238" s="16" t="s">
        <v>52</v>
      </c>
      <c r="AE238" s="16" t="s">
        <v>1903</v>
      </c>
      <c r="AF238" s="16"/>
      <c r="AG238" s="16"/>
      <c r="AH238" s="16"/>
      <c r="AI238" s="16">
        <v>13029</v>
      </c>
      <c r="AJ238" s="16"/>
      <c r="AK238" s="16"/>
      <c r="AL238" s="16"/>
      <c r="AM238" s="16"/>
      <c r="AN238" s="16"/>
      <c r="AO238" s="16"/>
      <c r="AP238" s="16"/>
      <c r="AR238" s="88"/>
      <c r="AS238" s="88"/>
      <c r="AU238" s="12" t="s">
        <v>1931</v>
      </c>
      <c r="AV238" s="19"/>
      <c r="AW238" s="39">
        <v>90</v>
      </c>
      <c r="AY238" s="33"/>
      <c r="AZ238" s="33"/>
      <c r="BA238" s="33"/>
    </row>
    <row r="239" spans="1:53" ht="12" customHeight="1" x14ac:dyDescent="0.2">
      <c r="A239" s="10" t="s">
        <v>2270</v>
      </c>
      <c r="B239" s="39">
        <v>102030</v>
      </c>
      <c r="C239" s="42" t="s">
        <v>3172</v>
      </c>
      <c r="D239" s="10" t="s">
        <v>2943</v>
      </c>
      <c r="E239" s="14" t="s">
        <v>1901</v>
      </c>
      <c r="F239" s="1" t="s">
        <v>394</v>
      </c>
      <c r="G239" s="1" t="s">
        <v>2304</v>
      </c>
      <c r="H239" s="1"/>
      <c r="I239" s="1">
        <v>30</v>
      </c>
      <c r="J239" s="1"/>
      <c r="K239" s="1"/>
      <c r="L239" s="1"/>
      <c r="M239" s="1"/>
      <c r="O239" s="16" t="s">
        <v>367</v>
      </c>
      <c r="P239" s="1">
        <v>1</v>
      </c>
      <c r="Q239" s="15"/>
      <c r="R239" s="15"/>
      <c r="S239" s="15"/>
      <c r="T239" s="15"/>
      <c r="U239" s="15"/>
      <c r="V239" s="1"/>
      <c r="W239" s="1"/>
      <c r="X239" s="1"/>
      <c r="Y239" s="15">
        <v>13800</v>
      </c>
      <c r="Z239" s="15"/>
      <c r="AA239" s="15"/>
      <c r="AB239" s="17"/>
      <c r="AC239" s="82"/>
      <c r="AD239" s="16" t="s">
        <v>52</v>
      </c>
      <c r="AE239" s="16" t="s">
        <v>1903</v>
      </c>
      <c r="AF239" s="16"/>
      <c r="AG239" s="16"/>
      <c r="AH239" s="16"/>
      <c r="AI239" s="16">
        <v>13030</v>
      </c>
      <c r="AJ239" s="16"/>
      <c r="AK239" s="16"/>
      <c r="AL239" s="16"/>
      <c r="AM239" s="16"/>
      <c r="AN239" s="16"/>
      <c r="AO239" s="16"/>
      <c r="AP239" s="16"/>
      <c r="AR239" s="88"/>
      <c r="AS239" s="88"/>
      <c r="AU239" s="12" t="s">
        <v>1931</v>
      </c>
      <c r="AV239" s="19"/>
      <c r="AW239" s="39">
        <v>90</v>
      </c>
      <c r="AY239" s="33"/>
      <c r="AZ239" s="33"/>
      <c r="BA239" s="33"/>
    </row>
    <row r="240" spans="1:53" ht="12" customHeight="1" x14ac:dyDescent="0.2">
      <c r="A240" s="10" t="s">
        <v>2271</v>
      </c>
      <c r="B240" s="39">
        <v>102031</v>
      </c>
      <c r="C240" s="42" t="s">
        <v>3173</v>
      </c>
      <c r="D240" s="10" t="s">
        <v>2943</v>
      </c>
      <c r="E240" s="14" t="s">
        <v>1901</v>
      </c>
      <c r="F240" s="1" t="s">
        <v>90</v>
      </c>
      <c r="G240" s="1" t="s">
        <v>2304</v>
      </c>
      <c r="H240" s="1"/>
      <c r="I240" s="1">
        <v>31</v>
      </c>
      <c r="J240" s="1"/>
      <c r="K240" s="1"/>
      <c r="L240" s="1"/>
      <c r="M240" s="1"/>
      <c r="O240" s="16" t="s">
        <v>367</v>
      </c>
      <c r="P240" s="1">
        <v>1</v>
      </c>
      <c r="Q240" s="15"/>
      <c r="R240" s="15"/>
      <c r="S240" s="15"/>
      <c r="T240" s="15"/>
      <c r="U240" s="15"/>
      <c r="V240" s="1"/>
      <c r="W240" s="1"/>
      <c r="X240" s="1"/>
      <c r="Y240" s="15">
        <v>13800</v>
      </c>
      <c r="Z240" s="15"/>
      <c r="AA240" s="15"/>
      <c r="AB240" s="17"/>
      <c r="AC240" s="82"/>
      <c r="AD240" s="16" t="s">
        <v>52</v>
      </c>
      <c r="AE240" s="16" t="s">
        <v>1903</v>
      </c>
      <c r="AF240" s="16"/>
      <c r="AG240" s="16"/>
      <c r="AH240" s="16"/>
      <c r="AI240" s="16">
        <v>13031</v>
      </c>
      <c r="AJ240" s="16"/>
      <c r="AK240" s="16"/>
      <c r="AL240" s="16"/>
      <c r="AM240" s="16"/>
      <c r="AN240" s="16"/>
      <c r="AO240" s="16"/>
      <c r="AP240" s="16"/>
      <c r="AR240" s="88"/>
      <c r="AS240" s="88"/>
      <c r="AU240" s="12" t="s">
        <v>1931</v>
      </c>
      <c r="AV240" s="19"/>
      <c r="AW240" s="39">
        <v>90</v>
      </c>
      <c r="AY240" s="33"/>
      <c r="AZ240" s="33"/>
      <c r="BA240" s="33"/>
    </row>
    <row r="241" spans="1:53" ht="12" customHeight="1" x14ac:dyDescent="0.2">
      <c r="A241" s="10" t="s">
        <v>2272</v>
      </c>
      <c r="B241" s="39">
        <v>102032</v>
      </c>
      <c r="C241" s="42" t="s">
        <v>3174</v>
      </c>
      <c r="D241" s="10" t="s">
        <v>2943</v>
      </c>
      <c r="E241" s="14" t="s">
        <v>1901</v>
      </c>
      <c r="F241" s="1" t="s">
        <v>395</v>
      </c>
      <c r="G241" s="1" t="s">
        <v>2304</v>
      </c>
      <c r="H241" s="1"/>
      <c r="I241" s="1">
        <v>32</v>
      </c>
      <c r="J241" s="1"/>
      <c r="K241" s="1"/>
      <c r="L241" s="1"/>
      <c r="M241" s="1"/>
      <c r="O241" s="16" t="s">
        <v>367</v>
      </c>
      <c r="P241" s="1">
        <v>1</v>
      </c>
      <c r="Q241" s="15"/>
      <c r="R241" s="15"/>
      <c r="S241" s="15"/>
      <c r="T241" s="15"/>
      <c r="U241" s="15"/>
      <c r="V241" s="1"/>
      <c r="W241" s="1"/>
      <c r="X241" s="1"/>
      <c r="Y241" s="15">
        <v>13800</v>
      </c>
      <c r="Z241" s="15"/>
      <c r="AA241" s="15"/>
      <c r="AB241" s="17"/>
      <c r="AC241" s="82"/>
      <c r="AD241" s="16" t="s">
        <v>52</v>
      </c>
      <c r="AE241" s="16" t="s">
        <v>1903</v>
      </c>
      <c r="AF241" s="16"/>
      <c r="AG241" s="16"/>
      <c r="AH241" s="16"/>
      <c r="AI241" s="16">
        <v>13032</v>
      </c>
      <c r="AJ241" s="16"/>
      <c r="AK241" s="16"/>
      <c r="AL241" s="16"/>
      <c r="AM241" s="16"/>
      <c r="AN241" s="16"/>
      <c r="AO241" s="16"/>
      <c r="AP241" s="16"/>
      <c r="AR241" s="88"/>
      <c r="AS241" s="88"/>
      <c r="AU241" s="12" t="s">
        <v>1931</v>
      </c>
      <c r="AV241" s="19"/>
      <c r="AW241" s="39">
        <v>90</v>
      </c>
      <c r="AY241" s="33"/>
      <c r="AZ241" s="33"/>
      <c r="BA241" s="33"/>
    </row>
    <row r="242" spans="1:53" ht="12" customHeight="1" x14ac:dyDescent="0.2">
      <c r="A242" s="10" t="s">
        <v>2273</v>
      </c>
      <c r="B242" s="39">
        <v>102033</v>
      </c>
      <c r="C242" s="42" t="s">
        <v>3175</v>
      </c>
      <c r="D242" s="10" t="s">
        <v>2943</v>
      </c>
      <c r="E242" s="14" t="s">
        <v>1901</v>
      </c>
      <c r="F242" s="1" t="s">
        <v>395</v>
      </c>
      <c r="G242" s="1" t="s">
        <v>2304</v>
      </c>
      <c r="H242" s="1"/>
      <c r="I242" s="1">
        <v>33</v>
      </c>
      <c r="J242" s="1"/>
      <c r="K242" s="1"/>
      <c r="L242" s="1"/>
      <c r="M242" s="1"/>
      <c r="O242" s="16" t="s">
        <v>367</v>
      </c>
      <c r="P242" s="1">
        <v>1</v>
      </c>
      <c r="Q242" s="15"/>
      <c r="R242" s="15"/>
      <c r="S242" s="15"/>
      <c r="T242" s="15"/>
      <c r="U242" s="15"/>
      <c r="V242" s="1"/>
      <c r="W242" s="1"/>
      <c r="X242" s="1"/>
      <c r="Y242" s="15">
        <v>13800</v>
      </c>
      <c r="Z242" s="15"/>
      <c r="AA242" s="15"/>
      <c r="AB242" s="17"/>
      <c r="AC242" s="82"/>
      <c r="AD242" s="16" t="s">
        <v>52</v>
      </c>
      <c r="AE242" s="16" t="s">
        <v>1903</v>
      </c>
      <c r="AF242" s="16"/>
      <c r="AG242" s="16"/>
      <c r="AH242" s="16"/>
      <c r="AI242" s="16">
        <v>13033</v>
      </c>
      <c r="AJ242" s="16"/>
      <c r="AK242" s="16"/>
      <c r="AL242" s="16"/>
      <c r="AM242" s="16"/>
      <c r="AN242" s="16"/>
      <c r="AO242" s="16"/>
      <c r="AP242" s="16"/>
      <c r="AR242" s="88"/>
      <c r="AS242" s="88"/>
      <c r="AU242" s="12" t="s">
        <v>1931</v>
      </c>
      <c r="AV242" s="19"/>
      <c r="AW242" s="39">
        <v>90</v>
      </c>
      <c r="AY242" s="33"/>
      <c r="AZ242" s="33"/>
      <c r="BA242" s="33"/>
    </row>
    <row r="243" spans="1:53" ht="12" customHeight="1" x14ac:dyDescent="0.2">
      <c r="A243" s="10" t="s">
        <v>2274</v>
      </c>
      <c r="B243" s="39">
        <v>102034</v>
      </c>
      <c r="C243" s="42" t="s">
        <v>3176</v>
      </c>
      <c r="D243" s="10" t="s">
        <v>2943</v>
      </c>
      <c r="E243" s="14" t="s">
        <v>1901</v>
      </c>
      <c r="F243" s="1" t="s">
        <v>91</v>
      </c>
      <c r="G243" s="1" t="s">
        <v>2304</v>
      </c>
      <c r="H243" s="1"/>
      <c r="I243" s="1">
        <v>34</v>
      </c>
      <c r="J243" s="1"/>
      <c r="K243" s="1"/>
      <c r="L243" s="1"/>
      <c r="M243" s="1"/>
      <c r="O243" s="16" t="s">
        <v>367</v>
      </c>
      <c r="P243" s="1">
        <v>1</v>
      </c>
      <c r="Q243" s="15"/>
      <c r="R243" s="15"/>
      <c r="S243" s="15"/>
      <c r="T243" s="15"/>
      <c r="U243" s="15"/>
      <c r="V243" s="1"/>
      <c r="W243" s="1"/>
      <c r="X243" s="1"/>
      <c r="Y243" s="15">
        <v>13800</v>
      </c>
      <c r="Z243" s="15"/>
      <c r="AA243" s="15"/>
      <c r="AB243" s="17"/>
      <c r="AC243" s="82"/>
      <c r="AD243" s="16" t="s">
        <v>52</v>
      </c>
      <c r="AE243" s="16" t="s">
        <v>1903</v>
      </c>
      <c r="AF243" s="16"/>
      <c r="AG243" s="16"/>
      <c r="AH243" s="16"/>
      <c r="AI243" s="16">
        <v>13034</v>
      </c>
      <c r="AJ243" s="16"/>
      <c r="AK243" s="16"/>
      <c r="AL243" s="16"/>
      <c r="AM243" s="16"/>
      <c r="AN243" s="16"/>
      <c r="AO243" s="16"/>
      <c r="AP243" s="16"/>
      <c r="AR243" s="88"/>
      <c r="AS243" s="88"/>
      <c r="AU243" s="12" t="s">
        <v>1931</v>
      </c>
      <c r="AV243" s="19"/>
      <c r="AW243" s="39">
        <v>90</v>
      </c>
      <c r="AY243" s="33"/>
      <c r="AZ243" s="33"/>
      <c r="BA243" s="33"/>
    </row>
    <row r="244" spans="1:53" ht="12" customHeight="1" x14ac:dyDescent="0.2">
      <c r="A244" s="10" t="s">
        <v>2275</v>
      </c>
      <c r="B244" s="39">
        <v>102035</v>
      </c>
      <c r="C244" s="42" t="s">
        <v>3177</v>
      </c>
      <c r="D244" s="10" t="s">
        <v>2943</v>
      </c>
      <c r="E244" s="14" t="s">
        <v>1901</v>
      </c>
      <c r="F244" s="1" t="s">
        <v>91</v>
      </c>
      <c r="G244" s="1" t="s">
        <v>2304</v>
      </c>
      <c r="H244" s="1"/>
      <c r="I244" s="1">
        <v>35</v>
      </c>
      <c r="J244" s="1"/>
      <c r="K244" s="1"/>
      <c r="L244" s="1"/>
      <c r="M244" s="1"/>
      <c r="O244" s="16" t="s">
        <v>367</v>
      </c>
      <c r="P244" s="1">
        <v>1</v>
      </c>
      <c r="Q244" s="15"/>
      <c r="R244" s="15"/>
      <c r="S244" s="15"/>
      <c r="T244" s="15"/>
      <c r="U244" s="15"/>
      <c r="V244" s="1"/>
      <c r="W244" s="1"/>
      <c r="X244" s="1"/>
      <c r="Y244" s="15">
        <v>13800</v>
      </c>
      <c r="Z244" s="15"/>
      <c r="AA244" s="15"/>
      <c r="AB244" s="17"/>
      <c r="AC244" s="82"/>
      <c r="AD244" s="16" t="s">
        <v>52</v>
      </c>
      <c r="AE244" s="16" t="s">
        <v>1903</v>
      </c>
      <c r="AF244" s="16"/>
      <c r="AG244" s="16"/>
      <c r="AH244" s="16"/>
      <c r="AI244" s="16">
        <v>13035</v>
      </c>
      <c r="AJ244" s="16"/>
      <c r="AK244" s="16"/>
      <c r="AL244" s="16"/>
      <c r="AM244" s="16"/>
      <c r="AN244" s="16"/>
      <c r="AO244" s="16"/>
      <c r="AP244" s="16"/>
      <c r="AR244" s="88"/>
      <c r="AS244" s="88"/>
      <c r="AU244" s="12" t="s">
        <v>1931</v>
      </c>
      <c r="AV244" s="19"/>
      <c r="AW244" s="39">
        <v>90</v>
      </c>
      <c r="AY244" s="33"/>
      <c r="AZ244" s="33"/>
      <c r="BA244" s="33"/>
    </row>
    <row r="245" spans="1:53" ht="12" customHeight="1" x14ac:dyDescent="0.2">
      <c r="A245" s="10" t="s">
        <v>2276</v>
      </c>
      <c r="B245" s="39">
        <v>102036</v>
      </c>
      <c r="C245" s="42" t="s">
        <v>3178</v>
      </c>
      <c r="D245" s="10" t="s">
        <v>2943</v>
      </c>
      <c r="E245" s="14" t="s">
        <v>1901</v>
      </c>
      <c r="F245" s="1" t="s">
        <v>88</v>
      </c>
      <c r="G245" s="1" t="s">
        <v>2304</v>
      </c>
      <c r="H245" s="1"/>
      <c r="I245" s="1">
        <v>36</v>
      </c>
      <c r="J245" s="1"/>
      <c r="K245" s="1"/>
      <c r="L245" s="1"/>
      <c r="M245" s="1"/>
      <c r="O245" s="16" t="s">
        <v>367</v>
      </c>
      <c r="P245" s="1">
        <v>1</v>
      </c>
      <c r="Q245" s="15"/>
      <c r="R245" s="15"/>
      <c r="S245" s="15"/>
      <c r="T245" s="15"/>
      <c r="U245" s="15"/>
      <c r="V245" s="1"/>
      <c r="W245" s="1"/>
      <c r="X245" s="1"/>
      <c r="Y245" s="15">
        <v>13800</v>
      </c>
      <c r="Z245" s="15"/>
      <c r="AA245" s="15"/>
      <c r="AB245" s="17"/>
      <c r="AC245" s="82"/>
      <c r="AD245" s="16" t="s">
        <v>52</v>
      </c>
      <c r="AE245" s="16" t="s">
        <v>1903</v>
      </c>
      <c r="AF245" s="16"/>
      <c r="AG245" s="16"/>
      <c r="AH245" s="16"/>
      <c r="AI245" s="16">
        <v>13036</v>
      </c>
      <c r="AJ245" s="16"/>
      <c r="AK245" s="16"/>
      <c r="AL245" s="16"/>
      <c r="AM245" s="16"/>
      <c r="AN245" s="16"/>
      <c r="AO245" s="16"/>
      <c r="AP245" s="16"/>
      <c r="AR245" s="88"/>
      <c r="AS245" s="88"/>
      <c r="AU245" s="12" t="s">
        <v>1931</v>
      </c>
      <c r="AV245" s="19"/>
      <c r="AW245" s="39">
        <v>90</v>
      </c>
      <c r="AY245" s="33"/>
      <c r="AZ245" s="33"/>
      <c r="BA245" s="33"/>
    </row>
    <row r="246" spans="1:53" ht="12" customHeight="1" x14ac:dyDescent="0.2">
      <c r="A246" s="10" t="s">
        <v>2277</v>
      </c>
      <c r="B246" s="39">
        <v>102037</v>
      </c>
      <c r="C246" s="42" t="s">
        <v>3179</v>
      </c>
      <c r="D246" s="10" t="s">
        <v>2943</v>
      </c>
      <c r="E246" s="14" t="s">
        <v>1901</v>
      </c>
      <c r="F246" s="1" t="s">
        <v>396</v>
      </c>
      <c r="G246" s="1" t="s">
        <v>2304</v>
      </c>
      <c r="H246" s="1"/>
      <c r="I246" s="1">
        <v>37</v>
      </c>
      <c r="J246" s="1"/>
      <c r="K246" s="1"/>
      <c r="L246" s="1"/>
      <c r="M246" s="1"/>
      <c r="O246" s="16" t="s">
        <v>367</v>
      </c>
      <c r="P246" s="1">
        <v>1</v>
      </c>
      <c r="Q246" s="15"/>
      <c r="R246" s="15"/>
      <c r="S246" s="15"/>
      <c r="T246" s="15"/>
      <c r="U246" s="15"/>
      <c r="V246" s="1"/>
      <c r="W246" s="1"/>
      <c r="X246" s="1"/>
      <c r="Y246" s="15">
        <v>13800</v>
      </c>
      <c r="Z246" s="15"/>
      <c r="AA246" s="15"/>
      <c r="AB246" s="17"/>
      <c r="AC246" s="82"/>
      <c r="AD246" s="16" t="s">
        <v>52</v>
      </c>
      <c r="AE246" s="16" t="s">
        <v>1903</v>
      </c>
      <c r="AF246" s="16"/>
      <c r="AG246" s="16"/>
      <c r="AH246" s="16"/>
      <c r="AI246" s="16">
        <v>13037</v>
      </c>
      <c r="AJ246" s="16"/>
      <c r="AK246" s="16"/>
      <c r="AL246" s="16"/>
      <c r="AM246" s="16"/>
      <c r="AN246" s="16"/>
      <c r="AO246" s="16"/>
      <c r="AP246" s="16"/>
      <c r="AR246" s="88"/>
      <c r="AS246" s="88"/>
      <c r="AU246" s="12" t="s">
        <v>1931</v>
      </c>
      <c r="AV246" s="19"/>
      <c r="AW246" s="39">
        <v>90</v>
      </c>
      <c r="AY246" s="33"/>
      <c r="AZ246" s="33"/>
      <c r="BA246" s="33"/>
    </row>
    <row r="247" spans="1:53" ht="12" customHeight="1" x14ac:dyDescent="0.2">
      <c r="A247" s="10" t="s">
        <v>2278</v>
      </c>
      <c r="B247" s="39">
        <v>102038</v>
      </c>
      <c r="C247" s="42" t="s">
        <v>3180</v>
      </c>
      <c r="D247" s="10" t="s">
        <v>2943</v>
      </c>
      <c r="E247" s="14" t="s">
        <v>1901</v>
      </c>
      <c r="F247" s="1" t="s">
        <v>396</v>
      </c>
      <c r="G247" s="1" t="s">
        <v>2304</v>
      </c>
      <c r="H247" s="1"/>
      <c r="I247" s="1">
        <v>38</v>
      </c>
      <c r="J247" s="1"/>
      <c r="K247" s="1"/>
      <c r="L247" s="1"/>
      <c r="M247" s="1"/>
      <c r="O247" s="16" t="s">
        <v>367</v>
      </c>
      <c r="P247" s="1">
        <v>1</v>
      </c>
      <c r="Q247" s="15"/>
      <c r="R247" s="15"/>
      <c r="S247" s="15"/>
      <c r="T247" s="15"/>
      <c r="U247" s="15"/>
      <c r="V247" s="1"/>
      <c r="W247" s="1"/>
      <c r="X247" s="1"/>
      <c r="Y247" s="15">
        <v>13800</v>
      </c>
      <c r="Z247" s="15"/>
      <c r="AA247" s="15"/>
      <c r="AB247" s="17"/>
      <c r="AC247" s="82"/>
      <c r="AD247" s="16" t="s">
        <v>52</v>
      </c>
      <c r="AE247" s="16" t="s">
        <v>1903</v>
      </c>
      <c r="AF247" s="16"/>
      <c r="AG247" s="16"/>
      <c r="AH247" s="16"/>
      <c r="AI247" s="16">
        <v>13038</v>
      </c>
      <c r="AJ247" s="16"/>
      <c r="AK247" s="16"/>
      <c r="AL247" s="16"/>
      <c r="AM247" s="16"/>
      <c r="AN247" s="16"/>
      <c r="AO247" s="16"/>
      <c r="AP247" s="16"/>
      <c r="AR247" s="88"/>
      <c r="AS247" s="88"/>
      <c r="AU247" s="12" t="s">
        <v>1931</v>
      </c>
      <c r="AV247" s="19"/>
      <c r="AW247" s="39">
        <v>90</v>
      </c>
      <c r="AY247" s="33"/>
      <c r="AZ247" s="33"/>
      <c r="BA247" s="33"/>
    </row>
    <row r="248" spans="1:53" ht="12" customHeight="1" x14ac:dyDescent="0.2">
      <c r="A248" s="10" t="s">
        <v>2279</v>
      </c>
      <c r="B248" s="39">
        <v>102039</v>
      </c>
      <c r="C248" s="42" t="s">
        <v>3181</v>
      </c>
      <c r="D248" s="10" t="s">
        <v>2943</v>
      </c>
      <c r="E248" s="14" t="s">
        <v>1901</v>
      </c>
      <c r="F248" s="1" t="s">
        <v>394</v>
      </c>
      <c r="G248" s="1" t="s">
        <v>2304</v>
      </c>
      <c r="H248" s="1"/>
      <c r="I248" s="1">
        <v>39</v>
      </c>
      <c r="J248" s="1"/>
      <c r="K248" s="1"/>
      <c r="L248" s="1"/>
      <c r="M248" s="1"/>
      <c r="O248" s="16" t="s">
        <v>367</v>
      </c>
      <c r="P248" s="1">
        <v>1</v>
      </c>
      <c r="Q248" s="15"/>
      <c r="R248" s="15"/>
      <c r="S248" s="15"/>
      <c r="T248" s="15"/>
      <c r="U248" s="15"/>
      <c r="V248" s="1"/>
      <c r="W248" s="1"/>
      <c r="X248" s="1"/>
      <c r="Y248" s="15">
        <v>13800</v>
      </c>
      <c r="Z248" s="15"/>
      <c r="AA248" s="15"/>
      <c r="AB248" s="17"/>
      <c r="AC248" s="82"/>
      <c r="AD248" s="16" t="s">
        <v>52</v>
      </c>
      <c r="AE248" s="16" t="s">
        <v>1903</v>
      </c>
      <c r="AF248" s="16"/>
      <c r="AG248" s="16"/>
      <c r="AH248" s="16"/>
      <c r="AI248" s="16">
        <v>13039</v>
      </c>
      <c r="AJ248" s="16"/>
      <c r="AK248" s="16"/>
      <c r="AL248" s="16"/>
      <c r="AM248" s="16"/>
      <c r="AN248" s="16"/>
      <c r="AO248" s="16"/>
      <c r="AP248" s="16"/>
      <c r="AR248" s="88"/>
      <c r="AS248" s="88"/>
      <c r="AU248" s="12" t="s">
        <v>1931</v>
      </c>
      <c r="AV248" s="19"/>
      <c r="AW248" s="39">
        <v>90</v>
      </c>
      <c r="AY248" s="33"/>
      <c r="AZ248" s="33"/>
      <c r="BA248" s="33"/>
    </row>
    <row r="249" spans="1:53" ht="12" customHeight="1" x14ac:dyDescent="0.2">
      <c r="A249" s="10" t="s">
        <v>2280</v>
      </c>
      <c r="B249" s="39">
        <v>102040</v>
      </c>
      <c r="C249" s="42" t="s">
        <v>3182</v>
      </c>
      <c r="D249" s="10" t="s">
        <v>2943</v>
      </c>
      <c r="E249" s="14" t="s">
        <v>1901</v>
      </c>
      <c r="F249" s="1" t="s">
        <v>89</v>
      </c>
      <c r="G249" s="1" t="s">
        <v>2304</v>
      </c>
      <c r="H249" s="1"/>
      <c r="I249" s="1">
        <v>40</v>
      </c>
      <c r="J249" s="1"/>
      <c r="K249" s="1"/>
      <c r="L249" s="1"/>
      <c r="M249" s="1"/>
      <c r="O249" s="16" t="s">
        <v>367</v>
      </c>
      <c r="P249" s="1">
        <v>1</v>
      </c>
      <c r="Q249" s="15"/>
      <c r="R249" s="15"/>
      <c r="S249" s="15"/>
      <c r="T249" s="15"/>
      <c r="U249" s="15"/>
      <c r="V249" s="1"/>
      <c r="W249" s="1"/>
      <c r="X249" s="1"/>
      <c r="Y249" s="15">
        <v>13800</v>
      </c>
      <c r="Z249" s="15"/>
      <c r="AA249" s="15"/>
      <c r="AB249" s="17"/>
      <c r="AC249" s="82"/>
      <c r="AD249" s="16" t="s">
        <v>52</v>
      </c>
      <c r="AE249" s="16" t="s">
        <v>1903</v>
      </c>
      <c r="AF249" s="16"/>
      <c r="AG249" s="16"/>
      <c r="AH249" s="16"/>
      <c r="AI249" s="16">
        <v>13040</v>
      </c>
      <c r="AJ249" s="16"/>
      <c r="AK249" s="16"/>
      <c r="AL249" s="16"/>
      <c r="AM249" s="16"/>
      <c r="AN249" s="16"/>
      <c r="AO249" s="16"/>
      <c r="AP249" s="16"/>
      <c r="AR249" s="88"/>
      <c r="AS249" s="88"/>
      <c r="AU249" s="12" t="s">
        <v>1931</v>
      </c>
      <c r="AV249" s="19"/>
      <c r="AW249" s="39">
        <v>90</v>
      </c>
      <c r="AY249" s="33"/>
      <c r="AZ249" s="33"/>
      <c r="BA249" s="33"/>
    </row>
    <row r="250" spans="1:53" ht="12" customHeight="1" x14ac:dyDescent="0.2">
      <c r="A250" s="10" t="s">
        <v>2281</v>
      </c>
      <c r="B250" s="39">
        <v>102041</v>
      </c>
      <c r="C250" s="42" t="s">
        <v>3183</v>
      </c>
      <c r="D250" s="10" t="s">
        <v>2943</v>
      </c>
      <c r="E250" s="14" t="s">
        <v>1901</v>
      </c>
      <c r="F250" s="1" t="s">
        <v>394</v>
      </c>
      <c r="G250" s="1" t="s">
        <v>2304</v>
      </c>
      <c r="H250" s="1"/>
      <c r="I250" s="1">
        <v>41</v>
      </c>
      <c r="J250" s="1"/>
      <c r="K250" s="1"/>
      <c r="L250" s="1"/>
      <c r="M250" s="1"/>
      <c r="O250" s="16" t="s">
        <v>367</v>
      </c>
      <c r="P250" s="1">
        <v>1</v>
      </c>
      <c r="Q250" s="15"/>
      <c r="R250" s="15"/>
      <c r="S250" s="15"/>
      <c r="T250" s="15"/>
      <c r="U250" s="15"/>
      <c r="V250" s="1"/>
      <c r="W250" s="1"/>
      <c r="X250" s="1"/>
      <c r="Y250" s="15">
        <v>13800</v>
      </c>
      <c r="Z250" s="15"/>
      <c r="AA250" s="15"/>
      <c r="AB250" s="17"/>
      <c r="AC250" s="82"/>
      <c r="AD250" s="16" t="s">
        <v>52</v>
      </c>
      <c r="AE250" s="16" t="s">
        <v>1903</v>
      </c>
      <c r="AF250" s="16"/>
      <c r="AG250" s="16"/>
      <c r="AH250" s="16"/>
      <c r="AI250" s="16">
        <v>13041</v>
      </c>
      <c r="AJ250" s="16"/>
      <c r="AK250" s="16"/>
      <c r="AL250" s="16"/>
      <c r="AM250" s="16"/>
      <c r="AN250" s="16"/>
      <c r="AO250" s="16"/>
      <c r="AP250" s="16"/>
      <c r="AR250" s="88"/>
      <c r="AS250" s="88"/>
      <c r="AU250" s="12" t="s">
        <v>1931</v>
      </c>
      <c r="AV250" s="19"/>
      <c r="AW250" s="39">
        <v>90</v>
      </c>
      <c r="AY250" s="33"/>
      <c r="AZ250" s="33"/>
      <c r="BA250" s="33"/>
    </row>
    <row r="251" spans="1:53" ht="12" customHeight="1" x14ac:dyDescent="0.2">
      <c r="A251" s="10" t="s">
        <v>2282</v>
      </c>
      <c r="B251" s="39">
        <v>102042</v>
      </c>
      <c r="C251" s="42" t="s">
        <v>3184</v>
      </c>
      <c r="D251" s="10" t="s">
        <v>2943</v>
      </c>
      <c r="E251" s="14" t="s">
        <v>1901</v>
      </c>
      <c r="F251" s="1" t="s">
        <v>91</v>
      </c>
      <c r="G251" s="1" t="s">
        <v>2304</v>
      </c>
      <c r="H251" s="1"/>
      <c r="I251" s="1">
        <v>42</v>
      </c>
      <c r="J251" s="1"/>
      <c r="K251" s="1"/>
      <c r="L251" s="1"/>
      <c r="M251" s="1"/>
      <c r="O251" s="16" t="s">
        <v>367</v>
      </c>
      <c r="P251" s="1">
        <v>1</v>
      </c>
      <c r="Q251" s="15"/>
      <c r="R251" s="15"/>
      <c r="S251" s="15"/>
      <c r="T251" s="15"/>
      <c r="U251" s="15"/>
      <c r="V251" s="1"/>
      <c r="W251" s="1"/>
      <c r="X251" s="1"/>
      <c r="Y251" s="15">
        <v>13800</v>
      </c>
      <c r="Z251" s="15"/>
      <c r="AA251" s="15"/>
      <c r="AB251" s="17"/>
      <c r="AC251" s="82"/>
      <c r="AD251" s="16" t="s">
        <v>52</v>
      </c>
      <c r="AE251" s="16" t="s">
        <v>1903</v>
      </c>
      <c r="AF251" s="16"/>
      <c r="AG251" s="16"/>
      <c r="AH251" s="16"/>
      <c r="AI251" s="16">
        <v>13042</v>
      </c>
      <c r="AJ251" s="16"/>
      <c r="AK251" s="16"/>
      <c r="AL251" s="16"/>
      <c r="AM251" s="16"/>
      <c r="AN251" s="16"/>
      <c r="AO251" s="16"/>
      <c r="AP251" s="16"/>
      <c r="AR251" s="88"/>
      <c r="AS251" s="88"/>
      <c r="AU251" s="12" t="s">
        <v>1931</v>
      </c>
      <c r="AV251" s="19"/>
      <c r="AW251" s="39">
        <v>90</v>
      </c>
      <c r="AY251" s="33"/>
      <c r="AZ251" s="33"/>
      <c r="BA251" s="33"/>
    </row>
    <row r="252" spans="1:53" ht="12" customHeight="1" x14ac:dyDescent="0.2">
      <c r="A252" s="10" t="s">
        <v>2283</v>
      </c>
      <c r="B252" s="39">
        <v>102043</v>
      </c>
      <c r="C252" s="42" t="s">
        <v>3185</v>
      </c>
      <c r="D252" s="10" t="s">
        <v>2943</v>
      </c>
      <c r="E252" s="14" t="s">
        <v>1901</v>
      </c>
      <c r="F252" s="1" t="s">
        <v>89</v>
      </c>
      <c r="G252" s="1" t="s">
        <v>2304</v>
      </c>
      <c r="H252" s="1"/>
      <c r="I252" s="1">
        <v>43</v>
      </c>
      <c r="J252" s="1"/>
      <c r="K252" s="1"/>
      <c r="L252" s="1"/>
      <c r="M252" s="1"/>
      <c r="O252" s="16" t="s">
        <v>367</v>
      </c>
      <c r="P252" s="1">
        <v>1</v>
      </c>
      <c r="Q252" s="15"/>
      <c r="R252" s="15"/>
      <c r="S252" s="15"/>
      <c r="T252" s="15"/>
      <c r="U252" s="15"/>
      <c r="V252" s="1"/>
      <c r="W252" s="1"/>
      <c r="X252" s="1"/>
      <c r="Y252" s="15">
        <v>13800</v>
      </c>
      <c r="Z252" s="15"/>
      <c r="AA252" s="15"/>
      <c r="AB252" s="17"/>
      <c r="AC252" s="82"/>
      <c r="AD252" s="16" t="s">
        <v>52</v>
      </c>
      <c r="AE252" s="16" t="s">
        <v>1903</v>
      </c>
      <c r="AF252" s="16"/>
      <c r="AG252" s="16"/>
      <c r="AH252" s="16"/>
      <c r="AI252" s="16">
        <v>13043</v>
      </c>
      <c r="AJ252" s="16"/>
      <c r="AK252" s="16"/>
      <c r="AL252" s="16"/>
      <c r="AM252" s="16"/>
      <c r="AN252" s="16"/>
      <c r="AO252" s="16"/>
      <c r="AP252" s="16"/>
      <c r="AR252" s="88"/>
      <c r="AS252" s="88"/>
      <c r="AU252" s="12" t="s">
        <v>1931</v>
      </c>
      <c r="AV252" s="19"/>
      <c r="AW252" s="39">
        <v>90</v>
      </c>
      <c r="AY252" s="33"/>
      <c r="AZ252" s="33"/>
      <c r="BA252" s="33"/>
    </row>
    <row r="253" spans="1:53" ht="12" customHeight="1" x14ac:dyDescent="0.2">
      <c r="A253" s="10" t="s">
        <v>2284</v>
      </c>
      <c r="B253" s="39">
        <v>102044</v>
      </c>
      <c r="C253" s="42" t="s">
        <v>3186</v>
      </c>
      <c r="D253" s="10" t="s">
        <v>2943</v>
      </c>
      <c r="E253" s="14" t="s">
        <v>1901</v>
      </c>
      <c r="F253" s="1" t="s">
        <v>89</v>
      </c>
      <c r="G253" s="1" t="s">
        <v>2304</v>
      </c>
      <c r="H253" s="1"/>
      <c r="I253" s="1">
        <v>44</v>
      </c>
      <c r="J253" s="1"/>
      <c r="K253" s="1"/>
      <c r="L253" s="1"/>
      <c r="M253" s="1"/>
      <c r="O253" s="16" t="s">
        <v>367</v>
      </c>
      <c r="P253" s="1">
        <v>1</v>
      </c>
      <c r="Q253" s="15"/>
      <c r="R253" s="15"/>
      <c r="S253" s="15"/>
      <c r="T253" s="15"/>
      <c r="U253" s="15"/>
      <c r="V253" s="1"/>
      <c r="W253" s="1"/>
      <c r="X253" s="1"/>
      <c r="Y253" s="15">
        <v>13800</v>
      </c>
      <c r="Z253" s="15"/>
      <c r="AA253" s="15"/>
      <c r="AB253" s="17"/>
      <c r="AC253" s="82"/>
      <c r="AD253" s="16" t="s">
        <v>52</v>
      </c>
      <c r="AE253" s="16" t="s">
        <v>1903</v>
      </c>
      <c r="AF253" s="16"/>
      <c r="AG253" s="16"/>
      <c r="AH253" s="16"/>
      <c r="AI253" s="16">
        <v>13044</v>
      </c>
      <c r="AJ253" s="16"/>
      <c r="AK253" s="16"/>
      <c r="AL253" s="16"/>
      <c r="AM253" s="16"/>
      <c r="AN253" s="16"/>
      <c r="AO253" s="16"/>
      <c r="AP253" s="16"/>
      <c r="AR253" s="88"/>
      <c r="AS253" s="88"/>
      <c r="AU253" s="12" t="s">
        <v>1931</v>
      </c>
      <c r="AV253" s="19"/>
      <c r="AW253" s="39">
        <v>90</v>
      </c>
      <c r="AY253" s="33"/>
      <c r="AZ253" s="33"/>
      <c r="BA253" s="33"/>
    </row>
    <row r="254" spans="1:53" ht="12" customHeight="1" x14ac:dyDescent="0.2">
      <c r="A254" s="10" t="s">
        <v>2285</v>
      </c>
      <c r="B254" s="39">
        <v>102045</v>
      </c>
      <c r="C254" s="42" t="s">
        <v>3187</v>
      </c>
      <c r="D254" s="10" t="s">
        <v>2943</v>
      </c>
      <c r="E254" s="14" t="s">
        <v>1901</v>
      </c>
      <c r="F254" s="1" t="s">
        <v>90</v>
      </c>
      <c r="G254" s="1" t="s">
        <v>2304</v>
      </c>
      <c r="H254" s="1"/>
      <c r="I254" s="1">
        <v>45</v>
      </c>
      <c r="J254" s="1"/>
      <c r="K254" s="1"/>
      <c r="L254" s="1"/>
      <c r="M254" s="1"/>
      <c r="O254" s="16" t="s">
        <v>367</v>
      </c>
      <c r="P254" s="1">
        <v>1</v>
      </c>
      <c r="Q254" s="15"/>
      <c r="R254" s="15"/>
      <c r="S254" s="15"/>
      <c r="T254" s="15"/>
      <c r="U254" s="15"/>
      <c r="V254" s="1"/>
      <c r="W254" s="1"/>
      <c r="X254" s="1"/>
      <c r="Y254" s="15">
        <v>13800</v>
      </c>
      <c r="Z254" s="15"/>
      <c r="AA254" s="15"/>
      <c r="AB254" s="17"/>
      <c r="AC254" s="82"/>
      <c r="AD254" s="16" t="s">
        <v>52</v>
      </c>
      <c r="AE254" s="16" t="s">
        <v>1903</v>
      </c>
      <c r="AF254" s="16"/>
      <c r="AG254" s="16"/>
      <c r="AH254" s="16"/>
      <c r="AI254" s="16">
        <v>13045</v>
      </c>
      <c r="AJ254" s="16"/>
      <c r="AK254" s="16"/>
      <c r="AL254" s="16"/>
      <c r="AM254" s="16"/>
      <c r="AN254" s="16"/>
      <c r="AO254" s="16"/>
      <c r="AP254" s="16"/>
      <c r="AR254" s="88"/>
      <c r="AS254" s="88"/>
      <c r="AU254" s="12" t="s">
        <v>1931</v>
      </c>
      <c r="AV254" s="19"/>
      <c r="AW254" s="39">
        <v>90</v>
      </c>
      <c r="AY254" s="33"/>
      <c r="AZ254" s="33"/>
      <c r="BA254" s="33"/>
    </row>
    <row r="255" spans="1:53" ht="12" customHeight="1" x14ac:dyDescent="0.2">
      <c r="A255" s="10" t="s">
        <v>2312</v>
      </c>
      <c r="B255" s="39">
        <v>102046</v>
      </c>
      <c r="C255" s="42" t="s">
        <v>3188</v>
      </c>
      <c r="D255" s="10" t="s">
        <v>2943</v>
      </c>
      <c r="E255" s="14" t="s">
        <v>1901</v>
      </c>
      <c r="F255" s="1" t="s">
        <v>90</v>
      </c>
      <c r="G255" s="1" t="s">
        <v>2304</v>
      </c>
      <c r="H255" s="1"/>
      <c r="I255" s="1">
        <v>46</v>
      </c>
      <c r="J255" s="1"/>
      <c r="K255" s="1"/>
      <c r="L255" s="1"/>
      <c r="M255" s="1"/>
      <c r="O255" s="16" t="s">
        <v>367</v>
      </c>
      <c r="P255" s="1">
        <v>1</v>
      </c>
      <c r="Q255" s="15"/>
      <c r="R255" s="15"/>
      <c r="S255" s="15"/>
      <c r="T255" s="15"/>
      <c r="U255" s="15"/>
      <c r="V255" s="1"/>
      <c r="W255" s="1"/>
      <c r="X255" s="1"/>
      <c r="Y255" s="15">
        <v>13800</v>
      </c>
      <c r="Z255" s="15"/>
      <c r="AA255" s="15"/>
      <c r="AB255" s="17"/>
      <c r="AC255" s="82"/>
      <c r="AD255" s="16" t="s">
        <v>52</v>
      </c>
      <c r="AE255" s="16" t="s">
        <v>1903</v>
      </c>
      <c r="AF255" s="16"/>
      <c r="AG255" s="16"/>
      <c r="AH255" s="16"/>
      <c r="AI255" s="16" t="s">
        <v>2322</v>
      </c>
      <c r="AJ255" s="16"/>
      <c r="AK255" s="16"/>
      <c r="AL255" s="16"/>
      <c r="AM255" s="16"/>
      <c r="AN255" s="16"/>
      <c r="AO255" s="16"/>
      <c r="AP255" s="16"/>
      <c r="AR255" s="88"/>
      <c r="AS255" s="88"/>
      <c r="AU255" s="12" t="s">
        <v>1931</v>
      </c>
      <c r="AV255" s="19"/>
      <c r="AW255" s="39">
        <v>90</v>
      </c>
      <c r="AY255" s="33"/>
      <c r="AZ255" s="33"/>
      <c r="BA255" s="33"/>
    </row>
    <row r="256" spans="1:53" ht="12" customHeight="1" x14ac:dyDescent="0.2">
      <c r="A256" s="10" t="s">
        <v>2813</v>
      </c>
      <c r="B256" s="39">
        <v>102047</v>
      </c>
      <c r="C256" s="42" t="s">
        <v>3189</v>
      </c>
      <c r="D256" s="10" t="s">
        <v>2943</v>
      </c>
      <c r="E256" s="14" t="s">
        <v>1901</v>
      </c>
      <c r="F256" s="1" t="s">
        <v>90</v>
      </c>
      <c r="G256" s="1" t="s">
        <v>2304</v>
      </c>
      <c r="H256" s="1"/>
      <c r="I256" s="1">
        <v>47</v>
      </c>
      <c r="J256" s="1"/>
      <c r="K256" s="1"/>
      <c r="L256" s="1"/>
      <c r="M256" s="1"/>
      <c r="O256" s="16" t="s">
        <v>367</v>
      </c>
      <c r="P256" s="1">
        <v>1</v>
      </c>
      <c r="Q256" s="15"/>
      <c r="R256" s="15"/>
      <c r="S256" s="15"/>
      <c r="T256" s="15"/>
      <c r="U256" s="15"/>
      <c r="V256" s="1"/>
      <c r="W256" s="1"/>
      <c r="X256" s="1"/>
      <c r="Y256" s="15">
        <v>13800</v>
      </c>
      <c r="Z256" s="15"/>
      <c r="AA256" s="15"/>
      <c r="AB256" s="17"/>
      <c r="AC256" s="82"/>
      <c r="AD256" s="16" t="s">
        <v>52</v>
      </c>
      <c r="AE256" s="16" t="s">
        <v>1903</v>
      </c>
      <c r="AF256" s="16"/>
      <c r="AG256" s="16"/>
      <c r="AH256" s="16"/>
      <c r="AI256" s="16" t="s">
        <v>2814</v>
      </c>
      <c r="AJ256" s="16"/>
      <c r="AK256" s="16"/>
      <c r="AL256" s="16"/>
      <c r="AM256" s="16"/>
      <c r="AN256" s="16"/>
      <c r="AO256" s="16"/>
      <c r="AP256" s="16"/>
      <c r="AR256" s="88"/>
      <c r="AS256" s="88"/>
      <c r="AU256" s="12" t="s">
        <v>1931</v>
      </c>
      <c r="AV256" s="19"/>
      <c r="AW256" s="39">
        <v>90</v>
      </c>
      <c r="AY256" s="33"/>
      <c r="AZ256" s="33"/>
      <c r="BA256" s="33"/>
    </row>
    <row r="257" spans="1:53" ht="12" customHeight="1" x14ac:dyDescent="0.2">
      <c r="A257" s="10" t="s">
        <v>2893</v>
      </c>
      <c r="B257" s="39">
        <v>102048</v>
      </c>
      <c r="C257" s="42" t="s">
        <v>3190</v>
      </c>
      <c r="D257" s="10" t="s">
        <v>2943</v>
      </c>
      <c r="E257" s="14" t="s">
        <v>1901</v>
      </c>
      <c r="F257" s="1" t="s">
        <v>394</v>
      </c>
      <c r="G257" s="1" t="s">
        <v>2304</v>
      </c>
      <c r="H257" s="1"/>
      <c r="I257" s="1">
        <v>48</v>
      </c>
      <c r="J257" s="1"/>
      <c r="K257" s="1"/>
      <c r="L257" s="1"/>
      <c r="M257" s="1"/>
      <c r="O257" s="16" t="s">
        <v>367</v>
      </c>
      <c r="P257" s="1">
        <v>1</v>
      </c>
      <c r="Q257" s="15"/>
      <c r="R257" s="15"/>
      <c r="S257" s="15"/>
      <c r="T257" s="15"/>
      <c r="U257" s="15"/>
      <c r="V257" s="1"/>
      <c r="W257" s="1"/>
      <c r="X257" s="1"/>
      <c r="Y257" s="15">
        <v>13800</v>
      </c>
      <c r="Z257" s="15"/>
      <c r="AA257" s="15"/>
      <c r="AB257" s="17"/>
      <c r="AC257" s="82"/>
      <c r="AD257" s="16" t="s">
        <v>52</v>
      </c>
      <c r="AE257" s="16" t="s">
        <v>1903</v>
      </c>
      <c r="AF257" s="16"/>
      <c r="AG257" s="16"/>
      <c r="AH257" s="16"/>
      <c r="AI257" s="16" t="s">
        <v>2894</v>
      </c>
      <c r="AJ257" s="16"/>
      <c r="AK257" s="16"/>
      <c r="AL257" s="16"/>
      <c r="AM257" s="16"/>
      <c r="AN257" s="16"/>
      <c r="AO257" s="16"/>
      <c r="AP257" s="16"/>
      <c r="AR257" s="88"/>
      <c r="AS257" s="88"/>
      <c r="AU257" s="12" t="s">
        <v>1931</v>
      </c>
      <c r="AV257" s="19"/>
      <c r="AW257" s="39">
        <v>90</v>
      </c>
      <c r="AY257" s="33"/>
      <c r="AZ257" s="33"/>
      <c r="BA257" s="33"/>
    </row>
    <row r="258" spans="1:53" ht="12" customHeight="1" x14ac:dyDescent="0.2">
      <c r="A258" s="10" t="s">
        <v>2286</v>
      </c>
      <c r="B258" s="39">
        <v>102049</v>
      </c>
      <c r="C258" s="42" t="s">
        <v>3191</v>
      </c>
      <c r="D258" s="10" t="s">
        <v>2943</v>
      </c>
      <c r="E258" s="14" t="s">
        <v>1901</v>
      </c>
      <c r="F258" s="1" t="s">
        <v>395</v>
      </c>
      <c r="G258" s="1" t="s">
        <v>2304</v>
      </c>
      <c r="H258" s="1"/>
      <c r="I258" s="1">
        <v>49</v>
      </c>
      <c r="J258" s="1"/>
      <c r="K258" s="1"/>
      <c r="L258" s="1"/>
      <c r="M258" s="1"/>
      <c r="O258" s="16" t="s">
        <v>367</v>
      </c>
      <c r="P258" s="1">
        <v>1</v>
      </c>
      <c r="Q258" s="15"/>
      <c r="R258" s="15"/>
      <c r="S258" s="15"/>
      <c r="T258" s="15"/>
      <c r="U258" s="15"/>
      <c r="V258" s="1"/>
      <c r="W258" s="1"/>
      <c r="X258" s="1"/>
      <c r="Y258" s="15">
        <v>13800</v>
      </c>
      <c r="Z258" s="15"/>
      <c r="AA258" s="15"/>
      <c r="AB258" s="17"/>
      <c r="AC258" s="82"/>
      <c r="AD258" s="16" t="s">
        <v>52</v>
      </c>
      <c r="AE258" s="16" t="s">
        <v>1903</v>
      </c>
      <c r="AF258" s="16"/>
      <c r="AG258" s="16"/>
      <c r="AH258" s="16"/>
      <c r="AI258" s="16">
        <v>13049</v>
      </c>
      <c r="AJ258" s="16"/>
      <c r="AK258" s="16"/>
      <c r="AL258" s="16"/>
      <c r="AM258" s="16"/>
      <c r="AN258" s="16"/>
      <c r="AO258" s="16"/>
      <c r="AP258" s="16"/>
      <c r="AR258" s="88"/>
      <c r="AS258" s="88"/>
      <c r="AU258" s="12" t="s">
        <v>1931</v>
      </c>
      <c r="AV258" s="19"/>
      <c r="AW258" s="39">
        <v>90</v>
      </c>
      <c r="AY258" s="33"/>
      <c r="AZ258" s="33"/>
      <c r="BA258" s="33"/>
    </row>
    <row r="259" spans="1:53" ht="12" customHeight="1" x14ac:dyDescent="0.2">
      <c r="A259" s="10" t="s">
        <v>2287</v>
      </c>
      <c r="B259" s="39">
        <v>102050</v>
      </c>
      <c r="C259" s="42" t="s">
        <v>3192</v>
      </c>
      <c r="D259" s="10" t="s">
        <v>2943</v>
      </c>
      <c r="E259" s="14" t="s">
        <v>1901</v>
      </c>
      <c r="F259" s="1" t="s">
        <v>90</v>
      </c>
      <c r="G259" s="1" t="s">
        <v>2304</v>
      </c>
      <c r="H259" s="1"/>
      <c r="I259" s="1">
        <v>50</v>
      </c>
      <c r="J259" s="1"/>
      <c r="K259" s="1"/>
      <c r="L259" s="1"/>
      <c r="M259" s="1"/>
      <c r="O259" s="16" t="s">
        <v>367</v>
      </c>
      <c r="P259" s="1">
        <v>1</v>
      </c>
      <c r="Q259" s="15"/>
      <c r="R259" s="15"/>
      <c r="S259" s="15"/>
      <c r="T259" s="15"/>
      <c r="U259" s="15"/>
      <c r="V259" s="1"/>
      <c r="W259" s="1"/>
      <c r="X259" s="1"/>
      <c r="Y259" s="15">
        <v>13800</v>
      </c>
      <c r="Z259" s="15"/>
      <c r="AA259" s="15"/>
      <c r="AB259" s="17"/>
      <c r="AC259" s="82"/>
      <c r="AD259" s="16" t="s">
        <v>52</v>
      </c>
      <c r="AE259" s="16" t="s">
        <v>1903</v>
      </c>
      <c r="AF259" s="16"/>
      <c r="AG259" s="16"/>
      <c r="AH259" s="16"/>
      <c r="AI259" s="16">
        <v>13050</v>
      </c>
      <c r="AJ259" s="16"/>
      <c r="AK259" s="16"/>
      <c r="AL259" s="16"/>
      <c r="AM259" s="16"/>
      <c r="AN259" s="16"/>
      <c r="AO259" s="16"/>
      <c r="AP259" s="16"/>
      <c r="AR259" s="88"/>
      <c r="AS259" s="88"/>
      <c r="AU259" s="12" t="s">
        <v>1931</v>
      </c>
      <c r="AV259" s="19"/>
      <c r="AW259" s="39">
        <v>90</v>
      </c>
      <c r="AY259" s="33"/>
      <c r="AZ259" s="33"/>
      <c r="BA259" s="33"/>
    </row>
    <row r="260" spans="1:53" ht="12" customHeight="1" x14ac:dyDescent="0.2">
      <c r="A260" s="10" t="s">
        <v>2288</v>
      </c>
      <c r="B260" s="39">
        <v>102051</v>
      </c>
      <c r="C260" s="42" t="s">
        <v>3193</v>
      </c>
      <c r="D260" s="10" t="s">
        <v>2943</v>
      </c>
      <c r="E260" s="14" t="s">
        <v>1901</v>
      </c>
      <c r="F260" s="1" t="s">
        <v>88</v>
      </c>
      <c r="G260" s="1" t="s">
        <v>2304</v>
      </c>
      <c r="H260" s="1"/>
      <c r="I260" s="1">
        <v>51</v>
      </c>
      <c r="J260" s="1"/>
      <c r="K260" s="1"/>
      <c r="L260" s="1"/>
      <c r="M260" s="1"/>
      <c r="O260" s="16" t="s">
        <v>367</v>
      </c>
      <c r="P260" s="1">
        <v>1</v>
      </c>
      <c r="Q260" s="15"/>
      <c r="R260" s="15"/>
      <c r="S260" s="15"/>
      <c r="T260" s="15"/>
      <c r="U260" s="15"/>
      <c r="V260" s="1"/>
      <c r="W260" s="1"/>
      <c r="X260" s="1"/>
      <c r="Y260" s="15">
        <v>13800</v>
      </c>
      <c r="Z260" s="15"/>
      <c r="AA260" s="15"/>
      <c r="AB260" s="17"/>
      <c r="AC260" s="82"/>
      <c r="AD260" s="16" t="s">
        <v>52</v>
      </c>
      <c r="AE260" s="16" t="s">
        <v>1903</v>
      </c>
      <c r="AF260" s="16"/>
      <c r="AG260" s="16"/>
      <c r="AH260" s="16"/>
      <c r="AI260" s="16">
        <v>13051</v>
      </c>
      <c r="AJ260" s="16"/>
      <c r="AK260" s="16"/>
      <c r="AL260" s="16"/>
      <c r="AM260" s="16"/>
      <c r="AN260" s="16"/>
      <c r="AO260" s="16"/>
      <c r="AP260" s="16"/>
      <c r="AR260" s="88"/>
      <c r="AS260" s="88"/>
      <c r="AU260" s="12" t="s">
        <v>1931</v>
      </c>
      <c r="AV260" s="19"/>
      <c r="AW260" s="39">
        <v>90</v>
      </c>
      <c r="AY260" s="33"/>
      <c r="AZ260" s="33"/>
      <c r="BA260" s="33"/>
    </row>
    <row r="261" spans="1:53" ht="12" customHeight="1" x14ac:dyDescent="0.2">
      <c r="A261" s="10" t="s">
        <v>2289</v>
      </c>
      <c r="B261" s="39">
        <v>102052</v>
      </c>
      <c r="C261" s="42" t="s">
        <v>3194</v>
      </c>
      <c r="D261" s="10" t="s">
        <v>2943</v>
      </c>
      <c r="E261" s="14" t="s">
        <v>1901</v>
      </c>
      <c r="F261" s="1" t="s">
        <v>91</v>
      </c>
      <c r="G261" s="1" t="s">
        <v>2304</v>
      </c>
      <c r="H261" s="1"/>
      <c r="I261" s="1">
        <v>52</v>
      </c>
      <c r="J261" s="1"/>
      <c r="K261" s="1"/>
      <c r="L261" s="1"/>
      <c r="M261" s="1"/>
      <c r="O261" s="16" t="s">
        <v>367</v>
      </c>
      <c r="P261" s="1">
        <v>1</v>
      </c>
      <c r="Q261" s="15"/>
      <c r="R261" s="15"/>
      <c r="S261" s="15"/>
      <c r="T261" s="15"/>
      <c r="U261" s="15"/>
      <c r="V261" s="1"/>
      <c r="W261" s="1"/>
      <c r="X261" s="1"/>
      <c r="Y261" s="15">
        <v>13800</v>
      </c>
      <c r="Z261" s="15"/>
      <c r="AA261" s="15"/>
      <c r="AB261" s="17"/>
      <c r="AC261" s="82"/>
      <c r="AD261" s="16" t="s">
        <v>52</v>
      </c>
      <c r="AE261" s="16" t="s">
        <v>1903</v>
      </c>
      <c r="AF261" s="16"/>
      <c r="AG261" s="16"/>
      <c r="AH261" s="16"/>
      <c r="AI261" s="16">
        <v>13052</v>
      </c>
      <c r="AJ261" s="16"/>
      <c r="AK261" s="16"/>
      <c r="AL261" s="16"/>
      <c r="AM261" s="16"/>
      <c r="AN261" s="16"/>
      <c r="AO261" s="16"/>
      <c r="AP261" s="16"/>
      <c r="AR261" s="88"/>
      <c r="AS261" s="88"/>
      <c r="AU261" s="12" t="s">
        <v>1931</v>
      </c>
      <c r="AV261" s="19"/>
      <c r="AW261" s="39">
        <v>90</v>
      </c>
      <c r="AY261" s="33"/>
      <c r="AZ261" s="33"/>
      <c r="BA261" s="33"/>
    </row>
    <row r="262" spans="1:53" ht="12" customHeight="1" x14ac:dyDescent="0.2">
      <c r="A262" s="10" t="s">
        <v>2290</v>
      </c>
      <c r="B262" s="39">
        <v>102053</v>
      </c>
      <c r="C262" s="42" t="s">
        <v>3195</v>
      </c>
      <c r="D262" s="10" t="s">
        <v>2943</v>
      </c>
      <c r="E262" s="14" t="s">
        <v>1901</v>
      </c>
      <c r="F262" s="1" t="s">
        <v>90</v>
      </c>
      <c r="G262" s="1" t="s">
        <v>2304</v>
      </c>
      <c r="H262" s="1"/>
      <c r="I262" s="1">
        <v>53</v>
      </c>
      <c r="J262" s="1"/>
      <c r="K262" s="1"/>
      <c r="L262" s="1"/>
      <c r="M262" s="1"/>
      <c r="O262" s="16" t="s">
        <v>367</v>
      </c>
      <c r="P262" s="1">
        <v>1</v>
      </c>
      <c r="Q262" s="15"/>
      <c r="R262" s="15"/>
      <c r="S262" s="15"/>
      <c r="T262" s="15"/>
      <c r="U262" s="15"/>
      <c r="V262" s="1"/>
      <c r="W262" s="1"/>
      <c r="X262" s="1"/>
      <c r="Y262" s="15">
        <v>13800</v>
      </c>
      <c r="Z262" s="15"/>
      <c r="AA262" s="15"/>
      <c r="AB262" s="17"/>
      <c r="AC262" s="82"/>
      <c r="AD262" s="16" t="s">
        <v>52</v>
      </c>
      <c r="AE262" s="16" t="s">
        <v>1903</v>
      </c>
      <c r="AF262" s="16"/>
      <c r="AG262" s="16"/>
      <c r="AH262" s="16"/>
      <c r="AI262" s="16">
        <v>13053</v>
      </c>
      <c r="AJ262" s="16"/>
      <c r="AK262" s="16"/>
      <c r="AL262" s="16"/>
      <c r="AM262" s="16"/>
      <c r="AN262" s="16"/>
      <c r="AO262" s="16"/>
      <c r="AP262" s="16"/>
      <c r="AR262" s="88"/>
      <c r="AS262" s="88"/>
      <c r="AU262" s="12" t="s">
        <v>1931</v>
      </c>
      <c r="AV262" s="19"/>
      <c r="AW262" s="39">
        <v>90</v>
      </c>
      <c r="AY262" s="33"/>
      <c r="AZ262" s="33"/>
      <c r="BA262" s="33"/>
    </row>
    <row r="263" spans="1:53" ht="12" customHeight="1" x14ac:dyDescent="0.2">
      <c r="A263" s="10" t="s">
        <v>2499</v>
      </c>
      <c r="B263" s="39">
        <v>102054</v>
      </c>
      <c r="C263" s="42" t="s">
        <v>3196</v>
      </c>
      <c r="D263" s="10" t="s">
        <v>2943</v>
      </c>
      <c r="E263" s="14" t="s">
        <v>1901</v>
      </c>
      <c r="F263" s="1" t="s">
        <v>394</v>
      </c>
      <c r="G263" s="1" t="s">
        <v>2304</v>
      </c>
      <c r="H263" s="1"/>
      <c r="I263" s="1">
        <v>54</v>
      </c>
      <c r="J263" s="1"/>
      <c r="K263" s="1"/>
      <c r="L263" s="1"/>
      <c r="M263" s="1"/>
      <c r="O263" s="16" t="s">
        <v>367</v>
      </c>
      <c r="P263" s="1">
        <v>1</v>
      </c>
      <c r="Q263" s="15"/>
      <c r="R263" s="15"/>
      <c r="S263" s="15"/>
      <c r="T263" s="15"/>
      <c r="U263" s="15"/>
      <c r="V263" s="1"/>
      <c r="W263" s="1"/>
      <c r="X263" s="1"/>
      <c r="Y263" s="15">
        <v>13800</v>
      </c>
      <c r="Z263" s="15"/>
      <c r="AA263" s="15"/>
      <c r="AB263" s="17"/>
      <c r="AC263" s="82"/>
      <c r="AD263" s="16" t="s">
        <v>52</v>
      </c>
      <c r="AE263" s="16" t="s">
        <v>1903</v>
      </c>
      <c r="AF263" s="16"/>
      <c r="AG263" s="16"/>
      <c r="AH263" s="16"/>
      <c r="AI263" s="16">
        <v>13054</v>
      </c>
      <c r="AJ263" s="16"/>
      <c r="AK263" s="16"/>
      <c r="AL263" s="16"/>
      <c r="AM263" s="16"/>
      <c r="AN263" s="16"/>
      <c r="AO263" s="16"/>
      <c r="AP263" s="16"/>
      <c r="AR263" s="88"/>
      <c r="AS263" s="88"/>
      <c r="AU263" s="12" t="s">
        <v>1931</v>
      </c>
      <c r="AV263" s="19"/>
      <c r="AW263" s="39">
        <v>90</v>
      </c>
      <c r="AY263" s="33"/>
      <c r="AZ263" s="33"/>
      <c r="BA263" s="33"/>
    </row>
    <row r="264" spans="1:53" ht="12" customHeight="1" x14ac:dyDescent="0.2">
      <c r="A264" s="10" t="s">
        <v>2350</v>
      </c>
      <c r="B264" s="39">
        <v>102055</v>
      </c>
      <c r="C264" s="42" t="s">
        <v>3197</v>
      </c>
      <c r="D264" s="10" t="s">
        <v>2943</v>
      </c>
      <c r="E264" s="14" t="s">
        <v>1901</v>
      </c>
      <c r="F264" s="1" t="s">
        <v>89</v>
      </c>
      <c r="G264" s="1" t="s">
        <v>2304</v>
      </c>
      <c r="H264" s="1"/>
      <c r="I264" s="1">
        <v>55</v>
      </c>
      <c r="J264" s="1"/>
      <c r="K264" s="1"/>
      <c r="L264" s="1"/>
      <c r="M264" s="1"/>
      <c r="O264" s="16" t="s">
        <v>367</v>
      </c>
      <c r="P264" s="1">
        <v>1</v>
      </c>
      <c r="Q264" s="15"/>
      <c r="R264" s="15"/>
      <c r="S264" s="15"/>
      <c r="T264" s="15"/>
      <c r="U264" s="15"/>
      <c r="V264" s="1"/>
      <c r="W264" s="1"/>
      <c r="X264" s="1"/>
      <c r="Y264" s="15">
        <v>13800</v>
      </c>
      <c r="Z264" s="15"/>
      <c r="AA264" s="15"/>
      <c r="AB264" s="17"/>
      <c r="AC264" s="82"/>
      <c r="AD264" s="16" t="s">
        <v>52</v>
      </c>
      <c r="AE264" s="16" t="s">
        <v>1903</v>
      </c>
      <c r="AF264" s="16"/>
      <c r="AG264" s="16"/>
      <c r="AH264" s="16"/>
      <c r="AI264" s="16" t="s">
        <v>2351</v>
      </c>
      <c r="AJ264" s="16"/>
      <c r="AK264" s="16"/>
      <c r="AL264" s="16"/>
      <c r="AM264" s="16"/>
      <c r="AN264" s="16"/>
      <c r="AO264" s="16"/>
      <c r="AP264" s="16"/>
      <c r="AR264" s="88"/>
      <c r="AS264" s="88"/>
      <c r="AU264" s="12" t="s">
        <v>1931</v>
      </c>
      <c r="AV264" s="19"/>
      <c r="AW264" s="39">
        <v>90</v>
      </c>
      <c r="AY264" s="33"/>
      <c r="AZ264" s="33"/>
      <c r="BA264" s="33"/>
    </row>
    <row r="265" spans="1:53" ht="12" customHeight="1" x14ac:dyDescent="0.2">
      <c r="A265" s="10" t="s">
        <v>2338</v>
      </c>
      <c r="B265" s="39">
        <v>102056</v>
      </c>
      <c r="C265" s="42" t="s">
        <v>3198</v>
      </c>
      <c r="D265" s="10" t="s">
        <v>2943</v>
      </c>
      <c r="E265" s="14" t="s">
        <v>1901</v>
      </c>
      <c r="F265" s="1" t="s">
        <v>396</v>
      </c>
      <c r="G265" s="1" t="s">
        <v>2304</v>
      </c>
      <c r="H265" s="1"/>
      <c r="I265" s="1">
        <v>56</v>
      </c>
      <c r="J265" s="1"/>
      <c r="K265" s="1"/>
      <c r="L265" s="1"/>
      <c r="M265" s="1"/>
      <c r="O265" s="16" t="s">
        <v>367</v>
      </c>
      <c r="P265" s="1">
        <v>1</v>
      </c>
      <c r="Q265" s="15"/>
      <c r="R265" s="15"/>
      <c r="S265" s="15"/>
      <c r="T265" s="15"/>
      <c r="U265" s="15"/>
      <c r="V265" s="1"/>
      <c r="W265" s="1"/>
      <c r="X265" s="1"/>
      <c r="Y265" s="15">
        <v>13800</v>
      </c>
      <c r="Z265" s="15"/>
      <c r="AA265" s="15"/>
      <c r="AB265" s="17"/>
      <c r="AC265" s="82"/>
      <c r="AD265" s="16" t="s">
        <v>52</v>
      </c>
      <c r="AE265" s="16" t="s">
        <v>1903</v>
      </c>
      <c r="AF265" s="16"/>
      <c r="AG265" s="16"/>
      <c r="AH265" s="16"/>
      <c r="AI265" s="16">
        <v>13056</v>
      </c>
      <c r="AJ265" s="16"/>
      <c r="AK265" s="16"/>
      <c r="AL265" s="16"/>
      <c r="AM265" s="16"/>
      <c r="AN265" s="16"/>
      <c r="AO265" s="16"/>
      <c r="AP265" s="16"/>
      <c r="AR265" s="88"/>
      <c r="AS265" s="88"/>
      <c r="AU265" s="12" t="s">
        <v>1931</v>
      </c>
      <c r="AV265" s="19"/>
      <c r="AW265" s="39">
        <v>90</v>
      </c>
      <c r="AY265" s="33"/>
      <c r="AZ265" s="33"/>
      <c r="BA265" s="33"/>
    </row>
    <row r="266" spans="1:53" ht="12" customHeight="1" x14ac:dyDescent="0.2">
      <c r="A266" s="10" t="s">
        <v>2313</v>
      </c>
      <c r="B266" s="39">
        <v>102057</v>
      </c>
      <c r="C266" s="42" t="s">
        <v>3199</v>
      </c>
      <c r="D266" s="10" t="s">
        <v>2943</v>
      </c>
      <c r="E266" s="14" t="s">
        <v>1901</v>
      </c>
      <c r="F266" s="1" t="s">
        <v>395</v>
      </c>
      <c r="G266" s="1" t="s">
        <v>2304</v>
      </c>
      <c r="H266" s="1"/>
      <c r="I266" s="1">
        <v>57</v>
      </c>
      <c r="J266" s="1"/>
      <c r="K266" s="1"/>
      <c r="L266" s="1"/>
      <c r="M266" s="1"/>
      <c r="O266" s="16" t="s">
        <v>367</v>
      </c>
      <c r="P266" s="1">
        <v>1</v>
      </c>
      <c r="Q266" s="15"/>
      <c r="R266" s="15"/>
      <c r="S266" s="15"/>
      <c r="T266" s="15"/>
      <c r="U266" s="15"/>
      <c r="V266" s="1"/>
      <c r="W266" s="1"/>
      <c r="X266" s="1"/>
      <c r="Y266" s="15">
        <v>13800</v>
      </c>
      <c r="Z266" s="15"/>
      <c r="AA266" s="15"/>
      <c r="AB266" s="17"/>
      <c r="AC266" s="82"/>
      <c r="AD266" s="16" t="s">
        <v>52</v>
      </c>
      <c r="AE266" s="16" t="s">
        <v>1903</v>
      </c>
      <c r="AF266" s="16"/>
      <c r="AG266" s="16"/>
      <c r="AH266" s="16"/>
      <c r="AI266" s="16" t="s">
        <v>2317</v>
      </c>
      <c r="AJ266" s="16"/>
      <c r="AK266" s="16"/>
      <c r="AL266" s="16"/>
      <c r="AM266" s="16"/>
      <c r="AN266" s="16"/>
      <c r="AO266" s="16"/>
      <c r="AP266" s="16"/>
      <c r="AR266" s="88"/>
      <c r="AS266" s="88"/>
      <c r="AU266" s="12" t="s">
        <v>1931</v>
      </c>
      <c r="AV266" s="19"/>
      <c r="AW266" s="39">
        <v>90</v>
      </c>
      <c r="AY266" s="33"/>
      <c r="AZ266" s="33"/>
      <c r="BA266" s="33"/>
    </row>
    <row r="267" spans="1:53" ht="12" customHeight="1" x14ac:dyDescent="0.2">
      <c r="A267" s="10" t="s">
        <v>2314</v>
      </c>
      <c r="B267" s="39">
        <v>102058</v>
      </c>
      <c r="C267" s="42" t="s">
        <v>3200</v>
      </c>
      <c r="D267" s="10" t="s">
        <v>2943</v>
      </c>
      <c r="E267" s="14" t="s">
        <v>1901</v>
      </c>
      <c r="F267" s="1" t="s">
        <v>396</v>
      </c>
      <c r="G267" s="1" t="s">
        <v>2304</v>
      </c>
      <c r="H267" s="1"/>
      <c r="I267" s="1">
        <v>58</v>
      </c>
      <c r="J267" s="1"/>
      <c r="K267" s="1"/>
      <c r="L267" s="1"/>
      <c r="M267" s="1"/>
      <c r="O267" s="16" t="s">
        <v>367</v>
      </c>
      <c r="P267" s="1">
        <v>1</v>
      </c>
      <c r="Q267" s="15"/>
      <c r="R267" s="15"/>
      <c r="S267" s="15"/>
      <c r="T267" s="15"/>
      <c r="U267" s="15"/>
      <c r="V267" s="1"/>
      <c r="W267" s="1"/>
      <c r="X267" s="1"/>
      <c r="Y267" s="15">
        <v>13800</v>
      </c>
      <c r="Z267" s="15"/>
      <c r="AA267" s="15"/>
      <c r="AB267" s="17"/>
      <c r="AC267" s="82"/>
      <c r="AD267" s="16" t="s">
        <v>52</v>
      </c>
      <c r="AE267" s="16" t="s">
        <v>1903</v>
      </c>
      <c r="AF267" s="16"/>
      <c r="AG267" s="16"/>
      <c r="AH267" s="16"/>
      <c r="AI267" s="16" t="s">
        <v>2323</v>
      </c>
      <c r="AJ267" s="16"/>
      <c r="AK267" s="16"/>
      <c r="AL267" s="16"/>
      <c r="AM267" s="16"/>
      <c r="AN267" s="16"/>
      <c r="AO267" s="16"/>
      <c r="AP267" s="16"/>
      <c r="AR267" s="88"/>
      <c r="AS267" s="88"/>
      <c r="AU267" s="12" t="s">
        <v>1931</v>
      </c>
      <c r="AV267" s="19"/>
      <c r="AW267" s="39">
        <v>90</v>
      </c>
      <c r="AY267" s="33"/>
      <c r="AZ267" s="33"/>
      <c r="BA267" s="33"/>
    </row>
    <row r="268" spans="1:53" ht="12" customHeight="1" x14ac:dyDescent="0.2">
      <c r="A268" s="10" t="s">
        <v>2370</v>
      </c>
      <c r="B268" s="39">
        <v>102059</v>
      </c>
      <c r="C268" s="42" t="s">
        <v>3201</v>
      </c>
      <c r="D268" s="10" t="s">
        <v>2943</v>
      </c>
      <c r="E268" s="14" t="s">
        <v>1901</v>
      </c>
      <c r="F268" s="1" t="s">
        <v>394</v>
      </c>
      <c r="G268" s="1" t="s">
        <v>2304</v>
      </c>
      <c r="H268" s="1"/>
      <c r="I268" s="1">
        <v>59</v>
      </c>
      <c r="J268" s="1"/>
      <c r="K268" s="1"/>
      <c r="L268" s="1"/>
      <c r="M268" s="1"/>
      <c r="O268" s="16" t="s">
        <v>367</v>
      </c>
      <c r="P268" s="1">
        <v>1</v>
      </c>
      <c r="Q268" s="15"/>
      <c r="R268" s="15"/>
      <c r="S268" s="15"/>
      <c r="T268" s="15"/>
      <c r="U268" s="15"/>
      <c r="V268" s="1"/>
      <c r="W268" s="1"/>
      <c r="X268" s="1"/>
      <c r="Y268" s="15">
        <v>13800</v>
      </c>
      <c r="Z268" s="15"/>
      <c r="AA268" s="15"/>
      <c r="AB268" s="17"/>
      <c r="AC268" s="82"/>
      <c r="AD268" s="16" t="s">
        <v>52</v>
      </c>
      <c r="AE268" s="16" t="s">
        <v>1903</v>
      </c>
      <c r="AF268" s="16"/>
      <c r="AG268" s="16"/>
      <c r="AH268" s="16"/>
      <c r="AI268" s="16" t="s">
        <v>2371</v>
      </c>
      <c r="AJ268" s="16"/>
      <c r="AK268" s="16"/>
      <c r="AL268" s="16"/>
      <c r="AM268" s="16"/>
      <c r="AN268" s="16"/>
      <c r="AO268" s="16"/>
      <c r="AP268" s="16"/>
      <c r="AR268" s="88"/>
      <c r="AS268" s="88"/>
      <c r="AU268" s="12" t="s">
        <v>1931</v>
      </c>
      <c r="AV268" s="19"/>
      <c r="AW268" s="39">
        <v>90</v>
      </c>
      <c r="AY268" s="33"/>
      <c r="AZ268" s="33"/>
      <c r="BA268" s="33"/>
    </row>
    <row r="269" spans="1:53" ht="12" customHeight="1" x14ac:dyDescent="0.2">
      <c r="A269" s="10" t="s">
        <v>2372</v>
      </c>
      <c r="B269" s="39">
        <v>102060</v>
      </c>
      <c r="C269" s="42" t="s">
        <v>3202</v>
      </c>
      <c r="D269" s="10" t="s">
        <v>2943</v>
      </c>
      <c r="E269" s="14" t="s">
        <v>1901</v>
      </c>
      <c r="F269" s="1" t="s">
        <v>91</v>
      </c>
      <c r="G269" s="1" t="s">
        <v>2304</v>
      </c>
      <c r="H269" s="1"/>
      <c r="I269" s="1">
        <v>60</v>
      </c>
      <c r="J269" s="1"/>
      <c r="K269" s="1"/>
      <c r="L269" s="1"/>
      <c r="M269" s="1"/>
      <c r="O269" s="16" t="s">
        <v>367</v>
      </c>
      <c r="P269" s="1">
        <v>1</v>
      </c>
      <c r="Q269" s="15"/>
      <c r="R269" s="15"/>
      <c r="S269" s="15"/>
      <c r="T269" s="15"/>
      <c r="U269" s="15"/>
      <c r="V269" s="1"/>
      <c r="W269" s="1"/>
      <c r="X269" s="1"/>
      <c r="Y269" s="15">
        <v>13800</v>
      </c>
      <c r="Z269" s="15"/>
      <c r="AA269" s="15"/>
      <c r="AB269" s="17"/>
      <c r="AC269" s="82"/>
      <c r="AD269" s="16" t="s">
        <v>52</v>
      </c>
      <c r="AE269" s="16" t="s">
        <v>1903</v>
      </c>
      <c r="AF269" s="16"/>
      <c r="AG269" s="16"/>
      <c r="AH269" s="16"/>
      <c r="AI269" s="16" t="s">
        <v>2373</v>
      </c>
      <c r="AJ269" s="16"/>
      <c r="AK269" s="16"/>
      <c r="AL269" s="16"/>
      <c r="AM269" s="16"/>
      <c r="AN269" s="16"/>
      <c r="AO269" s="16"/>
      <c r="AP269" s="16"/>
      <c r="AR269" s="88"/>
      <c r="AS269" s="88"/>
      <c r="AU269" s="12" t="s">
        <v>1931</v>
      </c>
      <c r="AV269" s="19"/>
      <c r="AW269" s="39">
        <v>90</v>
      </c>
      <c r="AY269" s="33"/>
      <c r="AZ269" s="33"/>
      <c r="BA269" s="33"/>
    </row>
    <row r="270" spans="1:53" ht="12" customHeight="1" x14ac:dyDescent="0.2">
      <c r="A270" s="10" t="s">
        <v>2339</v>
      </c>
      <c r="B270" s="39">
        <v>102061</v>
      </c>
      <c r="C270" s="42" t="s">
        <v>3203</v>
      </c>
      <c r="D270" s="10" t="s">
        <v>2943</v>
      </c>
      <c r="E270" s="14" t="s">
        <v>1901</v>
      </c>
      <c r="F270" s="1" t="s">
        <v>88</v>
      </c>
      <c r="G270" s="1" t="s">
        <v>2304</v>
      </c>
      <c r="H270" s="1"/>
      <c r="I270" s="1">
        <v>61</v>
      </c>
      <c r="J270" s="1"/>
      <c r="K270" s="1"/>
      <c r="L270" s="1"/>
      <c r="M270" s="1"/>
      <c r="O270" s="16" t="s">
        <v>367</v>
      </c>
      <c r="P270" s="1">
        <v>1</v>
      </c>
      <c r="Q270" s="15"/>
      <c r="R270" s="15"/>
      <c r="S270" s="15"/>
      <c r="T270" s="15"/>
      <c r="U270" s="15"/>
      <c r="V270" s="1"/>
      <c r="W270" s="1"/>
      <c r="X270" s="1"/>
      <c r="Y270" s="15">
        <v>13800</v>
      </c>
      <c r="Z270" s="15"/>
      <c r="AA270" s="15"/>
      <c r="AB270" s="17"/>
      <c r="AC270" s="82"/>
      <c r="AD270" s="16" t="s">
        <v>52</v>
      </c>
      <c r="AE270" s="16" t="s">
        <v>1903</v>
      </c>
      <c r="AF270" s="16"/>
      <c r="AG270" s="16"/>
      <c r="AH270" s="16"/>
      <c r="AI270" s="16">
        <v>13061</v>
      </c>
      <c r="AJ270" s="16"/>
      <c r="AK270" s="16"/>
      <c r="AL270" s="16"/>
      <c r="AM270" s="16"/>
      <c r="AN270" s="16"/>
      <c r="AO270" s="16"/>
      <c r="AP270" s="16"/>
      <c r="AR270" s="88"/>
      <c r="AS270" s="88"/>
      <c r="AU270" s="12" t="s">
        <v>1931</v>
      </c>
      <c r="AV270" s="19"/>
      <c r="AW270" s="39">
        <v>90</v>
      </c>
      <c r="AY270" s="33"/>
      <c r="AZ270" s="33"/>
      <c r="BA270" s="33"/>
    </row>
    <row r="271" spans="1:53" ht="12" customHeight="1" x14ac:dyDescent="0.2">
      <c r="A271" s="10" t="s">
        <v>2291</v>
      </c>
      <c r="B271" s="39">
        <v>102062</v>
      </c>
      <c r="C271" s="42" t="s">
        <v>3204</v>
      </c>
      <c r="D271" s="10" t="s">
        <v>2943</v>
      </c>
      <c r="E271" s="14" t="s">
        <v>1901</v>
      </c>
      <c r="F271" s="1" t="s">
        <v>89</v>
      </c>
      <c r="G271" s="1" t="s">
        <v>2304</v>
      </c>
      <c r="H271" s="1"/>
      <c r="I271" s="1">
        <v>62</v>
      </c>
      <c r="J271" s="1"/>
      <c r="K271" s="1"/>
      <c r="L271" s="1"/>
      <c r="M271" s="1"/>
      <c r="O271" s="16" t="s">
        <v>367</v>
      </c>
      <c r="P271" s="1">
        <v>1</v>
      </c>
      <c r="Q271" s="15"/>
      <c r="R271" s="15"/>
      <c r="S271" s="15"/>
      <c r="T271" s="15"/>
      <c r="U271" s="15"/>
      <c r="V271" s="1"/>
      <c r="W271" s="1"/>
      <c r="X271" s="1"/>
      <c r="Y271" s="15">
        <v>13800</v>
      </c>
      <c r="Z271" s="15"/>
      <c r="AA271" s="15"/>
      <c r="AB271" s="17"/>
      <c r="AC271" s="82"/>
      <c r="AD271" s="16" t="s">
        <v>52</v>
      </c>
      <c r="AE271" s="16" t="s">
        <v>1903</v>
      </c>
      <c r="AF271" s="16"/>
      <c r="AG271" s="16"/>
      <c r="AH271" s="16"/>
      <c r="AI271" s="16">
        <v>13062</v>
      </c>
      <c r="AJ271" s="16"/>
      <c r="AK271" s="16"/>
      <c r="AL271" s="16"/>
      <c r="AM271" s="16"/>
      <c r="AN271" s="16"/>
      <c r="AO271" s="16"/>
      <c r="AP271" s="16"/>
      <c r="AR271" s="88"/>
      <c r="AS271" s="88"/>
      <c r="AU271" s="12" t="s">
        <v>1931</v>
      </c>
      <c r="AV271" s="19"/>
      <c r="AW271" s="39">
        <v>90</v>
      </c>
      <c r="AY271" s="33"/>
      <c r="AZ271" s="33"/>
      <c r="BA271" s="33"/>
    </row>
    <row r="272" spans="1:53" ht="12" customHeight="1" x14ac:dyDescent="0.2">
      <c r="A272" s="10" t="s">
        <v>2292</v>
      </c>
      <c r="B272" s="39">
        <v>102063</v>
      </c>
      <c r="C272" s="42" t="s">
        <v>3205</v>
      </c>
      <c r="D272" s="10" t="s">
        <v>2943</v>
      </c>
      <c r="E272" s="14" t="s">
        <v>1901</v>
      </c>
      <c r="F272" s="1" t="s">
        <v>88</v>
      </c>
      <c r="G272" s="1" t="s">
        <v>2304</v>
      </c>
      <c r="H272" s="1"/>
      <c r="I272" s="1">
        <v>63</v>
      </c>
      <c r="J272" s="1"/>
      <c r="K272" s="1"/>
      <c r="L272" s="1"/>
      <c r="M272" s="1"/>
      <c r="O272" s="16" t="s">
        <v>367</v>
      </c>
      <c r="P272" s="1">
        <v>1</v>
      </c>
      <c r="Q272" s="15"/>
      <c r="R272" s="15"/>
      <c r="S272" s="15"/>
      <c r="T272" s="15"/>
      <c r="U272" s="15"/>
      <c r="V272" s="1"/>
      <c r="W272" s="1"/>
      <c r="X272" s="1"/>
      <c r="Y272" s="15">
        <v>13800</v>
      </c>
      <c r="Z272" s="15"/>
      <c r="AA272" s="15"/>
      <c r="AB272" s="17"/>
      <c r="AC272" s="82"/>
      <c r="AD272" s="16" t="s">
        <v>52</v>
      </c>
      <c r="AE272" s="16" t="s">
        <v>1903</v>
      </c>
      <c r="AF272" s="16"/>
      <c r="AG272" s="16"/>
      <c r="AH272" s="16"/>
      <c r="AI272" s="16">
        <v>13063</v>
      </c>
      <c r="AJ272" s="16"/>
      <c r="AK272" s="16"/>
      <c r="AL272" s="16"/>
      <c r="AM272" s="16"/>
      <c r="AN272" s="16"/>
      <c r="AO272" s="16"/>
      <c r="AP272" s="16"/>
      <c r="AR272" s="88"/>
      <c r="AS272" s="88"/>
      <c r="AU272" s="12" t="s">
        <v>1931</v>
      </c>
      <c r="AV272" s="19"/>
      <c r="AW272" s="39">
        <v>90</v>
      </c>
      <c r="AY272" s="33"/>
      <c r="AZ272" s="33"/>
      <c r="BA272" s="33"/>
    </row>
    <row r="273" spans="1:53" ht="12" customHeight="1" x14ac:dyDescent="0.2">
      <c r="A273" s="10" t="s">
        <v>2293</v>
      </c>
      <c r="B273" s="39">
        <v>102064</v>
      </c>
      <c r="C273" s="42" t="s">
        <v>3206</v>
      </c>
      <c r="D273" s="10" t="s">
        <v>2943</v>
      </c>
      <c r="E273" s="14" t="s">
        <v>1901</v>
      </c>
      <c r="F273" s="1" t="s">
        <v>395</v>
      </c>
      <c r="G273" s="1" t="s">
        <v>2304</v>
      </c>
      <c r="H273" s="1"/>
      <c r="I273" s="1">
        <v>64</v>
      </c>
      <c r="J273" s="1"/>
      <c r="K273" s="1"/>
      <c r="L273" s="1"/>
      <c r="M273" s="1"/>
      <c r="O273" s="16" t="s">
        <v>367</v>
      </c>
      <c r="P273" s="1">
        <v>1</v>
      </c>
      <c r="Q273" s="15"/>
      <c r="R273" s="15"/>
      <c r="S273" s="15"/>
      <c r="T273" s="15"/>
      <c r="U273" s="15"/>
      <c r="V273" s="1"/>
      <c r="W273" s="1"/>
      <c r="X273" s="1"/>
      <c r="Y273" s="15">
        <v>13800</v>
      </c>
      <c r="Z273" s="15"/>
      <c r="AA273" s="15"/>
      <c r="AB273" s="17"/>
      <c r="AC273" s="82"/>
      <c r="AD273" s="16" t="s">
        <v>52</v>
      </c>
      <c r="AE273" s="16" t="s">
        <v>1903</v>
      </c>
      <c r="AF273" s="16"/>
      <c r="AG273" s="16"/>
      <c r="AH273" s="16"/>
      <c r="AI273" s="16">
        <v>13064</v>
      </c>
      <c r="AJ273" s="16"/>
      <c r="AK273" s="16"/>
      <c r="AL273" s="16"/>
      <c r="AM273" s="16"/>
      <c r="AN273" s="16"/>
      <c r="AO273" s="16"/>
      <c r="AP273" s="16"/>
      <c r="AR273" s="88"/>
      <c r="AS273" s="88"/>
      <c r="AU273" s="12" t="s">
        <v>1931</v>
      </c>
      <c r="AV273" s="19"/>
      <c r="AW273" s="39">
        <v>90</v>
      </c>
      <c r="AY273" s="33"/>
      <c r="AZ273" s="33"/>
      <c r="BA273" s="33"/>
    </row>
    <row r="274" spans="1:53" ht="12" customHeight="1" x14ac:dyDescent="0.2">
      <c r="A274" s="10" t="s">
        <v>2294</v>
      </c>
      <c r="B274" s="39">
        <v>102065</v>
      </c>
      <c r="C274" s="42" t="s">
        <v>3207</v>
      </c>
      <c r="D274" s="10" t="s">
        <v>2943</v>
      </c>
      <c r="E274" s="14" t="s">
        <v>1901</v>
      </c>
      <c r="F274" s="1" t="s">
        <v>396</v>
      </c>
      <c r="G274" s="1" t="s">
        <v>2304</v>
      </c>
      <c r="H274" s="1"/>
      <c r="I274" s="1">
        <v>65</v>
      </c>
      <c r="J274" s="1"/>
      <c r="K274" s="1"/>
      <c r="L274" s="1"/>
      <c r="M274" s="1"/>
      <c r="O274" s="16" t="s">
        <v>367</v>
      </c>
      <c r="P274" s="1">
        <v>1</v>
      </c>
      <c r="Q274" s="15"/>
      <c r="R274" s="15"/>
      <c r="S274" s="15"/>
      <c r="T274" s="15"/>
      <c r="U274" s="15"/>
      <c r="V274" s="1"/>
      <c r="W274" s="1"/>
      <c r="X274" s="1"/>
      <c r="Y274" s="15">
        <v>13800</v>
      </c>
      <c r="Z274" s="15"/>
      <c r="AA274" s="15"/>
      <c r="AB274" s="17"/>
      <c r="AC274" s="82"/>
      <c r="AD274" s="16" t="s">
        <v>52</v>
      </c>
      <c r="AE274" s="16" t="s">
        <v>1903</v>
      </c>
      <c r="AF274" s="16"/>
      <c r="AG274" s="16"/>
      <c r="AH274" s="16"/>
      <c r="AI274" s="16">
        <v>13065</v>
      </c>
      <c r="AJ274" s="16"/>
      <c r="AK274" s="16"/>
      <c r="AL274" s="16"/>
      <c r="AM274" s="16"/>
      <c r="AN274" s="16"/>
      <c r="AO274" s="16"/>
      <c r="AP274" s="16"/>
      <c r="AR274" s="88"/>
      <c r="AS274" s="88"/>
      <c r="AU274" s="12" t="s">
        <v>1931</v>
      </c>
      <c r="AV274" s="19"/>
      <c r="AW274" s="39">
        <v>90</v>
      </c>
      <c r="AY274" s="33"/>
      <c r="AZ274" s="33"/>
      <c r="BA274" s="33"/>
    </row>
    <row r="275" spans="1:53" ht="12" customHeight="1" x14ac:dyDescent="0.2">
      <c r="A275" s="10" t="s">
        <v>2295</v>
      </c>
      <c r="B275" s="39">
        <v>102066</v>
      </c>
      <c r="C275" s="42" t="s">
        <v>3208</v>
      </c>
      <c r="D275" s="10" t="s">
        <v>2943</v>
      </c>
      <c r="E275" s="14" t="s">
        <v>1901</v>
      </c>
      <c r="F275" s="1" t="s">
        <v>394</v>
      </c>
      <c r="G275" s="1" t="s">
        <v>2304</v>
      </c>
      <c r="H275" s="1"/>
      <c r="I275" s="1">
        <v>66</v>
      </c>
      <c r="J275" s="1"/>
      <c r="K275" s="1"/>
      <c r="L275" s="1"/>
      <c r="M275" s="1"/>
      <c r="O275" s="16" t="s">
        <v>367</v>
      </c>
      <c r="P275" s="1">
        <v>1</v>
      </c>
      <c r="Q275" s="15"/>
      <c r="R275" s="15"/>
      <c r="S275" s="15"/>
      <c r="T275" s="15"/>
      <c r="U275" s="15"/>
      <c r="V275" s="1"/>
      <c r="W275" s="1"/>
      <c r="X275" s="1"/>
      <c r="Y275" s="15">
        <v>13800</v>
      </c>
      <c r="Z275" s="15"/>
      <c r="AA275" s="15"/>
      <c r="AB275" s="17"/>
      <c r="AC275" s="82"/>
      <c r="AD275" s="16" t="s">
        <v>52</v>
      </c>
      <c r="AE275" s="16" t="s">
        <v>1903</v>
      </c>
      <c r="AF275" s="16"/>
      <c r="AG275" s="16"/>
      <c r="AH275" s="16"/>
      <c r="AI275" s="16">
        <v>13066</v>
      </c>
      <c r="AJ275" s="16"/>
      <c r="AK275" s="16"/>
      <c r="AL275" s="16"/>
      <c r="AM275" s="16"/>
      <c r="AN275" s="16"/>
      <c r="AO275" s="16"/>
      <c r="AP275" s="16"/>
      <c r="AR275" s="88"/>
      <c r="AS275" s="88"/>
      <c r="AU275" s="12" t="s">
        <v>1931</v>
      </c>
      <c r="AV275" s="19"/>
      <c r="AW275" s="39">
        <v>90</v>
      </c>
      <c r="AY275" s="33"/>
      <c r="AZ275" s="33"/>
      <c r="BA275" s="33"/>
    </row>
    <row r="276" spans="1:53" ht="12" customHeight="1" x14ac:dyDescent="0.2">
      <c r="A276" s="10" t="s">
        <v>2296</v>
      </c>
      <c r="B276" s="39">
        <v>102067</v>
      </c>
      <c r="C276" s="42" t="s">
        <v>3209</v>
      </c>
      <c r="D276" s="10" t="s">
        <v>2943</v>
      </c>
      <c r="E276" s="14" t="s">
        <v>1901</v>
      </c>
      <c r="F276" s="1" t="s">
        <v>91</v>
      </c>
      <c r="G276" s="1" t="s">
        <v>2304</v>
      </c>
      <c r="H276" s="1"/>
      <c r="I276" s="1">
        <v>67</v>
      </c>
      <c r="J276" s="1"/>
      <c r="K276" s="1"/>
      <c r="L276" s="1"/>
      <c r="M276" s="1"/>
      <c r="O276" s="16" t="s">
        <v>367</v>
      </c>
      <c r="P276" s="1">
        <v>1</v>
      </c>
      <c r="Q276" s="15"/>
      <c r="R276" s="15"/>
      <c r="S276" s="15"/>
      <c r="T276" s="15"/>
      <c r="U276" s="15"/>
      <c r="V276" s="1"/>
      <c r="W276" s="1"/>
      <c r="X276" s="1"/>
      <c r="Y276" s="15">
        <v>13800</v>
      </c>
      <c r="Z276" s="15"/>
      <c r="AA276" s="15"/>
      <c r="AB276" s="17"/>
      <c r="AC276" s="82"/>
      <c r="AD276" s="16" t="s">
        <v>52</v>
      </c>
      <c r="AE276" s="16" t="s">
        <v>1903</v>
      </c>
      <c r="AF276" s="16"/>
      <c r="AG276" s="16"/>
      <c r="AH276" s="16"/>
      <c r="AI276" s="16">
        <v>13067</v>
      </c>
      <c r="AJ276" s="16"/>
      <c r="AK276" s="16"/>
      <c r="AL276" s="16"/>
      <c r="AM276" s="16"/>
      <c r="AN276" s="16"/>
      <c r="AO276" s="16"/>
      <c r="AP276" s="16"/>
      <c r="AR276" s="88"/>
      <c r="AS276" s="88"/>
      <c r="AU276" s="12" t="s">
        <v>1931</v>
      </c>
      <c r="AV276" s="19"/>
      <c r="AW276" s="39">
        <v>90</v>
      </c>
      <c r="AY276" s="33"/>
      <c r="AZ276" s="33"/>
      <c r="BA276" s="33"/>
    </row>
    <row r="277" spans="1:53" ht="12" customHeight="1" x14ac:dyDescent="0.2">
      <c r="A277" s="10" t="s">
        <v>2474</v>
      </c>
      <c r="B277" s="39">
        <v>102068</v>
      </c>
      <c r="C277" s="42" t="s">
        <v>3210</v>
      </c>
      <c r="D277" s="10" t="s">
        <v>2943</v>
      </c>
      <c r="E277" s="14" t="s">
        <v>1901</v>
      </c>
      <c r="F277" s="1" t="s">
        <v>396</v>
      </c>
      <c r="G277" s="1" t="s">
        <v>2475</v>
      </c>
      <c r="H277" s="1"/>
      <c r="I277" s="1">
        <v>68</v>
      </c>
      <c r="J277" s="1"/>
      <c r="K277" s="1"/>
      <c r="L277" s="1"/>
      <c r="M277" s="1"/>
      <c r="O277" s="16" t="s">
        <v>367</v>
      </c>
      <c r="P277" s="1">
        <v>1</v>
      </c>
      <c r="Q277" s="15"/>
      <c r="R277" s="15"/>
      <c r="S277" s="15"/>
      <c r="T277" s="15"/>
      <c r="U277" s="15"/>
      <c r="V277" s="1"/>
      <c r="W277" s="1"/>
      <c r="X277" s="1"/>
      <c r="Y277" s="15">
        <v>13800</v>
      </c>
      <c r="Z277" s="15"/>
      <c r="AA277" s="15"/>
      <c r="AB277" s="17"/>
      <c r="AC277" s="82"/>
      <c r="AD277" s="16" t="s">
        <v>52</v>
      </c>
      <c r="AE277" s="16" t="s">
        <v>1903</v>
      </c>
      <c r="AF277" s="16"/>
      <c r="AG277" s="16"/>
      <c r="AH277" s="16"/>
      <c r="AI277" s="16" t="s">
        <v>2476</v>
      </c>
      <c r="AJ277" s="16"/>
      <c r="AK277" s="16"/>
      <c r="AL277" s="16"/>
      <c r="AM277" s="16"/>
      <c r="AN277" s="16"/>
      <c r="AO277" s="16"/>
      <c r="AP277" s="16"/>
      <c r="AR277" s="88"/>
      <c r="AS277" s="88"/>
      <c r="AU277" s="12" t="s">
        <v>1931</v>
      </c>
      <c r="AV277" s="19"/>
      <c r="AW277" s="39">
        <v>90</v>
      </c>
      <c r="AY277" s="33"/>
      <c r="AZ277" s="33"/>
      <c r="BA277" s="33"/>
    </row>
    <row r="278" spans="1:53" ht="12" customHeight="1" x14ac:dyDescent="0.2">
      <c r="A278" s="10" t="s">
        <v>2490</v>
      </c>
      <c r="B278" s="39">
        <v>102069</v>
      </c>
      <c r="C278" s="42" t="s">
        <v>3211</v>
      </c>
      <c r="D278" s="10" t="s">
        <v>2943</v>
      </c>
      <c r="E278" s="14" t="s">
        <v>1901</v>
      </c>
      <c r="F278" s="1" t="s">
        <v>395</v>
      </c>
      <c r="G278" s="1" t="s">
        <v>2488</v>
      </c>
      <c r="H278" s="1"/>
      <c r="I278" s="1">
        <v>69</v>
      </c>
      <c r="J278" s="1"/>
      <c r="K278" s="1"/>
      <c r="L278" s="1"/>
      <c r="M278" s="1"/>
      <c r="O278" s="16" t="s">
        <v>367</v>
      </c>
      <c r="P278" s="1">
        <v>1</v>
      </c>
      <c r="Q278" s="15"/>
      <c r="R278" s="15"/>
      <c r="S278" s="15"/>
      <c r="T278" s="15"/>
      <c r="U278" s="15"/>
      <c r="V278" s="1"/>
      <c r="W278" s="1"/>
      <c r="X278" s="1"/>
      <c r="Y278" s="15">
        <v>13800</v>
      </c>
      <c r="Z278" s="15"/>
      <c r="AA278" s="15"/>
      <c r="AB278" s="17"/>
      <c r="AC278" s="82"/>
      <c r="AD278" s="16" t="s">
        <v>52</v>
      </c>
      <c r="AE278" s="16" t="s">
        <v>1903</v>
      </c>
      <c r="AF278" s="16"/>
      <c r="AG278" s="16"/>
      <c r="AH278" s="16"/>
      <c r="AI278" s="16" t="s">
        <v>2489</v>
      </c>
      <c r="AJ278" s="16"/>
      <c r="AK278" s="16"/>
      <c r="AL278" s="16"/>
      <c r="AM278" s="16"/>
      <c r="AN278" s="16"/>
      <c r="AO278" s="16"/>
      <c r="AP278" s="16"/>
      <c r="AR278" s="88"/>
      <c r="AS278" s="88"/>
      <c r="AU278" s="12" t="s">
        <v>1931</v>
      </c>
      <c r="AV278" s="19"/>
      <c r="AW278" s="39">
        <v>90</v>
      </c>
      <c r="AY278" s="33"/>
      <c r="AZ278" s="33"/>
      <c r="BA278" s="33"/>
    </row>
    <row r="279" spans="1:53" ht="12" customHeight="1" x14ac:dyDescent="0.2">
      <c r="A279" s="10" t="s">
        <v>2826</v>
      </c>
      <c r="B279" s="39">
        <v>102070</v>
      </c>
      <c r="C279" s="42" t="s">
        <v>3212</v>
      </c>
      <c r="D279" s="10" t="s">
        <v>2943</v>
      </c>
      <c r="E279" s="14" t="s">
        <v>1901</v>
      </c>
      <c r="F279" s="1" t="s">
        <v>91</v>
      </c>
      <c r="G279" s="1" t="s">
        <v>2304</v>
      </c>
      <c r="H279" s="1"/>
      <c r="I279" s="1">
        <v>70</v>
      </c>
      <c r="J279" s="1"/>
      <c r="K279" s="1"/>
      <c r="L279" s="1"/>
      <c r="M279" s="1"/>
      <c r="O279" s="16" t="s">
        <v>367</v>
      </c>
      <c r="P279" s="1">
        <v>1</v>
      </c>
      <c r="Q279" s="15"/>
      <c r="R279" s="15"/>
      <c r="S279" s="15"/>
      <c r="T279" s="15"/>
      <c r="U279" s="15"/>
      <c r="V279" s="1"/>
      <c r="W279" s="1"/>
      <c r="X279" s="1"/>
      <c r="Y279" s="15">
        <v>13800</v>
      </c>
      <c r="Z279" s="15"/>
      <c r="AA279" s="15"/>
      <c r="AB279" s="17"/>
      <c r="AC279" s="82"/>
      <c r="AD279" s="16" t="s">
        <v>52</v>
      </c>
      <c r="AE279" s="16" t="s">
        <v>1903</v>
      </c>
      <c r="AF279" s="16"/>
      <c r="AG279" s="16"/>
      <c r="AH279" s="16"/>
      <c r="AI279" s="16" t="s">
        <v>2827</v>
      </c>
      <c r="AJ279" s="16"/>
      <c r="AK279" s="16"/>
      <c r="AL279" s="16"/>
      <c r="AM279" s="16"/>
      <c r="AN279" s="16"/>
      <c r="AO279" s="16"/>
      <c r="AP279" s="16"/>
      <c r="AR279" s="88"/>
      <c r="AS279" s="88"/>
      <c r="AU279" s="12" t="s">
        <v>1931</v>
      </c>
      <c r="AV279" s="19"/>
      <c r="AW279" s="39">
        <v>90</v>
      </c>
      <c r="AY279" s="33"/>
      <c r="AZ279" s="33"/>
      <c r="BA279" s="33"/>
    </row>
    <row r="280" spans="1:53" ht="12" customHeight="1" x14ac:dyDescent="0.2">
      <c r="A280" s="10" t="s">
        <v>2854</v>
      </c>
      <c r="B280" s="39">
        <v>102071</v>
      </c>
      <c r="C280" s="42" t="s">
        <v>3213</v>
      </c>
      <c r="D280" s="10" t="s">
        <v>2943</v>
      </c>
      <c r="E280" s="14" t="s">
        <v>1901</v>
      </c>
      <c r="F280" s="1" t="s">
        <v>89</v>
      </c>
      <c r="G280" s="1" t="s">
        <v>2304</v>
      </c>
      <c r="H280" s="1"/>
      <c r="I280" s="1">
        <v>71</v>
      </c>
      <c r="J280" s="1"/>
      <c r="K280" s="1"/>
      <c r="L280" s="1"/>
      <c r="M280" s="1"/>
      <c r="O280" s="16" t="s">
        <v>367</v>
      </c>
      <c r="P280" s="1">
        <v>1</v>
      </c>
      <c r="Q280" s="15"/>
      <c r="R280" s="15"/>
      <c r="S280" s="15"/>
      <c r="T280" s="15"/>
      <c r="U280" s="15"/>
      <c r="V280" s="1"/>
      <c r="W280" s="1"/>
      <c r="X280" s="1"/>
      <c r="Y280" s="15">
        <v>13800</v>
      </c>
      <c r="Z280" s="15"/>
      <c r="AA280" s="15"/>
      <c r="AB280" s="17"/>
      <c r="AC280" s="82"/>
      <c r="AD280" s="16" t="s">
        <v>52</v>
      </c>
      <c r="AE280" s="16" t="s">
        <v>1903</v>
      </c>
      <c r="AF280" s="16"/>
      <c r="AG280" s="16"/>
      <c r="AH280" s="16"/>
      <c r="AI280" s="16" t="s">
        <v>2855</v>
      </c>
      <c r="AJ280" s="16"/>
      <c r="AK280" s="16"/>
      <c r="AL280" s="16"/>
      <c r="AM280" s="16"/>
      <c r="AN280" s="16"/>
      <c r="AO280" s="16"/>
      <c r="AP280" s="16"/>
      <c r="AR280" s="88"/>
      <c r="AS280" s="88"/>
      <c r="AU280" s="12" t="s">
        <v>1931</v>
      </c>
      <c r="AV280" s="19"/>
      <c r="AW280" s="39">
        <v>90</v>
      </c>
      <c r="AY280" s="33"/>
      <c r="AZ280" s="33"/>
      <c r="BA280" s="33"/>
    </row>
    <row r="281" spans="1:53" ht="12" customHeight="1" x14ac:dyDescent="0.2">
      <c r="A281" s="10" t="s">
        <v>2909</v>
      </c>
      <c r="B281" s="39">
        <v>102072</v>
      </c>
      <c r="C281" s="42" t="s">
        <v>3214</v>
      </c>
      <c r="D281" s="10" t="s">
        <v>2943</v>
      </c>
      <c r="E281" s="14" t="s">
        <v>1901</v>
      </c>
      <c r="F281" s="1" t="s">
        <v>91</v>
      </c>
      <c r="G281" s="1" t="s">
        <v>2304</v>
      </c>
      <c r="H281" s="1"/>
      <c r="I281" s="1">
        <v>72</v>
      </c>
      <c r="J281" s="1"/>
      <c r="K281" s="1"/>
      <c r="L281" s="1"/>
      <c r="M281" s="1"/>
      <c r="O281" s="16" t="s">
        <v>367</v>
      </c>
      <c r="P281" s="1">
        <v>1</v>
      </c>
      <c r="Q281" s="15"/>
      <c r="R281" s="15"/>
      <c r="S281" s="15"/>
      <c r="T281" s="15"/>
      <c r="U281" s="15"/>
      <c r="V281" s="1"/>
      <c r="W281" s="1"/>
      <c r="X281" s="1"/>
      <c r="Y281" s="15">
        <v>13800</v>
      </c>
      <c r="Z281" s="15"/>
      <c r="AA281" s="15"/>
      <c r="AB281" s="17"/>
      <c r="AC281" s="82"/>
      <c r="AD281" s="16" t="s">
        <v>52</v>
      </c>
      <c r="AE281" s="16" t="s">
        <v>1903</v>
      </c>
      <c r="AF281" s="16"/>
      <c r="AG281" s="16"/>
      <c r="AH281" s="16"/>
      <c r="AI281" s="16">
        <v>13072</v>
      </c>
      <c r="AJ281" s="16"/>
      <c r="AK281" s="16"/>
      <c r="AL281" s="16"/>
      <c r="AM281" s="16"/>
      <c r="AN281" s="16"/>
      <c r="AO281" s="16"/>
      <c r="AP281" s="16"/>
      <c r="AR281" s="88"/>
      <c r="AS281" s="88"/>
      <c r="AU281" s="12" t="s">
        <v>1931</v>
      </c>
      <c r="AV281" s="19"/>
      <c r="AW281" s="39">
        <v>90</v>
      </c>
      <c r="AY281" s="33"/>
      <c r="AZ281" s="33"/>
      <c r="BA281" s="33"/>
    </row>
    <row r="282" spans="1:53" ht="12" customHeight="1" x14ac:dyDescent="0.2">
      <c r="A282" s="10" t="s">
        <v>2297</v>
      </c>
      <c r="B282" s="39">
        <v>102073</v>
      </c>
      <c r="C282" s="42" t="s">
        <v>3215</v>
      </c>
      <c r="D282" s="10" t="s">
        <v>2943</v>
      </c>
      <c r="E282" s="14" t="s">
        <v>1901</v>
      </c>
      <c r="F282" s="1" t="s">
        <v>89</v>
      </c>
      <c r="G282" s="1" t="s">
        <v>2304</v>
      </c>
      <c r="H282" s="1"/>
      <c r="I282" s="1">
        <v>73</v>
      </c>
      <c r="J282" s="1"/>
      <c r="K282" s="1"/>
      <c r="L282" s="1"/>
      <c r="M282" s="1"/>
      <c r="O282" s="16" t="s">
        <v>367</v>
      </c>
      <c r="P282" s="1">
        <v>1</v>
      </c>
      <c r="Q282" s="15"/>
      <c r="R282" s="15"/>
      <c r="S282" s="15"/>
      <c r="T282" s="15"/>
      <c r="U282" s="15"/>
      <c r="V282" s="1"/>
      <c r="W282" s="1"/>
      <c r="X282" s="1"/>
      <c r="Y282" s="15">
        <v>13800</v>
      </c>
      <c r="Z282" s="15"/>
      <c r="AA282" s="15"/>
      <c r="AB282" s="17"/>
      <c r="AC282" s="82"/>
      <c r="AD282" s="16" t="s">
        <v>52</v>
      </c>
      <c r="AE282" s="16" t="s">
        <v>1903</v>
      </c>
      <c r="AF282" s="16"/>
      <c r="AG282" s="16"/>
      <c r="AH282" s="16"/>
      <c r="AI282" s="16">
        <v>13073</v>
      </c>
      <c r="AJ282" s="16"/>
      <c r="AK282" s="16"/>
      <c r="AL282" s="16"/>
      <c r="AM282" s="16"/>
      <c r="AN282" s="16"/>
      <c r="AO282" s="16"/>
      <c r="AP282" s="16"/>
      <c r="AR282" s="88"/>
      <c r="AS282" s="88"/>
      <c r="AU282" s="12" t="s">
        <v>1931</v>
      </c>
      <c r="AV282" s="19"/>
      <c r="AW282" s="39">
        <v>90</v>
      </c>
      <c r="AY282" s="33"/>
      <c r="AZ282" s="33"/>
      <c r="BA282" s="33"/>
    </row>
    <row r="283" spans="1:53" ht="12" customHeight="1" x14ac:dyDescent="0.2">
      <c r="A283" s="10" t="s">
        <v>2919</v>
      </c>
      <c r="B283" s="39">
        <v>102074</v>
      </c>
      <c r="C283" s="42" t="e">
        <v>#N/A</v>
      </c>
      <c r="D283" s="10" t="s">
        <v>2943</v>
      </c>
      <c r="E283" s="14" t="s">
        <v>1901</v>
      </c>
      <c r="F283" s="1" t="s">
        <v>396</v>
      </c>
      <c r="G283" s="1" t="s">
        <v>2920</v>
      </c>
      <c r="H283" s="1"/>
      <c r="I283" s="1">
        <v>74</v>
      </c>
      <c r="J283" s="1"/>
      <c r="K283" s="1"/>
      <c r="L283" s="1"/>
      <c r="M283" s="1"/>
      <c r="O283" s="16" t="s">
        <v>367</v>
      </c>
      <c r="P283" s="1">
        <v>1</v>
      </c>
      <c r="Q283" s="15"/>
      <c r="R283" s="15"/>
      <c r="S283" s="15"/>
      <c r="T283" s="15"/>
      <c r="U283" s="15"/>
      <c r="V283" s="1"/>
      <c r="W283" s="1"/>
      <c r="X283" s="1"/>
      <c r="Y283" s="15">
        <v>13800</v>
      </c>
      <c r="Z283" s="15"/>
      <c r="AA283" s="15"/>
      <c r="AB283" s="17"/>
      <c r="AC283" s="82"/>
      <c r="AD283" s="16" t="s">
        <v>52</v>
      </c>
      <c r="AE283" s="16" t="s">
        <v>1903</v>
      </c>
      <c r="AF283" s="16"/>
      <c r="AG283" s="16"/>
      <c r="AH283" s="16"/>
      <c r="AI283" s="16" t="s">
        <v>2925</v>
      </c>
      <c r="AJ283" s="16"/>
      <c r="AK283" s="16"/>
      <c r="AL283" s="16"/>
      <c r="AM283" s="16"/>
      <c r="AN283" s="16"/>
      <c r="AO283" s="16"/>
      <c r="AP283" s="16"/>
      <c r="AR283" s="88"/>
      <c r="AS283" s="88"/>
      <c r="AU283" s="12" t="s">
        <v>1931</v>
      </c>
      <c r="AV283" s="19"/>
      <c r="AW283" s="39">
        <v>90</v>
      </c>
      <c r="AY283" s="33"/>
      <c r="AZ283" s="33"/>
      <c r="BA283" s="33"/>
    </row>
    <row r="284" spans="1:53" ht="12" customHeight="1" x14ac:dyDescent="0.2">
      <c r="A284" s="10" t="s">
        <v>2840</v>
      </c>
      <c r="B284" s="39">
        <v>102075</v>
      </c>
      <c r="C284" s="42" t="s">
        <v>3216</v>
      </c>
      <c r="D284" s="10" t="s">
        <v>2943</v>
      </c>
      <c r="E284" s="14" t="s">
        <v>1901</v>
      </c>
      <c r="F284" s="1" t="s">
        <v>395</v>
      </c>
      <c r="G284" s="1" t="s">
        <v>2841</v>
      </c>
      <c r="H284" s="1"/>
      <c r="I284" s="1">
        <v>75</v>
      </c>
      <c r="J284" s="1"/>
      <c r="K284" s="1"/>
      <c r="L284" s="1"/>
      <c r="M284" s="1"/>
      <c r="O284" s="16" t="s">
        <v>367</v>
      </c>
      <c r="P284" s="1">
        <v>1</v>
      </c>
      <c r="Q284" s="15"/>
      <c r="R284" s="15"/>
      <c r="S284" s="15"/>
      <c r="T284" s="15"/>
      <c r="U284" s="15"/>
      <c r="V284" s="1"/>
      <c r="W284" s="1"/>
      <c r="X284" s="1"/>
      <c r="Y284" s="15">
        <v>13800</v>
      </c>
      <c r="Z284" s="15"/>
      <c r="AA284" s="15"/>
      <c r="AB284" s="17"/>
      <c r="AC284" s="82"/>
      <c r="AD284" s="16" t="s">
        <v>52</v>
      </c>
      <c r="AE284" s="16" t="s">
        <v>1903</v>
      </c>
      <c r="AF284" s="16"/>
      <c r="AG284" s="16"/>
      <c r="AH284" s="16"/>
      <c r="AI284" s="16" t="s">
        <v>2845</v>
      </c>
      <c r="AJ284" s="16"/>
      <c r="AK284" s="16"/>
      <c r="AL284" s="16"/>
      <c r="AM284" s="16"/>
      <c r="AN284" s="16"/>
      <c r="AO284" s="16"/>
      <c r="AP284" s="16"/>
      <c r="AR284" s="88"/>
      <c r="AS284" s="88"/>
      <c r="AU284" s="12" t="s">
        <v>1931</v>
      </c>
      <c r="AV284" s="19"/>
      <c r="AW284" s="39">
        <v>90</v>
      </c>
      <c r="AY284" s="33"/>
      <c r="AZ284" s="33"/>
      <c r="BA284" s="33"/>
    </row>
    <row r="285" spans="1:53" ht="12" customHeight="1" x14ac:dyDescent="0.2">
      <c r="A285" s="10" t="s">
        <v>2933</v>
      </c>
      <c r="B285" s="39">
        <v>102076</v>
      </c>
      <c r="C285" s="42" t="e">
        <v>#N/A</v>
      </c>
      <c r="D285" s="10" t="s">
        <v>2943</v>
      </c>
      <c r="E285" s="14" t="s">
        <v>1901</v>
      </c>
      <c r="F285" s="1" t="s">
        <v>88</v>
      </c>
      <c r="G285" s="1" t="s">
        <v>2304</v>
      </c>
      <c r="H285" s="1"/>
      <c r="I285" s="1">
        <v>76</v>
      </c>
      <c r="J285" s="1"/>
      <c r="K285" s="1"/>
      <c r="L285" s="1"/>
      <c r="M285" s="1"/>
      <c r="O285" s="16" t="s">
        <v>367</v>
      </c>
      <c r="P285" s="1">
        <v>1</v>
      </c>
      <c r="Q285" s="15"/>
      <c r="R285" s="15"/>
      <c r="S285" s="15"/>
      <c r="T285" s="15"/>
      <c r="U285" s="15"/>
      <c r="V285" s="1"/>
      <c r="W285" s="1"/>
      <c r="X285" s="1"/>
      <c r="Y285" s="15">
        <v>13800</v>
      </c>
      <c r="Z285" s="15"/>
      <c r="AA285" s="15"/>
      <c r="AB285" s="17"/>
      <c r="AC285" s="82"/>
      <c r="AD285" s="16" t="s">
        <v>52</v>
      </c>
      <c r="AE285" s="16" t="s">
        <v>1903</v>
      </c>
      <c r="AF285" s="16"/>
      <c r="AG285" s="16"/>
      <c r="AH285" s="16"/>
      <c r="AI285" s="16" t="s">
        <v>2934</v>
      </c>
      <c r="AJ285" s="16"/>
      <c r="AK285" s="16"/>
      <c r="AL285" s="16"/>
      <c r="AM285" s="16"/>
      <c r="AN285" s="16"/>
      <c r="AO285" s="16"/>
      <c r="AP285" s="16"/>
      <c r="AR285" s="88"/>
      <c r="AS285" s="88"/>
      <c r="AU285" s="12" t="s">
        <v>1931</v>
      </c>
      <c r="AV285" s="19"/>
      <c r="AW285" s="39">
        <v>90</v>
      </c>
      <c r="AY285" s="33"/>
      <c r="AZ285" s="33"/>
      <c r="BA285" s="33"/>
    </row>
    <row r="286" spans="1:53" ht="12" customHeight="1" x14ac:dyDescent="0.2">
      <c r="A286" s="10" t="s">
        <v>4374</v>
      </c>
      <c r="B286" s="39">
        <v>102077</v>
      </c>
      <c r="C286" s="42" t="e">
        <v>#N/A</v>
      </c>
      <c r="D286" s="10" t="s">
        <v>2943</v>
      </c>
      <c r="E286" s="14" t="s">
        <v>1901</v>
      </c>
      <c r="F286" s="1" t="s">
        <v>395</v>
      </c>
      <c r="G286" s="1" t="s">
        <v>2304</v>
      </c>
      <c r="H286" s="1"/>
      <c r="I286" s="1">
        <v>77</v>
      </c>
      <c r="J286" s="1"/>
      <c r="K286" s="1"/>
      <c r="L286" s="1"/>
      <c r="M286" s="1"/>
      <c r="O286" s="16" t="s">
        <v>367</v>
      </c>
      <c r="P286" s="1">
        <v>1</v>
      </c>
      <c r="Q286" s="15"/>
      <c r="R286" s="15"/>
      <c r="S286" s="15"/>
      <c r="T286" s="15"/>
      <c r="U286" s="15"/>
      <c r="V286" s="1"/>
      <c r="W286" s="1"/>
      <c r="X286" s="1"/>
      <c r="Y286" s="15">
        <v>13800</v>
      </c>
      <c r="Z286" s="15"/>
      <c r="AA286" s="15"/>
      <c r="AB286" s="17"/>
      <c r="AC286" s="82"/>
      <c r="AD286" s="16" t="s">
        <v>52</v>
      </c>
      <c r="AE286" s="16" t="s">
        <v>1903</v>
      </c>
      <c r="AF286" s="16"/>
      <c r="AG286" s="16"/>
      <c r="AH286" s="16"/>
      <c r="AI286" s="16" t="s">
        <v>4375</v>
      </c>
      <c r="AJ286" s="16"/>
      <c r="AK286" s="16"/>
      <c r="AL286" s="16"/>
      <c r="AM286" s="16"/>
      <c r="AN286" s="16"/>
      <c r="AO286" s="16"/>
      <c r="AP286" s="16"/>
      <c r="AR286" s="88"/>
      <c r="AS286" s="88"/>
      <c r="AU286" s="12" t="s">
        <v>1931</v>
      </c>
      <c r="AV286" s="19"/>
      <c r="AW286" s="39">
        <v>90</v>
      </c>
      <c r="AY286" s="33"/>
      <c r="AZ286" s="33"/>
      <c r="BA286" s="33"/>
    </row>
    <row r="287" spans="1:53" ht="12" customHeight="1" x14ac:dyDescent="0.2">
      <c r="A287" s="10" t="s">
        <v>2801</v>
      </c>
      <c r="B287" s="39">
        <v>102078</v>
      </c>
      <c r="C287" s="42" t="s">
        <v>3217</v>
      </c>
      <c r="D287" s="10" t="s">
        <v>2943</v>
      </c>
      <c r="E287" s="14" t="s">
        <v>1901</v>
      </c>
      <c r="F287" s="1" t="s">
        <v>89</v>
      </c>
      <c r="G287" s="1" t="s">
        <v>2304</v>
      </c>
      <c r="H287" s="1"/>
      <c r="I287" s="1">
        <v>78</v>
      </c>
      <c r="J287" s="1"/>
      <c r="K287" s="1"/>
      <c r="L287" s="1"/>
      <c r="M287" s="1"/>
      <c r="O287" s="16" t="s">
        <v>367</v>
      </c>
      <c r="P287" s="1">
        <v>1</v>
      </c>
      <c r="Q287" s="15"/>
      <c r="R287" s="15"/>
      <c r="S287" s="15"/>
      <c r="T287" s="15"/>
      <c r="U287" s="15"/>
      <c r="V287" s="1"/>
      <c r="W287" s="1"/>
      <c r="X287" s="1"/>
      <c r="Y287" s="15">
        <v>13800</v>
      </c>
      <c r="Z287" s="15"/>
      <c r="AA287" s="15"/>
      <c r="AB287" s="17"/>
      <c r="AC287" s="82"/>
      <c r="AD287" s="16" t="s">
        <v>52</v>
      </c>
      <c r="AE287" s="16" t="s">
        <v>1903</v>
      </c>
      <c r="AF287" s="16"/>
      <c r="AG287" s="16"/>
      <c r="AH287" s="16"/>
      <c r="AI287" s="16" t="s">
        <v>2802</v>
      </c>
      <c r="AJ287" s="16"/>
      <c r="AK287" s="16"/>
      <c r="AL287" s="16"/>
      <c r="AM287" s="16"/>
      <c r="AN287" s="16"/>
      <c r="AO287" s="16"/>
      <c r="AP287" s="16"/>
      <c r="AR287" s="88"/>
      <c r="AS287" s="88"/>
      <c r="AU287" s="12" t="s">
        <v>1931</v>
      </c>
      <c r="AV287" s="19"/>
      <c r="AW287" s="39">
        <v>90</v>
      </c>
      <c r="AY287" s="33"/>
      <c r="AZ287" s="33"/>
      <c r="BA287" s="33"/>
    </row>
    <row r="288" spans="1:53" ht="12" customHeight="1" x14ac:dyDescent="0.2">
      <c r="A288" s="10" t="s">
        <v>4399</v>
      </c>
      <c r="B288" s="39">
        <v>102079</v>
      </c>
      <c r="C288" s="42" t="s">
        <v>4400</v>
      </c>
      <c r="D288" s="10" t="s">
        <v>2943</v>
      </c>
      <c r="E288" s="14" t="s">
        <v>1901</v>
      </c>
      <c r="F288" s="1" t="s">
        <v>394</v>
      </c>
      <c r="G288" s="1" t="s">
        <v>2304</v>
      </c>
      <c r="H288" s="1"/>
      <c r="I288" s="1">
        <v>79</v>
      </c>
      <c r="J288" s="1"/>
      <c r="K288" s="1"/>
      <c r="L288" s="1"/>
      <c r="M288" s="1"/>
      <c r="O288" s="16" t="s">
        <v>367</v>
      </c>
      <c r="P288" s="1">
        <v>1</v>
      </c>
      <c r="Q288" s="15"/>
      <c r="R288" s="15"/>
      <c r="S288" s="15"/>
      <c r="T288" s="15"/>
      <c r="U288" s="15"/>
      <c r="V288" s="1"/>
      <c r="W288" s="1"/>
      <c r="X288" s="1"/>
      <c r="Y288" s="15">
        <v>13800</v>
      </c>
      <c r="Z288" s="15"/>
      <c r="AA288" s="15"/>
      <c r="AB288" s="17"/>
      <c r="AC288" s="82"/>
      <c r="AD288" s="16" t="s">
        <v>52</v>
      </c>
      <c r="AE288" s="16" t="s">
        <v>1903</v>
      </c>
      <c r="AF288" s="16"/>
      <c r="AG288" s="16"/>
      <c r="AH288" s="16"/>
      <c r="AI288" s="16" t="s">
        <v>4401</v>
      </c>
      <c r="AJ288" s="16"/>
      <c r="AK288" s="16"/>
      <c r="AL288" s="16"/>
      <c r="AM288" s="16"/>
      <c r="AN288" s="16"/>
      <c r="AO288" s="16"/>
      <c r="AP288" s="16"/>
      <c r="AR288" s="88"/>
      <c r="AS288" s="88"/>
      <c r="AU288" s="12" t="s">
        <v>1931</v>
      </c>
      <c r="AV288" s="19"/>
      <c r="AW288" s="39">
        <v>90</v>
      </c>
      <c r="AY288" s="33"/>
      <c r="AZ288" s="33"/>
      <c r="BA288" s="33"/>
    </row>
    <row r="289" spans="1:53" ht="12" customHeight="1" x14ac:dyDescent="0.2">
      <c r="A289" s="10" t="s">
        <v>5627</v>
      </c>
      <c r="B289" s="39">
        <v>102080</v>
      </c>
      <c r="D289" s="10" t="s">
        <v>2943</v>
      </c>
      <c r="E289" s="14" t="s">
        <v>1901</v>
      </c>
      <c r="F289" s="1" t="s">
        <v>88</v>
      </c>
      <c r="G289" s="1" t="s">
        <v>2304</v>
      </c>
      <c r="H289" s="1"/>
      <c r="I289" s="1">
        <v>80</v>
      </c>
      <c r="J289" s="1"/>
      <c r="K289" s="1"/>
      <c r="L289" s="1"/>
      <c r="M289" s="1"/>
      <c r="O289" s="16" t="s">
        <v>367</v>
      </c>
      <c r="P289" s="1">
        <v>1</v>
      </c>
      <c r="Q289" s="15"/>
      <c r="R289" s="15"/>
      <c r="S289" s="15"/>
      <c r="T289" s="15"/>
      <c r="U289" s="15"/>
      <c r="V289" s="1"/>
      <c r="W289" s="1"/>
      <c r="X289" s="1"/>
      <c r="Y289" s="15">
        <v>13800</v>
      </c>
      <c r="Z289" s="15"/>
      <c r="AA289" s="15"/>
      <c r="AB289" s="17"/>
      <c r="AC289" s="82"/>
      <c r="AD289" s="16" t="s">
        <v>52</v>
      </c>
      <c r="AE289" s="16" t="s">
        <v>1903</v>
      </c>
      <c r="AF289" s="16"/>
      <c r="AG289" s="16"/>
      <c r="AH289" s="16"/>
      <c r="AI289" s="16" t="s">
        <v>5628</v>
      </c>
      <c r="AJ289" s="16"/>
      <c r="AK289" s="16"/>
      <c r="AL289" s="16"/>
      <c r="AM289" s="16"/>
      <c r="AN289" s="16"/>
      <c r="AO289" s="16"/>
      <c r="AP289" s="16"/>
      <c r="AR289" s="88"/>
      <c r="AS289" s="88"/>
      <c r="AU289" s="12" t="s">
        <v>1931</v>
      </c>
      <c r="AV289" s="19"/>
      <c r="AW289" s="39">
        <v>90</v>
      </c>
      <c r="AY289" s="33"/>
      <c r="AZ289" s="33"/>
      <c r="BA289" s="33"/>
    </row>
    <row r="290" spans="1:53" ht="12" customHeight="1" x14ac:dyDescent="0.2">
      <c r="A290" s="10" t="s">
        <v>4438</v>
      </c>
      <c r="B290" s="39">
        <v>102081</v>
      </c>
      <c r="C290" s="42" t="e">
        <v>#N/A</v>
      </c>
      <c r="D290" s="10" t="s">
        <v>2943</v>
      </c>
      <c r="E290" s="14" t="s">
        <v>1901</v>
      </c>
      <c r="F290" s="1" t="s">
        <v>89</v>
      </c>
      <c r="G290" s="1" t="s">
        <v>2304</v>
      </c>
      <c r="H290" s="1"/>
      <c r="I290" s="1">
        <v>81</v>
      </c>
      <c r="J290" s="1"/>
      <c r="K290" s="1"/>
      <c r="L290" s="1"/>
      <c r="M290" s="1"/>
      <c r="O290" s="16" t="s">
        <v>367</v>
      </c>
      <c r="P290" s="1">
        <v>1</v>
      </c>
      <c r="Q290" s="15"/>
      <c r="R290" s="15"/>
      <c r="S290" s="15"/>
      <c r="T290" s="15"/>
      <c r="U290" s="15"/>
      <c r="V290" s="1"/>
      <c r="W290" s="1"/>
      <c r="X290" s="1"/>
      <c r="Y290" s="15">
        <v>13800</v>
      </c>
      <c r="Z290" s="15"/>
      <c r="AA290" s="15"/>
      <c r="AB290" s="17"/>
      <c r="AC290" s="82"/>
      <c r="AD290" s="16" t="s">
        <v>52</v>
      </c>
      <c r="AE290" s="16" t="s">
        <v>1903</v>
      </c>
      <c r="AF290" s="16"/>
      <c r="AG290" s="16"/>
      <c r="AH290" s="16"/>
      <c r="AI290" s="16" t="s">
        <v>4439</v>
      </c>
      <c r="AJ290" s="16"/>
      <c r="AK290" s="16"/>
      <c r="AL290" s="16"/>
      <c r="AM290" s="16"/>
      <c r="AN290" s="16"/>
      <c r="AO290" s="16"/>
      <c r="AP290" s="16"/>
      <c r="AR290" s="88"/>
      <c r="AS290" s="88"/>
      <c r="AU290" s="12" t="s">
        <v>1931</v>
      </c>
      <c r="AV290" s="19"/>
      <c r="AW290" s="39">
        <v>90</v>
      </c>
      <c r="AY290" s="33"/>
      <c r="AZ290" s="33"/>
      <c r="BA290" s="33"/>
    </row>
    <row r="291" spans="1:53" ht="12" customHeight="1" x14ac:dyDescent="0.2">
      <c r="A291" s="10" t="s">
        <v>5392</v>
      </c>
      <c r="B291" s="39">
        <v>102082</v>
      </c>
      <c r="C291" s="42" t="e">
        <v>#N/A</v>
      </c>
      <c r="D291" s="10" t="s">
        <v>2943</v>
      </c>
      <c r="E291" s="14" t="s">
        <v>1901</v>
      </c>
      <c r="F291" s="1" t="s">
        <v>395</v>
      </c>
      <c r="G291" s="1" t="s">
        <v>2304</v>
      </c>
      <c r="H291" s="1"/>
      <c r="I291" s="1">
        <v>82</v>
      </c>
      <c r="J291" s="1"/>
      <c r="K291" s="1"/>
      <c r="L291" s="1"/>
      <c r="M291" s="1"/>
      <c r="O291" s="16" t="s">
        <v>367</v>
      </c>
      <c r="P291" s="1">
        <v>1</v>
      </c>
      <c r="Q291" s="15"/>
      <c r="R291" s="15"/>
      <c r="S291" s="15"/>
      <c r="T291" s="15"/>
      <c r="U291" s="15"/>
      <c r="V291" s="1"/>
      <c r="W291" s="1"/>
      <c r="X291" s="1"/>
      <c r="Y291" s="15">
        <v>13800</v>
      </c>
      <c r="Z291" s="15"/>
      <c r="AA291" s="15"/>
      <c r="AB291" s="17"/>
      <c r="AC291" s="82"/>
      <c r="AD291" s="16" t="s">
        <v>52</v>
      </c>
      <c r="AE291" s="16" t="s">
        <v>1903</v>
      </c>
      <c r="AF291" s="16"/>
      <c r="AG291" s="16"/>
      <c r="AH291" s="16"/>
      <c r="AI291" s="16">
        <v>13082</v>
      </c>
      <c r="AJ291" s="16"/>
      <c r="AK291" s="16"/>
      <c r="AL291" s="16"/>
      <c r="AM291" s="16"/>
      <c r="AN291" s="16"/>
      <c r="AO291" s="16"/>
      <c r="AP291" s="16"/>
      <c r="AR291" s="88"/>
      <c r="AS291" s="88"/>
      <c r="AU291" s="12" t="s">
        <v>1931</v>
      </c>
      <c r="AV291" s="19"/>
      <c r="AW291" s="39">
        <v>90</v>
      </c>
      <c r="AY291" s="33"/>
      <c r="AZ291" s="33"/>
      <c r="BA291" s="33"/>
    </row>
    <row r="292" spans="1:53" ht="12" customHeight="1" x14ac:dyDescent="0.2">
      <c r="A292" s="10" t="s">
        <v>5563</v>
      </c>
      <c r="B292" s="39">
        <v>102083</v>
      </c>
      <c r="C292" s="42" t="e">
        <v>#N/A</v>
      </c>
      <c r="D292" s="10" t="s">
        <v>2943</v>
      </c>
      <c r="E292" s="14" t="s">
        <v>1901</v>
      </c>
      <c r="F292" s="1" t="s">
        <v>89</v>
      </c>
      <c r="G292" s="1" t="s">
        <v>2304</v>
      </c>
      <c r="H292" s="1"/>
      <c r="I292" s="1">
        <v>83</v>
      </c>
      <c r="J292" s="1"/>
      <c r="K292" s="1"/>
      <c r="L292" s="1"/>
      <c r="M292" s="1"/>
      <c r="O292" s="16" t="s">
        <v>367</v>
      </c>
      <c r="P292" s="1">
        <v>1</v>
      </c>
      <c r="Q292" s="15"/>
      <c r="R292" s="15"/>
      <c r="S292" s="15"/>
      <c r="T292" s="15"/>
      <c r="U292" s="15"/>
      <c r="V292" s="1"/>
      <c r="W292" s="1"/>
      <c r="X292" s="1"/>
      <c r="Y292" s="15">
        <v>13800</v>
      </c>
      <c r="Z292" s="15"/>
      <c r="AA292" s="15"/>
      <c r="AB292" s="17"/>
      <c r="AC292" s="82"/>
      <c r="AD292" s="16" t="s">
        <v>52</v>
      </c>
      <c r="AE292" s="16" t="s">
        <v>1903</v>
      </c>
      <c r="AF292" s="16"/>
      <c r="AG292" s="16"/>
      <c r="AH292" s="16"/>
      <c r="AI292" s="16">
        <v>13083</v>
      </c>
      <c r="AJ292" s="16"/>
      <c r="AK292" s="16"/>
      <c r="AL292" s="16"/>
      <c r="AM292" s="16"/>
      <c r="AN292" s="16"/>
      <c r="AO292" s="16"/>
      <c r="AP292" s="16"/>
      <c r="AR292" s="88"/>
      <c r="AS292" s="88"/>
      <c r="AU292" s="12" t="s">
        <v>1931</v>
      </c>
      <c r="AV292" s="19"/>
      <c r="AW292" s="39">
        <v>90</v>
      </c>
      <c r="AY292" s="33"/>
      <c r="AZ292" s="33"/>
      <c r="BA292" s="33"/>
    </row>
    <row r="293" spans="1:53" ht="12" customHeight="1" x14ac:dyDescent="0.2">
      <c r="A293" s="10" t="s">
        <v>4415</v>
      </c>
      <c r="B293" s="39">
        <v>102084</v>
      </c>
      <c r="C293" s="42" t="e">
        <v>#N/A</v>
      </c>
      <c r="D293" s="10" t="s">
        <v>2943</v>
      </c>
      <c r="E293" s="14" t="s">
        <v>1901</v>
      </c>
      <c r="F293" s="1" t="s">
        <v>89</v>
      </c>
      <c r="G293" s="1" t="s">
        <v>2304</v>
      </c>
      <c r="H293" s="1"/>
      <c r="I293" s="1">
        <v>84</v>
      </c>
      <c r="J293" s="1"/>
      <c r="K293" s="1"/>
      <c r="L293" s="1"/>
      <c r="M293" s="1"/>
      <c r="O293" s="16" t="s">
        <v>367</v>
      </c>
      <c r="P293" s="1">
        <v>1</v>
      </c>
      <c r="Q293" s="15"/>
      <c r="R293" s="15"/>
      <c r="S293" s="15"/>
      <c r="T293" s="15"/>
      <c r="U293" s="15"/>
      <c r="V293" s="1"/>
      <c r="W293" s="1"/>
      <c r="X293" s="1"/>
      <c r="Y293" s="15">
        <v>13800</v>
      </c>
      <c r="Z293" s="15"/>
      <c r="AA293" s="15"/>
      <c r="AB293" s="17"/>
      <c r="AC293" s="82"/>
      <c r="AD293" s="16" t="s">
        <v>52</v>
      </c>
      <c r="AE293" s="16" t="s">
        <v>1903</v>
      </c>
      <c r="AF293" s="16"/>
      <c r="AG293" s="16"/>
      <c r="AH293" s="16"/>
      <c r="AI293" s="16" t="s">
        <v>4416</v>
      </c>
      <c r="AJ293" s="16"/>
      <c r="AK293" s="16"/>
      <c r="AL293" s="16"/>
      <c r="AM293" s="16"/>
      <c r="AN293" s="16"/>
      <c r="AO293" s="16"/>
      <c r="AP293" s="16"/>
      <c r="AR293" s="88"/>
      <c r="AS293" s="88"/>
      <c r="AU293" s="12" t="s">
        <v>1931</v>
      </c>
      <c r="AV293" s="19"/>
      <c r="AW293" s="39">
        <v>90</v>
      </c>
      <c r="AY293" s="33"/>
      <c r="AZ293" s="33"/>
      <c r="BA293" s="33"/>
    </row>
    <row r="294" spans="1:53" ht="12" customHeight="1" x14ac:dyDescent="0.2">
      <c r="A294" s="10" t="s">
        <v>4427</v>
      </c>
      <c r="B294" s="39">
        <v>102085</v>
      </c>
      <c r="D294" s="10" t="s">
        <v>2943</v>
      </c>
      <c r="E294" s="14" t="s">
        <v>1901</v>
      </c>
      <c r="F294" s="1" t="s">
        <v>394</v>
      </c>
      <c r="G294" s="1" t="s">
        <v>2304</v>
      </c>
      <c r="H294" s="1"/>
      <c r="I294" s="1">
        <v>85</v>
      </c>
      <c r="J294" s="1"/>
      <c r="K294" s="1"/>
      <c r="L294" s="1"/>
      <c r="M294" s="1"/>
      <c r="O294" s="16" t="s">
        <v>367</v>
      </c>
      <c r="P294" s="1">
        <v>1</v>
      </c>
      <c r="Q294" s="15"/>
      <c r="R294" s="15"/>
      <c r="S294" s="15"/>
      <c r="T294" s="15"/>
      <c r="U294" s="15"/>
      <c r="V294" s="1"/>
      <c r="W294" s="1"/>
      <c r="X294" s="1"/>
      <c r="Y294" s="15">
        <v>13800</v>
      </c>
      <c r="Z294" s="15"/>
      <c r="AA294" s="15"/>
      <c r="AB294" s="17"/>
      <c r="AC294" s="82"/>
      <c r="AD294" s="16" t="s">
        <v>52</v>
      </c>
      <c r="AE294" s="16" t="s">
        <v>1903</v>
      </c>
      <c r="AF294" s="16"/>
      <c r="AG294" s="16"/>
      <c r="AH294" s="16"/>
      <c r="AI294" s="16" t="s">
        <v>4428</v>
      </c>
      <c r="AJ294" s="16"/>
      <c r="AK294" s="16"/>
      <c r="AL294" s="16"/>
      <c r="AM294" s="16"/>
      <c r="AN294" s="16"/>
      <c r="AO294" s="16"/>
      <c r="AP294" s="16"/>
      <c r="AR294" s="88"/>
      <c r="AS294" s="88"/>
      <c r="AU294" s="12" t="s">
        <v>1931</v>
      </c>
      <c r="AV294" s="19"/>
      <c r="AW294" s="39">
        <v>90</v>
      </c>
      <c r="AY294" s="33"/>
      <c r="AZ294" s="33"/>
      <c r="BA294" s="33"/>
    </row>
    <row r="295" spans="1:53" ht="12" customHeight="1" x14ac:dyDescent="0.2">
      <c r="A295" s="10" t="s">
        <v>5570</v>
      </c>
      <c r="B295" s="39">
        <v>102086</v>
      </c>
      <c r="D295" s="10" t="s">
        <v>2240</v>
      </c>
      <c r="E295" s="14" t="s">
        <v>1905</v>
      </c>
      <c r="F295" s="1" t="s">
        <v>396</v>
      </c>
      <c r="G295" s="1" t="s">
        <v>5571</v>
      </c>
      <c r="H295" s="1"/>
      <c r="I295" s="1">
        <v>86</v>
      </c>
      <c r="J295" s="1"/>
      <c r="K295" s="1"/>
      <c r="L295" s="1"/>
      <c r="M295" s="1"/>
      <c r="O295" s="16" t="s">
        <v>367</v>
      </c>
      <c r="P295" s="1">
        <v>1</v>
      </c>
      <c r="Q295" s="15"/>
      <c r="R295" s="15"/>
      <c r="S295" s="15"/>
      <c r="T295" s="15"/>
      <c r="U295" s="15"/>
      <c r="V295" s="1"/>
      <c r="W295" s="1"/>
      <c r="X295" s="1"/>
      <c r="Y295" s="15">
        <v>13800</v>
      </c>
      <c r="Z295" s="15"/>
      <c r="AA295" s="15"/>
      <c r="AB295" s="17"/>
      <c r="AC295" s="82"/>
      <c r="AD295" s="16" t="s">
        <v>52</v>
      </c>
      <c r="AE295" s="16" t="s">
        <v>1903</v>
      </c>
      <c r="AF295" s="16"/>
      <c r="AG295" s="16"/>
      <c r="AH295" s="16"/>
      <c r="AI295" s="16" t="s">
        <v>5572</v>
      </c>
      <c r="AJ295" s="16"/>
      <c r="AK295" s="16"/>
      <c r="AL295" s="16"/>
      <c r="AM295" s="16"/>
      <c r="AN295" s="16"/>
      <c r="AO295" s="16"/>
      <c r="AP295" s="16"/>
      <c r="AR295" s="88"/>
      <c r="AS295" s="88"/>
      <c r="AU295" s="12" t="s">
        <v>1931</v>
      </c>
      <c r="AV295" s="19"/>
      <c r="AW295" s="39">
        <v>90</v>
      </c>
      <c r="AY295" s="33"/>
      <c r="AZ295" s="33"/>
      <c r="BA295" s="33"/>
    </row>
    <row r="296" spans="1:53" ht="12" customHeight="1" x14ac:dyDescent="0.2">
      <c r="A296" s="10" t="s">
        <v>2584</v>
      </c>
      <c r="B296" s="39">
        <v>102087</v>
      </c>
      <c r="C296" s="42" t="s">
        <v>3218</v>
      </c>
      <c r="D296" s="10" t="s">
        <v>2943</v>
      </c>
      <c r="E296" s="14" t="s">
        <v>1901</v>
      </c>
      <c r="F296" s="1" t="s">
        <v>88</v>
      </c>
      <c r="G296" s="1" t="s">
        <v>2585</v>
      </c>
      <c r="H296" s="1"/>
      <c r="I296" s="1">
        <v>87</v>
      </c>
      <c r="J296" s="1"/>
      <c r="K296" s="1"/>
      <c r="L296" s="1"/>
      <c r="M296" s="1"/>
      <c r="O296" s="16" t="s">
        <v>367</v>
      </c>
      <c r="P296" s="1">
        <v>1</v>
      </c>
      <c r="Q296" s="15"/>
      <c r="R296" s="15"/>
      <c r="S296" s="15"/>
      <c r="T296" s="15"/>
      <c r="U296" s="15"/>
      <c r="V296" s="1"/>
      <c r="W296" s="1"/>
      <c r="X296" s="1"/>
      <c r="Y296" s="15">
        <v>13800</v>
      </c>
      <c r="Z296" s="15"/>
      <c r="AA296" s="15"/>
      <c r="AB296" s="17"/>
      <c r="AC296" s="82"/>
      <c r="AD296" s="16" t="s">
        <v>52</v>
      </c>
      <c r="AE296" s="16" t="s">
        <v>1903</v>
      </c>
      <c r="AF296" s="16"/>
      <c r="AG296" s="16"/>
      <c r="AH296" s="16"/>
      <c r="AI296" s="16" t="s">
        <v>2586</v>
      </c>
      <c r="AJ296" s="16"/>
      <c r="AK296" s="16"/>
      <c r="AL296" s="16"/>
      <c r="AM296" s="16"/>
      <c r="AN296" s="16"/>
      <c r="AO296" s="16"/>
      <c r="AP296" s="16"/>
      <c r="AR296" s="88"/>
      <c r="AS296" s="88"/>
      <c r="AU296" s="12" t="s">
        <v>1931</v>
      </c>
      <c r="AV296" s="19"/>
      <c r="AW296" s="39">
        <v>90</v>
      </c>
      <c r="AY296" s="33"/>
      <c r="AZ296" s="33"/>
      <c r="BA296" s="33"/>
    </row>
    <row r="297" spans="1:53" ht="12" customHeight="1" x14ac:dyDescent="0.2">
      <c r="A297" s="10" t="s">
        <v>5589</v>
      </c>
      <c r="B297" s="39">
        <v>102088</v>
      </c>
      <c r="D297" s="10" t="s">
        <v>2942</v>
      </c>
      <c r="E297" s="14" t="s">
        <v>1901</v>
      </c>
      <c r="F297" s="1" t="s">
        <v>89</v>
      </c>
      <c r="G297" s="1" t="s">
        <v>5591</v>
      </c>
      <c r="H297" s="1"/>
      <c r="I297" s="1">
        <v>88</v>
      </c>
      <c r="J297" s="1"/>
      <c r="K297" s="1"/>
      <c r="L297" s="1"/>
      <c r="M297" s="1"/>
      <c r="O297" s="16" t="s">
        <v>367</v>
      </c>
      <c r="P297" s="1">
        <v>1</v>
      </c>
      <c r="Q297" s="15"/>
      <c r="R297" s="15"/>
      <c r="S297" s="15"/>
      <c r="T297" s="15"/>
      <c r="U297" s="15"/>
      <c r="V297" s="1"/>
      <c r="W297" s="1"/>
      <c r="X297" s="1"/>
      <c r="Y297" s="15">
        <v>13800</v>
      </c>
      <c r="Z297" s="15"/>
      <c r="AA297" s="15"/>
      <c r="AB297" s="17"/>
      <c r="AC297" s="82"/>
      <c r="AD297" s="16" t="s">
        <v>52</v>
      </c>
      <c r="AE297" s="16" t="s">
        <v>1903</v>
      </c>
      <c r="AF297" s="16"/>
      <c r="AG297" s="16"/>
      <c r="AH297" s="16"/>
      <c r="AI297" s="16" t="s">
        <v>5592</v>
      </c>
      <c r="AJ297" s="16"/>
      <c r="AK297" s="16"/>
      <c r="AL297" s="16"/>
      <c r="AM297" s="16"/>
      <c r="AN297" s="16"/>
      <c r="AO297" s="16"/>
      <c r="AP297" s="16"/>
      <c r="AR297" s="88"/>
      <c r="AS297" s="88"/>
      <c r="AU297" s="12" t="s">
        <v>1931</v>
      </c>
      <c r="AV297" s="19"/>
      <c r="AW297" s="39">
        <v>90</v>
      </c>
      <c r="AY297" s="33"/>
      <c r="AZ297" s="33"/>
      <c r="BA297" s="33"/>
    </row>
    <row r="298" spans="1:53" ht="12" customHeight="1" x14ac:dyDescent="0.2">
      <c r="A298" s="10" t="s">
        <v>5590</v>
      </c>
      <c r="B298" s="39">
        <v>102089</v>
      </c>
      <c r="D298" s="10" t="s">
        <v>1847</v>
      </c>
      <c r="E298" s="14" t="s">
        <v>1905</v>
      </c>
      <c r="F298" s="1" t="s">
        <v>396</v>
      </c>
      <c r="G298" s="1" t="s">
        <v>5591</v>
      </c>
      <c r="H298" s="1"/>
      <c r="I298" s="1">
        <v>89</v>
      </c>
      <c r="J298" s="1"/>
      <c r="K298" s="1"/>
      <c r="L298" s="1"/>
      <c r="M298" s="1"/>
      <c r="O298" s="16" t="s">
        <v>367</v>
      </c>
      <c r="P298" s="1">
        <v>1</v>
      </c>
      <c r="Q298" s="15"/>
      <c r="R298" s="15"/>
      <c r="S298" s="15"/>
      <c r="T298" s="15"/>
      <c r="U298" s="15"/>
      <c r="V298" s="1"/>
      <c r="W298" s="1"/>
      <c r="X298" s="1"/>
      <c r="Y298" s="15">
        <v>13800</v>
      </c>
      <c r="Z298" s="15"/>
      <c r="AA298" s="15"/>
      <c r="AB298" s="17"/>
      <c r="AC298" s="82"/>
      <c r="AD298" s="16" t="s">
        <v>52</v>
      </c>
      <c r="AE298" s="16" t="s">
        <v>1903</v>
      </c>
      <c r="AF298" s="16"/>
      <c r="AG298" s="16"/>
      <c r="AH298" s="16"/>
      <c r="AI298" s="16" t="s">
        <v>5593</v>
      </c>
      <c r="AJ298" s="16"/>
      <c r="AK298" s="16"/>
      <c r="AL298" s="16"/>
      <c r="AM298" s="16"/>
      <c r="AN298" s="16"/>
      <c r="AO298" s="16"/>
      <c r="AP298" s="16"/>
      <c r="AR298" s="88"/>
      <c r="AS298" s="88"/>
      <c r="AU298" s="12" t="s">
        <v>1931</v>
      </c>
      <c r="AV298" s="19"/>
      <c r="AW298" s="39">
        <v>90</v>
      </c>
      <c r="AY298" s="33"/>
      <c r="AZ298" s="33"/>
      <c r="BA298" s="33"/>
    </row>
    <row r="299" spans="1:53" ht="12" customHeight="1" x14ac:dyDescent="0.2">
      <c r="A299" s="10" t="s">
        <v>2298</v>
      </c>
      <c r="B299" s="39">
        <v>102090</v>
      </c>
      <c r="C299" s="42" t="s">
        <v>3219</v>
      </c>
      <c r="D299" s="10" t="s">
        <v>2943</v>
      </c>
      <c r="E299" s="14" t="s">
        <v>1901</v>
      </c>
      <c r="F299" s="1" t="s">
        <v>394</v>
      </c>
      <c r="G299" s="1" t="s">
        <v>2304</v>
      </c>
      <c r="H299" s="1"/>
      <c r="I299" s="1">
        <v>90</v>
      </c>
      <c r="J299" s="1"/>
      <c r="K299" s="1"/>
      <c r="L299" s="1"/>
      <c r="M299" s="1"/>
      <c r="O299" s="16" t="s">
        <v>367</v>
      </c>
      <c r="P299" s="1">
        <v>1</v>
      </c>
      <c r="Q299" s="15"/>
      <c r="R299" s="15"/>
      <c r="S299" s="15"/>
      <c r="T299" s="15"/>
      <c r="U299" s="15"/>
      <c r="V299" s="1"/>
      <c r="W299" s="1"/>
      <c r="X299" s="1"/>
      <c r="Y299" s="15">
        <v>13800</v>
      </c>
      <c r="Z299" s="15"/>
      <c r="AA299" s="15"/>
      <c r="AB299" s="17"/>
      <c r="AC299" s="82"/>
      <c r="AD299" s="16" t="s">
        <v>52</v>
      </c>
      <c r="AE299" s="16" t="s">
        <v>1903</v>
      </c>
      <c r="AF299" s="16"/>
      <c r="AG299" s="16"/>
      <c r="AH299" s="16"/>
      <c r="AI299" s="16">
        <v>13090</v>
      </c>
      <c r="AJ299" s="16"/>
      <c r="AK299" s="16"/>
      <c r="AL299" s="16"/>
      <c r="AM299" s="16"/>
      <c r="AN299" s="16"/>
      <c r="AO299" s="16"/>
      <c r="AP299" s="16"/>
      <c r="AR299" s="88"/>
      <c r="AS299" s="88"/>
      <c r="AU299" s="12" t="s">
        <v>1931</v>
      </c>
      <c r="AV299" s="19"/>
      <c r="AW299" s="39">
        <v>90</v>
      </c>
      <c r="AY299" s="33"/>
      <c r="AZ299" s="33"/>
      <c r="BA299" s="33"/>
    </row>
    <row r="300" spans="1:53" ht="12" customHeight="1" x14ac:dyDescent="0.2">
      <c r="A300" s="10" t="s">
        <v>2299</v>
      </c>
      <c r="B300" s="39">
        <v>102091</v>
      </c>
      <c r="C300" s="42" t="s">
        <v>3220</v>
      </c>
      <c r="D300" s="10" t="s">
        <v>2240</v>
      </c>
      <c r="E300" s="14" t="s">
        <v>1905</v>
      </c>
      <c r="F300" s="1" t="s">
        <v>396</v>
      </c>
      <c r="G300" s="1" t="s">
        <v>2304</v>
      </c>
      <c r="H300" s="1"/>
      <c r="I300" s="1">
        <v>91</v>
      </c>
      <c r="J300" s="1"/>
      <c r="K300" s="1"/>
      <c r="L300" s="1"/>
      <c r="M300" s="1"/>
      <c r="O300" s="16" t="s">
        <v>367</v>
      </c>
      <c r="P300" s="1">
        <v>1</v>
      </c>
      <c r="Q300" s="15"/>
      <c r="R300" s="15"/>
      <c r="S300" s="15"/>
      <c r="T300" s="15"/>
      <c r="U300" s="15"/>
      <c r="V300" s="1"/>
      <c r="W300" s="1"/>
      <c r="X300" s="1"/>
      <c r="Y300" s="15">
        <v>13800</v>
      </c>
      <c r="Z300" s="15"/>
      <c r="AA300" s="15"/>
      <c r="AB300" s="17"/>
      <c r="AC300" s="82"/>
      <c r="AD300" s="16" t="s">
        <v>52</v>
      </c>
      <c r="AE300" s="16" t="s">
        <v>1903</v>
      </c>
      <c r="AF300" s="16"/>
      <c r="AG300" s="16"/>
      <c r="AH300" s="16"/>
      <c r="AI300" s="16">
        <v>13091</v>
      </c>
      <c r="AJ300" s="16"/>
      <c r="AK300" s="16"/>
      <c r="AL300" s="16"/>
      <c r="AM300" s="16"/>
      <c r="AN300" s="16"/>
      <c r="AO300" s="16"/>
      <c r="AP300" s="16"/>
      <c r="AR300" s="88"/>
      <c r="AS300" s="88"/>
      <c r="AU300" s="12" t="s">
        <v>1931</v>
      </c>
      <c r="AV300" s="19"/>
      <c r="AW300" s="39">
        <v>90</v>
      </c>
      <c r="AY300" s="33"/>
      <c r="AZ300" s="33"/>
      <c r="BA300" s="33"/>
    </row>
    <row r="301" spans="1:53" ht="12" customHeight="1" x14ac:dyDescent="0.2">
      <c r="A301" s="10" t="s">
        <v>2300</v>
      </c>
      <c r="B301" s="39">
        <v>102092</v>
      </c>
      <c r="C301" s="42" t="s">
        <v>3221</v>
      </c>
      <c r="D301" s="10" t="s">
        <v>2943</v>
      </c>
      <c r="E301" s="14" t="s">
        <v>1901</v>
      </c>
      <c r="F301" s="1" t="s">
        <v>395</v>
      </c>
      <c r="G301" s="1" t="s">
        <v>2304</v>
      </c>
      <c r="H301" s="1"/>
      <c r="I301" s="1">
        <v>92</v>
      </c>
      <c r="J301" s="1"/>
      <c r="K301" s="1"/>
      <c r="L301" s="1"/>
      <c r="M301" s="1"/>
      <c r="O301" s="16" t="s">
        <v>367</v>
      </c>
      <c r="P301" s="1">
        <v>1</v>
      </c>
      <c r="Q301" s="15"/>
      <c r="R301" s="15"/>
      <c r="S301" s="15"/>
      <c r="T301" s="15"/>
      <c r="U301" s="15"/>
      <c r="V301" s="1"/>
      <c r="W301" s="1"/>
      <c r="X301" s="1"/>
      <c r="Y301" s="15">
        <v>13800</v>
      </c>
      <c r="Z301" s="15"/>
      <c r="AA301" s="15"/>
      <c r="AB301" s="17"/>
      <c r="AC301" s="82"/>
      <c r="AD301" s="16" t="s">
        <v>52</v>
      </c>
      <c r="AE301" s="16" t="s">
        <v>1903</v>
      </c>
      <c r="AF301" s="16"/>
      <c r="AG301" s="16"/>
      <c r="AH301" s="16"/>
      <c r="AI301" s="16">
        <v>13092</v>
      </c>
      <c r="AJ301" s="16"/>
      <c r="AK301" s="16"/>
      <c r="AL301" s="16"/>
      <c r="AM301" s="16"/>
      <c r="AN301" s="16"/>
      <c r="AO301" s="16"/>
      <c r="AP301" s="16"/>
      <c r="AR301" s="88"/>
      <c r="AS301" s="88"/>
      <c r="AU301" s="12" t="s">
        <v>1931</v>
      </c>
      <c r="AV301" s="19"/>
      <c r="AW301" s="39">
        <v>90</v>
      </c>
      <c r="AY301" s="33"/>
      <c r="AZ301" s="33"/>
      <c r="BA301" s="33"/>
    </row>
    <row r="302" spans="1:53" ht="12" customHeight="1" x14ac:dyDescent="0.2">
      <c r="A302" s="10" t="s">
        <v>2301</v>
      </c>
      <c r="B302" s="39">
        <v>102093</v>
      </c>
      <c r="C302" s="42" t="s">
        <v>3222</v>
      </c>
      <c r="D302" s="10" t="s">
        <v>2943</v>
      </c>
      <c r="E302" s="14" t="s">
        <v>1901</v>
      </c>
      <c r="F302" s="1" t="s">
        <v>88</v>
      </c>
      <c r="G302" s="1" t="s">
        <v>2304</v>
      </c>
      <c r="H302" s="1"/>
      <c r="I302" s="1">
        <v>93</v>
      </c>
      <c r="J302" s="1"/>
      <c r="K302" s="1"/>
      <c r="L302" s="1"/>
      <c r="M302" s="1"/>
      <c r="O302" s="16" t="s">
        <v>367</v>
      </c>
      <c r="P302" s="1">
        <v>1</v>
      </c>
      <c r="Q302" s="15"/>
      <c r="R302" s="15"/>
      <c r="S302" s="15"/>
      <c r="T302" s="15"/>
      <c r="U302" s="15"/>
      <c r="V302" s="1"/>
      <c r="W302" s="1"/>
      <c r="X302" s="1"/>
      <c r="Y302" s="15">
        <v>13800</v>
      </c>
      <c r="Z302" s="15"/>
      <c r="AA302" s="15"/>
      <c r="AB302" s="17"/>
      <c r="AC302" s="82"/>
      <c r="AD302" s="16" t="s">
        <v>52</v>
      </c>
      <c r="AE302" s="16" t="s">
        <v>1903</v>
      </c>
      <c r="AF302" s="16"/>
      <c r="AG302" s="16"/>
      <c r="AH302" s="16"/>
      <c r="AI302" s="16">
        <v>13093</v>
      </c>
      <c r="AJ302" s="16"/>
      <c r="AK302" s="16"/>
      <c r="AL302" s="16"/>
      <c r="AM302" s="16"/>
      <c r="AN302" s="16"/>
      <c r="AO302" s="16"/>
      <c r="AP302" s="16"/>
      <c r="AR302" s="88"/>
      <c r="AS302" s="88"/>
      <c r="AU302" s="12" t="s">
        <v>1931</v>
      </c>
      <c r="AV302" s="19"/>
      <c r="AW302" s="39">
        <v>90</v>
      </c>
      <c r="AY302" s="33"/>
      <c r="AZ302" s="33"/>
      <c r="BA302" s="33"/>
    </row>
    <row r="303" spans="1:53" ht="12" customHeight="1" x14ac:dyDescent="0.2">
      <c r="A303" s="10" t="s">
        <v>2330</v>
      </c>
      <c r="B303" s="39">
        <v>102094</v>
      </c>
      <c r="C303" s="42" t="s">
        <v>3223</v>
      </c>
      <c r="D303" s="10" t="s">
        <v>2943</v>
      </c>
      <c r="E303" s="14" t="s">
        <v>1901</v>
      </c>
      <c r="F303" s="1" t="s">
        <v>394</v>
      </c>
      <c r="G303" s="1" t="s">
        <v>2304</v>
      </c>
      <c r="H303" s="1"/>
      <c r="I303" s="1">
        <v>94</v>
      </c>
      <c r="J303" s="1"/>
      <c r="K303" s="1"/>
      <c r="L303" s="1"/>
      <c r="M303" s="1"/>
      <c r="O303" s="16" t="s">
        <v>367</v>
      </c>
      <c r="P303" s="1">
        <v>1</v>
      </c>
      <c r="Q303" s="15"/>
      <c r="R303" s="15"/>
      <c r="S303" s="15"/>
      <c r="T303" s="15"/>
      <c r="U303" s="15"/>
      <c r="V303" s="1"/>
      <c r="W303" s="1"/>
      <c r="X303" s="1"/>
      <c r="Y303" s="15">
        <v>13800</v>
      </c>
      <c r="Z303" s="15"/>
      <c r="AA303" s="15"/>
      <c r="AB303" s="17"/>
      <c r="AC303" s="82"/>
      <c r="AD303" s="16" t="s">
        <v>52</v>
      </c>
      <c r="AE303" s="16" t="s">
        <v>1903</v>
      </c>
      <c r="AF303" s="16"/>
      <c r="AG303" s="16"/>
      <c r="AH303" s="16"/>
      <c r="AI303" s="16">
        <v>13094</v>
      </c>
      <c r="AJ303" s="16"/>
      <c r="AK303" s="16"/>
      <c r="AL303" s="16"/>
      <c r="AM303" s="16"/>
      <c r="AN303" s="16"/>
      <c r="AO303" s="16"/>
      <c r="AP303" s="16"/>
      <c r="AR303" s="88"/>
      <c r="AS303" s="88"/>
      <c r="AU303" s="12" t="s">
        <v>2331</v>
      </c>
      <c r="AV303" s="19"/>
      <c r="AW303" s="39">
        <v>90</v>
      </c>
      <c r="AY303" s="33"/>
      <c r="AZ303" s="33"/>
      <c r="BA303" s="33"/>
    </row>
    <row r="304" spans="1:53" ht="12" customHeight="1" x14ac:dyDescent="0.2">
      <c r="A304" s="10" t="s">
        <v>2453</v>
      </c>
      <c r="B304" s="39">
        <v>102095</v>
      </c>
      <c r="C304" s="42" t="s">
        <v>3224</v>
      </c>
      <c r="D304" s="10" t="s">
        <v>2943</v>
      </c>
      <c r="E304" s="14" t="s">
        <v>1901</v>
      </c>
      <c r="F304" s="1" t="s">
        <v>89</v>
      </c>
      <c r="G304" s="1" t="s">
        <v>2304</v>
      </c>
      <c r="H304" s="1"/>
      <c r="I304" s="1">
        <v>95</v>
      </c>
      <c r="J304" s="1"/>
      <c r="K304" s="1"/>
      <c r="L304" s="1"/>
      <c r="M304" s="1"/>
      <c r="O304" s="16" t="s">
        <v>367</v>
      </c>
      <c r="P304" s="1">
        <v>1</v>
      </c>
      <c r="Q304" s="15"/>
      <c r="R304" s="15"/>
      <c r="S304" s="15"/>
      <c r="T304" s="15"/>
      <c r="U304" s="15"/>
      <c r="V304" s="1"/>
      <c r="W304" s="1"/>
      <c r="X304" s="1"/>
      <c r="Y304" s="15">
        <v>13800</v>
      </c>
      <c r="Z304" s="15"/>
      <c r="AA304" s="15"/>
      <c r="AB304" s="17"/>
      <c r="AC304" s="82"/>
      <c r="AD304" s="16" t="s">
        <v>52</v>
      </c>
      <c r="AE304" s="16" t="s">
        <v>1903</v>
      </c>
      <c r="AF304" s="16"/>
      <c r="AG304" s="16"/>
      <c r="AH304" s="16"/>
      <c r="AI304" s="16" t="s">
        <v>2454</v>
      </c>
      <c r="AJ304" s="16"/>
      <c r="AK304" s="16"/>
      <c r="AL304" s="16"/>
      <c r="AM304" s="16"/>
      <c r="AN304" s="16"/>
      <c r="AO304" s="16"/>
      <c r="AP304" s="16"/>
      <c r="AR304" s="88"/>
      <c r="AS304" s="88"/>
      <c r="AU304" s="12" t="s">
        <v>1931</v>
      </c>
      <c r="AV304" s="19"/>
      <c r="AW304" s="39">
        <v>90</v>
      </c>
      <c r="AY304" s="33"/>
      <c r="AZ304" s="33"/>
      <c r="BA304" s="33"/>
    </row>
    <row r="305" spans="1:53" ht="12" customHeight="1" x14ac:dyDescent="0.2">
      <c r="A305" s="10" t="s">
        <v>2597</v>
      </c>
      <c r="B305" s="39">
        <v>102096</v>
      </c>
      <c r="C305" s="42" t="s">
        <v>3225</v>
      </c>
      <c r="D305" s="10" t="s">
        <v>2943</v>
      </c>
      <c r="E305" s="14" t="s">
        <v>1901</v>
      </c>
      <c r="F305" s="1" t="s">
        <v>88</v>
      </c>
      <c r="G305" s="1" t="s">
        <v>2304</v>
      </c>
      <c r="H305" s="1"/>
      <c r="I305" s="1">
        <v>96</v>
      </c>
      <c r="J305" s="1"/>
      <c r="K305" s="1"/>
      <c r="L305" s="1"/>
      <c r="M305" s="1"/>
      <c r="O305" s="16" t="s">
        <v>367</v>
      </c>
      <c r="P305" s="1">
        <v>1</v>
      </c>
      <c r="Q305" s="15"/>
      <c r="R305" s="15"/>
      <c r="S305" s="15"/>
      <c r="T305" s="15"/>
      <c r="U305" s="15"/>
      <c r="V305" s="1"/>
      <c r="W305" s="1"/>
      <c r="X305" s="1"/>
      <c r="Y305" s="15">
        <v>13800</v>
      </c>
      <c r="Z305" s="15"/>
      <c r="AA305" s="15"/>
      <c r="AB305" s="17"/>
      <c r="AC305" s="82"/>
      <c r="AD305" s="16" t="s">
        <v>52</v>
      </c>
      <c r="AE305" s="16" t="s">
        <v>1903</v>
      </c>
      <c r="AF305" s="16"/>
      <c r="AG305" s="16"/>
      <c r="AH305" s="16"/>
      <c r="AI305" s="16" t="s">
        <v>2598</v>
      </c>
      <c r="AJ305" s="16"/>
      <c r="AK305" s="16"/>
      <c r="AL305" s="16"/>
      <c r="AM305" s="16"/>
      <c r="AN305" s="16"/>
      <c r="AO305" s="16"/>
      <c r="AP305" s="16"/>
      <c r="AR305" s="88"/>
      <c r="AS305" s="88"/>
      <c r="AU305" s="12" t="s">
        <v>1931</v>
      </c>
      <c r="AV305" s="19"/>
      <c r="AW305" s="39">
        <v>90</v>
      </c>
      <c r="AY305" s="33"/>
      <c r="AZ305" s="33"/>
      <c r="BA305" s="33"/>
    </row>
    <row r="306" spans="1:53" ht="12" customHeight="1" x14ac:dyDescent="0.2">
      <c r="A306" s="10" t="s">
        <v>2864</v>
      </c>
      <c r="B306" s="39">
        <v>102097</v>
      </c>
      <c r="C306" s="42" t="s">
        <v>3226</v>
      </c>
      <c r="D306" s="10" t="s">
        <v>2943</v>
      </c>
      <c r="E306" s="14" t="s">
        <v>1901</v>
      </c>
      <c r="F306" s="1" t="s">
        <v>91</v>
      </c>
      <c r="G306" s="1" t="s">
        <v>2304</v>
      </c>
      <c r="H306" s="1"/>
      <c r="I306" s="1">
        <v>97</v>
      </c>
      <c r="J306" s="1"/>
      <c r="K306" s="1"/>
      <c r="L306" s="1"/>
      <c r="M306" s="1"/>
      <c r="O306" s="16" t="s">
        <v>367</v>
      </c>
      <c r="P306" s="1">
        <v>1</v>
      </c>
      <c r="Q306" s="15"/>
      <c r="R306" s="15"/>
      <c r="S306" s="15"/>
      <c r="T306" s="15"/>
      <c r="U306" s="15"/>
      <c r="V306" s="1"/>
      <c r="W306" s="1"/>
      <c r="X306" s="1"/>
      <c r="Y306" s="15">
        <v>13800</v>
      </c>
      <c r="Z306" s="15"/>
      <c r="AA306" s="15"/>
      <c r="AB306" s="17"/>
      <c r="AC306" s="82"/>
      <c r="AD306" s="16" t="s">
        <v>52</v>
      </c>
      <c r="AE306" s="16" t="s">
        <v>1903</v>
      </c>
      <c r="AF306" s="16"/>
      <c r="AG306" s="16"/>
      <c r="AH306" s="16"/>
      <c r="AI306" s="16" t="s">
        <v>2865</v>
      </c>
      <c r="AJ306" s="16"/>
      <c r="AK306" s="16"/>
      <c r="AL306" s="16"/>
      <c r="AM306" s="16"/>
      <c r="AN306" s="16"/>
      <c r="AO306" s="16"/>
      <c r="AP306" s="16"/>
      <c r="AR306" s="88"/>
      <c r="AS306" s="88"/>
      <c r="AU306" s="12" t="s">
        <v>1931</v>
      </c>
      <c r="AV306" s="19"/>
      <c r="AW306" s="39">
        <v>90</v>
      </c>
      <c r="AY306" s="33"/>
      <c r="AZ306" s="33"/>
      <c r="BA306" s="33"/>
    </row>
    <row r="307" spans="1:53" ht="12" customHeight="1" x14ac:dyDescent="0.2">
      <c r="A307" s="10" t="s">
        <v>2883</v>
      </c>
      <c r="B307" s="39">
        <v>102098</v>
      </c>
      <c r="C307" s="42" t="s">
        <v>3227</v>
      </c>
      <c r="D307" s="10" t="s">
        <v>2943</v>
      </c>
      <c r="E307" s="14" t="s">
        <v>1901</v>
      </c>
      <c r="F307" s="1" t="s">
        <v>395</v>
      </c>
      <c r="G307" s="1" t="s">
        <v>2304</v>
      </c>
      <c r="H307" s="1"/>
      <c r="I307" s="1">
        <v>98</v>
      </c>
      <c r="J307" s="1"/>
      <c r="K307" s="1"/>
      <c r="L307" s="1"/>
      <c r="M307" s="1"/>
      <c r="O307" s="16" t="s">
        <v>367</v>
      </c>
      <c r="P307" s="1">
        <v>1</v>
      </c>
      <c r="Q307" s="15"/>
      <c r="R307" s="15"/>
      <c r="S307" s="15"/>
      <c r="T307" s="15"/>
      <c r="U307" s="15"/>
      <c r="V307" s="1"/>
      <c r="W307" s="1"/>
      <c r="X307" s="1"/>
      <c r="Y307" s="15">
        <v>13800</v>
      </c>
      <c r="Z307" s="15"/>
      <c r="AA307" s="15"/>
      <c r="AB307" s="17"/>
      <c r="AC307" s="82"/>
      <c r="AD307" s="16" t="s">
        <v>52</v>
      </c>
      <c r="AE307" s="16" t="s">
        <v>1903</v>
      </c>
      <c r="AF307" s="16"/>
      <c r="AG307" s="16"/>
      <c r="AH307" s="16"/>
      <c r="AI307" s="16" t="s">
        <v>2884</v>
      </c>
      <c r="AJ307" s="16"/>
      <c r="AK307" s="16"/>
      <c r="AL307" s="16"/>
      <c r="AM307" s="16"/>
      <c r="AN307" s="16"/>
      <c r="AO307" s="16"/>
      <c r="AP307" s="16"/>
      <c r="AR307" s="88"/>
      <c r="AS307" s="88"/>
      <c r="AU307" s="12" t="s">
        <v>1931</v>
      </c>
      <c r="AV307" s="19"/>
      <c r="AW307" s="39">
        <v>90</v>
      </c>
      <c r="AY307" s="33"/>
      <c r="AZ307" s="33"/>
      <c r="BA307" s="33"/>
    </row>
    <row r="308" spans="1:53" ht="12" customHeight="1" x14ac:dyDescent="0.2">
      <c r="A308" s="10" t="s">
        <v>4449</v>
      </c>
      <c r="B308" s="39">
        <v>102099</v>
      </c>
      <c r="D308" s="10" t="s">
        <v>2943</v>
      </c>
      <c r="E308" s="14" t="s">
        <v>1901</v>
      </c>
      <c r="F308" s="1" t="s">
        <v>90</v>
      </c>
      <c r="G308" s="1" t="s">
        <v>2304</v>
      </c>
      <c r="H308" s="1"/>
      <c r="I308" s="1">
        <v>99</v>
      </c>
      <c r="J308" s="1"/>
      <c r="K308" s="1"/>
      <c r="L308" s="1"/>
      <c r="M308" s="1"/>
      <c r="O308" s="16" t="s">
        <v>367</v>
      </c>
      <c r="P308" s="1">
        <v>1</v>
      </c>
      <c r="Q308" s="15"/>
      <c r="R308" s="15"/>
      <c r="S308" s="15"/>
      <c r="T308" s="15"/>
      <c r="U308" s="15"/>
      <c r="V308" s="1"/>
      <c r="W308" s="1"/>
      <c r="X308" s="1"/>
      <c r="Y308" s="15">
        <v>13800</v>
      </c>
      <c r="Z308" s="15"/>
      <c r="AA308" s="15"/>
      <c r="AB308" s="17"/>
      <c r="AC308" s="82"/>
      <c r="AD308" s="16" t="s">
        <v>52</v>
      </c>
      <c r="AE308" s="16" t="s">
        <v>1903</v>
      </c>
      <c r="AF308" s="16"/>
      <c r="AG308" s="16"/>
      <c r="AH308" s="16"/>
      <c r="AI308" s="16" t="s">
        <v>4450</v>
      </c>
      <c r="AJ308" s="16"/>
      <c r="AK308" s="16"/>
      <c r="AL308" s="16"/>
      <c r="AM308" s="16"/>
      <c r="AN308" s="16"/>
      <c r="AO308" s="16"/>
      <c r="AP308" s="16"/>
      <c r="AR308" s="88"/>
      <c r="AS308" s="88"/>
      <c r="AU308" s="12" t="s">
        <v>1931</v>
      </c>
      <c r="AV308" s="19"/>
      <c r="AW308" s="39">
        <v>90</v>
      </c>
      <c r="AY308" s="33"/>
      <c r="AZ308" s="33"/>
      <c r="BA308" s="33"/>
    </row>
    <row r="309" spans="1:53" ht="12" customHeight="1" x14ac:dyDescent="0.2">
      <c r="A309" s="10" t="s">
        <v>5610</v>
      </c>
      <c r="B309" s="39">
        <v>102100</v>
      </c>
      <c r="D309" s="10" t="s">
        <v>2943</v>
      </c>
      <c r="E309" s="14" t="s">
        <v>1901</v>
      </c>
      <c r="F309" s="1" t="s">
        <v>395</v>
      </c>
      <c r="G309" s="1" t="s">
        <v>2304</v>
      </c>
      <c r="H309" s="1"/>
      <c r="I309" s="1">
        <v>100</v>
      </c>
      <c r="J309" s="1"/>
      <c r="K309" s="1"/>
      <c r="L309" s="1"/>
      <c r="M309" s="1"/>
      <c r="O309" s="16" t="s">
        <v>367</v>
      </c>
      <c r="P309" s="1">
        <v>1</v>
      </c>
      <c r="Q309" s="15"/>
      <c r="R309" s="15"/>
      <c r="S309" s="15"/>
      <c r="T309" s="15"/>
      <c r="U309" s="15"/>
      <c r="V309" s="1"/>
      <c r="W309" s="1"/>
      <c r="X309" s="1"/>
      <c r="Y309" s="15">
        <v>13800</v>
      </c>
      <c r="Z309" s="15"/>
      <c r="AA309" s="15"/>
      <c r="AB309" s="17"/>
      <c r="AC309" s="82"/>
      <c r="AD309" s="16" t="s">
        <v>52</v>
      </c>
      <c r="AE309" s="16" t="s">
        <v>1903</v>
      </c>
      <c r="AF309" s="16"/>
      <c r="AG309" s="16"/>
      <c r="AH309" s="16"/>
      <c r="AI309" s="16" t="s">
        <v>5605</v>
      </c>
      <c r="AJ309" s="16"/>
      <c r="AK309" s="16"/>
      <c r="AL309" s="16"/>
      <c r="AM309" s="16"/>
      <c r="AN309" s="16"/>
      <c r="AO309" s="16"/>
      <c r="AP309" s="16"/>
      <c r="AR309" s="88"/>
      <c r="AS309" s="88"/>
      <c r="AU309" s="12" t="s">
        <v>1931</v>
      </c>
      <c r="AV309" s="19"/>
      <c r="AW309" s="39">
        <v>90</v>
      </c>
      <c r="AY309" s="33"/>
      <c r="AZ309" s="33"/>
      <c r="BA309" s="33"/>
    </row>
    <row r="310" spans="1:53" ht="12" customHeight="1" x14ac:dyDescent="0.2">
      <c r="A310" s="10" t="s">
        <v>5635</v>
      </c>
      <c r="B310" s="39">
        <v>102101</v>
      </c>
      <c r="D310" s="10" t="s">
        <v>2943</v>
      </c>
      <c r="E310" s="14" t="s">
        <v>1901</v>
      </c>
      <c r="F310" s="1" t="s">
        <v>90</v>
      </c>
      <c r="G310" s="1" t="s">
        <v>2304</v>
      </c>
      <c r="H310" s="1"/>
      <c r="I310" s="1">
        <v>101</v>
      </c>
      <c r="J310" s="1"/>
      <c r="K310" s="1"/>
      <c r="L310" s="1"/>
      <c r="M310" s="1"/>
      <c r="O310" s="16" t="s">
        <v>367</v>
      </c>
      <c r="P310" s="1">
        <v>1</v>
      </c>
      <c r="Q310" s="15"/>
      <c r="R310" s="15"/>
      <c r="S310" s="15"/>
      <c r="T310" s="15"/>
      <c r="U310" s="15"/>
      <c r="V310" s="1"/>
      <c r="W310" s="1"/>
      <c r="X310" s="1"/>
      <c r="Y310" s="15">
        <v>13800</v>
      </c>
      <c r="Z310" s="15"/>
      <c r="AA310" s="15"/>
      <c r="AB310" s="17"/>
      <c r="AC310" s="82"/>
      <c r="AD310" s="16" t="s">
        <v>52</v>
      </c>
      <c r="AE310" s="16" t="s">
        <v>1903</v>
      </c>
      <c r="AF310" s="16"/>
      <c r="AG310" s="16"/>
      <c r="AH310" s="16"/>
      <c r="AI310" s="16" t="s">
        <v>5636</v>
      </c>
      <c r="AJ310" s="16"/>
      <c r="AK310" s="16"/>
      <c r="AL310" s="16"/>
      <c r="AM310" s="16"/>
      <c r="AN310" s="16"/>
      <c r="AO310" s="16"/>
      <c r="AP310" s="16"/>
      <c r="AR310" s="88"/>
      <c r="AS310" s="88"/>
      <c r="AU310" s="12" t="s">
        <v>1931</v>
      </c>
      <c r="AV310" s="19"/>
      <c r="AW310" s="39">
        <v>90</v>
      </c>
      <c r="AY310" s="33"/>
      <c r="AZ310" s="33"/>
      <c r="BA310" s="33"/>
    </row>
    <row r="311" spans="1:53" ht="12" customHeight="1" x14ac:dyDescent="0.2">
      <c r="A311" s="10" t="s">
        <v>5649</v>
      </c>
      <c r="B311" s="39">
        <v>102102</v>
      </c>
      <c r="D311" s="10" t="s">
        <v>2943</v>
      </c>
      <c r="E311" s="14" t="s">
        <v>1901</v>
      </c>
      <c r="F311" s="1" t="s">
        <v>394</v>
      </c>
      <c r="G311" s="1" t="s">
        <v>2304</v>
      </c>
      <c r="H311" s="1"/>
      <c r="I311" s="1">
        <v>102</v>
      </c>
      <c r="J311" s="1"/>
      <c r="K311" s="1"/>
      <c r="L311" s="1"/>
      <c r="M311" s="1"/>
      <c r="O311" s="16" t="s">
        <v>367</v>
      </c>
      <c r="P311" s="1">
        <v>1</v>
      </c>
      <c r="Q311" s="15"/>
      <c r="R311" s="15"/>
      <c r="S311" s="15"/>
      <c r="T311" s="15"/>
      <c r="U311" s="15"/>
      <c r="V311" s="1"/>
      <c r="W311" s="1"/>
      <c r="X311" s="1"/>
      <c r="Y311" s="15">
        <v>13800</v>
      </c>
      <c r="Z311" s="15"/>
      <c r="AA311" s="15"/>
      <c r="AB311" s="17"/>
      <c r="AC311" s="82"/>
      <c r="AD311" s="16" t="s">
        <v>52</v>
      </c>
      <c r="AE311" s="16" t="s">
        <v>1903</v>
      </c>
      <c r="AF311" s="16"/>
      <c r="AG311" s="16"/>
      <c r="AH311" s="16"/>
      <c r="AI311" s="16" t="s">
        <v>5650</v>
      </c>
      <c r="AJ311" s="16"/>
      <c r="AK311" s="16"/>
      <c r="AL311" s="16"/>
      <c r="AM311" s="16"/>
      <c r="AN311" s="16"/>
      <c r="AO311" s="16"/>
      <c r="AP311" s="16"/>
      <c r="AR311" s="88"/>
      <c r="AS311" s="88"/>
      <c r="AU311" s="12" t="s">
        <v>1931</v>
      </c>
      <c r="AV311" s="19"/>
      <c r="AW311" s="39">
        <v>90</v>
      </c>
      <c r="AY311" s="33"/>
      <c r="AZ311" s="33"/>
      <c r="BA311" s="33"/>
    </row>
    <row r="312" spans="1:53" ht="12" customHeight="1" x14ac:dyDescent="0.2">
      <c r="A312" s="10" t="s">
        <v>5679</v>
      </c>
      <c r="B312" s="39">
        <v>102111</v>
      </c>
      <c r="D312" s="10" t="s">
        <v>2943</v>
      </c>
      <c r="E312" s="14" t="s">
        <v>1901</v>
      </c>
      <c r="F312" s="1" t="s">
        <v>91</v>
      </c>
      <c r="G312" s="1" t="s">
        <v>2304</v>
      </c>
      <c r="H312" s="1"/>
      <c r="I312" s="1">
        <v>111</v>
      </c>
      <c r="J312" s="1"/>
      <c r="K312" s="1"/>
      <c r="L312" s="1"/>
      <c r="M312" s="1"/>
      <c r="O312" s="16" t="s">
        <v>367</v>
      </c>
      <c r="P312" s="1">
        <v>1</v>
      </c>
      <c r="Q312" s="15"/>
      <c r="R312" s="15"/>
      <c r="S312" s="15"/>
      <c r="T312" s="15"/>
      <c r="U312" s="15"/>
      <c r="V312" s="1"/>
      <c r="W312" s="1"/>
      <c r="X312" s="1"/>
      <c r="Y312" s="15">
        <v>13800</v>
      </c>
      <c r="Z312" s="15"/>
      <c r="AA312" s="15"/>
      <c r="AB312" s="17"/>
      <c r="AC312" s="82"/>
      <c r="AD312" s="16" t="s">
        <v>52</v>
      </c>
      <c r="AE312" s="16" t="s">
        <v>1903</v>
      </c>
      <c r="AF312" s="16"/>
      <c r="AG312" s="16"/>
      <c r="AH312" s="16"/>
      <c r="AI312" s="16" t="s">
        <v>5680</v>
      </c>
      <c r="AJ312" s="16"/>
      <c r="AK312" s="16"/>
      <c r="AL312" s="16"/>
      <c r="AM312" s="16"/>
      <c r="AN312" s="16"/>
      <c r="AO312" s="16"/>
      <c r="AP312" s="16"/>
      <c r="AR312" s="88"/>
      <c r="AS312" s="88"/>
      <c r="AU312" s="12" t="s">
        <v>1931</v>
      </c>
      <c r="AV312" s="19"/>
      <c r="AW312" s="39">
        <v>90</v>
      </c>
      <c r="AY312" s="33"/>
      <c r="AZ312" s="33"/>
      <c r="BA312" s="33"/>
    </row>
    <row r="313" spans="1:53" ht="12" customHeight="1" x14ac:dyDescent="0.2">
      <c r="A313" s="10" t="s">
        <v>2375</v>
      </c>
      <c r="B313" s="39">
        <v>103001</v>
      </c>
      <c r="C313" s="42" t="s">
        <v>3228</v>
      </c>
      <c r="D313" s="10" t="s">
        <v>2944</v>
      </c>
      <c r="E313" s="14" t="s">
        <v>1901</v>
      </c>
      <c r="F313" s="1" t="s">
        <v>89</v>
      </c>
      <c r="G313" s="1" t="s">
        <v>2445</v>
      </c>
      <c r="H313" s="1"/>
      <c r="I313" s="1">
        <v>1</v>
      </c>
      <c r="J313" s="1"/>
      <c r="K313" s="1"/>
      <c r="L313" s="1"/>
      <c r="M313" s="1"/>
      <c r="O313" s="16" t="s">
        <v>335</v>
      </c>
      <c r="P313" s="1">
        <v>1</v>
      </c>
      <c r="Q313" s="15"/>
      <c r="R313" s="15"/>
      <c r="S313" s="15"/>
      <c r="T313" s="15"/>
      <c r="U313" s="15"/>
      <c r="V313" s="1"/>
      <c r="W313" s="1"/>
      <c r="X313" s="1"/>
      <c r="Y313" s="15">
        <v>13800</v>
      </c>
      <c r="Z313" s="15"/>
      <c r="AA313" s="15"/>
      <c r="AB313" s="17"/>
      <c r="AC313" s="82"/>
      <c r="AD313" s="16" t="s">
        <v>98</v>
      </c>
      <c r="AE313" s="16" t="s">
        <v>1903</v>
      </c>
      <c r="AF313" s="16"/>
      <c r="AG313" s="16"/>
      <c r="AH313" s="16"/>
      <c r="AI313" s="16">
        <v>14001</v>
      </c>
      <c r="AJ313" s="16"/>
      <c r="AK313" s="16"/>
      <c r="AL313" s="16"/>
      <c r="AM313" s="16"/>
      <c r="AN313" s="16"/>
      <c r="AO313" s="16"/>
      <c r="AP313" s="16"/>
      <c r="AR313" s="88"/>
      <c r="AS313" s="88"/>
      <c r="AU313" s="12" t="s">
        <v>1931</v>
      </c>
      <c r="AV313" s="13"/>
      <c r="AW313" s="39">
        <v>90</v>
      </c>
      <c r="AY313" s="32"/>
      <c r="AZ313" s="32"/>
      <c r="BA313" s="32"/>
    </row>
    <row r="314" spans="1:53" ht="12" customHeight="1" x14ac:dyDescent="0.2">
      <c r="A314" s="10" t="s">
        <v>2376</v>
      </c>
      <c r="B314" s="39">
        <v>103002</v>
      </c>
      <c r="C314" s="42" t="s">
        <v>3229</v>
      </c>
      <c r="D314" s="10" t="s">
        <v>2944</v>
      </c>
      <c r="E314" s="14" t="s">
        <v>1901</v>
      </c>
      <c r="F314" s="1" t="s">
        <v>394</v>
      </c>
      <c r="G314" s="1" t="s">
        <v>2445</v>
      </c>
      <c r="H314" s="1"/>
      <c r="I314" s="1">
        <v>2</v>
      </c>
      <c r="J314" s="1"/>
      <c r="K314" s="1"/>
      <c r="L314" s="1"/>
      <c r="M314" s="1"/>
      <c r="O314" s="16" t="s">
        <v>335</v>
      </c>
      <c r="P314" s="1">
        <v>1</v>
      </c>
      <c r="Q314" s="15"/>
      <c r="R314" s="15"/>
      <c r="S314" s="15"/>
      <c r="T314" s="15"/>
      <c r="U314" s="15"/>
      <c r="V314" s="1"/>
      <c r="W314" s="1"/>
      <c r="X314" s="1"/>
      <c r="Y314" s="15">
        <v>13800</v>
      </c>
      <c r="Z314" s="15"/>
      <c r="AA314" s="15"/>
      <c r="AB314" s="17"/>
      <c r="AC314" s="82"/>
      <c r="AD314" s="16" t="s">
        <v>98</v>
      </c>
      <c r="AE314" s="16" t="s">
        <v>1903</v>
      </c>
      <c r="AF314" s="16"/>
      <c r="AG314" s="16"/>
      <c r="AH314" s="16"/>
      <c r="AI314" s="16">
        <v>14002</v>
      </c>
      <c r="AJ314" s="16"/>
      <c r="AK314" s="16"/>
      <c r="AL314" s="16"/>
      <c r="AM314" s="16"/>
      <c r="AN314" s="16"/>
      <c r="AO314" s="16"/>
      <c r="AP314" s="16"/>
      <c r="AR314" s="88"/>
      <c r="AS314" s="88"/>
      <c r="AU314" s="12" t="s">
        <v>1931</v>
      </c>
      <c r="AV314" s="19"/>
      <c r="AW314" s="39">
        <v>90</v>
      </c>
      <c r="AY314" s="33"/>
      <c r="AZ314" s="33"/>
      <c r="BA314" s="33"/>
    </row>
    <row r="315" spans="1:53" ht="12" customHeight="1" x14ac:dyDescent="0.2">
      <c r="A315" s="10" t="s">
        <v>2377</v>
      </c>
      <c r="B315" s="39">
        <v>103003</v>
      </c>
      <c r="C315" s="42" t="s">
        <v>3230</v>
      </c>
      <c r="D315" s="10" t="s">
        <v>2944</v>
      </c>
      <c r="E315" s="14" t="s">
        <v>1901</v>
      </c>
      <c r="F315" s="1" t="s">
        <v>395</v>
      </c>
      <c r="G315" s="1" t="s">
        <v>2445</v>
      </c>
      <c r="H315" s="1"/>
      <c r="I315" s="1">
        <v>3</v>
      </c>
      <c r="J315" s="1"/>
      <c r="K315" s="1"/>
      <c r="L315" s="1"/>
      <c r="M315" s="1"/>
      <c r="O315" s="16" t="s">
        <v>367</v>
      </c>
      <c r="P315" s="1">
        <v>1</v>
      </c>
      <c r="Q315" s="15"/>
      <c r="R315" s="15"/>
      <c r="S315" s="15"/>
      <c r="T315" s="15"/>
      <c r="U315" s="15"/>
      <c r="V315" s="1"/>
      <c r="W315" s="1"/>
      <c r="X315" s="1"/>
      <c r="Y315" s="15">
        <v>13800</v>
      </c>
      <c r="Z315" s="15"/>
      <c r="AA315" s="15"/>
      <c r="AB315" s="17"/>
      <c r="AC315" s="82"/>
      <c r="AD315" s="16" t="s">
        <v>52</v>
      </c>
      <c r="AE315" s="16" t="s">
        <v>1903</v>
      </c>
      <c r="AF315" s="16"/>
      <c r="AG315" s="16"/>
      <c r="AH315" s="16"/>
      <c r="AI315" s="16">
        <v>14003</v>
      </c>
      <c r="AJ315" s="16"/>
      <c r="AK315" s="16"/>
      <c r="AL315" s="16"/>
      <c r="AM315" s="16"/>
      <c r="AN315" s="16"/>
      <c r="AO315" s="16"/>
      <c r="AP315" s="16"/>
      <c r="AR315" s="88"/>
      <c r="AS315" s="88"/>
      <c r="AU315" s="12" t="s">
        <v>1931</v>
      </c>
      <c r="AV315" s="19"/>
      <c r="AW315" s="39">
        <v>90</v>
      </c>
      <c r="AY315" s="33"/>
      <c r="AZ315" s="33"/>
      <c r="BA315" s="33"/>
    </row>
    <row r="316" spans="1:53" ht="12" customHeight="1" x14ac:dyDescent="0.2">
      <c r="A316" s="10" t="s">
        <v>2378</v>
      </c>
      <c r="B316" s="39">
        <v>103004</v>
      </c>
      <c r="C316" s="42" t="s">
        <v>3231</v>
      </c>
      <c r="D316" s="10" t="s">
        <v>2944</v>
      </c>
      <c r="E316" s="14" t="s">
        <v>1901</v>
      </c>
      <c r="F316" s="1" t="s">
        <v>396</v>
      </c>
      <c r="G316" s="1" t="s">
        <v>2445</v>
      </c>
      <c r="H316" s="1"/>
      <c r="I316" s="1">
        <v>4</v>
      </c>
      <c r="J316" s="1"/>
      <c r="K316" s="1"/>
      <c r="L316" s="1"/>
      <c r="M316" s="1"/>
      <c r="O316" s="16" t="s">
        <v>367</v>
      </c>
      <c r="P316" s="1">
        <v>1</v>
      </c>
      <c r="Q316" s="15"/>
      <c r="R316" s="15"/>
      <c r="S316" s="15"/>
      <c r="T316" s="15"/>
      <c r="U316" s="15"/>
      <c r="V316" s="1"/>
      <c r="W316" s="1"/>
      <c r="X316" s="1"/>
      <c r="Y316" s="15">
        <v>13800</v>
      </c>
      <c r="Z316" s="15"/>
      <c r="AA316" s="15"/>
      <c r="AB316" s="17"/>
      <c r="AC316" s="82"/>
      <c r="AD316" s="16" t="s">
        <v>52</v>
      </c>
      <c r="AE316" s="16" t="s">
        <v>1903</v>
      </c>
      <c r="AF316" s="16"/>
      <c r="AG316" s="16"/>
      <c r="AH316" s="16"/>
      <c r="AI316" s="16">
        <v>14004</v>
      </c>
      <c r="AJ316" s="16"/>
      <c r="AK316" s="16"/>
      <c r="AL316" s="16"/>
      <c r="AM316" s="16"/>
      <c r="AN316" s="16"/>
      <c r="AO316" s="16"/>
      <c r="AP316" s="16"/>
      <c r="AR316" s="88"/>
      <c r="AS316" s="88"/>
      <c r="AU316" s="12" t="s">
        <v>1931</v>
      </c>
      <c r="AV316" s="19"/>
      <c r="AW316" s="39">
        <v>90</v>
      </c>
      <c r="AY316" s="33"/>
      <c r="AZ316" s="33"/>
      <c r="BA316" s="33"/>
    </row>
    <row r="317" spans="1:53" ht="12" customHeight="1" x14ac:dyDescent="0.2">
      <c r="A317" s="10" t="s">
        <v>2379</v>
      </c>
      <c r="B317" s="39">
        <v>103005</v>
      </c>
      <c r="C317" s="42" t="s">
        <v>3232</v>
      </c>
      <c r="D317" s="10" t="s">
        <v>2944</v>
      </c>
      <c r="E317" s="14" t="s">
        <v>1901</v>
      </c>
      <c r="F317" s="1" t="s">
        <v>89</v>
      </c>
      <c r="G317" s="1" t="s">
        <v>2445</v>
      </c>
      <c r="H317" s="1"/>
      <c r="I317" s="1">
        <v>5</v>
      </c>
      <c r="J317" s="1"/>
      <c r="K317" s="1"/>
      <c r="L317" s="1"/>
      <c r="M317" s="1"/>
      <c r="O317" s="16" t="s">
        <v>367</v>
      </c>
      <c r="P317" s="1">
        <v>1</v>
      </c>
      <c r="Q317" s="15"/>
      <c r="R317" s="15"/>
      <c r="S317" s="15"/>
      <c r="T317" s="15"/>
      <c r="U317" s="15"/>
      <c r="V317" s="1"/>
      <c r="W317" s="1"/>
      <c r="X317" s="1"/>
      <c r="Y317" s="15">
        <v>13800</v>
      </c>
      <c r="Z317" s="15"/>
      <c r="AA317" s="15"/>
      <c r="AB317" s="17"/>
      <c r="AC317" s="82"/>
      <c r="AD317" s="16" t="s">
        <v>52</v>
      </c>
      <c r="AE317" s="16" t="s">
        <v>1903</v>
      </c>
      <c r="AF317" s="16"/>
      <c r="AG317" s="16"/>
      <c r="AH317" s="16"/>
      <c r="AI317" s="16">
        <v>14005</v>
      </c>
      <c r="AJ317" s="16"/>
      <c r="AK317" s="16"/>
      <c r="AL317" s="16"/>
      <c r="AM317" s="16"/>
      <c r="AN317" s="16"/>
      <c r="AO317" s="16"/>
      <c r="AP317" s="16"/>
      <c r="AR317" s="88"/>
      <c r="AS317" s="88"/>
      <c r="AU317" s="12" t="s">
        <v>1931</v>
      </c>
      <c r="AV317" s="19"/>
      <c r="AW317" s="39">
        <v>90</v>
      </c>
      <c r="AY317" s="33"/>
      <c r="AZ317" s="33"/>
      <c r="BA317" s="33"/>
    </row>
    <row r="318" spans="1:53" ht="12" customHeight="1" x14ac:dyDescent="0.2">
      <c r="A318" s="10" t="s">
        <v>2380</v>
      </c>
      <c r="B318" s="39">
        <v>103006</v>
      </c>
      <c r="C318" s="42" t="s">
        <v>3233</v>
      </c>
      <c r="D318" s="10" t="s">
        <v>2944</v>
      </c>
      <c r="E318" s="14" t="s">
        <v>1901</v>
      </c>
      <c r="F318" s="1" t="s">
        <v>88</v>
      </c>
      <c r="G318" s="1" t="s">
        <v>2445</v>
      </c>
      <c r="H318" s="1"/>
      <c r="I318" s="1">
        <v>6</v>
      </c>
      <c r="J318" s="1"/>
      <c r="K318" s="1"/>
      <c r="L318" s="1"/>
      <c r="M318" s="1"/>
      <c r="O318" s="16" t="s">
        <v>367</v>
      </c>
      <c r="P318" s="1">
        <v>1</v>
      </c>
      <c r="Q318" s="15"/>
      <c r="R318" s="15"/>
      <c r="S318" s="15"/>
      <c r="T318" s="15"/>
      <c r="U318" s="15"/>
      <c r="V318" s="1"/>
      <c r="W318" s="1"/>
      <c r="X318" s="1"/>
      <c r="Y318" s="15">
        <v>13800</v>
      </c>
      <c r="Z318" s="15"/>
      <c r="AA318" s="15"/>
      <c r="AB318" s="17"/>
      <c r="AC318" s="82"/>
      <c r="AD318" s="16" t="s">
        <v>52</v>
      </c>
      <c r="AE318" s="16" t="s">
        <v>1903</v>
      </c>
      <c r="AF318" s="16"/>
      <c r="AG318" s="16"/>
      <c r="AH318" s="16"/>
      <c r="AI318" s="16">
        <v>14006</v>
      </c>
      <c r="AJ318" s="16"/>
      <c r="AK318" s="16"/>
      <c r="AL318" s="16"/>
      <c r="AM318" s="16"/>
      <c r="AN318" s="16"/>
      <c r="AO318" s="16"/>
      <c r="AP318" s="16"/>
      <c r="AR318" s="88"/>
      <c r="AS318" s="88"/>
      <c r="AU318" s="12" t="s">
        <v>1931</v>
      </c>
      <c r="AV318" s="19"/>
      <c r="AW318" s="39">
        <v>90</v>
      </c>
      <c r="AY318" s="33"/>
      <c r="AZ318" s="33"/>
      <c r="BA318" s="33"/>
    </row>
    <row r="319" spans="1:53" ht="12" customHeight="1" x14ac:dyDescent="0.2">
      <c r="A319" s="10" t="s">
        <v>2381</v>
      </c>
      <c r="B319" s="39">
        <v>103007</v>
      </c>
      <c r="C319" s="42" t="s">
        <v>3234</v>
      </c>
      <c r="D319" s="10" t="s">
        <v>2944</v>
      </c>
      <c r="E319" s="14" t="s">
        <v>1901</v>
      </c>
      <c r="F319" s="1" t="s">
        <v>91</v>
      </c>
      <c r="G319" s="1" t="s">
        <v>2445</v>
      </c>
      <c r="H319" s="1"/>
      <c r="I319" s="1">
        <v>7</v>
      </c>
      <c r="J319" s="1"/>
      <c r="K319" s="1"/>
      <c r="L319" s="1"/>
      <c r="M319" s="1"/>
      <c r="O319" s="16" t="s">
        <v>367</v>
      </c>
      <c r="P319" s="1">
        <v>1</v>
      </c>
      <c r="Q319" s="15"/>
      <c r="R319" s="15"/>
      <c r="S319" s="15"/>
      <c r="T319" s="15"/>
      <c r="U319" s="15"/>
      <c r="V319" s="1"/>
      <c r="W319" s="1"/>
      <c r="X319" s="1"/>
      <c r="Y319" s="15">
        <v>13800</v>
      </c>
      <c r="Z319" s="15"/>
      <c r="AA319" s="15"/>
      <c r="AB319" s="17"/>
      <c r="AC319" s="82"/>
      <c r="AD319" s="16" t="s">
        <v>52</v>
      </c>
      <c r="AE319" s="16" t="s">
        <v>1903</v>
      </c>
      <c r="AF319" s="16"/>
      <c r="AG319" s="16"/>
      <c r="AH319" s="16"/>
      <c r="AI319" s="16">
        <v>14007</v>
      </c>
      <c r="AJ319" s="16"/>
      <c r="AK319" s="16"/>
      <c r="AL319" s="16"/>
      <c r="AM319" s="16"/>
      <c r="AN319" s="16"/>
      <c r="AO319" s="16"/>
      <c r="AP319" s="16"/>
      <c r="AR319" s="88"/>
      <c r="AS319" s="88"/>
      <c r="AU319" s="12" t="s">
        <v>1931</v>
      </c>
      <c r="AV319" s="19"/>
      <c r="AW319" s="39">
        <v>90</v>
      </c>
      <c r="AY319" s="33"/>
      <c r="AZ319" s="33"/>
      <c r="BA319" s="33"/>
    </row>
    <row r="320" spans="1:53" ht="12" customHeight="1" x14ac:dyDescent="0.2">
      <c r="A320" s="10" t="s">
        <v>2382</v>
      </c>
      <c r="B320" s="39">
        <v>103008</v>
      </c>
      <c r="C320" s="42" t="s">
        <v>3235</v>
      </c>
      <c r="D320" s="10" t="s">
        <v>2944</v>
      </c>
      <c r="E320" s="14" t="s">
        <v>1901</v>
      </c>
      <c r="F320" s="1" t="s">
        <v>394</v>
      </c>
      <c r="G320" s="1" t="s">
        <v>2445</v>
      </c>
      <c r="H320" s="1"/>
      <c r="I320" s="1">
        <v>8</v>
      </c>
      <c r="J320" s="1"/>
      <c r="K320" s="1"/>
      <c r="L320" s="1"/>
      <c r="M320" s="1"/>
      <c r="O320" s="16" t="s">
        <v>367</v>
      </c>
      <c r="P320" s="1">
        <v>1</v>
      </c>
      <c r="Q320" s="15"/>
      <c r="R320" s="15"/>
      <c r="S320" s="15"/>
      <c r="T320" s="15"/>
      <c r="U320" s="15"/>
      <c r="V320" s="1"/>
      <c r="W320" s="1"/>
      <c r="X320" s="1"/>
      <c r="Y320" s="15">
        <v>13800</v>
      </c>
      <c r="Z320" s="15"/>
      <c r="AA320" s="15"/>
      <c r="AB320" s="17"/>
      <c r="AC320" s="82"/>
      <c r="AD320" s="16" t="s">
        <v>52</v>
      </c>
      <c r="AE320" s="16" t="s">
        <v>1903</v>
      </c>
      <c r="AF320" s="16"/>
      <c r="AG320" s="16"/>
      <c r="AH320" s="16"/>
      <c r="AI320" s="16">
        <v>14008</v>
      </c>
      <c r="AJ320" s="16"/>
      <c r="AK320" s="16"/>
      <c r="AL320" s="16"/>
      <c r="AM320" s="16"/>
      <c r="AN320" s="16"/>
      <c r="AO320" s="16"/>
      <c r="AP320" s="16"/>
      <c r="AR320" s="88"/>
      <c r="AS320" s="88"/>
      <c r="AU320" s="12" t="s">
        <v>1931</v>
      </c>
      <c r="AV320" s="19"/>
      <c r="AW320" s="39">
        <v>90</v>
      </c>
      <c r="AY320" s="33"/>
      <c r="AZ320" s="33"/>
      <c r="BA320" s="33"/>
    </row>
    <row r="321" spans="1:53" ht="12" customHeight="1" x14ac:dyDescent="0.2">
      <c r="A321" s="10" t="s">
        <v>2383</v>
      </c>
      <c r="B321" s="39">
        <v>103009</v>
      </c>
      <c r="C321" s="42" t="s">
        <v>3236</v>
      </c>
      <c r="D321" s="10" t="s">
        <v>2944</v>
      </c>
      <c r="E321" s="14" t="s">
        <v>1901</v>
      </c>
      <c r="F321" s="1" t="s">
        <v>396</v>
      </c>
      <c r="G321" s="1" t="s">
        <v>2445</v>
      </c>
      <c r="H321" s="1"/>
      <c r="I321" s="1">
        <v>9</v>
      </c>
      <c r="J321" s="1"/>
      <c r="K321" s="1"/>
      <c r="L321" s="1"/>
      <c r="M321" s="1"/>
      <c r="O321" s="16" t="s">
        <v>367</v>
      </c>
      <c r="P321" s="1">
        <v>1</v>
      </c>
      <c r="Q321" s="15"/>
      <c r="R321" s="15"/>
      <c r="S321" s="15"/>
      <c r="T321" s="15"/>
      <c r="U321" s="15"/>
      <c r="V321" s="1"/>
      <c r="W321" s="1"/>
      <c r="X321" s="1"/>
      <c r="Y321" s="15">
        <v>13800</v>
      </c>
      <c r="Z321" s="15"/>
      <c r="AA321" s="15"/>
      <c r="AB321" s="17"/>
      <c r="AC321" s="82"/>
      <c r="AD321" s="16" t="s">
        <v>52</v>
      </c>
      <c r="AE321" s="16" t="s">
        <v>1903</v>
      </c>
      <c r="AF321" s="16"/>
      <c r="AG321" s="16"/>
      <c r="AH321" s="16"/>
      <c r="AI321" s="16">
        <v>14009</v>
      </c>
      <c r="AJ321" s="16"/>
      <c r="AK321" s="16"/>
      <c r="AL321" s="16"/>
      <c r="AM321" s="16"/>
      <c r="AN321" s="16"/>
      <c r="AO321" s="16"/>
      <c r="AP321" s="16"/>
      <c r="AR321" s="88"/>
      <c r="AS321" s="88"/>
      <c r="AU321" s="12" t="s">
        <v>1931</v>
      </c>
      <c r="AV321" s="19"/>
      <c r="AW321" s="39">
        <v>90</v>
      </c>
      <c r="AY321" s="33"/>
      <c r="AZ321" s="33"/>
      <c r="BA321" s="33"/>
    </row>
    <row r="322" spans="1:53" ht="12" customHeight="1" x14ac:dyDescent="0.2">
      <c r="A322" s="10" t="s">
        <v>2384</v>
      </c>
      <c r="B322" s="39">
        <v>103010</v>
      </c>
      <c r="C322" s="42" t="s">
        <v>3237</v>
      </c>
      <c r="D322" s="10" t="s">
        <v>2944</v>
      </c>
      <c r="E322" s="14" t="s">
        <v>1901</v>
      </c>
      <c r="F322" s="1" t="s">
        <v>90</v>
      </c>
      <c r="G322" s="1" t="s">
        <v>2445</v>
      </c>
      <c r="H322" s="1"/>
      <c r="I322" s="1">
        <v>10</v>
      </c>
      <c r="J322" s="1"/>
      <c r="K322" s="1"/>
      <c r="L322" s="1"/>
      <c r="M322" s="1"/>
      <c r="O322" s="16" t="s">
        <v>367</v>
      </c>
      <c r="P322" s="1">
        <v>1</v>
      </c>
      <c r="Q322" s="15"/>
      <c r="R322" s="15"/>
      <c r="S322" s="15"/>
      <c r="T322" s="15"/>
      <c r="U322" s="15"/>
      <c r="V322" s="1"/>
      <c r="W322" s="1"/>
      <c r="X322" s="1"/>
      <c r="Y322" s="15">
        <v>13800</v>
      </c>
      <c r="Z322" s="15"/>
      <c r="AA322" s="15"/>
      <c r="AB322" s="17"/>
      <c r="AC322" s="82"/>
      <c r="AD322" s="16" t="s">
        <v>52</v>
      </c>
      <c r="AE322" s="16" t="s">
        <v>1903</v>
      </c>
      <c r="AF322" s="16"/>
      <c r="AG322" s="16"/>
      <c r="AH322" s="16"/>
      <c r="AI322" s="16">
        <v>14010</v>
      </c>
      <c r="AJ322" s="16"/>
      <c r="AK322" s="16"/>
      <c r="AL322" s="16"/>
      <c r="AM322" s="16"/>
      <c r="AN322" s="16"/>
      <c r="AO322" s="16"/>
      <c r="AP322" s="16"/>
      <c r="AR322" s="88"/>
      <c r="AS322" s="88"/>
      <c r="AU322" s="12" t="s">
        <v>1931</v>
      </c>
      <c r="AV322" s="19"/>
      <c r="AW322" s="39">
        <v>90</v>
      </c>
      <c r="AY322" s="33"/>
      <c r="AZ322" s="33"/>
      <c r="BA322" s="33"/>
    </row>
    <row r="323" spans="1:53" ht="12" customHeight="1" x14ac:dyDescent="0.2">
      <c r="A323" s="10" t="s">
        <v>2385</v>
      </c>
      <c r="B323" s="39">
        <v>103011</v>
      </c>
      <c r="C323" s="42" t="s">
        <v>3238</v>
      </c>
      <c r="D323" s="10" t="s">
        <v>2944</v>
      </c>
      <c r="E323" s="14" t="s">
        <v>1901</v>
      </c>
      <c r="F323" s="1" t="s">
        <v>395</v>
      </c>
      <c r="G323" s="1" t="s">
        <v>2445</v>
      </c>
      <c r="H323" s="1"/>
      <c r="I323" s="1">
        <v>11</v>
      </c>
      <c r="J323" s="1"/>
      <c r="K323" s="1"/>
      <c r="L323" s="1"/>
      <c r="M323" s="1"/>
      <c r="O323" s="16" t="s">
        <v>367</v>
      </c>
      <c r="P323" s="1">
        <v>1</v>
      </c>
      <c r="Q323" s="15"/>
      <c r="R323" s="15"/>
      <c r="S323" s="15"/>
      <c r="T323" s="15"/>
      <c r="U323" s="15"/>
      <c r="V323" s="1"/>
      <c r="W323" s="1"/>
      <c r="X323" s="1"/>
      <c r="Y323" s="15">
        <v>13800</v>
      </c>
      <c r="Z323" s="15"/>
      <c r="AA323" s="15"/>
      <c r="AB323" s="17"/>
      <c r="AC323" s="82"/>
      <c r="AD323" s="16" t="s">
        <v>52</v>
      </c>
      <c r="AE323" s="16" t="s">
        <v>1903</v>
      </c>
      <c r="AF323" s="16"/>
      <c r="AG323" s="16"/>
      <c r="AH323" s="16"/>
      <c r="AI323" s="16">
        <v>14011</v>
      </c>
      <c r="AJ323" s="16"/>
      <c r="AK323" s="16"/>
      <c r="AL323" s="16"/>
      <c r="AM323" s="16"/>
      <c r="AN323" s="16"/>
      <c r="AO323" s="16"/>
      <c r="AP323" s="16"/>
      <c r="AR323" s="88"/>
      <c r="AS323" s="88"/>
      <c r="AU323" s="12" t="s">
        <v>1931</v>
      </c>
      <c r="AV323" s="19"/>
      <c r="AW323" s="39">
        <v>90</v>
      </c>
      <c r="AY323" s="33"/>
      <c r="AZ323" s="33"/>
      <c r="BA323" s="33"/>
    </row>
    <row r="324" spans="1:53" ht="12" customHeight="1" x14ac:dyDescent="0.2">
      <c r="A324" s="10" t="s">
        <v>2386</v>
      </c>
      <c r="B324" s="39">
        <v>103012</v>
      </c>
      <c r="C324" s="42" t="s">
        <v>3239</v>
      </c>
      <c r="D324" s="10" t="s">
        <v>2944</v>
      </c>
      <c r="E324" s="14" t="s">
        <v>1901</v>
      </c>
      <c r="F324" s="1" t="s">
        <v>91</v>
      </c>
      <c r="G324" s="1" t="s">
        <v>2445</v>
      </c>
      <c r="H324" s="1"/>
      <c r="I324" s="1">
        <v>12</v>
      </c>
      <c r="J324" s="1"/>
      <c r="K324" s="1"/>
      <c r="L324" s="1"/>
      <c r="M324" s="1"/>
      <c r="O324" s="16" t="s">
        <v>367</v>
      </c>
      <c r="P324" s="1">
        <v>1</v>
      </c>
      <c r="Q324" s="15"/>
      <c r="R324" s="15"/>
      <c r="S324" s="15"/>
      <c r="T324" s="15"/>
      <c r="U324" s="15"/>
      <c r="V324" s="1"/>
      <c r="W324" s="1"/>
      <c r="X324" s="1"/>
      <c r="Y324" s="15">
        <v>13800</v>
      </c>
      <c r="Z324" s="15"/>
      <c r="AA324" s="15"/>
      <c r="AB324" s="17"/>
      <c r="AC324" s="82"/>
      <c r="AD324" s="16" t="s">
        <v>52</v>
      </c>
      <c r="AE324" s="16" t="s">
        <v>1903</v>
      </c>
      <c r="AF324" s="16"/>
      <c r="AG324" s="16"/>
      <c r="AH324" s="16"/>
      <c r="AI324" s="16">
        <v>14012</v>
      </c>
      <c r="AJ324" s="16"/>
      <c r="AK324" s="16"/>
      <c r="AL324" s="16"/>
      <c r="AM324" s="16"/>
      <c r="AN324" s="16"/>
      <c r="AO324" s="16"/>
      <c r="AP324" s="16"/>
      <c r="AR324" s="88"/>
      <c r="AS324" s="88"/>
      <c r="AU324" s="12" t="s">
        <v>1931</v>
      </c>
      <c r="AV324" s="19"/>
      <c r="AW324" s="39">
        <v>90</v>
      </c>
      <c r="AY324" s="33"/>
      <c r="AZ324" s="33"/>
      <c r="BA324" s="33"/>
    </row>
    <row r="325" spans="1:53" ht="12" customHeight="1" x14ac:dyDescent="0.2">
      <c r="A325" s="10" t="s">
        <v>2387</v>
      </c>
      <c r="B325" s="39">
        <v>103013</v>
      </c>
      <c r="C325" s="42" t="s">
        <v>3240</v>
      </c>
      <c r="D325" s="10" t="s">
        <v>2944</v>
      </c>
      <c r="E325" s="14" t="s">
        <v>1901</v>
      </c>
      <c r="F325" s="1" t="s">
        <v>395</v>
      </c>
      <c r="G325" s="1" t="s">
        <v>2445</v>
      </c>
      <c r="H325" s="1"/>
      <c r="I325" s="1">
        <v>13</v>
      </c>
      <c r="J325" s="1"/>
      <c r="K325" s="1"/>
      <c r="L325" s="1"/>
      <c r="M325" s="1"/>
      <c r="O325" s="16" t="s">
        <v>367</v>
      </c>
      <c r="P325" s="1">
        <v>1</v>
      </c>
      <c r="Q325" s="15"/>
      <c r="R325" s="15"/>
      <c r="S325" s="15"/>
      <c r="T325" s="15"/>
      <c r="U325" s="15"/>
      <c r="V325" s="1"/>
      <c r="W325" s="1"/>
      <c r="X325" s="1"/>
      <c r="Y325" s="15">
        <v>13800</v>
      </c>
      <c r="Z325" s="15"/>
      <c r="AA325" s="15"/>
      <c r="AB325" s="17"/>
      <c r="AC325" s="82"/>
      <c r="AD325" s="16" t="s">
        <v>52</v>
      </c>
      <c r="AE325" s="16" t="s">
        <v>1903</v>
      </c>
      <c r="AF325" s="16"/>
      <c r="AG325" s="16"/>
      <c r="AH325" s="16"/>
      <c r="AI325" s="89">
        <v>14013</v>
      </c>
      <c r="AJ325" s="16"/>
      <c r="AK325" s="16"/>
      <c r="AL325" s="16"/>
      <c r="AM325" s="16"/>
      <c r="AN325" s="16"/>
      <c r="AO325" s="16"/>
      <c r="AP325" s="16"/>
      <c r="AR325" s="88"/>
      <c r="AS325" s="88"/>
      <c r="AU325" s="12" t="s">
        <v>1931</v>
      </c>
      <c r="AV325" s="19"/>
      <c r="AW325" s="39">
        <v>90</v>
      </c>
      <c r="AY325" s="33"/>
      <c r="AZ325" s="33"/>
      <c r="BA325" s="33"/>
    </row>
    <row r="326" spans="1:53" ht="12" customHeight="1" x14ac:dyDescent="0.2">
      <c r="A326" s="10" t="s">
        <v>2388</v>
      </c>
      <c r="B326" s="39">
        <v>103014</v>
      </c>
      <c r="C326" s="42" t="e">
        <v>#N/A</v>
      </c>
      <c r="D326" s="10" t="s">
        <v>2944</v>
      </c>
      <c r="E326" s="14" t="s">
        <v>1901</v>
      </c>
      <c r="F326" s="1" t="s">
        <v>90</v>
      </c>
      <c r="G326" s="1" t="s">
        <v>2445</v>
      </c>
      <c r="H326" s="1"/>
      <c r="I326" s="1">
        <v>14</v>
      </c>
      <c r="J326" s="1"/>
      <c r="K326" s="1"/>
      <c r="L326" s="1"/>
      <c r="M326" s="1"/>
      <c r="O326" s="16" t="s">
        <v>367</v>
      </c>
      <c r="P326" s="1">
        <v>1</v>
      </c>
      <c r="Q326" s="15"/>
      <c r="R326" s="15"/>
      <c r="S326" s="15"/>
      <c r="T326" s="15"/>
      <c r="U326" s="15"/>
      <c r="V326" s="1"/>
      <c r="W326" s="1"/>
      <c r="X326" s="1"/>
      <c r="Y326" s="15">
        <v>13800</v>
      </c>
      <c r="Z326" s="15"/>
      <c r="AA326" s="15"/>
      <c r="AB326" s="17"/>
      <c r="AC326" s="82"/>
      <c r="AD326" s="16" t="s">
        <v>52</v>
      </c>
      <c r="AE326" s="16" t="s">
        <v>1903</v>
      </c>
      <c r="AF326" s="16"/>
      <c r="AG326" s="16"/>
      <c r="AH326" s="16"/>
      <c r="AI326" s="16">
        <v>14014</v>
      </c>
      <c r="AJ326" s="16"/>
      <c r="AK326" s="16"/>
      <c r="AL326" s="16"/>
      <c r="AM326" s="16"/>
      <c r="AN326" s="16"/>
      <c r="AO326" s="16"/>
      <c r="AP326" s="16"/>
      <c r="AR326" s="88"/>
      <c r="AS326" s="88"/>
      <c r="AU326" s="12" t="s">
        <v>1931</v>
      </c>
      <c r="AV326" s="19"/>
      <c r="AW326" s="39">
        <v>90</v>
      </c>
      <c r="AY326" s="33"/>
      <c r="AZ326" s="33"/>
      <c r="BA326" s="33"/>
    </row>
    <row r="327" spans="1:53" ht="12" customHeight="1" x14ac:dyDescent="0.2">
      <c r="A327" s="10" t="s">
        <v>2389</v>
      </c>
      <c r="B327" s="39">
        <v>103015</v>
      </c>
      <c r="C327" s="42" t="s">
        <v>3241</v>
      </c>
      <c r="D327" s="10" t="s">
        <v>2944</v>
      </c>
      <c r="E327" s="14" t="s">
        <v>1901</v>
      </c>
      <c r="F327" s="1" t="s">
        <v>88</v>
      </c>
      <c r="G327" s="1" t="s">
        <v>2445</v>
      </c>
      <c r="H327" s="1"/>
      <c r="I327" s="1">
        <v>15</v>
      </c>
      <c r="J327" s="1"/>
      <c r="K327" s="1"/>
      <c r="L327" s="1"/>
      <c r="M327" s="1"/>
      <c r="O327" s="16" t="s">
        <v>367</v>
      </c>
      <c r="P327" s="1">
        <v>1</v>
      </c>
      <c r="Q327" s="15"/>
      <c r="R327" s="15"/>
      <c r="S327" s="15"/>
      <c r="T327" s="15"/>
      <c r="U327" s="15"/>
      <c r="V327" s="1"/>
      <c r="W327" s="1"/>
      <c r="X327" s="1"/>
      <c r="Y327" s="15">
        <v>13800</v>
      </c>
      <c r="Z327" s="15"/>
      <c r="AA327" s="15"/>
      <c r="AB327" s="17"/>
      <c r="AC327" s="82"/>
      <c r="AD327" s="16" t="s">
        <v>52</v>
      </c>
      <c r="AE327" s="16" t="s">
        <v>1903</v>
      </c>
      <c r="AF327" s="16"/>
      <c r="AG327" s="16"/>
      <c r="AH327" s="16"/>
      <c r="AI327" s="16">
        <v>14015</v>
      </c>
      <c r="AJ327" s="16"/>
      <c r="AK327" s="16"/>
      <c r="AL327" s="16"/>
      <c r="AM327" s="16"/>
      <c r="AN327" s="16"/>
      <c r="AO327" s="16"/>
      <c r="AP327" s="16"/>
      <c r="AR327" s="88"/>
      <c r="AS327" s="88"/>
      <c r="AU327" s="12" t="s">
        <v>1931</v>
      </c>
      <c r="AV327" s="19"/>
      <c r="AW327" s="39">
        <v>90</v>
      </c>
      <c r="AY327" s="33"/>
      <c r="AZ327" s="33"/>
      <c r="BA327" s="33"/>
    </row>
    <row r="328" spans="1:53" ht="12" customHeight="1" x14ac:dyDescent="0.2">
      <c r="A328" s="10" t="s">
        <v>2390</v>
      </c>
      <c r="B328" s="39">
        <v>103016</v>
      </c>
      <c r="C328" s="42" t="s">
        <v>3242</v>
      </c>
      <c r="D328" s="10" t="s">
        <v>2944</v>
      </c>
      <c r="E328" s="14" t="s">
        <v>1901</v>
      </c>
      <c r="F328" s="1" t="s">
        <v>394</v>
      </c>
      <c r="G328" s="1" t="s">
        <v>2445</v>
      </c>
      <c r="H328" s="1"/>
      <c r="I328" s="1">
        <v>16</v>
      </c>
      <c r="J328" s="1"/>
      <c r="K328" s="1"/>
      <c r="L328" s="1"/>
      <c r="M328" s="1"/>
      <c r="O328" s="16" t="s">
        <v>367</v>
      </c>
      <c r="P328" s="1">
        <v>1</v>
      </c>
      <c r="Q328" s="15"/>
      <c r="R328" s="15"/>
      <c r="S328" s="15"/>
      <c r="T328" s="15"/>
      <c r="U328" s="15"/>
      <c r="V328" s="1"/>
      <c r="W328" s="1"/>
      <c r="X328" s="1"/>
      <c r="Y328" s="15">
        <v>13800</v>
      </c>
      <c r="Z328" s="15"/>
      <c r="AA328" s="15"/>
      <c r="AB328" s="17"/>
      <c r="AC328" s="82"/>
      <c r="AD328" s="16" t="s">
        <v>52</v>
      </c>
      <c r="AE328" s="16" t="s">
        <v>1903</v>
      </c>
      <c r="AF328" s="16"/>
      <c r="AG328" s="16"/>
      <c r="AH328" s="16"/>
      <c r="AI328" s="16">
        <v>14016</v>
      </c>
      <c r="AJ328" s="16"/>
      <c r="AK328" s="16"/>
      <c r="AL328" s="16"/>
      <c r="AM328" s="16"/>
      <c r="AN328" s="16"/>
      <c r="AO328" s="16"/>
      <c r="AP328" s="16"/>
      <c r="AR328" s="88"/>
      <c r="AS328" s="88"/>
      <c r="AU328" s="12" t="s">
        <v>1931</v>
      </c>
      <c r="AV328" s="19"/>
      <c r="AW328" s="39">
        <v>90</v>
      </c>
      <c r="AY328" s="33"/>
      <c r="AZ328" s="33"/>
      <c r="BA328" s="33"/>
    </row>
    <row r="329" spans="1:53" ht="12" customHeight="1" x14ac:dyDescent="0.2">
      <c r="A329" s="10" t="s">
        <v>2391</v>
      </c>
      <c r="B329" s="39">
        <v>103017</v>
      </c>
      <c r="C329" s="42" t="s">
        <v>3243</v>
      </c>
      <c r="D329" s="10" t="s">
        <v>2944</v>
      </c>
      <c r="E329" s="14" t="s">
        <v>1901</v>
      </c>
      <c r="F329" s="1" t="s">
        <v>90</v>
      </c>
      <c r="G329" s="1" t="s">
        <v>2445</v>
      </c>
      <c r="H329" s="1"/>
      <c r="I329" s="1">
        <v>17</v>
      </c>
      <c r="J329" s="1"/>
      <c r="K329" s="1"/>
      <c r="L329" s="1"/>
      <c r="M329" s="1"/>
      <c r="O329" s="16" t="s">
        <v>367</v>
      </c>
      <c r="P329" s="1">
        <v>1</v>
      </c>
      <c r="Q329" s="15"/>
      <c r="R329" s="15"/>
      <c r="S329" s="15"/>
      <c r="T329" s="15"/>
      <c r="U329" s="15"/>
      <c r="V329" s="1"/>
      <c r="W329" s="1"/>
      <c r="X329" s="1"/>
      <c r="Y329" s="15">
        <v>13800</v>
      </c>
      <c r="Z329" s="15"/>
      <c r="AA329" s="15"/>
      <c r="AB329" s="17"/>
      <c r="AC329" s="82"/>
      <c r="AD329" s="16" t="s">
        <v>52</v>
      </c>
      <c r="AE329" s="16" t="s">
        <v>1903</v>
      </c>
      <c r="AF329" s="16"/>
      <c r="AG329" s="16"/>
      <c r="AH329" s="16"/>
      <c r="AI329" s="16">
        <v>14017</v>
      </c>
      <c r="AJ329" s="16"/>
      <c r="AK329" s="16"/>
      <c r="AL329" s="16"/>
      <c r="AM329" s="16"/>
      <c r="AN329" s="16"/>
      <c r="AO329" s="16"/>
      <c r="AP329" s="16"/>
      <c r="AR329" s="88"/>
      <c r="AS329" s="88"/>
      <c r="AU329" s="12" t="s">
        <v>1931</v>
      </c>
      <c r="AV329" s="19"/>
      <c r="AW329" s="39">
        <v>90</v>
      </c>
      <c r="AY329" s="33"/>
      <c r="AZ329" s="33"/>
      <c r="BA329" s="33"/>
    </row>
    <row r="330" spans="1:53" ht="12" customHeight="1" x14ac:dyDescent="0.2">
      <c r="A330" s="10" t="s">
        <v>2392</v>
      </c>
      <c r="B330" s="39">
        <v>103018</v>
      </c>
      <c r="C330" s="42" t="s">
        <v>3244</v>
      </c>
      <c r="D330" s="10" t="s">
        <v>2944</v>
      </c>
      <c r="E330" s="14" t="s">
        <v>1901</v>
      </c>
      <c r="F330" s="1" t="s">
        <v>396</v>
      </c>
      <c r="G330" s="1" t="s">
        <v>2445</v>
      </c>
      <c r="H330" s="1"/>
      <c r="I330" s="1">
        <v>18</v>
      </c>
      <c r="J330" s="1"/>
      <c r="K330" s="1"/>
      <c r="L330" s="1"/>
      <c r="M330" s="1"/>
      <c r="O330" s="16" t="s">
        <v>367</v>
      </c>
      <c r="P330" s="1">
        <v>1</v>
      </c>
      <c r="Q330" s="15"/>
      <c r="R330" s="15"/>
      <c r="S330" s="15"/>
      <c r="T330" s="15"/>
      <c r="U330" s="15"/>
      <c r="V330" s="1"/>
      <c r="W330" s="1"/>
      <c r="X330" s="1"/>
      <c r="Y330" s="15">
        <v>13800</v>
      </c>
      <c r="Z330" s="15"/>
      <c r="AA330" s="15"/>
      <c r="AB330" s="17"/>
      <c r="AC330" s="82"/>
      <c r="AD330" s="16" t="s">
        <v>52</v>
      </c>
      <c r="AE330" s="16" t="s">
        <v>1903</v>
      </c>
      <c r="AF330" s="16"/>
      <c r="AG330" s="16"/>
      <c r="AH330" s="16"/>
      <c r="AI330" s="16">
        <v>14018</v>
      </c>
      <c r="AJ330" s="16"/>
      <c r="AK330" s="16"/>
      <c r="AL330" s="16"/>
      <c r="AM330" s="16"/>
      <c r="AN330" s="16"/>
      <c r="AO330" s="16"/>
      <c r="AP330" s="16"/>
      <c r="AR330" s="88"/>
      <c r="AS330" s="88"/>
      <c r="AU330" s="12" t="s">
        <v>1931</v>
      </c>
      <c r="AV330" s="19"/>
      <c r="AW330" s="39">
        <v>90</v>
      </c>
      <c r="AY330" s="33"/>
      <c r="AZ330" s="33"/>
      <c r="BA330" s="33"/>
    </row>
    <row r="331" spans="1:53" ht="12" customHeight="1" x14ac:dyDescent="0.2">
      <c r="A331" s="10" t="s">
        <v>2393</v>
      </c>
      <c r="B331" s="39">
        <v>103019</v>
      </c>
      <c r="C331" s="42" t="s">
        <v>3245</v>
      </c>
      <c r="D331" s="10" t="s">
        <v>2944</v>
      </c>
      <c r="E331" s="14" t="s">
        <v>1901</v>
      </c>
      <c r="F331" s="1" t="s">
        <v>395</v>
      </c>
      <c r="G331" s="1" t="s">
        <v>2445</v>
      </c>
      <c r="H331" s="1"/>
      <c r="I331" s="1">
        <v>19</v>
      </c>
      <c r="J331" s="1"/>
      <c r="K331" s="1"/>
      <c r="L331" s="1"/>
      <c r="M331" s="1"/>
      <c r="O331" s="16" t="s">
        <v>367</v>
      </c>
      <c r="P331" s="1">
        <v>1</v>
      </c>
      <c r="Q331" s="15"/>
      <c r="R331" s="15"/>
      <c r="S331" s="15"/>
      <c r="T331" s="15"/>
      <c r="U331" s="15"/>
      <c r="V331" s="1"/>
      <c r="W331" s="1"/>
      <c r="X331" s="1"/>
      <c r="Y331" s="15">
        <v>13800</v>
      </c>
      <c r="Z331" s="15"/>
      <c r="AA331" s="15"/>
      <c r="AB331" s="17"/>
      <c r="AC331" s="82"/>
      <c r="AD331" s="16" t="s">
        <v>52</v>
      </c>
      <c r="AE331" s="16" t="s">
        <v>1903</v>
      </c>
      <c r="AF331" s="16"/>
      <c r="AG331" s="16"/>
      <c r="AH331" s="16"/>
      <c r="AI331" s="16">
        <v>14019</v>
      </c>
      <c r="AJ331" s="16"/>
      <c r="AK331" s="16"/>
      <c r="AL331" s="16"/>
      <c r="AM331" s="16"/>
      <c r="AN331" s="16"/>
      <c r="AO331" s="16"/>
      <c r="AP331" s="16"/>
      <c r="AR331" s="88"/>
      <c r="AS331" s="88"/>
      <c r="AU331" s="12" t="s">
        <v>1931</v>
      </c>
      <c r="AV331" s="19"/>
      <c r="AW331" s="39">
        <v>90</v>
      </c>
      <c r="AY331" s="33"/>
      <c r="AZ331" s="33"/>
      <c r="BA331" s="33"/>
    </row>
    <row r="332" spans="1:53" ht="12" customHeight="1" x14ac:dyDescent="0.2">
      <c r="A332" s="10" t="s">
        <v>2394</v>
      </c>
      <c r="B332" s="39">
        <v>103020</v>
      </c>
      <c r="C332" s="42" t="s">
        <v>3246</v>
      </c>
      <c r="D332" s="10" t="s">
        <v>2944</v>
      </c>
      <c r="E332" s="14" t="s">
        <v>1901</v>
      </c>
      <c r="F332" s="1" t="s">
        <v>88</v>
      </c>
      <c r="G332" s="1" t="s">
        <v>2445</v>
      </c>
      <c r="H332" s="1"/>
      <c r="I332" s="1">
        <v>20</v>
      </c>
      <c r="J332" s="1"/>
      <c r="K332" s="1"/>
      <c r="L332" s="1"/>
      <c r="M332" s="1"/>
      <c r="O332" s="16" t="s">
        <v>367</v>
      </c>
      <c r="P332" s="1">
        <v>1</v>
      </c>
      <c r="Q332" s="15"/>
      <c r="R332" s="15"/>
      <c r="S332" s="15"/>
      <c r="T332" s="15"/>
      <c r="U332" s="15"/>
      <c r="V332" s="1"/>
      <c r="W332" s="1"/>
      <c r="X332" s="1"/>
      <c r="Y332" s="15">
        <v>13800</v>
      </c>
      <c r="Z332" s="15"/>
      <c r="AA332" s="15"/>
      <c r="AB332" s="17"/>
      <c r="AC332" s="82"/>
      <c r="AD332" s="16" t="s">
        <v>52</v>
      </c>
      <c r="AE332" s="16" t="s">
        <v>1903</v>
      </c>
      <c r="AF332" s="16"/>
      <c r="AG332" s="16"/>
      <c r="AH332" s="16"/>
      <c r="AI332" s="16">
        <v>14020</v>
      </c>
      <c r="AJ332" s="16"/>
      <c r="AK332" s="16"/>
      <c r="AL332" s="16"/>
      <c r="AM332" s="16"/>
      <c r="AN332" s="16"/>
      <c r="AO332" s="16"/>
      <c r="AP332" s="16"/>
      <c r="AR332" s="88"/>
      <c r="AS332" s="88"/>
      <c r="AU332" s="12" t="s">
        <v>1931</v>
      </c>
      <c r="AV332" s="19"/>
      <c r="AW332" s="39">
        <v>90</v>
      </c>
      <c r="AY332" s="33"/>
      <c r="AZ332" s="33"/>
      <c r="BA332" s="33"/>
    </row>
    <row r="333" spans="1:53" ht="12" customHeight="1" x14ac:dyDescent="0.2">
      <c r="A333" s="10" t="s">
        <v>2395</v>
      </c>
      <c r="B333" s="39">
        <v>103021</v>
      </c>
      <c r="C333" s="42" t="s">
        <v>3247</v>
      </c>
      <c r="D333" s="10" t="s">
        <v>2944</v>
      </c>
      <c r="E333" s="14" t="s">
        <v>1901</v>
      </c>
      <c r="F333" s="1" t="s">
        <v>89</v>
      </c>
      <c r="G333" s="1" t="s">
        <v>2445</v>
      </c>
      <c r="H333" s="1"/>
      <c r="I333" s="1">
        <v>21</v>
      </c>
      <c r="J333" s="1"/>
      <c r="K333" s="1"/>
      <c r="L333" s="1"/>
      <c r="M333" s="1"/>
      <c r="O333" s="16" t="s">
        <v>367</v>
      </c>
      <c r="P333" s="1">
        <v>1</v>
      </c>
      <c r="Q333" s="15"/>
      <c r="R333" s="15"/>
      <c r="S333" s="15"/>
      <c r="T333" s="15"/>
      <c r="U333" s="15"/>
      <c r="V333" s="1"/>
      <c r="W333" s="1"/>
      <c r="X333" s="1"/>
      <c r="Y333" s="15">
        <v>13800</v>
      </c>
      <c r="Z333" s="15"/>
      <c r="AA333" s="15"/>
      <c r="AB333" s="17"/>
      <c r="AC333" s="82"/>
      <c r="AD333" s="16" t="s">
        <v>52</v>
      </c>
      <c r="AE333" s="16" t="s">
        <v>1903</v>
      </c>
      <c r="AF333" s="16"/>
      <c r="AG333" s="16"/>
      <c r="AH333" s="16"/>
      <c r="AI333" s="16">
        <v>14021</v>
      </c>
      <c r="AJ333" s="16"/>
      <c r="AK333" s="16"/>
      <c r="AL333" s="16"/>
      <c r="AM333" s="16"/>
      <c r="AN333" s="16"/>
      <c r="AO333" s="16"/>
      <c r="AP333" s="16"/>
      <c r="AR333" s="88"/>
      <c r="AS333" s="88"/>
      <c r="AU333" s="12" t="s">
        <v>1931</v>
      </c>
      <c r="AV333" s="19"/>
      <c r="AW333" s="39">
        <v>90</v>
      </c>
      <c r="AY333" s="33"/>
      <c r="AZ333" s="33"/>
      <c r="BA333" s="33"/>
    </row>
    <row r="334" spans="1:53" ht="12" customHeight="1" x14ac:dyDescent="0.2">
      <c r="A334" s="10" t="s">
        <v>2396</v>
      </c>
      <c r="B334" s="39">
        <v>103022</v>
      </c>
      <c r="C334" s="42" t="s">
        <v>3248</v>
      </c>
      <c r="D334" s="10" t="s">
        <v>2944</v>
      </c>
      <c r="E334" s="14" t="s">
        <v>1901</v>
      </c>
      <c r="F334" s="1" t="s">
        <v>91</v>
      </c>
      <c r="G334" s="1" t="s">
        <v>2445</v>
      </c>
      <c r="H334" s="1"/>
      <c r="I334" s="1">
        <v>22</v>
      </c>
      <c r="J334" s="1"/>
      <c r="K334" s="1"/>
      <c r="L334" s="1"/>
      <c r="M334" s="1"/>
      <c r="O334" s="16" t="s">
        <v>367</v>
      </c>
      <c r="P334" s="1">
        <v>1</v>
      </c>
      <c r="Q334" s="15"/>
      <c r="R334" s="15"/>
      <c r="S334" s="15"/>
      <c r="T334" s="15"/>
      <c r="U334" s="15"/>
      <c r="V334" s="1"/>
      <c r="W334" s="1"/>
      <c r="X334" s="1"/>
      <c r="Y334" s="15">
        <v>13800</v>
      </c>
      <c r="Z334" s="15"/>
      <c r="AA334" s="15"/>
      <c r="AB334" s="17"/>
      <c r="AC334" s="82"/>
      <c r="AD334" s="16" t="s">
        <v>52</v>
      </c>
      <c r="AE334" s="16" t="s">
        <v>1903</v>
      </c>
      <c r="AF334" s="16"/>
      <c r="AG334" s="16"/>
      <c r="AH334" s="16"/>
      <c r="AI334" s="16">
        <v>14022</v>
      </c>
      <c r="AJ334" s="16"/>
      <c r="AK334" s="16"/>
      <c r="AL334" s="16"/>
      <c r="AM334" s="16"/>
      <c r="AN334" s="16"/>
      <c r="AO334" s="16"/>
      <c r="AP334" s="16"/>
      <c r="AR334" s="88"/>
      <c r="AS334" s="88"/>
      <c r="AU334" s="12" t="s">
        <v>1931</v>
      </c>
      <c r="AV334" s="19"/>
      <c r="AW334" s="39">
        <v>90</v>
      </c>
      <c r="AY334" s="33"/>
      <c r="AZ334" s="33"/>
      <c r="BA334" s="33"/>
    </row>
    <row r="335" spans="1:53" ht="12" customHeight="1" x14ac:dyDescent="0.2">
      <c r="A335" s="10" t="s">
        <v>2397</v>
      </c>
      <c r="B335" s="39">
        <v>103023</v>
      </c>
      <c r="C335" s="42" t="s">
        <v>3249</v>
      </c>
      <c r="D335" s="10" t="s">
        <v>2944</v>
      </c>
      <c r="E335" s="14" t="s">
        <v>1901</v>
      </c>
      <c r="F335" s="1" t="s">
        <v>88</v>
      </c>
      <c r="G335" s="1" t="s">
        <v>2445</v>
      </c>
      <c r="H335" s="1"/>
      <c r="I335" s="1">
        <v>23</v>
      </c>
      <c r="J335" s="1"/>
      <c r="K335" s="1"/>
      <c r="L335" s="1"/>
      <c r="M335" s="1"/>
      <c r="O335" s="16" t="s">
        <v>367</v>
      </c>
      <c r="P335" s="1">
        <v>1</v>
      </c>
      <c r="Q335" s="15"/>
      <c r="R335" s="15"/>
      <c r="S335" s="15"/>
      <c r="T335" s="15"/>
      <c r="U335" s="15"/>
      <c r="V335" s="1"/>
      <c r="W335" s="1"/>
      <c r="X335" s="1"/>
      <c r="Y335" s="15">
        <v>13800</v>
      </c>
      <c r="Z335" s="15"/>
      <c r="AA335" s="15"/>
      <c r="AB335" s="17"/>
      <c r="AC335" s="82"/>
      <c r="AD335" s="16" t="s">
        <v>52</v>
      </c>
      <c r="AE335" s="16" t="s">
        <v>1903</v>
      </c>
      <c r="AF335" s="16"/>
      <c r="AG335" s="16"/>
      <c r="AH335" s="16"/>
      <c r="AI335" s="16">
        <v>14023</v>
      </c>
      <c r="AJ335" s="16"/>
      <c r="AK335" s="16"/>
      <c r="AL335" s="16"/>
      <c r="AM335" s="16"/>
      <c r="AN335" s="16"/>
      <c r="AO335" s="16"/>
      <c r="AP335" s="16"/>
      <c r="AR335" s="88"/>
      <c r="AS335" s="88"/>
      <c r="AU335" s="12" t="s">
        <v>1931</v>
      </c>
      <c r="AV335" s="19"/>
      <c r="AW335" s="39">
        <v>90</v>
      </c>
      <c r="AY335" s="33"/>
      <c r="AZ335" s="33"/>
      <c r="BA335" s="33"/>
    </row>
    <row r="336" spans="1:53" ht="12" customHeight="1" x14ac:dyDescent="0.2">
      <c r="A336" s="10" t="s">
        <v>2398</v>
      </c>
      <c r="B336" s="39">
        <v>103024</v>
      </c>
      <c r="C336" s="42" t="s">
        <v>3250</v>
      </c>
      <c r="D336" s="10" t="s">
        <v>2944</v>
      </c>
      <c r="E336" s="14" t="s">
        <v>1901</v>
      </c>
      <c r="F336" s="1" t="s">
        <v>394</v>
      </c>
      <c r="G336" s="1" t="s">
        <v>2445</v>
      </c>
      <c r="H336" s="1"/>
      <c r="I336" s="1">
        <v>24</v>
      </c>
      <c r="J336" s="1"/>
      <c r="K336" s="1"/>
      <c r="L336" s="1"/>
      <c r="M336" s="1"/>
      <c r="O336" s="16" t="s">
        <v>367</v>
      </c>
      <c r="P336" s="1">
        <v>1</v>
      </c>
      <c r="Q336" s="15"/>
      <c r="R336" s="15"/>
      <c r="S336" s="15"/>
      <c r="T336" s="15"/>
      <c r="U336" s="15"/>
      <c r="V336" s="1"/>
      <c r="W336" s="1"/>
      <c r="X336" s="1"/>
      <c r="Y336" s="15">
        <v>13800</v>
      </c>
      <c r="Z336" s="15"/>
      <c r="AA336" s="15"/>
      <c r="AB336" s="17"/>
      <c r="AC336" s="82"/>
      <c r="AD336" s="16" t="s">
        <v>52</v>
      </c>
      <c r="AE336" s="16" t="s">
        <v>1903</v>
      </c>
      <c r="AF336" s="16"/>
      <c r="AG336" s="16"/>
      <c r="AH336" s="16"/>
      <c r="AI336" s="16">
        <v>14024</v>
      </c>
      <c r="AJ336" s="16"/>
      <c r="AK336" s="16"/>
      <c r="AL336" s="16"/>
      <c r="AM336" s="16"/>
      <c r="AN336" s="16"/>
      <c r="AO336" s="16"/>
      <c r="AP336" s="16"/>
      <c r="AR336" s="88"/>
      <c r="AS336" s="88"/>
      <c r="AU336" s="12" t="s">
        <v>1931</v>
      </c>
      <c r="AV336" s="19"/>
      <c r="AW336" s="39">
        <v>90</v>
      </c>
      <c r="AY336" s="33"/>
      <c r="AZ336" s="33"/>
      <c r="BA336" s="33"/>
    </row>
    <row r="337" spans="1:53" ht="12" customHeight="1" x14ac:dyDescent="0.2">
      <c r="A337" s="10" t="s">
        <v>2399</v>
      </c>
      <c r="B337" s="39">
        <v>103025</v>
      </c>
      <c r="C337" s="42" t="s">
        <v>3251</v>
      </c>
      <c r="D337" s="10" t="s">
        <v>2944</v>
      </c>
      <c r="E337" s="14" t="s">
        <v>1901</v>
      </c>
      <c r="F337" s="1" t="s">
        <v>88</v>
      </c>
      <c r="G337" s="1" t="s">
        <v>2445</v>
      </c>
      <c r="H337" s="1"/>
      <c r="I337" s="1">
        <v>25</v>
      </c>
      <c r="J337" s="1"/>
      <c r="K337" s="1"/>
      <c r="L337" s="1"/>
      <c r="M337" s="1"/>
      <c r="O337" s="16" t="s">
        <v>367</v>
      </c>
      <c r="P337" s="1">
        <v>1</v>
      </c>
      <c r="Q337" s="15"/>
      <c r="R337" s="15"/>
      <c r="S337" s="15"/>
      <c r="T337" s="15"/>
      <c r="U337" s="15"/>
      <c r="V337" s="1"/>
      <c r="W337" s="1"/>
      <c r="X337" s="1"/>
      <c r="Y337" s="15">
        <v>13800</v>
      </c>
      <c r="Z337" s="15"/>
      <c r="AA337" s="15"/>
      <c r="AB337" s="17"/>
      <c r="AC337" s="82"/>
      <c r="AD337" s="16" t="s">
        <v>52</v>
      </c>
      <c r="AE337" s="16" t="s">
        <v>1903</v>
      </c>
      <c r="AF337" s="16"/>
      <c r="AG337" s="16"/>
      <c r="AH337" s="16"/>
      <c r="AI337" s="16">
        <v>14025</v>
      </c>
      <c r="AJ337" s="16"/>
      <c r="AK337" s="16"/>
      <c r="AL337" s="16"/>
      <c r="AM337" s="16"/>
      <c r="AN337" s="16"/>
      <c r="AO337" s="16"/>
      <c r="AP337" s="16"/>
      <c r="AR337" s="88"/>
      <c r="AS337" s="88"/>
      <c r="AU337" s="12" t="s">
        <v>1931</v>
      </c>
      <c r="AV337" s="19"/>
      <c r="AW337" s="39">
        <v>90</v>
      </c>
      <c r="AY337" s="33"/>
      <c r="AZ337" s="33"/>
      <c r="BA337" s="33"/>
    </row>
    <row r="338" spans="1:53" ht="12" customHeight="1" x14ac:dyDescent="0.2">
      <c r="A338" s="10" t="s">
        <v>2400</v>
      </c>
      <c r="B338" s="39">
        <v>103026</v>
      </c>
      <c r="C338" s="42" t="s">
        <v>3252</v>
      </c>
      <c r="D338" s="10" t="s">
        <v>2944</v>
      </c>
      <c r="E338" s="14" t="s">
        <v>1901</v>
      </c>
      <c r="F338" s="1" t="s">
        <v>395</v>
      </c>
      <c r="G338" s="1" t="s">
        <v>2445</v>
      </c>
      <c r="H338" s="1"/>
      <c r="I338" s="1">
        <v>26</v>
      </c>
      <c r="J338" s="1"/>
      <c r="K338" s="1"/>
      <c r="L338" s="1"/>
      <c r="M338" s="1"/>
      <c r="O338" s="16" t="s">
        <v>367</v>
      </c>
      <c r="P338" s="1">
        <v>1</v>
      </c>
      <c r="Q338" s="15"/>
      <c r="R338" s="15"/>
      <c r="S338" s="15"/>
      <c r="T338" s="15"/>
      <c r="U338" s="15"/>
      <c r="V338" s="1"/>
      <c r="W338" s="1"/>
      <c r="X338" s="1"/>
      <c r="Y338" s="15">
        <v>13800</v>
      </c>
      <c r="Z338" s="15"/>
      <c r="AA338" s="15"/>
      <c r="AB338" s="17"/>
      <c r="AC338" s="82"/>
      <c r="AD338" s="16" t="s">
        <v>52</v>
      </c>
      <c r="AE338" s="16" t="s">
        <v>1903</v>
      </c>
      <c r="AF338" s="16"/>
      <c r="AG338" s="16"/>
      <c r="AH338" s="16"/>
      <c r="AI338" s="16">
        <v>14026</v>
      </c>
      <c r="AJ338" s="16"/>
      <c r="AK338" s="16"/>
      <c r="AL338" s="16"/>
      <c r="AM338" s="16"/>
      <c r="AN338" s="16"/>
      <c r="AO338" s="16"/>
      <c r="AP338" s="16"/>
      <c r="AR338" s="88"/>
      <c r="AS338" s="88"/>
      <c r="AU338" s="12" t="s">
        <v>1931</v>
      </c>
      <c r="AV338" s="19"/>
      <c r="AW338" s="39">
        <v>90</v>
      </c>
      <c r="AY338" s="33"/>
      <c r="AZ338" s="33"/>
      <c r="BA338" s="33"/>
    </row>
    <row r="339" spans="1:53" ht="12" customHeight="1" x14ac:dyDescent="0.2">
      <c r="A339" s="10" t="s">
        <v>2401</v>
      </c>
      <c r="B339" s="39">
        <v>103027</v>
      </c>
      <c r="C339" s="42" t="s">
        <v>3253</v>
      </c>
      <c r="D339" s="10" t="s">
        <v>2944</v>
      </c>
      <c r="E339" s="14" t="s">
        <v>1901</v>
      </c>
      <c r="F339" s="1" t="s">
        <v>394</v>
      </c>
      <c r="G339" s="1" t="s">
        <v>2445</v>
      </c>
      <c r="H339" s="1"/>
      <c r="I339" s="1">
        <v>27</v>
      </c>
      <c r="J339" s="1"/>
      <c r="K339" s="1"/>
      <c r="L339" s="1"/>
      <c r="M339" s="1"/>
      <c r="O339" s="16" t="s">
        <v>367</v>
      </c>
      <c r="P339" s="1">
        <v>1</v>
      </c>
      <c r="Q339" s="15"/>
      <c r="R339" s="15"/>
      <c r="S339" s="15"/>
      <c r="T339" s="15"/>
      <c r="U339" s="15"/>
      <c r="V339" s="1"/>
      <c r="W339" s="1"/>
      <c r="X339" s="1"/>
      <c r="Y339" s="15">
        <v>13800</v>
      </c>
      <c r="Z339" s="15"/>
      <c r="AA339" s="15"/>
      <c r="AB339" s="17"/>
      <c r="AC339" s="82"/>
      <c r="AD339" s="16" t="s">
        <v>52</v>
      </c>
      <c r="AE339" s="16" t="s">
        <v>1903</v>
      </c>
      <c r="AF339" s="16"/>
      <c r="AG339" s="16"/>
      <c r="AH339" s="16"/>
      <c r="AI339" s="16">
        <v>14027</v>
      </c>
      <c r="AJ339" s="16"/>
      <c r="AK339" s="16"/>
      <c r="AL339" s="16"/>
      <c r="AM339" s="16"/>
      <c r="AN339" s="16"/>
      <c r="AO339" s="16"/>
      <c r="AP339" s="16"/>
      <c r="AR339" s="88"/>
      <c r="AS339" s="88"/>
      <c r="AU339" s="12" t="s">
        <v>1931</v>
      </c>
      <c r="AV339" s="19"/>
      <c r="AW339" s="39">
        <v>90</v>
      </c>
      <c r="AY339" s="33"/>
      <c r="AZ339" s="33"/>
      <c r="BA339" s="33"/>
    </row>
    <row r="340" spans="1:53" ht="12" customHeight="1" x14ac:dyDescent="0.2">
      <c r="A340" s="10" t="s">
        <v>2402</v>
      </c>
      <c r="B340" s="39">
        <v>103028</v>
      </c>
      <c r="C340" s="42" t="s">
        <v>3254</v>
      </c>
      <c r="D340" s="10" t="s">
        <v>2944</v>
      </c>
      <c r="E340" s="14" t="s">
        <v>1901</v>
      </c>
      <c r="F340" s="1" t="s">
        <v>396</v>
      </c>
      <c r="G340" s="1" t="s">
        <v>2445</v>
      </c>
      <c r="H340" s="1"/>
      <c r="I340" s="1">
        <v>28</v>
      </c>
      <c r="J340" s="1"/>
      <c r="K340" s="1"/>
      <c r="L340" s="1"/>
      <c r="M340" s="1"/>
      <c r="O340" s="16" t="s">
        <v>367</v>
      </c>
      <c r="P340" s="1">
        <v>1</v>
      </c>
      <c r="Q340" s="15"/>
      <c r="R340" s="15"/>
      <c r="S340" s="15"/>
      <c r="T340" s="15"/>
      <c r="U340" s="15"/>
      <c r="V340" s="1"/>
      <c r="W340" s="1"/>
      <c r="X340" s="1"/>
      <c r="Y340" s="15">
        <v>13800</v>
      </c>
      <c r="Z340" s="15"/>
      <c r="AA340" s="15"/>
      <c r="AB340" s="17"/>
      <c r="AC340" s="82"/>
      <c r="AD340" s="16" t="s">
        <v>52</v>
      </c>
      <c r="AE340" s="16" t="s">
        <v>1903</v>
      </c>
      <c r="AF340" s="16"/>
      <c r="AG340" s="16"/>
      <c r="AH340" s="16"/>
      <c r="AI340" s="16">
        <v>14028</v>
      </c>
      <c r="AJ340" s="16"/>
      <c r="AK340" s="16"/>
      <c r="AL340" s="16"/>
      <c r="AM340" s="16"/>
      <c r="AN340" s="16"/>
      <c r="AO340" s="16"/>
      <c r="AP340" s="16"/>
      <c r="AR340" s="88"/>
      <c r="AS340" s="88"/>
      <c r="AU340" s="12" t="s">
        <v>1931</v>
      </c>
      <c r="AV340" s="19"/>
      <c r="AW340" s="39">
        <v>90</v>
      </c>
      <c r="AY340" s="33"/>
      <c r="AZ340" s="33"/>
      <c r="BA340" s="33"/>
    </row>
    <row r="341" spans="1:53" ht="12" customHeight="1" x14ac:dyDescent="0.2">
      <c r="A341" s="10" t="s">
        <v>2403</v>
      </c>
      <c r="B341" s="39">
        <v>103029</v>
      </c>
      <c r="C341" s="42" t="s">
        <v>3255</v>
      </c>
      <c r="D341" s="10" t="s">
        <v>2944</v>
      </c>
      <c r="E341" s="14" t="s">
        <v>1901</v>
      </c>
      <c r="F341" s="1" t="s">
        <v>90</v>
      </c>
      <c r="G341" s="1" t="s">
        <v>2445</v>
      </c>
      <c r="H341" s="1"/>
      <c r="I341" s="1">
        <v>29</v>
      </c>
      <c r="J341" s="1"/>
      <c r="K341" s="1"/>
      <c r="L341" s="1"/>
      <c r="M341" s="1"/>
      <c r="O341" s="16" t="s">
        <v>367</v>
      </c>
      <c r="P341" s="1">
        <v>1</v>
      </c>
      <c r="Q341" s="15"/>
      <c r="R341" s="15"/>
      <c r="S341" s="15"/>
      <c r="T341" s="15"/>
      <c r="U341" s="15"/>
      <c r="V341" s="1"/>
      <c r="W341" s="1"/>
      <c r="X341" s="1"/>
      <c r="Y341" s="15">
        <v>13800</v>
      </c>
      <c r="Z341" s="15"/>
      <c r="AA341" s="15"/>
      <c r="AB341" s="17"/>
      <c r="AC341" s="82"/>
      <c r="AD341" s="16" t="s">
        <v>52</v>
      </c>
      <c r="AE341" s="16" t="s">
        <v>1903</v>
      </c>
      <c r="AF341" s="16"/>
      <c r="AG341" s="16"/>
      <c r="AH341" s="16"/>
      <c r="AI341" s="16">
        <v>14029</v>
      </c>
      <c r="AJ341" s="16"/>
      <c r="AK341" s="16"/>
      <c r="AL341" s="16"/>
      <c r="AM341" s="16"/>
      <c r="AN341" s="16"/>
      <c r="AO341" s="16"/>
      <c r="AP341" s="16"/>
      <c r="AR341" s="88"/>
      <c r="AS341" s="88"/>
      <c r="AU341" s="12" t="s">
        <v>1931</v>
      </c>
      <c r="AV341" s="19"/>
      <c r="AW341" s="39">
        <v>90</v>
      </c>
      <c r="AY341" s="33"/>
      <c r="AZ341" s="33"/>
      <c r="BA341" s="33"/>
    </row>
    <row r="342" spans="1:53" ht="12" customHeight="1" x14ac:dyDescent="0.2">
      <c r="A342" s="10" t="s">
        <v>2404</v>
      </c>
      <c r="B342" s="39">
        <v>103030</v>
      </c>
      <c r="C342" s="42" t="s">
        <v>3256</v>
      </c>
      <c r="D342" s="10" t="s">
        <v>2944</v>
      </c>
      <c r="E342" s="14" t="s">
        <v>1901</v>
      </c>
      <c r="F342" s="1" t="s">
        <v>394</v>
      </c>
      <c r="G342" s="1" t="s">
        <v>2445</v>
      </c>
      <c r="H342" s="1"/>
      <c r="I342" s="1">
        <v>30</v>
      </c>
      <c r="J342" s="1"/>
      <c r="K342" s="1"/>
      <c r="L342" s="1"/>
      <c r="M342" s="1"/>
      <c r="O342" s="16" t="s">
        <v>367</v>
      </c>
      <c r="P342" s="1">
        <v>1</v>
      </c>
      <c r="Q342" s="15"/>
      <c r="R342" s="15"/>
      <c r="S342" s="15"/>
      <c r="T342" s="15"/>
      <c r="U342" s="15"/>
      <c r="V342" s="1"/>
      <c r="W342" s="1"/>
      <c r="X342" s="1"/>
      <c r="Y342" s="15">
        <v>13800</v>
      </c>
      <c r="Z342" s="15"/>
      <c r="AA342" s="15"/>
      <c r="AB342" s="17"/>
      <c r="AC342" s="82"/>
      <c r="AD342" s="16" t="s">
        <v>52</v>
      </c>
      <c r="AE342" s="16" t="s">
        <v>1903</v>
      </c>
      <c r="AF342" s="16"/>
      <c r="AG342" s="16"/>
      <c r="AH342" s="16"/>
      <c r="AI342" s="16">
        <v>14030</v>
      </c>
      <c r="AJ342" s="16"/>
      <c r="AK342" s="16"/>
      <c r="AL342" s="16"/>
      <c r="AM342" s="16"/>
      <c r="AN342" s="16"/>
      <c r="AO342" s="16"/>
      <c r="AP342" s="16"/>
      <c r="AR342" s="88"/>
      <c r="AS342" s="88"/>
      <c r="AU342" s="12" t="s">
        <v>1931</v>
      </c>
      <c r="AV342" s="19"/>
      <c r="AW342" s="39">
        <v>90</v>
      </c>
      <c r="AY342" s="33"/>
      <c r="AZ342" s="33"/>
      <c r="BA342" s="33"/>
    </row>
    <row r="343" spans="1:53" ht="12" customHeight="1" x14ac:dyDescent="0.2">
      <c r="A343" s="10" t="s">
        <v>2405</v>
      </c>
      <c r="B343" s="39">
        <v>103031</v>
      </c>
      <c r="C343" s="42" t="s">
        <v>3257</v>
      </c>
      <c r="D343" s="10" t="s">
        <v>2944</v>
      </c>
      <c r="E343" s="14" t="s">
        <v>1901</v>
      </c>
      <c r="F343" s="1" t="s">
        <v>90</v>
      </c>
      <c r="G343" s="1" t="s">
        <v>2445</v>
      </c>
      <c r="H343" s="1"/>
      <c r="I343" s="1">
        <v>31</v>
      </c>
      <c r="J343" s="1"/>
      <c r="K343" s="1"/>
      <c r="L343" s="1"/>
      <c r="M343" s="1"/>
      <c r="O343" s="16" t="s">
        <v>367</v>
      </c>
      <c r="P343" s="1">
        <v>1</v>
      </c>
      <c r="Q343" s="15"/>
      <c r="R343" s="15"/>
      <c r="S343" s="15"/>
      <c r="T343" s="15"/>
      <c r="U343" s="15"/>
      <c r="V343" s="1"/>
      <c r="W343" s="1"/>
      <c r="X343" s="1"/>
      <c r="Y343" s="15">
        <v>13800</v>
      </c>
      <c r="Z343" s="15"/>
      <c r="AA343" s="15"/>
      <c r="AB343" s="17"/>
      <c r="AC343" s="82"/>
      <c r="AD343" s="16" t="s">
        <v>52</v>
      </c>
      <c r="AE343" s="16" t="s">
        <v>1903</v>
      </c>
      <c r="AF343" s="16"/>
      <c r="AG343" s="16"/>
      <c r="AH343" s="16"/>
      <c r="AI343" s="16">
        <v>14031</v>
      </c>
      <c r="AJ343" s="16"/>
      <c r="AK343" s="16"/>
      <c r="AL343" s="16"/>
      <c r="AM343" s="16"/>
      <c r="AN343" s="16"/>
      <c r="AO343" s="16"/>
      <c r="AP343" s="16"/>
      <c r="AR343" s="88"/>
      <c r="AS343" s="88"/>
      <c r="AU343" s="12" t="s">
        <v>1931</v>
      </c>
      <c r="AV343" s="19"/>
      <c r="AW343" s="39">
        <v>90</v>
      </c>
      <c r="AY343" s="33"/>
      <c r="AZ343" s="33"/>
      <c r="BA343" s="33"/>
    </row>
    <row r="344" spans="1:53" ht="12" customHeight="1" x14ac:dyDescent="0.2">
      <c r="A344" s="10" t="s">
        <v>2406</v>
      </c>
      <c r="B344" s="39">
        <v>103032</v>
      </c>
      <c r="C344" s="42" t="s">
        <v>3258</v>
      </c>
      <c r="D344" s="10" t="s">
        <v>2944</v>
      </c>
      <c r="E344" s="14" t="s">
        <v>1901</v>
      </c>
      <c r="F344" s="1" t="s">
        <v>395</v>
      </c>
      <c r="G344" s="1" t="s">
        <v>2445</v>
      </c>
      <c r="H344" s="1"/>
      <c r="I344" s="1">
        <v>32</v>
      </c>
      <c r="J344" s="1"/>
      <c r="K344" s="1"/>
      <c r="L344" s="1"/>
      <c r="M344" s="1"/>
      <c r="O344" s="16" t="s">
        <v>367</v>
      </c>
      <c r="P344" s="1">
        <v>1</v>
      </c>
      <c r="Q344" s="15"/>
      <c r="R344" s="15"/>
      <c r="S344" s="15"/>
      <c r="T344" s="15"/>
      <c r="U344" s="15"/>
      <c r="V344" s="1"/>
      <c r="W344" s="1"/>
      <c r="X344" s="1"/>
      <c r="Y344" s="15">
        <v>13800</v>
      </c>
      <c r="Z344" s="15"/>
      <c r="AA344" s="15"/>
      <c r="AB344" s="17"/>
      <c r="AC344" s="82"/>
      <c r="AD344" s="16" t="s">
        <v>52</v>
      </c>
      <c r="AE344" s="16" t="s">
        <v>1903</v>
      </c>
      <c r="AF344" s="16"/>
      <c r="AG344" s="16"/>
      <c r="AH344" s="16"/>
      <c r="AI344" s="16">
        <v>14032</v>
      </c>
      <c r="AJ344" s="16"/>
      <c r="AK344" s="16"/>
      <c r="AL344" s="16"/>
      <c r="AM344" s="16"/>
      <c r="AN344" s="16"/>
      <c r="AO344" s="16"/>
      <c r="AP344" s="16"/>
      <c r="AR344" s="88"/>
      <c r="AS344" s="88"/>
      <c r="AU344" s="12" t="s">
        <v>1931</v>
      </c>
      <c r="AV344" s="19"/>
      <c r="AW344" s="39">
        <v>90</v>
      </c>
      <c r="AY344" s="33"/>
      <c r="AZ344" s="33"/>
      <c r="BA344" s="33"/>
    </row>
    <row r="345" spans="1:53" ht="12" customHeight="1" x14ac:dyDescent="0.2">
      <c r="A345" s="10" t="s">
        <v>2407</v>
      </c>
      <c r="B345" s="39">
        <v>103033</v>
      </c>
      <c r="C345" s="42" t="s">
        <v>3259</v>
      </c>
      <c r="D345" s="10" t="s">
        <v>2944</v>
      </c>
      <c r="E345" s="14" t="s">
        <v>1901</v>
      </c>
      <c r="F345" s="1" t="s">
        <v>395</v>
      </c>
      <c r="G345" s="1" t="s">
        <v>2445</v>
      </c>
      <c r="H345" s="1"/>
      <c r="I345" s="1">
        <v>33</v>
      </c>
      <c r="J345" s="1"/>
      <c r="K345" s="1"/>
      <c r="L345" s="1"/>
      <c r="M345" s="1"/>
      <c r="O345" s="16" t="s">
        <v>367</v>
      </c>
      <c r="P345" s="1">
        <v>1</v>
      </c>
      <c r="Q345" s="15"/>
      <c r="R345" s="15"/>
      <c r="S345" s="15"/>
      <c r="T345" s="15"/>
      <c r="U345" s="15"/>
      <c r="V345" s="1"/>
      <c r="W345" s="1"/>
      <c r="X345" s="1"/>
      <c r="Y345" s="15">
        <v>13800</v>
      </c>
      <c r="Z345" s="15"/>
      <c r="AA345" s="15"/>
      <c r="AB345" s="17"/>
      <c r="AC345" s="82"/>
      <c r="AD345" s="16" t="s">
        <v>52</v>
      </c>
      <c r="AE345" s="16" t="s">
        <v>1903</v>
      </c>
      <c r="AF345" s="16"/>
      <c r="AG345" s="16"/>
      <c r="AH345" s="16"/>
      <c r="AI345" s="16">
        <v>14033</v>
      </c>
      <c r="AJ345" s="16"/>
      <c r="AK345" s="16"/>
      <c r="AL345" s="16"/>
      <c r="AM345" s="16"/>
      <c r="AN345" s="16"/>
      <c r="AO345" s="16"/>
      <c r="AP345" s="16"/>
      <c r="AR345" s="88"/>
      <c r="AS345" s="88"/>
      <c r="AU345" s="12" t="s">
        <v>1931</v>
      </c>
      <c r="AV345" s="19"/>
      <c r="AW345" s="39">
        <v>90</v>
      </c>
      <c r="AY345" s="33"/>
      <c r="AZ345" s="33"/>
      <c r="BA345" s="33"/>
    </row>
    <row r="346" spans="1:53" ht="12" customHeight="1" x14ac:dyDescent="0.2">
      <c r="A346" s="10" t="s">
        <v>2408</v>
      </c>
      <c r="B346" s="39">
        <v>103034</v>
      </c>
      <c r="C346" s="42" t="s">
        <v>3260</v>
      </c>
      <c r="D346" s="10" t="s">
        <v>2944</v>
      </c>
      <c r="E346" s="14" t="s">
        <v>1901</v>
      </c>
      <c r="F346" s="1" t="s">
        <v>91</v>
      </c>
      <c r="G346" s="1" t="s">
        <v>2445</v>
      </c>
      <c r="H346" s="1"/>
      <c r="I346" s="1">
        <v>34</v>
      </c>
      <c r="J346" s="1"/>
      <c r="K346" s="1"/>
      <c r="L346" s="1"/>
      <c r="M346" s="1"/>
      <c r="O346" s="16" t="s">
        <v>367</v>
      </c>
      <c r="P346" s="1">
        <v>1</v>
      </c>
      <c r="Q346" s="15"/>
      <c r="R346" s="15"/>
      <c r="S346" s="15"/>
      <c r="T346" s="15"/>
      <c r="U346" s="15"/>
      <c r="V346" s="1"/>
      <c r="W346" s="1"/>
      <c r="X346" s="1"/>
      <c r="Y346" s="15">
        <v>13800</v>
      </c>
      <c r="Z346" s="15"/>
      <c r="AA346" s="15"/>
      <c r="AB346" s="17"/>
      <c r="AC346" s="82"/>
      <c r="AD346" s="16" t="s">
        <v>52</v>
      </c>
      <c r="AE346" s="16" t="s">
        <v>1903</v>
      </c>
      <c r="AF346" s="16"/>
      <c r="AG346" s="16"/>
      <c r="AH346" s="16"/>
      <c r="AI346" s="16">
        <v>14034</v>
      </c>
      <c r="AJ346" s="16"/>
      <c r="AK346" s="16"/>
      <c r="AL346" s="16"/>
      <c r="AM346" s="16"/>
      <c r="AN346" s="16"/>
      <c r="AO346" s="16"/>
      <c r="AP346" s="16"/>
      <c r="AR346" s="88"/>
      <c r="AS346" s="88"/>
      <c r="AU346" s="12" t="s">
        <v>1931</v>
      </c>
      <c r="AV346" s="19"/>
      <c r="AW346" s="39">
        <v>90</v>
      </c>
      <c r="AY346" s="33"/>
      <c r="AZ346" s="33"/>
      <c r="BA346" s="33"/>
    </row>
    <row r="347" spans="1:53" ht="12" customHeight="1" x14ac:dyDescent="0.2">
      <c r="A347" s="10" t="s">
        <v>2409</v>
      </c>
      <c r="B347" s="39">
        <v>103035</v>
      </c>
      <c r="C347" s="42" t="s">
        <v>3261</v>
      </c>
      <c r="D347" s="10" t="s">
        <v>2944</v>
      </c>
      <c r="E347" s="14" t="s">
        <v>1901</v>
      </c>
      <c r="F347" s="1" t="s">
        <v>91</v>
      </c>
      <c r="G347" s="1" t="s">
        <v>2445</v>
      </c>
      <c r="H347" s="1"/>
      <c r="I347" s="1">
        <v>35</v>
      </c>
      <c r="J347" s="1"/>
      <c r="K347" s="1"/>
      <c r="L347" s="1"/>
      <c r="M347" s="1"/>
      <c r="O347" s="16" t="s">
        <v>367</v>
      </c>
      <c r="P347" s="1">
        <v>1</v>
      </c>
      <c r="Q347" s="15"/>
      <c r="R347" s="15"/>
      <c r="S347" s="15"/>
      <c r="T347" s="15"/>
      <c r="U347" s="15"/>
      <c r="V347" s="1"/>
      <c r="W347" s="1"/>
      <c r="X347" s="1"/>
      <c r="Y347" s="15">
        <v>13800</v>
      </c>
      <c r="Z347" s="15"/>
      <c r="AA347" s="15"/>
      <c r="AB347" s="17"/>
      <c r="AC347" s="82"/>
      <c r="AD347" s="16" t="s">
        <v>52</v>
      </c>
      <c r="AE347" s="16" t="s">
        <v>1903</v>
      </c>
      <c r="AF347" s="16"/>
      <c r="AG347" s="16"/>
      <c r="AH347" s="16"/>
      <c r="AI347" s="16">
        <v>14035</v>
      </c>
      <c r="AJ347" s="16"/>
      <c r="AK347" s="16"/>
      <c r="AL347" s="16"/>
      <c r="AM347" s="16"/>
      <c r="AN347" s="16"/>
      <c r="AO347" s="16"/>
      <c r="AP347" s="16"/>
      <c r="AR347" s="88"/>
      <c r="AS347" s="88"/>
      <c r="AU347" s="12" t="s">
        <v>1931</v>
      </c>
      <c r="AV347" s="19"/>
      <c r="AW347" s="39">
        <v>90</v>
      </c>
      <c r="AY347" s="33"/>
      <c r="AZ347" s="33"/>
      <c r="BA347" s="33"/>
    </row>
    <row r="348" spans="1:53" ht="12" customHeight="1" x14ac:dyDescent="0.2">
      <c r="A348" s="10" t="s">
        <v>2410</v>
      </c>
      <c r="B348" s="39">
        <v>103036</v>
      </c>
      <c r="C348" s="42" t="s">
        <v>3262</v>
      </c>
      <c r="D348" s="10" t="s">
        <v>2944</v>
      </c>
      <c r="E348" s="14" t="s">
        <v>1901</v>
      </c>
      <c r="F348" s="1" t="s">
        <v>88</v>
      </c>
      <c r="G348" s="1" t="s">
        <v>2445</v>
      </c>
      <c r="H348" s="1"/>
      <c r="I348" s="1">
        <v>36</v>
      </c>
      <c r="J348" s="1"/>
      <c r="K348" s="1"/>
      <c r="L348" s="1"/>
      <c r="M348" s="1"/>
      <c r="O348" s="16" t="s">
        <v>367</v>
      </c>
      <c r="P348" s="1">
        <v>1</v>
      </c>
      <c r="Q348" s="15"/>
      <c r="R348" s="15"/>
      <c r="S348" s="15"/>
      <c r="T348" s="15"/>
      <c r="U348" s="15"/>
      <c r="V348" s="1"/>
      <c r="W348" s="1"/>
      <c r="X348" s="1"/>
      <c r="Y348" s="15">
        <v>13800</v>
      </c>
      <c r="Z348" s="15"/>
      <c r="AA348" s="15"/>
      <c r="AB348" s="17"/>
      <c r="AC348" s="82"/>
      <c r="AD348" s="16" t="s">
        <v>52</v>
      </c>
      <c r="AE348" s="16" t="s">
        <v>1903</v>
      </c>
      <c r="AF348" s="16"/>
      <c r="AG348" s="16"/>
      <c r="AH348" s="16"/>
      <c r="AI348" s="16">
        <v>14036</v>
      </c>
      <c r="AJ348" s="16"/>
      <c r="AK348" s="16"/>
      <c r="AL348" s="16"/>
      <c r="AM348" s="16"/>
      <c r="AN348" s="16"/>
      <c r="AO348" s="16"/>
      <c r="AP348" s="16"/>
      <c r="AR348" s="88"/>
      <c r="AS348" s="88"/>
      <c r="AU348" s="12" t="s">
        <v>1931</v>
      </c>
      <c r="AV348" s="19"/>
      <c r="AW348" s="39">
        <v>90</v>
      </c>
      <c r="AY348" s="33"/>
      <c r="AZ348" s="33"/>
      <c r="BA348" s="33"/>
    </row>
    <row r="349" spans="1:53" ht="12" customHeight="1" x14ac:dyDescent="0.2">
      <c r="A349" s="10" t="s">
        <v>2411</v>
      </c>
      <c r="B349" s="39">
        <v>103037</v>
      </c>
      <c r="C349" s="42" t="s">
        <v>3263</v>
      </c>
      <c r="D349" s="10" t="s">
        <v>2944</v>
      </c>
      <c r="E349" s="14" t="s">
        <v>1901</v>
      </c>
      <c r="F349" s="1" t="s">
        <v>396</v>
      </c>
      <c r="G349" s="1" t="s">
        <v>2445</v>
      </c>
      <c r="H349" s="1"/>
      <c r="I349" s="1">
        <v>37</v>
      </c>
      <c r="J349" s="1"/>
      <c r="K349" s="1"/>
      <c r="L349" s="1"/>
      <c r="M349" s="1"/>
      <c r="O349" s="16" t="s">
        <v>367</v>
      </c>
      <c r="P349" s="1">
        <v>1</v>
      </c>
      <c r="Q349" s="15"/>
      <c r="R349" s="15"/>
      <c r="S349" s="15"/>
      <c r="T349" s="15"/>
      <c r="U349" s="15"/>
      <c r="V349" s="1"/>
      <c r="W349" s="1"/>
      <c r="X349" s="1"/>
      <c r="Y349" s="15">
        <v>13800</v>
      </c>
      <c r="Z349" s="15"/>
      <c r="AA349" s="15"/>
      <c r="AB349" s="17"/>
      <c r="AC349" s="82"/>
      <c r="AD349" s="16" t="s">
        <v>52</v>
      </c>
      <c r="AE349" s="16" t="s">
        <v>1903</v>
      </c>
      <c r="AF349" s="16"/>
      <c r="AG349" s="16"/>
      <c r="AH349" s="16"/>
      <c r="AI349" s="16">
        <v>14037</v>
      </c>
      <c r="AJ349" s="16"/>
      <c r="AK349" s="16"/>
      <c r="AL349" s="16"/>
      <c r="AM349" s="16"/>
      <c r="AN349" s="16"/>
      <c r="AO349" s="16"/>
      <c r="AP349" s="16"/>
      <c r="AR349" s="88"/>
      <c r="AS349" s="88"/>
      <c r="AU349" s="12" t="s">
        <v>1931</v>
      </c>
      <c r="AV349" s="19"/>
      <c r="AW349" s="39">
        <v>90</v>
      </c>
      <c r="AY349" s="33"/>
      <c r="AZ349" s="33"/>
      <c r="BA349" s="33"/>
    </row>
    <row r="350" spans="1:53" ht="12" customHeight="1" x14ac:dyDescent="0.2">
      <c r="A350" s="10" t="s">
        <v>2412</v>
      </c>
      <c r="B350" s="39">
        <v>103038</v>
      </c>
      <c r="C350" s="42" t="s">
        <v>3264</v>
      </c>
      <c r="D350" s="10" t="s">
        <v>2944</v>
      </c>
      <c r="E350" s="14" t="s">
        <v>1901</v>
      </c>
      <c r="F350" s="1" t="s">
        <v>396</v>
      </c>
      <c r="G350" s="1" t="s">
        <v>2445</v>
      </c>
      <c r="H350" s="1"/>
      <c r="I350" s="1">
        <v>38</v>
      </c>
      <c r="J350" s="1"/>
      <c r="K350" s="1"/>
      <c r="L350" s="1"/>
      <c r="M350" s="1"/>
      <c r="O350" s="16" t="s">
        <v>367</v>
      </c>
      <c r="P350" s="1">
        <v>1</v>
      </c>
      <c r="Q350" s="15"/>
      <c r="R350" s="15"/>
      <c r="S350" s="15"/>
      <c r="T350" s="15"/>
      <c r="U350" s="15"/>
      <c r="V350" s="1"/>
      <c r="W350" s="1"/>
      <c r="X350" s="1"/>
      <c r="Y350" s="15">
        <v>13800</v>
      </c>
      <c r="Z350" s="15"/>
      <c r="AA350" s="15"/>
      <c r="AB350" s="17"/>
      <c r="AC350" s="82"/>
      <c r="AD350" s="16" t="s">
        <v>52</v>
      </c>
      <c r="AE350" s="16" t="s">
        <v>1903</v>
      </c>
      <c r="AF350" s="16"/>
      <c r="AG350" s="16"/>
      <c r="AH350" s="16"/>
      <c r="AI350" s="16">
        <v>14038</v>
      </c>
      <c r="AJ350" s="16"/>
      <c r="AK350" s="16"/>
      <c r="AL350" s="16"/>
      <c r="AM350" s="16"/>
      <c r="AN350" s="16"/>
      <c r="AO350" s="16"/>
      <c r="AP350" s="16"/>
      <c r="AR350" s="88"/>
      <c r="AS350" s="88"/>
      <c r="AU350" s="12" t="s">
        <v>1931</v>
      </c>
      <c r="AV350" s="19"/>
      <c r="AW350" s="39">
        <v>90</v>
      </c>
      <c r="AY350" s="33"/>
      <c r="AZ350" s="33"/>
      <c r="BA350" s="33"/>
    </row>
    <row r="351" spans="1:53" ht="12" customHeight="1" x14ac:dyDescent="0.2">
      <c r="A351" s="10" t="s">
        <v>2413</v>
      </c>
      <c r="B351" s="39">
        <v>103039</v>
      </c>
      <c r="C351" s="42" t="s">
        <v>3265</v>
      </c>
      <c r="D351" s="10" t="s">
        <v>2944</v>
      </c>
      <c r="E351" s="14" t="s">
        <v>1901</v>
      </c>
      <c r="F351" s="1" t="s">
        <v>394</v>
      </c>
      <c r="G351" s="1" t="s">
        <v>2445</v>
      </c>
      <c r="H351" s="1"/>
      <c r="I351" s="1">
        <v>39</v>
      </c>
      <c r="J351" s="1"/>
      <c r="K351" s="1"/>
      <c r="L351" s="1"/>
      <c r="M351" s="1"/>
      <c r="O351" s="16" t="s">
        <v>367</v>
      </c>
      <c r="P351" s="1">
        <v>1</v>
      </c>
      <c r="Q351" s="15"/>
      <c r="R351" s="15"/>
      <c r="S351" s="15"/>
      <c r="T351" s="15"/>
      <c r="U351" s="15"/>
      <c r="V351" s="1"/>
      <c r="W351" s="1"/>
      <c r="X351" s="1"/>
      <c r="Y351" s="15">
        <v>13800</v>
      </c>
      <c r="Z351" s="15"/>
      <c r="AA351" s="15"/>
      <c r="AB351" s="17"/>
      <c r="AC351" s="82"/>
      <c r="AD351" s="16" t="s">
        <v>52</v>
      </c>
      <c r="AE351" s="16" t="s">
        <v>1903</v>
      </c>
      <c r="AF351" s="16"/>
      <c r="AG351" s="16"/>
      <c r="AH351" s="16"/>
      <c r="AI351" s="16">
        <v>14039</v>
      </c>
      <c r="AJ351" s="16"/>
      <c r="AK351" s="16"/>
      <c r="AL351" s="16"/>
      <c r="AM351" s="16"/>
      <c r="AN351" s="16"/>
      <c r="AO351" s="16"/>
      <c r="AP351" s="16"/>
      <c r="AR351" s="88"/>
      <c r="AS351" s="88"/>
      <c r="AU351" s="12" t="s">
        <v>1931</v>
      </c>
      <c r="AV351" s="19"/>
      <c r="AW351" s="39">
        <v>90</v>
      </c>
      <c r="AY351" s="33"/>
      <c r="AZ351" s="33"/>
      <c r="BA351" s="33"/>
    </row>
    <row r="352" spans="1:53" ht="12" customHeight="1" x14ac:dyDescent="0.2">
      <c r="A352" s="10" t="s">
        <v>2414</v>
      </c>
      <c r="B352" s="39">
        <v>103040</v>
      </c>
      <c r="C352" s="42" t="s">
        <v>3266</v>
      </c>
      <c r="D352" s="10" t="s">
        <v>2944</v>
      </c>
      <c r="E352" s="14" t="s">
        <v>1901</v>
      </c>
      <c r="F352" s="1" t="s">
        <v>89</v>
      </c>
      <c r="G352" s="1" t="s">
        <v>2445</v>
      </c>
      <c r="H352" s="1"/>
      <c r="I352" s="1">
        <v>40</v>
      </c>
      <c r="J352" s="1"/>
      <c r="K352" s="1"/>
      <c r="L352" s="1"/>
      <c r="M352" s="1"/>
      <c r="O352" s="16" t="s">
        <v>367</v>
      </c>
      <c r="P352" s="1">
        <v>1</v>
      </c>
      <c r="Q352" s="15"/>
      <c r="R352" s="15"/>
      <c r="S352" s="15"/>
      <c r="T352" s="15"/>
      <c r="U352" s="15"/>
      <c r="V352" s="1"/>
      <c r="W352" s="1"/>
      <c r="X352" s="1"/>
      <c r="Y352" s="15">
        <v>13800</v>
      </c>
      <c r="Z352" s="15"/>
      <c r="AA352" s="15"/>
      <c r="AB352" s="17"/>
      <c r="AC352" s="82"/>
      <c r="AD352" s="16" t="s">
        <v>52</v>
      </c>
      <c r="AE352" s="16" t="s">
        <v>1903</v>
      </c>
      <c r="AF352" s="16"/>
      <c r="AG352" s="16"/>
      <c r="AH352" s="16"/>
      <c r="AI352" s="16">
        <v>14040</v>
      </c>
      <c r="AJ352" s="16"/>
      <c r="AK352" s="16"/>
      <c r="AL352" s="16"/>
      <c r="AM352" s="16"/>
      <c r="AN352" s="16"/>
      <c r="AO352" s="16"/>
      <c r="AP352" s="16"/>
      <c r="AR352" s="88"/>
      <c r="AS352" s="88"/>
      <c r="AU352" s="12" t="s">
        <v>1931</v>
      </c>
      <c r="AV352" s="19"/>
      <c r="AW352" s="39">
        <v>90</v>
      </c>
      <c r="AY352" s="33"/>
      <c r="AZ352" s="33"/>
      <c r="BA352" s="33"/>
    </row>
    <row r="353" spans="1:53" ht="12" customHeight="1" x14ac:dyDescent="0.2">
      <c r="A353" s="10" t="s">
        <v>2415</v>
      </c>
      <c r="B353" s="39">
        <v>103041</v>
      </c>
      <c r="C353" s="42" t="s">
        <v>3267</v>
      </c>
      <c r="D353" s="10" t="s">
        <v>2944</v>
      </c>
      <c r="E353" s="14" t="s">
        <v>1901</v>
      </c>
      <c r="F353" s="1" t="s">
        <v>394</v>
      </c>
      <c r="G353" s="1" t="s">
        <v>2445</v>
      </c>
      <c r="H353" s="1"/>
      <c r="I353" s="1">
        <v>41</v>
      </c>
      <c r="J353" s="1"/>
      <c r="K353" s="1"/>
      <c r="L353" s="1"/>
      <c r="M353" s="1"/>
      <c r="O353" s="16" t="s">
        <v>367</v>
      </c>
      <c r="P353" s="1">
        <v>1</v>
      </c>
      <c r="Q353" s="15"/>
      <c r="R353" s="15"/>
      <c r="S353" s="15"/>
      <c r="T353" s="15"/>
      <c r="U353" s="15"/>
      <c r="V353" s="1"/>
      <c r="W353" s="1"/>
      <c r="X353" s="1"/>
      <c r="Y353" s="15">
        <v>13800</v>
      </c>
      <c r="Z353" s="15"/>
      <c r="AA353" s="15"/>
      <c r="AB353" s="17"/>
      <c r="AC353" s="82"/>
      <c r="AD353" s="16" t="s">
        <v>52</v>
      </c>
      <c r="AE353" s="16" t="s">
        <v>1903</v>
      </c>
      <c r="AF353" s="16"/>
      <c r="AG353" s="16"/>
      <c r="AH353" s="16"/>
      <c r="AI353" s="16">
        <v>14041</v>
      </c>
      <c r="AJ353" s="16"/>
      <c r="AK353" s="16"/>
      <c r="AL353" s="16"/>
      <c r="AM353" s="16"/>
      <c r="AN353" s="16"/>
      <c r="AO353" s="16"/>
      <c r="AP353" s="16"/>
      <c r="AR353" s="88"/>
      <c r="AS353" s="88"/>
      <c r="AU353" s="12" t="s">
        <v>1931</v>
      </c>
      <c r="AV353" s="19"/>
      <c r="AW353" s="39">
        <v>90</v>
      </c>
      <c r="AY353" s="33"/>
      <c r="AZ353" s="33"/>
      <c r="BA353" s="33"/>
    </row>
    <row r="354" spans="1:53" ht="12" customHeight="1" x14ac:dyDescent="0.2">
      <c r="A354" s="10" t="s">
        <v>2416</v>
      </c>
      <c r="B354" s="39">
        <v>103042</v>
      </c>
      <c r="C354" s="42" t="s">
        <v>3268</v>
      </c>
      <c r="D354" s="10" t="s">
        <v>2944</v>
      </c>
      <c r="E354" s="14" t="s">
        <v>1901</v>
      </c>
      <c r="F354" s="1" t="s">
        <v>91</v>
      </c>
      <c r="G354" s="1" t="s">
        <v>2445</v>
      </c>
      <c r="H354" s="1"/>
      <c r="I354" s="1">
        <v>42</v>
      </c>
      <c r="J354" s="1"/>
      <c r="K354" s="1"/>
      <c r="L354" s="1"/>
      <c r="M354" s="1"/>
      <c r="O354" s="16" t="s">
        <v>367</v>
      </c>
      <c r="P354" s="1">
        <v>1</v>
      </c>
      <c r="Q354" s="15"/>
      <c r="R354" s="15"/>
      <c r="S354" s="15"/>
      <c r="T354" s="15"/>
      <c r="U354" s="15"/>
      <c r="V354" s="1"/>
      <c r="W354" s="1"/>
      <c r="X354" s="1"/>
      <c r="Y354" s="15">
        <v>13800</v>
      </c>
      <c r="Z354" s="15"/>
      <c r="AA354" s="15"/>
      <c r="AB354" s="17"/>
      <c r="AC354" s="82"/>
      <c r="AD354" s="16" t="s">
        <v>52</v>
      </c>
      <c r="AE354" s="16" t="s">
        <v>1903</v>
      </c>
      <c r="AF354" s="16"/>
      <c r="AG354" s="16"/>
      <c r="AH354" s="16"/>
      <c r="AI354" s="16">
        <v>14042</v>
      </c>
      <c r="AJ354" s="16"/>
      <c r="AK354" s="16"/>
      <c r="AL354" s="16"/>
      <c r="AM354" s="16"/>
      <c r="AN354" s="16"/>
      <c r="AO354" s="16"/>
      <c r="AP354" s="16"/>
      <c r="AR354" s="88"/>
      <c r="AS354" s="88"/>
      <c r="AU354" s="12" t="s">
        <v>1931</v>
      </c>
      <c r="AV354" s="19"/>
      <c r="AW354" s="39">
        <v>90</v>
      </c>
      <c r="AY354" s="33"/>
      <c r="AZ354" s="33"/>
      <c r="BA354" s="33"/>
    </row>
    <row r="355" spans="1:53" ht="12" customHeight="1" x14ac:dyDescent="0.2">
      <c r="A355" s="10" t="s">
        <v>2417</v>
      </c>
      <c r="B355" s="39">
        <v>103043</v>
      </c>
      <c r="C355" s="42" t="s">
        <v>3269</v>
      </c>
      <c r="D355" s="10" t="s">
        <v>2944</v>
      </c>
      <c r="E355" s="14" t="s">
        <v>1901</v>
      </c>
      <c r="F355" s="1" t="s">
        <v>89</v>
      </c>
      <c r="G355" s="1" t="s">
        <v>2445</v>
      </c>
      <c r="H355" s="1"/>
      <c r="I355" s="1">
        <v>43</v>
      </c>
      <c r="J355" s="1"/>
      <c r="K355" s="1"/>
      <c r="L355" s="1"/>
      <c r="M355" s="1"/>
      <c r="O355" s="16" t="s">
        <v>367</v>
      </c>
      <c r="P355" s="1">
        <v>1</v>
      </c>
      <c r="Q355" s="15"/>
      <c r="R355" s="15"/>
      <c r="S355" s="15"/>
      <c r="T355" s="15"/>
      <c r="U355" s="15"/>
      <c r="V355" s="1"/>
      <c r="W355" s="1"/>
      <c r="X355" s="1"/>
      <c r="Y355" s="15">
        <v>13800</v>
      </c>
      <c r="Z355" s="15"/>
      <c r="AA355" s="15"/>
      <c r="AB355" s="17"/>
      <c r="AC355" s="82"/>
      <c r="AD355" s="16" t="s">
        <v>52</v>
      </c>
      <c r="AE355" s="16" t="s">
        <v>1903</v>
      </c>
      <c r="AF355" s="16"/>
      <c r="AG355" s="16"/>
      <c r="AH355" s="16"/>
      <c r="AI355" s="16">
        <v>14043</v>
      </c>
      <c r="AJ355" s="16"/>
      <c r="AK355" s="16"/>
      <c r="AL355" s="16"/>
      <c r="AM355" s="16"/>
      <c r="AN355" s="16"/>
      <c r="AO355" s="16"/>
      <c r="AP355" s="16"/>
      <c r="AR355" s="88"/>
      <c r="AS355" s="88"/>
      <c r="AU355" s="12" t="s">
        <v>1931</v>
      </c>
      <c r="AV355" s="19"/>
      <c r="AW355" s="39">
        <v>90</v>
      </c>
      <c r="AY355" s="33"/>
      <c r="AZ355" s="33"/>
      <c r="BA355" s="33"/>
    </row>
    <row r="356" spans="1:53" ht="12" customHeight="1" x14ac:dyDescent="0.2">
      <c r="A356" s="10" t="s">
        <v>2418</v>
      </c>
      <c r="B356" s="39">
        <v>103044</v>
      </c>
      <c r="C356" s="42" t="s">
        <v>3270</v>
      </c>
      <c r="D356" s="10" t="s">
        <v>2944</v>
      </c>
      <c r="E356" s="14" t="s">
        <v>1901</v>
      </c>
      <c r="F356" s="1" t="s">
        <v>89</v>
      </c>
      <c r="G356" s="1" t="s">
        <v>2445</v>
      </c>
      <c r="H356" s="1"/>
      <c r="I356" s="1">
        <v>44</v>
      </c>
      <c r="J356" s="1"/>
      <c r="K356" s="1"/>
      <c r="L356" s="1"/>
      <c r="M356" s="1"/>
      <c r="O356" s="16" t="s">
        <v>367</v>
      </c>
      <c r="P356" s="1">
        <v>1</v>
      </c>
      <c r="Q356" s="15"/>
      <c r="R356" s="15"/>
      <c r="S356" s="15"/>
      <c r="T356" s="15"/>
      <c r="U356" s="15"/>
      <c r="V356" s="1"/>
      <c r="W356" s="1"/>
      <c r="X356" s="1"/>
      <c r="Y356" s="15">
        <v>13800</v>
      </c>
      <c r="Z356" s="15"/>
      <c r="AA356" s="15"/>
      <c r="AB356" s="17"/>
      <c r="AC356" s="82"/>
      <c r="AD356" s="16" t="s">
        <v>52</v>
      </c>
      <c r="AE356" s="16" t="s">
        <v>1903</v>
      </c>
      <c r="AF356" s="16"/>
      <c r="AG356" s="16"/>
      <c r="AH356" s="16"/>
      <c r="AI356" s="16">
        <v>14044</v>
      </c>
      <c r="AJ356" s="16"/>
      <c r="AK356" s="16"/>
      <c r="AL356" s="16"/>
      <c r="AM356" s="16"/>
      <c r="AN356" s="16"/>
      <c r="AO356" s="16"/>
      <c r="AP356" s="16"/>
      <c r="AR356" s="88"/>
      <c r="AS356" s="88"/>
      <c r="AU356" s="12" t="s">
        <v>1931</v>
      </c>
      <c r="AV356" s="19"/>
      <c r="AW356" s="39">
        <v>90</v>
      </c>
      <c r="AY356" s="33"/>
      <c r="AZ356" s="33"/>
      <c r="BA356" s="33"/>
    </row>
    <row r="357" spans="1:53" ht="12" customHeight="1" x14ac:dyDescent="0.2">
      <c r="A357" s="10" t="s">
        <v>2419</v>
      </c>
      <c r="B357" s="39">
        <v>103045</v>
      </c>
      <c r="C357" s="42" t="s">
        <v>3271</v>
      </c>
      <c r="D357" s="10" t="s">
        <v>2944</v>
      </c>
      <c r="E357" s="14" t="s">
        <v>1901</v>
      </c>
      <c r="F357" s="1" t="s">
        <v>90</v>
      </c>
      <c r="G357" s="1" t="s">
        <v>2445</v>
      </c>
      <c r="H357" s="1"/>
      <c r="I357" s="1">
        <v>45</v>
      </c>
      <c r="J357" s="1"/>
      <c r="K357" s="1"/>
      <c r="L357" s="1"/>
      <c r="M357" s="1"/>
      <c r="O357" s="16" t="s">
        <v>367</v>
      </c>
      <c r="P357" s="1">
        <v>1</v>
      </c>
      <c r="Q357" s="15"/>
      <c r="R357" s="15"/>
      <c r="S357" s="15"/>
      <c r="T357" s="15"/>
      <c r="U357" s="15"/>
      <c r="V357" s="1"/>
      <c r="W357" s="1"/>
      <c r="X357" s="1"/>
      <c r="Y357" s="15">
        <v>13800</v>
      </c>
      <c r="Z357" s="15"/>
      <c r="AA357" s="15"/>
      <c r="AB357" s="17"/>
      <c r="AC357" s="82"/>
      <c r="AD357" s="16" t="s">
        <v>52</v>
      </c>
      <c r="AE357" s="16" t="s">
        <v>1903</v>
      </c>
      <c r="AF357" s="16"/>
      <c r="AG357" s="16"/>
      <c r="AH357" s="16"/>
      <c r="AI357" s="16">
        <v>14045</v>
      </c>
      <c r="AJ357" s="16"/>
      <c r="AK357" s="16"/>
      <c r="AL357" s="16"/>
      <c r="AM357" s="16"/>
      <c r="AN357" s="16"/>
      <c r="AO357" s="16"/>
      <c r="AP357" s="16"/>
      <c r="AR357" s="88"/>
      <c r="AS357" s="88"/>
      <c r="AU357" s="12" t="s">
        <v>1931</v>
      </c>
      <c r="AV357" s="19"/>
      <c r="AW357" s="39">
        <v>90</v>
      </c>
      <c r="AY357" s="33"/>
      <c r="AZ357" s="33"/>
      <c r="BA357" s="33"/>
    </row>
    <row r="358" spans="1:53" ht="12" customHeight="1" x14ac:dyDescent="0.2">
      <c r="A358" s="10" t="s">
        <v>2420</v>
      </c>
      <c r="B358" s="39">
        <v>103046</v>
      </c>
      <c r="C358" s="42" t="s">
        <v>3272</v>
      </c>
      <c r="D358" s="10" t="s">
        <v>2944</v>
      </c>
      <c r="E358" s="14" t="s">
        <v>1901</v>
      </c>
      <c r="F358" s="1" t="s">
        <v>90</v>
      </c>
      <c r="G358" s="1" t="s">
        <v>2445</v>
      </c>
      <c r="H358" s="1"/>
      <c r="I358" s="1">
        <v>46</v>
      </c>
      <c r="J358" s="1"/>
      <c r="K358" s="1"/>
      <c r="L358" s="1"/>
      <c r="M358" s="1"/>
      <c r="O358" s="16" t="s">
        <v>367</v>
      </c>
      <c r="P358" s="1">
        <v>1</v>
      </c>
      <c r="Q358" s="15"/>
      <c r="R358" s="15"/>
      <c r="S358" s="15"/>
      <c r="T358" s="15"/>
      <c r="U358" s="15"/>
      <c r="V358" s="1"/>
      <c r="W358" s="1"/>
      <c r="X358" s="1"/>
      <c r="Y358" s="15">
        <v>13800</v>
      </c>
      <c r="Z358" s="15"/>
      <c r="AA358" s="15"/>
      <c r="AB358" s="17"/>
      <c r="AC358" s="82"/>
      <c r="AD358" s="16" t="s">
        <v>52</v>
      </c>
      <c r="AE358" s="16" t="s">
        <v>1903</v>
      </c>
      <c r="AF358" s="16"/>
      <c r="AG358" s="16"/>
      <c r="AH358" s="16"/>
      <c r="AI358" s="16">
        <v>14046</v>
      </c>
      <c r="AJ358" s="16"/>
      <c r="AK358" s="16"/>
      <c r="AL358" s="16"/>
      <c r="AM358" s="16"/>
      <c r="AN358" s="16"/>
      <c r="AO358" s="16"/>
      <c r="AP358" s="16"/>
      <c r="AR358" s="88"/>
      <c r="AS358" s="88"/>
      <c r="AU358" s="12" t="s">
        <v>1931</v>
      </c>
      <c r="AV358" s="19"/>
      <c r="AW358" s="39">
        <v>90</v>
      </c>
      <c r="AY358" s="33"/>
      <c r="AZ358" s="33"/>
      <c r="BA358" s="33"/>
    </row>
    <row r="359" spans="1:53" ht="12" customHeight="1" x14ac:dyDescent="0.2">
      <c r="A359" s="10" t="s">
        <v>2815</v>
      </c>
      <c r="B359" s="39">
        <v>103047</v>
      </c>
      <c r="C359" s="42" t="s">
        <v>3273</v>
      </c>
      <c r="D359" s="10" t="s">
        <v>2944</v>
      </c>
      <c r="E359" s="14" t="s">
        <v>1901</v>
      </c>
      <c r="F359" s="1" t="s">
        <v>90</v>
      </c>
      <c r="G359" s="1" t="s">
        <v>2445</v>
      </c>
      <c r="H359" s="1"/>
      <c r="I359" s="1">
        <v>47</v>
      </c>
      <c r="J359" s="1"/>
      <c r="K359" s="1"/>
      <c r="L359" s="1"/>
      <c r="M359" s="1"/>
      <c r="O359" s="16" t="s">
        <v>367</v>
      </c>
      <c r="P359" s="1">
        <v>1</v>
      </c>
      <c r="Q359" s="15"/>
      <c r="R359" s="15"/>
      <c r="S359" s="15"/>
      <c r="T359" s="15"/>
      <c r="U359" s="15"/>
      <c r="V359" s="1"/>
      <c r="W359" s="1"/>
      <c r="X359" s="1"/>
      <c r="Y359" s="15">
        <v>13800</v>
      </c>
      <c r="Z359" s="15"/>
      <c r="AA359" s="15"/>
      <c r="AB359" s="17"/>
      <c r="AC359" s="82"/>
      <c r="AD359" s="16" t="s">
        <v>52</v>
      </c>
      <c r="AE359" s="16" t="s">
        <v>1903</v>
      </c>
      <c r="AF359" s="16"/>
      <c r="AG359" s="16"/>
      <c r="AH359" s="16"/>
      <c r="AI359" s="16" t="s">
        <v>2816</v>
      </c>
      <c r="AJ359" s="16"/>
      <c r="AK359" s="16"/>
      <c r="AL359" s="16"/>
      <c r="AM359" s="16"/>
      <c r="AN359" s="16"/>
      <c r="AO359" s="16"/>
      <c r="AP359" s="16"/>
      <c r="AR359" s="88"/>
      <c r="AS359" s="88"/>
      <c r="AU359" s="12" t="s">
        <v>1931</v>
      </c>
      <c r="AV359" s="19"/>
      <c r="AW359" s="39">
        <v>90</v>
      </c>
      <c r="AY359" s="33"/>
      <c r="AZ359" s="33"/>
      <c r="BA359" s="33"/>
    </row>
    <row r="360" spans="1:53" ht="12" customHeight="1" x14ac:dyDescent="0.2">
      <c r="A360" s="10" t="s">
        <v>2895</v>
      </c>
      <c r="B360" s="39">
        <v>103048</v>
      </c>
      <c r="C360" s="42" t="s">
        <v>3274</v>
      </c>
      <c r="D360" s="10" t="s">
        <v>2944</v>
      </c>
      <c r="E360" s="14" t="s">
        <v>1901</v>
      </c>
      <c r="F360" s="1" t="s">
        <v>394</v>
      </c>
      <c r="G360" s="1" t="s">
        <v>2445</v>
      </c>
      <c r="H360" s="1"/>
      <c r="I360" s="1">
        <v>48</v>
      </c>
      <c r="J360" s="1"/>
      <c r="K360" s="1"/>
      <c r="L360" s="1"/>
      <c r="M360" s="1"/>
      <c r="O360" s="16" t="s">
        <v>367</v>
      </c>
      <c r="P360" s="1">
        <v>1</v>
      </c>
      <c r="Q360" s="15"/>
      <c r="R360" s="15"/>
      <c r="S360" s="15"/>
      <c r="T360" s="15"/>
      <c r="U360" s="15"/>
      <c r="V360" s="1"/>
      <c r="W360" s="1"/>
      <c r="X360" s="1"/>
      <c r="Y360" s="15">
        <v>13800</v>
      </c>
      <c r="Z360" s="15"/>
      <c r="AA360" s="15"/>
      <c r="AB360" s="17"/>
      <c r="AC360" s="82"/>
      <c r="AD360" s="16" t="s">
        <v>52</v>
      </c>
      <c r="AE360" s="16" t="s">
        <v>1903</v>
      </c>
      <c r="AF360" s="16"/>
      <c r="AG360" s="16"/>
      <c r="AH360" s="16"/>
      <c r="AI360" s="16" t="s">
        <v>2896</v>
      </c>
      <c r="AJ360" s="16"/>
      <c r="AK360" s="16"/>
      <c r="AL360" s="16"/>
      <c r="AM360" s="16"/>
      <c r="AN360" s="16"/>
      <c r="AO360" s="16"/>
      <c r="AP360" s="16"/>
      <c r="AR360" s="88"/>
      <c r="AS360" s="88"/>
      <c r="AU360" s="12" t="s">
        <v>1931</v>
      </c>
      <c r="AV360" s="19"/>
      <c r="AW360" s="39">
        <v>90</v>
      </c>
      <c r="AY360" s="33"/>
      <c r="AZ360" s="33"/>
      <c r="BA360" s="33"/>
    </row>
    <row r="361" spans="1:53" ht="12" customHeight="1" x14ac:dyDescent="0.2">
      <c r="A361" s="10" t="s">
        <v>2421</v>
      </c>
      <c r="B361" s="39">
        <v>103049</v>
      </c>
      <c r="C361" s="42" t="s">
        <v>3275</v>
      </c>
      <c r="D361" s="10" t="s">
        <v>2944</v>
      </c>
      <c r="E361" s="14" t="s">
        <v>1901</v>
      </c>
      <c r="F361" s="1" t="s">
        <v>395</v>
      </c>
      <c r="G361" s="1" t="s">
        <v>2445</v>
      </c>
      <c r="H361" s="1"/>
      <c r="I361" s="1">
        <v>49</v>
      </c>
      <c r="J361" s="1"/>
      <c r="K361" s="1"/>
      <c r="L361" s="1"/>
      <c r="M361" s="1"/>
      <c r="O361" s="16" t="s">
        <v>367</v>
      </c>
      <c r="P361" s="1">
        <v>1</v>
      </c>
      <c r="Q361" s="15"/>
      <c r="R361" s="15"/>
      <c r="S361" s="15"/>
      <c r="T361" s="15"/>
      <c r="U361" s="15"/>
      <c r="V361" s="1"/>
      <c r="W361" s="1"/>
      <c r="X361" s="1"/>
      <c r="Y361" s="15">
        <v>13800</v>
      </c>
      <c r="Z361" s="15"/>
      <c r="AA361" s="15"/>
      <c r="AB361" s="17"/>
      <c r="AC361" s="82"/>
      <c r="AD361" s="16" t="s">
        <v>52</v>
      </c>
      <c r="AE361" s="16" t="s">
        <v>1903</v>
      </c>
      <c r="AF361" s="16"/>
      <c r="AG361" s="16"/>
      <c r="AH361" s="16"/>
      <c r="AI361" s="16">
        <v>14049</v>
      </c>
      <c r="AJ361" s="16"/>
      <c r="AK361" s="16"/>
      <c r="AL361" s="16"/>
      <c r="AM361" s="16"/>
      <c r="AN361" s="16"/>
      <c r="AO361" s="16"/>
      <c r="AP361" s="16"/>
      <c r="AR361" s="88"/>
      <c r="AS361" s="88"/>
      <c r="AU361" s="12" t="s">
        <v>1931</v>
      </c>
      <c r="AV361" s="19"/>
      <c r="AW361" s="39">
        <v>90</v>
      </c>
      <c r="AY361" s="33"/>
      <c r="AZ361" s="33"/>
      <c r="BA361" s="33"/>
    </row>
    <row r="362" spans="1:53" ht="12" customHeight="1" x14ac:dyDescent="0.2">
      <c r="A362" s="10" t="s">
        <v>2422</v>
      </c>
      <c r="B362" s="39">
        <v>103050</v>
      </c>
      <c r="C362" s="42" t="s">
        <v>3276</v>
      </c>
      <c r="D362" s="10" t="s">
        <v>2944</v>
      </c>
      <c r="E362" s="14" t="s">
        <v>1901</v>
      </c>
      <c r="F362" s="1" t="s">
        <v>90</v>
      </c>
      <c r="G362" s="1" t="s">
        <v>2445</v>
      </c>
      <c r="H362" s="1"/>
      <c r="I362" s="1">
        <v>50</v>
      </c>
      <c r="J362" s="1"/>
      <c r="K362" s="1"/>
      <c r="L362" s="1"/>
      <c r="M362" s="1"/>
      <c r="O362" s="16" t="s">
        <v>367</v>
      </c>
      <c r="P362" s="1">
        <v>1</v>
      </c>
      <c r="Q362" s="15"/>
      <c r="R362" s="15"/>
      <c r="S362" s="15"/>
      <c r="T362" s="15"/>
      <c r="U362" s="15"/>
      <c r="V362" s="1"/>
      <c r="W362" s="1"/>
      <c r="X362" s="1"/>
      <c r="Y362" s="15">
        <v>13800</v>
      </c>
      <c r="Z362" s="15"/>
      <c r="AA362" s="15"/>
      <c r="AB362" s="17"/>
      <c r="AC362" s="82"/>
      <c r="AD362" s="16" t="s">
        <v>52</v>
      </c>
      <c r="AE362" s="16" t="s">
        <v>1903</v>
      </c>
      <c r="AF362" s="16"/>
      <c r="AG362" s="16"/>
      <c r="AH362" s="16"/>
      <c r="AI362" s="16">
        <v>14050</v>
      </c>
      <c r="AJ362" s="16"/>
      <c r="AK362" s="16"/>
      <c r="AL362" s="16"/>
      <c r="AM362" s="16"/>
      <c r="AN362" s="16"/>
      <c r="AO362" s="16"/>
      <c r="AP362" s="16"/>
      <c r="AR362" s="88"/>
      <c r="AS362" s="88"/>
      <c r="AU362" s="12" t="s">
        <v>1931</v>
      </c>
      <c r="AV362" s="19"/>
      <c r="AW362" s="39">
        <v>90</v>
      </c>
      <c r="AY362" s="33"/>
      <c r="AZ362" s="33"/>
      <c r="BA362" s="33"/>
    </row>
    <row r="363" spans="1:53" ht="12" customHeight="1" x14ac:dyDescent="0.2">
      <c r="A363" s="10" t="s">
        <v>2423</v>
      </c>
      <c r="B363" s="39">
        <v>103051</v>
      </c>
      <c r="C363" s="42" t="s">
        <v>3277</v>
      </c>
      <c r="D363" s="10" t="s">
        <v>2944</v>
      </c>
      <c r="E363" s="14" t="s">
        <v>1901</v>
      </c>
      <c r="F363" s="1" t="s">
        <v>88</v>
      </c>
      <c r="G363" s="1" t="s">
        <v>2445</v>
      </c>
      <c r="H363" s="1"/>
      <c r="I363" s="1">
        <v>51</v>
      </c>
      <c r="J363" s="1"/>
      <c r="K363" s="1"/>
      <c r="L363" s="1"/>
      <c r="M363" s="1"/>
      <c r="O363" s="16" t="s">
        <v>367</v>
      </c>
      <c r="P363" s="1">
        <v>1</v>
      </c>
      <c r="Q363" s="15"/>
      <c r="R363" s="15"/>
      <c r="S363" s="15"/>
      <c r="T363" s="15"/>
      <c r="U363" s="15"/>
      <c r="V363" s="1"/>
      <c r="W363" s="1"/>
      <c r="X363" s="1"/>
      <c r="Y363" s="15">
        <v>13800</v>
      </c>
      <c r="Z363" s="15"/>
      <c r="AA363" s="15"/>
      <c r="AB363" s="17"/>
      <c r="AC363" s="82"/>
      <c r="AD363" s="16" t="s">
        <v>52</v>
      </c>
      <c r="AE363" s="16" t="s">
        <v>1903</v>
      </c>
      <c r="AF363" s="16"/>
      <c r="AG363" s="16"/>
      <c r="AH363" s="16"/>
      <c r="AI363" s="16">
        <v>14051</v>
      </c>
      <c r="AJ363" s="16"/>
      <c r="AK363" s="16"/>
      <c r="AL363" s="16"/>
      <c r="AM363" s="16"/>
      <c r="AN363" s="16"/>
      <c r="AO363" s="16"/>
      <c r="AP363" s="16"/>
      <c r="AR363" s="88"/>
      <c r="AS363" s="88"/>
      <c r="AU363" s="12" t="s">
        <v>1931</v>
      </c>
      <c r="AV363" s="19"/>
      <c r="AW363" s="39">
        <v>90</v>
      </c>
      <c r="AY363" s="33"/>
      <c r="AZ363" s="33"/>
      <c r="BA363" s="33"/>
    </row>
    <row r="364" spans="1:53" ht="12" customHeight="1" x14ac:dyDescent="0.2">
      <c r="A364" s="10" t="s">
        <v>2424</v>
      </c>
      <c r="B364" s="39">
        <v>103052</v>
      </c>
      <c r="C364" s="42" t="s">
        <v>3278</v>
      </c>
      <c r="D364" s="10" t="s">
        <v>2944</v>
      </c>
      <c r="E364" s="14" t="s">
        <v>1901</v>
      </c>
      <c r="F364" s="1" t="s">
        <v>91</v>
      </c>
      <c r="G364" s="1" t="s">
        <v>2445</v>
      </c>
      <c r="H364" s="1"/>
      <c r="I364" s="1">
        <v>52</v>
      </c>
      <c r="J364" s="1"/>
      <c r="K364" s="1"/>
      <c r="L364" s="1"/>
      <c r="M364" s="1"/>
      <c r="O364" s="16" t="s">
        <v>367</v>
      </c>
      <c r="P364" s="1">
        <v>1</v>
      </c>
      <c r="Q364" s="15"/>
      <c r="R364" s="15"/>
      <c r="S364" s="15"/>
      <c r="T364" s="15"/>
      <c r="U364" s="15"/>
      <c r="V364" s="1"/>
      <c r="W364" s="1"/>
      <c r="X364" s="1"/>
      <c r="Y364" s="15">
        <v>13800</v>
      </c>
      <c r="Z364" s="15"/>
      <c r="AA364" s="15"/>
      <c r="AB364" s="17"/>
      <c r="AC364" s="82"/>
      <c r="AD364" s="16" t="s">
        <v>52</v>
      </c>
      <c r="AE364" s="16" t="s">
        <v>1903</v>
      </c>
      <c r="AF364" s="16"/>
      <c r="AG364" s="16"/>
      <c r="AH364" s="16"/>
      <c r="AI364" s="16">
        <v>14052</v>
      </c>
      <c r="AJ364" s="16"/>
      <c r="AK364" s="16"/>
      <c r="AL364" s="16"/>
      <c r="AM364" s="16"/>
      <c r="AN364" s="16"/>
      <c r="AO364" s="16"/>
      <c r="AP364" s="16"/>
      <c r="AR364" s="88"/>
      <c r="AS364" s="88"/>
      <c r="AU364" s="12" t="s">
        <v>1931</v>
      </c>
      <c r="AV364" s="19"/>
      <c r="AW364" s="39">
        <v>90</v>
      </c>
      <c r="AY364" s="33"/>
      <c r="AZ364" s="33"/>
      <c r="BA364" s="33"/>
    </row>
    <row r="365" spans="1:53" ht="12" customHeight="1" x14ac:dyDescent="0.2">
      <c r="A365" s="10" t="s">
        <v>2425</v>
      </c>
      <c r="B365" s="39">
        <v>103053</v>
      </c>
      <c r="C365" s="42" t="s">
        <v>3279</v>
      </c>
      <c r="D365" s="10" t="s">
        <v>2944</v>
      </c>
      <c r="E365" s="14" t="s">
        <v>1901</v>
      </c>
      <c r="F365" s="1" t="s">
        <v>90</v>
      </c>
      <c r="G365" s="1" t="s">
        <v>2445</v>
      </c>
      <c r="H365" s="1"/>
      <c r="I365" s="1">
        <v>53</v>
      </c>
      <c r="J365" s="1"/>
      <c r="K365" s="1"/>
      <c r="L365" s="1"/>
      <c r="M365" s="1"/>
      <c r="O365" s="16" t="s">
        <v>367</v>
      </c>
      <c r="P365" s="1">
        <v>1</v>
      </c>
      <c r="Q365" s="15"/>
      <c r="R365" s="15"/>
      <c r="S365" s="15"/>
      <c r="T365" s="15"/>
      <c r="U365" s="15"/>
      <c r="V365" s="1"/>
      <c r="W365" s="1"/>
      <c r="X365" s="1"/>
      <c r="Y365" s="15">
        <v>13800</v>
      </c>
      <c r="Z365" s="15"/>
      <c r="AA365" s="15"/>
      <c r="AB365" s="17"/>
      <c r="AC365" s="82"/>
      <c r="AD365" s="16" t="s">
        <v>52</v>
      </c>
      <c r="AE365" s="16" t="s">
        <v>1903</v>
      </c>
      <c r="AF365" s="16"/>
      <c r="AG365" s="16"/>
      <c r="AH365" s="16"/>
      <c r="AI365" s="16">
        <v>14053</v>
      </c>
      <c r="AJ365" s="16"/>
      <c r="AK365" s="16"/>
      <c r="AL365" s="16"/>
      <c r="AM365" s="16"/>
      <c r="AN365" s="16"/>
      <c r="AO365" s="16"/>
      <c r="AP365" s="16"/>
      <c r="AR365" s="88"/>
      <c r="AS365" s="88"/>
      <c r="AU365" s="12" t="s">
        <v>1931</v>
      </c>
      <c r="AV365" s="19"/>
      <c r="AW365" s="39">
        <v>90</v>
      </c>
      <c r="AY365" s="33"/>
      <c r="AZ365" s="33"/>
      <c r="BA365" s="33"/>
    </row>
    <row r="366" spans="1:53" ht="12" customHeight="1" x14ac:dyDescent="0.2">
      <c r="A366" s="10" t="s">
        <v>2500</v>
      </c>
      <c r="B366" s="39">
        <v>103054</v>
      </c>
      <c r="C366" s="42" t="s">
        <v>3280</v>
      </c>
      <c r="D366" s="10" t="s">
        <v>2944</v>
      </c>
      <c r="E366" s="14" t="s">
        <v>1901</v>
      </c>
      <c r="F366" s="1" t="s">
        <v>394</v>
      </c>
      <c r="G366" s="1" t="s">
        <v>2445</v>
      </c>
      <c r="H366" s="1"/>
      <c r="I366" s="1">
        <v>54</v>
      </c>
      <c r="J366" s="1"/>
      <c r="K366" s="1"/>
      <c r="L366" s="1"/>
      <c r="M366" s="1"/>
      <c r="O366" s="16" t="s">
        <v>367</v>
      </c>
      <c r="P366" s="1">
        <v>1</v>
      </c>
      <c r="Q366" s="15"/>
      <c r="R366" s="15"/>
      <c r="S366" s="15"/>
      <c r="T366" s="15"/>
      <c r="U366" s="15"/>
      <c r="V366" s="1"/>
      <c r="W366" s="1"/>
      <c r="X366" s="1"/>
      <c r="Y366" s="15">
        <v>13800</v>
      </c>
      <c r="Z366" s="15"/>
      <c r="AA366" s="15"/>
      <c r="AB366" s="17"/>
      <c r="AC366" s="82"/>
      <c r="AD366" s="16" t="s">
        <v>52</v>
      </c>
      <c r="AE366" s="16" t="s">
        <v>1903</v>
      </c>
      <c r="AF366" s="16"/>
      <c r="AG366" s="16"/>
      <c r="AH366" s="16"/>
      <c r="AI366" s="16">
        <v>14054</v>
      </c>
      <c r="AJ366" s="16"/>
      <c r="AK366" s="16"/>
      <c r="AL366" s="16"/>
      <c r="AM366" s="16"/>
      <c r="AN366" s="16"/>
      <c r="AO366" s="16"/>
      <c r="AP366" s="16"/>
      <c r="AR366" s="88"/>
      <c r="AS366" s="88"/>
      <c r="AU366" s="12" t="s">
        <v>1931</v>
      </c>
      <c r="AV366" s="19"/>
      <c r="AW366" s="39">
        <v>90</v>
      </c>
      <c r="AY366" s="33"/>
      <c r="AZ366" s="33"/>
      <c r="BA366" s="33"/>
    </row>
    <row r="367" spans="1:53" ht="12" customHeight="1" x14ac:dyDescent="0.2">
      <c r="A367" s="10" t="s">
        <v>2426</v>
      </c>
      <c r="B367" s="39">
        <v>103055</v>
      </c>
      <c r="C367" s="42" t="s">
        <v>3281</v>
      </c>
      <c r="D367" s="10" t="s">
        <v>2944</v>
      </c>
      <c r="E367" s="14" t="s">
        <v>1901</v>
      </c>
      <c r="F367" s="1" t="s">
        <v>89</v>
      </c>
      <c r="G367" s="1" t="s">
        <v>2445</v>
      </c>
      <c r="H367" s="1"/>
      <c r="I367" s="1">
        <v>55</v>
      </c>
      <c r="J367" s="1"/>
      <c r="K367" s="1"/>
      <c r="L367" s="1"/>
      <c r="M367" s="1"/>
      <c r="O367" s="16" t="s">
        <v>367</v>
      </c>
      <c r="P367" s="1">
        <v>1</v>
      </c>
      <c r="Q367" s="15"/>
      <c r="R367" s="15"/>
      <c r="S367" s="15"/>
      <c r="T367" s="15"/>
      <c r="U367" s="15"/>
      <c r="V367" s="1"/>
      <c r="W367" s="1"/>
      <c r="X367" s="1"/>
      <c r="Y367" s="15">
        <v>13800</v>
      </c>
      <c r="Z367" s="15"/>
      <c r="AA367" s="15"/>
      <c r="AB367" s="17"/>
      <c r="AC367" s="82"/>
      <c r="AD367" s="16" t="s">
        <v>52</v>
      </c>
      <c r="AE367" s="16" t="s">
        <v>1903</v>
      </c>
      <c r="AF367" s="16"/>
      <c r="AG367" s="16"/>
      <c r="AH367" s="16"/>
      <c r="AI367" s="16">
        <v>14055</v>
      </c>
      <c r="AJ367" s="16"/>
      <c r="AK367" s="16"/>
      <c r="AL367" s="16"/>
      <c r="AM367" s="16"/>
      <c r="AN367" s="16"/>
      <c r="AO367" s="16"/>
      <c r="AP367" s="16"/>
      <c r="AR367" s="88"/>
      <c r="AS367" s="88"/>
      <c r="AU367" s="12" t="s">
        <v>1931</v>
      </c>
      <c r="AV367" s="19"/>
      <c r="AW367" s="39">
        <v>90</v>
      </c>
      <c r="AY367" s="33"/>
      <c r="AZ367" s="33"/>
      <c r="BA367" s="33"/>
    </row>
    <row r="368" spans="1:53" ht="12" customHeight="1" x14ac:dyDescent="0.2">
      <c r="A368" s="10" t="s">
        <v>2427</v>
      </c>
      <c r="B368" s="39">
        <v>103056</v>
      </c>
      <c r="C368" s="42" t="s">
        <v>3282</v>
      </c>
      <c r="D368" s="10" t="s">
        <v>2944</v>
      </c>
      <c r="E368" s="14" t="s">
        <v>1901</v>
      </c>
      <c r="F368" s="1" t="s">
        <v>396</v>
      </c>
      <c r="G368" s="1" t="s">
        <v>2445</v>
      </c>
      <c r="H368" s="1"/>
      <c r="I368" s="1">
        <v>56</v>
      </c>
      <c r="J368" s="1"/>
      <c r="K368" s="1"/>
      <c r="L368" s="1"/>
      <c r="M368" s="1"/>
      <c r="O368" s="16" t="s">
        <v>367</v>
      </c>
      <c r="P368" s="1">
        <v>1</v>
      </c>
      <c r="Q368" s="15"/>
      <c r="R368" s="15"/>
      <c r="S368" s="15"/>
      <c r="T368" s="15"/>
      <c r="U368" s="15"/>
      <c r="V368" s="1"/>
      <c r="W368" s="1"/>
      <c r="X368" s="1"/>
      <c r="Y368" s="15">
        <v>13800</v>
      </c>
      <c r="Z368" s="15"/>
      <c r="AA368" s="15"/>
      <c r="AB368" s="17"/>
      <c r="AC368" s="82"/>
      <c r="AD368" s="16" t="s">
        <v>52</v>
      </c>
      <c r="AE368" s="16" t="s">
        <v>1903</v>
      </c>
      <c r="AF368" s="16"/>
      <c r="AG368" s="16"/>
      <c r="AH368" s="16"/>
      <c r="AI368" s="16">
        <v>14056</v>
      </c>
      <c r="AJ368" s="16"/>
      <c r="AK368" s="16"/>
      <c r="AL368" s="16"/>
      <c r="AM368" s="16"/>
      <c r="AN368" s="16"/>
      <c r="AO368" s="16"/>
      <c r="AP368" s="16"/>
      <c r="AR368" s="88"/>
      <c r="AS368" s="88"/>
      <c r="AU368" s="12" t="s">
        <v>1931</v>
      </c>
      <c r="AV368" s="19"/>
      <c r="AW368" s="39">
        <v>90</v>
      </c>
      <c r="AY368" s="33"/>
      <c r="AZ368" s="33"/>
      <c r="BA368" s="33"/>
    </row>
    <row r="369" spans="1:53" ht="12" customHeight="1" x14ac:dyDescent="0.2">
      <c r="A369" s="10" t="s">
        <v>2428</v>
      </c>
      <c r="B369" s="39">
        <v>103057</v>
      </c>
      <c r="C369" s="42" t="s">
        <v>3283</v>
      </c>
      <c r="D369" s="10" t="s">
        <v>2944</v>
      </c>
      <c r="E369" s="14" t="s">
        <v>1901</v>
      </c>
      <c r="F369" s="1" t="s">
        <v>395</v>
      </c>
      <c r="G369" s="1" t="s">
        <v>2445</v>
      </c>
      <c r="H369" s="1"/>
      <c r="I369" s="1">
        <v>57</v>
      </c>
      <c r="J369" s="1"/>
      <c r="K369" s="1"/>
      <c r="L369" s="1"/>
      <c r="M369" s="1"/>
      <c r="O369" s="16" t="s">
        <v>367</v>
      </c>
      <c r="P369" s="1">
        <v>1</v>
      </c>
      <c r="Q369" s="15"/>
      <c r="R369" s="15"/>
      <c r="S369" s="15"/>
      <c r="T369" s="15"/>
      <c r="U369" s="15"/>
      <c r="V369" s="1"/>
      <c r="W369" s="1"/>
      <c r="X369" s="1"/>
      <c r="Y369" s="15">
        <v>13800</v>
      </c>
      <c r="Z369" s="15"/>
      <c r="AA369" s="15"/>
      <c r="AB369" s="17"/>
      <c r="AC369" s="82"/>
      <c r="AD369" s="16" t="s">
        <v>52</v>
      </c>
      <c r="AE369" s="16" t="s">
        <v>1903</v>
      </c>
      <c r="AF369" s="16"/>
      <c r="AG369" s="16"/>
      <c r="AH369" s="16"/>
      <c r="AI369" s="16">
        <v>14057</v>
      </c>
      <c r="AJ369" s="16"/>
      <c r="AK369" s="16"/>
      <c r="AL369" s="16"/>
      <c r="AM369" s="16"/>
      <c r="AN369" s="16"/>
      <c r="AO369" s="16"/>
      <c r="AP369" s="16"/>
      <c r="AR369" s="88"/>
      <c r="AS369" s="88"/>
      <c r="AU369" s="12" t="s">
        <v>1931</v>
      </c>
      <c r="AV369" s="19"/>
      <c r="AW369" s="39">
        <v>90</v>
      </c>
      <c r="AY369" s="33"/>
      <c r="AZ369" s="33"/>
      <c r="BA369" s="33"/>
    </row>
    <row r="370" spans="1:53" ht="12" customHeight="1" x14ac:dyDescent="0.2">
      <c r="A370" s="10" t="s">
        <v>2429</v>
      </c>
      <c r="B370" s="39">
        <v>103058</v>
      </c>
      <c r="C370" s="42" t="s">
        <v>3284</v>
      </c>
      <c r="D370" s="10" t="s">
        <v>2944</v>
      </c>
      <c r="E370" s="14" t="s">
        <v>1901</v>
      </c>
      <c r="F370" s="1" t="s">
        <v>396</v>
      </c>
      <c r="G370" s="1" t="s">
        <v>2445</v>
      </c>
      <c r="H370" s="1"/>
      <c r="I370" s="1">
        <v>58</v>
      </c>
      <c r="J370" s="1"/>
      <c r="K370" s="1"/>
      <c r="L370" s="1"/>
      <c r="M370" s="1"/>
      <c r="O370" s="16" t="s">
        <v>367</v>
      </c>
      <c r="P370" s="1">
        <v>1</v>
      </c>
      <c r="Q370" s="15"/>
      <c r="R370" s="15"/>
      <c r="S370" s="15"/>
      <c r="T370" s="15"/>
      <c r="U370" s="15"/>
      <c r="V370" s="1"/>
      <c r="W370" s="1"/>
      <c r="X370" s="1"/>
      <c r="Y370" s="15">
        <v>13800</v>
      </c>
      <c r="Z370" s="15"/>
      <c r="AA370" s="15"/>
      <c r="AB370" s="17"/>
      <c r="AC370" s="82"/>
      <c r="AD370" s="16" t="s">
        <v>52</v>
      </c>
      <c r="AE370" s="16" t="s">
        <v>1903</v>
      </c>
      <c r="AF370" s="16"/>
      <c r="AG370" s="16"/>
      <c r="AH370" s="16"/>
      <c r="AI370" s="16">
        <v>14058</v>
      </c>
      <c r="AJ370" s="16"/>
      <c r="AK370" s="16"/>
      <c r="AL370" s="16"/>
      <c r="AM370" s="16"/>
      <c r="AN370" s="16"/>
      <c r="AO370" s="16"/>
      <c r="AP370" s="16"/>
      <c r="AR370" s="88"/>
      <c r="AS370" s="88"/>
      <c r="AU370" s="12" t="s">
        <v>1931</v>
      </c>
      <c r="AV370" s="19"/>
      <c r="AW370" s="39">
        <v>90</v>
      </c>
      <c r="AY370" s="33"/>
      <c r="AZ370" s="33"/>
      <c r="BA370" s="33"/>
    </row>
    <row r="371" spans="1:53" ht="12" customHeight="1" x14ac:dyDescent="0.2">
      <c r="A371" s="10" t="s">
        <v>2430</v>
      </c>
      <c r="B371" s="39">
        <v>103059</v>
      </c>
      <c r="C371" s="42" t="s">
        <v>3285</v>
      </c>
      <c r="D371" s="10" t="s">
        <v>2944</v>
      </c>
      <c r="E371" s="14" t="s">
        <v>1901</v>
      </c>
      <c r="F371" s="1" t="s">
        <v>394</v>
      </c>
      <c r="G371" s="1" t="s">
        <v>2445</v>
      </c>
      <c r="H371" s="1"/>
      <c r="I371" s="1">
        <v>59</v>
      </c>
      <c r="J371" s="1"/>
      <c r="K371" s="1"/>
      <c r="L371" s="1"/>
      <c r="M371" s="1"/>
      <c r="O371" s="16" t="s">
        <v>367</v>
      </c>
      <c r="P371" s="1">
        <v>1</v>
      </c>
      <c r="Q371" s="15"/>
      <c r="R371" s="15"/>
      <c r="S371" s="15"/>
      <c r="T371" s="15"/>
      <c r="U371" s="15"/>
      <c r="V371" s="1"/>
      <c r="W371" s="1"/>
      <c r="X371" s="1"/>
      <c r="Y371" s="15">
        <v>13800</v>
      </c>
      <c r="Z371" s="15"/>
      <c r="AA371" s="15"/>
      <c r="AB371" s="17"/>
      <c r="AC371" s="82"/>
      <c r="AD371" s="16" t="s">
        <v>52</v>
      </c>
      <c r="AE371" s="16" t="s">
        <v>1903</v>
      </c>
      <c r="AF371" s="16"/>
      <c r="AG371" s="16"/>
      <c r="AH371" s="16"/>
      <c r="AI371" s="16">
        <v>14059</v>
      </c>
      <c r="AJ371" s="16"/>
      <c r="AK371" s="16"/>
      <c r="AL371" s="16"/>
      <c r="AM371" s="16"/>
      <c r="AN371" s="16"/>
      <c r="AO371" s="16"/>
      <c r="AP371" s="16"/>
      <c r="AR371" s="88"/>
      <c r="AS371" s="88"/>
      <c r="AU371" s="12" t="s">
        <v>1931</v>
      </c>
      <c r="AV371" s="19"/>
      <c r="AW371" s="39">
        <v>90</v>
      </c>
      <c r="AY371" s="33"/>
      <c r="AZ371" s="33"/>
      <c r="BA371" s="33"/>
    </row>
    <row r="372" spans="1:53" ht="12" customHeight="1" x14ac:dyDescent="0.2">
      <c r="A372" s="10" t="s">
        <v>2431</v>
      </c>
      <c r="B372" s="39">
        <v>103060</v>
      </c>
      <c r="C372" s="42" t="s">
        <v>3286</v>
      </c>
      <c r="D372" s="10" t="s">
        <v>2944</v>
      </c>
      <c r="E372" s="14" t="s">
        <v>1901</v>
      </c>
      <c r="F372" s="1" t="s">
        <v>91</v>
      </c>
      <c r="G372" s="1" t="s">
        <v>2445</v>
      </c>
      <c r="H372" s="1"/>
      <c r="I372" s="1">
        <v>60</v>
      </c>
      <c r="J372" s="1"/>
      <c r="K372" s="1"/>
      <c r="L372" s="1"/>
      <c r="M372" s="1"/>
      <c r="O372" s="16" t="s">
        <v>367</v>
      </c>
      <c r="P372" s="1">
        <v>1</v>
      </c>
      <c r="Q372" s="15"/>
      <c r="R372" s="15"/>
      <c r="S372" s="15"/>
      <c r="T372" s="15"/>
      <c r="U372" s="15"/>
      <c r="V372" s="1"/>
      <c r="W372" s="1"/>
      <c r="X372" s="1"/>
      <c r="Y372" s="15">
        <v>13800</v>
      </c>
      <c r="Z372" s="15"/>
      <c r="AA372" s="15"/>
      <c r="AB372" s="17"/>
      <c r="AC372" s="82"/>
      <c r="AD372" s="16" t="s">
        <v>52</v>
      </c>
      <c r="AE372" s="16" t="s">
        <v>1903</v>
      </c>
      <c r="AF372" s="16"/>
      <c r="AG372" s="16"/>
      <c r="AH372" s="16"/>
      <c r="AI372" s="16">
        <v>14060</v>
      </c>
      <c r="AJ372" s="16"/>
      <c r="AK372" s="16"/>
      <c r="AL372" s="16"/>
      <c r="AM372" s="16"/>
      <c r="AN372" s="16"/>
      <c r="AO372" s="16"/>
      <c r="AP372" s="16"/>
      <c r="AR372" s="88"/>
      <c r="AS372" s="88"/>
      <c r="AU372" s="12" t="s">
        <v>1931</v>
      </c>
      <c r="AV372" s="19"/>
      <c r="AW372" s="39">
        <v>90</v>
      </c>
      <c r="AY372" s="33"/>
      <c r="AZ372" s="33"/>
      <c r="BA372" s="33"/>
    </row>
    <row r="373" spans="1:53" ht="12" customHeight="1" x14ac:dyDescent="0.2">
      <c r="A373" s="10" t="s">
        <v>2432</v>
      </c>
      <c r="B373" s="39">
        <v>103061</v>
      </c>
      <c r="C373" s="42" t="s">
        <v>3287</v>
      </c>
      <c r="D373" s="10" t="s">
        <v>2944</v>
      </c>
      <c r="E373" s="14" t="s">
        <v>1901</v>
      </c>
      <c r="F373" s="1" t="s">
        <v>88</v>
      </c>
      <c r="G373" s="1" t="s">
        <v>2445</v>
      </c>
      <c r="H373" s="1"/>
      <c r="I373" s="1">
        <v>61</v>
      </c>
      <c r="J373" s="1"/>
      <c r="K373" s="1"/>
      <c r="L373" s="1"/>
      <c r="M373" s="1"/>
      <c r="O373" s="16" t="s">
        <v>367</v>
      </c>
      <c r="P373" s="1">
        <v>1</v>
      </c>
      <c r="Q373" s="15"/>
      <c r="R373" s="15"/>
      <c r="S373" s="15"/>
      <c r="T373" s="15"/>
      <c r="U373" s="15"/>
      <c r="V373" s="1"/>
      <c r="W373" s="1"/>
      <c r="X373" s="1"/>
      <c r="Y373" s="15">
        <v>13800</v>
      </c>
      <c r="Z373" s="15"/>
      <c r="AA373" s="15"/>
      <c r="AB373" s="17"/>
      <c r="AC373" s="82"/>
      <c r="AD373" s="16" t="s">
        <v>52</v>
      </c>
      <c r="AE373" s="16" t="s">
        <v>1903</v>
      </c>
      <c r="AF373" s="16"/>
      <c r="AG373" s="16"/>
      <c r="AH373" s="16"/>
      <c r="AI373" s="16">
        <v>14061</v>
      </c>
      <c r="AJ373" s="16"/>
      <c r="AK373" s="16"/>
      <c r="AL373" s="16"/>
      <c r="AM373" s="16"/>
      <c r="AN373" s="16"/>
      <c r="AO373" s="16"/>
      <c r="AP373" s="16"/>
      <c r="AR373" s="88"/>
      <c r="AS373" s="88"/>
      <c r="AU373" s="12" t="s">
        <v>1931</v>
      </c>
      <c r="AV373" s="19"/>
      <c r="AW373" s="39">
        <v>90</v>
      </c>
      <c r="AY373" s="33"/>
      <c r="AZ373" s="33"/>
      <c r="BA373" s="33"/>
    </row>
    <row r="374" spans="1:53" ht="12" customHeight="1" x14ac:dyDescent="0.2">
      <c r="A374" s="10" t="s">
        <v>2433</v>
      </c>
      <c r="B374" s="39">
        <v>103062</v>
      </c>
      <c r="C374" s="42" t="s">
        <v>3288</v>
      </c>
      <c r="D374" s="10" t="s">
        <v>2944</v>
      </c>
      <c r="E374" s="14" t="s">
        <v>1901</v>
      </c>
      <c r="F374" s="1" t="s">
        <v>89</v>
      </c>
      <c r="G374" s="1" t="s">
        <v>2445</v>
      </c>
      <c r="H374" s="1"/>
      <c r="I374" s="1">
        <v>62</v>
      </c>
      <c r="J374" s="1"/>
      <c r="K374" s="1"/>
      <c r="L374" s="1"/>
      <c r="M374" s="1"/>
      <c r="O374" s="16" t="s">
        <v>367</v>
      </c>
      <c r="P374" s="1">
        <v>1</v>
      </c>
      <c r="Q374" s="15"/>
      <c r="R374" s="15"/>
      <c r="S374" s="15"/>
      <c r="T374" s="15"/>
      <c r="U374" s="15"/>
      <c r="V374" s="1"/>
      <c r="W374" s="1"/>
      <c r="X374" s="1"/>
      <c r="Y374" s="15">
        <v>13800</v>
      </c>
      <c r="Z374" s="15"/>
      <c r="AA374" s="15"/>
      <c r="AB374" s="17"/>
      <c r="AC374" s="82"/>
      <c r="AD374" s="16" t="s">
        <v>52</v>
      </c>
      <c r="AE374" s="16" t="s">
        <v>1903</v>
      </c>
      <c r="AF374" s="16"/>
      <c r="AG374" s="16"/>
      <c r="AH374" s="16"/>
      <c r="AI374" s="16">
        <v>14062</v>
      </c>
      <c r="AJ374" s="16"/>
      <c r="AK374" s="16"/>
      <c r="AL374" s="16"/>
      <c r="AM374" s="16"/>
      <c r="AN374" s="16"/>
      <c r="AO374" s="16"/>
      <c r="AP374" s="16"/>
      <c r="AR374" s="88"/>
      <c r="AS374" s="88"/>
      <c r="AU374" s="12" t="s">
        <v>1931</v>
      </c>
      <c r="AV374" s="19"/>
      <c r="AW374" s="39">
        <v>90</v>
      </c>
      <c r="AY374" s="33"/>
      <c r="AZ374" s="33"/>
      <c r="BA374" s="33"/>
    </row>
    <row r="375" spans="1:53" ht="12" customHeight="1" x14ac:dyDescent="0.2">
      <c r="A375" s="10" t="s">
        <v>2434</v>
      </c>
      <c r="B375" s="39">
        <v>103063</v>
      </c>
      <c r="C375" s="42" t="s">
        <v>3289</v>
      </c>
      <c r="D375" s="10" t="s">
        <v>2944</v>
      </c>
      <c r="E375" s="14" t="s">
        <v>1901</v>
      </c>
      <c r="F375" s="1" t="s">
        <v>88</v>
      </c>
      <c r="G375" s="1" t="s">
        <v>2445</v>
      </c>
      <c r="H375" s="1"/>
      <c r="I375" s="1">
        <v>63</v>
      </c>
      <c r="J375" s="1"/>
      <c r="K375" s="1"/>
      <c r="L375" s="1"/>
      <c r="M375" s="1"/>
      <c r="O375" s="16" t="s">
        <v>367</v>
      </c>
      <c r="P375" s="1">
        <v>1</v>
      </c>
      <c r="Q375" s="15"/>
      <c r="R375" s="15"/>
      <c r="S375" s="15"/>
      <c r="T375" s="15"/>
      <c r="U375" s="15"/>
      <c r="V375" s="1"/>
      <c r="W375" s="1"/>
      <c r="X375" s="1"/>
      <c r="Y375" s="15">
        <v>13800</v>
      </c>
      <c r="Z375" s="15"/>
      <c r="AA375" s="15"/>
      <c r="AB375" s="17"/>
      <c r="AC375" s="82"/>
      <c r="AD375" s="16" t="s">
        <v>52</v>
      </c>
      <c r="AE375" s="16" t="s">
        <v>1903</v>
      </c>
      <c r="AF375" s="16"/>
      <c r="AG375" s="16"/>
      <c r="AH375" s="16"/>
      <c r="AI375" s="16">
        <v>14063</v>
      </c>
      <c r="AJ375" s="16"/>
      <c r="AK375" s="16"/>
      <c r="AL375" s="16"/>
      <c r="AM375" s="16"/>
      <c r="AN375" s="16"/>
      <c r="AO375" s="16"/>
      <c r="AP375" s="16"/>
      <c r="AR375" s="88"/>
      <c r="AS375" s="88"/>
      <c r="AU375" s="12" t="s">
        <v>1931</v>
      </c>
      <c r="AV375" s="19"/>
      <c r="AW375" s="39">
        <v>90</v>
      </c>
      <c r="AY375" s="33"/>
      <c r="AZ375" s="33"/>
      <c r="BA375" s="33"/>
    </row>
    <row r="376" spans="1:53" ht="12" customHeight="1" x14ac:dyDescent="0.2">
      <c r="A376" s="10" t="s">
        <v>2435</v>
      </c>
      <c r="B376" s="39">
        <v>103064</v>
      </c>
      <c r="C376" s="42" t="s">
        <v>3290</v>
      </c>
      <c r="D376" s="10" t="s">
        <v>2944</v>
      </c>
      <c r="E376" s="14" t="s">
        <v>1901</v>
      </c>
      <c r="F376" s="1" t="s">
        <v>395</v>
      </c>
      <c r="G376" s="1" t="s">
        <v>2445</v>
      </c>
      <c r="H376" s="1"/>
      <c r="I376" s="1">
        <v>64</v>
      </c>
      <c r="J376" s="1"/>
      <c r="K376" s="1"/>
      <c r="L376" s="1"/>
      <c r="M376" s="1"/>
      <c r="O376" s="16" t="s">
        <v>367</v>
      </c>
      <c r="P376" s="1">
        <v>1</v>
      </c>
      <c r="Q376" s="15"/>
      <c r="R376" s="15"/>
      <c r="S376" s="15"/>
      <c r="T376" s="15"/>
      <c r="U376" s="15"/>
      <c r="V376" s="1"/>
      <c r="W376" s="1"/>
      <c r="X376" s="1"/>
      <c r="Y376" s="15">
        <v>13800</v>
      </c>
      <c r="Z376" s="15"/>
      <c r="AA376" s="15"/>
      <c r="AB376" s="17"/>
      <c r="AC376" s="82"/>
      <c r="AD376" s="16" t="s">
        <v>52</v>
      </c>
      <c r="AE376" s="16" t="s">
        <v>1903</v>
      </c>
      <c r="AF376" s="16"/>
      <c r="AG376" s="16"/>
      <c r="AH376" s="16"/>
      <c r="AI376" s="16">
        <v>14064</v>
      </c>
      <c r="AJ376" s="16"/>
      <c r="AK376" s="16"/>
      <c r="AL376" s="16"/>
      <c r="AM376" s="16"/>
      <c r="AN376" s="16"/>
      <c r="AO376" s="16"/>
      <c r="AP376" s="16"/>
      <c r="AR376" s="88"/>
      <c r="AS376" s="88"/>
      <c r="AU376" s="12" t="s">
        <v>1931</v>
      </c>
      <c r="AV376" s="19"/>
      <c r="AW376" s="39">
        <v>90</v>
      </c>
      <c r="AY376" s="33"/>
      <c r="AZ376" s="33"/>
      <c r="BA376" s="33"/>
    </row>
    <row r="377" spans="1:53" ht="12" customHeight="1" x14ac:dyDescent="0.2">
      <c r="A377" s="10" t="s">
        <v>2436</v>
      </c>
      <c r="B377" s="39">
        <v>103065</v>
      </c>
      <c r="C377" s="42" t="s">
        <v>3291</v>
      </c>
      <c r="D377" s="10" t="s">
        <v>2944</v>
      </c>
      <c r="E377" s="14" t="s">
        <v>1901</v>
      </c>
      <c r="F377" s="1" t="s">
        <v>396</v>
      </c>
      <c r="G377" s="1" t="s">
        <v>2445</v>
      </c>
      <c r="H377" s="1"/>
      <c r="I377" s="1">
        <v>65</v>
      </c>
      <c r="J377" s="1"/>
      <c r="K377" s="1"/>
      <c r="L377" s="1"/>
      <c r="M377" s="1"/>
      <c r="O377" s="16" t="s">
        <v>367</v>
      </c>
      <c r="P377" s="1">
        <v>1</v>
      </c>
      <c r="Q377" s="15"/>
      <c r="R377" s="15"/>
      <c r="S377" s="15"/>
      <c r="T377" s="15"/>
      <c r="U377" s="15"/>
      <c r="V377" s="1"/>
      <c r="W377" s="1"/>
      <c r="X377" s="1"/>
      <c r="Y377" s="15">
        <v>13800</v>
      </c>
      <c r="Z377" s="15"/>
      <c r="AA377" s="15"/>
      <c r="AB377" s="17"/>
      <c r="AC377" s="82"/>
      <c r="AD377" s="16" t="s">
        <v>52</v>
      </c>
      <c r="AE377" s="16" t="s">
        <v>1903</v>
      </c>
      <c r="AF377" s="16"/>
      <c r="AG377" s="16"/>
      <c r="AH377" s="16"/>
      <c r="AI377" s="16">
        <v>14065</v>
      </c>
      <c r="AJ377" s="16"/>
      <c r="AK377" s="16"/>
      <c r="AL377" s="16"/>
      <c r="AM377" s="16"/>
      <c r="AN377" s="16"/>
      <c r="AO377" s="16"/>
      <c r="AP377" s="16"/>
      <c r="AR377" s="88"/>
      <c r="AS377" s="88"/>
      <c r="AU377" s="12" t="s">
        <v>1931</v>
      </c>
      <c r="AV377" s="19"/>
      <c r="AW377" s="39">
        <v>90</v>
      </c>
      <c r="AY377" s="33"/>
      <c r="AZ377" s="33"/>
      <c r="BA377" s="33"/>
    </row>
    <row r="378" spans="1:53" ht="12" customHeight="1" x14ac:dyDescent="0.2">
      <c r="A378" s="10" t="s">
        <v>2437</v>
      </c>
      <c r="B378" s="39">
        <v>103066</v>
      </c>
      <c r="C378" s="42" t="s">
        <v>3292</v>
      </c>
      <c r="D378" s="10" t="s">
        <v>2944</v>
      </c>
      <c r="E378" s="14" t="s">
        <v>1901</v>
      </c>
      <c r="F378" s="1" t="s">
        <v>394</v>
      </c>
      <c r="G378" s="1" t="s">
        <v>2445</v>
      </c>
      <c r="H378" s="1"/>
      <c r="I378" s="1">
        <v>66</v>
      </c>
      <c r="J378" s="1"/>
      <c r="K378" s="1"/>
      <c r="L378" s="1"/>
      <c r="M378" s="1"/>
      <c r="O378" s="16" t="s">
        <v>367</v>
      </c>
      <c r="P378" s="1">
        <v>1</v>
      </c>
      <c r="Q378" s="15"/>
      <c r="R378" s="15"/>
      <c r="S378" s="15"/>
      <c r="T378" s="15"/>
      <c r="U378" s="15"/>
      <c r="V378" s="1"/>
      <c r="W378" s="1"/>
      <c r="X378" s="1"/>
      <c r="Y378" s="15">
        <v>13800</v>
      </c>
      <c r="Z378" s="15"/>
      <c r="AA378" s="15"/>
      <c r="AB378" s="17"/>
      <c r="AC378" s="82"/>
      <c r="AD378" s="16" t="s">
        <v>52</v>
      </c>
      <c r="AE378" s="16" t="s">
        <v>1903</v>
      </c>
      <c r="AF378" s="16"/>
      <c r="AG378" s="16"/>
      <c r="AH378" s="16"/>
      <c r="AI378" s="16">
        <v>14066</v>
      </c>
      <c r="AJ378" s="16"/>
      <c r="AK378" s="16"/>
      <c r="AL378" s="16"/>
      <c r="AM378" s="16"/>
      <c r="AN378" s="16"/>
      <c r="AO378" s="16"/>
      <c r="AP378" s="16"/>
      <c r="AR378" s="88"/>
      <c r="AS378" s="88"/>
      <c r="AU378" s="12" t="s">
        <v>1931</v>
      </c>
      <c r="AV378" s="19"/>
      <c r="AW378" s="39">
        <v>90</v>
      </c>
      <c r="AY378" s="33"/>
      <c r="AZ378" s="33"/>
      <c r="BA378" s="33"/>
    </row>
    <row r="379" spans="1:53" ht="12" customHeight="1" x14ac:dyDescent="0.2">
      <c r="A379" s="10" t="s">
        <v>2438</v>
      </c>
      <c r="B379" s="39">
        <v>103067</v>
      </c>
      <c r="C379" s="42" t="s">
        <v>3293</v>
      </c>
      <c r="D379" s="10" t="s">
        <v>2944</v>
      </c>
      <c r="E379" s="14" t="s">
        <v>1901</v>
      </c>
      <c r="F379" s="1" t="s">
        <v>91</v>
      </c>
      <c r="G379" s="1" t="s">
        <v>2445</v>
      </c>
      <c r="H379" s="1"/>
      <c r="I379" s="1">
        <v>67</v>
      </c>
      <c r="J379" s="1"/>
      <c r="K379" s="1"/>
      <c r="L379" s="1"/>
      <c r="M379" s="1"/>
      <c r="O379" s="16" t="s">
        <v>367</v>
      </c>
      <c r="P379" s="1">
        <v>1</v>
      </c>
      <c r="Q379" s="15"/>
      <c r="R379" s="15"/>
      <c r="S379" s="15"/>
      <c r="T379" s="15"/>
      <c r="U379" s="15"/>
      <c r="V379" s="1"/>
      <c r="W379" s="1"/>
      <c r="X379" s="1"/>
      <c r="Y379" s="15">
        <v>13800</v>
      </c>
      <c r="Z379" s="15"/>
      <c r="AA379" s="15"/>
      <c r="AB379" s="17"/>
      <c r="AC379" s="82"/>
      <c r="AD379" s="16" t="s">
        <v>52</v>
      </c>
      <c r="AE379" s="16" t="s">
        <v>1903</v>
      </c>
      <c r="AF379" s="16"/>
      <c r="AG379" s="16"/>
      <c r="AH379" s="16"/>
      <c r="AI379" s="16">
        <v>14067</v>
      </c>
      <c r="AJ379" s="16"/>
      <c r="AK379" s="16"/>
      <c r="AL379" s="16"/>
      <c r="AM379" s="16"/>
      <c r="AN379" s="16"/>
      <c r="AO379" s="16"/>
      <c r="AP379" s="16"/>
      <c r="AR379" s="88"/>
      <c r="AS379" s="88"/>
      <c r="AU379" s="12" t="s">
        <v>1931</v>
      </c>
      <c r="AV379" s="19"/>
      <c r="AW379" s="39">
        <v>90</v>
      </c>
      <c r="AY379" s="33"/>
      <c r="AZ379" s="33"/>
      <c r="BA379" s="33"/>
    </row>
    <row r="380" spans="1:53" ht="12" customHeight="1" x14ac:dyDescent="0.2">
      <c r="A380" s="10" t="s">
        <v>2477</v>
      </c>
      <c r="B380" s="39">
        <v>103068</v>
      </c>
      <c r="C380" s="42" t="s">
        <v>3294</v>
      </c>
      <c r="D380" s="10" t="s">
        <v>2944</v>
      </c>
      <c r="E380" s="14" t="s">
        <v>1901</v>
      </c>
      <c r="F380" s="1" t="s">
        <v>396</v>
      </c>
      <c r="G380" s="1" t="s">
        <v>2478</v>
      </c>
      <c r="H380" s="1"/>
      <c r="I380" s="1">
        <v>68</v>
      </c>
      <c r="J380" s="1"/>
      <c r="K380" s="1"/>
      <c r="L380" s="1"/>
      <c r="M380" s="1"/>
      <c r="O380" s="16" t="s">
        <v>367</v>
      </c>
      <c r="P380" s="1">
        <v>1</v>
      </c>
      <c r="Q380" s="15"/>
      <c r="R380" s="15"/>
      <c r="S380" s="15"/>
      <c r="T380" s="15"/>
      <c r="U380" s="15"/>
      <c r="V380" s="1"/>
      <c r="W380" s="1"/>
      <c r="X380" s="1"/>
      <c r="Y380" s="15">
        <v>13800</v>
      </c>
      <c r="Z380" s="15"/>
      <c r="AA380" s="15"/>
      <c r="AB380" s="17"/>
      <c r="AC380" s="82"/>
      <c r="AD380" s="16" t="s">
        <v>52</v>
      </c>
      <c r="AE380" s="16" t="s">
        <v>1903</v>
      </c>
      <c r="AF380" s="16"/>
      <c r="AG380" s="16"/>
      <c r="AH380" s="16"/>
      <c r="AI380" s="16" t="s">
        <v>2479</v>
      </c>
      <c r="AJ380" s="16"/>
      <c r="AK380" s="16"/>
      <c r="AL380" s="16"/>
      <c r="AM380" s="16"/>
      <c r="AN380" s="16"/>
      <c r="AO380" s="16"/>
      <c r="AP380" s="16"/>
      <c r="AR380" s="88"/>
      <c r="AS380" s="88"/>
      <c r="AU380" s="12" t="s">
        <v>1931</v>
      </c>
      <c r="AV380" s="19"/>
      <c r="AW380" s="39">
        <v>90</v>
      </c>
      <c r="AY380" s="33"/>
      <c r="AZ380" s="33"/>
      <c r="BA380" s="33"/>
    </row>
    <row r="381" spans="1:53" ht="12" customHeight="1" x14ac:dyDescent="0.2">
      <c r="A381" s="10" t="s">
        <v>2502</v>
      </c>
      <c r="B381" s="39">
        <v>103069</v>
      </c>
      <c r="C381" s="42" t="s">
        <v>3295</v>
      </c>
      <c r="D381" s="10" t="s">
        <v>2944</v>
      </c>
      <c r="E381" s="14" t="s">
        <v>1901</v>
      </c>
      <c r="F381" s="1" t="s">
        <v>395</v>
      </c>
      <c r="G381" s="1" t="s">
        <v>2501</v>
      </c>
      <c r="H381" s="1"/>
      <c r="I381" s="1">
        <v>69</v>
      </c>
      <c r="J381" s="1"/>
      <c r="K381" s="1"/>
      <c r="L381" s="1"/>
      <c r="M381" s="1"/>
      <c r="O381" s="16" t="s">
        <v>367</v>
      </c>
      <c r="P381" s="1">
        <v>1</v>
      </c>
      <c r="Q381" s="15"/>
      <c r="R381" s="15"/>
      <c r="S381" s="15"/>
      <c r="T381" s="15"/>
      <c r="U381" s="15"/>
      <c r="V381" s="1"/>
      <c r="W381" s="1"/>
      <c r="X381" s="1"/>
      <c r="Y381" s="15">
        <v>13800</v>
      </c>
      <c r="Z381" s="15"/>
      <c r="AA381" s="15"/>
      <c r="AB381" s="17"/>
      <c r="AC381" s="82"/>
      <c r="AD381" s="16" t="s">
        <v>52</v>
      </c>
      <c r="AE381" s="16" t="s">
        <v>1903</v>
      </c>
      <c r="AF381" s="16"/>
      <c r="AG381" s="16"/>
      <c r="AH381" s="16"/>
      <c r="AI381" s="16" t="s">
        <v>2491</v>
      </c>
      <c r="AJ381" s="16"/>
      <c r="AK381" s="16"/>
      <c r="AL381" s="16"/>
      <c r="AM381" s="16"/>
      <c r="AN381" s="16"/>
      <c r="AO381" s="16"/>
      <c r="AP381" s="16"/>
      <c r="AR381" s="88"/>
      <c r="AS381" s="88"/>
      <c r="AU381" s="12" t="s">
        <v>1931</v>
      </c>
      <c r="AV381" s="19"/>
      <c r="AW381" s="39">
        <v>90</v>
      </c>
      <c r="AY381" s="33"/>
      <c r="AZ381" s="33"/>
      <c r="BA381" s="33"/>
    </row>
    <row r="382" spans="1:53" ht="12" customHeight="1" x14ac:dyDescent="0.2">
      <c r="A382" s="10" t="s">
        <v>2828</v>
      </c>
      <c r="B382" s="39">
        <v>103070</v>
      </c>
      <c r="C382" s="42" t="s">
        <v>3296</v>
      </c>
      <c r="D382" s="10" t="s">
        <v>2944</v>
      </c>
      <c r="E382" s="14" t="s">
        <v>1901</v>
      </c>
      <c r="F382" s="1" t="s">
        <v>91</v>
      </c>
      <c r="G382" s="1" t="s">
        <v>2445</v>
      </c>
      <c r="H382" s="1"/>
      <c r="I382" s="1">
        <v>70</v>
      </c>
      <c r="J382" s="1"/>
      <c r="K382" s="1"/>
      <c r="L382" s="1"/>
      <c r="M382" s="1"/>
      <c r="O382" s="16" t="s">
        <v>367</v>
      </c>
      <c r="P382" s="1">
        <v>1</v>
      </c>
      <c r="Q382" s="15"/>
      <c r="R382" s="15"/>
      <c r="S382" s="15"/>
      <c r="T382" s="15"/>
      <c r="U382" s="15"/>
      <c r="V382" s="1"/>
      <c r="W382" s="1"/>
      <c r="X382" s="1"/>
      <c r="Y382" s="15">
        <v>13800</v>
      </c>
      <c r="Z382" s="15"/>
      <c r="AA382" s="15"/>
      <c r="AB382" s="17"/>
      <c r="AC382" s="82"/>
      <c r="AD382" s="16" t="s">
        <v>52</v>
      </c>
      <c r="AE382" s="16" t="s">
        <v>1903</v>
      </c>
      <c r="AF382" s="16"/>
      <c r="AG382" s="16"/>
      <c r="AH382" s="16"/>
      <c r="AI382" s="16" t="s">
        <v>2829</v>
      </c>
      <c r="AJ382" s="16"/>
      <c r="AK382" s="16"/>
      <c r="AL382" s="16"/>
      <c r="AM382" s="16"/>
      <c r="AN382" s="16"/>
      <c r="AO382" s="16"/>
      <c r="AP382" s="16"/>
      <c r="AR382" s="88"/>
      <c r="AS382" s="88"/>
      <c r="AU382" s="12" t="s">
        <v>1931</v>
      </c>
      <c r="AV382" s="19"/>
      <c r="AW382" s="39">
        <v>90</v>
      </c>
      <c r="AY382" s="33"/>
      <c r="AZ382" s="33"/>
      <c r="BA382" s="33"/>
    </row>
    <row r="383" spans="1:53" ht="12" customHeight="1" x14ac:dyDescent="0.2">
      <c r="A383" s="10" t="s">
        <v>2856</v>
      </c>
      <c r="B383" s="39">
        <v>103071</v>
      </c>
      <c r="C383" s="42" t="s">
        <v>3297</v>
      </c>
      <c r="D383" s="10" t="s">
        <v>2944</v>
      </c>
      <c r="E383" s="14" t="s">
        <v>1901</v>
      </c>
      <c r="F383" s="1" t="s">
        <v>89</v>
      </c>
      <c r="G383" s="1" t="s">
        <v>2445</v>
      </c>
      <c r="H383" s="1"/>
      <c r="I383" s="1">
        <v>71</v>
      </c>
      <c r="J383" s="1"/>
      <c r="K383" s="1"/>
      <c r="L383" s="1"/>
      <c r="M383" s="1"/>
      <c r="O383" s="16" t="s">
        <v>367</v>
      </c>
      <c r="P383" s="1">
        <v>1</v>
      </c>
      <c r="Q383" s="15"/>
      <c r="R383" s="15"/>
      <c r="S383" s="15"/>
      <c r="T383" s="15"/>
      <c r="U383" s="15"/>
      <c r="V383" s="1"/>
      <c r="W383" s="1"/>
      <c r="X383" s="1"/>
      <c r="Y383" s="15">
        <v>13800</v>
      </c>
      <c r="Z383" s="15"/>
      <c r="AA383" s="15"/>
      <c r="AB383" s="17"/>
      <c r="AC383" s="82"/>
      <c r="AD383" s="16" t="s">
        <v>52</v>
      </c>
      <c r="AE383" s="16" t="s">
        <v>1903</v>
      </c>
      <c r="AF383" s="16"/>
      <c r="AG383" s="16"/>
      <c r="AH383" s="16"/>
      <c r="AI383" s="16" t="s">
        <v>2857</v>
      </c>
      <c r="AJ383" s="16"/>
      <c r="AK383" s="16"/>
      <c r="AL383" s="16"/>
      <c r="AM383" s="16"/>
      <c r="AN383" s="16"/>
      <c r="AO383" s="16"/>
      <c r="AP383" s="16"/>
      <c r="AR383" s="88"/>
      <c r="AS383" s="88"/>
      <c r="AU383" s="12" t="s">
        <v>1931</v>
      </c>
      <c r="AV383" s="19"/>
      <c r="AW383" s="39">
        <v>90</v>
      </c>
      <c r="AY383" s="33"/>
      <c r="AZ383" s="33"/>
      <c r="BA383" s="33"/>
    </row>
    <row r="384" spans="1:53" ht="12" customHeight="1" x14ac:dyDescent="0.2">
      <c r="A384" s="10" t="s">
        <v>2910</v>
      </c>
      <c r="B384" s="39">
        <v>103072</v>
      </c>
      <c r="C384" s="42" t="s">
        <v>3298</v>
      </c>
      <c r="D384" s="10" t="s">
        <v>2944</v>
      </c>
      <c r="E384" s="14" t="s">
        <v>1901</v>
      </c>
      <c r="F384" s="1" t="s">
        <v>91</v>
      </c>
      <c r="G384" s="1" t="s">
        <v>2445</v>
      </c>
      <c r="H384" s="1"/>
      <c r="I384" s="1">
        <v>72</v>
      </c>
      <c r="J384" s="1"/>
      <c r="K384" s="1"/>
      <c r="L384" s="1"/>
      <c r="M384" s="1"/>
      <c r="O384" s="16" t="s">
        <v>367</v>
      </c>
      <c r="P384" s="1">
        <v>1</v>
      </c>
      <c r="Q384" s="15"/>
      <c r="R384" s="15"/>
      <c r="S384" s="15"/>
      <c r="T384" s="15"/>
      <c r="U384" s="15"/>
      <c r="V384" s="1"/>
      <c r="W384" s="1"/>
      <c r="X384" s="1"/>
      <c r="Y384" s="15">
        <v>13800</v>
      </c>
      <c r="Z384" s="15"/>
      <c r="AA384" s="15"/>
      <c r="AB384" s="17"/>
      <c r="AC384" s="82"/>
      <c r="AD384" s="16" t="s">
        <v>52</v>
      </c>
      <c r="AE384" s="16" t="s">
        <v>1903</v>
      </c>
      <c r="AF384" s="16"/>
      <c r="AG384" s="16"/>
      <c r="AH384" s="16"/>
      <c r="AI384" s="16">
        <v>14072</v>
      </c>
      <c r="AJ384" s="16"/>
      <c r="AK384" s="16"/>
      <c r="AL384" s="16"/>
      <c r="AM384" s="16"/>
      <c r="AN384" s="16"/>
      <c r="AO384" s="16"/>
      <c r="AP384" s="16"/>
      <c r="AR384" s="88"/>
      <c r="AS384" s="88"/>
      <c r="AU384" s="12" t="s">
        <v>1931</v>
      </c>
      <c r="AV384" s="19"/>
      <c r="AW384" s="39">
        <v>90</v>
      </c>
      <c r="AY384" s="33"/>
      <c r="AZ384" s="33"/>
      <c r="BA384" s="33"/>
    </row>
    <row r="385" spans="1:53" ht="12" customHeight="1" x14ac:dyDescent="0.2">
      <c r="A385" s="10" t="s">
        <v>2439</v>
      </c>
      <c r="B385" s="39">
        <v>103073</v>
      </c>
      <c r="C385" s="42" t="s">
        <v>3299</v>
      </c>
      <c r="D385" s="10" t="s">
        <v>2944</v>
      </c>
      <c r="E385" s="14" t="s">
        <v>1901</v>
      </c>
      <c r="F385" s="1" t="s">
        <v>89</v>
      </c>
      <c r="G385" s="1" t="s">
        <v>2445</v>
      </c>
      <c r="H385" s="1"/>
      <c r="I385" s="1">
        <v>73</v>
      </c>
      <c r="J385" s="1"/>
      <c r="K385" s="1"/>
      <c r="L385" s="1"/>
      <c r="M385" s="1"/>
      <c r="O385" s="16" t="s">
        <v>367</v>
      </c>
      <c r="P385" s="1">
        <v>1</v>
      </c>
      <c r="Q385" s="15"/>
      <c r="R385" s="15"/>
      <c r="S385" s="15"/>
      <c r="T385" s="15"/>
      <c r="U385" s="15"/>
      <c r="V385" s="1"/>
      <c r="W385" s="1"/>
      <c r="X385" s="1"/>
      <c r="Y385" s="15">
        <v>13800</v>
      </c>
      <c r="Z385" s="15"/>
      <c r="AA385" s="15"/>
      <c r="AB385" s="17"/>
      <c r="AC385" s="82"/>
      <c r="AD385" s="16" t="s">
        <v>52</v>
      </c>
      <c r="AE385" s="16" t="s">
        <v>1903</v>
      </c>
      <c r="AF385" s="16"/>
      <c r="AG385" s="16"/>
      <c r="AH385" s="16"/>
      <c r="AI385" s="16">
        <v>14073</v>
      </c>
      <c r="AJ385" s="16"/>
      <c r="AK385" s="16"/>
      <c r="AL385" s="16"/>
      <c r="AM385" s="16"/>
      <c r="AN385" s="16"/>
      <c r="AO385" s="16"/>
      <c r="AP385" s="16"/>
      <c r="AR385" s="88"/>
      <c r="AS385" s="88"/>
      <c r="AU385" s="12" t="s">
        <v>1931</v>
      </c>
      <c r="AV385" s="19"/>
      <c r="AW385" s="39">
        <v>90</v>
      </c>
      <c r="AY385" s="33"/>
      <c r="AZ385" s="33"/>
      <c r="BA385" s="33"/>
    </row>
    <row r="386" spans="1:53" ht="12" customHeight="1" x14ac:dyDescent="0.2">
      <c r="A386" s="10" t="s">
        <v>2921</v>
      </c>
      <c r="B386" s="39">
        <v>103074</v>
      </c>
      <c r="C386" s="42" t="e">
        <v>#N/A</v>
      </c>
      <c r="D386" s="10" t="s">
        <v>2944</v>
      </c>
      <c r="E386" s="14" t="s">
        <v>1901</v>
      </c>
      <c r="F386" s="1" t="s">
        <v>396</v>
      </c>
      <c r="G386" s="1" t="s">
        <v>2922</v>
      </c>
      <c r="H386" s="1"/>
      <c r="I386" s="1">
        <v>74</v>
      </c>
      <c r="J386" s="1"/>
      <c r="K386" s="1"/>
      <c r="L386" s="1"/>
      <c r="M386" s="1"/>
      <c r="O386" s="16" t="s">
        <v>367</v>
      </c>
      <c r="P386" s="1">
        <v>1</v>
      </c>
      <c r="Q386" s="15"/>
      <c r="R386" s="15"/>
      <c r="S386" s="15"/>
      <c r="T386" s="15"/>
      <c r="U386" s="15"/>
      <c r="V386" s="1"/>
      <c r="W386" s="1"/>
      <c r="X386" s="1"/>
      <c r="Y386" s="15">
        <v>13800</v>
      </c>
      <c r="Z386" s="15"/>
      <c r="AA386" s="15"/>
      <c r="AB386" s="17"/>
      <c r="AC386" s="82"/>
      <c r="AD386" s="16" t="s">
        <v>52</v>
      </c>
      <c r="AE386" s="16" t="s">
        <v>1903</v>
      </c>
      <c r="AF386" s="16"/>
      <c r="AG386" s="16"/>
      <c r="AH386" s="16"/>
      <c r="AI386" s="16" t="s">
        <v>2926</v>
      </c>
      <c r="AJ386" s="16"/>
      <c r="AK386" s="16"/>
      <c r="AL386" s="16"/>
      <c r="AM386" s="16"/>
      <c r="AN386" s="16"/>
      <c r="AO386" s="16"/>
      <c r="AP386" s="16"/>
      <c r="AR386" s="88"/>
      <c r="AS386" s="88"/>
      <c r="AU386" s="12" t="s">
        <v>1931</v>
      </c>
      <c r="AV386" s="19"/>
      <c r="AW386" s="39">
        <v>90</v>
      </c>
      <c r="AY386" s="33"/>
      <c r="AZ386" s="33"/>
      <c r="BA386" s="33"/>
    </row>
    <row r="387" spans="1:53" ht="12" customHeight="1" x14ac:dyDescent="0.2">
      <c r="A387" s="10" t="s">
        <v>2842</v>
      </c>
      <c r="B387" s="39">
        <v>103075</v>
      </c>
      <c r="C387" s="42" t="s">
        <v>3300</v>
      </c>
      <c r="D387" s="10" t="s">
        <v>2944</v>
      </c>
      <c r="E387" s="14" t="s">
        <v>1901</v>
      </c>
      <c r="F387" s="1" t="s">
        <v>395</v>
      </c>
      <c r="G387" s="1" t="s">
        <v>2843</v>
      </c>
      <c r="H387" s="1"/>
      <c r="I387" s="1">
        <v>75</v>
      </c>
      <c r="J387" s="1"/>
      <c r="K387" s="1"/>
      <c r="L387" s="1"/>
      <c r="M387" s="1"/>
      <c r="O387" s="16" t="s">
        <v>367</v>
      </c>
      <c r="P387" s="1">
        <v>1</v>
      </c>
      <c r="Q387" s="15"/>
      <c r="R387" s="15"/>
      <c r="S387" s="15"/>
      <c r="T387" s="15"/>
      <c r="U387" s="15"/>
      <c r="V387" s="1"/>
      <c r="W387" s="1"/>
      <c r="X387" s="1"/>
      <c r="Y387" s="15">
        <v>13800</v>
      </c>
      <c r="Z387" s="15"/>
      <c r="AA387" s="15"/>
      <c r="AB387" s="17"/>
      <c r="AC387" s="82"/>
      <c r="AD387" s="16" t="s">
        <v>52</v>
      </c>
      <c r="AE387" s="16" t="s">
        <v>1903</v>
      </c>
      <c r="AF387" s="16"/>
      <c r="AG387" s="16"/>
      <c r="AH387" s="16"/>
      <c r="AI387" s="16" t="s">
        <v>2844</v>
      </c>
      <c r="AJ387" s="16"/>
      <c r="AK387" s="16"/>
      <c r="AL387" s="16"/>
      <c r="AM387" s="16"/>
      <c r="AN387" s="16"/>
      <c r="AO387" s="16"/>
      <c r="AP387" s="16"/>
      <c r="AR387" s="88"/>
      <c r="AS387" s="88"/>
      <c r="AU387" s="12" t="s">
        <v>1931</v>
      </c>
      <c r="AV387" s="19"/>
      <c r="AW387" s="39">
        <v>90</v>
      </c>
      <c r="AY387" s="33"/>
      <c r="AZ387" s="33"/>
      <c r="BA387" s="33"/>
    </row>
    <row r="388" spans="1:53" ht="12" customHeight="1" x14ac:dyDescent="0.2">
      <c r="A388" s="10" t="s">
        <v>2935</v>
      </c>
      <c r="B388" s="39">
        <v>103076</v>
      </c>
      <c r="C388" s="42" t="e">
        <v>#N/A</v>
      </c>
      <c r="D388" s="10" t="s">
        <v>2944</v>
      </c>
      <c r="E388" s="14" t="s">
        <v>1901</v>
      </c>
      <c r="F388" s="1" t="s">
        <v>88</v>
      </c>
      <c r="G388" s="1" t="s">
        <v>2478</v>
      </c>
      <c r="H388" s="1"/>
      <c r="I388" s="1">
        <v>76</v>
      </c>
      <c r="J388" s="1"/>
      <c r="K388" s="1"/>
      <c r="L388" s="1"/>
      <c r="M388" s="1"/>
      <c r="O388" s="16" t="s">
        <v>367</v>
      </c>
      <c r="P388" s="1">
        <v>1</v>
      </c>
      <c r="Q388" s="15"/>
      <c r="R388" s="15"/>
      <c r="S388" s="15"/>
      <c r="T388" s="15"/>
      <c r="U388" s="15"/>
      <c r="V388" s="1"/>
      <c r="W388" s="1"/>
      <c r="X388" s="1"/>
      <c r="Y388" s="15">
        <v>13800</v>
      </c>
      <c r="Z388" s="15"/>
      <c r="AA388" s="15"/>
      <c r="AB388" s="17"/>
      <c r="AC388" s="82"/>
      <c r="AD388" s="16" t="s">
        <v>52</v>
      </c>
      <c r="AE388" s="16" t="s">
        <v>1903</v>
      </c>
      <c r="AF388" s="16"/>
      <c r="AG388" s="16"/>
      <c r="AH388" s="16"/>
      <c r="AI388" s="16" t="s">
        <v>2936</v>
      </c>
      <c r="AJ388" s="16"/>
      <c r="AK388" s="16"/>
      <c r="AL388" s="16"/>
      <c r="AM388" s="16"/>
      <c r="AN388" s="16"/>
      <c r="AO388" s="16"/>
      <c r="AP388" s="16"/>
      <c r="AR388" s="88"/>
      <c r="AS388" s="88"/>
      <c r="AU388" s="12" t="s">
        <v>1931</v>
      </c>
      <c r="AV388" s="19"/>
      <c r="AW388" s="39">
        <v>90</v>
      </c>
      <c r="AY388" s="33"/>
      <c r="AZ388" s="33"/>
      <c r="BA388" s="33"/>
    </row>
    <row r="389" spans="1:53" ht="12" customHeight="1" x14ac:dyDescent="0.2">
      <c r="A389" s="10" t="s">
        <v>4376</v>
      </c>
      <c r="B389" s="39">
        <v>103077</v>
      </c>
      <c r="C389" s="42" t="e">
        <v>#N/A</v>
      </c>
      <c r="D389" s="10" t="s">
        <v>2944</v>
      </c>
      <c r="E389" s="14" t="s">
        <v>1901</v>
      </c>
      <c r="F389" s="1" t="s">
        <v>395</v>
      </c>
      <c r="G389" s="1" t="s">
        <v>2478</v>
      </c>
      <c r="H389" s="1"/>
      <c r="I389" s="1">
        <v>77</v>
      </c>
      <c r="J389" s="1"/>
      <c r="K389" s="1"/>
      <c r="L389" s="1"/>
      <c r="M389" s="1"/>
      <c r="O389" s="16" t="s">
        <v>367</v>
      </c>
      <c r="P389" s="1">
        <v>1</v>
      </c>
      <c r="Q389" s="15"/>
      <c r="R389" s="15"/>
      <c r="S389" s="15"/>
      <c r="T389" s="15"/>
      <c r="U389" s="15"/>
      <c r="V389" s="1"/>
      <c r="W389" s="1"/>
      <c r="X389" s="1"/>
      <c r="Y389" s="15">
        <v>13800</v>
      </c>
      <c r="Z389" s="15"/>
      <c r="AA389" s="15"/>
      <c r="AB389" s="17"/>
      <c r="AC389" s="82"/>
      <c r="AD389" s="16" t="s">
        <v>52</v>
      </c>
      <c r="AE389" s="16" t="s">
        <v>1903</v>
      </c>
      <c r="AF389" s="16"/>
      <c r="AG389" s="16"/>
      <c r="AH389" s="16"/>
      <c r="AI389" s="16" t="s">
        <v>4377</v>
      </c>
      <c r="AJ389" s="16"/>
      <c r="AK389" s="16"/>
      <c r="AL389" s="16"/>
      <c r="AM389" s="16"/>
      <c r="AN389" s="16"/>
      <c r="AO389" s="16"/>
      <c r="AP389" s="16"/>
      <c r="AR389" s="88"/>
      <c r="AS389" s="88"/>
      <c r="AU389" s="12" t="s">
        <v>1931</v>
      </c>
      <c r="AV389" s="19"/>
      <c r="AW389" s="39">
        <v>90</v>
      </c>
      <c r="AY389" s="33"/>
      <c r="AZ389" s="33"/>
      <c r="BA389" s="33"/>
    </row>
    <row r="390" spans="1:53" ht="12" customHeight="1" x14ac:dyDescent="0.2">
      <c r="A390" s="10" t="s">
        <v>2803</v>
      </c>
      <c r="B390" s="39">
        <v>103078</v>
      </c>
      <c r="C390" s="42" t="s">
        <v>3301</v>
      </c>
      <c r="D390" s="10" t="s">
        <v>2944</v>
      </c>
      <c r="E390" s="14" t="s">
        <v>1901</v>
      </c>
      <c r="F390" s="1" t="s">
        <v>89</v>
      </c>
      <c r="G390" s="1" t="s">
        <v>2445</v>
      </c>
      <c r="H390" s="1"/>
      <c r="I390" s="1">
        <v>78</v>
      </c>
      <c r="J390" s="1"/>
      <c r="K390" s="1"/>
      <c r="L390" s="1"/>
      <c r="M390" s="1"/>
      <c r="O390" s="16" t="s">
        <v>367</v>
      </c>
      <c r="P390" s="1">
        <v>1</v>
      </c>
      <c r="Q390" s="15"/>
      <c r="R390" s="15"/>
      <c r="S390" s="15"/>
      <c r="T390" s="15"/>
      <c r="U390" s="15"/>
      <c r="V390" s="1"/>
      <c r="W390" s="1"/>
      <c r="X390" s="1"/>
      <c r="Y390" s="15">
        <v>13800</v>
      </c>
      <c r="Z390" s="15"/>
      <c r="AA390" s="15"/>
      <c r="AB390" s="17"/>
      <c r="AC390" s="82"/>
      <c r="AD390" s="16" t="s">
        <v>52</v>
      </c>
      <c r="AE390" s="16" t="s">
        <v>1903</v>
      </c>
      <c r="AF390" s="16"/>
      <c r="AG390" s="16"/>
      <c r="AH390" s="16"/>
      <c r="AI390" s="16" t="s">
        <v>2804</v>
      </c>
      <c r="AJ390" s="16"/>
      <c r="AK390" s="16"/>
      <c r="AL390" s="16"/>
      <c r="AM390" s="16"/>
      <c r="AN390" s="16"/>
      <c r="AO390" s="16"/>
      <c r="AP390" s="16"/>
      <c r="AR390" s="88"/>
      <c r="AS390" s="88"/>
      <c r="AU390" s="12" t="s">
        <v>1931</v>
      </c>
      <c r="AV390" s="19"/>
      <c r="AW390" s="39">
        <v>90</v>
      </c>
      <c r="AY390" s="33"/>
      <c r="AZ390" s="33"/>
      <c r="BA390" s="33"/>
    </row>
    <row r="391" spans="1:53" ht="12" customHeight="1" x14ac:dyDescent="0.2">
      <c r="A391" s="10" t="s">
        <v>4402</v>
      </c>
      <c r="B391" s="39">
        <v>103079</v>
      </c>
      <c r="C391" s="42" t="s">
        <v>4403</v>
      </c>
      <c r="D391" s="10" t="s">
        <v>2944</v>
      </c>
      <c r="E391" s="14" t="s">
        <v>1901</v>
      </c>
      <c r="F391" s="1" t="s">
        <v>394</v>
      </c>
      <c r="G391" s="1" t="s">
        <v>2445</v>
      </c>
      <c r="H391" s="1"/>
      <c r="I391" s="1">
        <v>79</v>
      </c>
      <c r="J391" s="1"/>
      <c r="K391" s="1"/>
      <c r="L391" s="1"/>
      <c r="M391" s="1"/>
      <c r="O391" s="16" t="s">
        <v>367</v>
      </c>
      <c r="P391" s="1">
        <v>1</v>
      </c>
      <c r="Q391" s="15"/>
      <c r="R391" s="15"/>
      <c r="S391" s="15"/>
      <c r="T391" s="15"/>
      <c r="U391" s="15"/>
      <c r="V391" s="1"/>
      <c r="W391" s="1"/>
      <c r="X391" s="1"/>
      <c r="Y391" s="15">
        <v>13800</v>
      </c>
      <c r="Z391" s="15"/>
      <c r="AA391" s="15"/>
      <c r="AB391" s="17"/>
      <c r="AC391" s="82"/>
      <c r="AD391" s="16" t="s">
        <v>52</v>
      </c>
      <c r="AE391" s="16" t="s">
        <v>1903</v>
      </c>
      <c r="AF391" s="16"/>
      <c r="AG391" s="16"/>
      <c r="AH391" s="16"/>
      <c r="AI391" s="16" t="s">
        <v>4404</v>
      </c>
      <c r="AJ391" s="16"/>
      <c r="AK391" s="16"/>
      <c r="AL391" s="16"/>
      <c r="AM391" s="16"/>
      <c r="AN391" s="16"/>
      <c r="AO391" s="16"/>
      <c r="AP391" s="16"/>
      <c r="AR391" s="88"/>
      <c r="AS391" s="88"/>
      <c r="AU391" s="12" t="s">
        <v>1931</v>
      </c>
      <c r="AV391" s="19"/>
      <c r="AW391" s="39">
        <v>90</v>
      </c>
      <c r="AY391" s="33"/>
      <c r="AZ391" s="33"/>
      <c r="BA391" s="33"/>
    </row>
    <row r="392" spans="1:53" ht="12" customHeight="1" x14ac:dyDescent="0.2">
      <c r="A392" s="10" t="s">
        <v>5629</v>
      </c>
      <c r="B392" s="39">
        <v>103080</v>
      </c>
      <c r="D392" s="10" t="s">
        <v>2944</v>
      </c>
      <c r="E392" s="14" t="s">
        <v>1901</v>
      </c>
      <c r="F392" s="1" t="s">
        <v>88</v>
      </c>
      <c r="G392" s="1" t="s">
        <v>2478</v>
      </c>
      <c r="H392" s="1"/>
      <c r="I392" s="1">
        <v>80</v>
      </c>
      <c r="J392" s="1"/>
      <c r="K392" s="1"/>
      <c r="L392" s="1"/>
      <c r="M392" s="1"/>
      <c r="O392" s="16" t="s">
        <v>367</v>
      </c>
      <c r="P392" s="1">
        <v>1</v>
      </c>
      <c r="Q392" s="15"/>
      <c r="R392" s="15"/>
      <c r="S392" s="15"/>
      <c r="T392" s="15"/>
      <c r="U392" s="15"/>
      <c r="V392" s="1"/>
      <c r="W392" s="1"/>
      <c r="X392" s="1"/>
      <c r="Y392" s="15">
        <v>13800</v>
      </c>
      <c r="Z392" s="15"/>
      <c r="AA392" s="15"/>
      <c r="AB392" s="17"/>
      <c r="AC392" s="82"/>
      <c r="AD392" s="16" t="s">
        <v>52</v>
      </c>
      <c r="AE392" s="16" t="s">
        <v>1903</v>
      </c>
      <c r="AF392" s="16"/>
      <c r="AG392" s="16"/>
      <c r="AH392" s="16"/>
      <c r="AI392" s="16" t="s">
        <v>5630</v>
      </c>
      <c r="AJ392" s="16"/>
      <c r="AK392" s="16"/>
      <c r="AL392" s="16"/>
      <c r="AM392" s="16"/>
      <c r="AN392" s="16"/>
      <c r="AO392" s="16"/>
      <c r="AP392" s="16"/>
      <c r="AR392" s="88"/>
      <c r="AS392" s="88"/>
      <c r="AU392" s="12" t="s">
        <v>1931</v>
      </c>
      <c r="AV392" s="19"/>
      <c r="AW392" s="39">
        <v>90</v>
      </c>
      <c r="AY392" s="33"/>
      <c r="AZ392" s="33"/>
      <c r="BA392" s="33"/>
    </row>
    <row r="393" spans="1:53" ht="12" customHeight="1" x14ac:dyDescent="0.2">
      <c r="A393" s="10" t="s">
        <v>4440</v>
      </c>
      <c r="B393" s="39">
        <v>103081</v>
      </c>
      <c r="C393" s="42" t="e">
        <v>#N/A</v>
      </c>
      <c r="D393" s="10" t="s">
        <v>2944</v>
      </c>
      <c r="E393" s="14" t="s">
        <v>1901</v>
      </c>
      <c r="F393" s="1" t="s">
        <v>89</v>
      </c>
      <c r="G393" s="1" t="s">
        <v>2445</v>
      </c>
      <c r="H393" s="1"/>
      <c r="I393" s="1">
        <v>81</v>
      </c>
      <c r="J393" s="1"/>
      <c r="K393" s="1"/>
      <c r="L393" s="1"/>
      <c r="M393" s="1"/>
      <c r="O393" s="16" t="s">
        <v>367</v>
      </c>
      <c r="P393" s="1">
        <v>1</v>
      </c>
      <c r="Q393" s="15"/>
      <c r="R393" s="15"/>
      <c r="S393" s="15"/>
      <c r="T393" s="15"/>
      <c r="U393" s="15"/>
      <c r="V393" s="1"/>
      <c r="W393" s="1"/>
      <c r="X393" s="1"/>
      <c r="Y393" s="15">
        <v>13800</v>
      </c>
      <c r="Z393" s="15"/>
      <c r="AA393" s="15"/>
      <c r="AB393" s="17"/>
      <c r="AC393" s="82"/>
      <c r="AD393" s="16" t="s">
        <v>52</v>
      </c>
      <c r="AE393" s="16" t="s">
        <v>1903</v>
      </c>
      <c r="AF393" s="16"/>
      <c r="AG393" s="16"/>
      <c r="AH393" s="16"/>
      <c r="AI393" s="16" t="s">
        <v>4441</v>
      </c>
      <c r="AJ393" s="16"/>
      <c r="AK393" s="16"/>
      <c r="AL393" s="16"/>
      <c r="AM393" s="16"/>
      <c r="AN393" s="16"/>
      <c r="AO393" s="16"/>
      <c r="AP393" s="16"/>
      <c r="AR393" s="88"/>
      <c r="AS393" s="88"/>
      <c r="AU393" s="12" t="s">
        <v>1931</v>
      </c>
      <c r="AV393" s="19"/>
      <c r="AW393" s="39">
        <v>90</v>
      </c>
      <c r="AY393" s="33"/>
      <c r="AZ393" s="33"/>
      <c r="BA393" s="33"/>
    </row>
    <row r="394" spans="1:53" ht="12" customHeight="1" x14ac:dyDescent="0.2">
      <c r="A394" s="10" t="s">
        <v>5394</v>
      </c>
      <c r="B394" s="39">
        <v>103082</v>
      </c>
      <c r="C394" s="42" t="e">
        <v>#N/A</v>
      </c>
      <c r="D394" s="10" t="s">
        <v>2944</v>
      </c>
      <c r="E394" s="14" t="s">
        <v>1901</v>
      </c>
      <c r="F394" s="1" t="s">
        <v>395</v>
      </c>
      <c r="G394" s="1" t="s">
        <v>2478</v>
      </c>
      <c r="H394" s="1"/>
      <c r="I394" s="1">
        <v>82</v>
      </c>
      <c r="J394" s="1"/>
      <c r="K394" s="1"/>
      <c r="L394" s="1"/>
      <c r="M394" s="1"/>
      <c r="O394" s="16" t="s">
        <v>367</v>
      </c>
      <c r="P394" s="1">
        <v>1</v>
      </c>
      <c r="Q394" s="15"/>
      <c r="R394" s="15"/>
      <c r="S394" s="15"/>
      <c r="T394" s="15"/>
      <c r="U394" s="15"/>
      <c r="V394" s="1"/>
      <c r="W394" s="1"/>
      <c r="X394" s="1"/>
      <c r="Y394" s="15">
        <v>13800</v>
      </c>
      <c r="Z394" s="15"/>
      <c r="AA394" s="15"/>
      <c r="AB394" s="17"/>
      <c r="AC394" s="82"/>
      <c r="AD394" s="16" t="s">
        <v>52</v>
      </c>
      <c r="AE394" s="16" t="s">
        <v>1903</v>
      </c>
      <c r="AF394" s="16"/>
      <c r="AG394" s="16"/>
      <c r="AH394" s="16"/>
      <c r="AI394" s="16">
        <v>14082</v>
      </c>
      <c r="AJ394" s="16"/>
      <c r="AK394" s="16"/>
      <c r="AL394" s="16"/>
      <c r="AM394" s="16"/>
      <c r="AN394" s="16"/>
      <c r="AO394" s="16"/>
      <c r="AP394" s="16"/>
      <c r="AR394" s="88"/>
      <c r="AS394" s="88"/>
      <c r="AU394" s="12" t="s">
        <v>1931</v>
      </c>
      <c r="AV394" s="19"/>
      <c r="AW394" s="39">
        <v>90</v>
      </c>
      <c r="AY394" s="33"/>
      <c r="AZ394" s="33"/>
      <c r="BA394" s="33"/>
    </row>
    <row r="395" spans="1:53" ht="12" customHeight="1" x14ac:dyDescent="0.2">
      <c r="A395" s="10" t="s">
        <v>5564</v>
      </c>
      <c r="B395" s="39">
        <v>103083</v>
      </c>
      <c r="C395" s="42" t="e">
        <v>#N/A</v>
      </c>
      <c r="D395" s="10" t="s">
        <v>2944</v>
      </c>
      <c r="E395" s="14" t="s">
        <v>1901</v>
      </c>
      <c r="F395" s="1" t="s">
        <v>89</v>
      </c>
      <c r="G395" s="1" t="s">
        <v>2445</v>
      </c>
      <c r="H395" s="1"/>
      <c r="I395" s="1">
        <v>83</v>
      </c>
      <c r="J395" s="1"/>
      <c r="K395" s="1"/>
      <c r="L395" s="1"/>
      <c r="M395" s="1"/>
      <c r="O395" s="16" t="s">
        <v>367</v>
      </c>
      <c r="P395" s="1">
        <v>1</v>
      </c>
      <c r="Q395" s="15"/>
      <c r="R395" s="15"/>
      <c r="S395" s="15"/>
      <c r="T395" s="15"/>
      <c r="U395" s="15"/>
      <c r="V395" s="1"/>
      <c r="W395" s="1"/>
      <c r="X395" s="1"/>
      <c r="Y395" s="15">
        <v>13800</v>
      </c>
      <c r="Z395" s="15"/>
      <c r="AA395" s="15"/>
      <c r="AB395" s="17"/>
      <c r="AC395" s="82"/>
      <c r="AD395" s="16" t="s">
        <v>52</v>
      </c>
      <c r="AE395" s="16" t="s">
        <v>1903</v>
      </c>
      <c r="AF395" s="16"/>
      <c r="AG395" s="16"/>
      <c r="AH395" s="16"/>
      <c r="AI395" s="16">
        <v>14083</v>
      </c>
      <c r="AJ395" s="16"/>
      <c r="AK395" s="16"/>
      <c r="AL395" s="16"/>
      <c r="AM395" s="16"/>
      <c r="AN395" s="16"/>
      <c r="AO395" s="16"/>
      <c r="AP395" s="16"/>
      <c r="AR395" s="88"/>
      <c r="AS395" s="88"/>
      <c r="AU395" s="12" t="s">
        <v>1931</v>
      </c>
      <c r="AV395" s="19"/>
      <c r="AW395" s="39">
        <v>90</v>
      </c>
      <c r="AY395" s="33"/>
      <c r="AZ395" s="33"/>
      <c r="BA395" s="33"/>
    </row>
    <row r="396" spans="1:53" ht="12" customHeight="1" x14ac:dyDescent="0.2">
      <c r="A396" s="10" t="s">
        <v>4417</v>
      </c>
      <c r="B396" s="39">
        <v>103084</v>
      </c>
      <c r="C396" s="42" t="e">
        <v>#N/A</v>
      </c>
      <c r="D396" s="10" t="s">
        <v>2944</v>
      </c>
      <c r="E396" s="14" t="s">
        <v>1901</v>
      </c>
      <c r="F396" s="1" t="s">
        <v>89</v>
      </c>
      <c r="G396" s="1" t="s">
        <v>2445</v>
      </c>
      <c r="H396" s="1"/>
      <c r="I396" s="1">
        <v>84</v>
      </c>
      <c r="J396" s="1"/>
      <c r="K396" s="1"/>
      <c r="L396" s="1"/>
      <c r="M396" s="1"/>
      <c r="O396" s="16" t="s">
        <v>367</v>
      </c>
      <c r="P396" s="1">
        <v>1</v>
      </c>
      <c r="Q396" s="15"/>
      <c r="R396" s="15"/>
      <c r="S396" s="15"/>
      <c r="T396" s="15"/>
      <c r="U396" s="15"/>
      <c r="V396" s="1"/>
      <c r="W396" s="1"/>
      <c r="X396" s="1"/>
      <c r="Y396" s="15">
        <v>13800</v>
      </c>
      <c r="Z396" s="15"/>
      <c r="AA396" s="15"/>
      <c r="AB396" s="17"/>
      <c r="AC396" s="82"/>
      <c r="AD396" s="16" t="s">
        <v>52</v>
      </c>
      <c r="AE396" s="16" t="s">
        <v>1903</v>
      </c>
      <c r="AF396" s="16"/>
      <c r="AG396" s="16"/>
      <c r="AH396" s="16"/>
      <c r="AI396" s="16" t="s">
        <v>4418</v>
      </c>
      <c r="AJ396" s="16"/>
      <c r="AK396" s="16"/>
      <c r="AL396" s="16"/>
      <c r="AM396" s="16"/>
      <c r="AN396" s="16"/>
      <c r="AO396" s="16"/>
      <c r="AP396" s="16"/>
      <c r="AR396" s="88"/>
      <c r="AS396" s="88"/>
      <c r="AU396" s="12" t="s">
        <v>1931</v>
      </c>
      <c r="AV396" s="19"/>
      <c r="AW396" s="39">
        <v>90</v>
      </c>
      <c r="AY396" s="33"/>
      <c r="AZ396" s="33"/>
      <c r="BA396" s="33"/>
    </row>
    <row r="397" spans="1:53" ht="12" customHeight="1" x14ac:dyDescent="0.2">
      <c r="A397" s="10" t="s">
        <v>4429</v>
      </c>
      <c r="B397" s="39">
        <v>103085</v>
      </c>
      <c r="D397" s="10" t="s">
        <v>2944</v>
      </c>
      <c r="E397" s="14" t="s">
        <v>1901</v>
      </c>
      <c r="F397" s="1" t="s">
        <v>394</v>
      </c>
      <c r="G397" s="1" t="s">
        <v>2445</v>
      </c>
      <c r="H397" s="1"/>
      <c r="I397" s="1">
        <v>85</v>
      </c>
      <c r="J397" s="1"/>
      <c r="K397" s="1"/>
      <c r="L397" s="1"/>
      <c r="M397" s="1"/>
      <c r="O397" s="16" t="s">
        <v>367</v>
      </c>
      <c r="P397" s="1">
        <v>1</v>
      </c>
      <c r="Q397" s="15"/>
      <c r="R397" s="15"/>
      <c r="S397" s="15"/>
      <c r="T397" s="15"/>
      <c r="U397" s="15"/>
      <c r="V397" s="1"/>
      <c r="W397" s="1"/>
      <c r="X397" s="1"/>
      <c r="Y397" s="15">
        <v>13800</v>
      </c>
      <c r="Z397" s="15"/>
      <c r="AA397" s="15"/>
      <c r="AB397" s="17"/>
      <c r="AC397" s="82"/>
      <c r="AD397" s="16" t="s">
        <v>52</v>
      </c>
      <c r="AE397" s="16" t="s">
        <v>1903</v>
      </c>
      <c r="AF397" s="16"/>
      <c r="AG397" s="16"/>
      <c r="AH397" s="16"/>
      <c r="AI397" s="16" t="s">
        <v>4430</v>
      </c>
      <c r="AJ397" s="16"/>
      <c r="AK397" s="16"/>
      <c r="AL397" s="16"/>
      <c r="AM397" s="16"/>
      <c r="AN397" s="16"/>
      <c r="AO397" s="16"/>
      <c r="AP397" s="16"/>
      <c r="AR397" s="88"/>
      <c r="AS397" s="88"/>
      <c r="AU397" s="12" t="s">
        <v>1931</v>
      </c>
      <c r="AV397" s="19"/>
      <c r="AW397" s="39">
        <v>90</v>
      </c>
      <c r="AY397" s="33"/>
      <c r="AZ397" s="33"/>
      <c r="BA397" s="33"/>
    </row>
    <row r="398" spans="1:53" ht="12" customHeight="1" x14ac:dyDescent="0.2">
      <c r="A398" s="10" t="s">
        <v>5573</v>
      </c>
      <c r="B398" s="39">
        <v>103086</v>
      </c>
      <c r="D398" s="10" t="s">
        <v>2374</v>
      </c>
      <c r="E398" s="14" t="s">
        <v>1905</v>
      </c>
      <c r="F398" s="1" t="s">
        <v>396</v>
      </c>
      <c r="G398" s="1" t="s">
        <v>5574</v>
      </c>
      <c r="H398" s="1"/>
      <c r="I398" s="1">
        <v>86</v>
      </c>
      <c r="J398" s="1"/>
      <c r="K398" s="1"/>
      <c r="L398" s="1"/>
      <c r="M398" s="1"/>
      <c r="O398" s="16" t="s">
        <v>367</v>
      </c>
      <c r="P398" s="1">
        <v>1</v>
      </c>
      <c r="Q398" s="15"/>
      <c r="R398" s="15"/>
      <c r="S398" s="15"/>
      <c r="T398" s="15"/>
      <c r="U398" s="15"/>
      <c r="V398" s="1"/>
      <c r="W398" s="1"/>
      <c r="X398" s="1"/>
      <c r="Y398" s="15">
        <v>13800</v>
      </c>
      <c r="Z398" s="15"/>
      <c r="AA398" s="15"/>
      <c r="AB398" s="17"/>
      <c r="AC398" s="82"/>
      <c r="AD398" s="16" t="s">
        <v>52</v>
      </c>
      <c r="AE398" s="16" t="s">
        <v>1903</v>
      </c>
      <c r="AF398" s="16"/>
      <c r="AG398" s="16"/>
      <c r="AH398" s="16"/>
      <c r="AI398" s="16" t="s">
        <v>5575</v>
      </c>
      <c r="AJ398" s="16"/>
      <c r="AK398" s="16"/>
      <c r="AL398" s="16"/>
      <c r="AM398" s="16"/>
      <c r="AN398" s="16"/>
      <c r="AO398" s="16"/>
      <c r="AP398" s="16"/>
      <c r="AR398" s="88"/>
      <c r="AS398" s="88"/>
      <c r="AU398" s="12" t="s">
        <v>1931</v>
      </c>
      <c r="AV398" s="19"/>
      <c r="AW398" s="39">
        <v>90</v>
      </c>
      <c r="AY398" s="33"/>
      <c r="AZ398" s="33"/>
      <c r="BA398" s="33"/>
    </row>
    <row r="399" spans="1:53" ht="12" customHeight="1" x14ac:dyDescent="0.2">
      <c r="A399" s="10" t="s">
        <v>2587</v>
      </c>
      <c r="B399" s="39">
        <v>103087</v>
      </c>
      <c r="C399" s="42" t="s">
        <v>3302</v>
      </c>
      <c r="D399" s="10" t="s">
        <v>2944</v>
      </c>
      <c r="E399" s="14" t="s">
        <v>1901</v>
      </c>
      <c r="F399" s="1" t="s">
        <v>88</v>
      </c>
      <c r="G399" s="1" t="s">
        <v>2588</v>
      </c>
      <c r="H399" s="1"/>
      <c r="I399" s="1">
        <v>87</v>
      </c>
      <c r="J399" s="1"/>
      <c r="K399" s="1"/>
      <c r="L399" s="1"/>
      <c r="M399" s="1"/>
      <c r="O399" s="16" t="s">
        <v>367</v>
      </c>
      <c r="P399" s="1">
        <v>1</v>
      </c>
      <c r="Q399" s="15"/>
      <c r="R399" s="15"/>
      <c r="S399" s="15"/>
      <c r="T399" s="15"/>
      <c r="U399" s="15"/>
      <c r="V399" s="1"/>
      <c r="W399" s="1"/>
      <c r="X399" s="1"/>
      <c r="Y399" s="15">
        <v>13800</v>
      </c>
      <c r="Z399" s="15"/>
      <c r="AA399" s="15"/>
      <c r="AB399" s="17"/>
      <c r="AC399" s="82"/>
      <c r="AD399" s="16" t="s">
        <v>52</v>
      </c>
      <c r="AE399" s="16" t="s">
        <v>1903</v>
      </c>
      <c r="AF399" s="16"/>
      <c r="AG399" s="16"/>
      <c r="AH399" s="16"/>
      <c r="AI399" s="16" t="s">
        <v>2589</v>
      </c>
      <c r="AJ399" s="16"/>
      <c r="AK399" s="16"/>
      <c r="AL399" s="16"/>
      <c r="AM399" s="16"/>
      <c r="AN399" s="16"/>
      <c r="AO399" s="16"/>
      <c r="AP399" s="16"/>
      <c r="AR399" s="88"/>
      <c r="AS399" s="88"/>
      <c r="AU399" s="12" t="s">
        <v>1931</v>
      </c>
      <c r="AV399" s="19"/>
      <c r="AW399" s="39">
        <v>90</v>
      </c>
      <c r="AY399" s="33"/>
      <c r="AZ399" s="33"/>
      <c r="BA399" s="33"/>
    </row>
    <row r="400" spans="1:53" ht="12" customHeight="1" x14ac:dyDescent="0.2">
      <c r="A400" s="10" t="s">
        <v>5594</v>
      </c>
      <c r="B400" s="39">
        <v>103088</v>
      </c>
      <c r="D400" s="10" t="s">
        <v>2944</v>
      </c>
      <c r="E400" s="14" t="s">
        <v>1901</v>
      </c>
      <c r="F400" s="1" t="s">
        <v>89</v>
      </c>
      <c r="G400" s="1" t="s">
        <v>2445</v>
      </c>
      <c r="H400" s="1"/>
      <c r="I400" s="1">
        <v>88</v>
      </c>
      <c r="J400" s="1"/>
      <c r="K400" s="1"/>
      <c r="L400" s="1"/>
      <c r="M400" s="1"/>
      <c r="O400" s="16" t="s">
        <v>367</v>
      </c>
      <c r="P400" s="1">
        <v>1</v>
      </c>
      <c r="Q400" s="15"/>
      <c r="R400" s="15"/>
      <c r="S400" s="15"/>
      <c r="T400" s="15"/>
      <c r="U400" s="15"/>
      <c r="V400" s="1"/>
      <c r="W400" s="1"/>
      <c r="X400" s="1"/>
      <c r="Y400" s="15">
        <v>13800</v>
      </c>
      <c r="Z400" s="15"/>
      <c r="AA400" s="15"/>
      <c r="AB400" s="17"/>
      <c r="AC400" s="82"/>
      <c r="AD400" s="16" t="s">
        <v>52</v>
      </c>
      <c r="AE400" s="16" t="s">
        <v>1903</v>
      </c>
      <c r="AF400" s="16"/>
      <c r="AG400" s="16"/>
      <c r="AH400" s="16"/>
      <c r="AI400" s="16" t="s">
        <v>5596</v>
      </c>
      <c r="AJ400" s="16"/>
      <c r="AK400" s="16"/>
      <c r="AL400" s="16"/>
      <c r="AM400" s="16"/>
      <c r="AN400" s="16"/>
      <c r="AO400" s="16"/>
      <c r="AP400" s="16"/>
      <c r="AR400" s="88"/>
      <c r="AS400" s="88"/>
      <c r="AU400" s="12" t="s">
        <v>1931</v>
      </c>
      <c r="AV400" s="19"/>
      <c r="AW400" s="39">
        <v>90</v>
      </c>
      <c r="AY400" s="33"/>
      <c r="AZ400" s="33"/>
      <c r="BA400" s="33"/>
    </row>
    <row r="401" spans="1:53" ht="12" customHeight="1" x14ac:dyDescent="0.2">
      <c r="A401" s="10" t="s">
        <v>5595</v>
      </c>
      <c r="B401" s="39">
        <v>103089</v>
      </c>
      <c r="D401" s="10" t="s">
        <v>2374</v>
      </c>
      <c r="E401" s="14" t="s">
        <v>1905</v>
      </c>
      <c r="F401" s="1" t="s">
        <v>396</v>
      </c>
      <c r="G401" s="1" t="s">
        <v>2445</v>
      </c>
      <c r="H401" s="1"/>
      <c r="I401" s="1">
        <v>89</v>
      </c>
      <c r="J401" s="1"/>
      <c r="K401" s="1"/>
      <c r="L401" s="1"/>
      <c r="M401" s="1"/>
      <c r="O401" s="16" t="s">
        <v>367</v>
      </c>
      <c r="P401" s="1">
        <v>1</v>
      </c>
      <c r="Q401" s="15"/>
      <c r="R401" s="15"/>
      <c r="S401" s="15"/>
      <c r="T401" s="15"/>
      <c r="U401" s="15"/>
      <c r="V401" s="1"/>
      <c r="W401" s="1"/>
      <c r="X401" s="1"/>
      <c r="Y401" s="15">
        <v>13800</v>
      </c>
      <c r="Z401" s="15"/>
      <c r="AA401" s="15"/>
      <c r="AB401" s="17"/>
      <c r="AC401" s="82"/>
      <c r="AD401" s="16" t="s">
        <v>52</v>
      </c>
      <c r="AE401" s="16" t="s">
        <v>1903</v>
      </c>
      <c r="AF401" s="16"/>
      <c r="AG401" s="16"/>
      <c r="AH401" s="16"/>
      <c r="AI401" s="16" t="s">
        <v>5597</v>
      </c>
      <c r="AJ401" s="16"/>
      <c r="AK401" s="16"/>
      <c r="AL401" s="16"/>
      <c r="AM401" s="16"/>
      <c r="AN401" s="16"/>
      <c r="AO401" s="16"/>
      <c r="AP401" s="16"/>
      <c r="AR401" s="88"/>
      <c r="AS401" s="88"/>
      <c r="AU401" s="12" t="s">
        <v>1931</v>
      </c>
      <c r="AV401" s="19"/>
      <c r="AW401" s="39">
        <v>90</v>
      </c>
      <c r="AY401" s="33"/>
      <c r="AZ401" s="33"/>
      <c r="BA401" s="33"/>
    </row>
    <row r="402" spans="1:53" ht="12" customHeight="1" x14ac:dyDescent="0.2">
      <c r="A402" s="10" t="s">
        <v>2440</v>
      </c>
      <c r="B402" s="39">
        <v>103090</v>
      </c>
      <c r="C402" s="42" t="s">
        <v>3303</v>
      </c>
      <c r="D402" s="10" t="s">
        <v>2944</v>
      </c>
      <c r="E402" s="14" t="s">
        <v>1901</v>
      </c>
      <c r="F402" s="1" t="s">
        <v>394</v>
      </c>
      <c r="G402" s="1" t="s">
        <v>2445</v>
      </c>
      <c r="H402" s="1"/>
      <c r="I402" s="1">
        <v>90</v>
      </c>
      <c r="J402" s="1"/>
      <c r="K402" s="1"/>
      <c r="L402" s="1"/>
      <c r="M402" s="1"/>
      <c r="O402" s="16" t="s">
        <v>367</v>
      </c>
      <c r="P402" s="1">
        <v>1</v>
      </c>
      <c r="Q402" s="15"/>
      <c r="R402" s="15"/>
      <c r="S402" s="15"/>
      <c r="T402" s="15"/>
      <c r="U402" s="15"/>
      <c r="V402" s="1"/>
      <c r="W402" s="1"/>
      <c r="X402" s="1"/>
      <c r="Y402" s="15">
        <v>13800</v>
      </c>
      <c r="Z402" s="15"/>
      <c r="AA402" s="15"/>
      <c r="AB402" s="17"/>
      <c r="AC402" s="82"/>
      <c r="AD402" s="16" t="s">
        <v>52</v>
      </c>
      <c r="AE402" s="16" t="s">
        <v>1903</v>
      </c>
      <c r="AF402" s="16"/>
      <c r="AG402" s="16"/>
      <c r="AH402" s="16"/>
      <c r="AI402" s="16">
        <v>14090</v>
      </c>
      <c r="AJ402" s="16"/>
      <c r="AK402" s="16"/>
      <c r="AL402" s="16"/>
      <c r="AM402" s="16"/>
      <c r="AN402" s="16"/>
      <c r="AO402" s="16"/>
      <c r="AP402" s="16"/>
      <c r="AR402" s="88"/>
      <c r="AS402" s="88"/>
      <c r="AU402" s="12" t="s">
        <v>1931</v>
      </c>
      <c r="AV402" s="19"/>
      <c r="AW402" s="39">
        <v>90</v>
      </c>
      <c r="AY402" s="33"/>
      <c r="AZ402" s="33"/>
      <c r="BA402" s="33"/>
    </row>
    <row r="403" spans="1:53" ht="12" customHeight="1" x14ac:dyDescent="0.2">
      <c r="A403" s="10" t="s">
        <v>2441</v>
      </c>
      <c r="B403" s="39">
        <v>103091</v>
      </c>
      <c r="C403" s="42" t="s">
        <v>3304</v>
      </c>
      <c r="D403" s="10" t="s">
        <v>2374</v>
      </c>
      <c r="E403" s="14" t="s">
        <v>1905</v>
      </c>
      <c r="F403" s="1" t="s">
        <v>396</v>
      </c>
      <c r="G403" s="1" t="s">
        <v>2445</v>
      </c>
      <c r="H403" s="1"/>
      <c r="I403" s="1">
        <v>91</v>
      </c>
      <c r="J403" s="1"/>
      <c r="K403" s="1"/>
      <c r="L403" s="1"/>
      <c r="M403" s="1"/>
      <c r="O403" s="16" t="s">
        <v>367</v>
      </c>
      <c r="P403" s="1">
        <v>1</v>
      </c>
      <c r="Q403" s="15"/>
      <c r="R403" s="15"/>
      <c r="S403" s="15"/>
      <c r="T403" s="15"/>
      <c r="U403" s="15"/>
      <c r="V403" s="1"/>
      <c r="W403" s="1"/>
      <c r="X403" s="1"/>
      <c r="Y403" s="15">
        <v>13800</v>
      </c>
      <c r="Z403" s="15"/>
      <c r="AA403" s="15"/>
      <c r="AB403" s="17"/>
      <c r="AC403" s="82"/>
      <c r="AD403" s="16" t="s">
        <v>52</v>
      </c>
      <c r="AE403" s="16" t="s">
        <v>1903</v>
      </c>
      <c r="AF403" s="16"/>
      <c r="AG403" s="16"/>
      <c r="AH403" s="16"/>
      <c r="AI403" s="16">
        <v>14091</v>
      </c>
      <c r="AJ403" s="16"/>
      <c r="AK403" s="16"/>
      <c r="AL403" s="16"/>
      <c r="AM403" s="16"/>
      <c r="AN403" s="16"/>
      <c r="AO403" s="16"/>
      <c r="AP403" s="16"/>
      <c r="AR403" s="88"/>
      <c r="AS403" s="88"/>
      <c r="AU403" s="12" t="s">
        <v>1931</v>
      </c>
      <c r="AV403" s="19"/>
      <c r="AW403" s="39">
        <v>90</v>
      </c>
      <c r="AY403" s="33"/>
      <c r="AZ403" s="33"/>
      <c r="BA403" s="33"/>
    </row>
    <row r="404" spans="1:53" ht="12" customHeight="1" x14ac:dyDescent="0.2">
      <c r="A404" s="10" t="s">
        <v>2442</v>
      </c>
      <c r="B404" s="39">
        <v>103092</v>
      </c>
      <c r="C404" s="42" t="s">
        <v>3305</v>
      </c>
      <c r="D404" s="10" t="s">
        <v>2944</v>
      </c>
      <c r="E404" s="14" t="s">
        <v>1901</v>
      </c>
      <c r="F404" s="1" t="s">
        <v>395</v>
      </c>
      <c r="G404" s="1" t="s">
        <v>2445</v>
      </c>
      <c r="H404" s="1"/>
      <c r="I404" s="1">
        <v>92</v>
      </c>
      <c r="J404" s="1"/>
      <c r="K404" s="1"/>
      <c r="L404" s="1"/>
      <c r="M404" s="1"/>
      <c r="O404" s="16" t="s">
        <v>367</v>
      </c>
      <c r="P404" s="1">
        <v>1</v>
      </c>
      <c r="Q404" s="15"/>
      <c r="R404" s="15"/>
      <c r="S404" s="15"/>
      <c r="T404" s="15"/>
      <c r="U404" s="15"/>
      <c r="V404" s="1"/>
      <c r="W404" s="1"/>
      <c r="X404" s="1"/>
      <c r="Y404" s="15">
        <v>13800</v>
      </c>
      <c r="Z404" s="15"/>
      <c r="AA404" s="15"/>
      <c r="AB404" s="17"/>
      <c r="AC404" s="82"/>
      <c r="AD404" s="16" t="s">
        <v>52</v>
      </c>
      <c r="AE404" s="16" t="s">
        <v>1903</v>
      </c>
      <c r="AF404" s="16"/>
      <c r="AG404" s="16"/>
      <c r="AH404" s="16"/>
      <c r="AI404" s="16">
        <v>14092</v>
      </c>
      <c r="AJ404" s="16"/>
      <c r="AK404" s="16"/>
      <c r="AL404" s="16"/>
      <c r="AM404" s="16"/>
      <c r="AN404" s="16"/>
      <c r="AO404" s="16"/>
      <c r="AP404" s="16"/>
      <c r="AR404" s="88"/>
      <c r="AS404" s="88"/>
      <c r="AU404" s="12" t="s">
        <v>1931</v>
      </c>
      <c r="AV404" s="19"/>
      <c r="AW404" s="39">
        <v>90</v>
      </c>
      <c r="AY404" s="33"/>
      <c r="AZ404" s="33"/>
      <c r="BA404" s="33"/>
    </row>
    <row r="405" spans="1:53" ht="12" customHeight="1" x14ac:dyDescent="0.2">
      <c r="A405" s="10" t="s">
        <v>2443</v>
      </c>
      <c r="B405" s="39">
        <v>103093</v>
      </c>
      <c r="C405" s="42" t="s">
        <v>3306</v>
      </c>
      <c r="D405" s="10" t="s">
        <v>2944</v>
      </c>
      <c r="E405" s="14" t="s">
        <v>1901</v>
      </c>
      <c r="F405" s="1" t="s">
        <v>88</v>
      </c>
      <c r="G405" s="1" t="s">
        <v>2445</v>
      </c>
      <c r="H405" s="1"/>
      <c r="I405" s="1">
        <v>93</v>
      </c>
      <c r="J405" s="1"/>
      <c r="K405" s="1"/>
      <c r="L405" s="1"/>
      <c r="M405" s="1"/>
      <c r="O405" s="16" t="s">
        <v>367</v>
      </c>
      <c r="P405" s="1">
        <v>1</v>
      </c>
      <c r="Q405" s="15"/>
      <c r="R405" s="15"/>
      <c r="S405" s="15"/>
      <c r="T405" s="15"/>
      <c r="U405" s="15"/>
      <c r="V405" s="1"/>
      <c r="W405" s="1"/>
      <c r="X405" s="1"/>
      <c r="Y405" s="15">
        <v>13800</v>
      </c>
      <c r="Z405" s="15"/>
      <c r="AA405" s="15"/>
      <c r="AB405" s="17"/>
      <c r="AC405" s="82"/>
      <c r="AD405" s="16" t="s">
        <v>52</v>
      </c>
      <c r="AE405" s="16" t="s">
        <v>1903</v>
      </c>
      <c r="AF405" s="16"/>
      <c r="AG405" s="16"/>
      <c r="AH405" s="16"/>
      <c r="AI405" s="16">
        <v>14093</v>
      </c>
      <c r="AJ405" s="16"/>
      <c r="AK405" s="16"/>
      <c r="AL405" s="16"/>
      <c r="AM405" s="16"/>
      <c r="AN405" s="16"/>
      <c r="AO405" s="16"/>
      <c r="AP405" s="16"/>
      <c r="AR405" s="88"/>
      <c r="AS405" s="88"/>
      <c r="AU405" s="12" t="s">
        <v>1931</v>
      </c>
      <c r="AV405" s="19"/>
      <c r="AW405" s="39">
        <v>90</v>
      </c>
      <c r="AY405" s="33"/>
      <c r="AZ405" s="33"/>
      <c r="BA405" s="33"/>
    </row>
    <row r="406" spans="1:53" ht="12" customHeight="1" x14ac:dyDescent="0.2">
      <c r="A406" s="10" t="s">
        <v>2444</v>
      </c>
      <c r="B406" s="39">
        <v>103094</v>
      </c>
      <c r="C406" s="42" t="s">
        <v>3307</v>
      </c>
      <c r="D406" s="10" t="s">
        <v>2944</v>
      </c>
      <c r="E406" s="14" t="s">
        <v>1901</v>
      </c>
      <c r="F406" s="1" t="s">
        <v>394</v>
      </c>
      <c r="G406" s="1" t="s">
        <v>2445</v>
      </c>
      <c r="H406" s="1"/>
      <c r="I406" s="1">
        <v>94</v>
      </c>
      <c r="J406" s="1"/>
      <c r="K406" s="1"/>
      <c r="L406" s="1"/>
      <c r="M406" s="1"/>
      <c r="O406" s="16" t="s">
        <v>367</v>
      </c>
      <c r="P406" s="1">
        <v>1</v>
      </c>
      <c r="Q406" s="15"/>
      <c r="R406" s="15"/>
      <c r="S406" s="15"/>
      <c r="T406" s="15"/>
      <c r="U406" s="15"/>
      <c r="V406" s="1"/>
      <c r="W406" s="1"/>
      <c r="X406" s="1"/>
      <c r="Y406" s="15">
        <v>13800</v>
      </c>
      <c r="Z406" s="15"/>
      <c r="AA406" s="15"/>
      <c r="AB406" s="17"/>
      <c r="AC406" s="82"/>
      <c r="AD406" s="16" t="s">
        <v>52</v>
      </c>
      <c r="AE406" s="16" t="s">
        <v>1903</v>
      </c>
      <c r="AF406" s="16"/>
      <c r="AG406" s="16"/>
      <c r="AH406" s="16"/>
      <c r="AI406" s="16">
        <v>14094</v>
      </c>
      <c r="AJ406" s="16"/>
      <c r="AK406" s="16"/>
      <c r="AL406" s="16"/>
      <c r="AM406" s="16"/>
      <c r="AN406" s="16"/>
      <c r="AO406" s="16"/>
      <c r="AP406" s="16"/>
      <c r="AR406" s="88"/>
      <c r="AS406" s="88"/>
      <c r="AU406" s="12" t="s">
        <v>1931</v>
      </c>
      <c r="AV406" s="19"/>
      <c r="AW406" s="39">
        <v>90</v>
      </c>
      <c r="AY406" s="33"/>
      <c r="AZ406" s="33"/>
      <c r="BA406" s="33"/>
    </row>
    <row r="407" spans="1:53" ht="12" customHeight="1" x14ac:dyDescent="0.2">
      <c r="A407" s="10" t="s">
        <v>2455</v>
      </c>
      <c r="B407" s="39">
        <v>103095</v>
      </c>
      <c r="C407" s="42" t="s">
        <v>3308</v>
      </c>
      <c r="D407" s="10" t="s">
        <v>2944</v>
      </c>
      <c r="E407" s="14" t="s">
        <v>1901</v>
      </c>
      <c r="F407" s="1" t="s">
        <v>89</v>
      </c>
      <c r="G407" s="1" t="s">
        <v>2445</v>
      </c>
      <c r="H407" s="1"/>
      <c r="I407" s="1">
        <v>95</v>
      </c>
      <c r="J407" s="1"/>
      <c r="K407" s="1"/>
      <c r="L407" s="1"/>
      <c r="M407" s="1"/>
      <c r="O407" s="16" t="s">
        <v>367</v>
      </c>
      <c r="P407" s="1">
        <v>1</v>
      </c>
      <c r="Q407" s="15"/>
      <c r="R407" s="15"/>
      <c r="S407" s="15"/>
      <c r="T407" s="15"/>
      <c r="U407" s="15"/>
      <c r="V407" s="1"/>
      <c r="W407" s="1"/>
      <c r="X407" s="1"/>
      <c r="Y407" s="15">
        <v>13800</v>
      </c>
      <c r="Z407" s="15"/>
      <c r="AA407" s="15"/>
      <c r="AB407" s="17"/>
      <c r="AC407" s="82"/>
      <c r="AD407" s="16" t="s">
        <v>52</v>
      </c>
      <c r="AE407" s="16" t="s">
        <v>1903</v>
      </c>
      <c r="AF407" s="16"/>
      <c r="AG407" s="16"/>
      <c r="AH407" s="16"/>
      <c r="AI407" s="16" t="s">
        <v>2456</v>
      </c>
      <c r="AJ407" s="16"/>
      <c r="AK407" s="16"/>
      <c r="AL407" s="16"/>
      <c r="AM407" s="16"/>
      <c r="AN407" s="16"/>
      <c r="AO407" s="16"/>
      <c r="AP407" s="16"/>
      <c r="AR407" s="88"/>
      <c r="AS407" s="88"/>
      <c r="AU407" s="12" t="s">
        <v>1931</v>
      </c>
      <c r="AV407" s="19"/>
      <c r="AW407" s="39">
        <v>90</v>
      </c>
      <c r="AY407" s="33"/>
      <c r="AZ407" s="33"/>
      <c r="BA407" s="33"/>
    </row>
    <row r="408" spans="1:53" ht="12" customHeight="1" x14ac:dyDescent="0.2">
      <c r="A408" s="10" t="s">
        <v>2595</v>
      </c>
      <c r="B408" s="39">
        <v>103096</v>
      </c>
      <c r="C408" s="42" t="s">
        <v>3309</v>
      </c>
      <c r="D408" s="10" t="s">
        <v>2944</v>
      </c>
      <c r="E408" s="14" t="s">
        <v>1901</v>
      </c>
      <c r="F408" s="1" t="s">
        <v>88</v>
      </c>
      <c r="G408" s="1" t="s">
        <v>2445</v>
      </c>
      <c r="H408" s="1"/>
      <c r="I408" s="1">
        <v>96</v>
      </c>
      <c r="J408" s="1"/>
      <c r="K408" s="1"/>
      <c r="L408" s="1"/>
      <c r="M408" s="1"/>
      <c r="O408" s="16" t="s">
        <v>367</v>
      </c>
      <c r="P408" s="1">
        <v>1</v>
      </c>
      <c r="Q408" s="15"/>
      <c r="R408" s="15"/>
      <c r="S408" s="15"/>
      <c r="T408" s="15"/>
      <c r="U408" s="15"/>
      <c r="V408" s="1"/>
      <c r="W408" s="1"/>
      <c r="X408" s="1"/>
      <c r="Y408" s="15">
        <v>13800</v>
      </c>
      <c r="Z408" s="15"/>
      <c r="AA408" s="15"/>
      <c r="AB408" s="17"/>
      <c r="AC408" s="82"/>
      <c r="AD408" s="16" t="s">
        <v>52</v>
      </c>
      <c r="AE408" s="16" t="s">
        <v>1903</v>
      </c>
      <c r="AF408" s="16"/>
      <c r="AG408" s="16"/>
      <c r="AH408" s="16"/>
      <c r="AI408" s="16" t="s">
        <v>2596</v>
      </c>
      <c r="AJ408" s="16"/>
      <c r="AK408" s="16"/>
      <c r="AL408" s="16"/>
      <c r="AM408" s="16"/>
      <c r="AN408" s="16"/>
      <c r="AO408" s="16"/>
      <c r="AP408" s="16"/>
      <c r="AR408" s="88"/>
      <c r="AS408" s="88"/>
      <c r="AU408" s="12" t="s">
        <v>1931</v>
      </c>
      <c r="AV408" s="19"/>
      <c r="AW408" s="39">
        <v>90</v>
      </c>
      <c r="AY408" s="33"/>
      <c r="AZ408" s="33"/>
      <c r="BA408" s="33"/>
    </row>
    <row r="409" spans="1:53" ht="14.25" customHeight="1" x14ac:dyDescent="0.2">
      <c r="A409" s="10" t="s">
        <v>2866</v>
      </c>
      <c r="B409" s="39">
        <v>103097</v>
      </c>
      <c r="C409" s="42" t="s">
        <v>3310</v>
      </c>
      <c r="D409" s="10" t="s">
        <v>2944</v>
      </c>
      <c r="E409" s="14" t="s">
        <v>1901</v>
      </c>
      <c r="F409" s="1" t="s">
        <v>91</v>
      </c>
      <c r="G409" s="1" t="s">
        <v>2445</v>
      </c>
      <c r="H409" s="1"/>
      <c r="I409" s="1">
        <v>97</v>
      </c>
      <c r="J409" s="1"/>
      <c r="K409" s="1"/>
      <c r="L409" s="1"/>
      <c r="M409" s="1"/>
      <c r="N409" s="8">
        <v>97</v>
      </c>
      <c r="O409" s="16" t="s">
        <v>367</v>
      </c>
      <c r="P409" s="1">
        <v>1</v>
      </c>
      <c r="Q409" s="15"/>
      <c r="R409" s="15"/>
      <c r="S409" s="15"/>
      <c r="T409" s="15"/>
      <c r="U409" s="15"/>
      <c r="V409" s="1"/>
      <c r="W409" s="1"/>
      <c r="X409" s="1"/>
      <c r="Y409" s="15">
        <v>13800</v>
      </c>
      <c r="Z409" s="15"/>
      <c r="AA409" s="15"/>
      <c r="AB409" s="17"/>
      <c r="AC409" s="82"/>
      <c r="AD409" s="16" t="s">
        <v>52</v>
      </c>
      <c r="AE409" s="16" t="s">
        <v>1903</v>
      </c>
      <c r="AF409" s="16"/>
      <c r="AG409" s="16"/>
      <c r="AH409" s="16"/>
      <c r="AI409" s="16" t="s">
        <v>2867</v>
      </c>
      <c r="AJ409" s="16"/>
      <c r="AK409" s="16"/>
      <c r="AL409" s="16"/>
      <c r="AM409" s="16"/>
      <c r="AN409" s="16"/>
      <c r="AO409" s="16"/>
      <c r="AP409" s="16"/>
      <c r="AR409" s="88"/>
      <c r="AS409" s="88"/>
      <c r="AU409" s="12" t="s">
        <v>1931</v>
      </c>
      <c r="AV409" s="19"/>
      <c r="AW409" s="39">
        <v>90</v>
      </c>
      <c r="AY409" s="33"/>
      <c r="AZ409" s="33"/>
      <c r="BA409" s="33"/>
    </row>
    <row r="410" spans="1:53" ht="14.25" customHeight="1" x14ac:dyDescent="0.2">
      <c r="A410" s="10" t="s">
        <v>2885</v>
      </c>
      <c r="B410" s="39">
        <v>103098</v>
      </c>
      <c r="C410" s="42" t="s">
        <v>3311</v>
      </c>
      <c r="D410" s="10" t="s">
        <v>2944</v>
      </c>
      <c r="E410" s="14" t="s">
        <v>1901</v>
      </c>
      <c r="F410" s="1" t="s">
        <v>395</v>
      </c>
      <c r="G410" s="1" t="s">
        <v>2445</v>
      </c>
      <c r="H410" s="1"/>
      <c r="I410" s="1">
        <v>98</v>
      </c>
      <c r="J410" s="1"/>
      <c r="K410" s="1"/>
      <c r="L410" s="1"/>
      <c r="M410" s="1"/>
      <c r="N410" s="8">
        <v>97</v>
      </c>
      <c r="O410" s="16" t="s">
        <v>367</v>
      </c>
      <c r="P410" s="1">
        <v>1</v>
      </c>
      <c r="Q410" s="15"/>
      <c r="R410" s="15"/>
      <c r="S410" s="15"/>
      <c r="T410" s="15"/>
      <c r="U410" s="15"/>
      <c r="V410" s="1"/>
      <c r="W410" s="1"/>
      <c r="X410" s="1"/>
      <c r="Y410" s="15">
        <v>13800</v>
      </c>
      <c r="Z410" s="15"/>
      <c r="AA410" s="15"/>
      <c r="AB410" s="17"/>
      <c r="AC410" s="82"/>
      <c r="AD410" s="16" t="s">
        <v>52</v>
      </c>
      <c r="AE410" s="16" t="s">
        <v>1903</v>
      </c>
      <c r="AF410" s="16"/>
      <c r="AG410" s="16"/>
      <c r="AH410" s="16"/>
      <c r="AI410" s="16" t="s">
        <v>2886</v>
      </c>
      <c r="AJ410" s="16"/>
      <c r="AK410" s="16"/>
      <c r="AL410" s="16"/>
      <c r="AM410" s="16"/>
      <c r="AN410" s="16"/>
      <c r="AO410" s="16"/>
      <c r="AP410" s="16"/>
      <c r="AR410" s="88"/>
      <c r="AS410" s="88"/>
      <c r="AU410" s="12" t="s">
        <v>1931</v>
      </c>
      <c r="AV410" s="19"/>
      <c r="AW410" s="39">
        <v>90</v>
      </c>
      <c r="AY410" s="33"/>
      <c r="AZ410" s="33"/>
      <c r="BA410" s="33"/>
    </row>
    <row r="411" spans="1:53" ht="14.25" customHeight="1" x14ac:dyDescent="0.2">
      <c r="A411" s="10" t="s">
        <v>4451</v>
      </c>
      <c r="B411" s="39">
        <v>103099</v>
      </c>
      <c r="D411" s="10" t="s">
        <v>2944</v>
      </c>
      <c r="E411" s="14" t="s">
        <v>1901</v>
      </c>
      <c r="F411" s="1" t="s">
        <v>90</v>
      </c>
      <c r="G411" s="1" t="s">
        <v>2445</v>
      </c>
      <c r="H411" s="1"/>
      <c r="I411" s="1">
        <v>99</v>
      </c>
      <c r="J411" s="1"/>
      <c r="K411" s="1"/>
      <c r="L411" s="1"/>
      <c r="M411" s="1"/>
      <c r="N411" s="8">
        <v>97</v>
      </c>
      <c r="O411" s="16" t="s">
        <v>367</v>
      </c>
      <c r="P411" s="1">
        <v>1</v>
      </c>
      <c r="Q411" s="15"/>
      <c r="R411" s="15"/>
      <c r="S411" s="15"/>
      <c r="T411" s="15"/>
      <c r="U411" s="15"/>
      <c r="V411" s="1"/>
      <c r="W411" s="1"/>
      <c r="X411" s="1"/>
      <c r="Y411" s="15">
        <v>13800</v>
      </c>
      <c r="Z411" s="15"/>
      <c r="AA411" s="15"/>
      <c r="AB411" s="17"/>
      <c r="AC411" s="82"/>
      <c r="AD411" s="16" t="s">
        <v>52</v>
      </c>
      <c r="AE411" s="16" t="s">
        <v>1903</v>
      </c>
      <c r="AF411" s="16"/>
      <c r="AG411" s="16"/>
      <c r="AH411" s="16"/>
      <c r="AI411" s="16" t="s">
        <v>4452</v>
      </c>
      <c r="AJ411" s="16"/>
      <c r="AK411" s="16"/>
      <c r="AL411" s="16"/>
      <c r="AM411" s="16"/>
      <c r="AN411" s="16"/>
      <c r="AO411" s="16"/>
      <c r="AP411" s="16"/>
      <c r="AR411" s="88"/>
      <c r="AS411" s="88"/>
      <c r="AU411" s="12" t="s">
        <v>1931</v>
      </c>
      <c r="AV411" s="19"/>
      <c r="AW411" s="39">
        <v>90</v>
      </c>
      <c r="AY411" s="33"/>
      <c r="AZ411" s="33"/>
      <c r="BA411" s="33"/>
    </row>
    <row r="412" spans="1:53" ht="14.25" customHeight="1" x14ac:dyDescent="0.2">
      <c r="A412" s="10" t="s">
        <v>5611</v>
      </c>
      <c r="B412" s="39">
        <v>103100</v>
      </c>
      <c r="D412" s="10" t="s">
        <v>2944</v>
      </c>
      <c r="E412" s="14" t="s">
        <v>1901</v>
      </c>
      <c r="F412" s="1" t="s">
        <v>395</v>
      </c>
      <c r="G412" s="1" t="s">
        <v>2445</v>
      </c>
      <c r="H412" s="1"/>
      <c r="I412" s="1">
        <v>100</v>
      </c>
      <c r="J412" s="1"/>
      <c r="K412" s="1"/>
      <c r="L412" s="1"/>
      <c r="M412" s="1"/>
      <c r="O412" s="16" t="s">
        <v>367</v>
      </c>
      <c r="P412" s="1">
        <v>1</v>
      </c>
      <c r="Q412" s="15"/>
      <c r="R412" s="15"/>
      <c r="S412" s="15"/>
      <c r="T412" s="15"/>
      <c r="U412" s="15"/>
      <c r="V412" s="1"/>
      <c r="W412" s="1"/>
      <c r="X412" s="1"/>
      <c r="Y412" s="15">
        <v>13800</v>
      </c>
      <c r="Z412" s="15"/>
      <c r="AA412" s="15"/>
      <c r="AB412" s="17"/>
      <c r="AC412" s="82"/>
      <c r="AD412" s="16" t="s">
        <v>52</v>
      </c>
      <c r="AE412" s="16" t="s">
        <v>1903</v>
      </c>
      <c r="AF412" s="16"/>
      <c r="AG412" s="16"/>
      <c r="AH412" s="16"/>
      <c r="AI412" s="16" t="s">
        <v>5606</v>
      </c>
      <c r="AJ412" s="16"/>
      <c r="AK412" s="16"/>
      <c r="AL412" s="16"/>
      <c r="AM412" s="16"/>
      <c r="AN412" s="16"/>
      <c r="AO412" s="16"/>
      <c r="AP412" s="16"/>
      <c r="AR412" s="88"/>
      <c r="AS412" s="88"/>
      <c r="AU412" s="12" t="s">
        <v>1931</v>
      </c>
      <c r="AV412" s="19"/>
      <c r="AW412" s="39">
        <v>90</v>
      </c>
      <c r="AY412" s="33"/>
      <c r="AZ412" s="33"/>
      <c r="BA412" s="33"/>
    </row>
    <row r="413" spans="1:53" ht="14.25" customHeight="1" x14ac:dyDescent="0.2">
      <c r="A413" s="10" t="s">
        <v>5637</v>
      </c>
      <c r="B413" s="39">
        <v>103101</v>
      </c>
      <c r="D413" s="10" t="s">
        <v>2944</v>
      </c>
      <c r="E413" s="14" t="s">
        <v>1901</v>
      </c>
      <c r="F413" s="1" t="s">
        <v>90</v>
      </c>
      <c r="G413" s="1" t="s">
        <v>2445</v>
      </c>
      <c r="H413" s="1"/>
      <c r="I413" s="1">
        <v>101</v>
      </c>
      <c r="J413" s="1"/>
      <c r="K413" s="1"/>
      <c r="L413" s="1"/>
      <c r="M413" s="1"/>
      <c r="N413" s="8">
        <v>97</v>
      </c>
      <c r="O413" s="16" t="s">
        <v>367</v>
      </c>
      <c r="P413" s="1">
        <v>1</v>
      </c>
      <c r="Q413" s="15"/>
      <c r="R413" s="15"/>
      <c r="S413" s="15"/>
      <c r="T413" s="15"/>
      <c r="U413" s="15"/>
      <c r="V413" s="1"/>
      <c r="W413" s="1"/>
      <c r="X413" s="1"/>
      <c r="Y413" s="15">
        <v>13800</v>
      </c>
      <c r="Z413" s="15"/>
      <c r="AA413" s="15"/>
      <c r="AB413" s="17"/>
      <c r="AC413" s="82"/>
      <c r="AD413" s="16" t="s">
        <v>52</v>
      </c>
      <c r="AE413" s="16" t="s">
        <v>1903</v>
      </c>
      <c r="AF413" s="16"/>
      <c r="AG413" s="16"/>
      <c r="AH413" s="16"/>
      <c r="AI413" s="16" t="s">
        <v>5638</v>
      </c>
      <c r="AJ413" s="16"/>
      <c r="AK413" s="16"/>
      <c r="AL413" s="16"/>
      <c r="AM413" s="16"/>
      <c r="AN413" s="16"/>
      <c r="AO413" s="16"/>
      <c r="AP413" s="16"/>
      <c r="AR413" s="88"/>
      <c r="AS413" s="88"/>
      <c r="AU413" s="12" t="s">
        <v>1931</v>
      </c>
      <c r="AV413" s="19"/>
      <c r="AW413" s="39">
        <v>90</v>
      </c>
      <c r="AY413" s="33"/>
      <c r="AZ413" s="33"/>
      <c r="BA413" s="33"/>
    </row>
    <row r="414" spans="1:53" ht="14.25" customHeight="1" x14ac:dyDescent="0.2">
      <c r="A414" s="10" t="s">
        <v>5651</v>
      </c>
      <c r="B414" s="39">
        <v>103102</v>
      </c>
      <c r="D414" s="10" t="s">
        <v>2944</v>
      </c>
      <c r="E414" s="14" t="s">
        <v>1901</v>
      </c>
      <c r="F414" s="1" t="s">
        <v>394</v>
      </c>
      <c r="G414" s="1" t="s">
        <v>2445</v>
      </c>
      <c r="H414" s="1"/>
      <c r="I414" s="1">
        <v>102</v>
      </c>
      <c r="J414" s="1"/>
      <c r="K414" s="1"/>
      <c r="L414" s="1"/>
      <c r="M414" s="1"/>
      <c r="N414" s="8">
        <v>97</v>
      </c>
      <c r="O414" s="16" t="s">
        <v>367</v>
      </c>
      <c r="P414" s="1">
        <v>1</v>
      </c>
      <c r="Q414" s="15"/>
      <c r="R414" s="15"/>
      <c r="S414" s="15"/>
      <c r="T414" s="15"/>
      <c r="U414" s="15"/>
      <c r="V414" s="1"/>
      <c r="W414" s="1"/>
      <c r="X414" s="1"/>
      <c r="Y414" s="15">
        <v>13800</v>
      </c>
      <c r="Z414" s="15"/>
      <c r="AA414" s="15"/>
      <c r="AB414" s="17"/>
      <c r="AC414" s="82"/>
      <c r="AD414" s="16" t="s">
        <v>52</v>
      </c>
      <c r="AE414" s="16" t="s">
        <v>1903</v>
      </c>
      <c r="AF414" s="16"/>
      <c r="AG414" s="16"/>
      <c r="AH414" s="16"/>
      <c r="AI414" s="16" t="s">
        <v>5652</v>
      </c>
      <c r="AJ414" s="16"/>
      <c r="AK414" s="16"/>
      <c r="AL414" s="16"/>
      <c r="AM414" s="16"/>
      <c r="AN414" s="16"/>
      <c r="AO414" s="16"/>
      <c r="AP414" s="16"/>
      <c r="AR414" s="88"/>
      <c r="AS414" s="88"/>
      <c r="AU414" s="12" t="s">
        <v>1931</v>
      </c>
      <c r="AV414" s="19"/>
      <c r="AW414" s="39">
        <v>90</v>
      </c>
      <c r="AY414" s="33"/>
      <c r="AZ414" s="33"/>
      <c r="BA414" s="33"/>
    </row>
    <row r="415" spans="1:53" ht="14.25" customHeight="1" x14ac:dyDescent="0.2">
      <c r="A415" s="10" t="s">
        <v>5681</v>
      </c>
      <c r="B415" s="39">
        <v>103111</v>
      </c>
      <c r="D415" s="10" t="s">
        <v>2944</v>
      </c>
      <c r="E415" s="14" t="s">
        <v>1901</v>
      </c>
      <c r="F415" s="1" t="s">
        <v>91</v>
      </c>
      <c r="G415" s="1" t="s">
        <v>2445</v>
      </c>
      <c r="H415" s="1"/>
      <c r="I415" s="1">
        <v>111</v>
      </c>
      <c r="J415" s="1"/>
      <c r="K415" s="1"/>
      <c r="L415" s="1"/>
      <c r="M415" s="1"/>
      <c r="N415" s="8">
        <v>97</v>
      </c>
      <c r="O415" s="16" t="s">
        <v>367</v>
      </c>
      <c r="P415" s="1">
        <v>1</v>
      </c>
      <c r="Q415" s="15"/>
      <c r="R415" s="15"/>
      <c r="S415" s="15"/>
      <c r="T415" s="15"/>
      <c r="U415" s="15"/>
      <c r="V415" s="1"/>
      <c r="W415" s="1"/>
      <c r="X415" s="1"/>
      <c r="Y415" s="15">
        <v>13800</v>
      </c>
      <c r="Z415" s="15"/>
      <c r="AA415" s="15"/>
      <c r="AB415" s="17"/>
      <c r="AC415" s="82"/>
      <c r="AD415" s="16" t="s">
        <v>52</v>
      </c>
      <c r="AE415" s="16" t="s">
        <v>1903</v>
      </c>
      <c r="AF415" s="16"/>
      <c r="AG415" s="16"/>
      <c r="AH415" s="16"/>
      <c r="AI415" s="16" t="s">
        <v>5682</v>
      </c>
      <c r="AJ415" s="16"/>
      <c r="AK415" s="16"/>
      <c r="AL415" s="16"/>
      <c r="AM415" s="16"/>
      <c r="AN415" s="16"/>
      <c r="AO415" s="16"/>
      <c r="AP415" s="16"/>
      <c r="AR415" s="88"/>
      <c r="AS415" s="88"/>
      <c r="AU415" s="12" t="s">
        <v>1931</v>
      </c>
      <c r="AV415" s="19"/>
      <c r="AW415" s="39">
        <v>90</v>
      </c>
      <c r="AY415" s="33"/>
      <c r="AZ415" s="33"/>
      <c r="BA415" s="33"/>
    </row>
    <row r="416" spans="1:53" ht="12" customHeight="1" x14ac:dyDescent="0.2">
      <c r="A416" s="10" t="s">
        <v>2504</v>
      </c>
      <c r="B416" s="39">
        <v>104001</v>
      </c>
      <c r="C416" s="42" t="s">
        <v>3312</v>
      </c>
      <c r="D416" s="10" t="s">
        <v>2945</v>
      </c>
      <c r="E416" s="14" t="s">
        <v>1901</v>
      </c>
      <c r="F416" s="1" t="s">
        <v>89</v>
      </c>
      <c r="G416" s="1" t="s">
        <v>2578</v>
      </c>
      <c r="H416" s="1"/>
      <c r="I416" s="1">
        <v>1</v>
      </c>
      <c r="J416" s="1"/>
      <c r="K416" s="1"/>
      <c r="L416" s="1"/>
      <c r="M416" s="1"/>
      <c r="O416" s="16" t="s">
        <v>335</v>
      </c>
      <c r="P416" s="1">
        <v>1</v>
      </c>
      <c r="Q416" s="15"/>
      <c r="R416" s="15"/>
      <c r="S416" s="15"/>
      <c r="T416" s="15"/>
      <c r="U416" s="15"/>
      <c r="V416" s="1"/>
      <c r="W416" s="1"/>
      <c r="X416" s="1"/>
      <c r="Y416" s="15">
        <v>13800</v>
      </c>
      <c r="Z416" s="15"/>
      <c r="AA416" s="15"/>
      <c r="AB416" s="17"/>
      <c r="AC416" s="82"/>
      <c r="AD416" s="16" t="s">
        <v>98</v>
      </c>
      <c r="AE416" s="16" t="s">
        <v>1903</v>
      </c>
      <c r="AF416" s="16"/>
      <c r="AG416" s="16"/>
      <c r="AH416" s="16"/>
      <c r="AI416" s="16">
        <v>15001</v>
      </c>
      <c r="AJ416" s="16"/>
      <c r="AK416" s="16"/>
      <c r="AL416" s="16"/>
      <c r="AM416" s="16"/>
      <c r="AN416" s="16"/>
      <c r="AO416" s="16"/>
      <c r="AP416" s="16"/>
      <c r="AR416" s="88"/>
      <c r="AS416" s="88"/>
      <c r="AU416" s="12" t="s">
        <v>1931</v>
      </c>
      <c r="AV416" s="13"/>
      <c r="AW416" s="39">
        <v>90</v>
      </c>
      <c r="AY416" s="32"/>
      <c r="AZ416" s="32"/>
      <c r="BA416" s="32"/>
    </row>
    <row r="417" spans="1:53" ht="12" customHeight="1" x14ac:dyDescent="0.2">
      <c r="A417" s="10" t="s">
        <v>2505</v>
      </c>
      <c r="B417" s="39">
        <v>104002</v>
      </c>
      <c r="C417" s="42" t="s">
        <v>3313</v>
      </c>
      <c r="D417" s="10" t="s">
        <v>2945</v>
      </c>
      <c r="E417" s="14" t="s">
        <v>1901</v>
      </c>
      <c r="F417" s="1" t="s">
        <v>394</v>
      </c>
      <c r="G417" s="1" t="s">
        <v>2578</v>
      </c>
      <c r="H417" s="1"/>
      <c r="I417" s="1">
        <v>2</v>
      </c>
      <c r="J417" s="1"/>
      <c r="K417" s="1"/>
      <c r="L417" s="1"/>
      <c r="M417" s="1"/>
      <c r="O417" s="16" t="s">
        <v>335</v>
      </c>
      <c r="P417" s="1">
        <v>1</v>
      </c>
      <c r="Q417" s="15"/>
      <c r="R417" s="15"/>
      <c r="S417" s="15"/>
      <c r="T417" s="15"/>
      <c r="U417" s="15"/>
      <c r="V417" s="1"/>
      <c r="W417" s="1"/>
      <c r="X417" s="1"/>
      <c r="Y417" s="15">
        <v>13800</v>
      </c>
      <c r="Z417" s="15"/>
      <c r="AA417" s="15"/>
      <c r="AB417" s="17"/>
      <c r="AC417" s="82"/>
      <c r="AD417" s="16" t="s">
        <v>98</v>
      </c>
      <c r="AE417" s="16" t="s">
        <v>1903</v>
      </c>
      <c r="AF417" s="16"/>
      <c r="AG417" s="16"/>
      <c r="AH417" s="16"/>
      <c r="AI417" s="16">
        <v>15002</v>
      </c>
      <c r="AJ417" s="16"/>
      <c r="AK417" s="16"/>
      <c r="AL417" s="16"/>
      <c r="AM417" s="16"/>
      <c r="AN417" s="16"/>
      <c r="AO417" s="16"/>
      <c r="AP417" s="16"/>
      <c r="AR417" s="88"/>
      <c r="AS417" s="88"/>
      <c r="AU417" s="12" t="s">
        <v>1931</v>
      </c>
      <c r="AV417" s="19"/>
      <c r="AW417" s="39">
        <v>90</v>
      </c>
      <c r="AY417" s="33"/>
      <c r="AZ417" s="33"/>
      <c r="BA417" s="33"/>
    </row>
    <row r="418" spans="1:53" ht="12" customHeight="1" x14ac:dyDescent="0.2">
      <c r="A418" s="10" t="s">
        <v>2506</v>
      </c>
      <c r="B418" s="39">
        <v>104003</v>
      </c>
      <c r="C418" s="42" t="s">
        <v>3314</v>
      </c>
      <c r="D418" s="10" t="s">
        <v>2945</v>
      </c>
      <c r="E418" s="14" t="s">
        <v>1901</v>
      </c>
      <c r="F418" s="1" t="s">
        <v>395</v>
      </c>
      <c r="G418" s="1" t="s">
        <v>2578</v>
      </c>
      <c r="H418" s="1"/>
      <c r="I418" s="1">
        <v>3</v>
      </c>
      <c r="J418" s="1"/>
      <c r="K418" s="1"/>
      <c r="L418" s="1"/>
      <c r="M418" s="1"/>
      <c r="O418" s="16" t="s">
        <v>367</v>
      </c>
      <c r="P418" s="1">
        <v>1</v>
      </c>
      <c r="Q418" s="15"/>
      <c r="R418" s="15"/>
      <c r="S418" s="15"/>
      <c r="T418" s="15"/>
      <c r="U418" s="15"/>
      <c r="V418" s="1"/>
      <c r="W418" s="1"/>
      <c r="X418" s="1"/>
      <c r="Y418" s="15">
        <v>13800</v>
      </c>
      <c r="Z418" s="15"/>
      <c r="AA418" s="15"/>
      <c r="AB418" s="17"/>
      <c r="AC418" s="82"/>
      <c r="AD418" s="16" t="s">
        <v>52</v>
      </c>
      <c r="AE418" s="16" t="s">
        <v>1903</v>
      </c>
      <c r="AF418" s="16"/>
      <c r="AG418" s="16"/>
      <c r="AH418" s="16"/>
      <c r="AI418" s="16">
        <v>15003</v>
      </c>
      <c r="AJ418" s="16"/>
      <c r="AK418" s="16"/>
      <c r="AL418" s="16"/>
      <c r="AM418" s="16"/>
      <c r="AN418" s="16"/>
      <c r="AO418" s="16"/>
      <c r="AP418" s="16"/>
      <c r="AR418" s="88"/>
      <c r="AS418" s="88"/>
      <c r="AU418" s="12" t="s">
        <v>1931</v>
      </c>
      <c r="AV418" s="19"/>
      <c r="AW418" s="39">
        <v>90</v>
      </c>
      <c r="AY418" s="33"/>
      <c r="AZ418" s="33"/>
      <c r="BA418" s="33"/>
    </row>
    <row r="419" spans="1:53" ht="12" customHeight="1" x14ac:dyDescent="0.2">
      <c r="A419" s="10" t="s">
        <v>2507</v>
      </c>
      <c r="B419" s="39">
        <v>104004</v>
      </c>
      <c r="C419" s="42" t="s">
        <v>3315</v>
      </c>
      <c r="D419" s="10" t="s">
        <v>2945</v>
      </c>
      <c r="E419" s="14" t="s">
        <v>1901</v>
      </c>
      <c r="F419" s="1" t="s">
        <v>396</v>
      </c>
      <c r="G419" s="1" t="s">
        <v>2578</v>
      </c>
      <c r="H419" s="1"/>
      <c r="I419" s="1">
        <v>4</v>
      </c>
      <c r="J419" s="1"/>
      <c r="K419" s="1"/>
      <c r="L419" s="1"/>
      <c r="M419" s="1"/>
      <c r="O419" s="16" t="s">
        <v>367</v>
      </c>
      <c r="P419" s="1">
        <v>1</v>
      </c>
      <c r="Q419" s="15"/>
      <c r="R419" s="15"/>
      <c r="S419" s="15"/>
      <c r="T419" s="15"/>
      <c r="U419" s="15"/>
      <c r="V419" s="1"/>
      <c r="W419" s="1"/>
      <c r="X419" s="1"/>
      <c r="Y419" s="15">
        <v>13800</v>
      </c>
      <c r="Z419" s="15"/>
      <c r="AA419" s="15"/>
      <c r="AB419" s="17"/>
      <c r="AC419" s="82"/>
      <c r="AD419" s="16" t="s">
        <v>52</v>
      </c>
      <c r="AE419" s="16" t="s">
        <v>1903</v>
      </c>
      <c r="AF419" s="16"/>
      <c r="AG419" s="16"/>
      <c r="AH419" s="16"/>
      <c r="AI419" s="16">
        <v>15004</v>
      </c>
      <c r="AJ419" s="16"/>
      <c r="AK419" s="16"/>
      <c r="AL419" s="16"/>
      <c r="AM419" s="16"/>
      <c r="AN419" s="16"/>
      <c r="AO419" s="16"/>
      <c r="AP419" s="16"/>
      <c r="AR419" s="88"/>
      <c r="AS419" s="88"/>
      <c r="AU419" s="12" t="s">
        <v>1931</v>
      </c>
      <c r="AV419" s="19"/>
      <c r="AW419" s="39">
        <v>90</v>
      </c>
      <c r="AY419" s="33"/>
      <c r="AZ419" s="33"/>
      <c r="BA419" s="33"/>
    </row>
    <row r="420" spans="1:53" ht="12" customHeight="1" x14ac:dyDescent="0.2">
      <c r="A420" s="10" t="s">
        <v>2508</v>
      </c>
      <c r="B420" s="39">
        <v>104005</v>
      </c>
      <c r="C420" s="42" t="s">
        <v>3316</v>
      </c>
      <c r="D420" s="10" t="s">
        <v>2945</v>
      </c>
      <c r="E420" s="14" t="s">
        <v>1901</v>
      </c>
      <c r="F420" s="1" t="s">
        <v>89</v>
      </c>
      <c r="G420" s="1" t="s">
        <v>2578</v>
      </c>
      <c r="H420" s="1"/>
      <c r="I420" s="1">
        <v>5</v>
      </c>
      <c r="J420" s="1"/>
      <c r="K420" s="1"/>
      <c r="L420" s="1"/>
      <c r="M420" s="1"/>
      <c r="O420" s="16" t="s">
        <v>367</v>
      </c>
      <c r="P420" s="1">
        <v>1</v>
      </c>
      <c r="Q420" s="15"/>
      <c r="R420" s="15"/>
      <c r="S420" s="15"/>
      <c r="T420" s="15"/>
      <c r="U420" s="15"/>
      <c r="V420" s="1"/>
      <c r="W420" s="1"/>
      <c r="X420" s="1"/>
      <c r="Y420" s="15">
        <v>13800</v>
      </c>
      <c r="Z420" s="15"/>
      <c r="AA420" s="15"/>
      <c r="AB420" s="17"/>
      <c r="AC420" s="82"/>
      <c r="AD420" s="16" t="s">
        <v>52</v>
      </c>
      <c r="AE420" s="16" t="s">
        <v>1903</v>
      </c>
      <c r="AF420" s="16"/>
      <c r="AG420" s="16"/>
      <c r="AH420" s="16"/>
      <c r="AI420" s="16">
        <v>15005</v>
      </c>
      <c r="AJ420" s="16"/>
      <c r="AK420" s="16"/>
      <c r="AL420" s="16"/>
      <c r="AM420" s="16"/>
      <c r="AN420" s="16"/>
      <c r="AO420" s="16"/>
      <c r="AP420" s="16"/>
      <c r="AR420" s="88"/>
      <c r="AS420" s="88"/>
      <c r="AU420" s="12" t="s">
        <v>1931</v>
      </c>
      <c r="AV420" s="19"/>
      <c r="AW420" s="39">
        <v>90</v>
      </c>
      <c r="AY420" s="33"/>
      <c r="AZ420" s="33"/>
      <c r="BA420" s="33"/>
    </row>
    <row r="421" spans="1:53" ht="12" customHeight="1" x14ac:dyDescent="0.2">
      <c r="A421" s="10" t="s">
        <v>2509</v>
      </c>
      <c r="B421" s="39">
        <v>104006</v>
      </c>
      <c r="C421" s="42" t="s">
        <v>3317</v>
      </c>
      <c r="D421" s="10" t="s">
        <v>2945</v>
      </c>
      <c r="E421" s="14" t="s">
        <v>1901</v>
      </c>
      <c r="F421" s="1" t="s">
        <v>88</v>
      </c>
      <c r="G421" s="1" t="s">
        <v>2578</v>
      </c>
      <c r="H421" s="1"/>
      <c r="I421" s="1">
        <v>6</v>
      </c>
      <c r="J421" s="1"/>
      <c r="K421" s="1"/>
      <c r="L421" s="1"/>
      <c r="M421" s="1"/>
      <c r="O421" s="16" t="s">
        <v>367</v>
      </c>
      <c r="P421" s="1">
        <v>1</v>
      </c>
      <c r="Q421" s="15"/>
      <c r="R421" s="15"/>
      <c r="S421" s="15"/>
      <c r="T421" s="15"/>
      <c r="U421" s="15"/>
      <c r="V421" s="1"/>
      <c r="W421" s="1"/>
      <c r="X421" s="1"/>
      <c r="Y421" s="15">
        <v>13800</v>
      </c>
      <c r="Z421" s="15"/>
      <c r="AA421" s="15"/>
      <c r="AB421" s="17"/>
      <c r="AC421" s="82"/>
      <c r="AD421" s="16" t="s">
        <v>52</v>
      </c>
      <c r="AE421" s="16" t="s">
        <v>1903</v>
      </c>
      <c r="AF421" s="16"/>
      <c r="AG421" s="16"/>
      <c r="AH421" s="16"/>
      <c r="AI421" s="16">
        <v>15006</v>
      </c>
      <c r="AJ421" s="16"/>
      <c r="AK421" s="16"/>
      <c r="AL421" s="16"/>
      <c r="AM421" s="16"/>
      <c r="AN421" s="16"/>
      <c r="AO421" s="16"/>
      <c r="AP421" s="16"/>
      <c r="AR421" s="88"/>
      <c r="AS421" s="88"/>
      <c r="AU421" s="12" t="s">
        <v>1931</v>
      </c>
      <c r="AV421" s="19"/>
      <c r="AW421" s="39">
        <v>90</v>
      </c>
      <c r="AY421" s="33"/>
      <c r="AZ421" s="33"/>
      <c r="BA421" s="33"/>
    </row>
    <row r="422" spans="1:53" ht="12" customHeight="1" x14ac:dyDescent="0.2">
      <c r="A422" s="10" t="s">
        <v>2510</v>
      </c>
      <c r="B422" s="39">
        <v>104007</v>
      </c>
      <c r="C422" s="42" t="s">
        <v>3318</v>
      </c>
      <c r="D422" s="10" t="s">
        <v>2945</v>
      </c>
      <c r="E422" s="14" t="s">
        <v>1901</v>
      </c>
      <c r="F422" s="1" t="s">
        <v>91</v>
      </c>
      <c r="G422" s="1" t="s">
        <v>2578</v>
      </c>
      <c r="H422" s="1"/>
      <c r="I422" s="1">
        <v>7</v>
      </c>
      <c r="J422" s="1"/>
      <c r="K422" s="1"/>
      <c r="L422" s="1"/>
      <c r="M422" s="1"/>
      <c r="O422" s="16" t="s">
        <v>367</v>
      </c>
      <c r="P422" s="1">
        <v>1</v>
      </c>
      <c r="Q422" s="15"/>
      <c r="R422" s="15"/>
      <c r="S422" s="15"/>
      <c r="T422" s="15"/>
      <c r="U422" s="15"/>
      <c r="V422" s="1"/>
      <c r="W422" s="1"/>
      <c r="X422" s="1"/>
      <c r="Y422" s="15">
        <v>13800</v>
      </c>
      <c r="Z422" s="15"/>
      <c r="AA422" s="15"/>
      <c r="AB422" s="17"/>
      <c r="AC422" s="82"/>
      <c r="AD422" s="16" t="s">
        <v>52</v>
      </c>
      <c r="AE422" s="16" t="s">
        <v>1903</v>
      </c>
      <c r="AF422" s="16"/>
      <c r="AG422" s="16"/>
      <c r="AH422" s="16"/>
      <c r="AI422" s="16">
        <v>15007</v>
      </c>
      <c r="AJ422" s="16"/>
      <c r="AK422" s="16"/>
      <c r="AL422" s="16"/>
      <c r="AM422" s="16"/>
      <c r="AN422" s="16"/>
      <c r="AO422" s="16"/>
      <c r="AP422" s="16"/>
      <c r="AR422" s="88"/>
      <c r="AS422" s="88"/>
      <c r="AU422" s="12" t="s">
        <v>1931</v>
      </c>
      <c r="AV422" s="19"/>
      <c r="AW422" s="39">
        <v>90</v>
      </c>
      <c r="AY422" s="33"/>
      <c r="AZ422" s="33"/>
      <c r="BA422" s="33"/>
    </row>
    <row r="423" spans="1:53" ht="12" customHeight="1" x14ac:dyDescent="0.2">
      <c r="A423" s="10" t="s">
        <v>2511</v>
      </c>
      <c r="B423" s="39">
        <v>104008</v>
      </c>
      <c r="C423" s="42" t="s">
        <v>3319</v>
      </c>
      <c r="D423" s="10" t="s">
        <v>2945</v>
      </c>
      <c r="E423" s="14" t="s">
        <v>1901</v>
      </c>
      <c r="F423" s="1" t="s">
        <v>394</v>
      </c>
      <c r="G423" s="1" t="s">
        <v>2578</v>
      </c>
      <c r="H423" s="1"/>
      <c r="I423" s="1">
        <v>8</v>
      </c>
      <c r="J423" s="1"/>
      <c r="K423" s="1"/>
      <c r="L423" s="1"/>
      <c r="M423" s="1"/>
      <c r="O423" s="16" t="s">
        <v>367</v>
      </c>
      <c r="P423" s="1">
        <v>1</v>
      </c>
      <c r="Q423" s="15"/>
      <c r="R423" s="15"/>
      <c r="S423" s="15"/>
      <c r="T423" s="15"/>
      <c r="U423" s="15"/>
      <c r="V423" s="1"/>
      <c r="W423" s="1"/>
      <c r="X423" s="1"/>
      <c r="Y423" s="15">
        <v>13800</v>
      </c>
      <c r="Z423" s="15"/>
      <c r="AA423" s="15"/>
      <c r="AB423" s="17"/>
      <c r="AC423" s="82"/>
      <c r="AD423" s="16" t="s">
        <v>52</v>
      </c>
      <c r="AE423" s="16" t="s">
        <v>1903</v>
      </c>
      <c r="AF423" s="16"/>
      <c r="AG423" s="16"/>
      <c r="AH423" s="16"/>
      <c r="AI423" s="16">
        <v>15008</v>
      </c>
      <c r="AJ423" s="16"/>
      <c r="AK423" s="16"/>
      <c r="AL423" s="16"/>
      <c r="AM423" s="16"/>
      <c r="AN423" s="16"/>
      <c r="AO423" s="16"/>
      <c r="AP423" s="16"/>
      <c r="AR423" s="88"/>
      <c r="AS423" s="88"/>
      <c r="AU423" s="12" t="s">
        <v>1931</v>
      </c>
      <c r="AV423" s="19"/>
      <c r="AW423" s="39">
        <v>90</v>
      </c>
      <c r="AY423" s="33"/>
      <c r="AZ423" s="33"/>
      <c r="BA423" s="33"/>
    </row>
    <row r="424" spans="1:53" ht="12" customHeight="1" x14ac:dyDescent="0.2">
      <c r="A424" s="10" t="s">
        <v>2512</v>
      </c>
      <c r="B424" s="39">
        <v>104009</v>
      </c>
      <c r="C424" s="42" t="s">
        <v>3320</v>
      </c>
      <c r="D424" s="10" t="s">
        <v>2945</v>
      </c>
      <c r="E424" s="14" t="s">
        <v>1901</v>
      </c>
      <c r="F424" s="1" t="s">
        <v>396</v>
      </c>
      <c r="G424" s="1" t="s">
        <v>2578</v>
      </c>
      <c r="H424" s="1"/>
      <c r="I424" s="1">
        <v>9</v>
      </c>
      <c r="J424" s="1"/>
      <c r="K424" s="1"/>
      <c r="L424" s="1"/>
      <c r="M424" s="1"/>
      <c r="O424" s="16" t="s">
        <v>367</v>
      </c>
      <c r="P424" s="1">
        <v>1</v>
      </c>
      <c r="Q424" s="15"/>
      <c r="R424" s="15"/>
      <c r="S424" s="15"/>
      <c r="T424" s="15"/>
      <c r="U424" s="15"/>
      <c r="V424" s="1"/>
      <c r="W424" s="1"/>
      <c r="X424" s="1"/>
      <c r="Y424" s="15">
        <v>13800</v>
      </c>
      <c r="Z424" s="15"/>
      <c r="AA424" s="15"/>
      <c r="AB424" s="17"/>
      <c r="AC424" s="82"/>
      <c r="AD424" s="16" t="s">
        <v>52</v>
      </c>
      <c r="AE424" s="16" t="s">
        <v>1903</v>
      </c>
      <c r="AF424" s="16"/>
      <c r="AG424" s="16"/>
      <c r="AH424" s="16"/>
      <c r="AI424" s="16">
        <v>15009</v>
      </c>
      <c r="AJ424" s="16"/>
      <c r="AK424" s="16"/>
      <c r="AL424" s="16"/>
      <c r="AM424" s="16"/>
      <c r="AN424" s="16"/>
      <c r="AO424" s="16"/>
      <c r="AP424" s="16"/>
      <c r="AR424" s="88"/>
      <c r="AS424" s="88"/>
      <c r="AU424" s="12" t="s">
        <v>1931</v>
      </c>
      <c r="AV424" s="19"/>
      <c r="AW424" s="39">
        <v>90</v>
      </c>
      <c r="AY424" s="33"/>
      <c r="AZ424" s="33"/>
      <c r="BA424" s="33"/>
    </row>
    <row r="425" spans="1:53" ht="12" customHeight="1" x14ac:dyDescent="0.2">
      <c r="A425" s="10" t="s">
        <v>2513</v>
      </c>
      <c r="B425" s="39">
        <v>104010</v>
      </c>
      <c r="C425" s="42" t="s">
        <v>3321</v>
      </c>
      <c r="D425" s="10" t="s">
        <v>2945</v>
      </c>
      <c r="E425" s="14" t="s">
        <v>1901</v>
      </c>
      <c r="F425" s="1" t="s">
        <v>90</v>
      </c>
      <c r="G425" s="1" t="s">
        <v>2578</v>
      </c>
      <c r="H425" s="1"/>
      <c r="I425" s="1">
        <v>10</v>
      </c>
      <c r="J425" s="1"/>
      <c r="K425" s="1"/>
      <c r="L425" s="1"/>
      <c r="M425" s="1"/>
      <c r="O425" s="16" t="s">
        <v>367</v>
      </c>
      <c r="P425" s="1">
        <v>1</v>
      </c>
      <c r="Q425" s="15"/>
      <c r="R425" s="15"/>
      <c r="S425" s="15"/>
      <c r="T425" s="15"/>
      <c r="U425" s="15"/>
      <c r="V425" s="1"/>
      <c r="W425" s="1"/>
      <c r="X425" s="1"/>
      <c r="Y425" s="15">
        <v>13800</v>
      </c>
      <c r="Z425" s="15"/>
      <c r="AA425" s="15"/>
      <c r="AB425" s="17"/>
      <c r="AC425" s="82"/>
      <c r="AD425" s="16" t="s">
        <v>52</v>
      </c>
      <c r="AE425" s="16" t="s">
        <v>1903</v>
      </c>
      <c r="AF425" s="16"/>
      <c r="AG425" s="16"/>
      <c r="AH425" s="16"/>
      <c r="AI425" s="16">
        <v>15010</v>
      </c>
      <c r="AJ425" s="16"/>
      <c r="AK425" s="16"/>
      <c r="AL425" s="16"/>
      <c r="AM425" s="16"/>
      <c r="AN425" s="16"/>
      <c r="AO425" s="16"/>
      <c r="AP425" s="16"/>
      <c r="AR425" s="88"/>
      <c r="AS425" s="88"/>
      <c r="AU425" s="12" t="s">
        <v>1931</v>
      </c>
      <c r="AV425" s="19"/>
      <c r="AW425" s="39">
        <v>90</v>
      </c>
      <c r="AY425" s="33"/>
      <c r="AZ425" s="33"/>
      <c r="BA425" s="33"/>
    </row>
    <row r="426" spans="1:53" ht="12" customHeight="1" x14ac:dyDescent="0.2">
      <c r="A426" s="10" t="s">
        <v>2514</v>
      </c>
      <c r="B426" s="39">
        <v>104011</v>
      </c>
      <c r="C426" s="42" t="s">
        <v>3322</v>
      </c>
      <c r="D426" s="10" t="s">
        <v>2945</v>
      </c>
      <c r="E426" s="14" t="s">
        <v>1901</v>
      </c>
      <c r="F426" s="1" t="s">
        <v>395</v>
      </c>
      <c r="G426" s="1" t="s">
        <v>2578</v>
      </c>
      <c r="H426" s="1"/>
      <c r="I426" s="1">
        <v>11</v>
      </c>
      <c r="J426" s="1"/>
      <c r="K426" s="1"/>
      <c r="L426" s="1"/>
      <c r="M426" s="1"/>
      <c r="O426" s="16" t="s">
        <v>367</v>
      </c>
      <c r="P426" s="1">
        <v>1</v>
      </c>
      <c r="Q426" s="15"/>
      <c r="R426" s="15"/>
      <c r="S426" s="15"/>
      <c r="T426" s="15"/>
      <c r="U426" s="15"/>
      <c r="V426" s="1"/>
      <c r="W426" s="1"/>
      <c r="X426" s="1"/>
      <c r="Y426" s="15">
        <v>13800</v>
      </c>
      <c r="Z426" s="15"/>
      <c r="AA426" s="15"/>
      <c r="AB426" s="17"/>
      <c r="AC426" s="82"/>
      <c r="AD426" s="16" t="s">
        <v>52</v>
      </c>
      <c r="AE426" s="16" t="s">
        <v>1903</v>
      </c>
      <c r="AF426" s="16"/>
      <c r="AG426" s="16"/>
      <c r="AH426" s="16"/>
      <c r="AI426" s="16">
        <v>15011</v>
      </c>
      <c r="AJ426" s="16"/>
      <c r="AK426" s="16"/>
      <c r="AL426" s="16"/>
      <c r="AM426" s="16"/>
      <c r="AN426" s="16"/>
      <c r="AO426" s="16"/>
      <c r="AP426" s="16"/>
      <c r="AR426" s="88"/>
      <c r="AS426" s="88"/>
      <c r="AU426" s="12" t="s">
        <v>1931</v>
      </c>
      <c r="AV426" s="19"/>
      <c r="AW426" s="39">
        <v>90</v>
      </c>
      <c r="AY426" s="33"/>
      <c r="AZ426" s="33"/>
      <c r="BA426" s="33"/>
    </row>
    <row r="427" spans="1:53" ht="12" customHeight="1" x14ac:dyDescent="0.2">
      <c r="A427" s="10" t="s">
        <v>2515</v>
      </c>
      <c r="B427" s="39">
        <v>104012</v>
      </c>
      <c r="C427" s="42" t="s">
        <v>3323</v>
      </c>
      <c r="D427" s="10" t="s">
        <v>2945</v>
      </c>
      <c r="E427" s="14" t="s">
        <v>1901</v>
      </c>
      <c r="F427" s="1" t="s">
        <v>91</v>
      </c>
      <c r="G427" s="1" t="s">
        <v>2578</v>
      </c>
      <c r="H427" s="1"/>
      <c r="I427" s="1">
        <v>12</v>
      </c>
      <c r="J427" s="1"/>
      <c r="K427" s="1"/>
      <c r="L427" s="1"/>
      <c r="M427" s="1"/>
      <c r="O427" s="16" t="s">
        <v>367</v>
      </c>
      <c r="P427" s="1">
        <v>1</v>
      </c>
      <c r="Q427" s="15"/>
      <c r="R427" s="15"/>
      <c r="S427" s="15"/>
      <c r="T427" s="15"/>
      <c r="U427" s="15"/>
      <c r="V427" s="1"/>
      <c r="W427" s="1"/>
      <c r="X427" s="1"/>
      <c r="Y427" s="15">
        <v>13800</v>
      </c>
      <c r="Z427" s="15"/>
      <c r="AA427" s="15"/>
      <c r="AB427" s="17"/>
      <c r="AC427" s="82"/>
      <c r="AD427" s="16" t="s">
        <v>52</v>
      </c>
      <c r="AE427" s="16" t="s">
        <v>1903</v>
      </c>
      <c r="AF427" s="16"/>
      <c r="AG427" s="16"/>
      <c r="AH427" s="16"/>
      <c r="AI427" s="16">
        <v>15012</v>
      </c>
      <c r="AJ427" s="16"/>
      <c r="AK427" s="16"/>
      <c r="AL427" s="16"/>
      <c r="AM427" s="16"/>
      <c r="AN427" s="16"/>
      <c r="AO427" s="16"/>
      <c r="AP427" s="16"/>
      <c r="AR427" s="88"/>
      <c r="AS427" s="88"/>
      <c r="AU427" s="12" t="s">
        <v>1931</v>
      </c>
      <c r="AV427" s="19"/>
      <c r="AW427" s="39">
        <v>90</v>
      </c>
      <c r="AY427" s="33"/>
      <c r="AZ427" s="33"/>
      <c r="BA427" s="33"/>
    </row>
    <row r="428" spans="1:53" ht="12" customHeight="1" x14ac:dyDescent="0.2">
      <c r="A428" s="10" t="s">
        <v>2516</v>
      </c>
      <c r="B428" s="39">
        <v>104013</v>
      </c>
      <c r="C428" s="42" t="s">
        <v>3324</v>
      </c>
      <c r="D428" s="10" t="s">
        <v>2945</v>
      </c>
      <c r="E428" s="14" t="s">
        <v>1901</v>
      </c>
      <c r="F428" s="1" t="s">
        <v>395</v>
      </c>
      <c r="G428" s="1" t="s">
        <v>2578</v>
      </c>
      <c r="H428" s="1"/>
      <c r="I428" s="1">
        <v>13</v>
      </c>
      <c r="J428" s="1"/>
      <c r="K428" s="1"/>
      <c r="L428" s="1"/>
      <c r="M428" s="1"/>
      <c r="O428" s="16" t="s">
        <v>367</v>
      </c>
      <c r="P428" s="1">
        <v>1</v>
      </c>
      <c r="Q428" s="15"/>
      <c r="R428" s="15"/>
      <c r="S428" s="15"/>
      <c r="T428" s="15"/>
      <c r="U428" s="15"/>
      <c r="V428" s="1"/>
      <c r="W428" s="1"/>
      <c r="X428" s="1"/>
      <c r="Y428" s="15">
        <v>13800</v>
      </c>
      <c r="Z428" s="15"/>
      <c r="AA428" s="15"/>
      <c r="AB428" s="17"/>
      <c r="AC428" s="82"/>
      <c r="AD428" s="16" t="s">
        <v>52</v>
      </c>
      <c r="AE428" s="16" t="s">
        <v>1903</v>
      </c>
      <c r="AF428" s="16"/>
      <c r="AG428" s="16"/>
      <c r="AH428" s="16"/>
      <c r="AI428" s="89">
        <v>15013</v>
      </c>
      <c r="AJ428" s="16"/>
      <c r="AK428" s="16"/>
      <c r="AL428" s="16"/>
      <c r="AM428" s="16"/>
      <c r="AN428" s="16"/>
      <c r="AO428" s="16"/>
      <c r="AP428" s="16"/>
      <c r="AR428" s="88"/>
      <c r="AS428" s="88"/>
      <c r="AU428" s="12" t="s">
        <v>1931</v>
      </c>
      <c r="AV428" s="19"/>
      <c r="AW428" s="39">
        <v>90</v>
      </c>
      <c r="AY428" s="33"/>
      <c r="AZ428" s="33"/>
      <c r="BA428" s="33"/>
    </row>
    <row r="429" spans="1:53" ht="12" customHeight="1" x14ac:dyDescent="0.2">
      <c r="A429" s="10" t="s">
        <v>2517</v>
      </c>
      <c r="B429" s="39">
        <v>104014</v>
      </c>
      <c r="C429" s="42" t="e">
        <v>#N/A</v>
      </c>
      <c r="D429" s="10" t="s">
        <v>2945</v>
      </c>
      <c r="E429" s="14" t="s">
        <v>1901</v>
      </c>
      <c r="F429" s="1" t="s">
        <v>90</v>
      </c>
      <c r="G429" s="1" t="s">
        <v>2578</v>
      </c>
      <c r="H429" s="1"/>
      <c r="I429" s="1">
        <v>14</v>
      </c>
      <c r="J429" s="1"/>
      <c r="K429" s="1"/>
      <c r="L429" s="1"/>
      <c r="M429" s="1"/>
      <c r="O429" s="16" t="s">
        <v>367</v>
      </c>
      <c r="P429" s="1">
        <v>1</v>
      </c>
      <c r="Q429" s="15"/>
      <c r="R429" s="15"/>
      <c r="S429" s="15"/>
      <c r="T429" s="15"/>
      <c r="U429" s="15"/>
      <c r="V429" s="1"/>
      <c r="W429" s="1"/>
      <c r="X429" s="1"/>
      <c r="Y429" s="15">
        <v>13800</v>
      </c>
      <c r="Z429" s="15"/>
      <c r="AA429" s="15"/>
      <c r="AB429" s="17"/>
      <c r="AC429" s="82"/>
      <c r="AD429" s="16" t="s">
        <v>52</v>
      </c>
      <c r="AE429" s="16" t="s">
        <v>1903</v>
      </c>
      <c r="AF429" s="16"/>
      <c r="AG429" s="16"/>
      <c r="AH429" s="16"/>
      <c r="AI429" s="16" t="s">
        <v>2604</v>
      </c>
      <c r="AJ429" s="16"/>
      <c r="AK429" s="16"/>
      <c r="AL429" s="16"/>
      <c r="AM429" s="16"/>
      <c r="AN429" s="16"/>
      <c r="AO429" s="16"/>
      <c r="AP429" s="16"/>
      <c r="AR429" s="88"/>
      <c r="AS429" s="88"/>
      <c r="AU429" s="12" t="s">
        <v>1931</v>
      </c>
      <c r="AV429" s="19"/>
      <c r="AW429" s="39">
        <v>90</v>
      </c>
      <c r="AY429" s="33"/>
      <c r="AZ429" s="33"/>
      <c r="BA429" s="33"/>
    </row>
    <row r="430" spans="1:53" ht="12" customHeight="1" x14ac:dyDescent="0.2">
      <c r="A430" s="10" t="s">
        <v>2518</v>
      </c>
      <c r="B430" s="39">
        <v>104015</v>
      </c>
      <c r="C430" s="42" t="s">
        <v>3325</v>
      </c>
      <c r="D430" s="10" t="s">
        <v>2945</v>
      </c>
      <c r="E430" s="14" t="s">
        <v>1901</v>
      </c>
      <c r="F430" s="1" t="s">
        <v>88</v>
      </c>
      <c r="G430" s="1" t="s">
        <v>2578</v>
      </c>
      <c r="H430" s="1"/>
      <c r="I430" s="1">
        <v>15</v>
      </c>
      <c r="J430" s="1"/>
      <c r="K430" s="1"/>
      <c r="L430" s="1"/>
      <c r="M430" s="1"/>
      <c r="O430" s="16" t="s">
        <v>367</v>
      </c>
      <c r="P430" s="1">
        <v>1</v>
      </c>
      <c r="Q430" s="15"/>
      <c r="R430" s="15"/>
      <c r="S430" s="15"/>
      <c r="T430" s="15"/>
      <c r="U430" s="15"/>
      <c r="V430" s="1"/>
      <c r="W430" s="1"/>
      <c r="X430" s="1"/>
      <c r="Y430" s="15">
        <v>13800</v>
      </c>
      <c r="Z430" s="15"/>
      <c r="AA430" s="15"/>
      <c r="AB430" s="17"/>
      <c r="AC430" s="82"/>
      <c r="AD430" s="16" t="s">
        <v>52</v>
      </c>
      <c r="AE430" s="16" t="s">
        <v>1903</v>
      </c>
      <c r="AF430" s="16"/>
      <c r="AG430" s="16"/>
      <c r="AH430" s="16"/>
      <c r="AI430" s="16">
        <v>15015</v>
      </c>
      <c r="AJ430" s="16"/>
      <c r="AK430" s="16"/>
      <c r="AL430" s="16"/>
      <c r="AM430" s="16"/>
      <c r="AN430" s="16"/>
      <c r="AO430" s="16"/>
      <c r="AP430" s="16"/>
      <c r="AR430" s="88"/>
      <c r="AS430" s="88"/>
      <c r="AU430" s="12" t="s">
        <v>1931</v>
      </c>
      <c r="AV430" s="19"/>
      <c r="AW430" s="39">
        <v>90</v>
      </c>
      <c r="AY430" s="33"/>
      <c r="AZ430" s="33"/>
      <c r="BA430" s="33"/>
    </row>
    <row r="431" spans="1:53" ht="12" customHeight="1" x14ac:dyDescent="0.2">
      <c r="A431" s="10" t="s">
        <v>2519</v>
      </c>
      <c r="B431" s="39">
        <v>104016</v>
      </c>
      <c r="C431" s="42" t="s">
        <v>3326</v>
      </c>
      <c r="D431" s="10" t="s">
        <v>2945</v>
      </c>
      <c r="E431" s="14" t="s">
        <v>1901</v>
      </c>
      <c r="F431" s="1" t="s">
        <v>394</v>
      </c>
      <c r="G431" s="1" t="s">
        <v>2578</v>
      </c>
      <c r="H431" s="1"/>
      <c r="I431" s="1">
        <v>16</v>
      </c>
      <c r="J431" s="1"/>
      <c r="K431" s="1"/>
      <c r="L431" s="1"/>
      <c r="M431" s="1"/>
      <c r="O431" s="16" t="s">
        <v>367</v>
      </c>
      <c r="P431" s="1">
        <v>1</v>
      </c>
      <c r="Q431" s="15"/>
      <c r="R431" s="15"/>
      <c r="S431" s="15"/>
      <c r="T431" s="15"/>
      <c r="U431" s="15"/>
      <c r="V431" s="1"/>
      <c r="W431" s="1"/>
      <c r="X431" s="1"/>
      <c r="Y431" s="15">
        <v>13800</v>
      </c>
      <c r="Z431" s="15"/>
      <c r="AA431" s="15"/>
      <c r="AB431" s="17"/>
      <c r="AC431" s="82"/>
      <c r="AD431" s="16" t="s">
        <v>52</v>
      </c>
      <c r="AE431" s="16" t="s">
        <v>1903</v>
      </c>
      <c r="AF431" s="16"/>
      <c r="AG431" s="16"/>
      <c r="AH431" s="16"/>
      <c r="AI431" s="16">
        <v>15016</v>
      </c>
      <c r="AJ431" s="16"/>
      <c r="AK431" s="16"/>
      <c r="AL431" s="16"/>
      <c r="AM431" s="16"/>
      <c r="AN431" s="16"/>
      <c r="AO431" s="16"/>
      <c r="AP431" s="16"/>
      <c r="AR431" s="88"/>
      <c r="AS431" s="88"/>
      <c r="AU431" s="12" t="s">
        <v>1931</v>
      </c>
      <c r="AV431" s="19"/>
      <c r="AW431" s="39">
        <v>90</v>
      </c>
      <c r="AY431" s="33"/>
      <c r="AZ431" s="33"/>
      <c r="BA431" s="33"/>
    </row>
    <row r="432" spans="1:53" ht="12" customHeight="1" x14ac:dyDescent="0.2">
      <c r="A432" s="10" t="s">
        <v>2520</v>
      </c>
      <c r="B432" s="39">
        <v>104017</v>
      </c>
      <c r="C432" s="42" t="s">
        <v>3327</v>
      </c>
      <c r="D432" s="10" t="s">
        <v>2945</v>
      </c>
      <c r="E432" s="14" t="s">
        <v>1901</v>
      </c>
      <c r="F432" s="1" t="s">
        <v>90</v>
      </c>
      <c r="G432" s="1" t="s">
        <v>2578</v>
      </c>
      <c r="H432" s="1"/>
      <c r="I432" s="1">
        <v>17</v>
      </c>
      <c r="J432" s="1"/>
      <c r="K432" s="1"/>
      <c r="L432" s="1"/>
      <c r="M432" s="1"/>
      <c r="O432" s="16" t="s">
        <v>367</v>
      </c>
      <c r="P432" s="1">
        <v>1</v>
      </c>
      <c r="Q432" s="15"/>
      <c r="R432" s="15"/>
      <c r="S432" s="15"/>
      <c r="T432" s="15"/>
      <c r="U432" s="15"/>
      <c r="V432" s="1"/>
      <c r="W432" s="1"/>
      <c r="X432" s="1"/>
      <c r="Y432" s="15">
        <v>13800</v>
      </c>
      <c r="Z432" s="15"/>
      <c r="AA432" s="15"/>
      <c r="AB432" s="17"/>
      <c r="AC432" s="82"/>
      <c r="AD432" s="16" t="s">
        <v>52</v>
      </c>
      <c r="AE432" s="16" t="s">
        <v>1903</v>
      </c>
      <c r="AF432" s="16"/>
      <c r="AG432" s="16"/>
      <c r="AH432" s="16"/>
      <c r="AI432" s="16">
        <v>15017</v>
      </c>
      <c r="AJ432" s="16"/>
      <c r="AK432" s="16"/>
      <c r="AL432" s="16"/>
      <c r="AM432" s="16"/>
      <c r="AN432" s="16"/>
      <c r="AO432" s="16"/>
      <c r="AP432" s="16"/>
      <c r="AR432" s="88"/>
      <c r="AS432" s="88"/>
      <c r="AU432" s="12" t="s">
        <v>1931</v>
      </c>
      <c r="AV432" s="19"/>
      <c r="AW432" s="39">
        <v>90</v>
      </c>
      <c r="AY432" s="33"/>
      <c r="AZ432" s="33"/>
      <c r="BA432" s="33"/>
    </row>
    <row r="433" spans="1:53" ht="12" customHeight="1" x14ac:dyDescent="0.2">
      <c r="A433" s="10" t="s">
        <v>2521</v>
      </c>
      <c r="B433" s="39">
        <v>104018</v>
      </c>
      <c r="C433" s="42" t="s">
        <v>3328</v>
      </c>
      <c r="D433" s="10" t="s">
        <v>2945</v>
      </c>
      <c r="E433" s="14" t="s">
        <v>1901</v>
      </c>
      <c r="F433" s="1" t="s">
        <v>396</v>
      </c>
      <c r="G433" s="1" t="s">
        <v>2578</v>
      </c>
      <c r="H433" s="1"/>
      <c r="I433" s="1">
        <v>18</v>
      </c>
      <c r="J433" s="1"/>
      <c r="K433" s="1"/>
      <c r="L433" s="1"/>
      <c r="M433" s="1"/>
      <c r="O433" s="16" t="s">
        <v>367</v>
      </c>
      <c r="P433" s="1">
        <v>1</v>
      </c>
      <c r="Q433" s="15"/>
      <c r="R433" s="15"/>
      <c r="S433" s="15"/>
      <c r="T433" s="15"/>
      <c r="U433" s="15"/>
      <c r="V433" s="1"/>
      <c r="W433" s="1"/>
      <c r="X433" s="1"/>
      <c r="Y433" s="15">
        <v>13800</v>
      </c>
      <c r="Z433" s="15"/>
      <c r="AA433" s="15"/>
      <c r="AB433" s="17"/>
      <c r="AC433" s="82"/>
      <c r="AD433" s="16" t="s">
        <v>52</v>
      </c>
      <c r="AE433" s="16" t="s">
        <v>1903</v>
      </c>
      <c r="AF433" s="16"/>
      <c r="AG433" s="16"/>
      <c r="AH433" s="16"/>
      <c r="AI433" s="16">
        <v>15018</v>
      </c>
      <c r="AJ433" s="16"/>
      <c r="AK433" s="16"/>
      <c r="AL433" s="16"/>
      <c r="AM433" s="16"/>
      <c r="AN433" s="16"/>
      <c r="AO433" s="16"/>
      <c r="AP433" s="16"/>
      <c r="AR433" s="88"/>
      <c r="AS433" s="88"/>
      <c r="AU433" s="12" t="s">
        <v>1931</v>
      </c>
      <c r="AV433" s="19"/>
      <c r="AW433" s="39">
        <v>90</v>
      </c>
      <c r="AY433" s="33"/>
      <c r="AZ433" s="33"/>
      <c r="BA433" s="33"/>
    </row>
    <row r="434" spans="1:53" ht="12" customHeight="1" x14ac:dyDescent="0.2">
      <c r="A434" s="10" t="s">
        <v>2522</v>
      </c>
      <c r="B434" s="39">
        <v>104019</v>
      </c>
      <c r="C434" s="42" t="s">
        <v>3329</v>
      </c>
      <c r="D434" s="10" t="s">
        <v>2945</v>
      </c>
      <c r="E434" s="14" t="s">
        <v>1901</v>
      </c>
      <c r="F434" s="1" t="s">
        <v>395</v>
      </c>
      <c r="G434" s="1" t="s">
        <v>2578</v>
      </c>
      <c r="H434" s="1"/>
      <c r="I434" s="1">
        <v>19</v>
      </c>
      <c r="J434" s="1"/>
      <c r="K434" s="1"/>
      <c r="L434" s="1"/>
      <c r="M434" s="1"/>
      <c r="O434" s="16" t="s">
        <v>367</v>
      </c>
      <c r="P434" s="1">
        <v>1</v>
      </c>
      <c r="Q434" s="15"/>
      <c r="R434" s="15"/>
      <c r="S434" s="15"/>
      <c r="T434" s="15"/>
      <c r="U434" s="15"/>
      <c r="V434" s="1"/>
      <c r="W434" s="1"/>
      <c r="X434" s="1"/>
      <c r="Y434" s="15">
        <v>13800</v>
      </c>
      <c r="Z434" s="15"/>
      <c r="AA434" s="15"/>
      <c r="AB434" s="17"/>
      <c r="AC434" s="82"/>
      <c r="AD434" s="16" t="s">
        <v>52</v>
      </c>
      <c r="AE434" s="16" t="s">
        <v>1903</v>
      </c>
      <c r="AF434" s="16"/>
      <c r="AG434" s="16"/>
      <c r="AH434" s="16"/>
      <c r="AI434" s="16">
        <v>15019</v>
      </c>
      <c r="AJ434" s="16"/>
      <c r="AK434" s="16"/>
      <c r="AL434" s="16"/>
      <c r="AM434" s="16"/>
      <c r="AN434" s="16"/>
      <c r="AO434" s="16"/>
      <c r="AP434" s="16"/>
      <c r="AR434" s="88"/>
      <c r="AS434" s="88"/>
      <c r="AU434" s="12" t="s">
        <v>1931</v>
      </c>
      <c r="AV434" s="19"/>
      <c r="AW434" s="39">
        <v>90</v>
      </c>
      <c r="AY434" s="33"/>
      <c r="AZ434" s="33"/>
      <c r="BA434" s="33"/>
    </row>
    <row r="435" spans="1:53" ht="12" customHeight="1" x14ac:dyDescent="0.2">
      <c r="A435" s="10" t="s">
        <v>2523</v>
      </c>
      <c r="B435" s="39">
        <v>104020</v>
      </c>
      <c r="C435" s="42" t="s">
        <v>3330</v>
      </c>
      <c r="D435" s="10" t="s">
        <v>2945</v>
      </c>
      <c r="E435" s="14" t="s">
        <v>1901</v>
      </c>
      <c r="F435" s="1" t="s">
        <v>88</v>
      </c>
      <c r="G435" s="1" t="s">
        <v>2578</v>
      </c>
      <c r="H435" s="1"/>
      <c r="I435" s="1">
        <v>20</v>
      </c>
      <c r="J435" s="1"/>
      <c r="K435" s="1"/>
      <c r="L435" s="1"/>
      <c r="M435" s="1"/>
      <c r="O435" s="16" t="s">
        <v>367</v>
      </c>
      <c r="P435" s="1">
        <v>1</v>
      </c>
      <c r="Q435" s="15"/>
      <c r="R435" s="15"/>
      <c r="S435" s="15"/>
      <c r="T435" s="15"/>
      <c r="U435" s="15"/>
      <c r="V435" s="1"/>
      <c r="W435" s="1"/>
      <c r="X435" s="1"/>
      <c r="Y435" s="15">
        <v>13800</v>
      </c>
      <c r="Z435" s="15"/>
      <c r="AA435" s="15"/>
      <c r="AB435" s="17"/>
      <c r="AC435" s="82"/>
      <c r="AD435" s="16" t="s">
        <v>52</v>
      </c>
      <c r="AE435" s="16" t="s">
        <v>1903</v>
      </c>
      <c r="AF435" s="16"/>
      <c r="AG435" s="16"/>
      <c r="AH435" s="16"/>
      <c r="AI435" s="16">
        <v>15020</v>
      </c>
      <c r="AJ435" s="16"/>
      <c r="AK435" s="16"/>
      <c r="AL435" s="16"/>
      <c r="AM435" s="16"/>
      <c r="AN435" s="16"/>
      <c r="AO435" s="16"/>
      <c r="AP435" s="16"/>
      <c r="AR435" s="88"/>
      <c r="AS435" s="88"/>
      <c r="AU435" s="12" t="s">
        <v>1931</v>
      </c>
      <c r="AV435" s="19"/>
      <c r="AW435" s="39">
        <v>90</v>
      </c>
      <c r="AY435" s="33"/>
      <c r="AZ435" s="33"/>
      <c r="BA435" s="33"/>
    </row>
    <row r="436" spans="1:53" ht="12" customHeight="1" x14ac:dyDescent="0.2">
      <c r="A436" s="10" t="s">
        <v>2524</v>
      </c>
      <c r="B436" s="39">
        <v>104021</v>
      </c>
      <c r="C436" s="42" t="s">
        <v>3331</v>
      </c>
      <c r="D436" s="10" t="s">
        <v>2945</v>
      </c>
      <c r="E436" s="14" t="s">
        <v>1901</v>
      </c>
      <c r="F436" s="1" t="s">
        <v>89</v>
      </c>
      <c r="G436" s="1" t="s">
        <v>2578</v>
      </c>
      <c r="H436" s="1"/>
      <c r="I436" s="1">
        <v>21</v>
      </c>
      <c r="J436" s="1"/>
      <c r="K436" s="1"/>
      <c r="L436" s="1"/>
      <c r="M436" s="1"/>
      <c r="O436" s="16" t="s">
        <v>367</v>
      </c>
      <c r="P436" s="1">
        <v>1</v>
      </c>
      <c r="Q436" s="15"/>
      <c r="R436" s="15"/>
      <c r="S436" s="15"/>
      <c r="T436" s="15"/>
      <c r="U436" s="15"/>
      <c r="V436" s="1"/>
      <c r="W436" s="1"/>
      <c r="X436" s="1"/>
      <c r="Y436" s="15">
        <v>13800</v>
      </c>
      <c r="Z436" s="15"/>
      <c r="AA436" s="15"/>
      <c r="AB436" s="17"/>
      <c r="AC436" s="82"/>
      <c r="AD436" s="16" t="s">
        <v>52</v>
      </c>
      <c r="AE436" s="16" t="s">
        <v>1903</v>
      </c>
      <c r="AF436" s="16"/>
      <c r="AG436" s="16"/>
      <c r="AH436" s="16"/>
      <c r="AI436" s="16">
        <v>15021</v>
      </c>
      <c r="AJ436" s="16"/>
      <c r="AK436" s="16"/>
      <c r="AL436" s="16"/>
      <c r="AM436" s="16"/>
      <c r="AN436" s="16"/>
      <c r="AO436" s="16"/>
      <c r="AP436" s="16"/>
      <c r="AR436" s="88"/>
      <c r="AS436" s="88"/>
      <c r="AU436" s="12" t="s">
        <v>1931</v>
      </c>
      <c r="AV436" s="19"/>
      <c r="AW436" s="39">
        <v>90</v>
      </c>
      <c r="AY436" s="33"/>
      <c r="AZ436" s="33"/>
      <c r="BA436" s="33"/>
    </row>
    <row r="437" spans="1:53" ht="12" customHeight="1" x14ac:dyDescent="0.2">
      <c r="A437" s="10" t="s">
        <v>2525</v>
      </c>
      <c r="B437" s="39">
        <v>104022</v>
      </c>
      <c r="C437" s="42" t="s">
        <v>3332</v>
      </c>
      <c r="D437" s="10" t="s">
        <v>2945</v>
      </c>
      <c r="E437" s="14" t="s">
        <v>1901</v>
      </c>
      <c r="F437" s="1" t="s">
        <v>91</v>
      </c>
      <c r="G437" s="1" t="s">
        <v>2578</v>
      </c>
      <c r="H437" s="1"/>
      <c r="I437" s="1">
        <v>22</v>
      </c>
      <c r="J437" s="1"/>
      <c r="K437" s="1"/>
      <c r="L437" s="1"/>
      <c r="M437" s="1"/>
      <c r="O437" s="16" t="s">
        <v>367</v>
      </c>
      <c r="P437" s="1">
        <v>1</v>
      </c>
      <c r="Q437" s="15"/>
      <c r="R437" s="15"/>
      <c r="S437" s="15"/>
      <c r="T437" s="15"/>
      <c r="U437" s="15"/>
      <c r="V437" s="1"/>
      <c r="W437" s="1"/>
      <c r="X437" s="1"/>
      <c r="Y437" s="15">
        <v>13800</v>
      </c>
      <c r="Z437" s="15"/>
      <c r="AA437" s="15"/>
      <c r="AB437" s="17"/>
      <c r="AC437" s="82"/>
      <c r="AD437" s="16" t="s">
        <v>52</v>
      </c>
      <c r="AE437" s="16" t="s">
        <v>1903</v>
      </c>
      <c r="AF437" s="16"/>
      <c r="AG437" s="16"/>
      <c r="AH437" s="16"/>
      <c r="AI437" s="16">
        <v>15022</v>
      </c>
      <c r="AJ437" s="16"/>
      <c r="AK437" s="16"/>
      <c r="AL437" s="16"/>
      <c r="AM437" s="16"/>
      <c r="AN437" s="16"/>
      <c r="AO437" s="16"/>
      <c r="AP437" s="16"/>
      <c r="AR437" s="88"/>
      <c r="AS437" s="88"/>
      <c r="AU437" s="12" t="s">
        <v>1931</v>
      </c>
      <c r="AV437" s="19"/>
      <c r="AW437" s="39">
        <v>90</v>
      </c>
      <c r="AY437" s="33"/>
      <c r="AZ437" s="33"/>
      <c r="BA437" s="33"/>
    </row>
    <row r="438" spans="1:53" ht="12" customHeight="1" x14ac:dyDescent="0.2">
      <c r="A438" s="10" t="s">
        <v>2526</v>
      </c>
      <c r="B438" s="39">
        <v>104023</v>
      </c>
      <c r="C438" s="42" t="s">
        <v>3333</v>
      </c>
      <c r="D438" s="10" t="s">
        <v>2945</v>
      </c>
      <c r="E438" s="14" t="s">
        <v>1901</v>
      </c>
      <c r="F438" s="1" t="s">
        <v>88</v>
      </c>
      <c r="G438" s="1" t="s">
        <v>2578</v>
      </c>
      <c r="H438" s="1"/>
      <c r="I438" s="1">
        <v>23</v>
      </c>
      <c r="J438" s="1"/>
      <c r="K438" s="1"/>
      <c r="L438" s="1"/>
      <c r="M438" s="1"/>
      <c r="O438" s="16" t="s">
        <v>367</v>
      </c>
      <c r="P438" s="1">
        <v>1</v>
      </c>
      <c r="Q438" s="15"/>
      <c r="R438" s="15"/>
      <c r="S438" s="15"/>
      <c r="T438" s="15"/>
      <c r="U438" s="15"/>
      <c r="V438" s="1"/>
      <c r="W438" s="1"/>
      <c r="X438" s="1"/>
      <c r="Y438" s="15">
        <v>13800</v>
      </c>
      <c r="Z438" s="15"/>
      <c r="AA438" s="15"/>
      <c r="AB438" s="17"/>
      <c r="AC438" s="82"/>
      <c r="AD438" s="16" t="s">
        <v>52</v>
      </c>
      <c r="AE438" s="16" t="s">
        <v>1903</v>
      </c>
      <c r="AF438" s="16"/>
      <c r="AG438" s="16"/>
      <c r="AH438" s="16"/>
      <c r="AI438" s="16">
        <v>15023</v>
      </c>
      <c r="AJ438" s="16"/>
      <c r="AK438" s="16"/>
      <c r="AL438" s="16"/>
      <c r="AM438" s="16"/>
      <c r="AN438" s="16"/>
      <c r="AO438" s="16"/>
      <c r="AP438" s="16"/>
      <c r="AR438" s="88"/>
      <c r="AS438" s="88"/>
      <c r="AU438" s="12" t="s">
        <v>1931</v>
      </c>
      <c r="AV438" s="19"/>
      <c r="AW438" s="39">
        <v>90</v>
      </c>
      <c r="AY438" s="33"/>
      <c r="AZ438" s="33"/>
      <c r="BA438" s="33"/>
    </row>
    <row r="439" spans="1:53" ht="12" customHeight="1" x14ac:dyDescent="0.2">
      <c r="A439" s="10" t="s">
        <v>2527</v>
      </c>
      <c r="B439" s="39">
        <v>104024</v>
      </c>
      <c r="C439" s="42" t="s">
        <v>3334</v>
      </c>
      <c r="D439" s="10" t="s">
        <v>2945</v>
      </c>
      <c r="E439" s="14" t="s">
        <v>1901</v>
      </c>
      <c r="F439" s="1" t="s">
        <v>394</v>
      </c>
      <c r="G439" s="1" t="s">
        <v>2578</v>
      </c>
      <c r="H439" s="1"/>
      <c r="I439" s="1">
        <v>24</v>
      </c>
      <c r="J439" s="1"/>
      <c r="K439" s="1"/>
      <c r="L439" s="1"/>
      <c r="M439" s="1"/>
      <c r="O439" s="16" t="s">
        <v>367</v>
      </c>
      <c r="P439" s="1">
        <v>1</v>
      </c>
      <c r="Q439" s="15"/>
      <c r="R439" s="15"/>
      <c r="S439" s="15"/>
      <c r="T439" s="15"/>
      <c r="U439" s="15"/>
      <c r="V439" s="1"/>
      <c r="W439" s="1"/>
      <c r="X439" s="1"/>
      <c r="Y439" s="15">
        <v>13800</v>
      </c>
      <c r="Z439" s="15"/>
      <c r="AA439" s="15"/>
      <c r="AB439" s="17"/>
      <c r="AC439" s="82"/>
      <c r="AD439" s="16" t="s">
        <v>52</v>
      </c>
      <c r="AE439" s="16" t="s">
        <v>1903</v>
      </c>
      <c r="AF439" s="16"/>
      <c r="AG439" s="16"/>
      <c r="AH439" s="16"/>
      <c r="AI439" s="16">
        <v>15024</v>
      </c>
      <c r="AJ439" s="16"/>
      <c r="AK439" s="16"/>
      <c r="AL439" s="16"/>
      <c r="AM439" s="16"/>
      <c r="AN439" s="16"/>
      <c r="AO439" s="16"/>
      <c r="AP439" s="16"/>
      <c r="AR439" s="88"/>
      <c r="AS439" s="88"/>
      <c r="AU439" s="12" t="s">
        <v>1931</v>
      </c>
      <c r="AV439" s="19"/>
      <c r="AW439" s="39">
        <v>90</v>
      </c>
      <c r="AY439" s="33"/>
      <c r="AZ439" s="33"/>
      <c r="BA439" s="33"/>
    </row>
    <row r="440" spans="1:53" ht="12" customHeight="1" x14ac:dyDescent="0.2">
      <c r="A440" s="10" t="s">
        <v>2528</v>
      </c>
      <c r="B440" s="39">
        <v>104025</v>
      </c>
      <c r="C440" s="42" t="s">
        <v>3335</v>
      </c>
      <c r="D440" s="10" t="s">
        <v>2945</v>
      </c>
      <c r="E440" s="14" t="s">
        <v>1901</v>
      </c>
      <c r="F440" s="1" t="s">
        <v>88</v>
      </c>
      <c r="G440" s="1" t="s">
        <v>2578</v>
      </c>
      <c r="H440" s="1"/>
      <c r="I440" s="1">
        <v>25</v>
      </c>
      <c r="J440" s="1"/>
      <c r="K440" s="1"/>
      <c r="L440" s="1"/>
      <c r="M440" s="1"/>
      <c r="O440" s="16" t="s">
        <v>367</v>
      </c>
      <c r="P440" s="1">
        <v>1</v>
      </c>
      <c r="Q440" s="15"/>
      <c r="R440" s="15"/>
      <c r="S440" s="15"/>
      <c r="T440" s="15"/>
      <c r="U440" s="15"/>
      <c r="V440" s="1"/>
      <c r="W440" s="1"/>
      <c r="X440" s="1"/>
      <c r="Y440" s="15">
        <v>13800</v>
      </c>
      <c r="Z440" s="15"/>
      <c r="AA440" s="15"/>
      <c r="AB440" s="17"/>
      <c r="AC440" s="82"/>
      <c r="AD440" s="16" t="s">
        <v>52</v>
      </c>
      <c r="AE440" s="16" t="s">
        <v>1903</v>
      </c>
      <c r="AF440" s="16"/>
      <c r="AG440" s="16"/>
      <c r="AH440" s="16"/>
      <c r="AI440" s="16">
        <v>15025</v>
      </c>
      <c r="AJ440" s="16"/>
      <c r="AK440" s="16"/>
      <c r="AL440" s="16"/>
      <c r="AM440" s="16"/>
      <c r="AN440" s="16"/>
      <c r="AO440" s="16"/>
      <c r="AP440" s="16"/>
      <c r="AR440" s="88"/>
      <c r="AS440" s="88"/>
      <c r="AU440" s="12" t="s">
        <v>1931</v>
      </c>
      <c r="AV440" s="19"/>
      <c r="AW440" s="39">
        <v>90</v>
      </c>
      <c r="AY440" s="33"/>
      <c r="AZ440" s="33"/>
      <c r="BA440" s="33"/>
    </row>
    <row r="441" spans="1:53" ht="12" customHeight="1" x14ac:dyDescent="0.2">
      <c r="A441" s="10" t="s">
        <v>2529</v>
      </c>
      <c r="B441" s="39">
        <v>104026</v>
      </c>
      <c r="C441" s="42" t="s">
        <v>3336</v>
      </c>
      <c r="D441" s="10" t="s">
        <v>2945</v>
      </c>
      <c r="E441" s="14" t="s">
        <v>1901</v>
      </c>
      <c r="F441" s="1" t="s">
        <v>395</v>
      </c>
      <c r="G441" s="1" t="s">
        <v>2578</v>
      </c>
      <c r="H441" s="1"/>
      <c r="I441" s="1">
        <v>26</v>
      </c>
      <c r="J441" s="1"/>
      <c r="K441" s="1"/>
      <c r="L441" s="1"/>
      <c r="M441" s="1"/>
      <c r="O441" s="16" t="s">
        <v>367</v>
      </c>
      <c r="P441" s="1">
        <v>1</v>
      </c>
      <c r="Q441" s="15"/>
      <c r="R441" s="15"/>
      <c r="S441" s="15"/>
      <c r="T441" s="15"/>
      <c r="U441" s="15"/>
      <c r="V441" s="1"/>
      <c r="W441" s="1"/>
      <c r="X441" s="1"/>
      <c r="Y441" s="15">
        <v>13800</v>
      </c>
      <c r="Z441" s="15"/>
      <c r="AA441" s="15"/>
      <c r="AB441" s="17"/>
      <c r="AC441" s="82"/>
      <c r="AD441" s="16" t="s">
        <v>52</v>
      </c>
      <c r="AE441" s="16" t="s">
        <v>1903</v>
      </c>
      <c r="AF441" s="16"/>
      <c r="AG441" s="16"/>
      <c r="AH441" s="16"/>
      <c r="AI441" s="16">
        <v>15026</v>
      </c>
      <c r="AJ441" s="16"/>
      <c r="AK441" s="16"/>
      <c r="AL441" s="16"/>
      <c r="AM441" s="16"/>
      <c r="AN441" s="16"/>
      <c r="AO441" s="16"/>
      <c r="AP441" s="16"/>
      <c r="AR441" s="88"/>
      <c r="AS441" s="88"/>
      <c r="AU441" s="12" t="s">
        <v>1931</v>
      </c>
      <c r="AV441" s="19"/>
      <c r="AW441" s="39">
        <v>90</v>
      </c>
      <c r="AY441" s="33"/>
      <c r="AZ441" s="33"/>
      <c r="BA441" s="33"/>
    </row>
    <row r="442" spans="1:53" ht="12" customHeight="1" x14ac:dyDescent="0.2">
      <c r="A442" s="10" t="s">
        <v>2530</v>
      </c>
      <c r="B442" s="39">
        <v>104027</v>
      </c>
      <c r="C442" s="42" t="s">
        <v>3337</v>
      </c>
      <c r="D442" s="10" t="s">
        <v>2945</v>
      </c>
      <c r="E442" s="14" t="s">
        <v>1901</v>
      </c>
      <c r="F442" s="1" t="s">
        <v>394</v>
      </c>
      <c r="G442" s="1" t="s">
        <v>2578</v>
      </c>
      <c r="H442" s="1"/>
      <c r="I442" s="1">
        <v>27</v>
      </c>
      <c r="J442" s="1"/>
      <c r="K442" s="1"/>
      <c r="L442" s="1"/>
      <c r="M442" s="1"/>
      <c r="O442" s="16" t="s">
        <v>367</v>
      </c>
      <c r="P442" s="1">
        <v>1</v>
      </c>
      <c r="Q442" s="15"/>
      <c r="R442" s="15"/>
      <c r="S442" s="15"/>
      <c r="T442" s="15"/>
      <c r="U442" s="15"/>
      <c r="V442" s="1"/>
      <c r="W442" s="1"/>
      <c r="X442" s="1"/>
      <c r="Y442" s="15">
        <v>13800</v>
      </c>
      <c r="Z442" s="15"/>
      <c r="AA442" s="15"/>
      <c r="AB442" s="17"/>
      <c r="AC442" s="82"/>
      <c r="AD442" s="16" t="s">
        <v>52</v>
      </c>
      <c r="AE442" s="16" t="s">
        <v>1903</v>
      </c>
      <c r="AF442" s="16"/>
      <c r="AG442" s="16"/>
      <c r="AH442" s="16"/>
      <c r="AI442" s="16">
        <v>15027</v>
      </c>
      <c r="AJ442" s="16"/>
      <c r="AK442" s="16"/>
      <c r="AL442" s="16"/>
      <c r="AM442" s="16"/>
      <c r="AN442" s="16"/>
      <c r="AO442" s="16"/>
      <c r="AP442" s="16"/>
      <c r="AR442" s="88"/>
      <c r="AS442" s="88"/>
      <c r="AU442" s="12" t="s">
        <v>1931</v>
      </c>
      <c r="AV442" s="19"/>
      <c r="AW442" s="39">
        <v>90</v>
      </c>
      <c r="AY442" s="33"/>
      <c r="AZ442" s="33"/>
      <c r="BA442" s="33"/>
    </row>
    <row r="443" spans="1:53" ht="12" customHeight="1" x14ac:dyDescent="0.2">
      <c r="A443" s="10" t="s">
        <v>2531</v>
      </c>
      <c r="B443" s="39">
        <v>104028</v>
      </c>
      <c r="C443" s="42" t="s">
        <v>3338</v>
      </c>
      <c r="D443" s="10" t="s">
        <v>2945</v>
      </c>
      <c r="E443" s="14" t="s">
        <v>1901</v>
      </c>
      <c r="F443" s="1" t="s">
        <v>396</v>
      </c>
      <c r="G443" s="1" t="s">
        <v>2578</v>
      </c>
      <c r="H443" s="1"/>
      <c r="I443" s="1">
        <v>28</v>
      </c>
      <c r="J443" s="1"/>
      <c r="K443" s="1"/>
      <c r="L443" s="1"/>
      <c r="M443" s="1"/>
      <c r="O443" s="16" t="s">
        <v>367</v>
      </c>
      <c r="P443" s="1">
        <v>1</v>
      </c>
      <c r="Q443" s="15"/>
      <c r="R443" s="15"/>
      <c r="S443" s="15"/>
      <c r="T443" s="15"/>
      <c r="U443" s="15"/>
      <c r="V443" s="1"/>
      <c r="W443" s="1"/>
      <c r="X443" s="1"/>
      <c r="Y443" s="15">
        <v>13800</v>
      </c>
      <c r="Z443" s="15"/>
      <c r="AA443" s="15"/>
      <c r="AB443" s="17"/>
      <c r="AC443" s="82"/>
      <c r="AD443" s="16" t="s">
        <v>52</v>
      </c>
      <c r="AE443" s="16" t="s">
        <v>1903</v>
      </c>
      <c r="AF443" s="16"/>
      <c r="AG443" s="16"/>
      <c r="AH443" s="16"/>
      <c r="AI443" s="16">
        <v>15028</v>
      </c>
      <c r="AJ443" s="16"/>
      <c r="AK443" s="16"/>
      <c r="AL443" s="16"/>
      <c r="AM443" s="16"/>
      <c r="AN443" s="16"/>
      <c r="AO443" s="16"/>
      <c r="AP443" s="16"/>
      <c r="AR443" s="88"/>
      <c r="AS443" s="88"/>
      <c r="AU443" s="12" t="s">
        <v>1931</v>
      </c>
      <c r="AV443" s="19"/>
      <c r="AW443" s="39">
        <v>90</v>
      </c>
      <c r="AY443" s="33"/>
      <c r="AZ443" s="33"/>
      <c r="BA443" s="33"/>
    </row>
    <row r="444" spans="1:53" ht="12" customHeight="1" x14ac:dyDescent="0.2">
      <c r="A444" s="10" t="s">
        <v>2532</v>
      </c>
      <c r="B444" s="39">
        <v>104029</v>
      </c>
      <c r="C444" s="42" t="s">
        <v>3339</v>
      </c>
      <c r="D444" s="10" t="s">
        <v>2945</v>
      </c>
      <c r="E444" s="14" t="s">
        <v>1901</v>
      </c>
      <c r="F444" s="1" t="s">
        <v>90</v>
      </c>
      <c r="G444" s="1" t="s">
        <v>2578</v>
      </c>
      <c r="H444" s="1"/>
      <c r="I444" s="1">
        <v>29</v>
      </c>
      <c r="J444" s="1"/>
      <c r="K444" s="1"/>
      <c r="L444" s="1"/>
      <c r="M444" s="1"/>
      <c r="O444" s="16" t="s">
        <v>367</v>
      </c>
      <c r="P444" s="1">
        <v>1</v>
      </c>
      <c r="Q444" s="15"/>
      <c r="R444" s="15"/>
      <c r="S444" s="15"/>
      <c r="T444" s="15"/>
      <c r="U444" s="15"/>
      <c r="V444" s="1"/>
      <c r="W444" s="1"/>
      <c r="X444" s="1"/>
      <c r="Y444" s="15">
        <v>13800</v>
      </c>
      <c r="Z444" s="15"/>
      <c r="AA444" s="15"/>
      <c r="AB444" s="17"/>
      <c r="AC444" s="82"/>
      <c r="AD444" s="16" t="s">
        <v>52</v>
      </c>
      <c r="AE444" s="16" t="s">
        <v>1903</v>
      </c>
      <c r="AF444" s="16"/>
      <c r="AG444" s="16"/>
      <c r="AH444" s="16"/>
      <c r="AI444" s="16">
        <v>15029</v>
      </c>
      <c r="AJ444" s="16"/>
      <c r="AK444" s="16"/>
      <c r="AL444" s="16"/>
      <c r="AM444" s="16"/>
      <c r="AN444" s="16"/>
      <c r="AO444" s="16"/>
      <c r="AP444" s="16"/>
      <c r="AR444" s="88"/>
      <c r="AS444" s="88"/>
      <c r="AU444" s="12" t="s">
        <v>1931</v>
      </c>
      <c r="AV444" s="19"/>
      <c r="AW444" s="39">
        <v>90</v>
      </c>
      <c r="AY444" s="33"/>
      <c r="AZ444" s="33"/>
      <c r="BA444" s="33"/>
    </row>
    <row r="445" spans="1:53" ht="12" customHeight="1" x14ac:dyDescent="0.2">
      <c r="A445" s="10" t="s">
        <v>2533</v>
      </c>
      <c r="B445" s="39">
        <v>104030</v>
      </c>
      <c r="C445" s="42" t="s">
        <v>3340</v>
      </c>
      <c r="D445" s="10" t="s">
        <v>2945</v>
      </c>
      <c r="E445" s="14" t="s">
        <v>1901</v>
      </c>
      <c r="F445" s="1" t="s">
        <v>394</v>
      </c>
      <c r="G445" s="1" t="s">
        <v>2578</v>
      </c>
      <c r="H445" s="1"/>
      <c r="I445" s="1">
        <v>30</v>
      </c>
      <c r="J445" s="1"/>
      <c r="K445" s="1"/>
      <c r="L445" s="1"/>
      <c r="M445" s="1"/>
      <c r="O445" s="16" t="s">
        <v>367</v>
      </c>
      <c r="P445" s="1">
        <v>1</v>
      </c>
      <c r="Q445" s="15"/>
      <c r="R445" s="15"/>
      <c r="S445" s="15"/>
      <c r="T445" s="15"/>
      <c r="U445" s="15"/>
      <c r="V445" s="1"/>
      <c r="W445" s="1"/>
      <c r="X445" s="1"/>
      <c r="Y445" s="15">
        <v>13800</v>
      </c>
      <c r="Z445" s="15"/>
      <c r="AA445" s="15"/>
      <c r="AB445" s="17"/>
      <c r="AC445" s="82"/>
      <c r="AD445" s="16" t="s">
        <v>52</v>
      </c>
      <c r="AE445" s="16" t="s">
        <v>1903</v>
      </c>
      <c r="AF445" s="16"/>
      <c r="AG445" s="16"/>
      <c r="AH445" s="16"/>
      <c r="AI445" s="16">
        <v>15030</v>
      </c>
      <c r="AJ445" s="16"/>
      <c r="AK445" s="16"/>
      <c r="AL445" s="16"/>
      <c r="AM445" s="16"/>
      <c r="AN445" s="16"/>
      <c r="AO445" s="16"/>
      <c r="AP445" s="16"/>
      <c r="AR445" s="88"/>
      <c r="AS445" s="88"/>
      <c r="AU445" s="12" t="s">
        <v>1931</v>
      </c>
      <c r="AV445" s="19"/>
      <c r="AW445" s="39">
        <v>90</v>
      </c>
      <c r="AY445" s="33"/>
      <c r="AZ445" s="33"/>
      <c r="BA445" s="33"/>
    </row>
    <row r="446" spans="1:53" ht="12" customHeight="1" x14ac:dyDescent="0.2">
      <c r="A446" s="10" t="s">
        <v>2534</v>
      </c>
      <c r="B446" s="39">
        <v>104031</v>
      </c>
      <c r="C446" s="42" t="s">
        <v>3341</v>
      </c>
      <c r="D446" s="10" t="s">
        <v>2945</v>
      </c>
      <c r="E446" s="14" t="s">
        <v>1901</v>
      </c>
      <c r="F446" s="1" t="s">
        <v>90</v>
      </c>
      <c r="G446" s="1" t="s">
        <v>2578</v>
      </c>
      <c r="H446" s="1"/>
      <c r="I446" s="1">
        <v>31</v>
      </c>
      <c r="J446" s="1"/>
      <c r="K446" s="1"/>
      <c r="L446" s="1"/>
      <c r="M446" s="1"/>
      <c r="O446" s="16" t="s">
        <v>367</v>
      </c>
      <c r="P446" s="1">
        <v>1</v>
      </c>
      <c r="Q446" s="15"/>
      <c r="R446" s="15"/>
      <c r="S446" s="15"/>
      <c r="T446" s="15"/>
      <c r="U446" s="15"/>
      <c r="V446" s="1"/>
      <c r="W446" s="1"/>
      <c r="X446" s="1"/>
      <c r="Y446" s="15">
        <v>13800</v>
      </c>
      <c r="Z446" s="15"/>
      <c r="AA446" s="15"/>
      <c r="AB446" s="17"/>
      <c r="AC446" s="82"/>
      <c r="AD446" s="16" t="s">
        <v>52</v>
      </c>
      <c r="AE446" s="16" t="s">
        <v>1903</v>
      </c>
      <c r="AF446" s="16"/>
      <c r="AG446" s="16"/>
      <c r="AH446" s="16"/>
      <c r="AI446" s="16">
        <v>15031</v>
      </c>
      <c r="AJ446" s="16"/>
      <c r="AK446" s="16"/>
      <c r="AL446" s="16"/>
      <c r="AM446" s="16"/>
      <c r="AN446" s="16"/>
      <c r="AO446" s="16"/>
      <c r="AP446" s="16"/>
      <c r="AR446" s="88"/>
      <c r="AS446" s="88"/>
      <c r="AU446" s="12" t="s">
        <v>1931</v>
      </c>
      <c r="AV446" s="19"/>
      <c r="AW446" s="39">
        <v>90</v>
      </c>
      <c r="AY446" s="33"/>
      <c r="AZ446" s="33"/>
      <c r="BA446" s="33"/>
    </row>
    <row r="447" spans="1:53" ht="12" customHeight="1" x14ac:dyDescent="0.2">
      <c r="A447" s="10" t="s">
        <v>2535</v>
      </c>
      <c r="B447" s="39">
        <v>104032</v>
      </c>
      <c r="C447" s="42" t="s">
        <v>3342</v>
      </c>
      <c r="D447" s="10" t="s">
        <v>2945</v>
      </c>
      <c r="E447" s="14" t="s">
        <v>1901</v>
      </c>
      <c r="F447" s="1" t="s">
        <v>395</v>
      </c>
      <c r="G447" s="1" t="s">
        <v>2578</v>
      </c>
      <c r="H447" s="1"/>
      <c r="I447" s="1">
        <v>32</v>
      </c>
      <c r="J447" s="1"/>
      <c r="K447" s="1"/>
      <c r="L447" s="1"/>
      <c r="M447" s="1"/>
      <c r="O447" s="16" t="s">
        <v>367</v>
      </c>
      <c r="P447" s="1">
        <v>1</v>
      </c>
      <c r="Q447" s="15"/>
      <c r="R447" s="15"/>
      <c r="S447" s="15"/>
      <c r="T447" s="15"/>
      <c r="U447" s="15"/>
      <c r="V447" s="1"/>
      <c r="W447" s="1"/>
      <c r="X447" s="1"/>
      <c r="Y447" s="15">
        <v>13800</v>
      </c>
      <c r="Z447" s="15"/>
      <c r="AA447" s="15"/>
      <c r="AB447" s="17"/>
      <c r="AC447" s="82"/>
      <c r="AD447" s="16" t="s">
        <v>52</v>
      </c>
      <c r="AE447" s="16" t="s">
        <v>1903</v>
      </c>
      <c r="AF447" s="16"/>
      <c r="AG447" s="16"/>
      <c r="AH447" s="16"/>
      <c r="AI447" s="16">
        <v>15032</v>
      </c>
      <c r="AJ447" s="16"/>
      <c r="AK447" s="16"/>
      <c r="AL447" s="16"/>
      <c r="AM447" s="16"/>
      <c r="AN447" s="16"/>
      <c r="AO447" s="16"/>
      <c r="AP447" s="16"/>
      <c r="AR447" s="88"/>
      <c r="AS447" s="88"/>
      <c r="AU447" s="12" t="s">
        <v>1931</v>
      </c>
      <c r="AV447" s="19"/>
      <c r="AW447" s="39">
        <v>90</v>
      </c>
      <c r="AY447" s="33"/>
      <c r="AZ447" s="33"/>
      <c r="BA447" s="33"/>
    </row>
    <row r="448" spans="1:53" ht="12" customHeight="1" x14ac:dyDescent="0.2">
      <c r="A448" s="10" t="s">
        <v>2536</v>
      </c>
      <c r="B448" s="39">
        <v>104033</v>
      </c>
      <c r="C448" s="42" t="s">
        <v>3343</v>
      </c>
      <c r="D448" s="10" t="s">
        <v>2945</v>
      </c>
      <c r="E448" s="14" t="s">
        <v>1901</v>
      </c>
      <c r="F448" s="1" t="s">
        <v>395</v>
      </c>
      <c r="G448" s="1" t="s">
        <v>2578</v>
      </c>
      <c r="H448" s="1"/>
      <c r="I448" s="1">
        <v>33</v>
      </c>
      <c r="J448" s="1"/>
      <c r="K448" s="1"/>
      <c r="L448" s="1"/>
      <c r="M448" s="1"/>
      <c r="O448" s="16" t="s">
        <v>367</v>
      </c>
      <c r="P448" s="1">
        <v>1</v>
      </c>
      <c r="Q448" s="15"/>
      <c r="R448" s="15"/>
      <c r="S448" s="15"/>
      <c r="T448" s="15"/>
      <c r="U448" s="15"/>
      <c r="V448" s="1"/>
      <c r="W448" s="1"/>
      <c r="X448" s="1"/>
      <c r="Y448" s="15">
        <v>13800</v>
      </c>
      <c r="Z448" s="15"/>
      <c r="AA448" s="15"/>
      <c r="AB448" s="17"/>
      <c r="AC448" s="82"/>
      <c r="AD448" s="16" t="s">
        <v>52</v>
      </c>
      <c r="AE448" s="16" t="s">
        <v>1903</v>
      </c>
      <c r="AF448" s="16"/>
      <c r="AG448" s="16"/>
      <c r="AH448" s="16"/>
      <c r="AI448" s="16">
        <v>15033</v>
      </c>
      <c r="AJ448" s="16"/>
      <c r="AK448" s="16"/>
      <c r="AL448" s="16"/>
      <c r="AM448" s="16"/>
      <c r="AN448" s="16"/>
      <c r="AO448" s="16"/>
      <c r="AP448" s="16"/>
      <c r="AR448" s="88"/>
      <c r="AS448" s="88"/>
      <c r="AU448" s="12" t="s">
        <v>1931</v>
      </c>
      <c r="AV448" s="19"/>
      <c r="AW448" s="39">
        <v>90</v>
      </c>
      <c r="AY448" s="33"/>
      <c r="AZ448" s="33"/>
      <c r="BA448" s="33"/>
    </row>
    <row r="449" spans="1:53" ht="12" customHeight="1" x14ac:dyDescent="0.2">
      <c r="A449" s="10" t="s">
        <v>2537</v>
      </c>
      <c r="B449" s="39">
        <v>104034</v>
      </c>
      <c r="C449" s="42" t="s">
        <v>3344</v>
      </c>
      <c r="D449" s="10" t="s">
        <v>2945</v>
      </c>
      <c r="E449" s="14" t="s">
        <v>1901</v>
      </c>
      <c r="F449" s="1" t="s">
        <v>91</v>
      </c>
      <c r="G449" s="1" t="s">
        <v>2578</v>
      </c>
      <c r="H449" s="1"/>
      <c r="I449" s="1">
        <v>34</v>
      </c>
      <c r="J449" s="1"/>
      <c r="K449" s="1"/>
      <c r="L449" s="1"/>
      <c r="M449" s="1"/>
      <c r="O449" s="16" t="s">
        <v>367</v>
      </c>
      <c r="P449" s="1">
        <v>1</v>
      </c>
      <c r="Q449" s="15"/>
      <c r="R449" s="15"/>
      <c r="S449" s="15"/>
      <c r="T449" s="15"/>
      <c r="U449" s="15"/>
      <c r="V449" s="1"/>
      <c r="W449" s="1"/>
      <c r="X449" s="1"/>
      <c r="Y449" s="15">
        <v>13800</v>
      </c>
      <c r="Z449" s="15"/>
      <c r="AA449" s="15"/>
      <c r="AB449" s="17"/>
      <c r="AC449" s="82"/>
      <c r="AD449" s="16" t="s">
        <v>52</v>
      </c>
      <c r="AE449" s="16" t="s">
        <v>1903</v>
      </c>
      <c r="AF449" s="16"/>
      <c r="AG449" s="16"/>
      <c r="AH449" s="16"/>
      <c r="AI449" s="16">
        <v>15034</v>
      </c>
      <c r="AJ449" s="16"/>
      <c r="AK449" s="16"/>
      <c r="AL449" s="16"/>
      <c r="AM449" s="16"/>
      <c r="AN449" s="16"/>
      <c r="AO449" s="16"/>
      <c r="AP449" s="16"/>
      <c r="AR449" s="88"/>
      <c r="AS449" s="88"/>
      <c r="AU449" s="12" t="s">
        <v>1931</v>
      </c>
      <c r="AV449" s="19"/>
      <c r="AW449" s="39">
        <v>90</v>
      </c>
      <c r="AY449" s="33"/>
      <c r="AZ449" s="33"/>
      <c r="BA449" s="33"/>
    </row>
    <row r="450" spans="1:53" ht="12" customHeight="1" x14ac:dyDescent="0.2">
      <c r="A450" s="10" t="s">
        <v>2538</v>
      </c>
      <c r="B450" s="39">
        <v>104035</v>
      </c>
      <c r="C450" s="42" t="s">
        <v>3345</v>
      </c>
      <c r="D450" s="10" t="s">
        <v>2945</v>
      </c>
      <c r="E450" s="14" t="s">
        <v>1901</v>
      </c>
      <c r="F450" s="1" t="s">
        <v>91</v>
      </c>
      <c r="G450" s="1" t="s">
        <v>2578</v>
      </c>
      <c r="H450" s="1"/>
      <c r="I450" s="1">
        <v>35</v>
      </c>
      <c r="J450" s="1"/>
      <c r="K450" s="1"/>
      <c r="L450" s="1"/>
      <c r="M450" s="1"/>
      <c r="O450" s="16" t="s">
        <v>367</v>
      </c>
      <c r="P450" s="1">
        <v>1</v>
      </c>
      <c r="Q450" s="15"/>
      <c r="R450" s="15"/>
      <c r="S450" s="15"/>
      <c r="T450" s="15"/>
      <c r="U450" s="15"/>
      <c r="V450" s="1"/>
      <c r="W450" s="1"/>
      <c r="X450" s="1"/>
      <c r="Y450" s="15">
        <v>13800</v>
      </c>
      <c r="Z450" s="15"/>
      <c r="AA450" s="15"/>
      <c r="AB450" s="17"/>
      <c r="AC450" s="82"/>
      <c r="AD450" s="16" t="s">
        <v>52</v>
      </c>
      <c r="AE450" s="16" t="s">
        <v>1903</v>
      </c>
      <c r="AF450" s="16"/>
      <c r="AG450" s="16"/>
      <c r="AH450" s="16"/>
      <c r="AI450" s="16">
        <v>15035</v>
      </c>
      <c r="AJ450" s="16"/>
      <c r="AK450" s="16"/>
      <c r="AL450" s="16"/>
      <c r="AM450" s="16"/>
      <c r="AN450" s="16"/>
      <c r="AO450" s="16"/>
      <c r="AP450" s="16"/>
      <c r="AR450" s="88"/>
      <c r="AS450" s="88"/>
      <c r="AU450" s="12" t="s">
        <v>1931</v>
      </c>
      <c r="AV450" s="19"/>
      <c r="AW450" s="39">
        <v>90</v>
      </c>
      <c r="AY450" s="33"/>
      <c r="AZ450" s="33"/>
      <c r="BA450" s="33"/>
    </row>
    <row r="451" spans="1:53" ht="12" customHeight="1" x14ac:dyDescent="0.2">
      <c r="A451" s="10" t="s">
        <v>2539</v>
      </c>
      <c r="B451" s="39">
        <v>104036</v>
      </c>
      <c r="C451" s="42" t="s">
        <v>3346</v>
      </c>
      <c r="D451" s="10" t="s">
        <v>2945</v>
      </c>
      <c r="E451" s="14" t="s">
        <v>1901</v>
      </c>
      <c r="F451" s="1" t="s">
        <v>88</v>
      </c>
      <c r="G451" s="1" t="s">
        <v>2578</v>
      </c>
      <c r="H451" s="1"/>
      <c r="I451" s="1">
        <v>36</v>
      </c>
      <c r="J451" s="1"/>
      <c r="K451" s="1"/>
      <c r="L451" s="1"/>
      <c r="M451" s="1"/>
      <c r="O451" s="16" t="s">
        <v>367</v>
      </c>
      <c r="P451" s="1">
        <v>1</v>
      </c>
      <c r="Q451" s="15"/>
      <c r="R451" s="15"/>
      <c r="S451" s="15"/>
      <c r="T451" s="15"/>
      <c r="U451" s="15"/>
      <c r="V451" s="1"/>
      <c r="W451" s="1"/>
      <c r="X451" s="1"/>
      <c r="Y451" s="15">
        <v>13800</v>
      </c>
      <c r="Z451" s="15"/>
      <c r="AA451" s="15"/>
      <c r="AB451" s="17"/>
      <c r="AC451" s="82"/>
      <c r="AD451" s="16" t="s">
        <v>52</v>
      </c>
      <c r="AE451" s="16" t="s">
        <v>1903</v>
      </c>
      <c r="AF451" s="16"/>
      <c r="AG451" s="16"/>
      <c r="AH451" s="16"/>
      <c r="AI451" s="16">
        <v>15036</v>
      </c>
      <c r="AJ451" s="16"/>
      <c r="AK451" s="16"/>
      <c r="AL451" s="16"/>
      <c r="AM451" s="16"/>
      <c r="AN451" s="16"/>
      <c r="AO451" s="16"/>
      <c r="AP451" s="16"/>
      <c r="AR451" s="88"/>
      <c r="AS451" s="88"/>
      <c r="AU451" s="12" t="s">
        <v>1931</v>
      </c>
      <c r="AV451" s="19"/>
      <c r="AW451" s="39">
        <v>90</v>
      </c>
      <c r="AY451" s="33"/>
      <c r="AZ451" s="33"/>
      <c r="BA451" s="33"/>
    </row>
    <row r="452" spans="1:53" ht="12" customHeight="1" x14ac:dyDescent="0.2">
      <c r="A452" s="10" t="s">
        <v>2540</v>
      </c>
      <c r="B452" s="39">
        <v>104037</v>
      </c>
      <c r="C452" s="42" t="s">
        <v>3347</v>
      </c>
      <c r="D452" s="10" t="s">
        <v>2945</v>
      </c>
      <c r="E452" s="14" t="s">
        <v>1901</v>
      </c>
      <c r="F452" s="1" t="s">
        <v>396</v>
      </c>
      <c r="G452" s="1" t="s">
        <v>2578</v>
      </c>
      <c r="H452" s="1"/>
      <c r="I452" s="1">
        <v>37</v>
      </c>
      <c r="J452" s="1"/>
      <c r="K452" s="1"/>
      <c r="L452" s="1"/>
      <c r="M452" s="1"/>
      <c r="O452" s="16" t="s">
        <v>367</v>
      </c>
      <c r="P452" s="1">
        <v>1</v>
      </c>
      <c r="Q452" s="15"/>
      <c r="R452" s="15"/>
      <c r="S452" s="15"/>
      <c r="T452" s="15"/>
      <c r="U452" s="15"/>
      <c r="V452" s="1"/>
      <c r="W452" s="1"/>
      <c r="X452" s="1"/>
      <c r="Y452" s="15">
        <v>13800</v>
      </c>
      <c r="Z452" s="15"/>
      <c r="AA452" s="15"/>
      <c r="AB452" s="17"/>
      <c r="AC452" s="82"/>
      <c r="AD452" s="16" t="s">
        <v>52</v>
      </c>
      <c r="AE452" s="16" t="s">
        <v>1903</v>
      </c>
      <c r="AF452" s="16"/>
      <c r="AG452" s="16"/>
      <c r="AH452" s="16"/>
      <c r="AI452" s="16">
        <v>15037</v>
      </c>
      <c r="AJ452" s="16"/>
      <c r="AK452" s="16"/>
      <c r="AL452" s="16"/>
      <c r="AM452" s="16"/>
      <c r="AN452" s="16"/>
      <c r="AO452" s="16"/>
      <c r="AP452" s="16"/>
      <c r="AR452" s="88"/>
      <c r="AS452" s="88"/>
      <c r="AU452" s="12" t="s">
        <v>1931</v>
      </c>
      <c r="AV452" s="19"/>
      <c r="AW452" s="39">
        <v>90</v>
      </c>
      <c r="AY452" s="33"/>
      <c r="AZ452" s="33"/>
      <c r="BA452" s="33"/>
    </row>
    <row r="453" spans="1:53" ht="12" customHeight="1" x14ac:dyDescent="0.2">
      <c r="A453" s="10" t="s">
        <v>2541</v>
      </c>
      <c r="B453" s="39">
        <v>104038</v>
      </c>
      <c r="C453" s="42" t="s">
        <v>3348</v>
      </c>
      <c r="D453" s="10" t="s">
        <v>2945</v>
      </c>
      <c r="E453" s="14" t="s">
        <v>1901</v>
      </c>
      <c r="F453" s="1" t="s">
        <v>396</v>
      </c>
      <c r="G453" s="1" t="s">
        <v>2578</v>
      </c>
      <c r="H453" s="1"/>
      <c r="I453" s="1">
        <v>38</v>
      </c>
      <c r="J453" s="1"/>
      <c r="K453" s="1"/>
      <c r="L453" s="1"/>
      <c r="M453" s="1"/>
      <c r="O453" s="16" t="s">
        <v>367</v>
      </c>
      <c r="P453" s="1">
        <v>1</v>
      </c>
      <c r="Q453" s="15"/>
      <c r="R453" s="15"/>
      <c r="S453" s="15"/>
      <c r="T453" s="15"/>
      <c r="U453" s="15"/>
      <c r="V453" s="1"/>
      <c r="W453" s="1"/>
      <c r="X453" s="1"/>
      <c r="Y453" s="15">
        <v>13800</v>
      </c>
      <c r="Z453" s="15"/>
      <c r="AA453" s="15"/>
      <c r="AB453" s="17"/>
      <c r="AC453" s="82"/>
      <c r="AD453" s="16" t="s">
        <v>52</v>
      </c>
      <c r="AE453" s="16" t="s">
        <v>1903</v>
      </c>
      <c r="AF453" s="16"/>
      <c r="AG453" s="16"/>
      <c r="AH453" s="16"/>
      <c r="AI453" s="16">
        <v>15038</v>
      </c>
      <c r="AJ453" s="16"/>
      <c r="AK453" s="16"/>
      <c r="AL453" s="16"/>
      <c r="AM453" s="16"/>
      <c r="AN453" s="16"/>
      <c r="AO453" s="16"/>
      <c r="AP453" s="16"/>
      <c r="AR453" s="88"/>
      <c r="AS453" s="88"/>
      <c r="AU453" s="12" t="s">
        <v>1931</v>
      </c>
      <c r="AV453" s="19"/>
      <c r="AW453" s="39">
        <v>90</v>
      </c>
      <c r="AY453" s="33"/>
      <c r="AZ453" s="33"/>
      <c r="BA453" s="33"/>
    </row>
    <row r="454" spans="1:53" ht="12" customHeight="1" x14ac:dyDescent="0.2">
      <c r="A454" s="10" t="s">
        <v>2542</v>
      </c>
      <c r="B454" s="39">
        <v>104039</v>
      </c>
      <c r="C454" s="42" t="s">
        <v>3349</v>
      </c>
      <c r="D454" s="10" t="s">
        <v>2945</v>
      </c>
      <c r="E454" s="14" t="s">
        <v>1901</v>
      </c>
      <c r="F454" s="1" t="s">
        <v>394</v>
      </c>
      <c r="G454" s="1" t="s">
        <v>2578</v>
      </c>
      <c r="H454" s="1"/>
      <c r="I454" s="1">
        <v>39</v>
      </c>
      <c r="J454" s="1"/>
      <c r="K454" s="1"/>
      <c r="L454" s="1"/>
      <c r="M454" s="1"/>
      <c r="O454" s="16" t="s">
        <v>367</v>
      </c>
      <c r="P454" s="1">
        <v>1</v>
      </c>
      <c r="Q454" s="15"/>
      <c r="R454" s="15"/>
      <c r="S454" s="15"/>
      <c r="T454" s="15"/>
      <c r="U454" s="15"/>
      <c r="V454" s="1"/>
      <c r="W454" s="1"/>
      <c r="X454" s="1"/>
      <c r="Y454" s="15">
        <v>13800</v>
      </c>
      <c r="Z454" s="15"/>
      <c r="AA454" s="15"/>
      <c r="AB454" s="17"/>
      <c r="AC454" s="82"/>
      <c r="AD454" s="16" t="s">
        <v>52</v>
      </c>
      <c r="AE454" s="16" t="s">
        <v>1903</v>
      </c>
      <c r="AF454" s="16"/>
      <c r="AG454" s="16"/>
      <c r="AH454" s="16"/>
      <c r="AI454" s="16">
        <v>15039</v>
      </c>
      <c r="AJ454" s="16"/>
      <c r="AK454" s="16"/>
      <c r="AL454" s="16"/>
      <c r="AM454" s="16"/>
      <c r="AN454" s="16"/>
      <c r="AO454" s="16"/>
      <c r="AP454" s="16"/>
      <c r="AR454" s="88"/>
      <c r="AS454" s="88"/>
      <c r="AU454" s="12" t="s">
        <v>1931</v>
      </c>
      <c r="AV454" s="19"/>
      <c r="AW454" s="39">
        <v>90</v>
      </c>
      <c r="AY454" s="33"/>
      <c r="AZ454" s="33"/>
      <c r="BA454" s="33"/>
    </row>
    <row r="455" spans="1:53" ht="12" customHeight="1" x14ac:dyDescent="0.2">
      <c r="A455" s="10" t="s">
        <v>2543</v>
      </c>
      <c r="B455" s="39">
        <v>104040</v>
      </c>
      <c r="C455" s="42" t="s">
        <v>3350</v>
      </c>
      <c r="D455" s="10" t="s">
        <v>2945</v>
      </c>
      <c r="E455" s="14" t="s">
        <v>1901</v>
      </c>
      <c r="F455" s="1" t="s">
        <v>89</v>
      </c>
      <c r="G455" s="1" t="s">
        <v>2578</v>
      </c>
      <c r="H455" s="1"/>
      <c r="I455" s="1">
        <v>40</v>
      </c>
      <c r="J455" s="1"/>
      <c r="K455" s="1"/>
      <c r="L455" s="1"/>
      <c r="M455" s="1"/>
      <c r="O455" s="16" t="s">
        <v>367</v>
      </c>
      <c r="P455" s="1">
        <v>1</v>
      </c>
      <c r="Q455" s="15"/>
      <c r="R455" s="15"/>
      <c r="S455" s="15"/>
      <c r="T455" s="15"/>
      <c r="U455" s="15"/>
      <c r="V455" s="1"/>
      <c r="W455" s="1"/>
      <c r="X455" s="1"/>
      <c r="Y455" s="15">
        <v>13800</v>
      </c>
      <c r="Z455" s="15"/>
      <c r="AA455" s="15"/>
      <c r="AB455" s="17"/>
      <c r="AC455" s="82"/>
      <c r="AD455" s="16" t="s">
        <v>52</v>
      </c>
      <c r="AE455" s="16" t="s">
        <v>1903</v>
      </c>
      <c r="AF455" s="16"/>
      <c r="AG455" s="16"/>
      <c r="AH455" s="16"/>
      <c r="AI455" s="16">
        <v>15040</v>
      </c>
      <c r="AJ455" s="16"/>
      <c r="AK455" s="16"/>
      <c r="AL455" s="16"/>
      <c r="AM455" s="16"/>
      <c r="AN455" s="16"/>
      <c r="AO455" s="16"/>
      <c r="AP455" s="16"/>
      <c r="AR455" s="88"/>
      <c r="AS455" s="88"/>
      <c r="AU455" s="12" t="s">
        <v>1931</v>
      </c>
      <c r="AV455" s="19"/>
      <c r="AW455" s="39">
        <v>90</v>
      </c>
      <c r="AY455" s="33"/>
      <c r="AZ455" s="33"/>
      <c r="BA455" s="33"/>
    </row>
    <row r="456" spans="1:53" ht="12" customHeight="1" x14ac:dyDescent="0.2">
      <c r="A456" s="10" t="s">
        <v>2544</v>
      </c>
      <c r="B456" s="39">
        <v>104041</v>
      </c>
      <c r="C456" s="42" t="s">
        <v>3351</v>
      </c>
      <c r="D456" s="10" t="s">
        <v>2945</v>
      </c>
      <c r="E456" s="14" t="s">
        <v>1901</v>
      </c>
      <c r="F456" s="1" t="s">
        <v>394</v>
      </c>
      <c r="G456" s="1" t="s">
        <v>2578</v>
      </c>
      <c r="H456" s="1"/>
      <c r="I456" s="1">
        <v>41</v>
      </c>
      <c r="J456" s="1"/>
      <c r="K456" s="1"/>
      <c r="L456" s="1"/>
      <c r="M456" s="1"/>
      <c r="O456" s="16" t="s">
        <v>367</v>
      </c>
      <c r="P456" s="1">
        <v>1</v>
      </c>
      <c r="Q456" s="15"/>
      <c r="R456" s="15"/>
      <c r="S456" s="15"/>
      <c r="T456" s="15"/>
      <c r="U456" s="15"/>
      <c r="V456" s="1"/>
      <c r="W456" s="1"/>
      <c r="X456" s="1"/>
      <c r="Y456" s="15">
        <v>13800</v>
      </c>
      <c r="Z456" s="15"/>
      <c r="AA456" s="15"/>
      <c r="AB456" s="17"/>
      <c r="AC456" s="82"/>
      <c r="AD456" s="16" t="s">
        <v>52</v>
      </c>
      <c r="AE456" s="16" t="s">
        <v>1903</v>
      </c>
      <c r="AF456" s="16"/>
      <c r="AG456" s="16"/>
      <c r="AH456" s="16"/>
      <c r="AI456" s="16">
        <v>15041</v>
      </c>
      <c r="AJ456" s="16"/>
      <c r="AK456" s="16"/>
      <c r="AL456" s="16"/>
      <c r="AM456" s="16"/>
      <c r="AN456" s="16"/>
      <c r="AO456" s="16"/>
      <c r="AP456" s="16"/>
      <c r="AR456" s="88"/>
      <c r="AS456" s="88"/>
      <c r="AU456" s="12" t="s">
        <v>1931</v>
      </c>
      <c r="AV456" s="19"/>
      <c r="AW456" s="39">
        <v>90</v>
      </c>
      <c r="AY456" s="33"/>
      <c r="AZ456" s="33"/>
      <c r="BA456" s="33"/>
    </row>
    <row r="457" spans="1:53" ht="12" customHeight="1" x14ac:dyDescent="0.2">
      <c r="A457" s="10" t="s">
        <v>2545</v>
      </c>
      <c r="B457" s="39">
        <v>104042</v>
      </c>
      <c r="C457" s="42" t="s">
        <v>3352</v>
      </c>
      <c r="D457" s="10" t="s">
        <v>2945</v>
      </c>
      <c r="E457" s="14" t="s">
        <v>1901</v>
      </c>
      <c r="F457" s="1" t="s">
        <v>91</v>
      </c>
      <c r="G457" s="1" t="s">
        <v>2578</v>
      </c>
      <c r="H457" s="1"/>
      <c r="I457" s="1">
        <v>42</v>
      </c>
      <c r="J457" s="1"/>
      <c r="K457" s="1"/>
      <c r="L457" s="1"/>
      <c r="M457" s="1"/>
      <c r="O457" s="16" t="s">
        <v>367</v>
      </c>
      <c r="P457" s="1">
        <v>1</v>
      </c>
      <c r="Q457" s="15"/>
      <c r="R457" s="15"/>
      <c r="S457" s="15"/>
      <c r="T457" s="15"/>
      <c r="U457" s="15"/>
      <c r="V457" s="1"/>
      <c r="W457" s="1"/>
      <c r="X457" s="1"/>
      <c r="Y457" s="15">
        <v>13800</v>
      </c>
      <c r="Z457" s="15"/>
      <c r="AA457" s="15"/>
      <c r="AB457" s="17"/>
      <c r="AC457" s="82"/>
      <c r="AD457" s="16" t="s">
        <v>52</v>
      </c>
      <c r="AE457" s="16" t="s">
        <v>1903</v>
      </c>
      <c r="AF457" s="16"/>
      <c r="AG457" s="16"/>
      <c r="AH457" s="16"/>
      <c r="AI457" s="16">
        <v>15042</v>
      </c>
      <c r="AJ457" s="16"/>
      <c r="AK457" s="16"/>
      <c r="AL457" s="16"/>
      <c r="AM457" s="16"/>
      <c r="AN457" s="16"/>
      <c r="AO457" s="16"/>
      <c r="AP457" s="16"/>
      <c r="AR457" s="88"/>
      <c r="AS457" s="88"/>
      <c r="AU457" s="12" t="s">
        <v>1931</v>
      </c>
      <c r="AV457" s="19"/>
      <c r="AW457" s="39">
        <v>90</v>
      </c>
      <c r="AY457" s="33"/>
      <c r="AZ457" s="33"/>
      <c r="BA457" s="33"/>
    </row>
    <row r="458" spans="1:53" ht="12" customHeight="1" x14ac:dyDescent="0.2">
      <c r="A458" s="10" t="s">
        <v>2546</v>
      </c>
      <c r="B458" s="39">
        <v>104043</v>
      </c>
      <c r="C458" s="42" t="s">
        <v>3353</v>
      </c>
      <c r="D458" s="10" t="s">
        <v>2945</v>
      </c>
      <c r="E458" s="14" t="s">
        <v>1901</v>
      </c>
      <c r="F458" s="1" t="s">
        <v>89</v>
      </c>
      <c r="G458" s="1" t="s">
        <v>2578</v>
      </c>
      <c r="H458" s="1"/>
      <c r="I458" s="1">
        <v>43</v>
      </c>
      <c r="J458" s="1"/>
      <c r="K458" s="1"/>
      <c r="L458" s="1"/>
      <c r="M458" s="1"/>
      <c r="O458" s="16" t="s">
        <v>367</v>
      </c>
      <c r="P458" s="1">
        <v>1</v>
      </c>
      <c r="Q458" s="15"/>
      <c r="R458" s="15"/>
      <c r="S458" s="15"/>
      <c r="T458" s="15"/>
      <c r="U458" s="15"/>
      <c r="V458" s="1"/>
      <c r="W458" s="1"/>
      <c r="X458" s="1"/>
      <c r="Y458" s="15">
        <v>13800</v>
      </c>
      <c r="Z458" s="15"/>
      <c r="AA458" s="15"/>
      <c r="AB458" s="17"/>
      <c r="AC458" s="82"/>
      <c r="AD458" s="16" t="s">
        <v>52</v>
      </c>
      <c r="AE458" s="16" t="s">
        <v>1903</v>
      </c>
      <c r="AF458" s="16"/>
      <c r="AG458" s="16"/>
      <c r="AH458" s="16"/>
      <c r="AI458" s="16">
        <v>15043</v>
      </c>
      <c r="AJ458" s="16"/>
      <c r="AK458" s="16"/>
      <c r="AL458" s="16"/>
      <c r="AM458" s="16"/>
      <c r="AN458" s="16"/>
      <c r="AO458" s="16"/>
      <c r="AP458" s="16"/>
      <c r="AR458" s="88"/>
      <c r="AS458" s="88"/>
      <c r="AU458" s="12" t="s">
        <v>1931</v>
      </c>
      <c r="AV458" s="19"/>
      <c r="AW458" s="39">
        <v>90</v>
      </c>
      <c r="AY458" s="33"/>
      <c r="AZ458" s="33"/>
      <c r="BA458" s="33"/>
    </row>
    <row r="459" spans="1:53" ht="12" customHeight="1" x14ac:dyDescent="0.2">
      <c r="A459" s="10" t="s">
        <v>2547</v>
      </c>
      <c r="B459" s="39">
        <v>104044</v>
      </c>
      <c r="C459" s="42" t="s">
        <v>3354</v>
      </c>
      <c r="D459" s="10" t="s">
        <v>2945</v>
      </c>
      <c r="E459" s="14" t="s">
        <v>1901</v>
      </c>
      <c r="F459" s="1" t="s">
        <v>89</v>
      </c>
      <c r="G459" s="1" t="s">
        <v>2578</v>
      </c>
      <c r="H459" s="1"/>
      <c r="I459" s="1">
        <v>44</v>
      </c>
      <c r="J459" s="1"/>
      <c r="K459" s="1"/>
      <c r="L459" s="1"/>
      <c r="M459" s="1"/>
      <c r="O459" s="16" t="s">
        <v>367</v>
      </c>
      <c r="P459" s="1">
        <v>1</v>
      </c>
      <c r="Q459" s="15"/>
      <c r="R459" s="15"/>
      <c r="S459" s="15"/>
      <c r="T459" s="15"/>
      <c r="U459" s="15"/>
      <c r="V459" s="1"/>
      <c r="W459" s="1"/>
      <c r="X459" s="1"/>
      <c r="Y459" s="15">
        <v>13800</v>
      </c>
      <c r="Z459" s="15"/>
      <c r="AA459" s="15"/>
      <c r="AB459" s="17"/>
      <c r="AC459" s="82"/>
      <c r="AD459" s="16" t="s">
        <v>52</v>
      </c>
      <c r="AE459" s="16" t="s">
        <v>1903</v>
      </c>
      <c r="AF459" s="16"/>
      <c r="AG459" s="16"/>
      <c r="AH459" s="16"/>
      <c r="AI459" s="16">
        <v>15044</v>
      </c>
      <c r="AJ459" s="16"/>
      <c r="AK459" s="16"/>
      <c r="AL459" s="16"/>
      <c r="AM459" s="16"/>
      <c r="AN459" s="16"/>
      <c r="AO459" s="16"/>
      <c r="AP459" s="16"/>
      <c r="AR459" s="88"/>
      <c r="AS459" s="88"/>
      <c r="AU459" s="12" t="s">
        <v>1931</v>
      </c>
      <c r="AV459" s="19"/>
      <c r="AW459" s="39">
        <v>90</v>
      </c>
      <c r="AY459" s="33"/>
      <c r="AZ459" s="33"/>
      <c r="BA459" s="33"/>
    </row>
    <row r="460" spans="1:53" ht="12" customHeight="1" x14ac:dyDescent="0.2">
      <c r="A460" s="10" t="s">
        <v>2548</v>
      </c>
      <c r="B460" s="39">
        <v>104045</v>
      </c>
      <c r="C460" s="42" t="s">
        <v>3355</v>
      </c>
      <c r="D460" s="10" t="s">
        <v>2945</v>
      </c>
      <c r="E460" s="14" t="s">
        <v>1901</v>
      </c>
      <c r="F460" s="1" t="s">
        <v>90</v>
      </c>
      <c r="G460" s="1" t="s">
        <v>2578</v>
      </c>
      <c r="H460" s="1"/>
      <c r="I460" s="1">
        <v>45</v>
      </c>
      <c r="J460" s="1"/>
      <c r="K460" s="1"/>
      <c r="L460" s="1"/>
      <c r="M460" s="1"/>
      <c r="O460" s="16" t="s">
        <v>367</v>
      </c>
      <c r="P460" s="1">
        <v>1</v>
      </c>
      <c r="Q460" s="15"/>
      <c r="R460" s="15"/>
      <c r="S460" s="15"/>
      <c r="T460" s="15"/>
      <c r="U460" s="15"/>
      <c r="V460" s="1"/>
      <c r="W460" s="1"/>
      <c r="X460" s="1"/>
      <c r="Y460" s="15">
        <v>13800</v>
      </c>
      <c r="Z460" s="15"/>
      <c r="AA460" s="15"/>
      <c r="AB460" s="17"/>
      <c r="AC460" s="82"/>
      <c r="AD460" s="16" t="s">
        <v>52</v>
      </c>
      <c r="AE460" s="16" t="s">
        <v>1903</v>
      </c>
      <c r="AF460" s="16"/>
      <c r="AG460" s="16"/>
      <c r="AH460" s="16"/>
      <c r="AI460" s="16">
        <v>15045</v>
      </c>
      <c r="AJ460" s="16"/>
      <c r="AK460" s="16"/>
      <c r="AL460" s="16"/>
      <c r="AM460" s="16"/>
      <c r="AN460" s="16"/>
      <c r="AO460" s="16"/>
      <c r="AP460" s="16"/>
      <c r="AR460" s="88"/>
      <c r="AS460" s="88"/>
      <c r="AU460" s="12" t="s">
        <v>1931</v>
      </c>
      <c r="AV460" s="19"/>
      <c r="AW460" s="39">
        <v>90</v>
      </c>
      <c r="AY460" s="33"/>
      <c r="AZ460" s="33"/>
      <c r="BA460" s="33"/>
    </row>
    <row r="461" spans="1:53" ht="12" customHeight="1" x14ac:dyDescent="0.2">
      <c r="A461" s="10" t="s">
        <v>2549</v>
      </c>
      <c r="B461" s="39">
        <v>104046</v>
      </c>
      <c r="C461" s="42" t="s">
        <v>3356</v>
      </c>
      <c r="D461" s="10" t="s">
        <v>2945</v>
      </c>
      <c r="E461" s="14" t="s">
        <v>1901</v>
      </c>
      <c r="F461" s="1" t="s">
        <v>90</v>
      </c>
      <c r="G461" s="1" t="s">
        <v>2578</v>
      </c>
      <c r="H461" s="1"/>
      <c r="I461" s="1">
        <v>46</v>
      </c>
      <c r="J461" s="1"/>
      <c r="K461" s="1"/>
      <c r="L461" s="1"/>
      <c r="M461" s="1"/>
      <c r="O461" s="16" t="s">
        <v>367</v>
      </c>
      <c r="P461" s="1">
        <v>1</v>
      </c>
      <c r="Q461" s="15"/>
      <c r="R461" s="15"/>
      <c r="S461" s="15"/>
      <c r="T461" s="15"/>
      <c r="U461" s="15"/>
      <c r="V461" s="1"/>
      <c r="W461" s="1"/>
      <c r="X461" s="1"/>
      <c r="Y461" s="15">
        <v>13800</v>
      </c>
      <c r="Z461" s="15"/>
      <c r="AA461" s="15"/>
      <c r="AB461" s="17"/>
      <c r="AC461" s="82"/>
      <c r="AD461" s="16" t="s">
        <v>52</v>
      </c>
      <c r="AE461" s="16" t="s">
        <v>1903</v>
      </c>
      <c r="AF461" s="16"/>
      <c r="AG461" s="16"/>
      <c r="AH461" s="16"/>
      <c r="AI461" s="16">
        <v>15046</v>
      </c>
      <c r="AJ461" s="16"/>
      <c r="AK461" s="16"/>
      <c r="AL461" s="16"/>
      <c r="AM461" s="16"/>
      <c r="AN461" s="16"/>
      <c r="AO461" s="16"/>
      <c r="AP461" s="16"/>
      <c r="AR461" s="88"/>
      <c r="AS461" s="88"/>
      <c r="AU461" s="12" t="s">
        <v>1931</v>
      </c>
      <c r="AV461" s="19"/>
      <c r="AW461" s="39">
        <v>90</v>
      </c>
      <c r="AY461" s="33"/>
      <c r="AZ461" s="33"/>
      <c r="BA461" s="33"/>
    </row>
    <row r="462" spans="1:53" ht="12" customHeight="1" x14ac:dyDescent="0.2">
      <c r="A462" s="10" t="s">
        <v>2817</v>
      </c>
      <c r="B462" s="39">
        <v>104047</v>
      </c>
      <c r="C462" s="42" t="s">
        <v>3357</v>
      </c>
      <c r="D462" s="10" t="s">
        <v>2945</v>
      </c>
      <c r="E462" s="14" t="s">
        <v>1901</v>
      </c>
      <c r="F462" s="1" t="s">
        <v>90</v>
      </c>
      <c r="G462" s="1" t="s">
        <v>2578</v>
      </c>
      <c r="H462" s="1"/>
      <c r="I462" s="1">
        <v>47</v>
      </c>
      <c r="J462" s="1"/>
      <c r="K462" s="1"/>
      <c r="L462" s="1"/>
      <c r="M462" s="1"/>
      <c r="O462" s="16" t="s">
        <v>367</v>
      </c>
      <c r="P462" s="1">
        <v>1</v>
      </c>
      <c r="Q462" s="15"/>
      <c r="R462" s="15"/>
      <c r="S462" s="15"/>
      <c r="T462" s="15"/>
      <c r="U462" s="15"/>
      <c r="V462" s="1"/>
      <c r="W462" s="1"/>
      <c r="X462" s="1"/>
      <c r="Y462" s="15">
        <v>13800</v>
      </c>
      <c r="Z462" s="15"/>
      <c r="AA462" s="15"/>
      <c r="AB462" s="17"/>
      <c r="AC462" s="82"/>
      <c r="AD462" s="16" t="s">
        <v>52</v>
      </c>
      <c r="AE462" s="16" t="s">
        <v>1903</v>
      </c>
      <c r="AF462" s="16"/>
      <c r="AG462" s="16"/>
      <c r="AH462" s="16"/>
      <c r="AI462" s="16" t="s">
        <v>2818</v>
      </c>
      <c r="AJ462" s="16"/>
      <c r="AK462" s="16"/>
      <c r="AL462" s="16"/>
      <c r="AM462" s="16"/>
      <c r="AN462" s="16"/>
      <c r="AO462" s="16"/>
      <c r="AP462" s="16"/>
      <c r="AR462" s="88"/>
      <c r="AS462" s="88"/>
      <c r="AU462" s="12" t="s">
        <v>1931</v>
      </c>
      <c r="AV462" s="19"/>
      <c r="AW462" s="39">
        <v>90</v>
      </c>
      <c r="AY462" s="33"/>
      <c r="AZ462" s="33"/>
      <c r="BA462" s="33"/>
    </row>
    <row r="463" spans="1:53" ht="12" customHeight="1" x14ac:dyDescent="0.2">
      <c r="A463" s="10" t="s">
        <v>2897</v>
      </c>
      <c r="B463" s="39">
        <v>104048</v>
      </c>
      <c r="C463" s="42" t="s">
        <v>3358</v>
      </c>
      <c r="D463" s="10" t="s">
        <v>2945</v>
      </c>
      <c r="E463" s="14" t="s">
        <v>1901</v>
      </c>
      <c r="F463" s="1" t="s">
        <v>394</v>
      </c>
      <c r="G463" s="1" t="s">
        <v>2578</v>
      </c>
      <c r="H463" s="1"/>
      <c r="I463" s="1">
        <v>48</v>
      </c>
      <c r="J463" s="1"/>
      <c r="K463" s="1"/>
      <c r="L463" s="1"/>
      <c r="M463" s="1"/>
      <c r="O463" s="16" t="s">
        <v>367</v>
      </c>
      <c r="P463" s="1">
        <v>1</v>
      </c>
      <c r="Q463" s="15"/>
      <c r="R463" s="15"/>
      <c r="S463" s="15"/>
      <c r="T463" s="15"/>
      <c r="U463" s="15"/>
      <c r="V463" s="1"/>
      <c r="W463" s="1"/>
      <c r="X463" s="1"/>
      <c r="Y463" s="15">
        <v>13800</v>
      </c>
      <c r="Z463" s="15"/>
      <c r="AA463" s="15"/>
      <c r="AB463" s="17"/>
      <c r="AC463" s="82"/>
      <c r="AD463" s="16" t="s">
        <v>52</v>
      </c>
      <c r="AE463" s="16" t="s">
        <v>1903</v>
      </c>
      <c r="AF463" s="16"/>
      <c r="AG463" s="16"/>
      <c r="AH463" s="16"/>
      <c r="AI463" s="16" t="s">
        <v>2898</v>
      </c>
      <c r="AJ463" s="16"/>
      <c r="AK463" s="16"/>
      <c r="AL463" s="16"/>
      <c r="AM463" s="16"/>
      <c r="AN463" s="16"/>
      <c r="AO463" s="16"/>
      <c r="AP463" s="16"/>
      <c r="AR463" s="88"/>
      <c r="AS463" s="88"/>
      <c r="AU463" s="12" t="s">
        <v>1931</v>
      </c>
      <c r="AV463" s="19"/>
      <c r="AW463" s="39">
        <v>90</v>
      </c>
      <c r="AY463" s="33"/>
      <c r="AZ463" s="33"/>
      <c r="BA463" s="33"/>
    </row>
    <row r="464" spans="1:53" ht="12" customHeight="1" x14ac:dyDescent="0.2">
      <c r="A464" s="10" t="s">
        <v>2550</v>
      </c>
      <c r="B464" s="39">
        <v>104049</v>
      </c>
      <c r="C464" s="42" t="s">
        <v>3359</v>
      </c>
      <c r="D464" s="10" t="s">
        <v>2945</v>
      </c>
      <c r="E464" s="14" t="s">
        <v>1901</v>
      </c>
      <c r="F464" s="1" t="s">
        <v>395</v>
      </c>
      <c r="G464" s="1" t="s">
        <v>2578</v>
      </c>
      <c r="H464" s="1"/>
      <c r="I464" s="1">
        <v>49</v>
      </c>
      <c r="J464" s="1"/>
      <c r="K464" s="1"/>
      <c r="L464" s="1"/>
      <c r="M464" s="1"/>
      <c r="O464" s="16" t="s">
        <v>367</v>
      </c>
      <c r="P464" s="1">
        <v>1</v>
      </c>
      <c r="Q464" s="15"/>
      <c r="R464" s="15"/>
      <c r="S464" s="15"/>
      <c r="T464" s="15"/>
      <c r="U464" s="15"/>
      <c r="V464" s="1"/>
      <c r="W464" s="1"/>
      <c r="X464" s="1"/>
      <c r="Y464" s="15">
        <v>13800</v>
      </c>
      <c r="Z464" s="15"/>
      <c r="AA464" s="15"/>
      <c r="AB464" s="17"/>
      <c r="AC464" s="82"/>
      <c r="AD464" s="16" t="s">
        <v>52</v>
      </c>
      <c r="AE464" s="16" t="s">
        <v>1903</v>
      </c>
      <c r="AF464" s="16"/>
      <c r="AG464" s="16"/>
      <c r="AH464" s="16"/>
      <c r="AI464" s="16">
        <v>15049</v>
      </c>
      <c r="AJ464" s="16"/>
      <c r="AK464" s="16"/>
      <c r="AL464" s="16"/>
      <c r="AM464" s="16"/>
      <c r="AN464" s="16"/>
      <c r="AO464" s="16"/>
      <c r="AP464" s="16"/>
      <c r="AR464" s="88"/>
      <c r="AS464" s="88"/>
      <c r="AU464" s="12" t="s">
        <v>1931</v>
      </c>
      <c r="AV464" s="19"/>
      <c r="AW464" s="39">
        <v>90</v>
      </c>
      <c r="AY464" s="33"/>
      <c r="AZ464" s="33"/>
      <c r="BA464" s="33"/>
    </row>
    <row r="465" spans="1:53" ht="12" customHeight="1" x14ac:dyDescent="0.2">
      <c r="A465" s="10" t="s">
        <v>2551</v>
      </c>
      <c r="B465" s="39">
        <v>104050</v>
      </c>
      <c r="C465" s="42" t="s">
        <v>3360</v>
      </c>
      <c r="D465" s="10" t="s">
        <v>2945</v>
      </c>
      <c r="E465" s="14" t="s">
        <v>1901</v>
      </c>
      <c r="F465" s="1" t="s">
        <v>90</v>
      </c>
      <c r="G465" s="1" t="s">
        <v>2578</v>
      </c>
      <c r="H465" s="1"/>
      <c r="I465" s="1">
        <v>50</v>
      </c>
      <c r="J465" s="1"/>
      <c r="K465" s="1"/>
      <c r="L465" s="1"/>
      <c r="M465" s="1"/>
      <c r="O465" s="16" t="s">
        <v>367</v>
      </c>
      <c r="P465" s="1">
        <v>1</v>
      </c>
      <c r="Q465" s="15"/>
      <c r="R465" s="15"/>
      <c r="S465" s="15"/>
      <c r="T465" s="15"/>
      <c r="U465" s="15"/>
      <c r="V465" s="1"/>
      <c r="W465" s="1"/>
      <c r="X465" s="1"/>
      <c r="Y465" s="15">
        <v>13800</v>
      </c>
      <c r="Z465" s="15"/>
      <c r="AA465" s="15"/>
      <c r="AB465" s="17"/>
      <c r="AC465" s="82"/>
      <c r="AD465" s="16" t="s">
        <v>52</v>
      </c>
      <c r="AE465" s="16" t="s">
        <v>1903</v>
      </c>
      <c r="AF465" s="16"/>
      <c r="AG465" s="16"/>
      <c r="AH465" s="16"/>
      <c r="AI465" s="16">
        <v>15050</v>
      </c>
      <c r="AJ465" s="16"/>
      <c r="AK465" s="16"/>
      <c r="AL465" s="16"/>
      <c r="AM465" s="16"/>
      <c r="AN465" s="16"/>
      <c r="AO465" s="16"/>
      <c r="AP465" s="16"/>
      <c r="AR465" s="88"/>
      <c r="AS465" s="88"/>
      <c r="AU465" s="12" t="s">
        <v>1931</v>
      </c>
      <c r="AV465" s="19"/>
      <c r="AW465" s="39">
        <v>90</v>
      </c>
      <c r="AY465" s="33"/>
      <c r="AZ465" s="33"/>
      <c r="BA465" s="33"/>
    </row>
    <row r="466" spans="1:53" ht="12" customHeight="1" x14ac:dyDescent="0.2">
      <c r="A466" s="10" t="s">
        <v>2552</v>
      </c>
      <c r="B466" s="39">
        <v>104051</v>
      </c>
      <c r="C466" s="42" t="s">
        <v>3361</v>
      </c>
      <c r="D466" s="10" t="s">
        <v>2945</v>
      </c>
      <c r="E466" s="14" t="s">
        <v>1901</v>
      </c>
      <c r="F466" s="1" t="s">
        <v>88</v>
      </c>
      <c r="G466" s="1" t="s">
        <v>2578</v>
      </c>
      <c r="H466" s="1"/>
      <c r="I466" s="1">
        <v>51</v>
      </c>
      <c r="J466" s="1"/>
      <c r="K466" s="1"/>
      <c r="L466" s="1"/>
      <c r="M466" s="1"/>
      <c r="O466" s="16" t="s">
        <v>367</v>
      </c>
      <c r="P466" s="1">
        <v>1</v>
      </c>
      <c r="Q466" s="15"/>
      <c r="R466" s="15"/>
      <c r="S466" s="15"/>
      <c r="T466" s="15"/>
      <c r="U466" s="15"/>
      <c r="V466" s="1"/>
      <c r="W466" s="1"/>
      <c r="X466" s="1"/>
      <c r="Y466" s="15">
        <v>13800</v>
      </c>
      <c r="Z466" s="15"/>
      <c r="AA466" s="15"/>
      <c r="AB466" s="17"/>
      <c r="AC466" s="82"/>
      <c r="AD466" s="16" t="s">
        <v>52</v>
      </c>
      <c r="AE466" s="16" t="s">
        <v>1903</v>
      </c>
      <c r="AF466" s="16"/>
      <c r="AG466" s="16"/>
      <c r="AH466" s="16"/>
      <c r="AI466" s="16">
        <v>15051</v>
      </c>
      <c r="AJ466" s="16"/>
      <c r="AK466" s="16"/>
      <c r="AL466" s="16"/>
      <c r="AM466" s="16"/>
      <c r="AN466" s="16"/>
      <c r="AO466" s="16"/>
      <c r="AP466" s="16"/>
      <c r="AR466" s="88"/>
      <c r="AS466" s="88"/>
      <c r="AU466" s="12" t="s">
        <v>1931</v>
      </c>
      <c r="AV466" s="19"/>
      <c r="AW466" s="39">
        <v>90</v>
      </c>
      <c r="AY466" s="33"/>
      <c r="AZ466" s="33"/>
      <c r="BA466" s="33"/>
    </row>
    <row r="467" spans="1:53" ht="12" customHeight="1" x14ac:dyDescent="0.2">
      <c r="A467" s="10" t="s">
        <v>2553</v>
      </c>
      <c r="B467" s="39">
        <v>104052</v>
      </c>
      <c r="C467" s="42" t="s">
        <v>3362</v>
      </c>
      <c r="D467" s="10" t="s">
        <v>2945</v>
      </c>
      <c r="E467" s="14" t="s">
        <v>1901</v>
      </c>
      <c r="F467" s="1" t="s">
        <v>91</v>
      </c>
      <c r="G467" s="1" t="s">
        <v>2578</v>
      </c>
      <c r="H467" s="1"/>
      <c r="I467" s="1">
        <v>52</v>
      </c>
      <c r="J467" s="1"/>
      <c r="K467" s="1"/>
      <c r="L467" s="1"/>
      <c r="M467" s="1"/>
      <c r="O467" s="16" t="s">
        <v>367</v>
      </c>
      <c r="P467" s="1">
        <v>1</v>
      </c>
      <c r="Q467" s="15"/>
      <c r="R467" s="15"/>
      <c r="S467" s="15"/>
      <c r="T467" s="15"/>
      <c r="U467" s="15"/>
      <c r="V467" s="1"/>
      <c r="W467" s="1"/>
      <c r="X467" s="1"/>
      <c r="Y467" s="15">
        <v>13800</v>
      </c>
      <c r="Z467" s="15"/>
      <c r="AA467" s="15"/>
      <c r="AB467" s="17"/>
      <c r="AC467" s="82"/>
      <c r="AD467" s="16" t="s">
        <v>52</v>
      </c>
      <c r="AE467" s="16" t="s">
        <v>1903</v>
      </c>
      <c r="AF467" s="16"/>
      <c r="AG467" s="16"/>
      <c r="AH467" s="16"/>
      <c r="AI467" s="16">
        <v>15052</v>
      </c>
      <c r="AJ467" s="16"/>
      <c r="AK467" s="16"/>
      <c r="AL467" s="16"/>
      <c r="AM467" s="16"/>
      <c r="AN467" s="16"/>
      <c r="AO467" s="16"/>
      <c r="AP467" s="16"/>
      <c r="AR467" s="88"/>
      <c r="AS467" s="88"/>
      <c r="AU467" s="12" t="s">
        <v>1931</v>
      </c>
      <c r="AV467" s="19"/>
      <c r="AW467" s="39">
        <v>90</v>
      </c>
      <c r="AY467" s="33"/>
      <c r="AZ467" s="33"/>
      <c r="BA467" s="33"/>
    </row>
    <row r="468" spans="1:53" ht="12" customHeight="1" x14ac:dyDescent="0.2">
      <c r="A468" s="10" t="s">
        <v>2554</v>
      </c>
      <c r="B468" s="39">
        <v>104053</v>
      </c>
      <c r="C468" s="42" t="s">
        <v>3363</v>
      </c>
      <c r="D468" s="10" t="s">
        <v>2945</v>
      </c>
      <c r="E468" s="14" t="s">
        <v>1901</v>
      </c>
      <c r="F468" s="1" t="s">
        <v>90</v>
      </c>
      <c r="G468" s="1" t="s">
        <v>2578</v>
      </c>
      <c r="H468" s="1"/>
      <c r="I468" s="1">
        <v>53</v>
      </c>
      <c r="J468" s="1"/>
      <c r="K468" s="1"/>
      <c r="L468" s="1"/>
      <c r="M468" s="1"/>
      <c r="O468" s="16" t="s">
        <v>367</v>
      </c>
      <c r="P468" s="1">
        <v>1</v>
      </c>
      <c r="Q468" s="15"/>
      <c r="R468" s="15"/>
      <c r="S468" s="15"/>
      <c r="T468" s="15"/>
      <c r="U468" s="15"/>
      <c r="V468" s="1"/>
      <c r="W468" s="1"/>
      <c r="X468" s="1"/>
      <c r="Y468" s="15">
        <v>13800</v>
      </c>
      <c r="Z468" s="15"/>
      <c r="AA468" s="15"/>
      <c r="AB468" s="17"/>
      <c r="AC468" s="82"/>
      <c r="AD468" s="16" t="s">
        <v>52</v>
      </c>
      <c r="AE468" s="16" t="s">
        <v>1903</v>
      </c>
      <c r="AF468" s="16"/>
      <c r="AG468" s="16"/>
      <c r="AH468" s="16"/>
      <c r="AI468" s="16">
        <v>15053</v>
      </c>
      <c r="AJ468" s="16"/>
      <c r="AK468" s="16"/>
      <c r="AL468" s="16"/>
      <c r="AM468" s="16"/>
      <c r="AN468" s="16"/>
      <c r="AO468" s="16"/>
      <c r="AP468" s="16"/>
      <c r="AR468" s="88"/>
      <c r="AS468" s="88"/>
      <c r="AU468" s="12" t="s">
        <v>1931</v>
      </c>
      <c r="AV468" s="19"/>
      <c r="AW468" s="39">
        <v>90</v>
      </c>
      <c r="AY468" s="33"/>
      <c r="AZ468" s="33"/>
      <c r="BA468" s="33"/>
    </row>
    <row r="469" spans="1:53" ht="12" customHeight="1" x14ac:dyDescent="0.2">
      <c r="A469" s="10" t="s">
        <v>2555</v>
      </c>
      <c r="B469" s="39">
        <v>104054</v>
      </c>
      <c r="C469" s="42" t="s">
        <v>3364</v>
      </c>
      <c r="D469" s="10" t="s">
        <v>2945</v>
      </c>
      <c r="E469" s="14" t="s">
        <v>1901</v>
      </c>
      <c r="F469" s="1" t="s">
        <v>394</v>
      </c>
      <c r="G469" s="1" t="s">
        <v>2578</v>
      </c>
      <c r="H469" s="1"/>
      <c r="I469" s="1">
        <v>54</v>
      </c>
      <c r="J469" s="1"/>
      <c r="K469" s="1"/>
      <c r="L469" s="1"/>
      <c r="M469" s="1"/>
      <c r="O469" s="16" t="s">
        <v>367</v>
      </c>
      <c r="P469" s="1">
        <v>1</v>
      </c>
      <c r="Q469" s="15"/>
      <c r="R469" s="15"/>
      <c r="S469" s="15"/>
      <c r="T469" s="15"/>
      <c r="U469" s="15"/>
      <c r="V469" s="1"/>
      <c r="W469" s="1"/>
      <c r="X469" s="1"/>
      <c r="Y469" s="15">
        <v>13800</v>
      </c>
      <c r="Z469" s="15"/>
      <c r="AA469" s="15"/>
      <c r="AB469" s="17"/>
      <c r="AC469" s="82"/>
      <c r="AD469" s="16" t="s">
        <v>52</v>
      </c>
      <c r="AE469" s="16" t="s">
        <v>1903</v>
      </c>
      <c r="AF469" s="16"/>
      <c r="AG469" s="16"/>
      <c r="AH469" s="16"/>
      <c r="AI469" s="16">
        <v>15054</v>
      </c>
      <c r="AJ469" s="16"/>
      <c r="AK469" s="16"/>
      <c r="AL469" s="16"/>
      <c r="AM469" s="16"/>
      <c r="AN469" s="16"/>
      <c r="AO469" s="16"/>
      <c r="AP469" s="16"/>
      <c r="AR469" s="88"/>
      <c r="AS469" s="88"/>
      <c r="AU469" s="12" t="s">
        <v>1931</v>
      </c>
      <c r="AV469" s="19"/>
      <c r="AW469" s="39">
        <v>90</v>
      </c>
      <c r="AY469" s="33"/>
      <c r="AZ469" s="33"/>
      <c r="BA469" s="33"/>
    </row>
    <row r="470" spans="1:53" ht="12" customHeight="1" x14ac:dyDescent="0.2">
      <c r="A470" s="10" t="s">
        <v>2556</v>
      </c>
      <c r="B470" s="39">
        <v>104055</v>
      </c>
      <c r="C470" s="42" t="s">
        <v>3365</v>
      </c>
      <c r="D470" s="10" t="s">
        <v>2945</v>
      </c>
      <c r="E470" s="14" t="s">
        <v>1901</v>
      </c>
      <c r="F470" s="1" t="s">
        <v>89</v>
      </c>
      <c r="G470" s="1" t="s">
        <v>2578</v>
      </c>
      <c r="H470" s="1"/>
      <c r="I470" s="1">
        <v>55</v>
      </c>
      <c r="J470" s="1"/>
      <c r="K470" s="1"/>
      <c r="L470" s="1"/>
      <c r="M470" s="1"/>
      <c r="O470" s="16" t="s">
        <v>367</v>
      </c>
      <c r="P470" s="1">
        <v>1</v>
      </c>
      <c r="Q470" s="15"/>
      <c r="R470" s="15"/>
      <c r="S470" s="15"/>
      <c r="T470" s="15"/>
      <c r="U470" s="15"/>
      <c r="V470" s="1"/>
      <c r="W470" s="1"/>
      <c r="X470" s="1"/>
      <c r="Y470" s="15">
        <v>13800</v>
      </c>
      <c r="Z470" s="15"/>
      <c r="AA470" s="15"/>
      <c r="AB470" s="17"/>
      <c r="AC470" s="82"/>
      <c r="AD470" s="16" t="s">
        <v>52</v>
      </c>
      <c r="AE470" s="16" t="s">
        <v>1903</v>
      </c>
      <c r="AF470" s="16"/>
      <c r="AG470" s="16"/>
      <c r="AH470" s="16"/>
      <c r="AI470" s="16">
        <v>15055</v>
      </c>
      <c r="AJ470" s="16"/>
      <c r="AK470" s="16"/>
      <c r="AL470" s="16"/>
      <c r="AM470" s="16"/>
      <c r="AN470" s="16"/>
      <c r="AO470" s="16"/>
      <c r="AP470" s="16"/>
      <c r="AR470" s="88"/>
      <c r="AS470" s="88"/>
      <c r="AU470" s="12" t="s">
        <v>1931</v>
      </c>
      <c r="AV470" s="19"/>
      <c r="AW470" s="39">
        <v>90</v>
      </c>
      <c r="AY470" s="33"/>
      <c r="AZ470" s="33"/>
      <c r="BA470" s="33"/>
    </row>
    <row r="471" spans="1:53" ht="12" customHeight="1" x14ac:dyDescent="0.2">
      <c r="A471" s="10" t="s">
        <v>2557</v>
      </c>
      <c r="B471" s="39">
        <v>104056</v>
      </c>
      <c r="C471" s="42" t="s">
        <v>3366</v>
      </c>
      <c r="D471" s="10" t="s">
        <v>2945</v>
      </c>
      <c r="E471" s="14" t="s">
        <v>1901</v>
      </c>
      <c r="F471" s="1" t="s">
        <v>396</v>
      </c>
      <c r="G471" s="1" t="s">
        <v>2578</v>
      </c>
      <c r="H471" s="1"/>
      <c r="I471" s="1">
        <v>56</v>
      </c>
      <c r="J471" s="1"/>
      <c r="K471" s="1"/>
      <c r="L471" s="1"/>
      <c r="M471" s="1"/>
      <c r="O471" s="16" t="s">
        <v>367</v>
      </c>
      <c r="P471" s="1">
        <v>1</v>
      </c>
      <c r="Q471" s="15"/>
      <c r="R471" s="15"/>
      <c r="S471" s="15"/>
      <c r="T471" s="15"/>
      <c r="U471" s="15"/>
      <c r="V471" s="1"/>
      <c r="W471" s="1"/>
      <c r="X471" s="1"/>
      <c r="Y471" s="15">
        <v>13800</v>
      </c>
      <c r="Z471" s="15"/>
      <c r="AA471" s="15"/>
      <c r="AB471" s="17"/>
      <c r="AC471" s="82"/>
      <c r="AD471" s="16" t="s">
        <v>52</v>
      </c>
      <c r="AE471" s="16" t="s">
        <v>1903</v>
      </c>
      <c r="AF471" s="16"/>
      <c r="AG471" s="16"/>
      <c r="AH471" s="16"/>
      <c r="AI471" s="16">
        <v>15056</v>
      </c>
      <c r="AJ471" s="16"/>
      <c r="AK471" s="16"/>
      <c r="AL471" s="16"/>
      <c r="AM471" s="16"/>
      <c r="AN471" s="16"/>
      <c r="AO471" s="16"/>
      <c r="AP471" s="16"/>
      <c r="AR471" s="88"/>
      <c r="AS471" s="88"/>
      <c r="AU471" s="12" t="s">
        <v>1931</v>
      </c>
      <c r="AV471" s="19"/>
      <c r="AW471" s="39">
        <v>90</v>
      </c>
      <c r="AY471" s="33"/>
      <c r="AZ471" s="33"/>
      <c r="BA471" s="33"/>
    </row>
    <row r="472" spans="1:53" ht="12" customHeight="1" x14ac:dyDescent="0.2">
      <c r="A472" s="10" t="s">
        <v>2558</v>
      </c>
      <c r="B472" s="39">
        <v>104057</v>
      </c>
      <c r="C472" s="42" t="s">
        <v>3367</v>
      </c>
      <c r="D472" s="10" t="s">
        <v>2945</v>
      </c>
      <c r="E472" s="14" t="s">
        <v>1901</v>
      </c>
      <c r="F472" s="1" t="s">
        <v>395</v>
      </c>
      <c r="G472" s="1" t="s">
        <v>2578</v>
      </c>
      <c r="H472" s="1"/>
      <c r="I472" s="1">
        <v>57</v>
      </c>
      <c r="J472" s="1"/>
      <c r="K472" s="1"/>
      <c r="L472" s="1"/>
      <c r="M472" s="1"/>
      <c r="O472" s="16" t="s">
        <v>367</v>
      </c>
      <c r="P472" s="1">
        <v>1</v>
      </c>
      <c r="Q472" s="15"/>
      <c r="R472" s="15"/>
      <c r="S472" s="15"/>
      <c r="T472" s="15"/>
      <c r="U472" s="15"/>
      <c r="V472" s="1"/>
      <c r="W472" s="1"/>
      <c r="X472" s="1"/>
      <c r="Y472" s="15">
        <v>13800</v>
      </c>
      <c r="Z472" s="15"/>
      <c r="AA472" s="15"/>
      <c r="AB472" s="17"/>
      <c r="AC472" s="82"/>
      <c r="AD472" s="16" t="s">
        <v>52</v>
      </c>
      <c r="AE472" s="16" t="s">
        <v>1903</v>
      </c>
      <c r="AF472" s="16"/>
      <c r="AG472" s="16"/>
      <c r="AH472" s="16"/>
      <c r="AI472" s="16">
        <v>15057</v>
      </c>
      <c r="AJ472" s="16"/>
      <c r="AK472" s="16"/>
      <c r="AL472" s="16"/>
      <c r="AM472" s="16"/>
      <c r="AN472" s="16"/>
      <c r="AO472" s="16"/>
      <c r="AP472" s="16"/>
      <c r="AR472" s="88"/>
      <c r="AS472" s="88"/>
      <c r="AU472" s="12" t="s">
        <v>1931</v>
      </c>
      <c r="AV472" s="19"/>
      <c r="AW472" s="39">
        <v>90</v>
      </c>
      <c r="AY472" s="33"/>
      <c r="AZ472" s="33"/>
      <c r="BA472" s="33"/>
    </row>
    <row r="473" spans="1:53" ht="12" x14ac:dyDescent="0.2">
      <c r="A473" s="10" t="s">
        <v>2559</v>
      </c>
      <c r="B473" s="39">
        <v>104058</v>
      </c>
      <c r="C473" s="42" t="s">
        <v>3368</v>
      </c>
      <c r="D473" s="10" t="s">
        <v>2945</v>
      </c>
      <c r="E473" s="14" t="s">
        <v>1901</v>
      </c>
      <c r="F473" s="1" t="s">
        <v>396</v>
      </c>
      <c r="G473" s="1" t="s">
        <v>2578</v>
      </c>
      <c r="H473" s="1"/>
      <c r="I473" s="1">
        <v>58</v>
      </c>
      <c r="J473" s="1"/>
      <c r="K473" s="1"/>
      <c r="L473" s="1"/>
      <c r="M473" s="1"/>
      <c r="O473" s="16" t="s">
        <v>367</v>
      </c>
      <c r="P473" s="1">
        <v>1</v>
      </c>
      <c r="Q473" s="15"/>
      <c r="R473" s="15"/>
      <c r="S473" s="15"/>
      <c r="T473" s="15"/>
      <c r="U473" s="15"/>
      <c r="V473" s="1"/>
      <c r="W473" s="1"/>
      <c r="X473" s="1"/>
      <c r="Y473" s="15">
        <v>13800</v>
      </c>
      <c r="Z473" s="15"/>
      <c r="AA473" s="15"/>
      <c r="AB473" s="17"/>
      <c r="AC473" s="82"/>
      <c r="AD473" s="16" t="s">
        <v>52</v>
      </c>
      <c r="AE473" s="16" t="s">
        <v>1903</v>
      </c>
      <c r="AF473" s="16"/>
      <c r="AG473" s="16"/>
      <c r="AH473" s="16"/>
      <c r="AI473" s="16">
        <v>15058</v>
      </c>
      <c r="AJ473" s="16"/>
      <c r="AK473" s="16"/>
      <c r="AL473" s="16"/>
      <c r="AM473" s="16"/>
      <c r="AN473" s="16"/>
      <c r="AO473" s="16"/>
      <c r="AP473" s="16"/>
      <c r="AR473" s="88"/>
      <c r="AS473" s="88"/>
      <c r="AU473" s="12" t="s">
        <v>1931</v>
      </c>
      <c r="AV473" s="19"/>
      <c r="AW473" s="39">
        <v>90</v>
      </c>
      <c r="AY473" s="33"/>
      <c r="AZ473" s="33"/>
      <c r="BA473" s="33"/>
    </row>
    <row r="474" spans="1:53" ht="12" x14ac:dyDescent="0.2">
      <c r="A474" s="10" t="s">
        <v>2560</v>
      </c>
      <c r="B474" s="39">
        <v>104059</v>
      </c>
      <c r="C474" s="42" t="s">
        <v>3369</v>
      </c>
      <c r="D474" s="10" t="s">
        <v>2945</v>
      </c>
      <c r="E474" s="14" t="s">
        <v>1901</v>
      </c>
      <c r="F474" s="1" t="s">
        <v>394</v>
      </c>
      <c r="G474" s="1" t="s">
        <v>2578</v>
      </c>
      <c r="H474" s="1"/>
      <c r="I474" s="1">
        <v>59</v>
      </c>
      <c r="J474" s="1"/>
      <c r="K474" s="1"/>
      <c r="L474" s="1"/>
      <c r="M474" s="1"/>
      <c r="O474" s="16" t="s">
        <v>367</v>
      </c>
      <c r="P474" s="1">
        <v>1</v>
      </c>
      <c r="Q474" s="15"/>
      <c r="R474" s="15"/>
      <c r="S474" s="15"/>
      <c r="T474" s="15"/>
      <c r="U474" s="15"/>
      <c r="V474" s="1"/>
      <c r="W474" s="1"/>
      <c r="X474" s="1"/>
      <c r="Y474" s="15">
        <v>13800</v>
      </c>
      <c r="Z474" s="15"/>
      <c r="AA474" s="15"/>
      <c r="AB474" s="17"/>
      <c r="AC474" s="82"/>
      <c r="AD474" s="16" t="s">
        <v>52</v>
      </c>
      <c r="AE474" s="16" t="s">
        <v>1903</v>
      </c>
      <c r="AF474" s="16"/>
      <c r="AG474" s="16"/>
      <c r="AH474" s="16"/>
      <c r="AI474" s="16">
        <v>15059</v>
      </c>
      <c r="AJ474" s="16"/>
      <c r="AK474" s="16"/>
      <c r="AL474" s="16"/>
      <c r="AM474" s="16"/>
      <c r="AN474" s="16"/>
      <c r="AO474" s="16"/>
      <c r="AP474" s="16"/>
      <c r="AR474" s="88"/>
      <c r="AS474" s="88"/>
      <c r="AU474" s="12" t="s">
        <v>1931</v>
      </c>
      <c r="AV474" s="19"/>
      <c r="AW474" s="39">
        <v>90</v>
      </c>
      <c r="AY474" s="33"/>
      <c r="AZ474" s="33"/>
      <c r="BA474" s="33"/>
    </row>
    <row r="475" spans="1:53" ht="12" x14ac:dyDescent="0.2">
      <c r="A475" s="10" t="s">
        <v>2561</v>
      </c>
      <c r="B475" s="39">
        <v>104060</v>
      </c>
      <c r="C475" s="42" t="s">
        <v>3370</v>
      </c>
      <c r="D475" s="10" t="s">
        <v>2945</v>
      </c>
      <c r="E475" s="14" t="s">
        <v>1901</v>
      </c>
      <c r="F475" s="1" t="s">
        <v>91</v>
      </c>
      <c r="G475" s="1" t="s">
        <v>2578</v>
      </c>
      <c r="H475" s="1"/>
      <c r="I475" s="1">
        <v>60</v>
      </c>
      <c r="J475" s="1"/>
      <c r="K475" s="1"/>
      <c r="L475" s="1"/>
      <c r="M475" s="1"/>
      <c r="O475" s="16" t="s">
        <v>367</v>
      </c>
      <c r="P475" s="1">
        <v>1</v>
      </c>
      <c r="Q475" s="15"/>
      <c r="R475" s="15"/>
      <c r="S475" s="15"/>
      <c r="T475" s="15"/>
      <c r="U475" s="15"/>
      <c r="V475" s="1"/>
      <c r="W475" s="1"/>
      <c r="X475" s="1"/>
      <c r="Y475" s="15">
        <v>13800</v>
      </c>
      <c r="Z475" s="15"/>
      <c r="AA475" s="15"/>
      <c r="AB475" s="17"/>
      <c r="AC475" s="82"/>
      <c r="AD475" s="16" t="s">
        <v>52</v>
      </c>
      <c r="AE475" s="16" t="s">
        <v>1903</v>
      </c>
      <c r="AF475" s="16"/>
      <c r="AG475" s="16"/>
      <c r="AH475" s="16"/>
      <c r="AI475" s="16">
        <v>15060</v>
      </c>
      <c r="AJ475" s="16"/>
      <c r="AK475" s="16"/>
      <c r="AL475" s="16"/>
      <c r="AM475" s="16"/>
      <c r="AN475" s="16"/>
      <c r="AO475" s="16"/>
      <c r="AP475" s="16"/>
      <c r="AR475" s="88"/>
      <c r="AS475" s="88"/>
      <c r="AU475" s="12" t="s">
        <v>1931</v>
      </c>
      <c r="AV475" s="19"/>
      <c r="AW475" s="39">
        <v>90</v>
      </c>
      <c r="AY475" s="33"/>
      <c r="AZ475" s="33"/>
      <c r="BA475" s="33"/>
    </row>
    <row r="476" spans="1:53" ht="12" x14ac:dyDescent="0.2">
      <c r="A476" s="10" t="s">
        <v>2562</v>
      </c>
      <c r="B476" s="39">
        <v>104061</v>
      </c>
      <c r="C476" s="42" t="s">
        <v>3371</v>
      </c>
      <c r="D476" s="10" t="s">
        <v>2945</v>
      </c>
      <c r="E476" s="14" t="s">
        <v>1901</v>
      </c>
      <c r="F476" s="1" t="s">
        <v>88</v>
      </c>
      <c r="G476" s="1" t="s">
        <v>2578</v>
      </c>
      <c r="H476" s="1"/>
      <c r="I476" s="1">
        <v>61</v>
      </c>
      <c r="J476" s="1"/>
      <c r="K476" s="1"/>
      <c r="L476" s="1"/>
      <c r="M476" s="1"/>
      <c r="O476" s="16" t="s">
        <v>367</v>
      </c>
      <c r="P476" s="1">
        <v>1</v>
      </c>
      <c r="Q476" s="15"/>
      <c r="R476" s="15"/>
      <c r="S476" s="15"/>
      <c r="T476" s="15"/>
      <c r="U476" s="15"/>
      <c r="V476" s="1"/>
      <c r="W476" s="1"/>
      <c r="X476" s="1"/>
      <c r="Y476" s="15">
        <v>13800</v>
      </c>
      <c r="Z476" s="15"/>
      <c r="AA476" s="15"/>
      <c r="AB476" s="17"/>
      <c r="AC476" s="82"/>
      <c r="AD476" s="16" t="s">
        <v>52</v>
      </c>
      <c r="AE476" s="16" t="s">
        <v>1903</v>
      </c>
      <c r="AF476" s="16"/>
      <c r="AG476" s="16"/>
      <c r="AH476" s="16"/>
      <c r="AI476" s="16">
        <v>15061</v>
      </c>
      <c r="AJ476" s="16"/>
      <c r="AK476" s="16"/>
      <c r="AL476" s="16"/>
      <c r="AM476" s="16"/>
      <c r="AN476" s="16"/>
      <c r="AO476" s="16"/>
      <c r="AP476" s="16"/>
      <c r="AR476" s="88"/>
      <c r="AS476" s="88"/>
      <c r="AU476" s="12" t="s">
        <v>1931</v>
      </c>
      <c r="AV476" s="19"/>
      <c r="AW476" s="39">
        <v>90</v>
      </c>
      <c r="AY476" s="33"/>
      <c r="AZ476" s="33"/>
      <c r="BA476" s="33"/>
    </row>
    <row r="477" spans="1:53" ht="12" x14ac:dyDescent="0.2">
      <c r="A477" s="10" t="s">
        <v>2563</v>
      </c>
      <c r="B477" s="39">
        <v>104062</v>
      </c>
      <c r="C477" s="42" t="s">
        <v>3372</v>
      </c>
      <c r="D477" s="10" t="s">
        <v>2945</v>
      </c>
      <c r="E477" s="14" t="s">
        <v>1901</v>
      </c>
      <c r="F477" s="1" t="s">
        <v>89</v>
      </c>
      <c r="G477" s="1" t="s">
        <v>2578</v>
      </c>
      <c r="H477" s="1"/>
      <c r="I477" s="1">
        <v>62</v>
      </c>
      <c r="J477" s="1"/>
      <c r="K477" s="1"/>
      <c r="L477" s="1"/>
      <c r="M477" s="1"/>
      <c r="O477" s="16" t="s">
        <v>367</v>
      </c>
      <c r="P477" s="1">
        <v>1</v>
      </c>
      <c r="Q477" s="15"/>
      <c r="R477" s="15"/>
      <c r="S477" s="15"/>
      <c r="T477" s="15"/>
      <c r="U477" s="15"/>
      <c r="V477" s="1"/>
      <c r="W477" s="1"/>
      <c r="X477" s="1"/>
      <c r="Y477" s="15">
        <v>13800</v>
      </c>
      <c r="Z477" s="15"/>
      <c r="AA477" s="15"/>
      <c r="AB477" s="17"/>
      <c r="AC477" s="82"/>
      <c r="AD477" s="16" t="s">
        <v>52</v>
      </c>
      <c r="AE477" s="16" t="s">
        <v>1903</v>
      </c>
      <c r="AF477" s="16"/>
      <c r="AG477" s="16"/>
      <c r="AH477" s="16"/>
      <c r="AI477" s="16">
        <v>15062</v>
      </c>
      <c r="AJ477" s="16"/>
      <c r="AK477" s="16"/>
      <c r="AL477" s="16"/>
      <c r="AM477" s="16"/>
      <c r="AN477" s="16"/>
      <c r="AO477" s="16"/>
      <c r="AP477" s="16"/>
      <c r="AR477" s="88"/>
      <c r="AS477" s="88"/>
      <c r="AU477" s="12" t="s">
        <v>1931</v>
      </c>
      <c r="AV477" s="19"/>
      <c r="AW477" s="39">
        <v>90</v>
      </c>
      <c r="AY477" s="33"/>
      <c r="AZ477" s="33"/>
      <c r="BA477" s="33"/>
    </row>
    <row r="478" spans="1:53" ht="12" x14ac:dyDescent="0.2">
      <c r="A478" s="10" t="s">
        <v>2564</v>
      </c>
      <c r="B478" s="39">
        <v>104063</v>
      </c>
      <c r="C478" s="42" t="s">
        <v>3373</v>
      </c>
      <c r="D478" s="10" t="s">
        <v>2945</v>
      </c>
      <c r="E478" s="14" t="s">
        <v>1901</v>
      </c>
      <c r="F478" s="1" t="s">
        <v>88</v>
      </c>
      <c r="G478" s="1" t="s">
        <v>2578</v>
      </c>
      <c r="H478" s="1"/>
      <c r="I478" s="1">
        <v>63</v>
      </c>
      <c r="J478" s="1"/>
      <c r="K478" s="1"/>
      <c r="L478" s="1"/>
      <c r="M478" s="1"/>
      <c r="O478" s="16" t="s">
        <v>367</v>
      </c>
      <c r="P478" s="1">
        <v>1</v>
      </c>
      <c r="Q478" s="15"/>
      <c r="R478" s="15"/>
      <c r="S478" s="15"/>
      <c r="T478" s="15"/>
      <c r="U478" s="15"/>
      <c r="V478" s="1"/>
      <c r="W478" s="1"/>
      <c r="X478" s="1"/>
      <c r="Y478" s="15">
        <v>13800</v>
      </c>
      <c r="Z478" s="15"/>
      <c r="AA478" s="15"/>
      <c r="AB478" s="17"/>
      <c r="AC478" s="82"/>
      <c r="AD478" s="16" t="s">
        <v>52</v>
      </c>
      <c r="AE478" s="16" t="s">
        <v>1903</v>
      </c>
      <c r="AF478" s="16"/>
      <c r="AG478" s="16"/>
      <c r="AH478" s="16"/>
      <c r="AI478" s="16">
        <v>15063</v>
      </c>
      <c r="AJ478" s="16"/>
      <c r="AK478" s="16"/>
      <c r="AL478" s="16"/>
      <c r="AM478" s="16"/>
      <c r="AN478" s="16"/>
      <c r="AO478" s="16"/>
      <c r="AP478" s="16"/>
      <c r="AR478" s="88"/>
      <c r="AS478" s="88"/>
      <c r="AU478" s="12" t="s">
        <v>1931</v>
      </c>
      <c r="AV478" s="19"/>
      <c r="AW478" s="39">
        <v>90</v>
      </c>
      <c r="AY478" s="33"/>
      <c r="AZ478" s="33"/>
      <c r="BA478" s="33"/>
    </row>
    <row r="479" spans="1:53" ht="12" x14ac:dyDescent="0.2">
      <c r="A479" s="10" t="s">
        <v>2565</v>
      </c>
      <c r="B479" s="39">
        <v>104064</v>
      </c>
      <c r="C479" s="42" t="s">
        <v>3374</v>
      </c>
      <c r="D479" s="10" t="s">
        <v>2945</v>
      </c>
      <c r="E479" s="14" t="s">
        <v>1901</v>
      </c>
      <c r="F479" s="1" t="s">
        <v>395</v>
      </c>
      <c r="G479" s="1" t="s">
        <v>2578</v>
      </c>
      <c r="H479" s="1"/>
      <c r="I479" s="1">
        <v>64</v>
      </c>
      <c r="J479" s="1"/>
      <c r="K479" s="1"/>
      <c r="L479" s="1"/>
      <c r="M479" s="1"/>
      <c r="O479" s="16" t="s">
        <v>367</v>
      </c>
      <c r="P479" s="1">
        <v>1</v>
      </c>
      <c r="Q479" s="15"/>
      <c r="R479" s="15"/>
      <c r="S479" s="15"/>
      <c r="T479" s="15"/>
      <c r="U479" s="15"/>
      <c r="V479" s="1"/>
      <c r="W479" s="1"/>
      <c r="X479" s="1"/>
      <c r="Y479" s="15">
        <v>13800</v>
      </c>
      <c r="Z479" s="15"/>
      <c r="AA479" s="15"/>
      <c r="AB479" s="17"/>
      <c r="AC479" s="82"/>
      <c r="AD479" s="16" t="s">
        <v>52</v>
      </c>
      <c r="AE479" s="16" t="s">
        <v>1903</v>
      </c>
      <c r="AF479" s="16"/>
      <c r="AG479" s="16"/>
      <c r="AH479" s="16"/>
      <c r="AI479" s="16">
        <v>15064</v>
      </c>
      <c r="AJ479" s="16"/>
      <c r="AK479" s="16"/>
      <c r="AL479" s="16"/>
      <c r="AM479" s="16"/>
      <c r="AN479" s="16"/>
      <c r="AO479" s="16"/>
      <c r="AP479" s="16"/>
      <c r="AR479" s="88"/>
      <c r="AS479" s="88"/>
      <c r="AU479" s="12" t="s">
        <v>1931</v>
      </c>
      <c r="AV479" s="19"/>
      <c r="AW479" s="39">
        <v>90</v>
      </c>
      <c r="AY479" s="33"/>
      <c r="AZ479" s="33"/>
      <c r="BA479" s="33"/>
    </row>
    <row r="480" spans="1:53" ht="12" x14ac:dyDescent="0.2">
      <c r="A480" s="10" t="s">
        <v>2566</v>
      </c>
      <c r="B480" s="39">
        <v>104065</v>
      </c>
      <c r="C480" s="42" t="s">
        <v>3375</v>
      </c>
      <c r="D480" s="10" t="s">
        <v>2945</v>
      </c>
      <c r="E480" s="14" t="s">
        <v>1901</v>
      </c>
      <c r="F480" s="1" t="s">
        <v>396</v>
      </c>
      <c r="G480" s="1" t="s">
        <v>2578</v>
      </c>
      <c r="H480" s="1"/>
      <c r="I480" s="1">
        <v>65</v>
      </c>
      <c r="J480" s="1"/>
      <c r="K480" s="1"/>
      <c r="L480" s="1"/>
      <c r="M480" s="1"/>
      <c r="O480" s="16" t="s">
        <v>367</v>
      </c>
      <c r="P480" s="1">
        <v>1</v>
      </c>
      <c r="Q480" s="15"/>
      <c r="R480" s="15"/>
      <c r="S480" s="15"/>
      <c r="T480" s="15"/>
      <c r="U480" s="15"/>
      <c r="V480" s="1"/>
      <c r="W480" s="1"/>
      <c r="X480" s="1"/>
      <c r="Y480" s="15">
        <v>13800</v>
      </c>
      <c r="Z480" s="15"/>
      <c r="AA480" s="15"/>
      <c r="AB480" s="17"/>
      <c r="AC480" s="82"/>
      <c r="AD480" s="16" t="s">
        <v>52</v>
      </c>
      <c r="AE480" s="16" t="s">
        <v>1903</v>
      </c>
      <c r="AF480" s="16"/>
      <c r="AG480" s="16"/>
      <c r="AH480" s="16"/>
      <c r="AI480" s="16">
        <v>15065</v>
      </c>
      <c r="AJ480" s="16"/>
      <c r="AK480" s="16"/>
      <c r="AL480" s="16"/>
      <c r="AM480" s="16"/>
      <c r="AN480" s="16"/>
      <c r="AO480" s="16"/>
      <c r="AP480" s="16"/>
      <c r="AR480" s="88"/>
      <c r="AS480" s="88"/>
      <c r="AU480" s="12" t="s">
        <v>1931</v>
      </c>
      <c r="AV480" s="19"/>
      <c r="AW480" s="39">
        <v>90</v>
      </c>
      <c r="AY480" s="33"/>
      <c r="AZ480" s="33"/>
      <c r="BA480" s="33"/>
    </row>
    <row r="481" spans="1:53" ht="12" x14ac:dyDescent="0.2">
      <c r="A481" s="10" t="s">
        <v>2567</v>
      </c>
      <c r="B481" s="39">
        <v>104066</v>
      </c>
      <c r="C481" s="42" t="s">
        <v>3376</v>
      </c>
      <c r="D481" s="10" t="s">
        <v>2945</v>
      </c>
      <c r="E481" s="14" t="s">
        <v>1901</v>
      </c>
      <c r="F481" s="1" t="s">
        <v>394</v>
      </c>
      <c r="G481" s="1" t="s">
        <v>2578</v>
      </c>
      <c r="H481" s="1"/>
      <c r="I481" s="1">
        <v>66</v>
      </c>
      <c r="J481" s="1"/>
      <c r="K481" s="1"/>
      <c r="L481" s="1"/>
      <c r="M481" s="1"/>
      <c r="O481" s="16" t="s">
        <v>367</v>
      </c>
      <c r="P481" s="1">
        <v>1</v>
      </c>
      <c r="Q481" s="15"/>
      <c r="R481" s="15"/>
      <c r="S481" s="15"/>
      <c r="T481" s="15"/>
      <c r="U481" s="15"/>
      <c r="V481" s="1"/>
      <c r="W481" s="1"/>
      <c r="X481" s="1"/>
      <c r="Y481" s="15">
        <v>13800</v>
      </c>
      <c r="Z481" s="15"/>
      <c r="AA481" s="15"/>
      <c r="AB481" s="17"/>
      <c r="AC481" s="82"/>
      <c r="AD481" s="16" t="s">
        <v>52</v>
      </c>
      <c r="AE481" s="16" t="s">
        <v>1903</v>
      </c>
      <c r="AF481" s="16"/>
      <c r="AG481" s="16"/>
      <c r="AH481" s="16"/>
      <c r="AI481" s="16">
        <v>15066</v>
      </c>
      <c r="AJ481" s="16"/>
      <c r="AK481" s="16"/>
      <c r="AL481" s="16"/>
      <c r="AM481" s="16"/>
      <c r="AN481" s="16"/>
      <c r="AO481" s="16"/>
      <c r="AP481" s="16"/>
      <c r="AR481" s="88"/>
      <c r="AS481" s="88"/>
      <c r="AU481" s="12" t="s">
        <v>1931</v>
      </c>
      <c r="AV481" s="19"/>
      <c r="AW481" s="39">
        <v>90</v>
      </c>
      <c r="AY481" s="33"/>
      <c r="AZ481" s="33"/>
      <c r="BA481" s="33"/>
    </row>
    <row r="482" spans="1:53" ht="12" x14ac:dyDescent="0.2">
      <c r="A482" s="10" t="s">
        <v>2568</v>
      </c>
      <c r="B482" s="39">
        <v>104067</v>
      </c>
      <c r="C482" s="42" t="s">
        <v>3377</v>
      </c>
      <c r="D482" s="10" t="s">
        <v>2945</v>
      </c>
      <c r="E482" s="14" t="s">
        <v>1901</v>
      </c>
      <c r="F482" s="1" t="s">
        <v>91</v>
      </c>
      <c r="G482" s="1" t="s">
        <v>2578</v>
      </c>
      <c r="H482" s="1"/>
      <c r="I482" s="1">
        <v>67</v>
      </c>
      <c r="J482" s="1"/>
      <c r="K482" s="1"/>
      <c r="L482" s="1"/>
      <c r="M482" s="1"/>
      <c r="O482" s="16" t="s">
        <v>367</v>
      </c>
      <c r="P482" s="1">
        <v>1</v>
      </c>
      <c r="Q482" s="15"/>
      <c r="R482" s="15"/>
      <c r="S482" s="15"/>
      <c r="T482" s="15"/>
      <c r="U482" s="15"/>
      <c r="V482" s="1"/>
      <c r="W482" s="1"/>
      <c r="X482" s="1"/>
      <c r="Y482" s="15">
        <v>13800</v>
      </c>
      <c r="Z482" s="15"/>
      <c r="AA482" s="15"/>
      <c r="AB482" s="17"/>
      <c r="AC482" s="82"/>
      <c r="AD482" s="16" t="s">
        <v>52</v>
      </c>
      <c r="AE482" s="16" t="s">
        <v>1903</v>
      </c>
      <c r="AF482" s="16"/>
      <c r="AG482" s="16"/>
      <c r="AH482" s="16"/>
      <c r="AI482" s="16">
        <v>15067</v>
      </c>
      <c r="AJ482" s="16"/>
      <c r="AK482" s="16"/>
      <c r="AL482" s="16"/>
      <c r="AM482" s="16"/>
      <c r="AN482" s="16"/>
      <c r="AO482" s="16"/>
      <c r="AP482" s="16"/>
      <c r="AR482" s="88"/>
      <c r="AS482" s="88"/>
      <c r="AU482" s="12" t="s">
        <v>1931</v>
      </c>
      <c r="AV482" s="19"/>
      <c r="AW482" s="39">
        <v>90</v>
      </c>
      <c r="AY482" s="33"/>
      <c r="AZ482" s="33"/>
      <c r="BA482" s="33"/>
    </row>
    <row r="483" spans="1:53" ht="12" x14ac:dyDescent="0.2">
      <c r="A483" s="10" t="s">
        <v>2569</v>
      </c>
      <c r="B483" s="39">
        <v>104068</v>
      </c>
      <c r="C483" s="42" t="s">
        <v>3378</v>
      </c>
      <c r="D483" s="10" t="s">
        <v>2945</v>
      </c>
      <c r="E483" s="14" t="s">
        <v>1901</v>
      </c>
      <c r="F483" s="1" t="s">
        <v>396</v>
      </c>
      <c r="G483" s="1" t="s">
        <v>2578</v>
      </c>
      <c r="H483" s="1"/>
      <c r="I483" s="1">
        <v>68</v>
      </c>
      <c r="J483" s="1"/>
      <c r="K483" s="1"/>
      <c r="L483" s="1"/>
      <c r="M483" s="1"/>
      <c r="O483" s="16" t="s">
        <v>367</v>
      </c>
      <c r="P483" s="1">
        <v>1</v>
      </c>
      <c r="Q483" s="15"/>
      <c r="R483" s="15"/>
      <c r="S483" s="15"/>
      <c r="T483" s="15"/>
      <c r="U483" s="15"/>
      <c r="V483" s="1"/>
      <c r="W483" s="1"/>
      <c r="X483" s="1"/>
      <c r="Y483" s="15">
        <v>13800</v>
      </c>
      <c r="Z483" s="15"/>
      <c r="AA483" s="15"/>
      <c r="AB483" s="17"/>
      <c r="AC483" s="82"/>
      <c r="AD483" s="16" t="s">
        <v>52</v>
      </c>
      <c r="AE483" s="16" t="s">
        <v>1903</v>
      </c>
      <c r="AF483" s="16"/>
      <c r="AG483" s="16"/>
      <c r="AH483" s="16"/>
      <c r="AI483" s="16">
        <v>15068</v>
      </c>
      <c r="AJ483" s="16"/>
      <c r="AK483" s="16"/>
      <c r="AL483" s="16"/>
      <c r="AM483" s="16"/>
      <c r="AN483" s="16"/>
      <c r="AO483" s="16"/>
      <c r="AP483" s="16"/>
      <c r="AR483" s="88"/>
      <c r="AS483" s="88"/>
      <c r="AU483" s="12" t="s">
        <v>1931</v>
      </c>
      <c r="AV483" s="19"/>
      <c r="AW483" s="39">
        <v>90</v>
      </c>
      <c r="AY483" s="33"/>
      <c r="AZ483" s="33"/>
      <c r="BA483" s="33"/>
    </row>
    <row r="484" spans="1:53" ht="12" x14ac:dyDescent="0.2">
      <c r="A484" s="10" t="s">
        <v>2570</v>
      </c>
      <c r="B484" s="39">
        <v>104069</v>
      </c>
      <c r="C484" s="42" t="s">
        <v>3379</v>
      </c>
      <c r="D484" s="10" t="s">
        <v>2945</v>
      </c>
      <c r="E484" s="14" t="s">
        <v>1901</v>
      </c>
      <c r="F484" s="1" t="s">
        <v>395</v>
      </c>
      <c r="G484" s="1" t="s">
        <v>2578</v>
      </c>
      <c r="H484" s="1"/>
      <c r="I484" s="1">
        <v>69</v>
      </c>
      <c r="J484" s="1"/>
      <c r="K484" s="1"/>
      <c r="L484" s="1"/>
      <c r="M484" s="1"/>
      <c r="O484" s="16" t="s">
        <v>367</v>
      </c>
      <c r="P484" s="1">
        <v>1</v>
      </c>
      <c r="Q484" s="15"/>
      <c r="R484" s="15"/>
      <c r="S484" s="15"/>
      <c r="T484" s="15"/>
      <c r="U484" s="15"/>
      <c r="V484" s="1"/>
      <c r="W484" s="1"/>
      <c r="X484" s="1"/>
      <c r="Y484" s="15">
        <v>13800</v>
      </c>
      <c r="Z484" s="15"/>
      <c r="AA484" s="15"/>
      <c r="AB484" s="17"/>
      <c r="AC484" s="82"/>
      <c r="AD484" s="16" t="s">
        <v>52</v>
      </c>
      <c r="AE484" s="16" t="s">
        <v>1903</v>
      </c>
      <c r="AF484" s="16"/>
      <c r="AG484" s="16"/>
      <c r="AH484" s="16"/>
      <c r="AI484" s="16">
        <v>15069</v>
      </c>
      <c r="AJ484" s="16"/>
      <c r="AK484" s="16"/>
      <c r="AL484" s="16"/>
      <c r="AM484" s="16"/>
      <c r="AN484" s="16"/>
      <c r="AO484" s="16"/>
      <c r="AP484" s="16"/>
      <c r="AR484" s="88"/>
      <c r="AS484" s="88"/>
      <c r="AU484" s="12" t="s">
        <v>1931</v>
      </c>
      <c r="AV484" s="19"/>
      <c r="AW484" s="39">
        <v>90</v>
      </c>
      <c r="AY484" s="33"/>
      <c r="AZ484" s="33"/>
      <c r="BA484" s="33"/>
    </row>
    <row r="485" spans="1:53" ht="12" x14ac:dyDescent="0.2">
      <c r="A485" s="10" t="s">
        <v>2830</v>
      </c>
      <c r="B485" s="39">
        <v>104070</v>
      </c>
      <c r="C485" s="42" t="s">
        <v>3380</v>
      </c>
      <c r="D485" s="10" t="s">
        <v>2945</v>
      </c>
      <c r="E485" s="14" t="s">
        <v>1901</v>
      </c>
      <c r="F485" s="1" t="s">
        <v>91</v>
      </c>
      <c r="G485" s="1" t="s">
        <v>2578</v>
      </c>
      <c r="H485" s="1"/>
      <c r="I485" s="1">
        <v>70</v>
      </c>
      <c r="J485" s="1"/>
      <c r="K485" s="1"/>
      <c r="L485" s="1"/>
      <c r="M485" s="1"/>
      <c r="O485" s="16" t="s">
        <v>367</v>
      </c>
      <c r="P485" s="1">
        <v>1</v>
      </c>
      <c r="Q485" s="15"/>
      <c r="R485" s="15"/>
      <c r="S485" s="15"/>
      <c r="T485" s="15"/>
      <c r="U485" s="15"/>
      <c r="V485" s="1"/>
      <c r="W485" s="1"/>
      <c r="X485" s="1"/>
      <c r="Y485" s="15">
        <v>13800</v>
      </c>
      <c r="Z485" s="15"/>
      <c r="AA485" s="15"/>
      <c r="AB485" s="17"/>
      <c r="AC485" s="82"/>
      <c r="AD485" s="16" t="s">
        <v>52</v>
      </c>
      <c r="AE485" s="16" t="s">
        <v>1903</v>
      </c>
      <c r="AF485" s="16"/>
      <c r="AG485" s="16"/>
      <c r="AH485" s="16"/>
      <c r="AI485" s="16" t="s">
        <v>2831</v>
      </c>
      <c r="AJ485" s="16"/>
      <c r="AK485" s="16"/>
      <c r="AL485" s="16"/>
      <c r="AM485" s="16"/>
      <c r="AN485" s="16"/>
      <c r="AO485" s="16"/>
      <c r="AP485" s="16"/>
      <c r="AR485" s="88"/>
      <c r="AS485" s="88"/>
      <c r="AU485" s="12" t="s">
        <v>1931</v>
      </c>
      <c r="AV485" s="19"/>
      <c r="AW485" s="39">
        <v>90</v>
      </c>
      <c r="AY485" s="33"/>
      <c r="AZ485" s="33"/>
      <c r="BA485" s="33"/>
    </row>
    <row r="486" spans="1:53" ht="12" x14ac:dyDescent="0.2">
      <c r="A486" s="10" t="s">
        <v>2858</v>
      </c>
      <c r="B486" s="39">
        <v>104071</v>
      </c>
      <c r="C486" s="42" t="s">
        <v>3381</v>
      </c>
      <c r="D486" s="10" t="s">
        <v>2945</v>
      </c>
      <c r="E486" s="14" t="s">
        <v>1901</v>
      </c>
      <c r="F486" s="1" t="s">
        <v>89</v>
      </c>
      <c r="G486" s="1" t="s">
        <v>2578</v>
      </c>
      <c r="H486" s="1"/>
      <c r="I486" s="1">
        <v>71</v>
      </c>
      <c r="J486" s="1"/>
      <c r="K486" s="1"/>
      <c r="L486" s="1"/>
      <c r="M486" s="1"/>
      <c r="O486" s="16" t="s">
        <v>367</v>
      </c>
      <c r="P486" s="1">
        <v>1</v>
      </c>
      <c r="Q486" s="15"/>
      <c r="R486" s="15"/>
      <c r="S486" s="15"/>
      <c r="T486" s="15"/>
      <c r="U486" s="15"/>
      <c r="V486" s="1"/>
      <c r="W486" s="1"/>
      <c r="X486" s="1"/>
      <c r="Y486" s="15">
        <v>13800</v>
      </c>
      <c r="Z486" s="15"/>
      <c r="AA486" s="15"/>
      <c r="AB486" s="17"/>
      <c r="AC486" s="82"/>
      <c r="AD486" s="16" t="s">
        <v>52</v>
      </c>
      <c r="AE486" s="16" t="s">
        <v>1903</v>
      </c>
      <c r="AF486" s="16"/>
      <c r="AG486" s="16"/>
      <c r="AH486" s="16"/>
      <c r="AI486" s="16" t="s">
        <v>2859</v>
      </c>
      <c r="AJ486" s="16"/>
      <c r="AK486" s="16"/>
      <c r="AL486" s="16"/>
      <c r="AM486" s="16"/>
      <c r="AN486" s="16"/>
      <c r="AO486" s="16"/>
      <c r="AP486" s="16"/>
      <c r="AR486" s="88"/>
      <c r="AS486" s="88"/>
      <c r="AU486" s="12" t="s">
        <v>1931</v>
      </c>
      <c r="AV486" s="19"/>
      <c r="AW486" s="39">
        <v>90</v>
      </c>
      <c r="AY486" s="33"/>
      <c r="AZ486" s="33"/>
      <c r="BA486" s="33"/>
    </row>
    <row r="487" spans="1:53" ht="12" x14ac:dyDescent="0.2">
      <c r="A487" s="10" t="s">
        <v>2911</v>
      </c>
      <c r="B487" s="39">
        <v>104072</v>
      </c>
      <c r="C487" s="42" t="s">
        <v>3382</v>
      </c>
      <c r="D487" s="10" t="s">
        <v>2945</v>
      </c>
      <c r="E487" s="14" t="s">
        <v>1901</v>
      </c>
      <c r="F487" s="1" t="s">
        <v>91</v>
      </c>
      <c r="G487" s="1" t="s">
        <v>2578</v>
      </c>
      <c r="H487" s="1"/>
      <c r="I487" s="1">
        <v>72</v>
      </c>
      <c r="J487" s="1"/>
      <c r="K487" s="1"/>
      <c r="L487" s="1"/>
      <c r="M487" s="1"/>
      <c r="O487" s="16" t="s">
        <v>367</v>
      </c>
      <c r="P487" s="1">
        <v>1</v>
      </c>
      <c r="Q487" s="15"/>
      <c r="R487" s="15"/>
      <c r="S487" s="15"/>
      <c r="T487" s="15"/>
      <c r="U487" s="15"/>
      <c r="V487" s="1"/>
      <c r="W487" s="1"/>
      <c r="X487" s="1"/>
      <c r="Y487" s="15">
        <v>13800</v>
      </c>
      <c r="Z487" s="15"/>
      <c r="AA487" s="15"/>
      <c r="AB487" s="17"/>
      <c r="AC487" s="82"/>
      <c r="AD487" s="16" t="s">
        <v>52</v>
      </c>
      <c r="AE487" s="16" t="s">
        <v>1903</v>
      </c>
      <c r="AF487" s="16"/>
      <c r="AG487" s="16"/>
      <c r="AH487" s="16"/>
      <c r="AI487" s="16">
        <v>15072</v>
      </c>
      <c r="AJ487" s="16"/>
      <c r="AK487" s="16"/>
      <c r="AL487" s="16"/>
      <c r="AM487" s="16"/>
      <c r="AN487" s="16"/>
      <c r="AO487" s="16"/>
      <c r="AP487" s="16"/>
      <c r="AR487" s="88"/>
      <c r="AS487" s="88"/>
      <c r="AU487" s="12" t="s">
        <v>1931</v>
      </c>
      <c r="AV487" s="19"/>
      <c r="AW487" s="39">
        <v>90</v>
      </c>
      <c r="AY487" s="33"/>
      <c r="AZ487" s="33"/>
      <c r="BA487" s="33"/>
    </row>
    <row r="488" spans="1:53" ht="12" x14ac:dyDescent="0.2">
      <c r="A488" s="10" t="s">
        <v>2571</v>
      </c>
      <c r="B488" s="39">
        <v>104073</v>
      </c>
      <c r="C488" s="42" t="s">
        <v>3383</v>
      </c>
      <c r="D488" s="10" t="s">
        <v>2945</v>
      </c>
      <c r="E488" s="14" t="s">
        <v>1901</v>
      </c>
      <c r="F488" s="1" t="s">
        <v>89</v>
      </c>
      <c r="G488" s="1" t="s">
        <v>2578</v>
      </c>
      <c r="H488" s="1"/>
      <c r="I488" s="1">
        <v>73</v>
      </c>
      <c r="J488" s="1"/>
      <c r="K488" s="1"/>
      <c r="L488" s="1"/>
      <c r="M488" s="1"/>
      <c r="O488" s="16" t="s">
        <v>367</v>
      </c>
      <c r="P488" s="1">
        <v>1</v>
      </c>
      <c r="Q488" s="15"/>
      <c r="R488" s="15"/>
      <c r="S488" s="15"/>
      <c r="T488" s="15"/>
      <c r="U488" s="15"/>
      <c r="V488" s="1"/>
      <c r="W488" s="1"/>
      <c r="X488" s="1"/>
      <c r="Y488" s="15">
        <v>13800</v>
      </c>
      <c r="Z488" s="15"/>
      <c r="AA488" s="15"/>
      <c r="AB488" s="17"/>
      <c r="AC488" s="82"/>
      <c r="AD488" s="16" t="s">
        <v>52</v>
      </c>
      <c r="AE488" s="16" t="s">
        <v>1903</v>
      </c>
      <c r="AF488" s="16"/>
      <c r="AG488" s="16"/>
      <c r="AH488" s="16"/>
      <c r="AI488" s="16">
        <v>15073</v>
      </c>
      <c r="AJ488" s="16"/>
      <c r="AK488" s="16"/>
      <c r="AL488" s="16"/>
      <c r="AM488" s="16"/>
      <c r="AN488" s="16"/>
      <c r="AO488" s="16"/>
      <c r="AP488" s="16"/>
      <c r="AR488" s="88"/>
      <c r="AS488" s="88"/>
      <c r="AU488" s="12" t="s">
        <v>1931</v>
      </c>
      <c r="AV488" s="19"/>
      <c r="AW488" s="39">
        <v>90</v>
      </c>
      <c r="AY488" s="33"/>
      <c r="AZ488" s="33"/>
      <c r="BA488" s="33"/>
    </row>
    <row r="489" spans="1:53" ht="12" x14ac:dyDescent="0.2">
      <c r="A489" s="10" t="s">
        <v>2923</v>
      </c>
      <c r="B489" s="39">
        <v>104074</v>
      </c>
      <c r="C489" s="42" t="e">
        <v>#N/A</v>
      </c>
      <c r="D489" s="10" t="s">
        <v>2945</v>
      </c>
      <c r="E489" s="14" t="s">
        <v>1901</v>
      </c>
      <c r="F489" s="1" t="s">
        <v>396</v>
      </c>
      <c r="G489" s="1" t="s">
        <v>2924</v>
      </c>
      <c r="H489" s="1"/>
      <c r="I489" s="1">
        <v>74</v>
      </c>
      <c r="J489" s="1"/>
      <c r="K489" s="1"/>
      <c r="L489" s="1"/>
      <c r="M489" s="1"/>
      <c r="O489" s="16" t="s">
        <v>367</v>
      </c>
      <c r="P489" s="1">
        <v>1</v>
      </c>
      <c r="Q489" s="15"/>
      <c r="R489" s="15"/>
      <c r="S489" s="15"/>
      <c r="T489" s="15"/>
      <c r="U489" s="15"/>
      <c r="V489" s="1"/>
      <c r="W489" s="1"/>
      <c r="X489" s="1"/>
      <c r="Y489" s="15">
        <v>13800</v>
      </c>
      <c r="Z489" s="15"/>
      <c r="AA489" s="15"/>
      <c r="AB489" s="17"/>
      <c r="AC489" s="82"/>
      <c r="AD489" s="16" t="s">
        <v>52</v>
      </c>
      <c r="AE489" s="16" t="s">
        <v>1903</v>
      </c>
      <c r="AF489" s="16"/>
      <c r="AG489" s="16"/>
      <c r="AH489" s="16"/>
      <c r="AI489" s="16" t="s">
        <v>2927</v>
      </c>
      <c r="AJ489" s="16"/>
      <c r="AK489" s="16"/>
      <c r="AL489" s="16"/>
      <c r="AM489" s="16"/>
      <c r="AN489" s="16"/>
      <c r="AO489" s="16"/>
      <c r="AP489" s="16"/>
      <c r="AR489" s="88"/>
      <c r="AS489" s="88"/>
      <c r="AU489" s="12" t="s">
        <v>1931</v>
      </c>
      <c r="AV489" s="19"/>
      <c r="AW489" s="39">
        <v>90</v>
      </c>
      <c r="AY489" s="33"/>
      <c r="AZ489" s="33"/>
      <c r="BA489" s="33"/>
    </row>
    <row r="490" spans="1:53" ht="12" x14ac:dyDescent="0.2">
      <c r="A490" s="10" t="s">
        <v>2846</v>
      </c>
      <c r="B490" s="39">
        <v>104075</v>
      </c>
      <c r="C490" s="42" t="s">
        <v>3384</v>
      </c>
      <c r="D490" s="10" t="s">
        <v>2945</v>
      </c>
      <c r="E490" s="14" t="s">
        <v>1901</v>
      </c>
      <c r="F490" s="1" t="s">
        <v>395</v>
      </c>
      <c r="G490" s="1" t="s">
        <v>2847</v>
      </c>
      <c r="H490" s="1"/>
      <c r="I490" s="1">
        <v>75</v>
      </c>
      <c r="J490" s="1"/>
      <c r="K490" s="1"/>
      <c r="L490" s="1"/>
      <c r="M490" s="1"/>
      <c r="O490" s="16" t="s">
        <v>367</v>
      </c>
      <c r="P490" s="1">
        <v>1</v>
      </c>
      <c r="Q490" s="15"/>
      <c r="R490" s="15"/>
      <c r="S490" s="15"/>
      <c r="T490" s="15"/>
      <c r="U490" s="15"/>
      <c r="V490" s="1"/>
      <c r="W490" s="1"/>
      <c r="X490" s="1"/>
      <c r="Y490" s="15">
        <v>13800</v>
      </c>
      <c r="Z490" s="15"/>
      <c r="AA490" s="15"/>
      <c r="AB490" s="17"/>
      <c r="AC490" s="82"/>
      <c r="AD490" s="16" t="s">
        <v>52</v>
      </c>
      <c r="AE490" s="16" t="s">
        <v>1903</v>
      </c>
      <c r="AF490" s="16"/>
      <c r="AG490" s="16"/>
      <c r="AH490" s="16"/>
      <c r="AI490" s="16" t="s">
        <v>2848</v>
      </c>
      <c r="AJ490" s="16"/>
      <c r="AK490" s="16"/>
      <c r="AL490" s="16"/>
      <c r="AM490" s="16"/>
      <c r="AN490" s="16"/>
      <c r="AO490" s="16"/>
      <c r="AP490" s="16"/>
      <c r="AR490" s="88"/>
      <c r="AS490" s="88"/>
      <c r="AU490" s="12" t="s">
        <v>1931</v>
      </c>
      <c r="AV490" s="19"/>
      <c r="AW490" s="39">
        <v>90</v>
      </c>
      <c r="AY490" s="33"/>
      <c r="AZ490" s="33"/>
      <c r="BA490" s="33"/>
    </row>
    <row r="491" spans="1:53" ht="12" x14ac:dyDescent="0.2">
      <c r="A491" s="10" t="s">
        <v>2937</v>
      </c>
      <c r="B491" s="39">
        <v>104076</v>
      </c>
      <c r="C491" s="42" t="e">
        <v>#N/A</v>
      </c>
      <c r="D491" s="10" t="s">
        <v>2945</v>
      </c>
      <c r="E491" s="14" t="s">
        <v>1901</v>
      </c>
      <c r="F491" s="1" t="s">
        <v>88</v>
      </c>
      <c r="G491" s="1" t="s">
        <v>2591</v>
      </c>
      <c r="H491" s="1"/>
      <c r="I491" s="1">
        <v>76</v>
      </c>
      <c r="J491" s="1"/>
      <c r="K491" s="1"/>
      <c r="L491" s="1"/>
      <c r="M491" s="1"/>
      <c r="O491" s="16" t="s">
        <v>367</v>
      </c>
      <c r="P491" s="1">
        <v>1</v>
      </c>
      <c r="Q491" s="15"/>
      <c r="R491" s="15"/>
      <c r="S491" s="15"/>
      <c r="T491" s="15"/>
      <c r="U491" s="15"/>
      <c r="V491" s="1"/>
      <c r="W491" s="1"/>
      <c r="X491" s="1"/>
      <c r="Y491" s="15">
        <v>13800</v>
      </c>
      <c r="Z491" s="15"/>
      <c r="AA491" s="15"/>
      <c r="AB491" s="17"/>
      <c r="AC491" s="82"/>
      <c r="AD491" s="16" t="s">
        <v>52</v>
      </c>
      <c r="AE491" s="16" t="s">
        <v>1903</v>
      </c>
      <c r="AF491" s="16"/>
      <c r="AG491" s="16"/>
      <c r="AH491" s="16"/>
      <c r="AI491" s="16" t="s">
        <v>2938</v>
      </c>
      <c r="AJ491" s="16"/>
      <c r="AK491" s="16"/>
      <c r="AL491" s="16"/>
      <c r="AM491" s="16"/>
      <c r="AN491" s="16"/>
      <c r="AO491" s="16"/>
      <c r="AP491" s="16"/>
      <c r="AR491" s="88"/>
      <c r="AS491" s="88"/>
      <c r="AU491" s="12" t="s">
        <v>1931</v>
      </c>
      <c r="AV491" s="19"/>
      <c r="AW491" s="39">
        <v>90</v>
      </c>
      <c r="AY491" s="33"/>
      <c r="AZ491" s="33"/>
      <c r="BA491" s="33"/>
    </row>
    <row r="492" spans="1:53" ht="12" x14ac:dyDescent="0.2">
      <c r="A492" s="10" t="s">
        <v>4378</v>
      </c>
      <c r="B492" s="39">
        <v>104077</v>
      </c>
      <c r="C492" s="42" t="e">
        <v>#N/A</v>
      </c>
      <c r="D492" s="10" t="s">
        <v>2945</v>
      </c>
      <c r="E492" s="14" t="s">
        <v>1901</v>
      </c>
      <c r="F492" s="1" t="s">
        <v>395</v>
      </c>
      <c r="G492" s="1" t="s">
        <v>2591</v>
      </c>
      <c r="H492" s="1"/>
      <c r="I492" s="1">
        <v>77</v>
      </c>
      <c r="J492" s="1"/>
      <c r="K492" s="1"/>
      <c r="L492" s="1"/>
      <c r="M492" s="1"/>
      <c r="O492" s="16" t="s">
        <v>367</v>
      </c>
      <c r="P492" s="1">
        <v>1</v>
      </c>
      <c r="Q492" s="15"/>
      <c r="R492" s="15"/>
      <c r="S492" s="15"/>
      <c r="T492" s="15"/>
      <c r="U492" s="15"/>
      <c r="V492" s="1"/>
      <c r="W492" s="1"/>
      <c r="X492" s="1"/>
      <c r="Y492" s="15">
        <v>13800</v>
      </c>
      <c r="Z492" s="15"/>
      <c r="AA492" s="15"/>
      <c r="AB492" s="17"/>
      <c r="AC492" s="82"/>
      <c r="AD492" s="16" t="s">
        <v>52</v>
      </c>
      <c r="AE492" s="16" t="s">
        <v>1903</v>
      </c>
      <c r="AF492" s="16"/>
      <c r="AG492" s="16"/>
      <c r="AH492" s="16"/>
      <c r="AI492" s="16" t="s">
        <v>4379</v>
      </c>
      <c r="AJ492" s="16"/>
      <c r="AK492" s="16"/>
      <c r="AL492" s="16"/>
      <c r="AM492" s="16"/>
      <c r="AN492" s="16"/>
      <c r="AO492" s="16"/>
      <c r="AP492" s="16"/>
      <c r="AR492" s="88"/>
      <c r="AS492" s="88"/>
      <c r="AU492" s="12" t="s">
        <v>1931</v>
      </c>
      <c r="AV492" s="19"/>
      <c r="AW492" s="39">
        <v>90</v>
      </c>
      <c r="AY492" s="33"/>
      <c r="AZ492" s="33"/>
      <c r="BA492" s="33"/>
    </row>
    <row r="493" spans="1:53" ht="12" x14ac:dyDescent="0.2">
      <c r="A493" s="10" t="s">
        <v>2805</v>
      </c>
      <c r="B493" s="39">
        <v>104078</v>
      </c>
      <c r="C493" s="42" t="s">
        <v>3385</v>
      </c>
      <c r="D493" s="10" t="s">
        <v>2945</v>
      </c>
      <c r="E493" s="14" t="s">
        <v>1901</v>
      </c>
      <c r="F493" s="1" t="s">
        <v>89</v>
      </c>
      <c r="G493" s="1" t="s">
        <v>2578</v>
      </c>
      <c r="H493" s="1"/>
      <c r="I493" s="1">
        <v>78</v>
      </c>
      <c r="J493" s="1"/>
      <c r="K493" s="1"/>
      <c r="L493" s="1"/>
      <c r="M493" s="1"/>
      <c r="O493" s="16" t="s">
        <v>367</v>
      </c>
      <c r="P493" s="1">
        <v>1</v>
      </c>
      <c r="Q493" s="15"/>
      <c r="R493" s="15"/>
      <c r="S493" s="15"/>
      <c r="T493" s="15"/>
      <c r="U493" s="15"/>
      <c r="V493" s="1"/>
      <c r="W493" s="1"/>
      <c r="X493" s="1"/>
      <c r="Y493" s="15">
        <v>13800</v>
      </c>
      <c r="Z493" s="15"/>
      <c r="AA493" s="15"/>
      <c r="AB493" s="17"/>
      <c r="AC493" s="82"/>
      <c r="AD493" s="16" t="s">
        <v>52</v>
      </c>
      <c r="AE493" s="16" t="s">
        <v>1903</v>
      </c>
      <c r="AF493" s="16"/>
      <c r="AG493" s="16"/>
      <c r="AH493" s="16"/>
      <c r="AI493" s="16" t="s">
        <v>2806</v>
      </c>
      <c r="AJ493" s="16"/>
      <c r="AK493" s="16"/>
      <c r="AL493" s="16"/>
      <c r="AM493" s="16"/>
      <c r="AN493" s="16"/>
      <c r="AO493" s="16"/>
      <c r="AP493" s="16"/>
      <c r="AR493" s="88"/>
      <c r="AS493" s="88"/>
      <c r="AU493" s="12" t="s">
        <v>1931</v>
      </c>
      <c r="AV493" s="19"/>
      <c r="AW493" s="39">
        <v>90</v>
      </c>
      <c r="AY493" s="33"/>
      <c r="AZ493" s="33"/>
      <c r="BA493" s="33"/>
    </row>
    <row r="494" spans="1:53" ht="12" x14ac:dyDescent="0.2">
      <c r="A494" s="10" t="s">
        <v>4405</v>
      </c>
      <c r="B494" s="39">
        <v>104079</v>
      </c>
      <c r="C494" s="42" t="s">
        <v>4406</v>
      </c>
      <c r="D494" s="10" t="s">
        <v>2945</v>
      </c>
      <c r="E494" s="14" t="s">
        <v>1901</v>
      </c>
      <c r="F494" s="1" t="s">
        <v>394</v>
      </c>
      <c r="G494" s="1" t="s">
        <v>2578</v>
      </c>
      <c r="H494" s="1"/>
      <c r="I494" s="1">
        <v>79</v>
      </c>
      <c r="J494" s="1"/>
      <c r="K494" s="1"/>
      <c r="L494" s="1"/>
      <c r="M494" s="1"/>
      <c r="O494" s="16" t="s">
        <v>367</v>
      </c>
      <c r="P494" s="1">
        <v>1</v>
      </c>
      <c r="Q494" s="15"/>
      <c r="R494" s="15"/>
      <c r="S494" s="15"/>
      <c r="T494" s="15"/>
      <c r="U494" s="15"/>
      <c r="V494" s="1"/>
      <c r="W494" s="1"/>
      <c r="X494" s="1"/>
      <c r="Y494" s="15">
        <v>13800</v>
      </c>
      <c r="Z494" s="15"/>
      <c r="AA494" s="15"/>
      <c r="AB494" s="17"/>
      <c r="AC494" s="82"/>
      <c r="AD494" s="16" t="s">
        <v>52</v>
      </c>
      <c r="AE494" s="16" t="s">
        <v>1903</v>
      </c>
      <c r="AF494" s="16"/>
      <c r="AG494" s="16"/>
      <c r="AH494" s="16"/>
      <c r="AI494" s="16" t="s">
        <v>4407</v>
      </c>
      <c r="AJ494" s="16"/>
      <c r="AK494" s="16"/>
      <c r="AL494" s="16"/>
      <c r="AM494" s="16"/>
      <c r="AN494" s="16"/>
      <c r="AO494" s="16"/>
      <c r="AP494" s="16"/>
      <c r="AR494" s="88"/>
      <c r="AS494" s="88"/>
      <c r="AU494" s="12" t="s">
        <v>1931</v>
      </c>
      <c r="AV494" s="19"/>
      <c r="AW494" s="39">
        <v>90</v>
      </c>
      <c r="AY494" s="33"/>
      <c r="AZ494" s="33"/>
      <c r="BA494" s="33"/>
    </row>
    <row r="495" spans="1:53" ht="12" x14ac:dyDescent="0.2">
      <c r="A495" s="10" t="s">
        <v>5631</v>
      </c>
      <c r="B495" s="39">
        <v>104080</v>
      </c>
      <c r="D495" s="10" t="s">
        <v>2945</v>
      </c>
      <c r="E495" s="14" t="s">
        <v>1901</v>
      </c>
      <c r="F495" s="1" t="s">
        <v>88</v>
      </c>
      <c r="G495" s="1" t="s">
        <v>2591</v>
      </c>
      <c r="H495" s="1"/>
      <c r="I495" s="1">
        <v>80</v>
      </c>
      <c r="J495" s="1"/>
      <c r="K495" s="1"/>
      <c r="L495" s="1"/>
      <c r="M495" s="1"/>
      <c r="O495" s="16" t="s">
        <v>367</v>
      </c>
      <c r="P495" s="1">
        <v>1</v>
      </c>
      <c r="Q495" s="15"/>
      <c r="R495" s="15"/>
      <c r="S495" s="15"/>
      <c r="T495" s="15"/>
      <c r="U495" s="15"/>
      <c r="V495" s="1"/>
      <c r="W495" s="1"/>
      <c r="X495" s="1"/>
      <c r="Y495" s="15">
        <v>13800</v>
      </c>
      <c r="Z495" s="15"/>
      <c r="AA495" s="15"/>
      <c r="AB495" s="17"/>
      <c r="AC495" s="82"/>
      <c r="AD495" s="16" t="s">
        <v>52</v>
      </c>
      <c r="AE495" s="16" t="s">
        <v>1903</v>
      </c>
      <c r="AF495" s="16"/>
      <c r="AG495" s="16"/>
      <c r="AH495" s="16"/>
      <c r="AI495" s="16" t="s">
        <v>5632</v>
      </c>
      <c r="AJ495" s="16"/>
      <c r="AK495" s="16"/>
      <c r="AL495" s="16"/>
      <c r="AM495" s="16"/>
      <c r="AN495" s="16"/>
      <c r="AO495" s="16"/>
      <c r="AP495" s="16"/>
      <c r="AR495" s="88"/>
      <c r="AS495" s="88"/>
      <c r="AU495" s="12" t="s">
        <v>1931</v>
      </c>
      <c r="AV495" s="19"/>
      <c r="AW495" s="39">
        <v>90</v>
      </c>
      <c r="AY495" s="33"/>
      <c r="AZ495" s="33"/>
      <c r="BA495" s="33"/>
    </row>
    <row r="496" spans="1:53" ht="12" x14ac:dyDescent="0.2">
      <c r="A496" s="10" t="s">
        <v>4442</v>
      </c>
      <c r="B496" s="39">
        <v>104081</v>
      </c>
      <c r="C496" s="42" t="e">
        <v>#N/A</v>
      </c>
      <c r="D496" s="10" t="s">
        <v>2945</v>
      </c>
      <c r="E496" s="14" t="s">
        <v>1901</v>
      </c>
      <c r="F496" s="1" t="s">
        <v>89</v>
      </c>
      <c r="G496" s="1" t="s">
        <v>2578</v>
      </c>
      <c r="H496" s="1"/>
      <c r="I496" s="1">
        <v>81</v>
      </c>
      <c r="J496" s="1"/>
      <c r="K496" s="1"/>
      <c r="L496" s="1"/>
      <c r="M496" s="1"/>
      <c r="O496" s="16" t="s">
        <v>367</v>
      </c>
      <c r="P496" s="1">
        <v>1</v>
      </c>
      <c r="Q496" s="15"/>
      <c r="R496" s="15"/>
      <c r="S496" s="15"/>
      <c r="T496" s="15"/>
      <c r="U496" s="15"/>
      <c r="V496" s="1"/>
      <c r="W496" s="1"/>
      <c r="X496" s="1"/>
      <c r="Y496" s="15">
        <v>13800</v>
      </c>
      <c r="Z496" s="15"/>
      <c r="AA496" s="15"/>
      <c r="AB496" s="17"/>
      <c r="AC496" s="82"/>
      <c r="AD496" s="16" t="s">
        <v>52</v>
      </c>
      <c r="AE496" s="16" t="s">
        <v>1903</v>
      </c>
      <c r="AF496" s="16"/>
      <c r="AG496" s="16"/>
      <c r="AH496" s="16"/>
      <c r="AI496" s="16" t="s">
        <v>4443</v>
      </c>
      <c r="AJ496" s="16"/>
      <c r="AK496" s="16"/>
      <c r="AL496" s="16"/>
      <c r="AM496" s="16"/>
      <c r="AN496" s="16"/>
      <c r="AO496" s="16"/>
      <c r="AP496" s="16"/>
      <c r="AR496" s="88"/>
      <c r="AS496" s="88"/>
      <c r="AU496" s="12" t="s">
        <v>1931</v>
      </c>
      <c r="AV496" s="19"/>
      <c r="AW496" s="39">
        <v>90</v>
      </c>
      <c r="AY496" s="33"/>
      <c r="AZ496" s="33"/>
      <c r="BA496" s="33"/>
    </row>
    <row r="497" spans="1:53" ht="12" x14ac:dyDescent="0.2">
      <c r="A497" s="10" t="s">
        <v>5393</v>
      </c>
      <c r="B497" s="39">
        <v>104082</v>
      </c>
      <c r="C497" s="42" t="e">
        <v>#N/A</v>
      </c>
      <c r="D497" s="10" t="s">
        <v>2945</v>
      </c>
      <c r="E497" s="14" t="s">
        <v>1901</v>
      </c>
      <c r="F497" s="1" t="s">
        <v>395</v>
      </c>
      <c r="G497" s="1" t="s">
        <v>2591</v>
      </c>
      <c r="H497" s="1"/>
      <c r="I497" s="1">
        <v>82</v>
      </c>
      <c r="J497" s="1"/>
      <c r="K497" s="1"/>
      <c r="L497" s="1"/>
      <c r="M497" s="1"/>
      <c r="O497" s="16" t="s">
        <v>367</v>
      </c>
      <c r="P497" s="1">
        <v>1</v>
      </c>
      <c r="Q497" s="15"/>
      <c r="R497" s="15"/>
      <c r="S497" s="15"/>
      <c r="T497" s="15"/>
      <c r="U497" s="15"/>
      <c r="V497" s="1"/>
      <c r="W497" s="1"/>
      <c r="X497" s="1"/>
      <c r="Y497" s="15">
        <v>13800</v>
      </c>
      <c r="Z497" s="15"/>
      <c r="AA497" s="15"/>
      <c r="AB497" s="17"/>
      <c r="AC497" s="82"/>
      <c r="AD497" s="16" t="s">
        <v>52</v>
      </c>
      <c r="AE497" s="16" t="s">
        <v>1903</v>
      </c>
      <c r="AF497" s="16"/>
      <c r="AG497" s="16"/>
      <c r="AH497" s="16"/>
      <c r="AI497" s="16">
        <v>15082</v>
      </c>
      <c r="AJ497" s="16"/>
      <c r="AK497" s="16"/>
      <c r="AL497" s="16"/>
      <c r="AM497" s="16"/>
      <c r="AN497" s="16"/>
      <c r="AO497" s="16"/>
      <c r="AP497" s="16"/>
      <c r="AR497" s="88"/>
      <c r="AS497" s="88"/>
      <c r="AU497" s="12" t="s">
        <v>1931</v>
      </c>
      <c r="AV497" s="19"/>
      <c r="AW497" s="39">
        <v>90</v>
      </c>
      <c r="AY497" s="33"/>
      <c r="AZ497" s="33"/>
      <c r="BA497" s="33"/>
    </row>
    <row r="498" spans="1:53" ht="12" x14ac:dyDescent="0.2">
      <c r="A498" s="10" t="s">
        <v>5565</v>
      </c>
      <c r="B498" s="39">
        <v>104083</v>
      </c>
      <c r="C498" s="42" t="e">
        <v>#N/A</v>
      </c>
      <c r="D498" s="10" t="s">
        <v>2945</v>
      </c>
      <c r="E498" s="14" t="s">
        <v>1901</v>
      </c>
      <c r="F498" s="1" t="s">
        <v>89</v>
      </c>
      <c r="G498" s="1" t="s">
        <v>2578</v>
      </c>
      <c r="H498" s="1"/>
      <c r="I498" s="1">
        <v>83</v>
      </c>
      <c r="J498" s="1"/>
      <c r="K498" s="1"/>
      <c r="L498" s="1"/>
      <c r="M498" s="1"/>
      <c r="O498" s="16" t="s">
        <v>367</v>
      </c>
      <c r="P498" s="1">
        <v>1</v>
      </c>
      <c r="Q498" s="15"/>
      <c r="R498" s="15"/>
      <c r="S498" s="15"/>
      <c r="T498" s="15"/>
      <c r="U498" s="15"/>
      <c r="V498" s="1"/>
      <c r="W498" s="1"/>
      <c r="X498" s="1"/>
      <c r="Y498" s="15">
        <v>13800</v>
      </c>
      <c r="Z498" s="15"/>
      <c r="AA498" s="15"/>
      <c r="AB498" s="17"/>
      <c r="AC498" s="82"/>
      <c r="AD498" s="16" t="s">
        <v>52</v>
      </c>
      <c r="AE498" s="16" t="s">
        <v>1903</v>
      </c>
      <c r="AF498" s="16"/>
      <c r="AG498" s="16"/>
      <c r="AH498" s="16"/>
      <c r="AI498" s="16">
        <v>15083</v>
      </c>
      <c r="AJ498" s="16"/>
      <c r="AK498" s="16"/>
      <c r="AL498" s="16"/>
      <c r="AM498" s="16"/>
      <c r="AN498" s="16"/>
      <c r="AO498" s="16"/>
      <c r="AP498" s="16"/>
      <c r="AR498" s="88"/>
      <c r="AS498" s="88"/>
      <c r="AU498" s="12" t="s">
        <v>1931</v>
      </c>
      <c r="AV498" s="19"/>
      <c r="AW498" s="39">
        <v>90</v>
      </c>
      <c r="AY498" s="33"/>
      <c r="AZ498" s="33"/>
      <c r="BA498" s="33"/>
    </row>
    <row r="499" spans="1:53" ht="12" x14ac:dyDescent="0.2">
      <c r="A499" s="10" t="s">
        <v>4419</v>
      </c>
      <c r="B499" s="39">
        <v>104084</v>
      </c>
      <c r="C499" s="42" t="e">
        <v>#N/A</v>
      </c>
      <c r="D499" s="10" t="s">
        <v>2945</v>
      </c>
      <c r="E499" s="14" t="s">
        <v>1901</v>
      </c>
      <c r="F499" s="1" t="s">
        <v>89</v>
      </c>
      <c r="G499" s="1" t="s">
        <v>2578</v>
      </c>
      <c r="H499" s="1"/>
      <c r="I499" s="1">
        <v>84</v>
      </c>
      <c r="J499" s="1"/>
      <c r="K499" s="1"/>
      <c r="L499" s="1"/>
      <c r="M499" s="1"/>
      <c r="O499" s="16" t="s">
        <v>367</v>
      </c>
      <c r="P499" s="1">
        <v>1</v>
      </c>
      <c r="Q499" s="15"/>
      <c r="R499" s="15"/>
      <c r="S499" s="15"/>
      <c r="T499" s="15"/>
      <c r="U499" s="15"/>
      <c r="V499" s="1"/>
      <c r="W499" s="1"/>
      <c r="X499" s="1"/>
      <c r="Y499" s="15">
        <v>13800</v>
      </c>
      <c r="Z499" s="15"/>
      <c r="AA499" s="15"/>
      <c r="AB499" s="17"/>
      <c r="AC499" s="82"/>
      <c r="AD499" s="16" t="s">
        <v>52</v>
      </c>
      <c r="AE499" s="16" t="s">
        <v>1903</v>
      </c>
      <c r="AF499" s="16"/>
      <c r="AG499" s="16"/>
      <c r="AH499" s="16"/>
      <c r="AI499" s="16" t="s">
        <v>4420</v>
      </c>
      <c r="AJ499" s="16"/>
      <c r="AK499" s="16"/>
      <c r="AL499" s="16"/>
      <c r="AM499" s="16"/>
      <c r="AN499" s="16"/>
      <c r="AO499" s="16"/>
      <c r="AP499" s="16"/>
      <c r="AR499" s="88"/>
      <c r="AS499" s="88"/>
      <c r="AU499" s="12" t="s">
        <v>1931</v>
      </c>
      <c r="AV499" s="19"/>
      <c r="AW499" s="39">
        <v>90</v>
      </c>
      <c r="AY499" s="33"/>
      <c r="AZ499" s="33"/>
      <c r="BA499" s="33"/>
    </row>
    <row r="500" spans="1:53" ht="12" x14ac:dyDescent="0.2">
      <c r="A500" s="10" t="s">
        <v>4431</v>
      </c>
      <c r="B500" s="39">
        <v>104085</v>
      </c>
      <c r="D500" s="10" t="s">
        <v>2945</v>
      </c>
      <c r="E500" s="14" t="s">
        <v>1901</v>
      </c>
      <c r="F500" s="1" t="s">
        <v>394</v>
      </c>
      <c r="G500" s="1" t="s">
        <v>2578</v>
      </c>
      <c r="H500" s="1"/>
      <c r="I500" s="1">
        <v>85</v>
      </c>
      <c r="J500" s="1"/>
      <c r="K500" s="1"/>
      <c r="L500" s="1"/>
      <c r="M500" s="1"/>
      <c r="O500" s="16" t="s">
        <v>367</v>
      </c>
      <c r="P500" s="1">
        <v>1</v>
      </c>
      <c r="Q500" s="15"/>
      <c r="R500" s="15"/>
      <c r="S500" s="15"/>
      <c r="T500" s="15"/>
      <c r="U500" s="15"/>
      <c r="V500" s="1"/>
      <c r="W500" s="1"/>
      <c r="X500" s="1"/>
      <c r="Y500" s="15">
        <v>13800</v>
      </c>
      <c r="Z500" s="15"/>
      <c r="AA500" s="15"/>
      <c r="AB500" s="17"/>
      <c r="AC500" s="82"/>
      <c r="AD500" s="16" t="s">
        <v>52</v>
      </c>
      <c r="AE500" s="16" t="s">
        <v>1903</v>
      </c>
      <c r="AF500" s="16"/>
      <c r="AG500" s="16"/>
      <c r="AH500" s="16"/>
      <c r="AI500" s="16" t="s">
        <v>4432</v>
      </c>
      <c r="AJ500" s="16"/>
      <c r="AK500" s="16"/>
      <c r="AL500" s="16"/>
      <c r="AM500" s="16"/>
      <c r="AN500" s="16"/>
      <c r="AO500" s="16"/>
      <c r="AP500" s="16"/>
      <c r="AR500" s="88"/>
      <c r="AS500" s="88"/>
      <c r="AU500" s="12" t="s">
        <v>1931</v>
      </c>
      <c r="AV500" s="19"/>
      <c r="AW500" s="39">
        <v>90</v>
      </c>
      <c r="AY500" s="33"/>
      <c r="AZ500" s="33"/>
      <c r="BA500" s="33"/>
    </row>
    <row r="501" spans="1:53" ht="12" customHeight="1" x14ac:dyDescent="0.2">
      <c r="A501" s="10" t="s">
        <v>5576</v>
      </c>
      <c r="B501" s="39">
        <v>104086</v>
      </c>
      <c r="D501" s="10" t="s">
        <v>2503</v>
      </c>
      <c r="E501" s="14" t="s">
        <v>1905</v>
      </c>
      <c r="F501" s="1" t="s">
        <v>396</v>
      </c>
      <c r="G501" s="1" t="s">
        <v>5577</v>
      </c>
      <c r="H501" s="1"/>
      <c r="I501" s="1">
        <v>86</v>
      </c>
      <c r="J501" s="1"/>
      <c r="K501" s="1"/>
      <c r="L501" s="1"/>
      <c r="M501" s="1"/>
      <c r="O501" s="16" t="s">
        <v>367</v>
      </c>
      <c r="P501" s="1">
        <v>1</v>
      </c>
      <c r="Q501" s="15"/>
      <c r="R501" s="15"/>
      <c r="S501" s="15"/>
      <c r="T501" s="15"/>
      <c r="U501" s="15"/>
      <c r="V501" s="1"/>
      <c r="W501" s="1"/>
      <c r="X501" s="1"/>
      <c r="Y501" s="15">
        <v>13800</v>
      </c>
      <c r="Z501" s="15"/>
      <c r="AA501" s="15"/>
      <c r="AB501" s="17"/>
      <c r="AC501" s="82"/>
      <c r="AD501" s="16" t="s">
        <v>52</v>
      </c>
      <c r="AE501" s="16" t="s">
        <v>1903</v>
      </c>
      <c r="AF501" s="16"/>
      <c r="AG501" s="16"/>
      <c r="AH501" s="16"/>
      <c r="AI501" s="16" t="s">
        <v>5578</v>
      </c>
      <c r="AJ501" s="16"/>
      <c r="AK501" s="16"/>
      <c r="AL501" s="16"/>
      <c r="AM501" s="16"/>
      <c r="AN501" s="16"/>
      <c r="AO501" s="16"/>
      <c r="AP501" s="16"/>
      <c r="AR501" s="88"/>
      <c r="AS501" s="88"/>
      <c r="AU501" s="12" t="s">
        <v>1931</v>
      </c>
      <c r="AV501" s="19"/>
      <c r="AW501" s="39">
        <v>90</v>
      </c>
      <c r="AY501" s="33"/>
      <c r="AZ501" s="33"/>
      <c r="BA501" s="33"/>
    </row>
    <row r="502" spans="1:53" ht="12" x14ac:dyDescent="0.2">
      <c r="A502" s="10" t="s">
        <v>2590</v>
      </c>
      <c r="B502" s="39">
        <v>104087</v>
      </c>
      <c r="C502" s="42" t="s">
        <v>3386</v>
      </c>
      <c r="D502" s="10" t="s">
        <v>2945</v>
      </c>
      <c r="E502" s="14" t="s">
        <v>1901</v>
      </c>
      <c r="F502" s="1" t="s">
        <v>88</v>
      </c>
      <c r="G502" s="1" t="s">
        <v>2591</v>
      </c>
      <c r="H502" s="1"/>
      <c r="I502" s="1">
        <v>87</v>
      </c>
      <c r="J502" s="1"/>
      <c r="K502" s="1"/>
      <c r="L502" s="1"/>
      <c r="M502" s="1"/>
      <c r="O502" s="16" t="s">
        <v>367</v>
      </c>
      <c r="P502" s="1">
        <v>1</v>
      </c>
      <c r="Q502" s="15"/>
      <c r="R502" s="15"/>
      <c r="S502" s="15"/>
      <c r="T502" s="15"/>
      <c r="U502" s="15"/>
      <c r="V502" s="1"/>
      <c r="W502" s="1"/>
      <c r="X502" s="1"/>
      <c r="Y502" s="15">
        <v>13800</v>
      </c>
      <c r="Z502" s="15"/>
      <c r="AA502" s="15"/>
      <c r="AB502" s="17"/>
      <c r="AC502" s="82"/>
      <c r="AD502" s="16" t="s">
        <v>52</v>
      </c>
      <c r="AE502" s="16" t="s">
        <v>1903</v>
      </c>
      <c r="AF502" s="16"/>
      <c r="AG502" s="16"/>
      <c r="AH502" s="16"/>
      <c r="AI502" s="16" t="s">
        <v>2592</v>
      </c>
      <c r="AJ502" s="16"/>
      <c r="AK502" s="16"/>
      <c r="AL502" s="16"/>
      <c r="AM502" s="16"/>
      <c r="AN502" s="16"/>
      <c r="AO502" s="16"/>
      <c r="AP502" s="16"/>
      <c r="AR502" s="88"/>
      <c r="AS502" s="88"/>
      <c r="AU502" s="12" t="s">
        <v>1931</v>
      </c>
      <c r="AV502" s="19"/>
      <c r="AW502" s="39">
        <v>90</v>
      </c>
      <c r="AY502" s="33"/>
      <c r="AZ502" s="33"/>
      <c r="BA502" s="33"/>
    </row>
    <row r="503" spans="1:53" ht="12" x14ac:dyDescent="0.2">
      <c r="A503" s="10" t="s">
        <v>5598</v>
      </c>
      <c r="B503" s="39">
        <v>104088</v>
      </c>
      <c r="D503" s="10" t="s">
        <v>2945</v>
      </c>
      <c r="E503" s="14" t="s">
        <v>1901</v>
      </c>
      <c r="F503" s="1" t="s">
        <v>89</v>
      </c>
      <c r="G503" s="1" t="s">
        <v>2578</v>
      </c>
      <c r="H503" s="1"/>
      <c r="I503" s="1">
        <v>88</v>
      </c>
      <c r="J503" s="1"/>
      <c r="K503" s="1"/>
      <c r="L503" s="1"/>
      <c r="M503" s="1"/>
      <c r="O503" s="16" t="s">
        <v>367</v>
      </c>
      <c r="P503" s="1">
        <v>1</v>
      </c>
      <c r="Q503" s="15"/>
      <c r="R503" s="15"/>
      <c r="S503" s="15"/>
      <c r="T503" s="15"/>
      <c r="U503" s="15"/>
      <c r="V503" s="1"/>
      <c r="W503" s="1"/>
      <c r="X503" s="1"/>
      <c r="Y503" s="15">
        <v>13800</v>
      </c>
      <c r="Z503" s="15"/>
      <c r="AA503" s="15"/>
      <c r="AB503" s="17"/>
      <c r="AC503" s="82"/>
      <c r="AD503" s="16" t="s">
        <v>52</v>
      </c>
      <c r="AE503" s="16" t="s">
        <v>1903</v>
      </c>
      <c r="AF503" s="16"/>
      <c r="AG503" s="16"/>
      <c r="AH503" s="16"/>
      <c r="AI503" s="16" t="s">
        <v>5600</v>
      </c>
      <c r="AJ503" s="16"/>
      <c r="AK503" s="16"/>
      <c r="AL503" s="16"/>
      <c r="AM503" s="16"/>
      <c r="AN503" s="16"/>
      <c r="AO503" s="16"/>
      <c r="AP503" s="16"/>
      <c r="AR503" s="88"/>
      <c r="AS503" s="88"/>
      <c r="AU503" s="12" t="s">
        <v>1931</v>
      </c>
      <c r="AV503" s="19"/>
      <c r="AW503" s="39">
        <v>90</v>
      </c>
      <c r="AY503" s="33"/>
      <c r="AZ503" s="33"/>
      <c r="BA503" s="33"/>
    </row>
    <row r="504" spans="1:53" ht="12" x14ac:dyDescent="0.2">
      <c r="A504" s="10" t="s">
        <v>5599</v>
      </c>
      <c r="B504" s="39">
        <v>104089</v>
      </c>
      <c r="D504" s="10" t="s">
        <v>2503</v>
      </c>
      <c r="E504" s="14" t="s">
        <v>1905</v>
      </c>
      <c r="F504" s="1" t="s">
        <v>396</v>
      </c>
      <c r="G504" s="1" t="s">
        <v>2578</v>
      </c>
      <c r="H504" s="1"/>
      <c r="I504" s="1">
        <v>89</v>
      </c>
      <c r="J504" s="1"/>
      <c r="K504" s="1"/>
      <c r="L504" s="1"/>
      <c r="M504" s="1"/>
      <c r="O504" s="16" t="s">
        <v>367</v>
      </c>
      <c r="P504" s="1">
        <v>1</v>
      </c>
      <c r="Q504" s="15"/>
      <c r="R504" s="15"/>
      <c r="S504" s="15"/>
      <c r="T504" s="15"/>
      <c r="U504" s="15"/>
      <c r="V504" s="1"/>
      <c r="W504" s="1"/>
      <c r="X504" s="1"/>
      <c r="Y504" s="15">
        <v>13800</v>
      </c>
      <c r="Z504" s="15"/>
      <c r="AA504" s="15"/>
      <c r="AB504" s="17"/>
      <c r="AC504" s="82"/>
      <c r="AD504" s="16" t="s">
        <v>52</v>
      </c>
      <c r="AE504" s="16" t="s">
        <v>1903</v>
      </c>
      <c r="AF504" s="16"/>
      <c r="AI504" s="16" t="s">
        <v>5601</v>
      </c>
      <c r="AJ504" s="16"/>
      <c r="AK504" s="16"/>
      <c r="AL504" s="16"/>
      <c r="AM504" s="16"/>
      <c r="AN504" s="16"/>
      <c r="AO504" s="16"/>
      <c r="AP504" s="16"/>
      <c r="AR504" s="88"/>
      <c r="AS504" s="88"/>
      <c r="AU504" s="12" t="s">
        <v>1931</v>
      </c>
      <c r="AV504" s="19"/>
      <c r="AW504" s="39">
        <v>90</v>
      </c>
      <c r="AY504" s="33"/>
      <c r="AZ504" s="33"/>
      <c r="BA504" s="33"/>
    </row>
    <row r="505" spans="1:53" ht="12" x14ac:dyDescent="0.2">
      <c r="A505" s="10" t="s">
        <v>2572</v>
      </c>
      <c r="B505" s="39">
        <v>104090</v>
      </c>
      <c r="C505" s="42" t="s">
        <v>3387</v>
      </c>
      <c r="D505" s="10" t="s">
        <v>2945</v>
      </c>
      <c r="E505" s="14" t="s">
        <v>1901</v>
      </c>
      <c r="F505" s="1" t="s">
        <v>394</v>
      </c>
      <c r="G505" s="1" t="s">
        <v>2578</v>
      </c>
      <c r="H505" s="1"/>
      <c r="I505" s="1">
        <v>90</v>
      </c>
      <c r="J505" s="1"/>
      <c r="K505" s="1"/>
      <c r="L505" s="1"/>
      <c r="M505" s="1"/>
      <c r="O505" s="16" t="s">
        <v>367</v>
      </c>
      <c r="P505" s="1">
        <v>1</v>
      </c>
      <c r="Q505" s="15"/>
      <c r="R505" s="15"/>
      <c r="S505" s="15"/>
      <c r="T505" s="15"/>
      <c r="U505" s="15"/>
      <c r="V505" s="1"/>
      <c r="W505" s="1"/>
      <c r="X505" s="1"/>
      <c r="Y505" s="15">
        <v>13800</v>
      </c>
      <c r="Z505" s="15"/>
      <c r="AA505" s="15"/>
      <c r="AB505" s="17"/>
      <c r="AC505" s="82"/>
      <c r="AD505" s="16" t="s">
        <v>52</v>
      </c>
      <c r="AE505" s="16" t="s">
        <v>1903</v>
      </c>
      <c r="AF505" s="16"/>
      <c r="AI505" s="16">
        <v>15090</v>
      </c>
      <c r="AJ505" s="16"/>
      <c r="AK505" s="16"/>
      <c r="AL505" s="16"/>
      <c r="AM505" s="16"/>
      <c r="AN505" s="16"/>
      <c r="AO505" s="16"/>
      <c r="AP505" s="16"/>
      <c r="AR505" s="88"/>
      <c r="AS505" s="88"/>
      <c r="AU505" s="12" t="s">
        <v>1931</v>
      </c>
      <c r="AV505" s="19"/>
      <c r="AW505" s="39">
        <v>90</v>
      </c>
      <c r="AY505" s="33"/>
      <c r="AZ505" s="33"/>
      <c r="BA505" s="33"/>
    </row>
    <row r="506" spans="1:53" ht="12" x14ac:dyDescent="0.2">
      <c r="A506" s="10" t="s">
        <v>2573</v>
      </c>
      <c r="B506" s="39">
        <v>104091</v>
      </c>
      <c r="C506" s="42" t="s">
        <v>3388</v>
      </c>
      <c r="D506" s="10" t="s">
        <v>2503</v>
      </c>
      <c r="E506" s="14" t="s">
        <v>1905</v>
      </c>
      <c r="F506" s="1" t="s">
        <v>396</v>
      </c>
      <c r="G506" s="1" t="s">
        <v>2578</v>
      </c>
      <c r="H506" s="1"/>
      <c r="I506" s="1">
        <v>91</v>
      </c>
      <c r="J506" s="1"/>
      <c r="K506" s="1"/>
      <c r="L506" s="1"/>
      <c r="M506" s="1"/>
      <c r="O506" s="16" t="s">
        <v>367</v>
      </c>
      <c r="P506" s="1">
        <v>1</v>
      </c>
      <c r="Q506" s="15"/>
      <c r="R506" s="15"/>
      <c r="S506" s="15"/>
      <c r="T506" s="15"/>
      <c r="U506" s="15"/>
      <c r="V506" s="1"/>
      <c r="W506" s="1"/>
      <c r="X506" s="1"/>
      <c r="Y506" s="15">
        <v>13800</v>
      </c>
      <c r="Z506" s="15"/>
      <c r="AA506" s="15"/>
      <c r="AB506" s="17"/>
      <c r="AC506" s="82"/>
      <c r="AD506" s="16" t="s">
        <v>52</v>
      </c>
      <c r="AE506" s="16" t="s">
        <v>1903</v>
      </c>
      <c r="AF506" s="16"/>
      <c r="AI506" s="16">
        <v>15091</v>
      </c>
      <c r="AJ506" s="16"/>
      <c r="AK506" s="16"/>
      <c r="AL506" s="16"/>
      <c r="AM506" s="16"/>
      <c r="AN506" s="16"/>
      <c r="AO506" s="16"/>
      <c r="AP506" s="16"/>
      <c r="AR506" s="88"/>
      <c r="AS506" s="88"/>
      <c r="AU506" s="12" t="s">
        <v>1931</v>
      </c>
      <c r="AV506" s="19"/>
      <c r="AW506" s="39">
        <v>90</v>
      </c>
      <c r="AY506" s="33"/>
      <c r="AZ506" s="33"/>
      <c r="BA506" s="33"/>
    </row>
    <row r="507" spans="1:53" ht="12" x14ac:dyDescent="0.2">
      <c r="A507" s="10" t="s">
        <v>2574</v>
      </c>
      <c r="B507" s="39">
        <v>104092</v>
      </c>
      <c r="C507" s="42" t="s">
        <v>3389</v>
      </c>
      <c r="D507" s="10" t="s">
        <v>2945</v>
      </c>
      <c r="E507" s="14" t="s">
        <v>1901</v>
      </c>
      <c r="F507" s="1" t="s">
        <v>395</v>
      </c>
      <c r="G507" s="1" t="s">
        <v>2578</v>
      </c>
      <c r="H507" s="1"/>
      <c r="I507" s="1">
        <v>92</v>
      </c>
      <c r="J507" s="1"/>
      <c r="K507" s="1"/>
      <c r="L507" s="1"/>
      <c r="M507" s="1"/>
      <c r="O507" s="16" t="s">
        <v>367</v>
      </c>
      <c r="P507" s="1">
        <v>1</v>
      </c>
      <c r="Q507" s="15"/>
      <c r="R507" s="15"/>
      <c r="S507" s="15"/>
      <c r="T507" s="15"/>
      <c r="U507" s="15"/>
      <c r="V507" s="1"/>
      <c r="W507" s="1"/>
      <c r="X507" s="1"/>
      <c r="Y507" s="15">
        <v>13800</v>
      </c>
      <c r="Z507" s="15"/>
      <c r="AA507" s="15"/>
      <c r="AB507" s="17"/>
      <c r="AC507" s="82"/>
      <c r="AD507" s="16" t="s">
        <v>52</v>
      </c>
      <c r="AE507" s="16" t="s">
        <v>1903</v>
      </c>
      <c r="AF507" s="16"/>
      <c r="AI507" s="16">
        <v>15092</v>
      </c>
      <c r="AJ507" s="16"/>
      <c r="AK507" s="16"/>
      <c r="AL507" s="16"/>
      <c r="AM507" s="16"/>
      <c r="AN507" s="16"/>
      <c r="AO507" s="16"/>
      <c r="AP507" s="16"/>
      <c r="AR507" s="88"/>
      <c r="AS507" s="88"/>
      <c r="AU507" s="12" t="s">
        <v>1931</v>
      </c>
      <c r="AV507" s="19"/>
      <c r="AW507" s="39">
        <v>90</v>
      </c>
      <c r="AY507" s="33"/>
      <c r="AZ507" s="33"/>
      <c r="BA507" s="33"/>
    </row>
    <row r="508" spans="1:53" ht="12" x14ac:dyDescent="0.2">
      <c r="A508" s="10" t="s">
        <v>2575</v>
      </c>
      <c r="B508" s="39">
        <v>104093</v>
      </c>
      <c r="C508" s="42" t="s">
        <v>3390</v>
      </c>
      <c r="D508" s="10" t="s">
        <v>2945</v>
      </c>
      <c r="E508" s="14" t="s">
        <v>1901</v>
      </c>
      <c r="F508" s="1" t="s">
        <v>88</v>
      </c>
      <c r="G508" s="1" t="s">
        <v>2578</v>
      </c>
      <c r="H508" s="1"/>
      <c r="I508" s="1">
        <v>93</v>
      </c>
      <c r="J508" s="1"/>
      <c r="K508" s="1"/>
      <c r="L508" s="1"/>
      <c r="M508" s="1"/>
      <c r="O508" s="16" t="s">
        <v>367</v>
      </c>
      <c r="P508" s="1">
        <v>1</v>
      </c>
      <c r="Q508" s="15"/>
      <c r="R508" s="15"/>
      <c r="S508" s="15"/>
      <c r="T508" s="15"/>
      <c r="U508" s="15"/>
      <c r="V508" s="1"/>
      <c r="W508" s="1"/>
      <c r="X508" s="1"/>
      <c r="Y508" s="15">
        <v>13800</v>
      </c>
      <c r="Z508" s="15"/>
      <c r="AA508" s="15"/>
      <c r="AB508" s="17"/>
      <c r="AC508" s="82"/>
      <c r="AD508" s="16" t="s">
        <v>52</v>
      </c>
      <c r="AE508" s="16" t="s">
        <v>1903</v>
      </c>
      <c r="AF508" s="16"/>
      <c r="AI508" s="16">
        <v>15093</v>
      </c>
      <c r="AJ508" s="16"/>
      <c r="AK508" s="16"/>
      <c r="AL508" s="16"/>
      <c r="AM508" s="16"/>
      <c r="AN508" s="16"/>
      <c r="AO508" s="16"/>
      <c r="AP508" s="16"/>
      <c r="AR508" s="88"/>
      <c r="AS508" s="88"/>
      <c r="AU508" s="12" t="s">
        <v>1931</v>
      </c>
      <c r="AV508" s="19"/>
      <c r="AW508" s="39">
        <v>90</v>
      </c>
      <c r="AY508" s="33"/>
      <c r="AZ508" s="33"/>
      <c r="BA508" s="33"/>
    </row>
    <row r="509" spans="1:53" ht="12" x14ac:dyDescent="0.2">
      <c r="A509" s="10" t="s">
        <v>2576</v>
      </c>
      <c r="B509" s="39">
        <v>104094</v>
      </c>
      <c r="C509" s="42" t="s">
        <v>3391</v>
      </c>
      <c r="D509" s="10" t="s">
        <v>2945</v>
      </c>
      <c r="E509" s="14" t="s">
        <v>1901</v>
      </c>
      <c r="F509" s="1" t="s">
        <v>394</v>
      </c>
      <c r="G509" s="1" t="s">
        <v>2578</v>
      </c>
      <c r="H509" s="1"/>
      <c r="I509" s="1">
        <v>94</v>
      </c>
      <c r="J509" s="1"/>
      <c r="K509" s="1"/>
      <c r="L509" s="1"/>
      <c r="M509" s="1"/>
      <c r="O509" s="16" t="s">
        <v>367</v>
      </c>
      <c r="P509" s="1">
        <v>1</v>
      </c>
      <c r="Q509" s="15"/>
      <c r="R509" s="15"/>
      <c r="S509" s="15"/>
      <c r="T509" s="15"/>
      <c r="U509" s="15"/>
      <c r="V509" s="1"/>
      <c r="W509" s="1"/>
      <c r="X509" s="1"/>
      <c r="Y509" s="15">
        <v>13800</v>
      </c>
      <c r="Z509" s="15"/>
      <c r="AA509" s="15"/>
      <c r="AB509" s="17"/>
      <c r="AC509" s="82"/>
      <c r="AD509" s="16" t="s">
        <v>52</v>
      </c>
      <c r="AE509" s="16" t="s">
        <v>1903</v>
      </c>
      <c r="AF509" s="16"/>
      <c r="AI509" s="16">
        <v>15094</v>
      </c>
      <c r="AJ509" s="16"/>
      <c r="AK509" s="16"/>
      <c r="AL509" s="16"/>
      <c r="AM509" s="16"/>
      <c r="AN509" s="16"/>
      <c r="AO509" s="16"/>
      <c r="AP509" s="16"/>
      <c r="AR509" s="88"/>
      <c r="AS509" s="88"/>
      <c r="AU509" s="12" t="s">
        <v>1931</v>
      </c>
      <c r="AV509" s="19"/>
      <c r="AW509" s="39">
        <v>90</v>
      </c>
      <c r="AY509" s="33"/>
      <c r="AZ509" s="33"/>
      <c r="BA509" s="33"/>
    </row>
    <row r="510" spans="1:53" ht="12" x14ac:dyDescent="0.2">
      <c r="A510" s="10" t="s">
        <v>2577</v>
      </c>
      <c r="B510" s="39">
        <v>104095</v>
      </c>
      <c r="C510" s="42" t="s">
        <v>3392</v>
      </c>
      <c r="D510" s="10" t="s">
        <v>2945</v>
      </c>
      <c r="E510" s="14" t="s">
        <v>1901</v>
      </c>
      <c r="F510" s="1" t="s">
        <v>89</v>
      </c>
      <c r="G510" s="1" t="s">
        <v>2578</v>
      </c>
      <c r="H510" s="1"/>
      <c r="I510" s="1">
        <v>95</v>
      </c>
      <c r="J510" s="1"/>
      <c r="K510" s="1"/>
      <c r="L510" s="1"/>
      <c r="M510" s="1"/>
      <c r="O510" s="16" t="s">
        <v>367</v>
      </c>
      <c r="P510" s="1">
        <v>1</v>
      </c>
      <c r="Q510" s="15"/>
      <c r="R510" s="15"/>
      <c r="S510" s="15"/>
      <c r="T510" s="15"/>
      <c r="U510" s="15"/>
      <c r="V510" s="1"/>
      <c r="W510" s="1"/>
      <c r="X510" s="1"/>
      <c r="Y510" s="15">
        <v>13800</v>
      </c>
      <c r="Z510" s="15"/>
      <c r="AA510" s="15"/>
      <c r="AB510" s="17"/>
      <c r="AC510" s="82"/>
      <c r="AD510" s="16" t="s">
        <v>52</v>
      </c>
      <c r="AE510" s="16" t="s">
        <v>1903</v>
      </c>
      <c r="AF510" s="16"/>
      <c r="AI510" s="16">
        <v>15095</v>
      </c>
      <c r="AJ510" s="16"/>
      <c r="AK510" s="16"/>
      <c r="AL510" s="16"/>
      <c r="AM510" s="16"/>
      <c r="AN510" s="16"/>
      <c r="AO510" s="16"/>
      <c r="AP510" s="16"/>
      <c r="AR510" s="88"/>
      <c r="AS510" s="88"/>
      <c r="AU510" s="12" t="s">
        <v>1931</v>
      </c>
      <c r="AV510" s="19"/>
      <c r="AW510" s="39">
        <v>90</v>
      </c>
      <c r="AY510" s="33"/>
      <c r="AZ510" s="33"/>
      <c r="BA510" s="33"/>
    </row>
    <row r="511" spans="1:53" ht="12" x14ac:dyDescent="0.2">
      <c r="A511" s="10" t="s">
        <v>2593</v>
      </c>
      <c r="B511" s="39">
        <v>104096</v>
      </c>
      <c r="C511" s="42" t="s">
        <v>3393</v>
      </c>
      <c r="D511" s="10" t="s">
        <v>2945</v>
      </c>
      <c r="E511" s="14" t="s">
        <v>1901</v>
      </c>
      <c r="F511" s="1" t="s">
        <v>88</v>
      </c>
      <c r="G511" s="1" t="s">
        <v>2578</v>
      </c>
      <c r="H511" s="1"/>
      <c r="I511" s="1">
        <v>96</v>
      </c>
      <c r="J511" s="1"/>
      <c r="K511" s="1"/>
      <c r="L511" s="1"/>
      <c r="M511" s="1"/>
      <c r="O511" s="16" t="s">
        <v>367</v>
      </c>
      <c r="P511" s="1">
        <v>1</v>
      </c>
      <c r="Q511" s="15"/>
      <c r="R511" s="15"/>
      <c r="S511" s="15"/>
      <c r="T511" s="15"/>
      <c r="U511" s="15"/>
      <c r="V511" s="1"/>
      <c r="W511" s="1"/>
      <c r="X511" s="1"/>
      <c r="Y511" s="15">
        <v>13800</v>
      </c>
      <c r="Z511" s="15"/>
      <c r="AA511" s="15"/>
      <c r="AB511" s="17"/>
      <c r="AC511" s="82"/>
      <c r="AD511" s="16" t="s">
        <v>52</v>
      </c>
      <c r="AE511" s="16" t="s">
        <v>1903</v>
      </c>
      <c r="AF511" s="16"/>
      <c r="AI511" s="16" t="s">
        <v>2594</v>
      </c>
      <c r="AJ511" s="16"/>
      <c r="AK511" s="16"/>
      <c r="AL511" s="16"/>
      <c r="AM511" s="16"/>
      <c r="AN511" s="16"/>
      <c r="AO511" s="16"/>
      <c r="AP511" s="16"/>
      <c r="AR511" s="88"/>
      <c r="AS511" s="88"/>
      <c r="AU511" s="12" t="s">
        <v>1931</v>
      </c>
      <c r="AV511" s="19"/>
      <c r="AW511" s="39">
        <v>90</v>
      </c>
      <c r="AY511" s="33"/>
      <c r="AZ511" s="33"/>
      <c r="BA511" s="33"/>
    </row>
    <row r="512" spans="1:53" ht="12" x14ac:dyDescent="0.2">
      <c r="A512" s="10" t="s">
        <v>2868</v>
      </c>
      <c r="B512" s="39">
        <v>104097</v>
      </c>
      <c r="C512" s="42" t="s">
        <v>3394</v>
      </c>
      <c r="D512" s="10" t="s">
        <v>2945</v>
      </c>
      <c r="E512" s="14" t="s">
        <v>1901</v>
      </c>
      <c r="F512" s="1" t="s">
        <v>91</v>
      </c>
      <c r="G512" s="1" t="s">
        <v>2578</v>
      </c>
      <c r="H512" s="1"/>
      <c r="I512" s="1">
        <v>97</v>
      </c>
      <c r="J512" s="1"/>
      <c r="K512" s="1"/>
      <c r="L512" s="1"/>
      <c r="M512" s="1"/>
      <c r="O512" s="16" t="s">
        <v>367</v>
      </c>
      <c r="P512" s="1">
        <v>1</v>
      </c>
      <c r="Q512" s="15"/>
      <c r="R512" s="15"/>
      <c r="S512" s="15"/>
      <c r="T512" s="15"/>
      <c r="U512" s="15"/>
      <c r="V512" s="1"/>
      <c r="W512" s="1"/>
      <c r="X512" s="1"/>
      <c r="Y512" s="15">
        <v>13800</v>
      </c>
      <c r="Z512" s="15"/>
      <c r="AA512" s="15"/>
      <c r="AB512" s="17"/>
      <c r="AC512" s="82"/>
      <c r="AD512" s="16" t="s">
        <v>52</v>
      </c>
      <c r="AE512" s="16" t="s">
        <v>1903</v>
      </c>
      <c r="AF512" s="16"/>
      <c r="AI512" s="16" t="s">
        <v>2869</v>
      </c>
      <c r="AJ512" s="16"/>
      <c r="AK512" s="16"/>
      <c r="AL512" s="16"/>
      <c r="AM512" s="16"/>
      <c r="AN512" s="16"/>
      <c r="AO512" s="16"/>
      <c r="AP512" s="16"/>
      <c r="AR512" s="88"/>
      <c r="AS512" s="88"/>
      <c r="AU512" s="12" t="s">
        <v>1931</v>
      </c>
      <c r="AV512" s="19"/>
      <c r="AW512" s="39">
        <v>90</v>
      </c>
      <c r="AY512" s="33"/>
      <c r="AZ512" s="33"/>
      <c r="BA512" s="33"/>
    </row>
    <row r="513" spans="1:53" ht="12" x14ac:dyDescent="0.2">
      <c r="A513" s="10" t="s">
        <v>2887</v>
      </c>
      <c r="B513" s="39">
        <v>104098</v>
      </c>
      <c r="C513" s="42" t="s">
        <v>3395</v>
      </c>
      <c r="D513" s="10" t="s">
        <v>2945</v>
      </c>
      <c r="E513" s="14" t="s">
        <v>1901</v>
      </c>
      <c r="F513" s="1" t="s">
        <v>395</v>
      </c>
      <c r="G513" s="1" t="s">
        <v>2578</v>
      </c>
      <c r="H513" s="1"/>
      <c r="I513" s="1">
        <v>98</v>
      </c>
      <c r="J513" s="1"/>
      <c r="K513" s="1"/>
      <c r="L513" s="1"/>
      <c r="M513" s="1"/>
      <c r="O513" s="16" t="s">
        <v>367</v>
      </c>
      <c r="P513" s="1">
        <v>1</v>
      </c>
      <c r="Q513" s="15"/>
      <c r="R513" s="15"/>
      <c r="S513" s="15"/>
      <c r="T513" s="15"/>
      <c r="U513" s="15"/>
      <c r="V513" s="1"/>
      <c r="W513" s="1"/>
      <c r="X513" s="1"/>
      <c r="Y513" s="15">
        <v>13800</v>
      </c>
      <c r="Z513" s="15"/>
      <c r="AA513" s="15"/>
      <c r="AB513" s="17"/>
      <c r="AC513" s="82"/>
      <c r="AD513" s="16" t="s">
        <v>52</v>
      </c>
      <c r="AE513" s="16" t="s">
        <v>1903</v>
      </c>
      <c r="AF513" s="16"/>
      <c r="AG513" s="23"/>
      <c r="AH513" s="23"/>
      <c r="AI513" s="16" t="s">
        <v>2888</v>
      </c>
      <c r="AJ513" s="16"/>
      <c r="AK513" s="16"/>
      <c r="AL513" s="16"/>
      <c r="AM513" s="16"/>
      <c r="AN513" s="16"/>
      <c r="AO513" s="16"/>
      <c r="AP513" s="16"/>
      <c r="AR513" s="88"/>
      <c r="AS513" s="88"/>
      <c r="AU513" s="12" t="s">
        <v>1931</v>
      </c>
      <c r="AV513" s="19"/>
      <c r="AW513" s="39">
        <v>90</v>
      </c>
      <c r="AY513" s="33"/>
      <c r="AZ513" s="33"/>
      <c r="BA513" s="33"/>
    </row>
    <row r="514" spans="1:53" ht="12" x14ac:dyDescent="0.2">
      <c r="A514" s="10" t="s">
        <v>4453</v>
      </c>
      <c r="B514" s="39">
        <v>104099</v>
      </c>
      <c r="D514" s="10" t="s">
        <v>2945</v>
      </c>
      <c r="E514" s="14" t="s">
        <v>1901</v>
      </c>
      <c r="F514" s="1" t="s">
        <v>90</v>
      </c>
      <c r="G514" s="1" t="s">
        <v>2578</v>
      </c>
      <c r="H514" s="1"/>
      <c r="I514" s="1">
        <v>99</v>
      </c>
      <c r="J514" s="1"/>
      <c r="K514" s="1"/>
      <c r="L514" s="1"/>
      <c r="M514" s="1"/>
      <c r="O514" s="16" t="s">
        <v>367</v>
      </c>
      <c r="P514" s="1">
        <v>1</v>
      </c>
      <c r="Q514" s="15"/>
      <c r="R514" s="15"/>
      <c r="S514" s="15"/>
      <c r="T514" s="15"/>
      <c r="U514" s="15"/>
      <c r="V514" s="1"/>
      <c r="W514" s="1"/>
      <c r="X514" s="1"/>
      <c r="Y514" s="15">
        <v>13800</v>
      </c>
      <c r="Z514" s="15"/>
      <c r="AA514" s="15"/>
      <c r="AB514" s="17"/>
      <c r="AC514" s="82"/>
      <c r="AD514" s="16" t="s">
        <v>52</v>
      </c>
      <c r="AE514" s="16" t="s">
        <v>1903</v>
      </c>
      <c r="AF514" s="16"/>
      <c r="AG514" s="23"/>
      <c r="AH514" s="23"/>
      <c r="AI514" s="16" t="s">
        <v>4454</v>
      </c>
      <c r="AJ514" s="16"/>
      <c r="AK514" s="16"/>
      <c r="AL514" s="16"/>
      <c r="AM514" s="16"/>
      <c r="AN514" s="16"/>
      <c r="AO514" s="16"/>
      <c r="AP514" s="16"/>
      <c r="AR514" s="88"/>
      <c r="AS514" s="88"/>
      <c r="AU514" s="12" t="s">
        <v>1931</v>
      </c>
      <c r="AV514" s="19"/>
      <c r="AW514" s="39">
        <v>90</v>
      </c>
      <c r="AY514" s="33"/>
      <c r="AZ514" s="33"/>
      <c r="BA514" s="33"/>
    </row>
    <row r="515" spans="1:53" ht="12" x14ac:dyDescent="0.2">
      <c r="A515" s="10" t="s">
        <v>5612</v>
      </c>
      <c r="B515" s="39">
        <v>104100</v>
      </c>
      <c r="C515" s="42" t="s">
        <v>3395</v>
      </c>
      <c r="D515" s="10" t="s">
        <v>2945</v>
      </c>
      <c r="E515" s="14" t="s">
        <v>1901</v>
      </c>
      <c r="F515" s="1" t="s">
        <v>395</v>
      </c>
      <c r="G515" s="1" t="s">
        <v>2578</v>
      </c>
      <c r="H515" s="1"/>
      <c r="I515" s="1">
        <v>100</v>
      </c>
      <c r="J515" s="1"/>
      <c r="K515" s="1"/>
      <c r="L515" s="1"/>
      <c r="M515" s="1"/>
      <c r="O515" s="16" t="s">
        <v>367</v>
      </c>
      <c r="P515" s="1">
        <v>1</v>
      </c>
      <c r="Q515" s="15"/>
      <c r="R515" s="15"/>
      <c r="S515" s="15"/>
      <c r="T515" s="15"/>
      <c r="U515" s="15"/>
      <c r="V515" s="1"/>
      <c r="W515" s="1"/>
      <c r="X515" s="1"/>
      <c r="Y515" s="15">
        <v>13800</v>
      </c>
      <c r="Z515" s="15"/>
      <c r="AA515" s="15"/>
      <c r="AB515" s="17"/>
      <c r="AC515" s="82"/>
      <c r="AD515" s="16" t="s">
        <v>52</v>
      </c>
      <c r="AE515" s="16" t="s">
        <v>1903</v>
      </c>
      <c r="AF515" s="16"/>
      <c r="AG515" s="23"/>
      <c r="AH515" s="23"/>
      <c r="AI515" s="16" t="s">
        <v>5607</v>
      </c>
      <c r="AJ515" s="16"/>
      <c r="AK515" s="16"/>
      <c r="AL515" s="16"/>
      <c r="AM515" s="16"/>
      <c r="AN515" s="16"/>
      <c r="AO515" s="16"/>
      <c r="AP515" s="16"/>
      <c r="AR515" s="88"/>
      <c r="AS515" s="88"/>
      <c r="AU515" s="12" t="s">
        <v>1931</v>
      </c>
      <c r="AV515" s="19"/>
      <c r="AW515" s="39">
        <v>90</v>
      </c>
      <c r="AY515" s="33"/>
      <c r="AZ515" s="33"/>
      <c r="BA515" s="33"/>
    </row>
    <row r="516" spans="1:53" ht="12" x14ac:dyDescent="0.2">
      <c r="A516" s="10" t="s">
        <v>5640</v>
      </c>
      <c r="B516" s="39">
        <v>104101</v>
      </c>
      <c r="D516" s="10" t="s">
        <v>2945</v>
      </c>
      <c r="E516" s="14" t="s">
        <v>1901</v>
      </c>
      <c r="F516" s="1" t="s">
        <v>90</v>
      </c>
      <c r="G516" s="1" t="s">
        <v>2578</v>
      </c>
      <c r="H516" s="1"/>
      <c r="I516" s="1">
        <v>101</v>
      </c>
      <c r="J516" s="1"/>
      <c r="K516" s="1"/>
      <c r="L516" s="1"/>
      <c r="M516" s="1"/>
      <c r="O516" s="16" t="s">
        <v>367</v>
      </c>
      <c r="P516" s="1">
        <v>1</v>
      </c>
      <c r="Q516" s="15"/>
      <c r="R516" s="15"/>
      <c r="S516" s="15"/>
      <c r="T516" s="15"/>
      <c r="U516" s="15"/>
      <c r="V516" s="1"/>
      <c r="W516" s="1"/>
      <c r="X516" s="1"/>
      <c r="Y516" s="15">
        <v>13800</v>
      </c>
      <c r="Z516" s="15"/>
      <c r="AA516" s="15"/>
      <c r="AB516" s="17"/>
      <c r="AC516" s="82"/>
      <c r="AD516" s="16" t="s">
        <v>52</v>
      </c>
      <c r="AE516" s="16" t="s">
        <v>1903</v>
      </c>
      <c r="AF516" s="16"/>
      <c r="AG516" s="23"/>
      <c r="AH516" s="23"/>
      <c r="AI516" s="16" t="s">
        <v>5639</v>
      </c>
      <c r="AJ516" s="16"/>
      <c r="AK516" s="16"/>
      <c r="AL516" s="16"/>
      <c r="AM516" s="16"/>
      <c r="AN516" s="16"/>
      <c r="AO516" s="16"/>
      <c r="AP516" s="16"/>
      <c r="AR516" s="88"/>
      <c r="AS516" s="88"/>
      <c r="AU516" s="12" t="s">
        <v>1931</v>
      </c>
      <c r="AV516" s="19"/>
      <c r="AW516" s="39">
        <v>90</v>
      </c>
      <c r="AY516" s="33"/>
      <c r="AZ516" s="33"/>
      <c r="BA516" s="33"/>
    </row>
    <row r="517" spans="1:53" ht="12" x14ac:dyDescent="0.2">
      <c r="A517" s="10" t="s">
        <v>5653</v>
      </c>
      <c r="B517" s="39">
        <v>104102</v>
      </c>
      <c r="D517" s="10" t="s">
        <v>2945</v>
      </c>
      <c r="E517" s="14" t="s">
        <v>1901</v>
      </c>
      <c r="F517" s="1" t="s">
        <v>394</v>
      </c>
      <c r="G517" s="1" t="s">
        <v>2578</v>
      </c>
      <c r="H517" s="1"/>
      <c r="I517" s="1">
        <v>102</v>
      </c>
      <c r="J517" s="1"/>
      <c r="K517" s="1"/>
      <c r="L517" s="1"/>
      <c r="M517" s="1"/>
      <c r="O517" s="16" t="s">
        <v>367</v>
      </c>
      <c r="P517" s="1">
        <v>1</v>
      </c>
      <c r="Q517" s="15"/>
      <c r="R517" s="15"/>
      <c r="S517" s="15"/>
      <c r="T517" s="15"/>
      <c r="U517" s="15"/>
      <c r="V517" s="1"/>
      <c r="W517" s="1"/>
      <c r="X517" s="1"/>
      <c r="Y517" s="15">
        <v>13800</v>
      </c>
      <c r="Z517" s="15"/>
      <c r="AA517" s="15"/>
      <c r="AB517" s="17"/>
      <c r="AC517" s="82"/>
      <c r="AD517" s="16" t="s">
        <v>52</v>
      </c>
      <c r="AE517" s="16" t="s">
        <v>1903</v>
      </c>
      <c r="AF517" s="16"/>
      <c r="AG517" s="23"/>
      <c r="AH517" s="23"/>
      <c r="AI517" s="16" t="s">
        <v>5654</v>
      </c>
      <c r="AJ517" s="16"/>
      <c r="AK517" s="16"/>
      <c r="AL517" s="16"/>
      <c r="AM517" s="16"/>
      <c r="AN517" s="16"/>
      <c r="AO517" s="16"/>
      <c r="AP517" s="16"/>
      <c r="AR517" s="88"/>
      <c r="AS517" s="88"/>
      <c r="AU517" s="12" t="s">
        <v>1931</v>
      </c>
      <c r="AV517" s="19"/>
      <c r="AW517" s="39">
        <v>90</v>
      </c>
      <c r="AY517" s="33"/>
      <c r="AZ517" s="33"/>
      <c r="BA517" s="33"/>
    </row>
    <row r="518" spans="1:53" ht="12" x14ac:dyDescent="0.2">
      <c r="A518" s="10" t="s">
        <v>5683</v>
      </c>
      <c r="B518" s="39">
        <v>104111</v>
      </c>
      <c r="D518" s="10" t="s">
        <v>2945</v>
      </c>
      <c r="E518" s="14" t="s">
        <v>1901</v>
      </c>
      <c r="F518" s="1" t="s">
        <v>91</v>
      </c>
      <c r="G518" s="1" t="s">
        <v>2578</v>
      </c>
      <c r="H518" s="1"/>
      <c r="I518" s="1">
        <v>111</v>
      </c>
      <c r="J518" s="1"/>
      <c r="K518" s="1"/>
      <c r="L518" s="1"/>
      <c r="M518" s="1"/>
      <c r="O518" s="16" t="s">
        <v>367</v>
      </c>
      <c r="P518" s="1">
        <v>1</v>
      </c>
      <c r="Q518" s="15"/>
      <c r="R518" s="15"/>
      <c r="S518" s="15"/>
      <c r="T518" s="15"/>
      <c r="U518" s="15"/>
      <c r="V518" s="1"/>
      <c r="W518" s="1"/>
      <c r="X518" s="1"/>
      <c r="Y518" s="15">
        <v>13800</v>
      </c>
      <c r="Z518" s="15"/>
      <c r="AA518" s="15"/>
      <c r="AB518" s="17"/>
      <c r="AC518" s="82"/>
      <c r="AD518" s="16" t="s">
        <v>52</v>
      </c>
      <c r="AE518" s="16" t="s">
        <v>1903</v>
      </c>
      <c r="AF518" s="16"/>
      <c r="AG518" s="23"/>
      <c r="AH518" s="23"/>
      <c r="AI518" s="16" t="s">
        <v>5684</v>
      </c>
      <c r="AJ518" s="16"/>
      <c r="AK518" s="16"/>
      <c r="AL518" s="16"/>
      <c r="AM518" s="16"/>
      <c r="AN518" s="16"/>
      <c r="AO518" s="16"/>
      <c r="AP518" s="16"/>
      <c r="AR518" s="88"/>
      <c r="AS518" s="88"/>
      <c r="AU518" s="12" t="s">
        <v>1931</v>
      </c>
      <c r="AV518" s="19"/>
      <c r="AW518" s="39">
        <v>90</v>
      </c>
      <c r="AY518" s="33"/>
      <c r="AZ518" s="33"/>
      <c r="BA518" s="33"/>
    </row>
    <row r="519" spans="1:53" ht="12" x14ac:dyDescent="0.2">
      <c r="A519" s="13" t="s">
        <v>102</v>
      </c>
      <c r="B519" s="39">
        <v>50001</v>
      </c>
      <c r="C519" s="42" t="s">
        <v>3396</v>
      </c>
      <c r="D519" s="10" t="s">
        <v>2957</v>
      </c>
      <c r="E519" s="10" t="s">
        <v>1304</v>
      </c>
      <c r="F519" s="1" t="s">
        <v>437</v>
      </c>
      <c r="G519" s="1" t="s">
        <v>1305</v>
      </c>
      <c r="H519" s="1"/>
      <c r="I519" s="1"/>
      <c r="J519" s="1"/>
      <c r="K519" s="1"/>
      <c r="L519" s="1"/>
      <c r="M519" s="1"/>
      <c r="O519" s="12" t="s">
        <v>94</v>
      </c>
      <c r="P519" s="1">
        <v>1</v>
      </c>
      <c r="Q519" s="1"/>
      <c r="R519" s="1"/>
      <c r="S519" s="1"/>
      <c r="T519" s="1"/>
      <c r="U519" s="1"/>
      <c r="V519" s="1"/>
      <c r="W519" s="1">
        <v>65</v>
      </c>
      <c r="X519" s="1">
        <f t="shared" si="0"/>
        <v>65</v>
      </c>
      <c r="Y519" s="1"/>
      <c r="Z519" s="1"/>
      <c r="AA519" s="1"/>
      <c r="AB519" s="11"/>
      <c r="AC519" s="82"/>
      <c r="AD519" s="12" t="s">
        <v>52</v>
      </c>
      <c r="AE519" s="12" t="s">
        <v>100</v>
      </c>
      <c r="AG519" s="23"/>
      <c r="AH519" s="23"/>
      <c r="AN519" s="12"/>
      <c r="AU519" s="12" t="s">
        <v>1932</v>
      </c>
      <c r="AV519" s="13" t="s">
        <v>44</v>
      </c>
      <c r="AW519" s="39" t="s">
        <v>554</v>
      </c>
      <c r="AY519" s="32"/>
      <c r="AZ519" s="32"/>
      <c r="BA519" s="32"/>
    </row>
    <row r="520" spans="1:53" ht="12" x14ac:dyDescent="0.2">
      <c r="A520" s="13" t="s">
        <v>103</v>
      </c>
      <c r="B520" s="39">
        <v>50002</v>
      </c>
      <c r="C520" s="42" t="s">
        <v>3397</v>
      </c>
      <c r="D520" s="10" t="s">
        <v>77</v>
      </c>
      <c r="E520" s="10" t="s">
        <v>0</v>
      </c>
      <c r="F520" s="1" t="s">
        <v>88</v>
      </c>
      <c r="G520" s="1" t="s">
        <v>1305</v>
      </c>
      <c r="H520" s="1"/>
      <c r="I520" s="1"/>
      <c r="J520" s="1"/>
      <c r="K520" s="1"/>
      <c r="L520" s="1"/>
      <c r="M520" s="1"/>
      <c r="O520" s="12" t="s">
        <v>94</v>
      </c>
      <c r="P520" s="1">
        <v>1</v>
      </c>
      <c r="Q520" s="1"/>
      <c r="R520" s="1"/>
      <c r="S520" s="1"/>
      <c r="T520" s="1"/>
      <c r="U520" s="1"/>
      <c r="V520" s="1"/>
      <c r="W520" s="1">
        <v>93</v>
      </c>
      <c r="X520" s="1">
        <f t="shared" si="0"/>
        <v>93</v>
      </c>
      <c r="Y520" s="1"/>
      <c r="Z520" s="1"/>
      <c r="AA520" s="1"/>
      <c r="AB520" s="11"/>
      <c r="AC520" s="82"/>
      <c r="AD520" s="12" t="s">
        <v>52</v>
      </c>
      <c r="AE520" s="39" t="str">
        <f t="shared" ref="AE520:AE522" si="25">BA520</f>
        <v>1132</v>
      </c>
      <c r="AG520" s="23"/>
      <c r="AH520" s="23"/>
      <c r="AN520" s="12"/>
      <c r="AU520" s="12" t="s">
        <v>1933</v>
      </c>
      <c r="AV520" s="13"/>
      <c r="AW520" s="39">
        <v>2</v>
      </c>
      <c r="AX520" s="39">
        <f>VLOOKUP(AW520,색인!$N$14:$O$19,2,FALSE)</f>
        <v>1</v>
      </c>
      <c r="AY520" s="39" t="str">
        <f>"T"&amp;O520&amp;"_"&amp;AX520&amp;"옵션_"&amp;VLOOKUP(E520,색인!$J$25:$K$29,2,FALSE)</f>
        <v>T1_1옵션_장신구</v>
      </c>
      <c r="AZ520" s="90">
        <f>VLOOKUP(G520,색인!$J$32:$K$45,2,FALSE)</f>
        <v>3</v>
      </c>
      <c r="BA520" s="39" t="str">
        <f>_xlfn.IFNA(VLOOKUP(AY520,표1[[검색용]:[OptionGroupIndex'[']22]],EquipItemTable!AZ520,FALSE),"옵션고정안함")</f>
        <v>1132</v>
      </c>
    </row>
    <row r="521" spans="1:53" ht="12" x14ac:dyDescent="0.2">
      <c r="A521" s="13" t="s">
        <v>104</v>
      </c>
      <c r="B521" s="39">
        <v>50003</v>
      </c>
      <c r="C521" s="42" t="s">
        <v>3398</v>
      </c>
      <c r="D521" s="10" t="s">
        <v>77</v>
      </c>
      <c r="E521" s="10" t="s">
        <v>0</v>
      </c>
      <c r="F521" s="1" t="s">
        <v>88</v>
      </c>
      <c r="G521" s="1" t="s">
        <v>1305</v>
      </c>
      <c r="H521" s="1"/>
      <c r="I521" s="1"/>
      <c r="J521" s="1"/>
      <c r="K521" s="1"/>
      <c r="L521" s="1"/>
      <c r="M521" s="1"/>
      <c r="O521" s="12" t="s">
        <v>94</v>
      </c>
      <c r="P521" s="1">
        <v>1</v>
      </c>
      <c r="Q521" s="1"/>
      <c r="R521" s="1"/>
      <c r="S521" s="1"/>
      <c r="T521" s="1"/>
      <c r="U521" s="1"/>
      <c r="V521" s="1"/>
      <c r="W521" s="1">
        <v>122</v>
      </c>
      <c r="X521" s="1">
        <f t="shared" si="0"/>
        <v>122</v>
      </c>
      <c r="Y521" s="1"/>
      <c r="Z521" s="1"/>
      <c r="AA521" s="1"/>
      <c r="AB521" s="11"/>
      <c r="AC521" s="82"/>
      <c r="AD521" s="12" t="s">
        <v>52</v>
      </c>
      <c r="AE521" s="39" t="str">
        <f t="shared" si="25"/>
        <v>1232</v>
      </c>
      <c r="AG521" s="23"/>
      <c r="AH521" s="23"/>
      <c r="AN521" s="12"/>
      <c r="AR521" s="34" t="s">
        <v>94</v>
      </c>
      <c r="AS521" s="34" t="s">
        <v>94</v>
      </c>
      <c r="AU521" s="12" t="s">
        <v>1934</v>
      </c>
      <c r="AV521" s="13" t="s">
        <v>45</v>
      </c>
      <c r="AW521" s="39">
        <v>3</v>
      </c>
      <c r="AX521" s="39">
        <f>VLOOKUP(AW521,색인!$N$14:$O$19,2,FALSE)</f>
        <v>2</v>
      </c>
      <c r="AY521" s="39" t="str">
        <f>"T"&amp;O521&amp;"_"&amp;AX521&amp;"옵션_"&amp;VLOOKUP(E521,색인!$J$25:$K$29,2,FALSE)</f>
        <v>T1_2옵션_장신구</v>
      </c>
      <c r="AZ521" s="39">
        <f>VLOOKUP(G521,색인!$J$32:$K$45,2,FALSE)</f>
        <v>3</v>
      </c>
      <c r="BA521" s="39" t="str">
        <f>_xlfn.IFNA(VLOOKUP(AY521,표1[[검색용]:[OptionGroupIndex'[']22]],EquipItemTable!AZ521,FALSE),"옵션고정안함")</f>
        <v>1232</v>
      </c>
    </row>
    <row r="522" spans="1:53" ht="12" x14ac:dyDescent="0.2">
      <c r="A522" s="13" t="s">
        <v>426</v>
      </c>
      <c r="B522" s="39">
        <v>50004</v>
      </c>
      <c r="C522" s="42" t="s">
        <v>3399</v>
      </c>
      <c r="D522" s="10" t="s">
        <v>77</v>
      </c>
      <c r="E522" s="10" t="s">
        <v>0</v>
      </c>
      <c r="F522" s="1" t="s">
        <v>436</v>
      </c>
      <c r="G522" s="1" t="s">
        <v>1305</v>
      </c>
      <c r="H522" s="1"/>
      <c r="I522" s="1"/>
      <c r="J522" s="1"/>
      <c r="K522" s="1"/>
      <c r="L522" s="1"/>
      <c r="M522" s="1"/>
      <c r="O522" s="12" t="s">
        <v>428</v>
      </c>
      <c r="P522" s="1">
        <v>1</v>
      </c>
      <c r="Q522" s="1"/>
      <c r="R522" s="1"/>
      <c r="S522" s="1"/>
      <c r="T522" s="1"/>
      <c r="U522" s="1"/>
      <c r="V522" s="1"/>
      <c r="W522" s="24">
        <v>157</v>
      </c>
      <c r="X522" s="1">
        <f t="shared" si="0"/>
        <v>157</v>
      </c>
      <c r="Y522" s="1"/>
      <c r="Z522" s="1"/>
      <c r="AA522" s="1"/>
      <c r="AB522" s="11"/>
      <c r="AC522" s="82"/>
      <c r="AD522" s="12" t="s">
        <v>542</v>
      </c>
      <c r="AE522" s="39" t="str">
        <f t="shared" si="25"/>
        <v>1332</v>
      </c>
      <c r="AG522" s="23"/>
      <c r="AH522" s="23"/>
      <c r="AN522" s="12"/>
      <c r="AR522" s="34" t="s">
        <v>543</v>
      </c>
      <c r="AS522" s="34" t="s">
        <v>543</v>
      </c>
      <c r="AU522" s="12" t="s">
        <v>1935</v>
      </c>
      <c r="AV522" s="13"/>
      <c r="AW522" s="39">
        <v>4</v>
      </c>
      <c r="AX522" s="39">
        <f>VLOOKUP(AW522,색인!$N$14:$O$19,2,FALSE)</f>
        <v>3</v>
      </c>
      <c r="AY522" s="39" t="str">
        <f>"T"&amp;O522&amp;"_"&amp;AX522&amp;"옵션_"&amp;VLOOKUP(E522,색인!$J$25:$K$29,2,FALSE)</f>
        <v>T1_3옵션_장신구</v>
      </c>
      <c r="AZ522" s="39">
        <f>VLOOKUP(G522,색인!$J$32:$K$45,2,FALSE)</f>
        <v>3</v>
      </c>
      <c r="BA522" s="39" t="str">
        <f>_xlfn.IFNA(VLOOKUP(AY522,표1[[검색용]:[OptionGroupIndex'[']22]],EquipItemTable!AZ522,FALSE),"옵션고정안함")</f>
        <v>1332</v>
      </c>
    </row>
    <row r="523" spans="1:53" ht="12" x14ac:dyDescent="0.2">
      <c r="A523" s="13" t="s">
        <v>105</v>
      </c>
      <c r="B523" s="39">
        <v>50005</v>
      </c>
      <c r="C523" s="42" t="s">
        <v>3400</v>
      </c>
      <c r="D523" s="10" t="s">
        <v>77</v>
      </c>
      <c r="E523" s="10" t="s">
        <v>0</v>
      </c>
      <c r="F523" s="1" t="s">
        <v>88</v>
      </c>
      <c r="G523" s="1" t="s">
        <v>1305</v>
      </c>
      <c r="H523" s="1"/>
      <c r="I523" s="1"/>
      <c r="J523" s="1"/>
      <c r="K523" s="1"/>
      <c r="L523" s="1"/>
      <c r="M523" s="1"/>
      <c r="O523" s="12" t="s">
        <v>95</v>
      </c>
      <c r="P523" s="1">
        <v>21</v>
      </c>
      <c r="Q523" s="1"/>
      <c r="R523" s="1"/>
      <c r="S523" s="1"/>
      <c r="T523" s="1"/>
      <c r="U523" s="1"/>
      <c r="V523" s="1"/>
      <c r="W523" s="1">
        <v>180</v>
      </c>
      <c r="X523" s="1">
        <f t="shared" si="0"/>
        <v>180</v>
      </c>
      <c r="Y523" s="1"/>
      <c r="Z523" s="1"/>
      <c r="AA523" s="1"/>
      <c r="AB523" s="11"/>
      <c r="AC523" s="82"/>
      <c r="AD523" s="12" t="s">
        <v>52</v>
      </c>
      <c r="AE523" s="12" t="s">
        <v>94</v>
      </c>
      <c r="AG523" s="23"/>
      <c r="AH523" s="23"/>
      <c r="AN523" s="12"/>
      <c r="AU523" s="12" t="s">
        <v>1932</v>
      </c>
      <c r="AV523" s="13" t="s">
        <v>47</v>
      </c>
      <c r="AW523" s="39">
        <v>1</v>
      </c>
      <c r="AY523" s="32"/>
      <c r="AZ523" s="32"/>
      <c r="BA523" s="32"/>
    </row>
    <row r="524" spans="1:53" ht="12" x14ac:dyDescent="0.2">
      <c r="A524" s="13" t="s">
        <v>106</v>
      </c>
      <c r="B524" s="39">
        <v>50006</v>
      </c>
      <c r="C524" s="42" t="s">
        <v>3401</v>
      </c>
      <c r="D524" s="10" t="s">
        <v>77</v>
      </c>
      <c r="E524" s="10" t="s">
        <v>0</v>
      </c>
      <c r="F524" s="1" t="s">
        <v>88</v>
      </c>
      <c r="G524" s="1" t="s">
        <v>1305</v>
      </c>
      <c r="H524" s="1"/>
      <c r="I524" s="1"/>
      <c r="J524" s="1"/>
      <c r="K524" s="1"/>
      <c r="L524" s="1"/>
      <c r="M524" s="1"/>
      <c r="O524" s="12" t="s">
        <v>95</v>
      </c>
      <c r="P524" s="1">
        <v>21</v>
      </c>
      <c r="Q524" s="1"/>
      <c r="R524" s="1"/>
      <c r="S524" s="1"/>
      <c r="T524" s="1"/>
      <c r="U524" s="1"/>
      <c r="V524" s="1"/>
      <c r="W524" s="1">
        <v>236</v>
      </c>
      <c r="X524" s="1">
        <f t="shared" si="0"/>
        <v>236</v>
      </c>
      <c r="Y524" s="1"/>
      <c r="Z524" s="1"/>
      <c r="AA524" s="1"/>
      <c r="AB524" s="11"/>
      <c r="AC524" s="82"/>
      <c r="AD524" s="12" t="s">
        <v>52</v>
      </c>
      <c r="AE524" s="39" t="str">
        <f t="shared" ref="AE524:AE526" si="26">BA524</f>
        <v>2132</v>
      </c>
      <c r="AG524" s="23"/>
      <c r="AH524" s="23"/>
      <c r="AN524" s="12"/>
      <c r="AU524" s="12" t="s">
        <v>1933</v>
      </c>
      <c r="AV524" s="13" t="s">
        <v>48</v>
      </c>
      <c r="AW524" s="39">
        <v>2</v>
      </c>
      <c r="AX524" s="12">
        <f>VLOOKUP(AW524,색인!$N$14:$O$19,2,FALSE)</f>
        <v>1</v>
      </c>
      <c r="AY524" s="39" t="str">
        <f>"T"&amp;O524&amp;"_"&amp;AX524&amp;"옵션_"&amp;VLOOKUP(E524,색인!$J$25:$K$29,2,FALSE)</f>
        <v>T2_1옵션_장신구</v>
      </c>
      <c r="AZ524" s="39">
        <f>VLOOKUP(G524,색인!$J$32:$K$45,2,FALSE)</f>
        <v>3</v>
      </c>
      <c r="BA524" s="39" t="str">
        <f>_xlfn.IFNA(VLOOKUP(AY524,표1[[검색용]:[OptionGroupIndex'[']22]],EquipItemTable!AZ524,FALSE),"옵션고정안함")</f>
        <v>2132</v>
      </c>
    </row>
    <row r="525" spans="1:53" ht="12" x14ac:dyDescent="0.2">
      <c r="A525" s="13" t="s">
        <v>107</v>
      </c>
      <c r="B525" s="39">
        <v>50007</v>
      </c>
      <c r="C525" s="42" t="s">
        <v>3402</v>
      </c>
      <c r="D525" s="10" t="s">
        <v>77</v>
      </c>
      <c r="E525" s="10" t="s">
        <v>0</v>
      </c>
      <c r="F525" s="1" t="s">
        <v>88</v>
      </c>
      <c r="G525" s="1" t="s">
        <v>1305</v>
      </c>
      <c r="H525" s="1"/>
      <c r="I525" s="1"/>
      <c r="J525" s="1"/>
      <c r="K525" s="1"/>
      <c r="L525" s="1"/>
      <c r="M525" s="1"/>
      <c r="O525" s="12" t="s">
        <v>95</v>
      </c>
      <c r="P525" s="1">
        <v>21</v>
      </c>
      <c r="Q525" s="1"/>
      <c r="R525" s="1"/>
      <c r="S525" s="1"/>
      <c r="T525" s="1"/>
      <c r="U525" s="1"/>
      <c r="V525" s="1"/>
      <c r="W525" s="1">
        <v>291</v>
      </c>
      <c r="X525" s="1">
        <f t="shared" si="0"/>
        <v>291</v>
      </c>
      <c r="Y525" s="1"/>
      <c r="Z525" s="1"/>
      <c r="AA525" s="1"/>
      <c r="AB525" s="11"/>
      <c r="AC525" s="82"/>
      <c r="AD525" s="12" t="s">
        <v>52</v>
      </c>
      <c r="AE525" s="39" t="str">
        <f t="shared" si="26"/>
        <v>2232</v>
      </c>
      <c r="AG525" s="23"/>
      <c r="AH525" s="23"/>
      <c r="AN525" s="12"/>
      <c r="AR525" s="34" t="s">
        <v>94</v>
      </c>
      <c r="AS525" s="34" t="s">
        <v>94</v>
      </c>
      <c r="AU525" s="12" t="s">
        <v>1934</v>
      </c>
      <c r="AV525" s="13" t="s">
        <v>49</v>
      </c>
      <c r="AW525" s="39">
        <v>3</v>
      </c>
      <c r="AX525" s="12">
        <f>VLOOKUP(AW525,색인!$N$14:$O$19,2,FALSE)</f>
        <v>2</v>
      </c>
      <c r="AY525" s="39" t="str">
        <f>"T"&amp;O525&amp;"_"&amp;AX525&amp;"옵션_"&amp;VLOOKUP(E525,색인!$J$25:$K$29,2,FALSE)</f>
        <v>T2_2옵션_장신구</v>
      </c>
      <c r="AZ525" s="39">
        <f>VLOOKUP(G525,색인!$J$32:$K$45,2,FALSE)</f>
        <v>3</v>
      </c>
      <c r="BA525" s="39" t="str">
        <f>_xlfn.IFNA(VLOOKUP(AY525,표1[[검색용]:[OptionGroupIndex'[']22]],EquipItemTable!AZ525,FALSE),"옵션고정안함")</f>
        <v>2232</v>
      </c>
    </row>
    <row r="526" spans="1:53" ht="12" x14ac:dyDescent="0.2">
      <c r="A526" s="13" t="s">
        <v>427</v>
      </c>
      <c r="B526" s="39">
        <v>50008</v>
      </c>
      <c r="C526" s="42" t="s">
        <v>3403</v>
      </c>
      <c r="D526" s="10" t="s">
        <v>77</v>
      </c>
      <c r="E526" s="10" t="s">
        <v>0</v>
      </c>
      <c r="F526" s="1" t="s">
        <v>436</v>
      </c>
      <c r="G526" s="1" t="s">
        <v>1305</v>
      </c>
      <c r="H526" s="1"/>
      <c r="I526" s="1"/>
      <c r="J526" s="1"/>
      <c r="K526" s="1"/>
      <c r="L526" s="1"/>
      <c r="M526" s="1"/>
      <c r="O526" s="12" t="s">
        <v>429</v>
      </c>
      <c r="P526" s="1">
        <v>21</v>
      </c>
      <c r="Q526" s="1"/>
      <c r="R526" s="1"/>
      <c r="S526" s="1"/>
      <c r="T526" s="1"/>
      <c r="U526" s="1"/>
      <c r="V526" s="1"/>
      <c r="W526" s="1">
        <v>354</v>
      </c>
      <c r="X526" s="1">
        <f t="shared" si="0"/>
        <v>354</v>
      </c>
      <c r="Y526" s="1"/>
      <c r="Z526" s="1"/>
      <c r="AA526" s="1"/>
      <c r="AB526" s="11"/>
      <c r="AC526" s="82"/>
      <c r="AD526" s="12" t="s">
        <v>542</v>
      </c>
      <c r="AE526" s="39" t="str">
        <f t="shared" si="26"/>
        <v>2332</v>
      </c>
      <c r="AG526" s="23"/>
      <c r="AH526" s="23"/>
      <c r="AN526" s="12"/>
      <c r="AR526" s="34" t="s">
        <v>543</v>
      </c>
      <c r="AS526" s="34" t="s">
        <v>543</v>
      </c>
      <c r="AU526" s="12" t="s">
        <v>1935</v>
      </c>
      <c r="AV526" s="13"/>
      <c r="AW526" s="39">
        <v>4</v>
      </c>
      <c r="AX526" s="12">
        <f>VLOOKUP(AW526,색인!$N$14:$O$19,2,FALSE)</f>
        <v>3</v>
      </c>
      <c r="AY526" s="39" t="str">
        <f>"T"&amp;O526&amp;"_"&amp;AX526&amp;"옵션_"&amp;VLOOKUP(E526,색인!$J$25:$K$29,2,FALSE)</f>
        <v>T2_3옵션_장신구</v>
      </c>
      <c r="AZ526" s="39">
        <f>VLOOKUP(G526,색인!$J$32:$K$45,2,FALSE)</f>
        <v>3</v>
      </c>
      <c r="BA526" s="39" t="str">
        <f>_xlfn.IFNA(VLOOKUP(AY526,표1[[검색용]:[OptionGroupIndex'[']22]],EquipItemTable!AZ526,FALSE),"옵션고정안함")</f>
        <v>2332</v>
      </c>
    </row>
    <row r="527" spans="1:53" ht="12" x14ac:dyDescent="0.2">
      <c r="A527" s="13" t="s">
        <v>108</v>
      </c>
      <c r="B527" s="39">
        <v>50009</v>
      </c>
      <c r="C527" s="42" t="s">
        <v>3404</v>
      </c>
      <c r="D527" s="10" t="s">
        <v>77</v>
      </c>
      <c r="E527" s="10" t="s">
        <v>0</v>
      </c>
      <c r="F527" s="1" t="s">
        <v>88</v>
      </c>
      <c r="G527" s="1" t="s">
        <v>1305</v>
      </c>
      <c r="H527" s="1"/>
      <c r="I527" s="1"/>
      <c r="J527" s="1"/>
      <c r="K527" s="1"/>
      <c r="L527" s="1"/>
      <c r="M527" s="1"/>
      <c r="N527" s="81"/>
      <c r="O527" s="12" t="s">
        <v>96</v>
      </c>
      <c r="P527" s="1">
        <v>31</v>
      </c>
      <c r="Q527" s="13"/>
      <c r="R527" s="13"/>
      <c r="S527" s="13"/>
      <c r="T527" s="13"/>
      <c r="U527" s="13"/>
      <c r="V527" s="1"/>
      <c r="W527" s="1">
        <v>406</v>
      </c>
      <c r="X527" s="1">
        <f t="shared" si="0"/>
        <v>406</v>
      </c>
      <c r="Y527" s="13"/>
      <c r="Z527" s="13"/>
      <c r="AA527" s="13"/>
      <c r="AB527" s="13"/>
      <c r="AC527" s="82"/>
      <c r="AD527" s="23" t="s">
        <v>52</v>
      </c>
      <c r="AE527" s="12" t="s">
        <v>94</v>
      </c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81"/>
      <c r="AR527" s="83"/>
      <c r="AS527" s="83"/>
      <c r="AT527" s="81"/>
      <c r="AU527" s="12" t="s">
        <v>1932</v>
      </c>
      <c r="AV527" s="13"/>
      <c r="AW527" s="39">
        <v>1</v>
      </c>
      <c r="AY527" s="32"/>
      <c r="AZ527" s="32"/>
      <c r="BA527" s="32"/>
    </row>
    <row r="528" spans="1:53" ht="12" x14ac:dyDescent="0.2">
      <c r="A528" s="13" t="s">
        <v>109</v>
      </c>
      <c r="B528" s="39">
        <v>50010</v>
      </c>
      <c r="C528" s="42" t="s">
        <v>3405</v>
      </c>
      <c r="D528" s="10" t="s">
        <v>77</v>
      </c>
      <c r="E528" s="10" t="s">
        <v>0</v>
      </c>
      <c r="F528" s="1" t="s">
        <v>88</v>
      </c>
      <c r="G528" s="1" t="s">
        <v>1305</v>
      </c>
      <c r="H528" s="1"/>
      <c r="I528" s="1"/>
      <c r="J528" s="1"/>
      <c r="K528" s="1"/>
      <c r="L528" s="1"/>
      <c r="M528" s="1"/>
      <c r="N528" s="81"/>
      <c r="O528" s="12" t="s">
        <v>96</v>
      </c>
      <c r="P528" s="1">
        <v>31</v>
      </c>
      <c r="Q528" s="13"/>
      <c r="R528" s="13"/>
      <c r="S528" s="13"/>
      <c r="T528" s="13"/>
      <c r="U528" s="13"/>
      <c r="V528" s="1"/>
      <c r="W528" s="1">
        <v>514</v>
      </c>
      <c r="X528" s="1">
        <f t="shared" si="0"/>
        <v>514</v>
      </c>
      <c r="Y528" s="13"/>
      <c r="Z528" s="13"/>
      <c r="AA528" s="13"/>
      <c r="AB528" s="13"/>
      <c r="AC528" s="82"/>
      <c r="AD528" s="23" t="s">
        <v>52</v>
      </c>
      <c r="AE528" s="39" t="str">
        <f t="shared" ref="AE528:AE530" si="27">BA528</f>
        <v>3132</v>
      </c>
      <c r="AF528" s="23"/>
      <c r="AI528" s="23"/>
      <c r="AJ528" s="23"/>
      <c r="AK528" s="23"/>
      <c r="AL528" s="23"/>
      <c r="AM528" s="23"/>
      <c r="AN528" s="23"/>
      <c r="AO528" s="23"/>
      <c r="AP528" s="23"/>
      <c r="AQ528" s="81"/>
      <c r="AR528" s="83"/>
      <c r="AS528" s="83"/>
      <c r="AT528" s="81"/>
      <c r="AU528" s="12" t="s">
        <v>1933</v>
      </c>
      <c r="AV528" s="13"/>
      <c r="AW528" s="39">
        <v>2</v>
      </c>
      <c r="AX528" s="12">
        <f>VLOOKUP(AW528,색인!$N$14:$O$19,2,FALSE)</f>
        <v>1</v>
      </c>
      <c r="AY528" s="39" t="str">
        <f>"T"&amp;O528&amp;"_"&amp;AX528&amp;"옵션_"&amp;VLOOKUP(E528,색인!$J$25:$K$29,2,FALSE)</f>
        <v>T3_1옵션_장신구</v>
      </c>
      <c r="AZ528" s="39">
        <f>VLOOKUP(G528,색인!$J$32:$K$45,2,FALSE)</f>
        <v>3</v>
      </c>
      <c r="BA528" s="39" t="str">
        <f>_xlfn.IFNA(VLOOKUP(AY528,표1[[검색용]:[OptionGroupIndex'[']22]],EquipItemTable!AZ528,FALSE),"옵션고정안함")</f>
        <v>3132</v>
      </c>
    </row>
    <row r="529" spans="1:53" ht="12" x14ac:dyDescent="0.2">
      <c r="A529" s="13" t="s">
        <v>110</v>
      </c>
      <c r="B529" s="39">
        <v>50011</v>
      </c>
      <c r="C529" s="42" t="s">
        <v>3406</v>
      </c>
      <c r="D529" s="10" t="s">
        <v>77</v>
      </c>
      <c r="E529" s="10" t="s">
        <v>0</v>
      </c>
      <c r="F529" s="1" t="s">
        <v>88</v>
      </c>
      <c r="G529" s="1" t="s">
        <v>1305</v>
      </c>
      <c r="H529" s="1"/>
      <c r="I529" s="1"/>
      <c r="J529" s="1"/>
      <c r="K529" s="1"/>
      <c r="L529" s="1"/>
      <c r="M529" s="1"/>
      <c r="N529" s="81"/>
      <c r="O529" s="12" t="s">
        <v>96</v>
      </c>
      <c r="P529" s="1">
        <v>31</v>
      </c>
      <c r="Q529" s="13"/>
      <c r="R529" s="13"/>
      <c r="S529" s="13"/>
      <c r="T529" s="13"/>
      <c r="U529" s="13"/>
      <c r="V529" s="1"/>
      <c r="W529" s="1">
        <v>614</v>
      </c>
      <c r="X529" s="1">
        <f t="shared" si="0"/>
        <v>614</v>
      </c>
      <c r="Y529" s="13"/>
      <c r="Z529" s="13"/>
      <c r="AA529" s="13"/>
      <c r="AB529" s="13"/>
      <c r="AC529" s="82"/>
      <c r="AD529" s="23" t="s">
        <v>52</v>
      </c>
      <c r="AE529" s="39" t="str">
        <f t="shared" si="27"/>
        <v>3232</v>
      </c>
      <c r="AF529" s="23"/>
      <c r="AI529" s="23"/>
      <c r="AJ529" s="23"/>
      <c r="AK529" s="23"/>
      <c r="AL529" s="23"/>
      <c r="AM529" s="23"/>
      <c r="AN529" s="23"/>
      <c r="AO529" s="23"/>
      <c r="AP529" s="23"/>
      <c r="AQ529" s="81"/>
      <c r="AR529" s="83">
        <v>1</v>
      </c>
      <c r="AS529" s="83">
        <v>1</v>
      </c>
      <c r="AT529" s="81"/>
      <c r="AU529" s="12" t="s">
        <v>1934</v>
      </c>
      <c r="AV529" s="13"/>
      <c r="AW529" s="39">
        <v>3</v>
      </c>
      <c r="AX529" s="12">
        <f>VLOOKUP(AW529,색인!$N$14:$O$19,2,FALSE)</f>
        <v>2</v>
      </c>
      <c r="AY529" s="39" t="str">
        <f>"T"&amp;O529&amp;"_"&amp;AX529&amp;"옵션_"&amp;VLOOKUP(E529,색인!$J$25:$K$29,2,FALSE)</f>
        <v>T3_2옵션_장신구</v>
      </c>
      <c r="AZ529" s="39">
        <f>VLOOKUP(G529,색인!$J$32:$K$45,2,FALSE)</f>
        <v>3</v>
      </c>
      <c r="BA529" s="39" t="str">
        <f>_xlfn.IFNA(VLOOKUP(AY529,표1[[검색용]:[OptionGroupIndex'[']22]],EquipItemTable!AZ529,FALSE),"옵션고정안함")</f>
        <v>3232</v>
      </c>
    </row>
    <row r="530" spans="1:53" ht="12" x14ac:dyDescent="0.2">
      <c r="A530" s="13" t="s">
        <v>111</v>
      </c>
      <c r="B530" s="39">
        <v>50012</v>
      </c>
      <c r="C530" s="42" t="s">
        <v>3407</v>
      </c>
      <c r="D530" s="10" t="s">
        <v>77</v>
      </c>
      <c r="E530" s="10" t="s">
        <v>0</v>
      </c>
      <c r="F530" s="1" t="s">
        <v>88</v>
      </c>
      <c r="G530" s="1" t="s">
        <v>1305</v>
      </c>
      <c r="H530" s="1"/>
      <c r="I530" s="1"/>
      <c r="J530" s="1"/>
      <c r="K530" s="1"/>
      <c r="L530" s="1"/>
      <c r="M530" s="1"/>
      <c r="N530" s="81"/>
      <c r="O530" s="12" t="s">
        <v>96</v>
      </c>
      <c r="P530" s="1">
        <v>31</v>
      </c>
      <c r="Q530" s="13"/>
      <c r="R530" s="13"/>
      <c r="S530" s="13"/>
      <c r="T530" s="13"/>
      <c r="U530" s="13"/>
      <c r="V530" s="1"/>
      <c r="W530" s="1">
        <v>732</v>
      </c>
      <c r="X530" s="1">
        <f t="shared" si="0"/>
        <v>732</v>
      </c>
      <c r="Y530" s="13"/>
      <c r="Z530" s="13"/>
      <c r="AA530" s="13"/>
      <c r="AB530" s="13"/>
      <c r="AC530" s="82"/>
      <c r="AD530" s="23" t="s">
        <v>52</v>
      </c>
      <c r="AE530" s="39" t="str">
        <f t="shared" si="27"/>
        <v>3332</v>
      </c>
      <c r="AF530" s="23"/>
      <c r="AI530" s="23"/>
      <c r="AJ530" s="23"/>
      <c r="AK530" s="23"/>
      <c r="AL530" s="23"/>
      <c r="AM530" s="23"/>
      <c r="AN530" s="23"/>
      <c r="AO530" s="23"/>
      <c r="AP530" s="23"/>
      <c r="AQ530" s="81"/>
      <c r="AR530" s="83">
        <v>1</v>
      </c>
      <c r="AS530" s="83">
        <v>1</v>
      </c>
      <c r="AT530" s="81"/>
      <c r="AU530" s="12" t="s">
        <v>1935</v>
      </c>
      <c r="AV530" s="13"/>
      <c r="AW530" s="39">
        <v>4</v>
      </c>
      <c r="AX530" s="12">
        <f>VLOOKUP(AW530,색인!$N$14:$O$19,2,FALSE)</f>
        <v>3</v>
      </c>
      <c r="AY530" s="39" t="str">
        <f>"T"&amp;O530&amp;"_"&amp;AX530&amp;"옵션_"&amp;VLOOKUP(E530,색인!$J$25:$K$29,2,FALSE)</f>
        <v>T3_3옵션_장신구</v>
      </c>
      <c r="AZ530" s="39">
        <f>VLOOKUP(G530,색인!$J$32:$K$45,2,FALSE)</f>
        <v>3</v>
      </c>
      <c r="BA530" s="39" t="str">
        <f>_xlfn.IFNA(VLOOKUP(AY530,표1[[검색용]:[OptionGroupIndex'[']22]],EquipItemTable!AZ530,FALSE),"옵션고정안함")</f>
        <v>3332</v>
      </c>
    </row>
    <row r="531" spans="1:53" ht="12" x14ac:dyDescent="0.2">
      <c r="A531" s="13" t="s">
        <v>556</v>
      </c>
      <c r="B531" s="39">
        <v>50031</v>
      </c>
      <c r="C531" s="42" t="s">
        <v>3408</v>
      </c>
      <c r="D531" s="10" t="s">
        <v>77</v>
      </c>
      <c r="E531" s="10" t="s">
        <v>0</v>
      </c>
      <c r="F531" s="1" t="s">
        <v>88</v>
      </c>
      <c r="G531" s="1" t="s">
        <v>1305</v>
      </c>
      <c r="H531" s="1"/>
      <c r="I531" s="1"/>
      <c r="J531" s="1"/>
      <c r="K531" s="1"/>
      <c r="L531" s="1"/>
      <c r="M531" s="1"/>
      <c r="N531" s="81"/>
      <c r="O531" s="12" t="s">
        <v>96</v>
      </c>
      <c r="P531" s="1">
        <v>31</v>
      </c>
      <c r="Q531" s="13"/>
      <c r="R531" s="13"/>
      <c r="S531" s="13"/>
      <c r="T531" s="13"/>
      <c r="U531" s="13"/>
      <c r="V531" s="1"/>
      <c r="W531" s="1">
        <v>862</v>
      </c>
      <c r="X531" s="1">
        <f t="shared" si="0"/>
        <v>862</v>
      </c>
      <c r="Y531" s="13"/>
      <c r="Z531" s="13"/>
      <c r="AA531" s="13"/>
      <c r="AB531" s="13"/>
      <c r="AC531" s="82"/>
      <c r="AD531" s="23" t="s">
        <v>52</v>
      </c>
      <c r="AE531" s="23">
        <v>3</v>
      </c>
      <c r="AF531" s="23"/>
      <c r="AI531" s="23"/>
      <c r="AJ531" s="23"/>
      <c r="AK531" s="23"/>
      <c r="AL531" s="23"/>
      <c r="AM531" s="23"/>
      <c r="AN531" s="23">
        <v>1</v>
      </c>
      <c r="AO531" s="23"/>
      <c r="AP531" s="23"/>
      <c r="AQ531" s="81"/>
      <c r="AR531" s="83">
        <v>1</v>
      </c>
      <c r="AS531" s="83">
        <v>1</v>
      </c>
      <c r="AT531" s="81"/>
      <c r="AU531" s="12" t="s">
        <v>1936</v>
      </c>
      <c r="AV531" s="13"/>
      <c r="AW531" s="39">
        <v>6</v>
      </c>
      <c r="AX531" s="12">
        <f>VLOOKUP(AW531,색인!$N$14:$O$19,2,FALSE)</f>
        <v>4</v>
      </c>
      <c r="AY531" s="32" t="str">
        <f>"T"&amp;O531&amp;"_"&amp;AX531&amp;"옵션_"&amp;VLOOKUP(E531,색인!$J$25:$K$29,2,FALSE)</f>
        <v>T3_4옵션_장신구</v>
      </c>
      <c r="AZ531" s="32">
        <f>VLOOKUP(G531,색인!$J$32:$K$45,2,FALSE)</f>
        <v>3</v>
      </c>
      <c r="BA531" s="32" t="str">
        <f>_xlfn.IFNA(VLOOKUP(AY531,표1[[검색용]:[OptionGroupIndex'[']22]],EquipItemTable!AZ531,FALSE),"옵션고정안함")</f>
        <v>옵션고정안함</v>
      </c>
    </row>
    <row r="532" spans="1:53" ht="12" x14ac:dyDescent="0.2">
      <c r="A532" s="13" t="s">
        <v>970</v>
      </c>
      <c r="B532" s="39">
        <v>50029</v>
      </c>
      <c r="C532" s="42" t="s">
        <v>3409</v>
      </c>
      <c r="D532" s="10" t="s">
        <v>77</v>
      </c>
      <c r="E532" s="10" t="s">
        <v>0</v>
      </c>
      <c r="F532" s="1" t="s">
        <v>88</v>
      </c>
      <c r="G532" s="1" t="s">
        <v>1305</v>
      </c>
      <c r="H532" s="1"/>
      <c r="I532" s="1"/>
      <c r="J532" s="1"/>
      <c r="K532" s="1"/>
      <c r="L532" s="1"/>
      <c r="M532" s="1"/>
      <c r="N532" s="81"/>
      <c r="O532" s="12" t="s">
        <v>96</v>
      </c>
      <c r="P532" s="1">
        <v>31</v>
      </c>
      <c r="Q532" s="13"/>
      <c r="R532" s="13"/>
      <c r="S532" s="13"/>
      <c r="T532" s="13"/>
      <c r="U532" s="13"/>
      <c r="V532" s="1"/>
      <c r="W532" s="1">
        <v>862</v>
      </c>
      <c r="X532" s="1">
        <f t="shared" ref="X532:X534" si="28">W532</f>
        <v>862</v>
      </c>
      <c r="Y532" s="13"/>
      <c r="Z532" s="13"/>
      <c r="AA532" s="13"/>
      <c r="AB532" s="13"/>
      <c r="AC532" s="82"/>
      <c r="AD532" s="23" t="s">
        <v>52</v>
      </c>
      <c r="AE532" s="23">
        <v>3</v>
      </c>
      <c r="AF532" s="23"/>
      <c r="AI532" s="23"/>
      <c r="AJ532" s="23"/>
      <c r="AK532" s="23"/>
      <c r="AL532" s="23"/>
      <c r="AM532" s="23"/>
      <c r="AN532" s="23">
        <v>2</v>
      </c>
      <c r="AO532" s="23"/>
      <c r="AP532" s="23"/>
      <c r="AQ532" s="81"/>
      <c r="AR532" s="83">
        <v>1</v>
      </c>
      <c r="AS532" s="83">
        <v>1</v>
      </c>
      <c r="AT532" s="81"/>
      <c r="AU532" s="12" t="s">
        <v>1936</v>
      </c>
      <c r="AV532" s="13"/>
      <c r="AW532" s="39">
        <v>6</v>
      </c>
      <c r="AX532" s="12">
        <f>VLOOKUP(AW532,색인!$N$14:$O$19,2,FALSE)</f>
        <v>4</v>
      </c>
      <c r="AY532" s="32" t="str">
        <f>"T"&amp;O532&amp;"_"&amp;AX532&amp;"옵션_"&amp;VLOOKUP(E532,색인!$J$25:$K$29,2,FALSE)</f>
        <v>T3_4옵션_장신구</v>
      </c>
      <c r="AZ532" s="32">
        <f>VLOOKUP(G532,색인!$J$32:$K$45,2,FALSE)</f>
        <v>3</v>
      </c>
      <c r="BA532" s="32" t="str">
        <f>_xlfn.IFNA(VLOOKUP(AY532,표1[[검색용]:[OptionGroupIndex'[']22]],EquipItemTable!AZ532,FALSE),"옵션고정안함")</f>
        <v>옵션고정안함</v>
      </c>
    </row>
    <row r="533" spans="1:53" ht="12" x14ac:dyDescent="0.2">
      <c r="A533" s="13" t="s">
        <v>971</v>
      </c>
      <c r="B533" s="39">
        <v>50030</v>
      </c>
      <c r="C533" s="42" t="s">
        <v>3410</v>
      </c>
      <c r="D533" s="10" t="s">
        <v>77</v>
      </c>
      <c r="E533" s="10" t="s">
        <v>0</v>
      </c>
      <c r="F533" s="1" t="s">
        <v>88</v>
      </c>
      <c r="G533" s="1" t="s">
        <v>1305</v>
      </c>
      <c r="H533" s="1"/>
      <c r="I533" s="1"/>
      <c r="J533" s="1"/>
      <c r="K533" s="1"/>
      <c r="L533" s="1"/>
      <c r="M533" s="1"/>
      <c r="N533" s="81"/>
      <c r="O533" s="12" t="s">
        <v>96</v>
      </c>
      <c r="P533" s="1">
        <v>31</v>
      </c>
      <c r="Q533" s="13"/>
      <c r="R533" s="13"/>
      <c r="S533" s="13"/>
      <c r="T533" s="13"/>
      <c r="U533" s="13"/>
      <c r="V533" s="1"/>
      <c r="W533" s="1">
        <v>862</v>
      </c>
      <c r="X533" s="1">
        <f t="shared" si="28"/>
        <v>862</v>
      </c>
      <c r="Y533" s="13"/>
      <c r="Z533" s="13"/>
      <c r="AA533" s="13"/>
      <c r="AB533" s="13"/>
      <c r="AC533" s="82"/>
      <c r="AD533" s="23" t="s">
        <v>52</v>
      </c>
      <c r="AE533" s="23">
        <v>3</v>
      </c>
      <c r="AF533" s="23"/>
      <c r="AI533" s="23"/>
      <c r="AJ533" s="23"/>
      <c r="AK533" s="23"/>
      <c r="AL533" s="23"/>
      <c r="AM533" s="23"/>
      <c r="AN533" s="23">
        <v>3</v>
      </c>
      <c r="AO533" s="23"/>
      <c r="AP533" s="23"/>
      <c r="AQ533" s="81"/>
      <c r="AR533" s="83">
        <v>1</v>
      </c>
      <c r="AS533" s="83">
        <v>1</v>
      </c>
      <c r="AT533" s="81"/>
      <c r="AU533" s="12" t="s">
        <v>1936</v>
      </c>
      <c r="AV533" s="13"/>
      <c r="AW533" s="39">
        <v>6</v>
      </c>
      <c r="AX533" s="12">
        <f>VLOOKUP(AW533,색인!$N$14:$O$19,2,FALSE)</f>
        <v>4</v>
      </c>
      <c r="AY533" s="32" t="str">
        <f>"T"&amp;O533&amp;"_"&amp;AX533&amp;"옵션_"&amp;VLOOKUP(E533,색인!$J$25:$K$29,2,FALSE)</f>
        <v>T3_4옵션_장신구</v>
      </c>
      <c r="AZ533" s="32">
        <f>VLOOKUP(G533,색인!$J$32:$K$45,2,FALSE)</f>
        <v>3</v>
      </c>
      <c r="BA533" s="32" t="str">
        <f>_xlfn.IFNA(VLOOKUP(AY533,표1[[검색용]:[OptionGroupIndex'[']22]],EquipItemTable!AZ533,FALSE),"옵션고정안함")</f>
        <v>옵션고정안함</v>
      </c>
    </row>
    <row r="534" spans="1:53" ht="12" x14ac:dyDescent="0.2">
      <c r="A534" s="13" t="s">
        <v>972</v>
      </c>
      <c r="B534" s="39">
        <v>50021</v>
      </c>
      <c r="C534" s="42" t="s">
        <v>3411</v>
      </c>
      <c r="D534" s="10" t="s">
        <v>77</v>
      </c>
      <c r="E534" s="10" t="s">
        <v>0</v>
      </c>
      <c r="F534" s="1" t="s">
        <v>88</v>
      </c>
      <c r="G534" s="1" t="s">
        <v>1305</v>
      </c>
      <c r="H534" s="1"/>
      <c r="I534" s="1"/>
      <c r="J534" s="1"/>
      <c r="K534" s="1"/>
      <c r="L534" s="1"/>
      <c r="M534" s="1"/>
      <c r="N534" s="81"/>
      <c r="O534" s="12" t="s">
        <v>96</v>
      </c>
      <c r="P534" s="1">
        <v>31</v>
      </c>
      <c r="Q534" s="13"/>
      <c r="R534" s="13"/>
      <c r="S534" s="13"/>
      <c r="T534" s="13"/>
      <c r="U534" s="13"/>
      <c r="V534" s="1"/>
      <c r="W534" s="1">
        <v>862</v>
      </c>
      <c r="X534" s="1">
        <f t="shared" si="28"/>
        <v>862</v>
      </c>
      <c r="Y534" s="13"/>
      <c r="Z534" s="13"/>
      <c r="AA534" s="13"/>
      <c r="AB534" s="13"/>
      <c r="AC534" s="82"/>
      <c r="AD534" s="23" t="s">
        <v>52</v>
      </c>
      <c r="AE534" s="23">
        <v>3</v>
      </c>
      <c r="AF534" s="23"/>
      <c r="AI534" s="23"/>
      <c r="AJ534" s="23"/>
      <c r="AK534" s="23"/>
      <c r="AL534" s="23"/>
      <c r="AM534" s="23"/>
      <c r="AN534" s="23">
        <v>4</v>
      </c>
      <c r="AO534" s="23"/>
      <c r="AP534" s="23"/>
      <c r="AQ534" s="81"/>
      <c r="AR534" s="83">
        <v>1</v>
      </c>
      <c r="AS534" s="83">
        <v>1</v>
      </c>
      <c r="AT534" s="81"/>
      <c r="AU534" s="12" t="s">
        <v>1936</v>
      </c>
      <c r="AV534" s="13"/>
      <c r="AW534" s="39">
        <v>6</v>
      </c>
      <c r="AX534" s="12">
        <f>VLOOKUP(AW534,색인!$N$14:$O$19,2,FALSE)</f>
        <v>4</v>
      </c>
      <c r="AY534" s="32" t="str">
        <f>"T"&amp;O534&amp;"_"&amp;AX534&amp;"옵션_"&amp;VLOOKUP(E534,색인!$J$25:$K$29,2,FALSE)</f>
        <v>T3_4옵션_장신구</v>
      </c>
      <c r="AZ534" s="32">
        <f>VLOOKUP(G534,색인!$J$32:$K$45,2,FALSE)</f>
        <v>3</v>
      </c>
      <c r="BA534" s="32" t="str">
        <f>_xlfn.IFNA(VLOOKUP(AY534,표1[[검색용]:[OptionGroupIndex'[']22]],EquipItemTable!AZ534,FALSE),"옵션고정안함")</f>
        <v>옵션고정안함</v>
      </c>
    </row>
    <row r="535" spans="1:53" ht="12" x14ac:dyDescent="0.2">
      <c r="A535" s="13" t="s">
        <v>112</v>
      </c>
      <c r="B535" s="39">
        <v>50013</v>
      </c>
      <c r="C535" s="42" t="s">
        <v>3412</v>
      </c>
      <c r="D535" s="10" t="s">
        <v>77</v>
      </c>
      <c r="E535" s="10" t="s">
        <v>0</v>
      </c>
      <c r="F535" s="1" t="s">
        <v>88</v>
      </c>
      <c r="G535" s="1" t="s">
        <v>1305</v>
      </c>
      <c r="H535" s="1"/>
      <c r="I535" s="1"/>
      <c r="J535" s="1"/>
      <c r="K535" s="1"/>
      <c r="L535" s="1"/>
      <c r="M535" s="1"/>
      <c r="N535" s="81"/>
      <c r="O535" s="12" t="s">
        <v>97</v>
      </c>
      <c r="P535" s="1">
        <v>41</v>
      </c>
      <c r="Q535" s="13"/>
      <c r="R535" s="13"/>
      <c r="S535" s="13"/>
      <c r="T535" s="13"/>
      <c r="U535" s="13"/>
      <c r="V535" s="1"/>
      <c r="W535" s="1">
        <v>838</v>
      </c>
      <c r="X535" s="1">
        <f t="shared" si="0"/>
        <v>838</v>
      </c>
      <c r="Y535" s="13"/>
      <c r="Z535" s="13"/>
      <c r="AA535" s="13"/>
      <c r="AB535" s="13"/>
      <c r="AC535" s="82"/>
      <c r="AD535" s="23" t="s">
        <v>52</v>
      </c>
      <c r="AE535" s="12" t="s">
        <v>94</v>
      </c>
      <c r="AF535" s="23"/>
      <c r="AI535" s="23"/>
      <c r="AJ535" s="23"/>
      <c r="AK535" s="23"/>
      <c r="AL535" s="23"/>
      <c r="AM535" s="23"/>
      <c r="AN535" s="23"/>
      <c r="AO535" s="23"/>
      <c r="AP535" s="23"/>
      <c r="AQ535" s="81"/>
      <c r="AR535" s="83"/>
      <c r="AS535" s="83"/>
      <c r="AT535" s="81"/>
      <c r="AU535" s="12" t="s">
        <v>1932</v>
      </c>
      <c r="AV535" s="13"/>
      <c r="AW535" s="39">
        <v>1</v>
      </c>
      <c r="AY535" s="32"/>
      <c r="AZ535" s="32"/>
      <c r="BA535" s="32"/>
    </row>
    <row r="536" spans="1:53" ht="12" x14ac:dyDescent="0.2">
      <c r="A536" s="13" t="s">
        <v>113</v>
      </c>
      <c r="B536" s="39">
        <v>50014</v>
      </c>
      <c r="C536" s="42" t="s">
        <v>3413</v>
      </c>
      <c r="D536" s="10" t="s">
        <v>77</v>
      </c>
      <c r="E536" s="10" t="s">
        <v>0</v>
      </c>
      <c r="F536" s="1" t="s">
        <v>88</v>
      </c>
      <c r="G536" s="1" t="s">
        <v>1305</v>
      </c>
      <c r="H536" s="1"/>
      <c r="I536" s="1"/>
      <c r="J536" s="1"/>
      <c r="K536" s="1"/>
      <c r="L536" s="1"/>
      <c r="M536" s="1"/>
      <c r="N536" s="81"/>
      <c r="O536" s="12" t="s">
        <v>97</v>
      </c>
      <c r="P536" s="1">
        <v>41</v>
      </c>
      <c r="Q536" s="13"/>
      <c r="R536" s="13"/>
      <c r="S536" s="13"/>
      <c r="T536" s="13"/>
      <c r="U536" s="13"/>
      <c r="V536" s="1"/>
      <c r="W536" s="1">
        <v>1037</v>
      </c>
      <c r="X536" s="1">
        <f t="shared" si="0"/>
        <v>1037</v>
      </c>
      <c r="Y536" s="13"/>
      <c r="Z536" s="13"/>
      <c r="AA536" s="13"/>
      <c r="AB536" s="13"/>
      <c r="AC536" s="82"/>
      <c r="AD536" s="23" t="s">
        <v>52</v>
      </c>
      <c r="AE536" s="39" t="str">
        <f t="shared" ref="AE536:AE538" si="29">BA536</f>
        <v>4132</v>
      </c>
      <c r="AF536" s="23"/>
      <c r="AI536" s="23"/>
      <c r="AJ536" s="23"/>
      <c r="AK536" s="23"/>
      <c r="AL536" s="23"/>
      <c r="AM536" s="23"/>
      <c r="AN536" s="23"/>
      <c r="AO536" s="23"/>
      <c r="AP536" s="23"/>
      <c r="AQ536" s="81"/>
      <c r="AR536" s="83"/>
      <c r="AS536" s="83"/>
      <c r="AT536" s="81"/>
      <c r="AU536" s="12" t="s">
        <v>1933</v>
      </c>
      <c r="AV536" s="13"/>
      <c r="AW536" s="39">
        <v>2</v>
      </c>
      <c r="AX536" s="12">
        <f>VLOOKUP(AW536,색인!$N$14:$O$19,2,FALSE)</f>
        <v>1</v>
      </c>
      <c r="AY536" s="39" t="str">
        <f>"T"&amp;O536&amp;"_"&amp;AX536&amp;"옵션_"&amp;VLOOKUP(E536,색인!$J$25:$K$29,2,FALSE)</f>
        <v>T4_1옵션_장신구</v>
      </c>
      <c r="AZ536" s="39">
        <f>VLOOKUP(G536,색인!$J$32:$K$45,2,FALSE)</f>
        <v>3</v>
      </c>
      <c r="BA536" s="39" t="str">
        <f>_xlfn.IFNA(VLOOKUP(AY536,표1[[검색용]:[OptionGroupIndex'[']22]],EquipItemTable!AZ536,FALSE),"옵션고정안함")</f>
        <v>4132</v>
      </c>
    </row>
    <row r="537" spans="1:53" ht="12" x14ac:dyDescent="0.2">
      <c r="A537" s="13" t="s">
        <v>114</v>
      </c>
      <c r="B537" s="39">
        <v>50015</v>
      </c>
      <c r="C537" s="42" t="s">
        <v>3414</v>
      </c>
      <c r="D537" s="10" t="s">
        <v>77</v>
      </c>
      <c r="E537" s="10" t="s">
        <v>0</v>
      </c>
      <c r="F537" s="1" t="s">
        <v>88</v>
      </c>
      <c r="G537" s="1" t="s">
        <v>1305</v>
      </c>
      <c r="H537" s="1"/>
      <c r="I537" s="1"/>
      <c r="J537" s="1"/>
      <c r="K537" s="1"/>
      <c r="L537" s="1"/>
      <c r="M537" s="1"/>
      <c r="N537" s="81"/>
      <c r="O537" s="12" t="s">
        <v>97</v>
      </c>
      <c r="P537" s="1">
        <v>41</v>
      </c>
      <c r="Q537" s="13"/>
      <c r="R537" s="13"/>
      <c r="S537" s="13"/>
      <c r="T537" s="13"/>
      <c r="U537" s="13"/>
      <c r="V537" s="1"/>
      <c r="W537" s="1">
        <v>1218</v>
      </c>
      <c r="X537" s="1">
        <f t="shared" si="0"/>
        <v>1218</v>
      </c>
      <c r="Y537" s="13"/>
      <c r="Z537" s="13"/>
      <c r="AA537" s="13"/>
      <c r="AB537" s="13"/>
      <c r="AC537" s="82"/>
      <c r="AD537" s="23" t="s">
        <v>52</v>
      </c>
      <c r="AE537" s="39" t="str">
        <f t="shared" si="29"/>
        <v>4232</v>
      </c>
      <c r="AF537" s="23"/>
      <c r="AI537" s="23"/>
      <c r="AJ537" s="23"/>
      <c r="AK537" s="23"/>
      <c r="AL537" s="23"/>
      <c r="AM537" s="23"/>
      <c r="AN537" s="23"/>
      <c r="AO537" s="23"/>
      <c r="AP537" s="23"/>
      <c r="AQ537" s="81"/>
      <c r="AR537" s="83">
        <v>1</v>
      </c>
      <c r="AS537" s="83">
        <v>1</v>
      </c>
      <c r="AT537" s="81"/>
      <c r="AU537" s="12" t="s">
        <v>1934</v>
      </c>
      <c r="AV537" s="13"/>
      <c r="AW537" s="39">
        <v>3</v>
      </c>
      <c r="AX537" s="12">
        <f>VLOOKUP(AW537,색인!$N$14:$O$19,2,FALSE)</f>
        <v>2</v>
      </c>
      <c r="AY537" s="39" t="str">
        <f>"T"&amp;O537&amp;"_"&amp;AX537&amp;"옵션_"&amp;VLOOKUP(E537,색인!$J$25:$K$29,2,FALSE)</f>
        <v>T4_2옵션_장신구</v>
      </c>
      <c r="AZ537" s="39">
        <f>VLOOKUP(G537,색인!$J$32:$K$45,2,FALSE)</f>
        <v>3</v>
      </c>
      <c r="BA537" s="39" t="str">
        <f>_xlfn.IFNA(VLOOKUP(AY537,표1[[검색용]:[OptionGroupIndex'[']22]],EquipItemTable!AZ537,FALSE),"옵션고정안함")</f>
        <v>4232</v>
      </c>
    </row>
    <row r="538" spans="1:53" ht="12" x14ac:dyDescent="0.2">
      <c r="A538" s="13" t="s">
        <v>115</v>
      </c>
      <c r="B538" s="39">
        <v>50016</v>
      </c>
      <c r="C538" s="42" t="s">
        <v>3415</v>
      </c>
      <c r="D538" s="10" t="s">
        <v>77</v>
      </c>
      <c r="E538" s="10" t="s">
        <v>0</v>
      </c>
      <c r="F538" s="1" t="s">
        <v>88</v>
      </c>
      <c r="G538" s="1" t="s">
        <v>1305</v>
      </c>
      <c r="H538" s="1"/>
      <c r="I538" s="1"/>
      <c r="J538" s="1"/>
      <c r="K538" s="1"/>
      <c r="L538" s="1"/>
      <c r="M538" s="1"/>
      <c r="O538" s="12" t="s">
        <v>97</v>
      </c>
      <c r="P538" s="1">
        <v>41</v>
      </c>
      <c r="Q538" s="1"/>
      <c r="R538" s="1"/>
      <c r="S538" s="1"/>
      <c r="T538" s="1"/>
      <c r="U538" s="1"/>
      <c r="V538" s="1"/>
      <c r="W538" s="1">
        <v>1426</v>
      </c>
      <c r="X538" s="1">
        <f t="shared" si="0"/>
        <v>1426</v>
      </c>
      <c r="Y538" s="1"/>
      <c r="Z538" s="1"/>
      <c r="AA538" s="1"/>
      <c r="AB538" s="11"/>
      <c r="AC538" s="82"/>
      <c r="AD538" s="12" t="s">
        <v>52</v>
      </c>
      <c r="AE538" s="39" t="str">
        <f t="shared" si="29"/>
        <v>4332</v>
      </c>
      <c r="AN538" s="12"/>
      <c r="AR538" s="34" t="s">
        <v>94</v>
      </c>
      <c r="AS538" s="34" t="s">
        <v>94</v>
      </c>
      <c r="AU538" s="12" t="s">
        <v>1935</v>
      </c>
      <c r="AV538" s="13" t="s">
        <v>50</v>
      </c>
      <c r="AW538" s="39">
        <v>4</v>
      </c>
      <c r="AX538" s="12">
        <f>VLOOKUP(AW538,색인!$N$14:$O$19,2,FALSE)</f>
        <v>3</v>
      </c>
      <c r="AY538" s="39" t="str">
        <f>"T"&amp;O538&amp;"_"&amp;AX538&amp;"옵션_"&amp;VLOOKUP(E538,색인!$J$25:$K$29,2,FALSE)</f>
        <v>T4_3옵션_장신구</v>
      </c>
      <c r="AZ538" s="39">
        <f>VLOOKUP(G538,색인!$J$32:$K$45,2,FALSE)</f>
        <v>3</v>
      </c>
      <c r="BA538" s="39" t="str">
        <f>_xlfn.IFNA(VLOOKUP(AY538,표1[[검색용]:[OptionGroupIndex'[']22]],EquipItemTable!AZ538,FALSE),"옵션고정안함")</f>
        <v>4332</v>
      </c>
    </row>
    <row r="539" spans="1:53" ht="12" x14ac:dyDescent="0.2">
      <c r="A539" s="13" t="s">
        <v>557</v>
      </c>
      <c r="B539" s="39">
        <v>50034</v>
      </c>
      <c r="C539" s="42" t="s">
        <v>3408</v>
      </c>
      <c r="D539" s="10" t="s">
        <v>77</v>
      </c>
      <c r="E539" s="10" t="s">
        <v>0</v>
      </c>
      <c r="F539" s="1" t="s">
        <v>88</v>
      </c>
      <c r="G539" s="1" t="s">
        <v>1305</v>
      </c>
      <c r="H539" s="1"/>
      <c r="I539" s="1"/>
      <c r="J539" s="1"/>
      <c r="K539" s="1"/>
      <c r="L539" s="1"/>
      <c r="M539" s="1"/>
      <c r="O539" s="12" t="s">
        <v>97</v>
      </c>
      <c r="P539" s="1">
        <v>41</v>
      </c>
      <c r="Q539" s="1"/>
      <c r="R539" s="1"/>
      <c r="S539" s="1"/>
      <c r="T539" s="1"/>
      <c r="U539" s="1"/>
      <c r="V539" s="1"/>
      <c r="W539" s="1">
        <v>1663</v>
      </c>
      <c r="X539" s="1">
        <f t="shared" si="0"/>
        <v>1663</v>
      </c>
      <c r="Y539" s="1"/>
      <c r="Z539" s="1"/>
      <c r="AA539" s="1"/>
      <c r="AB539" s="11"/>
      <c r="AC539" s="82"/>
      <c r="AD539" s="12" t="s">
        <v>52</v>
      </c>
      <c r="AE539" s="12" t="s">
        <v>551</v>
      </c>
      <c r="AN539" s="12" t="s">
        <v>428</v>
      </c>
      <c r="AR539" s="34" t="s">
        <v>94</v>
      </c>
      <c r="AS539" s="34" t="s">
        <v>94</v>
      </c>
      <c r="AU539" s="12" t="s">
        <v>1936</v>
      </c>
      <c r="AV539" s="13" t="s">
        <v>50</v>
      </c>
      <c r="AW539" s="39">
        <v>6</v>
      </c>
      <c r="AX539" s="12">
        <f>VLOOKUP(AW539,색인!$N$14:$O$19,2,FALSE)</f>
        <v>4</v>
      </c>
      <c r="AY539" s="32" t="str">
        <f>"T"&amp;O539&amp;"_"&amp;AX539&amp;"옵션_"&amp;VLOOKUP(E539,색인!$J$25:$K$29,2,FALSE)</f>
        <v>T4_4옵션_장신구</v>
      </c>
      <c r="AZ539" s="32">
        <f>VLOOKUP(G539,색인!$J$32:$K$45,2,FALSE)</f>
        <v>3</v>
      </c>
      <c r="BA539" s="32" t="str">
        <f>_xlfn.IFNA(VLOOKUP(AY539,표1[[검색용]:[OptionGroupIndex'[']22]],EquipItemTable!AZ539,FALSE),"옵션고정안함")</f>
        <v>옵션고정안함</v>
      </c>
    </row>
    <row r="540" spans="1:53" ht="12" x14ac:dyDescent="0.2">
      <c r="A540" s="13" t="s">
        <v>973</v>
      </c>
      <c r="B540" s="39">
        <v>50032</v>
      </c>
      <c r="C540" s="42" t="s">
        <v>3409</v>
      </c>
      <c r="D540" s="10" t="s">
        <v>77</v>
      </c>
      <c r="E540" s="10" t="s">
        <v>0</v>
      </c>
      <c r="F540" s="1" t="s">
        <v>88</v>
      </c>
      <c r="G540" s="1" t="s">
        <v>1305</v>
      </c>
      <c r="H540" s="1"/>
      <c r="I540" s="1"/>
      <c r="J540" s="1"/>
      <c r="K540" s="1"/>
      <c r="L540" s="1"/>
      <c r="M540" s="1"/>
      <c r="O540" s="12" t="s">
        <v>97</v>
      </c>
      <c r="P540" s="1">
        <v>41</v>
      </c>
      <c r="Q540" s="1"/>
      <c r="R540" s="1"/>
      <c r="S540" s="1"/>
      <c r="T540" s="1"/>
      <c r="U540" s="1"/>
      <c r="V540" s="1"/>
      <c r="W540" s="1">
        <v>1663</v>
      </c>
      <c r="X540" s="1">
        <f t="shared" ref="X540:X542" si="30">W540</f>
        <v>1663</v>
      </c>
      <c r="Y540" s="1"/>
      <c r="Z540" s="1"/>
      <c r="AA540" s="1"/>
      <c r="AB540" s="11"/>
      <c r="AC540" s="82"/>
      <c r="AD540" s="12" t="s">
        <v>52</v>
      </c>
      <c r="AE540" s="12" t="s">
        <v>97</v>
      </c>
      <c r="AN540" s="12" t="s">
        <v>429</v>
      </c>
      <c r="AR540" s="34" t="s">
        <v>94</v>
      </c>
      <c r="AS540" s="34" t="s">
        <v>94</v>
      </c>
      <c r="AU540" s="12" t="s">
        <v>1936</v>
      </c>
      <c r="AV540" s="13" t="s">
        <v>50</v>
      </c>
      <c r="AW540" s="39">
        <v>6</v>
      </c>
      <c r="AX540" s="12">
        <f>VLOOKUP(AW540,색인!$N$14:$O$19,2,FALSE)</f>
        <v>4</v>
      </c>
      <c r="AY540" s="32" t="str">
        <f>"T"&amp;O540&amp;"_"&amp;AX540&amp;"옵션_"&amp;VLOOKUP(E540,색인!$J$25:$K$29,2,FALSE)</f>
        <v>T4_4옵션_장신구</v>
      </c>
      <c r="AZ540" s="32">
        <f>VLOOKUP(G540,색인!$J$32:$K$45,2,FALSE)</f>
        <v>3</v>
      </c>
      <c r="BA540" s="32" t="str">
        <f>_xlfn.IFNA(VLOOKUP(AY540,표1[[검색용]:[OptionGroupIndex'[']22]],EquipItemTable!AZ540,FALSE),"옵션고정안함")</f>
        <v>옵션고정안함</v>
      </c>
    </row>
    <row r="541" spans="1:53" ht="12" x14ac:dyDescent="0.2">
      <c r="A541" s="13" t="s">
        <v>974</v>
      </c>
      <c r="B541" s="39">
        <v>50033</v>
      </c>
      <c r="C541" s="42" t="s">
        <v>3410</v>
      </c>
      <c r="D541" s="10" t="s">
        <v>77</v>
      </c>
      <c r="E541" s="10" t="s">
        <v>0</v>
      </c>
      <c r="F541" s="1" t="s">
        <v>88</v>
      </c>
      <c r="G541" s="1" t="s">
        <v>1305</v>
      </c>
      <c r="H541" s="1"/>
      <c r="I541" s="1"/>
      <c r="J541" s="1"/>
      <c r="K541" s="1"/>
      <c r="L541" s="1"/>
      <c r="M541" s="1"/>
      <c r="O541" s="12" t="s">
        <v>97</v>
      </c>
      <c r="P541" s="1">
        <v>41</v>
      </c>
      <c r="Q541" s="1"/>
      <c r="R541" s="1"/>
      <c r="S541" s="1"/>
      <c r="T541" s="1"/>
      <c r="U541" s="1"/>
      <c r="V541" s="1"/>
      <c r="W541" s="1">
        <v>1663</v>
      </c>
      <c r="X541" s="1">
        <f t="shared" si="30"/>
        <v>1663</v>
      </c>
      <c r="Y541" s="1"/>
      <c r="Z541" s="1"/>
      <c r="AA541" s="1"/>
      <c r="AB541" s="11"/>
      <c r="AC541" s="82"/>
      <c r="AD541" s="12" t="s">
        <v>52</v>
      </c>
      <c r="AE541" s="12" t="s">
        <v>97</v>
      </c>
      <c r="AN541" s="12" t="s">
        <v>1193</v>
      </c>
      <c r="AR541" s="34" t="s">
        <v>94</v>
      </c>
      <c r="AS541" s="34" t="s">
        <v>94</v>
      </c>
      <c r="AU541" s="12" t="s">
        <v>1936</v>
      </c>
      <c r="AV541" s="13" t="s">
        <v>50</v>
      </c>
      <c r="AW541" s="39">
        <v>6</v>
      </c>
      <c r="AX541" s="12">
        <f>VLOOKUP(AW541,색인!$N$14:$O$19,2,FALSE)</f>
        <v>4</v>
      </c>
      <c r="AY541" s="32" t="str">
        <f>"T"&amp;O541&amp;"_"&amp;AX541&amp;"옵션_"&amp;VLOOKUP(E541,색인!$J$25:$K$29,2,FALSE)</f>
        <v>T4_4옵션_장신구</v>
      </c>
      <c r="AZ541" s="32">
        <f>VLOOKUP(G541,색인!$J$32:$K$45,2,FALSE)</f>
        <v>3</v>
      </c>
      <c r="BA541" s="32" t="str">
        <f>_xlfn.IFNA(VLOOKUP(AY541,표1[[검색용]:[OptionGroupIndex'[']22]],EquipItemTable!AZ541,FALSE),"옵션고정안함")</f>
        <v>옵션고정안함</v>
      </c>
    </row>
    <row r="542" spans="1:53" ht="12" x14ac:dyDescent="0.2">
      <c r="A542" s="13" t="s">
        <v>975</v>
      </c>
      <c r="B542" s="39">
        <v>50022</v>
      </c>
      <c r="C542" s="42" t="s">
        <v>3411</v>
      </c>
      <c r="D542" s="10" t="s">
        <v>77</v>
      </c>
      <c r="E542" s="10" t="s">
        <v>0</v>
      </c>
      <c r="F542" s="1" t="s">
        <v>88</v>
      </c>
      <c r="G542" s="1" t="s">
        <v>1305</v>
      </c>
      <c r="H542" s="1"/>
      <c r="I542" s="1"/>
      <c r="J542" s="1"/>
      <c r="K542" s="1"/>
      <c r="L542" s="1"/>
      <c r="M542" s="1"/>
      <c r="O542" s="12" t="s">
        <v>97</v>
      </c>
      <c r="P542" s="1">
        <v>41</v>
      </c>
      <c r="Q542" s="1"/>
      <c r="R542" s="1"/>
      <c r="S542" s="1"/>
      <c r="T542" s="1"/>
      <c r="U542" s="1"/>
      <c r="V542" s="1"/>
      <c r="W542" s="1">
        <v>1663</v>
      </c>
      <c r="X542" s="1">
        <f t="shared" si="30"/>
        <v>1663</v>
      </c>
      <c r="Y542" s="1"/>
      <c r="Z542" s="1"/>
      <c r="AA542" s="1"/>
      <c r="AB542" s="11"/>
      <c r="AC542" s="82"/>
      <c r="AD542" s="12" t="s">
        <v>52</v>
      </c>
      <c r="AE542" s="12" t="s">
        <v>97</v>
      </c>
      <c r="AN542" s="12" t="s">
        <v>1195</v>
      </c>
      <c r="AR542" s="34" t="s">
        <v>94</v>
      </c>
      <c r="AS542" s="34" t="s">
        <v>94</v>
      </c>
      <c r="AU542" s="12" t="s">
        <v>1936</v>
      </c>
      <c r="AV542" s="13" t="s">
        <v>50</v>
      </c>
      <c r="AW542" s="39">
        <v>6</v>
      </c>
      <c r="AX542" s="12">
        <f>VLOOKUP(AW542,색인!$N$14:$O$19,2,FALSE)</f>
        <v>4</v>
      </c>
      <c r="AY542" s="32" t="str">
        <f>"T"&amp;O542&amp;"_"&amp;AX542&amp;"옵션_"&amp;VLOOKUP(E542,색인!$J$25:$K$29,2,FALSE)</f>
        <v>T4_4옵션_장신구</v>
      </c>
      <c r="AZ542" s="32">
        <f>VLOOKUP(G542,색인!$J$32:$K$45,2,FALSE)</f>
        <v>3</v>
      </c>
      <c r="BA542" s="32" t="str">
        <f>_xlfn.IFNA(VLOOKUP(AY542,표1[[검색용]:[OptionGroupIndex'[']22]],EquipItemTable!AZ542,FALSE),"옵션고정안함")</f>
        <v>옵션고정안함</v>
      </c>
    </row>
    <row r="543" spans="1:53" ht="12" x14ac:dyDescent="0.2">
      <c r="A543" s="13" t="s">
        <v>431</v>
      </c>
      <c r="B543" s="39">
        <v>50017</v>
      </c>
      <c r="C543" s="42" t="s">
        <v>3416</v>
      </c>
      <c r="D543" s="10" t="s">
        <v>77</v>
      </c>
      <c r="E543" s="10" t="s">
        <v>0</v>
      </c>
      <c r="F543" s="1" t="s">
        <v>436</v>
      </c>
      <c r="G543" s="1" t="s">
        <v>1305</v>
      </c>
      <c r="H543" s="1"/>
      <c r="I543" s="1"/>
      <c r="J543" s="1"/>
      <c r="K543" s="1"/>
      <c r="L543" s="1"/>
      <c r="M543" s="1"/>
      <c r="O543" s="12" t="s">
        <v>430</v>
      </c>
      <c r="P543" s="1">
        <v>51</v>
      </c>
      <c r="Q543" s="1"/>
      <c r="R543" s="1"/>
      <c r="S543" s="1"/>
      <c r="T543" s="1"/>
      <c r="U543" s="1"/>
      <c r="V543" s="1"/>
      <c r="W543" s="1">
        <v>1637</v>
      </c>
      <c r="X543" s="1">
        <f t="shared" si="0"/>
        <v>1637</v>
      </c>
      <c r="Y543" s="1"/>
      <c r="Z543" s="1"/>
      <c r="AA543" s="1"/>
      <c r="AB543" s="11"/>
      <c r="AC543" s="82"/>
      <c r="AD543" s="12" t="s">
        <v>542</v>
      </c>
      <c r="AE543" s="12" t="s">
        <v>552</v>
      </c>
      <c r="AN543" s="12"/>
      <c r="AU543" s="12" t="s">
        <v>1932</v>
      </c>
      <c r="AV543" s="13"/>
      <c r="AW543" s="39">
        <v>1</v>
      </c>
      <c r="AY543" s="32"/>
      <c r="AZ543" s="32"/>
      <c r="BA543" s="32"/>
    </row>
    <row r="544" spans="1:53" ht="12" x14ac:dyDescent="0.2">
      <c r="A544" s="13" t="s">
        <v>432</v>
      </c>
      <c r="B544" s="39">
        <v>50018</v>
      </c>
      <c r="C544" s="42" t="s">
        <v>3417</v>
      </c>
      <c r="D544" s="10" t="s">
        <v>77</v>
      </c>
      <c r="E544" s="10" t="s">
        <v>0</v>
      </c>
      <c r="F544" s="1" t="s">
        <v>436</v>
      </c>
      <c r="G544" s="1" t="s">
        <v>1305</v>
      </c>
      <c r="H544" s="1"/>
      <c r="I544" s="1"/>
      <c r="J544" s="1"/>
      <c r="K544" s="1"/>
      <c r="L544" s="1"/>
      <c r="M544" s="1"/>
      <c r="O544" s="12" t="s">
        <v>430</v>
      </c>
      <c r="P544" s="1">
        <v>51</v>
      </c>
      <c r="Q544" s="1"/>
      <c r="R544" s="1"/>
      <c r="S544" s="1"/>
      <c r="T544" s="1"/>
      <c r="U544" s="1"/>
      <c r="V544" s="1"/>
      <c r="W544" s="1">
        <v>1999</v>
      </c>
      <c r="X544" s="1">
        <f t="shared" si="0"/>
        <v>1999</v>
      </c>
      <c r="Y544" s="1"/>
      <c r="Z544" s="1"/>
      <c r="AA544" s="1"/>
      <c r="AB544" s="11"/>
      <c r="AC544" s="82"/>
      <c r="AD544" s="12" t="s">
        <v>542</v>
      </c>
      <c r="AE544" s="39" t="str">
        <f t="shared" ref="AE544:AE546" si="31">BA544</f>
        <v>5132</v>
      </c>
      <c r="AN544" s="12"/>
      <c r="AU544" s="12" t="s">
        <v>1933</v>
      </c>
      <c r="AV544" s="13"/>
      <c r="AW544" s="39">
        <v>2</v>
      </c>
      <c r="AX544" s="12">
        <f>VLOOKUP(AW544,색인!$N$14:$O$19,2,FALSE)</f>
        <v>1</v>
      </c>
      <c r="AY544" s="39" t="str">
        <f>"T"&amp;O544&amp;"_"&amp;AX544&amp;"옵션_"&amp;VLOOKUP(E544,색인!$J$25:$K$29,2,FALSE)</f>
        <v>T5_1옵션_장신구</v>
      </c>
      <c r="AZ544" s="39">
        <f>VLOOKUP(G544,색인!$J$32:$K$45,2,FALSE)</f>
        <v>3</v>
      </c>
      <c r="BA544" s="39" t="str">
        <f>_xlfn.IFNA(VLOOKUP(AY544,표1[[검색용]:[OptionGroupIndex'[']22]],EquipItemTable!AZ544,FALSE),"옵션고정안함")</f>
        <v>5132</v>
      </c>
    </row>
    <row r="545" spans="1:53" ht="12" x14ac:dyDescent="0.2">
      <c r="A545" s="13" t="s">
        <v>433</v>
      </c>
      <c r="B545" s="39">
        <v>50019</v>
      </c>
      <c r="C545" s="42" t="s">
        <v>3418</v>
      </c>
      <c r="D545" s="10" t="s">
        <v>77</v>
      </c>
      <c r="E545" s="10" t="s">
        <v>0</v>
      </c>
      <c r="F545" s="1" t="s">
        <v>436</v>
      </c>
      <c r="G545" s="1" t="s">
        <v>1305</v>
      </c>
      <c r="H545" s="1"/>
      <c r="I545" s="1"/>
      <c r="J545" s="1"/>
      <c r="K545" s="1"/>
      <c r="L545" s="1"/>
      <c r="M545" s="1"/>
      <c r="O545" s="12" t="s">
        <v>430</v>
      </c>
      <c r="P545" s="1">
        <v>51</v>
      </c>
      <c r="Q545" s="1"/>
      <c r="R545" s="1"/>
      <c r="S545" s="1"/>
      <c r="T545" s="1"/>
      <c r="U545" s="1"/>
      <c r="V545" s="1"/>
      <c r="W545" s="1">
        <v>2320</v>
      </c>
      <c r="X545" s="1">
        <f t="shared" si="0"/>
        <v>2320</v>
      </c>
      <c r="Y545" s="1"/>
      <c r="Z545" s="1"/>
      <c r="AA545" s="1"/>
      <c r="AB545" s="11"/>
      <c r="AC545" s="82"/>
      <c r="AD545" s="12" t="s">
        <v>542</v>
      </c>
      <c r="AE545" s="39" t="str">
        <f t="shared" si="31"/>
        <v>5232</v>
      </c>
      <c r="AN545" s="12"/>
      <c r="AR545" s="34" t="s">
        <v>543</v>
      </c>
      <c r="AS545" s="34" t="s">
        <v>543</v>
      </c>
      <c r="AU545" s="12" t="s">
        <v>1934</v>
      </c>
      <c r="AV545" s="13"/>
      <c r="AW545" s="39">
        <v>3</v>
      </c>
      <c r="AX545" s="12">
        <f>VLOOKUP(AW545,색인!$N$14:$O$19,2,FALSE)</f>
        <v>2</v>
      </c>
      <c r="AY545" s="39" t="str">
        <f>"T"&amp;O545&amp;"_"&amp;AX545&amp;"옵션_"&amp;VLOOKUP(E545,색인!$J$25:$K$29,2,FALSE)</f>
        <v>T5_2옵션_장신구</v>
      </c>
      <c r="AZ545" s="39">
        <f>VLOOKUP(G545,색인!$J$32:$K$45,2,FALSE)</f>
        <v>3</v>
      </c>
      <c r="BA545" s="39" t="str">
        <f>_xlfn.IFNA(VLOOKUP(AY545,표1[[검색용]:[OptionGroupIndex'[']22]],EquipItemTable!AZ545,FALSE),"옵션고정안함")</f>
        <v>5232</v>
      </c>
    </row>
    <row r="546" spans="1:53" ht="12" x14ac:dyDescent="0.2">
      <c r="A546" s="13" t="s">
        <v>434</v>
      </c>
      <c r="B546" s="39">
        <v>50020</v>
      </c>
      <c r="C546" s="42" t="s">
        <v>3419</v>
      </c>
      <c r="D546" s="10" t="s">
        <v>77</v>
      </c>
      <c r="E546" s="10" t="s">
        <v>0</v>
      </c>
      <c r="F546" s="1" t="s">
        <v>436</v>
      </c>
      <c r="G546" s="1" t="s">
        <v>1305</v>
      </c>
      <c r="H546" s="1"/>
      <c r="I546" s="1"/>
      <c r="J546" s="1"/>
      <c r="K546" s="1"/>
      <c r="L546" s="1"/>
      <c r="M546" s="1"/>
      <c r="O546" s="12" t="s">
        <v>430</v>
      </c>
      <c r="P546" s="1">
        <v>51</v>
      </c>
      <c r="Q546" s="1"/>
      <c r="R546" s="1"/>
      <c r="S546" s="1"/>
      <c r="T546" s="1"/>
      <c r="U546" s="1"/>
      <c r="V546" s="1"/>
      <c r="W546" s="1">
        <v>2687</v>
      </c>
      <c r="X546" s="1">
        <f t="shared" si="0"/>
        <v>2687</v>
      </c>
      <c r="Y546" s="1"/>
      <c r="Z546" s="1"/>
      <c r="AA546" s="1"/>
      <c r="AB546" s="11"/>
      <c r="AC546" s="82"/>
      <c r="AD546" s="12" t="s">
        <v>542</v>
      </c>
      <c r="AE546" s="39" t="str">
        <f t="shared" si="31"/>
        <v>5332</v>
      </c>
      <c r="AN546" s="12"/>
      <c r="AR546" s="34" t="s">
        <v>543</v>
      </c>
      <c r="AS546" s="34" t="s">
        <v>543</v>
      </c>
      <c r="AU546" s="12" t="s">
        <v>1935</v>
      </c>
      <c r="AV546" s="13"/>
      <c r="AW546" s="39">
        <v>4</v>
      </c>
      <c r="AX546" s="12">
        <f>VLOOKUP(AW546,색인!$N$14:$O$19,2,FALSE)</f>
        <v>3</v>
      </c>
      <c r="AY546" s="39" t="str">
        <f>"T"&amp;O546&amp;"_"&amp;AX546&amp;"옵션_"&amp;VLOOKUP(E546,색인!$J$25:$K$29,2,FALSE)</f>
        <v>T5_3옵션_장신구</v>
      </c>
      <c r="AZ546" s="39">
        <f>VLOOKUP(G546,색인!$J$32:$K$45,2,FALSE)</f>
        <v>3</v>
      </c>
      <c r="BA546" s="39" t="str">
        <f>_xlfn.IFNA(VLOOKUP(AY546,표1[[검색용]:[OptionGroupIndex'[']22]],EquipItemTable!AZ546,FALSE),"옵션고정안함")</f>
        <v>5332</v>
      </c>
    </row>
    <row r="547" spans="1:53" ht="12" x14ac:dyDescent="0.2">
      <c r="A547" s="13" t="s">
        <v>558</v>
      </c>
      <c r="B547" s="39">
        <v>50037</v>
      </c>
      <c r="C547" s="42" t="s">
        <v>3408</v>
      </c>
      <c r="D547" s="10" t="s">
        <v>77</v>
      </c>
      <c r="E547" s="10" t="s">
        <v>0</v>
      </c>
      <c r="F547" s="1" t="s">
        <v>436</v>
      </c>
      <c r="G547" s="1" t="s">
        <v>1305</v>
      </c>
      <c r="H547" s="1"/>
      <c r="I547" s="1"/>
      <c r="J547" s="1"/>
      <c r="K547" s="1"/>
      <c r="L547" s="1"/>
      <c r="M547" s="1"/>
      <c r="O547" s="12" t="s">
        <v>430</v>
      </c>
      <c r="P547" s="1">
        <v>51</v>
      </c>
      <c r="Q547" s="1"/>
      <c r="R547" s="1"/>
      <c r="S547" s="1"/>
      <c r="T547" s="1"/>
      <c r="U547" s="1"/>
      <c r="V547" s="1"/>
      <c r="W547" s="1">
        <v>3102</v>
      </c>
      <c r="X547" s="1">
        <f t="shared" si="0"/>
        <v>3102</v>
      </c>
      <c r="Y547" s="1"/>
      <c r="Z547" s="1"/>
      <c r="AA547" s="1"/>
      <c r="AB547" s="11"/>
      <c r="AC547" s="82"/>
      <c r="AD547" s="12" t="s">
        <v>336</v>
      </c>
      <c r="AE547" s="12" t="s">
        <v>529</v>
      </c>
      <c r="AN547" s="12" t="s">
        <v>428</v>
      </c>
      <c r="AR547" s="34" t="s">
        <v>543</v>
      </c>
      <c r="AS547" s="34" t="s">
        <v>543</v>
      </c>
      <c r="AU547" s="12" t="s">
        <v>1936</v>
      </c>
      <c r="AV547" s="13"/>
      <c r="AW547" s="39">
        <v>6</v>
      </c>
      <c r="AX547" s="12">
        <f>VLOOKUP(AW547,색인!$N$14:$O$19,2,FALSE)</f>
        <v>4</v>
      </c>
      <c r="AY547" s="32" t="str">
        <f>"T"&amp;O547&amp;"_"&amp;AX547&amp;"옵션_"&amp;VLOOKUP(E547,색인!$J$25:$K$29,2,FALSE)</f>
        <v>T5_4옵션_장신구</v>
      </c>
      <c r="AZ547" s="32">
        <f>VLOOKUP(G547,색인!$J$32:$K$45,2,FALSE)</f>
        <v>3</v>
      </c>
      <c r="BA547" s="32" t="str">
        <f>_xlfn.IFNA(VLOOKUP(AY547,표1[[검색용]:[OptionGroupIndex'[']22]],EquipItemTable!AZ547,FALSE),"옵션고정안함")</f>
        <v>옵션고정안함</v>
      </c>
    </row>
    <row r="548" spans="1:53" ht="12" x14ac:dyDescent="0.2">
      <c r="A548" s="13" t="s">
        <v>976</v>
      </c>
      <c r="B548" s="39">
        <v>50035</v>
      </c>
      <c r="C548" s="42" t="s">
        <v>3409</v>
      </c>
      <c r="D548" s="10" t="s">
        <v>77</v>
      </c>
      <c r="E548" s="10" t="s">
        <v>0</v>
      </c>
      <c r="F548" s="1" t="s">
        <v>436</v>
      </c>
      <c r="G548" s="1" t="s">
        <v>1305</v>
      </c>
      <c r="H548" s="1"/>
      <c r="I548" s="1"/>
      <c r="J548" s="1"/>
      <c r="K548" s="1"/>
      <c r="L548" s="1"/>
      <c r="M548" s="1"/>
      <c r="O548" s="12" t="s">
        <v>430</v>
      </c>
      <c r="P548" s="1">
        <v>51</v>
      </c>
      <c r="Q548" s="1"/>
      <c r="R548" s="1"/>
      <c r="S548" s="1"/>
      <c r="T548" s="1"/>
      <c r="U548" s="1"/>
      <c r="V548" s="1"/>
      <c r="W548" s="1">
        <v>3102</v>
      </c>
      <c r="X548" s="1">
        <f t="shared" ref="X548:X550" si="32">W548</f>
        <v>3102</v>
      </c>
      <c r="Y548" s="1"/>
      <c r="Z548" s="1"/>
      <c r="AA548" s="1"/>
      <c r="AB548" s="11"/>
      <c r="AC548" s="82"/>
      <c r="AD548" s="12" t="s">
        <v>336</v>
      </c>
      <c r="AE548" s="12" t="s">
        <v>430</v>
      </c>
      <c r="AN548" s="12" t="s">
        <v>429</v>
      </c>
      <c r="AR548" s="34" t="s">
        <v>428</v>
      </c>
      <c r="AS548" s="34" t="s">
        <v>428</v>
      </c>
      <c r="AU548" s="12" t="s">
        <v>1936</v>
      </c>
      <c r="AV548" s="13"/>
      <c r="AW548" s="39">
        <v>6</v>
      </c>
      <c r="AX548" s="12">
        <f>VLOOKUP(AW548,색인!$N$14:$O$19,2,FALSE)</f>
        <v>4</v>
      </c>
      <c r="AY548" s="32" t="str">
        <f>"T"&amp;O548&amp;"_"&amp;AX548&amp;"옵션_"&amp;VLOOKUP(E548,색인!$J$25:$K$29,2,FALSE)</f>
        <v>T5_4옵션_장신구</v>
      </c>
      <c r="AZ548" s="32">
        <f>VLOOKUP(G548,색인!$J$32:$K$45,2,FALSE)</f>
        <v>3</v>
      </c>
      <c r="BA548" s="32" t="str">
        <f>_xlfn.IFNA(VLOOKUP(AY548,표1[[검색용]:[OptionGroupIndex'[']22]],EquipItemTable!AZ548,FALSE),"옵션고정안함")</f>
        <v>옵션고정안함</v>
      </c>
    </row>
    <row r="549" spans="1:53" ht="12" x14ac:dyDescent="0.2">
      <c r="A549" s="13" t="s">
        <v>977</v>
      </c>
      <c r="B549" s="39">
        <v>50036</v>
      </c>
      <c r="C549" s="42" t="s">
        <v>3410</v>
      </c>
      <c r="D549" s="10" t="s">
        <v>77</v>
      </c>
      <c r="E549" s="10" t="s">
        <v>0</v>
      </c>
      <c r="F549" s="1" t="s">
        <v>436</v>
      </c>
      <c r="G549" s="1" t="s">
        <v>1305</v>
      </c>
      <c r="H549" s="1"/>
      <c r="I549" s="1"/>
      <c r="J549" s="1"/>
      <c r="K549" s="1"/>
      <c r="L549" s="1"/>
      <c r="M549" s="1"/>
      <c r="O549" s="12" t="s">
        <v>430</v>
      </c>
      <c r="P549" s="1">
        <v>51</v>
      </c>
      <c r="Q549" s="1"/>
      <c r="R549" s="1"/>
      <c r="S549" s="1"/>
      <c r="T549" s="1"/>
      <c r="U549" s="1"/>
      <c r="V549" s="1"/>
      <c r="W549" s="1">
        <v>3102</v>
      </c>
      <c r="X549" s="1">
        <f t="shared" si="32"/>
        <v>3102</v>
      </c>
      <c r="Y549" s="1"/>
      <c r="Z549" s="1"/>
      <c r="AA549" s="1"/>
      <c r="AB549" s="11"/>
      <c r="AC549" s="82"/>
      <c r="AD549" s="12" t="s">
        <v>336</v>
      </c>
      <c r="AE549" s="12" t="s">
        <v>430</v>
      </c>
      <c r="AN549" s="12" t="s">
        <v>1193</v>
      </c>
      <c r="AR549" s="34" t="s">
        <v>428</v>
      </c>
      <c r="AS549" s="34" t="s">
        <v>428</v>
      </c>
      <c r="AU549" s="12" t="s">
        <v>1936</v>
      </c>
      <c r="AV549" s="13"/>
      <c r="AW549" s="39">
        <v>6</v>
      </c>
      <c r="AX549" s="12">
        <f>VLOOKUP(AW549,색인!$N$14:$O$19,2,FALSE)</f>
        <v>4</v>
      </c>
      <c r="AY549" s="32" t="str">
        <f>"T"&amp;O549&amp;"_"&amp;AX549&amp;"옵션_"&amp;VLOOKUP(E549,색인!$J$25:$K$29,2,FALSE)</f>
        <v>T5_4옵션_장신구</v>
      </c>
      <c r="AZ549" s="32">
        <f>VLOOKUP(G549,색인!$J$32:$K$45,2,FALSE)</f>
        <v>3</v>
      </c>
      <c r="BA549" s="32" t="str">
        <f>_xlfn.IFNA(VLOOKUP(AY549,표1[[검색용]:[OptionGroupIndex'[']22]],EquipItemTable!AZ549,FALSE),"옵션고정안함")</f>
        <v>옵션고정안함</v>
      </c>
    </row>
    <row r="550" spans="1:53" ht="12" x14ac:dyDescent="0.2">
      <c r="A550" s="13" t="s">
        <v>978</v>
      </c>
      <c r="B550" s="39">
        <v>50023</v>
      </c>
      <c r="C550" s="42" t="s">
        <v>3411</v>
      </c>
      <c r="D550" s="10" t="s">
        <v>77</v>
      </c>
      <c r="E550" s="10" t="s">
        <v>0</v>
      </c>
      <c r="F550" s="1" t="s">
        <v>436</v>
      </c>
      <c r="G550" s="1" t="s">
        <v>1305</v>
      </c>
      <c r="H550" s="1"/>
      <c r="I550" s="1"/>
      <c r="J550" s="1"/>
      <c r="K550" s="1"/>
      <c r="L550" s="1"/>
      <c r="M550" s="1"/>
      <c r="O550" s="12" t="s">
        <v>430</v>
      </c>
      <c r="P550" s="1">
        <v>51</v>
      </c>
      <c r="Q550" s="1"/>
      <c r="R550" s="1"/>
      <c r="S550" s="1"/>
      <c r="T550" s="1"/>
      <c r="U550" s="1"/>
      <c r="V550" s="1"/>
      <c r="W550" s="1">
        <v>3102</v>
      </c>
      <c r="X550" s="1">
        <f t="shared" si="32"/>
        <v>3102</v>
      </c>
      <c r="Y550" s="1"/>
      <c r="Z550" s="1"/>
      <c r="AA550" s="1"/>
      <c r="AB550" s="11"/>
      <c r="AC550" s="82"/>
      <c r="AD550" s="12" t="s">
        <v>336</v>
      </c>
      <c r="AE550" s="12" t="s">
        <v>430</v>
      </c>
      <c r="AN550" s="12" t="s">
        <v>1195</v>
      </c>
      <c r="AR550" s="34" t="s">
        <v>428</v>
      </c>
      <c r="AS550" s="34" t="s">
        <v>428</v>
      </c>
      <c r="AU550" s="12" t="s">
        <v>1936</v>
      </c>
      <c r="AV550" s="13"/>
      <c r="AW550" s="39">
        <v>6</v>
      </c>
      <c r="AX550" s="12">
        <f>VLOOKUP(AW550,색인!$N$14:$O$19,2,FALSE)</f>
        <v>4</v>
      </c>
      <c r="AY550" s="32" t="str">
        <f>"T"&amp;O550&amp;"_"&amp;AX550&amp;"옵션_"&amp;VLOOKUP(E550,색인!$J$25:$K$29,2,FALSE)</f>
        <v>T5_4옵션_장신구</v>
      </c>
      <c r="AZ550" s="32">
        <f>VLOOKUP(G550,색인!$J$32:$K$45,2,FALSE)</f>
        <v>3</v>
      </c>
      <c r="BA550" s="32" t="str">
        <f>_xlfn.IFNA(VLOOKUP(AY550,표1[[검색용]:[OptionGroupIndex'[']22]],EquipItemTable!AZ550,FALSE),"옵션고정안함")</f>
        <v>옵션고정안함</v>
      </c>
    </row>
    <row r="551" spans="1:53" s="1" customFormat="1" ht="12" x14ac:dyDescent="0.2">
      <c r="A551" s="24" t="s">
        <v>745</v>
      </c>
      <c r="B551" s="39">
        <v>50024</v>
      </c>
      <c r="C551" s="42" t="s">
        <v>3420</v>
      </c>
      <c r="D551" s="10" t="s">
        <v>2957</v>
      </c>
      <c r="E551" s="10" t="s">
        <v>863</v>
      </c>
      <c r="F551" s="1" t="s">
        <v>746</v>
      </c>
      <c r="G551" s="1" t="s">
        <v>1305</v>
      </c>
      <c r="N551" s="8"/>
      <c r="O551" s="12" t="s">
        <v>747</v>
      </c>
      <c r="P551" s="1">
        <v>61</v>
      </c>
      <c r="W551" s="1">
        <v>2857</v>
      </c>
      <c r="X551" s="1">
        <f t="shared" ref="X551:X555" si="33">W551</f>
        <v>2857</v>
      </c>
      <c r="AB551" s="11"/>
      <c r="AC551" s="82"/>
      <c r="AD551" s="12" t="s">
        <v>748</v>
      </c>
      <c r="AE551" s="12" t="s">
        <v>529</v>
      </c>
      <c r="AF551" s="12"/>
      <c r="AG551" s="23"/>
      <c r="AH551" s="23"/>
      <c r="AQ551" s="85"/>
      <c r="AT551" s="85"/>
      <c r="AU551" s="12" t="s">
        <v>1932</v>
      </c>
      <c r="AW551" s="90">
        <v>1</v>
      </c>
      <c r="AX551" s="23"/>
      <c r="AY551" s="23"/>
      <c r="AZ551" s="23"/>
      <c r="BA551" s="23"/>
    </row>
    <row r="552" spans="1:53" s="1" customFormat="1" ht="12" x14ac:dyDescent="0.2">
      <c r="A552" s="24" t="s">
        <v>749</v>
      </c>
      <c r="B552" s="39">
        <v>50025</v>
      </c>
      <c r="C552" s="42" t="s">
        <v>3421</v>
      </c>
      <c r="D552" s="10" t="s">
        <v>2957</v>
      </c>
      <c r="E552" s="10" t="s">
        <v>863</v>
      </c>
      <c r="F552" s="1" t="s">
        <v>746</v>
      </c>
      <c r="G552" s="1" t="s">
        <v>1305</v>
      </c>
      <c r="N552" s="8"/>
      <c r="O552" s="12" t="s">
        <v>747</v>
      </c>
      <c r="P552" s="1">
        <v>61</v>
      </c>
      <c r="W552" s="1">
        <v>3231</v>
      </c>
      <c r="X552" s="1">
        <f t="shared" si="33"/>
        <v>3231</v>
      </c>
      <c r="AB552" s="11"/>
      <c r="AC552" s="82"/>
      <c r="AD552" s="12" t="s">
        <v>748</v>
      </c>
      <c r="AE552" s="39" t="str">
        <f t="shared" ref="AE552:AE554" si="34">BA552</f>
        <v>6132</v>
      </c>
      <c r="AF552" s="12"/>
      <c r="AG552" s="12"/>
      <c r="AH552" s="12"/>
      <c r="AQ552" s="85"/>
      <c r="AT552" s="85"/>
      <c r="AU552" s="12" t="s">
        <v>1933</v>
      </c>
      <c r="AW552" s="90">
        <v>2</v>
      </c>
      <c r="AX552" s="23">
        <f>VLOOKUP(AW552,색인!$N$14:$O$19,2,FALSE)</f>
        <v>1</v>
      </c>
      <c r="AY552" s="90" t="str">
        <f>"T"&amp;O552&amp;"_"&amp;AX552&amp;"옵션_"&amp;VLOOKUP(E552,색인!$J$25:$K$29,2,FALSE)</f>
        <v>T6_1옵션_장신구</v>
      </c>
      <c r="AZ552" s="90">
        <f>VLOOKUP(G552,색인!$J$32:$K$45,2,FALSE)</f>
        <v>3</v>
      </c>
      <c r="BA552" s="90" t="str">
        <f>_xlfn.IFNA(VLOOKUP(AY552,표1[[검색용]:[OptionGroupIndex'[']22]],EquipItemTable!AZ552,FALSE),"옵션고정안함")</f>
        <v>6132</v>
      </c>
    </row>
    <row r="553" spans="1:53" s="1" customFormat="1" ht="12" x14ac:dyDescent="0.2">
      <c r="A553" s="24" t="s">
        <v>750</v>
      </c>
      <c r="B553" s="39">
        <v>50026</v>
      </c>
      <c r="C553" s="42" t="s">
        <v>3422</v>
      </c>
      <c r="D553" s="10" t="s">
        <v>2957</v>
      </c>
      <c r="E553" s="10" t="s">
        <v>863</v>
      </c>
      <c r="F553" s="1" t="s">
        <v>746</v>
      </c>
      <c r="G553" s="1" t="s">
        <v>1305</v>
      </c>
      <c r="N553" s="8"/>
      <c r="O553" s="12" t="s">
        <v>747</v>
      </c>
      <c r="P553" s="1">
        <v>61</v>
      </c>
      <c r="W553" s="1">
        <v>3563</v>
      </c>
      <c r="X553" s="1">
        <f t="shared" si="33"/>
        <v>3563</v>
      </c>
      <c r="AB553" s="11"/>
      <c r="AC553" s="82"/>
      <c r="AD553" s="12" t="s">
        <v>748</v>
      </c>
      <c r="AE553" s="39" t="str">
        <f t="shared" si="34"/>
        <v>6232</v>
      </c>
      <c r="AF553" s="12"/>
      <c r="AG553" s="12"/>
      <c r="AH553" s="12"/>
      <c r="AQ553" s="85"/>
      <c r="AR553" s="1">
        <v>1</v>
      </c>
      <c r="AS553" s="1">
        <v>1</v>
      </c>
      <c r="AT553" s="85"/>
      <c r="AU553" s="12" t="s">
        <v>1934</v>
      </c>
      <c r="AW553" s="90">
        <v>3</v>
      </c>
      <c r="AX553" s="23">
        <f>VLOOKUP(AW553,색인!$N$14:$O$19,2,FALSE)</f>
        <v>2</v>
      </c>
      <c r="AY553" s="90" t="str">
        <f>"T"&amp;O553&amp;"_"&amp;AX553&amp;"옵션_"&amp;VLOOKUP(E553,색인!$J$25:$K$29,2,FALSE)</f>
        <v>T6_2옵션_장신구</v>
      </c>
      <c r="AZ553" s="90">
        <f>VLOOKUP(G553,색인!$J$32:$K$45,2,FALSE)</f>
        <v>3</v>
      </c>
      <c r="BA553" s="90" t="str">
        <f>_xlfn.IFNA(VLOOKUP(AY553,표1[[검색용]:[OptionGroupIndex'[']22]],EquipItemTable!AZ553,FALSE),"옵션고정안함")</f>
        <v>6232</v>
      </c>
    </row>
    <row r="554" spans="1:53" s="1" customFormat="1" ht="12" x14ac:dyDescent="0.2">
      <c r="A554" s="24" t="s">
        <v>751</v>
      </c>
      <c r="B554" s="39">
        <v>50027</v>
      </c>
      <c r="C554" s="42" t="s">
        <v>3423</v>
      </c>
      <c r="D554" s="10" t="s">
        <v>2957</v>
      </c>
      <c r="E554" s="10" t="s">
        <v>863</v>
      </c>
      <c r="F554" s="1" t="s">
        <v>746</v>
      </c>
      <c r="G554" s="1" t="s">
        <v>1305</v>
      </c>
      <c r="N554" s="8"/>
      <c r="O554" s="12" t="s">
        <v>747</v>
      </c>
      <c r="P554" s="1">
        <v>61</v>
      </c>
      <c r="W554" s="1">
        <v>3920</v>
      </c>
      <c r="X554" s="1">
        <f t="shared" si="33"/>
        <v>3920</v>
      </c>
      <c r="AB554" s="11"/>
      <c r="AC554" s="82"/>
      <c r="AD554" s="12" t="s">
        <v>748</v>
      </c>
      <c r="AE554" s="39" t="str">
        <f t="shared" si="34"/>
        <v>6332</v>
      </c>
      <c r="AF554" s="12"/>
      <c r="AG554" s="12"/>
      <c r="AH554" s="12"/>
      <c r="AQ554" s="85"/>
      <c r="AR554" s="1">
        <v>1</v>
      </c>
      <c r="AS554" s="1">
        <v>1</v>
      </c>
      <c r="AT554" s="85"/>
      <c r="AU554" s="12" t="s">
        <v>1935</v>
      </c>
      <c r="AW554" s="90">
        <v>4</v>
      </c>
      <c r="AX554" s="23">
        <f>VLOOKUP(AW554,색인!$N$14:$O$19,2,FALSE)</f>
        <v>3</v>
      </c>
      <c r="AY554" s="90" t="str">
        <f>"T"&amp;O554&amp;"_"&amp;AX554&amp;"옵션_"&amp;VLOOKUP(E554,색인!$J$25:$K$29,2,FALSE)</f>
        <v>T6_3옵션_장신구</v>
      </c>
      <c r="AZ554" s="90">
        <f>VLOOKUP(G554,색인!$J$32:$K$45,2,FALSE)</f>
        <v>3</v>
      </c>
      <c r="BA554" s="90" t="str">
        <f>_xlfn.IFNA(VLOOKUP(AY554,표1[[검색용]:[OptionGroupIndex'[']22]],EquipItemTable!AZ554,FALSE),"옵션고정안함")</f>
        <v>6332</v>
      </c>
    </row>
    <row r="555" spans="1:53" s="1" customFormat="1" ht="12" x14ac:dyDescent="0.2">
      <c r="A555" s="24" t="s">
        <v>752</v>
      </c>
      <c r="B555" s="39">
        <v>50040</v>
      </c>
      <c r="C555" s="42" t="s">
        <v>3408</v>
      </c>
      <c r="D555" s="10" t="s">
        <v>2957</v>
      </c>
      <c r="E555" s="10" t="s">
        <v>863</v>
      </c>
      <c r="F555" s="1" t="s">
        <v>746</v>
      </c>
      <c r="G555" s="1" t="s">
        <v>1305</v>
      </c>
      <c r="N555" s="8"/>
      <c r="O555" s="12" t="s">
        <v>747</v>
      </c>
      <c r="P555" s="1">
        <v>61</v>
      </c>
      <c r="W555" s="1">
        <v>4299</v>
      </c>
      <c r="X555" s="1">
        <f t="shared" si="33"/>
        <v>4299</v>
      </c>
      <c r="AB555" s="11"/>
      <c r="AC555" s="82"/>
      <c r="AD555" s="12" t="s">
        <v>748</v>
      </c>
      <c r="AE555" s="39" t="str">
        <f>BA555</f>
        <v>6432</v>
      </c>
      <c r="AF555" s="12"/>
      <c r="AG555" s="12"/>
      <c r="AH555" s="12"/>
      <c r="AN555" s="1" t="s">
        <v>554</v>
      </c>
      <c r="AQ555" s="85"/>
      <c r="AR555" s="1">
        <v>1</v>
      </c>
      <c r="AS555" s="1">
        <v>1</v>
      </c>
      <c r="AT555" s="85"/>
      <c r="AU555" s="12" t="s">
        <v>1936</v>
      </c>
      <c r="AW555" s="90">
        <v>6</v>
      </c>
      <c r="AX555" s="23">
        <f>VLOOKUP(AW555,색인!$N$14:$O$19,2,FALSE)</f>
        <v>4</v>
      </c>
      <c r="AY555" s="23" t="str">
        <f>"T"&amp;O555&amp;"_"&amp;AX555&amp;"옵션_"&amp;VLOOKUP(E555,색인!$J$25:$K$29,2,FALSE)</f>
        <v>T6_4옵션_장신구</v>
      </c>
      <c r="AZ555" s="23">
        <f>VLOOKUP(G555,색인!$J$32:$K$45,2,FALSE)</f>
        <v>3</v>
      </c>
      <c r="BA555" s="23" t="str">
        <f>_xlfn.IFNA(VLOOKUP(AY555,표1[[검색용]:[OptionGroupIndex'[']22]],EquipItemTable!AZ555,FALSE),"옵션고정안함")</f>
        <v>6432</v>
      </c>
    </row>
    <row r="556" spans="1:53" s="1" customFormat="1" ht="12" x14ac:dyDescent="0.2">
      <c r="A556" s="24" t="s">
        <v>979</v>
      </c>
      <c r="B556" s="39">
        <v>50038</v>
      </c>
      <c r="C556" s="42" t="s">
        <v>3409</v>
      </c>
      <c r="D556" s="10" t="s">
        <v>2957</v>
      </c>
      <c r="E556" s="10" t="s">
        <v>435</v>
      </c>
      <c r="F556" s="1" t="s">
        <v>397</v>
      </c>
      <c r="G556" s="1" t="s">
        <v>1305</v>
      </c>
      <c r="N556" s="8"/>
      <c r="O556" s="12" t="s">
        <v>747</v>
      </c>
      <c r="P556" s="1">
        <v>61</v>
      </c>
      <c r="W556" s="1">
        <v>4299</v>
      </c>
      <c r="X556" s="1">
        <f t="shared" ref="X556:X558" si="35">W556</f>
        <v>4299</v>
      </c>
      <c r="AB556" s="11"/>
      <c r="AC556" s="82"/>
      <c r="AD556" s="12" t="s">
        <v>336</v>
      </c>
      <c r="AE556" s="39" t="str">
        <f>BA556</f>
        <v>6432</v>
      </c>
      <c r="AF556" s="12"/>
      <c r="AG556" s="12"/>
      <c r="AH556" s="12"/>
      <c r="AN556" s="1" t="s">
        <v>1192</v>
      </c>
      <c r="AQ556" s="85"/>
      <c r="AR556" s="1">
        <v>1</v>
      </c>
      <c r="AS556" s="1">
        <v>1</v>
      </c>
      <c r="AT556" s="85"/>
      <c r="AU556" s="12" t="s">
        <v>1936</v>
      </c>
      <c r="AW556" s="90">
        <v>6</v>
      </c>
      <c r="AX556" s="23">
        <f>VLOOKUP(AW556,색인!$N$14:$O$19,2,FALSE)</f>
        <v>4</v>
      </c>
      <c r="AY556" s="23" t="str">
        <f>"T"&amp;O556&amp;"_"&amp;AX556&amp;"옵션_"&amp;VLOOKUP(E556,색인!$J$25:$K$29,2,FALSE)</f>
        <v>T6_4옵션_장신구</v>
      </c>
      <c r="AZ556" s="23">
        <f>VLOOKUP(G556,색인!$J$32:$K$45,2,FALSE)</f>
        <v>3</v>
      </c>
      <c r="BA556" s="23" t="str">
        <f>_xlfn.IFNA(VLOOKUP(AY556,표1[[검색용]:[OptionGroupIndex'[']22]],EquipItemTable!AZ556,FALSE),"옵션고정안함")</f>
        <v>6432</v>
      </c>
    </row>
    <row r="557" spans="1:53" s="1" customFormat="1" ht="12" x14ac:dyDescent="0.2">
      <c r="A557" s="24" t="s">
        <v>980</v>
      </c>
      <c r="B557" s="39">
        <v>50039</v>
      </c>
      <c r="C557" s="42" t="s">
        <v>3410</v>
      </c>
      <c r="D557" s="10" t="s">
        <v>2957</v>
      </c>
      <c r="E557" s="10" t="s">
        <v>435</v>
      </c>
      <c r="F557" s="1" t="s">
        <v>397</v>
      </c>
      <c r="G557" s="1" t="s">
        <v>1305</v>
      </c>
      <c r="N557" s="8"/>
      <c r="O557" s="12" t="s">
        <v>747</v>
      </c>
      <c r="P557" s="1">
        <v>61</v>
      </c>
      <c r="W557" s="1">
        <v>4299</v>
      </c>
      <c r="X557" s="1">
        <f t="shared" si="35"/>
        <v>4299</v>
      </c>
      <c r="AB557" s="11"/>
      <c r="AC557" s="82"/>
      <c r="AD557" s="12" t="s">
        <v>336</v>
      </c>
      <c r="AE557" s="39" t="str">
        <f>BA557</f>
        <v>6432</v>
      </c>
      <c r="AF557" s="12"/>
      <c r="AG557" s="12"/>
      <c r="AH557" s="12"/>
      <c r="AN557" s="1" t="s">
        <v>369</v>
      </c>
      <c r="AQ557" s="85"/>
      <c r="AR557" s="1">
        <v>1</v>
      </c>
      <c r="AS557" s="1">
        <v>1</v>
      </c>
      <c r="AT557" s="85"/>
      <c r="AU557" s="12" t="s">
        <v>1936</v>
      </c>
      <c r="AW557" s="90">
        <v>6</v>
      </c>
      <c r="AX557" s="23">
        <f>VLOOKUP(AW557,색인!$N$14:$O$19,2,FALSE)</f>
        <v>4</v>
      </c>
      <c r="AY557" s="23" t="str">
        <f>"T"&amp;O557&amp;"_"&amp;AX557&amp;"옵션_"&amp;VLOOKUP(E557,색인!$J$25:$K$29,2,FALSE)</f>
        <v>T6_4옵션_장신구</v>
      </c>
      <c r="AZ557" s="23">
        <f>VLOOKUP(G557,색인!$J$32:$K$45,2,FALSE)</f>
        <v>3</v>
      </c>
      <c r="BA557" s="23" t="str">
        <f>_xlfn.IFNA(VLOOKUP(AY557,표1[[검색용]:[OptionGroupIndex'[']22]],EquipItemTable!AZ557,FALSE),"옵션고정안함")</f>
        <v>6432</v>
      </c>
    </row>
    <row r="558" spans="1:53" s="1" customFormat="1" ht="12" x14ac:dyDescent="0.2">
      <c r="A558" s="24" t="s">
        <v>981</v>
      </c>
      <c r="B558" s="39">
        <v>50028</v>
      </c>
      <c r="C558" s="42" t="s">
        <v>3411</v>
      </c>
      <c r="D558" s="10" t="s">
        <v>2957</v>
      </c>
      <c r="E558" s="10" t="s">
        <v>435</v>
      </c>
      <c r="F558" s="1" t="s">
        <v>397</v>
      </c>
      <c r="G558" s="1" t="s">
        <v>1305</v>
      </c>
      <c r="N558" s="8"/>
      <c r="O558" s="12" t="s">
        <v>747</v>
      </c>
      <c r="P558" s="1">
        <v>61</v>
      </c>
      <c r="W558" s="1">
        <v>4299</v>
      </c>
      <c r="X558" s="1">
        <f t="shared" si="35"/>
        <v>4299</v>
      </c>
      <c r="AB558" s="11"/>
      <c r="AC558" s="82"/>
      <c r="AD558" s="12" t="s">
        <v>336</v>
      </c>
      <c r="AE558" s="39" t="str">
        <f>BA558</f>
        <v>6432</v>
      </c>
      <c r="AF558" s="12"/>
      <c r="AG558" s="12"/>
      <c r="AH558" s="12"/>
      <c r="AN558" s="1" t="s">
        <v>1194</v>
      </c>
      <c r="AQ558" s="85"/>
      <c r="AR558" s="1">
        <v>1</v>
      </c>
      <c r="AS558" s="1">
        <v>1</v>
      </c>
      <c r="AT558" s="85"/>
      <c r="AU558" s="12" t="s">
        <v>1936</v>
      </c>
      <c r="AW558" s="90">
        <v>6</v>
      </c>
      <c r="AX558" s="23">
        <f>VLOOKUP(AW558,색인!$N$14:$O$19,2,FALSE)</f>
        <v>4</v>
      </c>
      <c r="AY558" s="23" t="str">
        <f>"T"&amp;O558&amp;"_"&amp;AX558&amp;"옵션_"&amp;VLOOKUP(E558,색인!$J$25:$K$29,2,FALSE)</f>
        <v>T6_4옵션_장신구</v>
      </c>
      <c r="AZ558" s="23">
        <f>VLOOKUP(G558,색인!$J$32:$K$45,2,FALSE)</f>
        <v>3</v>
      </c>
      <c r="BA558" s="23" t="str">
        <f>_xlfn.IFNA(VLOOKUP(AY558,표1[[검색용]:[OptionGroupIndex'[']22]],EquipItemTable!AZ558,FALSE),"옵션고정안함")</f>
        <v>6432</v>
      </c>
    </row>
    <row r="559" spans="1:53" ht="12" customHeight="1" x14ac:dyDescent="0.2">
      <c r="A559" s="13" t="s">
        <v>644</v>
      </c>
      <c r="B559" s="39">
        <v>50401</v>
      </c>
      <c r="C559" s="42" t="s">
        <v>3424</v>
      </c>
      <c r="D559" s="10" t="s">
        <v>77</v>
      </c>
      <c r="E559" s="10" t="s">
        <v>0</v>
      </c>
      <c r="F559" s="1" t="s">
        <v>436</v>
      </c>
      <c r="G559" s="1" t="s">
        <v>1305</v>
      </c>
      <c r="H559" s="1"/>
      <c r="I559" s="1"/>
      <c r="J559" s="1"/>
      <c r="K559" s="1"/>
      <c r="L559" s="1"/>
      <c r="M559" s="1"/>
      <c r="O559" s="12" t="s">
        <v>94</v>
      </c>
      <c r="P559" s="1">
        <v>1</v>
      </c>
      <c r="Q559" s="1"/>
      <c r="R559" s="1"/>
      <c r="S559" s="1"/>
      <c r="T559" s="1"/>
      <c r="U559" s="1"/>
      <c r="V559" s="1"/>
      <c r="W559" s="1">
        <v>172</v>
      </c>
      <c r="X559" s="1">
        <f t="shared" ref="X559:X593" si="36">W559</f>
        <v>172</v>
      </c>
      <c r="Y559" s="1"/>
      <c r="Z559" s="1"/>
      <c r="AA559" s="1"/>
      <c r="AB559" s="11"/>
      <c r="AC559" s="82"/>
      <c r="AD559" s="12" t="s">
        <v>98</v>
      </c>
      <c r="AE559" s="39" t="str">
        <f t="shared" ref="AE559:AE569" si="37">BA559</f>
        <v>1332</v>
      </c>
      <c r="AN559" s="12" t="s">
        <v>2833</v>
      </c>
      <c r="AR559" s="34" t="s">
        <v>94</v>
      </c>
      <c r="AS559" s="34" t="s">
        <v>94</v>
      </c>
      <c r="AU559" s="12" t="s">
        <v>1937</v>
      </c>
      <c r="AV559" s="13"/>
      <c r="AW559" s="39">
        <v>5</v>
      </c>
      <c r="AX559" s="12">
        <f>VLOOKUP(AW559,색인!$N$14:$O$19,2,FALSE)</f>
        <v>3</v>
      </c>
      <c r="AY559" s="39" t="str">
        <f>"T"&amp;O559&amp;"_"&amp;AX559&amp;"옵션_"&amp;VLOOKUP(E559,색인!$J$25:$K$29,2,FALSE)</f>
        <v>T1_3옵션_장신구</v>
      </c>
      <c r="AZ559" s="39">
        <f>VLOOKUP(G559,색인!$J$32:$K$45,2,FALSE)</f>
        <v>3</v>
      </c>
      <c r="BA559" s="39" t="str">
        <f>_xlfn.IFNA(VLOOKUP(AY559,표1[[검색용]:[OptionGroupIndex'[']22]],EquipItemTable!AZ559,FALSE),"옵션고정안함")</f>
        <v>1332</v>
      </c>
    </row>
    <row r="560" spans="1:53" ht="12" customHeight="1" x14ac:dyDescent="0.2">
      <c r="A560" s="13" t="s">
        <v>645</v>
      </c>
      <c r="B560" s="39">
        <v>50402</v>
      </c>
      <c r="C560" s="42" t="s">
        <v>3424</v>
      </c>
      <c r="D560" s="10" t="s">
        <v>77</v>
      </c>
      <c r="E560" s="10" t="s">
        <v>0</v>
      </c>
      <c r="F560" s="1" t="s">
        <v>436</v>
      </c>
      <c r="G560" s="1" t="s">
        <v>1305</v>
      </c>
      <c r="H560" s="1"/>
      <c r="I560" s="1"/>
      <c r="J560" s="1"/>
      <c r="K560" s="1"/>
      <c r="L560" s="1"/>
      <c r="M560" s="1"/>
      <c r="O560" s="12" t="s">
        <v>95</v>
      </c>
      <c r="P560" s="1">
        <v>21</v>
      </c>
      <c r="Q560" s="1"/>
      <c r="R560" s="1"/>
      <c r="S560" s="1"/>
      <c r="T560" s="1"/>
      <c r="U560" s="1"/>
      <c r="V560" s="1"/>
      <c r="W560" s="1">
        <v>389</v>
      </c>
      <c r="X560" s="1">
        <f t="shared" si="36"/>
        <v>389</v>
      </c>
      <c r="Y560" s="1"/>
      <c r="Z560" s="1"/>
      <c r="AA560" s="1"/>
      <c r="AB560" s="11"/>
      <c r="AC560" s="82"/>
      <c r="AD560" s="12" t="s">
        <v>98</v>
      </c>
      <c r="AE560" s="39" t="str">
        <f t="shared" si="37"/>
        <v>2332</v>
      </c>
      <c r="AN560" s="12" t="s">
        <v>2833</v>
      </c>
      <c r="AR560" s="34" t="s">
        <v>94</v>
      </c>
      <c r="AS560" s="34" t="s">
        <v>94</v>
      </c>
      <c r="AU560" s="12" t="s">
        <v>1937</v>
      </c>
      <c r="AV560" s="13"/>
      <c r="AW560" s="39">
        <v>5</v>
      </c>
      <c r="AX560" s="12">
        <f>VLOOKUP(AW560,색인!$N$14:$O$19,2,FALSE)</f>
        <v>3</v>
      </c>
      <c r="AY560" s="39" t="str">
        <f>"T"&amp;O560&amp;"_"&amp;AX560&amp;"옵션_"&amp;VLOOKUP(E560,색인!$J$25:$K$29,2,FALSE)</f>
        <v>T2_3옵션_장신구</v>
      </c>
      <c r="AZ560" s="39">
        <f>VLOOKUP(G560,색인!$J$32:$K$45,2,FALSE)</f>
        <v>3</v>
      </c>
      <c r="BA560" s="39" t="str">
        <f>_xlfn.IFNA(VLOOKUP(AY560,표1[[검색용]:[OptionGroupIndex'[']22]],EquipItemTable!AZ560,FALSE),"옵션고정안함")</f>
        <v>2332</v>
      </c>
    </row>
    <row r="561" spans="1:53" ht="12" customHeight="1" x14ac:dyDescent="0.2">
      <c r="A561" s="13" t="s">
        <v>646</v>
      </c>
      <c r="B561" s="39">
        <v>50403</v>
      </c>
      <c r="C561" s="42" t="s">
        <v>3424</v>
      </c>
      <c r="D561" s="10" t="s">
        <v>77</v>
      </c>
      <c r="E561" s="10" t="s">
        <v>0</v>
      </c>
      <c r="F561" s="1" t="s">
        <v>88</v>
      </c>
      <c r="G561" s="1" t="s">
        <v>1305</v>
      </c>
      <c r="H561" s="1"/>
      <c r="I561" s="1"/>
      <c r="J561" s="1"/>
      <c r="K561" s="1"/>
      <c r="L561" s="1"/>
      <c r="M561" s="1"/>
      <c r="N561" s="81"/>
      <c r="O561" s="12" t="s">
        <v>96</v>
      </c>
      <c r="P561" s="1">
        <v>31</v>
      </c>
      <c r="Q561" s="13"/>
      <c r="R561" s="13"/>
      <c r="S561" s="13"/>
      <c r="T561" s="13"/>
      <c r="U561" s="13"/>
      <c r="V561" s="1"/>
      <c r="W561" s="1">
        <v>804</v>
      </c>
      <c r="X561" s="1">
        <f t="shared" si="36"/>
        <v>804</v>
      </c>
      <c r="Y561" s="13"/>
      <c r="Z561" s="13"/>
      <c r="AA561" s="13"/>
      <c r="AB561" s="13"/>
      <c r="AC561" s="82"/>
      <c r="AD561" s="23" t="s">
        <v>52</v>
      </c>
      <c r="AE561" s="90" t="str">
        <f t="shared" si="37"/>
        <v>3332</v>
      </c>
      <c r="AF561" s="23"/>
      <c r="AI561" s="23"/>
      <c r="AJ561" s="23"/>
      <c r="AK561" s="23"/>
      <c r="AL561" s="23"/>
      <c r="AM561" s="23"/>
      <c r="AN561" s="23">
        <v>103</v>
      </c>
      <c r="AO561" s="23"/>
      <c r="AP561" s="23"/>
      <c r="AQ561" s="81"/>
      <c r="AR561" s="83">
        <v>1</v>
      </c>
      <c r="AS561" s="83">
        <v>1</v>
      </c>
      <c r="AT561" s="81"/>
      <c r="AU561" s="12" t="s">
        <v>1937</v>
      </c>
      <c r="AV561" s="13"/>
      <c r="AW561" s="39">
        <v>5</v>
      </c>
      <c r="AX561" s="12">
        <f>VLOOKUP(AW561,색인!$N$14:$O$19,2,FALSE)</f>
        <v>3</v>
      </c>
      <c r="AY561" s="39" t="str">
        <f>"T"&amp;O561&amp;"_"&amp;AX561&amp;"옵션_"&amp;VLOOKUP(E561,색인!$J$25:$K$29,2,FALSE)</f>
        <v>T3_3옵션_장신구</v>
      </c>
      <c r="AZ561" s="39">
        <f>VLOOKUP(G561,색인!$J$32:$K$45,2,FALSE)</f>
        <v>3</v>
      </c>
      <c r="BA561" s="39" t="str">
        <f>_xlfn.IFNA(VLOOKUP(AY561,표1[[검색용]:[OptionGroupIndex'[']22]],EquipItemTable!AZ561,FALSE),"옵션고정안함")</f>
        <v>3332</v>
      </c>
    </row>
    <row r="562" spans="1:53" ht="12" customHeight="1" x14ac:dyDescent="0.2">
      <c r="A562" s="13" t="s">
        <v>647</v>
      </c>
      <c r="B562" s="39">
        <v>50404</v>
      </c>
      <c r="C562" s="42" t="s">
        <v>3424</v>
      </c>
      <c r="D562" s="10" t="s">
        <v>77</v>
      </c>
      <c r="E562" s="10" t="s">
        <v>0</v>
      </c>
      <c r="F562" s="1" t="s">
        <v>88</v>
      </c>
      <c r="G562" s="1" t="s">
        <v>1305</v>
      </c>
      <c r="H562" s="1"/>
      <c r="I562" s="1"/>
      <c r="J562" s="1"/>
      <c r="K562" s="1"/>
      <c r="L562" s="1"/>
      <c r="M562" s="1"/>
      <c r="O562" s="12" t="s">
        <v>97</v>
      </c>
      <c r="P562" s="1">
        <v>41</v>
      </c>
      <c r="Q562" s="1"/>
      <c r="R562" s="1"/>
      <c r="S562" s="1"/>
      <c r="T562" s="1"/>
      <c r="U562" s="1"/>
      <c r="V562" s="1"/>
      <c r="W562" s="1">
        <v>1569</v>
      </c>
      <c r="X562" s="1">
        <f t="shared" si="36"/>
        <v>1569</v>
      </c>
      <c r="Y562" s="1"/>
      <c r="Z562" s="1"/>
      <c r="AA562" s="1"/>
      <c r="AB562" s="11"/>
      <c r="AC562" s="82"/>
      <c r="AD562" s="12" t="s">
        <v>52</v>
      </c>
      <c r="AE562" s="39" t="str">
        <f t="shared" si="37"/>
        <v>4332</v>
      </c>
      <c r="AN562" s="12" t="s">
        <v>2833</v>
      </c>
      <c r="AR562" s="34" t="s">
        <v>94</v>
      </c>
      <c r="AS562" s="34" t="s">
        <v>94</v>
      </c>
      <c r="AU562" s="12" t="s">
        <v>1937</v>
      </c>
      <c r="AV562" s="13" t="s">
        <v>50</v>
      </c>
      <c r="AW562" s="39">
        <v>5</v>
      </c>
      <c r="AX562" s="12">
        <f>VLOOKUP(AW562,색인!$N$14:$O$19,2,FALSE)</f>
        <v>3</v>
      </c>
      <c r="AY562" s="39" t="str">
        <f>"T"&amp;O562&amp;"_"&amp;AX562&amp;"옵션_"&amp;VLOOKUP(E562,색인!$J$25:$K$29,2,FALSE)</f>
        <v>T4_3옵션_장신구</v>
      </c>
      <c r="AZ562" s="39">
        <f>VLOOKUP(G562,색인!$J$32:$K$45,2,FALSE)</f>
        <v>3</v>
      </c>
      <c r="BA562" s="39" t="str">
        <f>_xlfn.IFNA(VLOOKUP(AY562,표1[[검색용]:[OptionGroupIndex'[']22]],EquipItemTable!AZ562,FALSE),"옵션고정안함")</f>
        <v>4332</v>
      </c>
    </row>
    <row r="563" spans="1:53" ht="12" customHeight="1" x14ac:dyDescent="0.2">
      <c r="A563" s="13" t="s">
        <v>648</v>
      </c>
      <c r="B563" s="39">
        <v>50405</v>
      </c>
      <c r="C563" s="42" t="s">
        <v>3424</v>
      </c>
      <c r="D563" s="10" t="s">
        <v>77</v>
      </c>
      <c r="E563" s="10" t="s">
        <v>0</v>
      </c>
      <c r="F563" s="1" t="s">
        <v>436</v>
      </c>
      <c r="G563" s="1" t="s">
        <v>1305</v>
      </c>
      <c r="H563" s="1"/>
      <c r="I563" s="1"/>
      <c r="J563" s="1"/>
      <c r="K563" s="1"/>
      <c r="L563" s="1"/>
      <c r="M563" s="1"/>
      <c r="O563" s="12" t="s">
        <v>430</v>
      </c>
      <c r="P563" s="1">
        <v>51</v>
      </c>
      <c r="Q563" s="1"/>
      <c r="R563" s="1"/>
      <c r="S563" s="1"/>
      <c r="T563" s="1"/>
      <c r="U563" s="1"/>
      <c r="V563" s="1"/>
      <c r="W563" s="1">
        <v>2954</v>
      </c>
      <c r="X563" s="1">
        <f t="shared" si="36"/>
        <v>2954</v>
      </c>
      <c r="Y563" s="1"/>
      <c r="Z563" s="1"/>
      <c r="AA563" s="1"/>
      <c r="AB563" s="11"/>
      <c r="AC563" s="82"/>
      <c r="AD563" s="12" t="s">
        <v>98</v>
      </c>
      <c r="AE563" s="39" t="str">
        <f t="shared" si="37"/>
        <v>5332</v>
      </c>
      <c r="AN563" s="12" t="s">
        <v>2833</v>
      </c>
      <c r="AR563" s="34" t="s">
        <v>94</v>
      </c>
      <c r="AS563" s="34" t="s">
        <v>94</v>
      </c>
      <c r="AU563" s="12" t="s">
        <v>1937</v>
      </c>
      <c r="AV563" s="13"/>
      <c r="AW563" s="39">
        <v>5</v>
      </c>
      <c r="AX563" s="12">
        <f>VLOOKUP(AW563,색인!$N$14:$O$19,2,FALSE)</f>
        <v>3</v>
      </c>
      <c r="AY563" s="39" t="str">
        <f>"T"&amp;O563&amp;"_"&amp;AX563&amp;"옵션_"&amp;VLOOKUP(E563,색인!$J$25:$K$29,2,FALSE)</f>
        <v>T5_3옵션_장신구</v>
      </c>
      <c r="AZ563" s="39">
        <f>VLOOKUP(G563,색인!$J$32:$K$45,2,FALSE)</f>
        <v>3</v>
      </c>
      <c r="BA563" s="39" t="str">
        <f>_xlfn.IFNA(VLOOKUP(AY563,표1[[검색용]:[OptionGroupIndex'[']22]],EquipItemTable!AZ563,FALSE),"옵션고정안함")</f>
        <v>5332</v>
      </c>
    </row>
    <row r="564" spans="1:53" s="1" customFormat="1" ht="12" x14ac:dyDescent="0.2">
      <c r="A564" s="24" t="s">
        <v>753</v>
      </c>
      <c r="B564" s="39">
        <v>50406</v>
      </c>
      <c r="C564" s="42" t="s">
        <v>3424</v>
      </c>
      <c r="D564" s="10" t="s">
        <v>2957</v>
      </c>
      <c r="E564" s="10" t="s">
        <v>863</v>
      </c>
      <c r="F564" s="1" t="s">
        <v>754</v>
      </c>
      <c r="G564" s="1" t="s">
        <v>1305</v>
      </c>
      <c r="N564" s="8"/>
      <c r="O564" s="12" t="s">
        <v>755</v>
      </c>
      <c r="P564" s="1">
        <v>61</v>
      </c>
      <c r="W564" s="1">
        <v>4728</v>
      </c>
      <c r="X564" s="1">
        <f t="shared" si="36"/>
        <v>4728</v>
      </c>
      <c r="AB564" s="11"/>
      <c r="AC564" s="82"/>
      <c r="AD564" s="12" t="s">
        <v>756</v>
      </c>
      <c r="AE564" s="39" t="str">
        <f t="shared" si="37"/>
        <v>6332</v>
      </c>
      <c r="AF564" s="12"/>
      <c r="AG564" s="12"/>
      <c r="AH564" s="12"/>
      <c r="AN564" s="1">
        <v>103</v>
      </c>
      <c r="AQ564" s="85"/>
      <c r="AR564" s="1">
        <v>1</v>
      </c>
      <c r="AS564" s="1">
        <v>1</v>
      </c>
      <c r="AT564" s="85"/>
      <c r="AU564" s="12" t="s">
        <v>1937</v>
      </c>
      <c r="AW564" s="90">
        <v>5</v>
      </c>
      <c r="AX564" s="23">
        <f>VLOOKUP(AW564,색인!$N$14:$O$19,2,FALSE)</f>
        <v>3</v>
      </c>
      <c r="AY564" s="90" t="str">
        <f>"T"&amp;O564&amp;"_"&amp;AX564&amp;"옵션_"&amp;VLOOKUP(E564,색인!$J$25:$K$29,2,FALSE)</f>
        <v>T6_3옵션_장신구</v>
      </c>
      <c r="AZ564" s="90">
        <f>VLOOKUP(G564,색인!$J$32:$K$45,2,FALSE)</f>
        <v>3</v>
      </c>
      <c r="BA564" s="90" t="str">
        <f>_xlfn.IFNA(VLOOKUP(AY564,표1[[검색용]:[OptionGroupIndex'[']22]],EquipItemTable!AZ564,FALSE),"옵션고정안함")</f>
        <v>6332</v>
      </c>
    </row>
    <row r="565" spans="1:53" s="1" customFormat="1" ht="12" x14ac:dyDescent="0.2">
      <c r="A565" s="24" t="s">
        <v>1203</v>
      </c>
      <c r="B565" s="39">
        <v>50407</v>
      </c>
      <c r="C565" s="42" t="s">
        <v>3425</v>
      </c>
      <c r="D565" s="10" t="s">
        <v>2957</v>
      </c>
      <c r="E565" s="10" t="s">
        <v>863</v>
      </c>
      <c r="F565" s="1" t="s">
        <v>88</v>
      </c>
      <c r="G565" s="1" t="s">
        <v>1305</v>
      </c>
      <c r="N565" s="8"/>
      <c r="O565" s="12" t="s">
        <v>747</v>
      </c>
      <c r="P565" s="1">
        <v>61</v>
      </c>
      <c r="W565" s="1">
        <v>4728</v>
      </c>
      <c r="X565" s="1">
        <f t="shared" ref="X565:X567" si="38">W565</f>
        <v>4728</v>
      </c>
      <c r="AB565" s="11"/>
      <c r="AC565" s="82"/>
      <c r="AD565" s="12" t="s">
        <v>336</v>
      </c>
      <c r="AE565" s="39" t="str">
        <f t="shared" si="37"/>
        <v>6332</v>
      </c>
      <c r="AF565" s="12"/>
      <c r="AG565" s="12"/>
      <c r="AH565" s="12"/>
      <c r="AN565" s="1">
        <v>201</v>
      </c>
      <c r="AQ565" s="85"/>
      <c r="AR565" s="1">
        <v>1</v>
      </c>
      <c r="AS565" s="1">
        <v>1</v>
      </c>
      <c r="AT565" s="85"/>
      <c r="AU565" s="12" t="s">
        <v>1937</v>
      </c>
      <c r="AW565" s="90">
        <v>5</v>
      </c>
      <c r="AX565" s="23">
        <f>VLOOKUP(AW565,색인!$N$14:$O$19,2,FALSE)</f>
        <v>3</v>
      </c>
      <c r="AY565" s="90" t="str">
        <f>"T"&amp;O565&amp;"_"&amp;AX565&amp;"옵션_"&amp;VLOOKUP(E565,색인!$J$25:$K$29,2,FALSE)</f>
        <v>T6_3옵션_장신구</v>
      </c>
      <c r="AZ565" s="90">
        <f>VLOOKUP(G565,색인!$J$32:$K$45,2,FALSE)</f>
        <v>3</v>
      </c>
      <c r="BA565" s="90" t="str">
        <f>_xlfn.IFNA(VLOOKUP(AY565,표1[[검색용]:[OptionGroupIndex'[']22]],EquipItemTable!AZ565,FALSE),"옵션고정안함")</f>
        <v>6332</v>
      </c>
    </row>
    <row r="566" spans="1:53" s="1" customFormat="1" ht="12" x14ac:dyDescent="0.2">
      <c r="A566" s="24" t="s">
        <v>1204</v>
      </c>
      <c r="B566" s="39">
        <v>50408</v>
      </c>
      <c r="C566" s="42" t="s">
        <v>3426</v>
      </c>
      <c r="D566" s="10" t="s">
        <v>2957</v>
      </c>
      <c r="E566" s="10" t="s">
        <v>863</v>
      </c>
      <c r="F566" s="1" t="s">
        <v>88</v>
      </c>
      <c r="G566" s="1" t="s">
        <v>1305</v>
      </c>
      <c r="J566" s="27"/>
      <c r="K566" s="27"/>
      <c r="L566" s="27"/>
      <c r="M566" s="27"/>
      <c r="N566" s="8"/>
      <c r="O566" s="12" t="s">
        <v>747</v>
      </c>
      <c r="P566" s="1">
        <v>61</v>
      </c>
      <c r="W566" s="1">
        <v>4728</v>
      </c>
      <c r="X566" s="1">
        <f t="shared" si="38"/>
        <v>4728</v>
      </c>
      <c r="AB566" s="11"/>
      <c r="AC566" s="82"/>
      <c r="AD566" s="12" t="s">
        <v>336</v>
      </c>
      <c r="AE566" s="39" t="str">
        <f t="shared" si="37"/>
        <v>6332</v>
      </c>
      <c r="AF566" s="12"/>
      <c r="AG566" s="29"/>
      <c r="AH566" s="29"/>
      <c r="AN566" s="1">
        <v>202</v>
      </c>
      <c r="AQ566" s="85"/>
      <c r="AR566" s="1">
        <v>1</v>
      </c>
      <c r="AS566" s="1">
        <v>1</v>
      </c>
      <c r="AT566" s="85"/>
      <c r="AU566" s="12" t="s">
        <v>1937</v>
      </c>
      <c r="AW566" s="90">
        <v>5</v>
      </c>
      <c r="AX566" s="23">
        <f>VLOOKUP(AW566,색인!$N$14:$O$19,2,FALSE)</f>
        <v>3</v>
      </c>
      <c r="AY566" s="90" t="str">
        <f>"T"&amp;O566&amp;"_"&amp;AX566&amp;"옵션_"&amp;VLOOKUP(E566,색인!$J$25:$K$29,2,FALSE)</f>
        <v>T6_3옵션_장신구</v>
      </c>
      <c r="AZ566" s="90">
        <f>VLOOKUP(G566,색인!$J$32:$K$45,2,FALSE)</f>
        <v>3</v>
      </c>
      <c r="BA566" s="90" t="str">
        <f>_xlfn.IFNA(VLOOKUP(AY566,표1[[검색용]:[OptionGroupIndex'[']22]],EquipItemTable!AZ566,FALSE),"옵션고정안함")</f>
        <v>6332</v>
      </c>
    </row>
    <row r="567" spans="1:53" s="1" customFormat="1" ht="12" x14ac:dyDescent="0.2">
      <c r="A567" s="24" t="s">
        <v>1205</v>
      </c>
      <c r="B567" s="39">
        <v>50409</v>
      </c>
      <c r="C567" s="42" t="s">
        <v>3427</v>
      </c>
      <c r="D567" s="10" t="s">
        <v>2957</v>
      </c>
      <c r="E567" s="10" t="s">
        <v>863</v>
      </c>
      <c r="F567" s="1" t="s">
        <v>88</v>
      </c>
      <c r="G567" s="1" t="s">
        <v>1305</v>
      </c>
      <c r="J567" s="27"/>
      <c r="K567" s="27"/>
      <c r="L567" s="27"/>
      <c r="M567" s="27"/>
      <c r="N567" s="8"/>
      <c r="O567" s="12" t="s">
        <v>747</v>
      </c>
      <c r="P567" s="1">
        <v>61</v>
      </c>
      <c r="W567" s="1">
        <v>4728</v>
      </c>
      <c r="X567" s="1">
        <f t="shared" si="38"/>
        <v>4728</v>
      </c>
      <c r="AB567" s="11"/>
      <c r="AC567" s="82"/>
      <c r="AD567" s="12" t="s">
        <v>336</v>
      </c>
      <c r="AE567" s="39" t="str">
        <f t="shared" si="37"/>
        <v>6332</v>
      </c>
      <c r="AF567" s="12"/>
      <c r="AG567" s="29"/>
      <c r="AH567" s="29"/>
      <c r="AN567" s="1">
        <v>203</v>
      </c>
      <c r="AQ567" s="85"/>
      <c r="AR567" s="1">
        <v>1</v>
      </c>
      <c r="AS567" s="1">
        <v>1</v>
      </c>
      <c r="AT567" s="85"/>
      <c r="AU567" s="12" t="s">
        <v>1937</v>
      </c>
      <c r="AW567" s="90">
        <v>5</v>
      </c>
      <c r="AX567" s="23">
        <f>VLOOKUP(AW567,색인!$N$14:$O$19,2,FALSE)</f>
        <v>3</v>
      </c>
      <c r="AY567" s="90" t="str">
        <f>"T"&amp;O567&amp;"_"&amp;AX567&amp;"옵션_"&amp;VLOOKUP(E567,색인!$J$25:$K$29,2,FALSE)</f>
        <v>T6_3옵션_장신구</v>
      </c>
      <c r="AZ567" s="90">
        <f>VLOOKUP(G567,색인!$J$32:$K$45,2,FALSE)</f>
        <v>3</v>
      </c>
      <c r="BA567" s="90" t="str">
        <f>_xlfn.IFNA(VLOOKUP(AY567,표1[[검색용]:[OptionGroupIndex'[']22]],EquipItemTable!AZ567,FALSE),"옵션고정안함")</f>
        <v>6332</v>
      </c>
    </row>
    <row r="568" spans="1:53" s="1" customFormat="1" ht="12" x14ac:dyDescent="0.2">
      <c r="A568" s="24" t="s">
        <v>1206</v>
      </c>
      <c r="B568" s="39">
        <v>50410</v>
      </c>
      <c r="C568" s="42" t="s">
        <v>3428</v>
      </c>
      <c r="D568" s="10" t="s">
        <v>2957</v>
      </c>
      <c r="E568" s="10" t="s">
        <v>863</v>
      </c>
      <c r="F568" s="1" t="s">
        <v>88</v>
      </c>
      <c r="G568" s="1" t="s">
        <v>1305</v>
      </c>
      <c r="J568" s="27"/>
      <c r="K568" s="27"/>
      <c r="L568" s="27"/>
      <c r="M568" s="27"/>
      <c r="N568" s="8"/>
      <c r="O568" s="12" t="s">
        <v>747</v>
      </c>
      <c r="P568" s="1">
        <v>61</v>
      </c>
      <c r="W568" s="1">
        <v>4728</v>
      </c>
      <c r="X568" s="1">
        <v>4728</v>
      </c>
      <c r="AB568" s="11"/>
      <c r="AC568" s="82"/>
      <c r="AD568" s="12" t="s">
        <v>336</v>
      </c>
      <c r="AE568" s="39" t="str">
        <f t="shared" si="37"/>
        <v>6332</v>
      </c>
      <c r="AF568" s="12"/>
      <c r="AG568" s="29"/>
      <c r="AH568" s="29"/>
      <c r="AN568" s="1">
        <v>204</v>
      </c>
      <c r="AQ568" s="85"/>
      <c r="AR568" s="1">
        <v>1</v>
      </c>
      <c r="AS568" s="1">
        <v>1</v>
      </c>
      <c r="AT568" s="85"/>
      <c r="AU568" s="12" t="s">
        <v>1937</v>
      </c>
      <c r="AW568" s="90">
        <v>5</v>
      </c>
      <c r="AX568" s="23">
        <f>VLOOKUP(AW568,색인!$N$14:$O$19,2,FALSE)</f>
        <v>3</v>
      </c>
      <c r="AY568" s="90" t="str">
        <f>"T"&amp;O568&amp;"_"&amp;AX568&amp;"옵션_"&amp;VLOOKUP(E568,색인!$J$25:$K$29,2,FALSE)</f>
        <v>T6_3옵션_장신구</v>
      </c>
      <c r="AZ568" s="90">
        <f>VLOOKUP(G568,색인!$J$32:$K$45,2,FALSE)</f>
        <v>3</v>
      </c>
      <c r="BA568" s="90" t="str">
        <f>_xlfn.IFNA(VLOOKUP(AY568,표1[[검색용]:[OptionGroupIndex'[']22]],EquipItemTable!AZ568,FALSE),"옵션고정안함")</f>
        <v>6332</v>
      </c>
    </row>
    <row r="569" spans="1:53" s="1" customFormat="1" ht="12" x14ac:dyDescent="0.2">
      <c r="A569" s="24" t="s">
        <v>1207</v>
      </c>
      <c r="B569" s="39">
        <v>50411</v>
      </c>
      <c r="C569" s="42" t="s">
        <v>3429</v>
      </c>
      <c r="D569" s="10" t="s">
        <v>2957</v>
      </c>
      <c r="E569" s="10" t="s">
        <v>863</v>
      </c>
      <c r="F569" s="1" t="s">
        <v>88</v>
      </c>
      <c r="G569" s="1" t="s">
        <v>1305</v>
      </c>
      <c r="J569" s="27"/>
      <c r="K569" s="27"/>
      <c r="L569" s="27"/>
      <c r="M569" s="27"/>
      <c r="N569" s="8"/>
      <c r="O569" s="12" t="s">
        <v>747</v>
      </c>
      <c r="P569" s="1">
        <v>61</v>
      </c>
      <c r="W569" s="1">
        <v>4728</v>
      </c>
      <c r="X569" s="1">
        <v>4728</v>
      </c>
      <c r="AB569" s="11"/>
      <c r="AC569" s="82"/>
      <c r="AD569" s="12" t="s">
        <v>336</v>
      </c>
      <c r="AE569" s="39" t="str">
        <f t="shared" si="37"/>
        <v>6332</v>
      </c>
      <c r="AF569" s="12"/>
      <c r="AG569" s="29"/>
      <c r="AH569" s="29"/>
      <c r="AN569" s="1">
        <v>205</v>
      </c>
      <c r="AQ569" s="85"/>
      <c r="AR569" s="1">
        <v>1</v>
      </c>
      <c r="AS569" s="1">
        <v>1</v>
      </c>
      <c r="AT569" s="85"/>
      <c r="AU569" s="12" t="s">
        <v>1937</v>
      </c>
      <c r="AW569" s="90">
        <v>5</v>
      </c>
      <c r="AX569" s="23">
        <f>VLOOKUP(AW569,색인!$N$14:$O$19,2,FALSE)</f>
        <v>3</v>
      </c>
      <c r="AY569" s="90" t="str">
        <f>"T"&amp;O569&amp;"_"&amp;AX569&amp;"옵션_"&amp;VLOOKUP(E569,색인!$J$25:$K$29,2,FALSE)</f>
        <v>T6_3옵션_장신구</v>
      </c>
      <c r="AZ569" s="90">
        <f>VLOOKUP(G569,색인!$J$32:$K$45,2,FALSE)</f>
        <v>3</v>
      </c>
      <c r="BA569" s="90" t="str">
        <f>_xlfn.IFNA(VLOOKUP(AY569,표1[[검색용]:[OptionGroupIndex'[']22]],EquipItemTable!AZ569,FALSE),"옵션고정안함")</f>
        <v>6332</v>
      </c>
    </row>
    <row r="570" spans="1:53" s="1" customFormat="1" ht="12" x14ac:dyDescent="0.2">
      <c r="A570" s="24" t="s">
        <v>878</v>
      </c>
      <c r="B570" s="39">
        <v>50601</v>
      </c>
      <c r="C570" s="42" t="e">
        <v>#N/A</v>
      </c>
      <c r="D570" s="10" t="s">
        <v>2957</v>
      </c>
      <c r="E570" s="10" t="s">
        <v>435</v>
      </c>
      <c r="F570" s="1" t="s">
        <v>88</v>
      </c>
      <c r="G570" s="1" t="s">
        <v>1305</v>
      </c>
      <c r="J570" s="27"/>
      <c r="K570" s="27"/>
      <c r="L570" s="27"/>
      <c r="M570" s="27"/>
      <c r="N570" s="8"/>
      <c r="O570" s="12" t="s">
        <v>881</v>
      </c>
      <c r="P570" s="1">
        <v>31</v>
      </c>
      <c r="W570" s="1">
        <v>872</v>
      </c>
      <c r="X570" s="1">
        <f t="shared" ref="X570" si="39">W570</f>
        <v>872</v>
      </c>
      <c r="AB570" s="11"/>
      <c r="AC570" s="82"/>
      <c r="AD570" s="12" t="s">
        <v>99</v>
      </c>
      <c r="AE570" s="12" t="s">
        <v>881</v>
      </c>
      <c r="AF570" s="12"/>
      <c r="AG570" s="29"/>
      <c r="AH570" s="29"/>
      <c r="AQ570" s="85"/>
      <c r="AR570" s="1">
        <v>1</v>
      </c>
      <c r="AS570" s="1">
        <v>1</v>
      </c>
      <c r="AT570" s="85"/>
      <c r="AU570" s="12" t="s">
        <v>1938</v>
      </c>
      <c r="AW570" s="90">
        <v>7</v>
      </c>
      <c r="AX570" s="23"/>
      <c r="AY570" s="23"/>
      <c r="AZ570" s="23"/>
      <c r="BA570" s="23"/>
    </row>
    <row r="571" spans="1:53" s="1" customFormat="1" ht="12" x14ac:dyDescent="0.2">
      <c r="A571" s="24" t="s">
        <v>879</v>
      </c>
      <c r="B571" s="39">
        <v>50602</v>
      </c>
      <c r="C571" s="42" t="e">
        <v>#N/A</v>
      </c>
      <c r="D571" s="10" t="s">
        <v>2957</v>
      </c>
      <c r="E571" s="10" t="s">
        <v>435</v>
      </c>
      <c r="F571" s="1" t="s">
        <v>88</v>
      </c>
      <c r="G571" s="1" t="s">
        <v>1305</v>
      </c>
      <c r="J571" s="27"/>
      <c r="K571" s="27"/>
      <c r="L571" s="27"/>
      <c r="M571" s="27"/>
      <c r="N571" s="8"/>
      <c r="O571" s="12" t="s">
        <v>882</v>
      </c>
      <c r="P571" s="1">
        <v>41</v>
      </c>
      <c r="W571" s="1">
        <v>1678</v>
      </c>
      <c r="X571" s="1">
        <f t="shared" si="36"/>
        <v>1678</v>
      </c>
      <c r="AB571" s="11"/>
      <c r="AC571" s="82"/>
      <c r="AD571" s="12" t="s">
        <v>99</v>
      </c>
      <c r="AE571" s="12" t="s">
        <v>551</v>
      </c>
      <c r="AF571" s="12"/>
      <c r="AG571" s="29"/>
      <c r="AH571" s="29"/>
      <c r="AQ571" s="85"/>
      <c r="AR571" s="1">
        <v>1</v>
      </c>
      <c r="AS571" s="1">
        <v>1</v>
      </c>
      <c r="AT571" s="85"/>
      <c r="AU571" s="12" t="s">
        <v>1938</v>
      </c>
      <c r="AW571" s="90">
        <v>7</v>
      </c>
      <c r="AX571" s="23"/>
      <c r="AY571" s="23"/>
      <c r="AZ571" s="23"/>
      <c r="BA571" s="23"/>
    </row>
    <row r="572" spans="1:53" s="1" customFormat="1" ht="12" x14ac:dyDescent="0.2">
      <c r="A572" s="24" t="s">
        <v>880</v>
      </c>
      <c r="B572" s="39">
        <v>50603</v>
      </c>
      <c r="C572" s="42" t="e">
        <v>#N/A</v>
      </c>
      <c r="D572" s="10" t="s">
        <v>2957</v>
      </c>
      <c r="E572" s="10" t="s">
        <v>435</v>
      </c>
      <c r="F572" s="1" t="s">
        <v>88</v>
      </c>
      <c r="G572" s="1" t="s">
        <v>1305</v>
      </c>
      <c r="J572" s="27"/>
      <c r="K572" s="27"/>
      <c r="L572" s="27"/>
      <c r="M572" s="27"/>
      <c r="N572" s="8"/>
      <c r="O572" s="12" t="s">
        <v>430</v>
      </c>
      <c r="P572" s="1">
        <v>51</v>
      </c>
      <c r="W572" s="1">
        <v>3134</v>
      </c>
      <c r="X572" s="1">
        <f t="shared" ref="X572" si="40">W572</f>
        <v>3134</v>
      </c>
      <c r="AB572" s="11"/>
      <c r="AC572" s="82"/>
      <c r="AD572" s="12" t="s">
        <v>99</v>
      </c>
      <c r="AE572" s="12" t="s">
        <v>430</v>
      </c>
      <c r="AF572" s="12"/>
      <c r="AG572" s="29"/>
      <c r="AH572" s="29"/>
      <c r="AQ572" s="85"/>
      <c r="AR572" s="1">
        <v>1</v>
      </c>
      <c r="AS572" s="1">
        <v>1</v>
      </c>
      <c r="AT572" s="85"/>
      <c r="AU572" s="12" t="s">
        <v>1938</v>
      </c>
      <c r="AW572" s="90">
        <v>7</v>
      </c>
      <c r="AX572" s="23"/>
      <c r="AY572" s="23"/>
      <c r="AZ572" s="23"/>
      <c r="BA572" s="23"/>
    </row>
    <row r="573" spans="1:53" s="1" customFormat="1" ht="12" x14ac:dyDescent="0.2">
      <c r="A573" s="24" t="s">
        <v>877</v>
      </c>
      <c r="B573" s="39">
        <v>50604</v>
      </c>
      <c r="C573" s="42" t="e">
        <v>#N/A</v>
      </c>
      <c r="D573" s="10" t="s">
        <v>2957</v>
      </c>
      <c r="E573" s="10" t="s">
        <v>863</v>
      </c>
      <c r="F573" s="1" t="s">
        <v>397</v>
      </c>
      <c r="G573" s="1" t="s">
        <v>1305</v>
      </c>
      <c r="J573" s="27"/>
      <c r="K573" s="27"/>
      <c r="L573" s="27"/>
      <c r="M573" s="27"/>
      <c r="N573" s="8"/>
      <c r="O573" s="12" t="s">
        <v>747</v>
      </c>
      <c r="P573" s="1">
        <v>61</v>
      </c>
      <c r="W573" s="1">
        <v>4343</v>
      </c>
      <c r="X573" s="1">
        <f t="shared" si="36"/>
        <v>4343</v>
      </c>
      <c r="AB573" s="11"/>
      <c r="AC573" s="82"/>
      <c r="AD573" s="12" t="s">
        <v>336</v>
      </c>
      <c r="AE573" s="12" t="s">
        <v>529</v>
      </c>
      <c r="AF573" s="12"/>
      <c r="AG573" s="29"/>
      <c r="AH573" s="29"/>
      <c r="AQ573" s="85"/>
      <c r="AR573" s="1">
        <v>1</v>
      </c>
      <c r="AS573" s="1">
        <v>1</v>
      </c>
      <c r="AT573" s="85"/>
      <c r="AU573" s="12" t="s">
        <v>1938</v>
      </c>
      <c r="AW573" s="90">
        <v>7</v>
      </c>
      <c r="AX573" s="23"/>
      <c r="AY573" s="23"/>
      <c r="AZ573" s="23"/>
      <c r="BA573" s="23"/>
    </row>
    <row r="574" spans="1:53" s="1" customFormat="1" ht="12" x14ac:dyDescent="0.2">
      <c r="A574" s="24" t="s">
        <v>1197</v>
      </c>
      <c r="B574" s="39">
        <v>350001</v>
      </c>
      <c r="C574" s="42" t="s">
        <v>3430</v>
      </c>
      <c r="D574" s="10" t="s">
        <v>77</v>
      </c>
      <c r="E574" s="10" t="s">
        <v>0</v>
      </c>
      <c r="F574" s="1" t="s">
        <v>436</v>
      </c>
      <c r="G574" s="1" t="s">
        <v>1305</v>
      </c>
      <c r="J574" s="27"/>
      <c r="K574" s="27"/>
      <c r="L574" s="27"/>
      <c r="M574" s="27"/>
      <c r="N574" s="8"/>
      <c r="O574" s="12" t="s">
        <v>1168</v>
      </c>
      <c r="P574" s="1">
        <v>61</v>
      </c>
      <c r="W574" s="1">
        <v>4728</v>
      </c>
      <c r="X574" s="1">
        <f t="shared" si="36"/>
        <v>4728</v>
      </c>
      <c r="AB574" s="11"/>
      <c r="AC574" s="82"/>
      <c r="AD574" s="12" t="s">
        <v>52</v>
      </c>
      <c r="AE574" s="39" t="str">
        <f>BA574</f>
        <v>6332</v>
      </c>
      <c r="AF574" s="12"/>
      <c r="AG574" s="29"/>
      <c r="AH574" s="29"/>
      <c r="AN574" s="1">
        <v>101</v>
      </c>
      <c r="AQ574" s="85"/>
      <c r="AR574" s="1">
        <v>1</v>
      </c>
      <c r="AS574" s="1">
        <v>1</v>
      </c>
      <c r="AT574" s="85"/>
      <c r="AU574" s="12" t="s">
        <v>1937</v>
      </c>
      <c r="AW574" s="90">
        <v>5</v>
      </c>
      <c r="AX574" s="23">
        <f>VLOOKUP(AW574,색인!$N$14:$O$19,2,FALSE)</f>
        <v>3</v>
      </c>
      <c r="AY574" s="90" t="str">
        <f>"T"&amp;O574&amp;"_"&amp;AX574&amp;"옵션_"&amp;VLOOKUP(E574,색인!$J$25:$K$29,2,FALSE)</f>
        <v>T6_3옵션_장신구</v>
      </c>
      <c r="AZ574" s="90">
        <f>VLOOKUP(G574,색인!$J$32:$K$45,2,FALSE)</f>
        <v>3</v>
      </c>
      <c r="BA574" s="90" t="str">
        <f>_xlfn.IFNA(VLOOKUP(AY574,표1[[검색용]:[OptionGroupIndex'[']22]],EquipItemTable!AZ574,FALSE),"옵션고정안함")</f>
        <v>6332</v>
      </c>
    </row>
    <row r="575" spans="1:53" s="1" customFormat="1" ht="12" x14ac:dyDescent="0.2">
      <c r="A575" s="24" t="s">
        <v>1196</v>
      </c>
      <c r="B575" s="39">
        <v>350002</v>
      </c>
      <c r="C575" s="42" t="s">
        <v>3431</v>
      </c>
      <c r="D575" s="10" t="s">
        <v>77</v>
      </c>
      <c r="E575" s="10" t="s">
        <v>0</v>
      </c>
      <c r="F575" s="1" t="s">
        <v>436</v>
      </c>
      <c r="G575" s="1" t="s">
        <v>1305</v>
      </c>
      <c r="J575" s="27"/>
      <c r="K575" s="27"/>
      <c r="L575" s="27"/>
      <c r="M575" s="27"/>
      <c r="N575" s="8"/>
      <c r="O575" s="12" t="s">
        <v>1168</v>
      </c>
      <c r="P575" s="1">
        <v>61</v>
      </c>
      <c r="W575" s="1">
        <v>4299</v>
      </c>
      <c r="X575" s="1">
        <f t="shared" si="36"/>
        <v>4299</v>
      </c>
      <c r="AB575" s="11"/>
      <c r="AC575" s="82"/>
      <c r="AD575" s="12" t="s">
        <v>52</v>
      </c>
      <c r="AE575" s="39" t="s">
        <v>1169</v>
      </c>
      <c r="AF575" s="12"/>
      <c r="AG575" s="29"/>
      <c r="AH575" s="29"/>
      <c r="AN575" s="1">
        <v>102</v>
      </c>
      <c r="AQ575" s="85"/>
      <c r="AR575" s="1">
        <v>1</v>
      </c>
      <c r="AS575" s="1">
        <v>1</v>
      </c>
      <c r="AT575" s="85"/>
      <c r="AU575" s="12" t="s">
        <v>1936</v>
      </c>
      <c r="AW575" s="90">
        <v>6</v>
      </c>
      <c r="AX575" s="23">
        <f>VLOOKUP(AW575,색인!$N$14:$O$19,2,FALSE)</f>
        <v>4</v>
      </c>
      <c r="AY575" s="23" t="str">
        <f>"T"&amp;O575&amp;"_"&amp;AX575&amp;"옵션_"&amp;VLOOKUP(E575,색인!$J$25:$K$29,2,FALSE)</f>
        <v>T6_4옵션_장신구</v>
      </c>
      <c r="AZ575" s="23">
        <f>VLOOKUP(G575,색인!$J$32:$K$45,2,FALSE)</f>
        <v>3</v>
      </c>
      <c r="BA575" s="23" t="str">
        <f>_xlfn.IFNA(VLOOKUP(AY575,표1[[검색용]:[OptionGroupIndex'[']22]],EquipItemTable!AZ575,FALSE),"옵션고정안함")</f>
        <v>6432</v>
      </c>
    </row>
    <row r="576" spans="1:53" s="27" customFormat="1" ht="12" x14ac:dyDescent="0.2">
      <c r="A576" s="25" t="s">
        <v>1319</v>
      </c>
      <c r="B576" s="39">
        <v>50412</v>
      </c>
      <c r="C576" s="42" t="s">
        <v>3432</v>
      </c>
      <c r="D576" s="26" t="s">
        <v>77</v>
      </c>
      <c r="E576" s="26" t="s">
        <v>0</v>
      </c>
      <c r="F576" s="27" t="s">
        <v>436</v>
      </c>
      <c r="G576" s="27" t="s">
        <v>1305</v>
      </c>
      <c r="N576" s="8"/>
      <c r="O576" s="29" t="s">
        <v>1338</v>
      </c>
      <c r="P576" s="27">
        <v>71</v>
      </c>
      <c r="W576" s="27">
        <v>4199</v>
      </c>
      <c r="X576" s="1">
        <f t="shared" si="36"/>
        <v>4199</v>
      </c>
      <c r="AB576" s="28"/>
      <c r="AC576" s="82"/>
      <c r="AD576" s="29" t="s">
        <v>1377</v>
      </c>
      <c r="AE576" s="29" t="s">
        <v>1337</v>
      </c>
      <c r="AF576" s="29"/>
      <c r="AG576" s="29"/>
      <c r="AH576" s="29"/>
      <c r="AQ576" s="85"/>
      <c r="AR576" s="27">
        <v>1</v>
      </c>
      <c r="AS576" s="27">
        <v>1</v>
      </c>
      <c r="AT576" s="85"/>
      <c r="AU576" s="29">
        <v>1001</v>
      </c>
      <c r="AW576" s="91">
        <v>1</v>
      </c>
      <c r="AX576" s="93"/>
      <c r="AY576" s="93"/>
      <c r="AZ576" s="93"/>
      <c r="BA576" s="93"/>
    </row>
    <row r="577" spans="1:53" s="27" customFormat="1" ht="12" x14ac:dyDescent="0.2">
      <c r="A577" s="25" t="s">
        <v>1320</v>
      </c>
      <c r="B577" s="39">
        <v>50413</v>
      </c>
      <c r="C577" s="42" t="s">
        <v>3433</v>
      </c>
      <c r="D577" s="26" t="s">
        <v>77</v>
      </c>
      <c r="E577" s="26" t="s">
        <v>0</v>
      </c>
      <c r="F577" s="27" t="s">
        <v>436</v>
      </c>
      <c r="G577" s="27" t="s">
        <v>1305</v>
      </c>
      <c r="N577" s="8"/>
      <c r="O577" s="29" t="s">
        <v>1338</v>
      </c>
      <c r="P577" s="27">
        <v>71</v>
      </c>
      <c r="W577" s="27">
        <v>4887</v>
      </c>
      <c r="X577" s="1">
        <f t="shared" si="36"/>
        <v>4887</v>
      </c>
      <c r="AB577" s="28"/>
      <c r="AC577" s="82"/>
      <c r="AD577" s="29" t="s">
        <v>1377</v>
      </c>
      <c r="AE577" s="92" t="str">
        <f t="shared" ref="AE577:AE586" si="41">BA577</f>
        <v>7132</v>
      </c>
      <c r="AF577" s="29"/>
      <c r="AG577" s="29"/>
      <c r="AH577" s="29"/>
      <c r="AQ577" s="85"/>
      <c r="AR577" s="27">
        <v>1</v>
      </c>
      <c r="AS577" s="27">
        <v>1</v>
      </c>
      <c r="AT577" s="85"/>
      <c r="AU577" s="29" t="s">
        <v>1939</v>
      </c>
      <c r="AW577" s="91">
        <v>2</v>
      </c>
      <c r="AX577" s="93">
        <f>VLOOKUP(AW577,색인!$N$14:$O$19,2,FALSE)</f>
        <v>1</v>
      </c>
      <c r="AY577" s="91" t="str">
        <f>"T"&amp;O577&amp;"_"&amp;AX577&amp;"옵션_"&amp;VLOOKUP(E577,색인!$J$25:$K$29,2,FALSE)</f>
        <v>T7_1옵션_장신구</v>
      </c>
      <c r="AZ577" s="91">
        <f>VLOOKUP(G577,색인!$J$32:$K$45,2,FALSE)</f>
        <v>3</v>
      </c>
      <c r="BA577" s="91" t="str">
        <f>_xlfn.IFNA(VLOOKUP(AY577,표1[[검색용]:[OptionGroupIndex'[']22]],EquipItemTable!AZ577,FALSE),"옵션고정안함")</f>
        <v>7132</v>
      </c>
    </row>
    <row r="578" spans="1:53" s="27" customFormat="1" ht="12" x14ac:dyDescent="0.2">
      <c r="A578" s="25" t="s">
        <v>1321</v>
      </c>
      <c r="B578" s="39">
        <v>50414</v>
      </c>
      <c r="C578" s="42" t="s">
        <v>3434</v>
      </c>
      <c r="D578" s="26" t="s">
        <v>77</v>
      </c>
      <c r="E578" s="26" t="s">
        <v>0</v>
      </c>
      <c r="F578" s="27" t="s">
        <v>436</v>
      </c>
      <c r="G578" s="27" t="s">
        <v>1305</v>
      </c>
      <c r="N578" s="8"/>
      <c r="O578" s="29" t="s">
        <v>1338</v>
      </c>
      <c r="P578" s="27">
        <v>71</v>
      </c>
      <c r="W578" s="27">
        <v>5164</v>
      </c>
      <c r="X578" s="1">
        <f t="shared" si="36"/>
        <v>5164</v>
      </c>
      <c r="AB578" s="28"/>
      <c r="AC578" s="82"/>
      <c r="AD578" s="29" t="s">
        <v>1377</v>
      </c>
      <c r="AE578" s="92" t="str">
        <f t="shared" si="41"/>
        <v>7232</v>
      </c>
      <c r="AF578" s="29"/>
      <c r="AG578" s="29"/>
      <c r="AH578" s="29"/>
      <c r="AQ578" s="85"/>
      <c r="AR578" s="27">
        <v>1</v>
      </c>
      <c r="AS578" s="27">
        <v>1</v>
      </c>
      <c r="AT578" s="85"/>
      <c r="AU578" s="29" t="s">
        <v>1940</v>
      </c>
      <c r="AW578" s="91">
        <v>3</v>
      </c>
      <c r="AX578" s="93">
        <f>VLOOKUP(AW578,색인!$N$14:$O$19,2,FALSE)</f>
        <v>2</v>
      </c>
      <c r="AY578" s="91" t="str">
        <f>"T"&amp;O578&amp;"_"&amp;AX578&amp;"옵션_"&amp;VLOOKUP(E578,색인!$J$25:$K$29,2,FALSE)</f>
        <v>T7_2옵션_장신구</v>
      </c>
      <c r="AZ578" s="91">
        <f>VLOOKUP(G578,색인!$J$32:$K$45,2,FALSE)</f>
        <v>3</v>
      </c>
      <c r="BA578" s="91" t="str">
        <f>_xlfn.IFNA(VLOOKUP(AY578,표1[[검색용]:[OptionGroupIndex'[']22]],EquipItemTable!AZ578,FALSE),"옵션고정안함")</f>
        <v>7232</v>
      </c>
    </row>
    <row r="579" spans="1:53" s="27" customFormat="1" ht="12" x14ac:dyDescent="0.2">
      <c r="A579" s="25" t="s">
        <v>1322</v>
      </c>
      <c r="B579" s="39">
        <v>50415</v>
      </c>
      <c r="C579" s="42" t="s">
        <v>3435</v>
      </c>
      <c r="D579" s="26" t="s">
        <v>77</v>
      </c>
      <c r="E579" s="26" t="s">
        <v>0</v>
      </c>
      <c r="F579" s="27" t="s">
        <v>436</v>
      </c>
      <c r="G579" s="27" t="s">
        <v>1305</v>
      </c>
      <c r="N579" s="8"/>
      <c r="O579" s="29" t="s">
        <v>1338</v>
      </c>
      <c r="P579" s="27">
        <v>71</v>
      </c>
      <c r="W579" s="27">
        <v>5641</v>
      </c>
      <c r="X579" s="1">
        <f t="shared" si="36"/>
        <v>5641</v>
      </c>
      <c r="AB579" s="28"/>
      <c r="AC579" s="82"/>
      <c r="AD579" s="29" t="s">
        <v>1377</v>
      </c>
      <c r="AE579" s="92" t="str">
        <f t="shared" si="41"/>
        <v>7332</v>
      </c>
      <c r="AF579" s="29"/>
      <c r="AG579" s="29"/>
      <c r="AH579" s="29"/>
      <c r="AQ579" s="85"/>
      <c r="AR579" s="27">
        <v>1</v>
      </c>
      <c r="AS579" s="27">
        <v>1</v>
      </c>
      <c r="AT579" s="85"/>
      <c r="AU579" s="29" t="s">
        <v>1941</v>
      </c>
      <c r="AW579" s="91">
        <v>4</v>
      </c>
      <c r="AX579" s="93">
        <f>VLOOKUP(AW579,색인!$N$14:$O$19,2,FALSE)</f>
        <v>3</v>
      </c>
      <c r="AY579" s="91" t="str">
        <f>"T"&amp;O579&amp;"_"&amp;AX579&amp;"옵션_"&amp;VLOOKUP(E579,색인!$J$25:$K$29,2,FALSE)</f>
        <v>T7_3옵션_장신구</v>
      </c>
      <c r="AZ579" s="91">
        <f>VLOOKUP(G579,색인!$J$32:$K$45,2,FALSE)</f>
        <v>3</v>
      </c>
      <c r="BA579" s="91" t="str">
        <f>_xlfn.IFNA(VLOOKUP(AY579,표1[[검색용]:[OptionGroupIndex'[']22]],EquipItemTable!AZ579,FALSE),"옵션고정안함")</f>
        <v>7332</v>
      </c>
    </row>
    <row r="580" spans="1:53" s="27" customFormat="1" ht="12" x14ac:dyDescent="0.2">
      <c r="A580" s="25" t="s">
        <v>1323</v>
      </c>
      <c r="B580" s="39">
        <v>50416</v>
      </c>
      <c r="C580" s="42" t="s">
        <v>3424</v>
      </c>
      <c r="D580" s="26" t="s">
        <v>77</v>
      </c>
      <c r="E580" s="26" t="s">
        <v>0</v>
      </c>
      <c r="F580" s="27" t="s">
        <v>436</v>
      </c>
      <c r="G580" s="27" t="s">
        <v>1305</v>
      </c>
      <c r="N580" s="8"/>
      <c r="O580" s="29" t="s">
        <v>1338</v>
      </c>
      <c r="P580" s="27">
        <v>71</v>
      </c>
      <c r="W580" s="27">
        <v>6205</v>
      </c>
      <c r="X580" s="1">
        <f t="shared" si="36"/>
        <v>6205</v>
      </c>
      <c r="AB580" s="28"/>
      <c r="AC580" s="82"/>
      <c r="AD580" s="29" t="s">
        <v>1377</v>
      </c>
      <c r="AE580" s="92" t="str">
        <f t="shared" si="41"/>
        <v>7332</v>
      </c>
      <c r="AF580" s="29"/>
      <c r="AG580" s="29"/>
      <c r="AH580" s="29"/>
      <c r="AN580" s="27">
        <v>103</v>
      </c>
      <c r="AQ580" s="85"/>
      <c r="AR580" s="27">
        <v>1</v>
      </c>
      <c r="AS580" s="27">
        <v>1</v>
      </c>
      <c r="AT580" s="85"/>
      <c r="AU580" s="29" t="s">
        <v>1942</v>
      </c>
      <c r="AW580" s="91">
        <v>5</v>
      </c>
      <c r="AX580" s="93">
        <f>VLOOKUP(AW580,색인!$N$14:$O$19,2,FALSE)</f>
        <v>3</v>
      </c>
      <c r="AY580" s="91" t="str">
        <f>"T"&amp;O580&amp;"_"&amp;AX580&amp;"옵션_"&amp;VLOOKUP(E580,색인!$J$25:$K$29,2,FALSE)</f>
        <v>T7_3옵션_장신구</v>
      </c>
      <c r="AZ580" s="91">
        <f>VLOOKUP(G580,색인!$J$32:$K$45,2,FALSE)</f>
        <v>3</v>
      </c>
      <c r="BA580" s="91" t="str">
        <f>_xlfn.IFNA(VLOOKUP(AY580,표1[[검색용]:[OptionGroupIndex'[']22]],EquipItemTable!AZ580,FALSE),"옵션고정안함")</f>
        <v>7332</v>
      </c>
    </row>
    <row r="581" spans="1:53" s="27" customFormat="1" ht="12" x14ac:dyDescent="0.2">
      <c r="A581" s="25" t="s">
        <v>1324</v>
      </c>
      <c r="B581" s="39">
        <v>50417</v>
      </c>
      <c r="C581" s="42" t="s">
        <v>3426</v>
      </c>
      <c r="D581" s="26" t="s">
        <v>77</v>
      </c>
      <c r="E581" s="26" t="s">
        <v>0</v>
      </c>
      <c r="F581" s="27" t="s">
        <v>436</v>
      </c>
      <c r="G581" s="27" t="s">
        <v>1305</v>
      </c>
      <c r="N581" s="8"/>
      <c r="O581" s="29" t="s">
        <v>1338</v>
      </c>
      <c r="P581" s="27">
        <v>71</v>
      </c>
      <c r="W581" s="27">
        <v>6205</v>
      </c>
      <c r="X581" s="1">
        <f t="shared" si="36"/>
        <v>6205</v>
      </c>
      <c r="AB581" s="28"/>
      <c r="AC581" s="82"/>
      <c r="AD581" s="29" t="s">
        <v>1377</v>
      </c>
      <c r="AE581" s="92" t="str">
        <f t="shared" si="41"/>
        <v>7332</v>
      </c>
      <c r="AF581" s="29"/>
      <c r="AG581" s="29"/>
      <c r="AH581" s="29"/>
      <c r="AN581" s="27">
        <v>202</v>
      </c>
      <c r="AQ581" s="85"/>
      <c r="AR581" s="27">
        <v>1</v>
      </c>
      <c r="AS581" s="27">
        <v>1</v>
      </c>
      <c r="AT581" s="85"/>
      <c r="AU581" s="29" t="s">
        <v>1942</v>
      </c>
      <c r="AW581" s="91">
        <v>5</v>
      </c>
      <c r="AX581" s="93">
        <f>VLOOKUP(AW581,색인!$N$14:$O$19,2,FALSE)</f>
        <v>3</v>
      </c>
      <c r="AY581" s="91" t="str">
        <f>"T"&amp;O581&amp;"_"&amp;AX581&amp;"옵션_"&amp;VLOOKUP(E581,색인!$J$25:$K$29,2,FALSE)</f>
        <v>T7_3옵션_장신구</v>
      </c>
      <c r="AZ581" s="91">
        <f>VLOOKUP(G581,색인!$J$32:$K$45,2,FALSE)</f>
        <v>3</v>
      </c>
      <c r="BA581" s="91" t="str">
        <f>_xlfn.IFNA(VLOOKUP(AY581,표1[[검색용]:[OptionGroupIndex'[']22]],EquipItemTable!AZ581,FALSE),"옵션고정안함")</f>
        <v>7332</v>
      </c>
    </row>
    <row r="582" spans="1:53" s="27" customFormat="1" ht="12" x14ac:dyDescent="0.2">
      <c r="A582" s="25" t="s">
        <v>1325</v>
      </c>
      <c r="B582" s="39">
        <v>50418</v>
      </c>
      <c r="C582" s="42" t="s">
        <v>3427</v>
      </c>
      <c r="D582" s="26" t="s">
        <v>77</v>
      </c>
      <c r="E582" s="26" t="s">
        <v>0</v>
      </c>
      <c r="F582" s="27" t="s">
        <v>436</v>
      </c>
      <c r="G582" s="27" t="s">
        <v>1305</v>
      </c>
      <c r="N582" s="8"/>
      <c r="O582" s="29" t="s">
        <v>1338</v>
      </c>
      <c r="P582" s="27">
        <v>71</v>
      </c>
      <c r="W582" s="27">
        <v>6205</v>
      </c>
      <c r="X582" s="1">
        <f t="shared" si="36"/>
        <v>6205</v>
      </c>
      <c r="AB582" s="28"/>
      <c r="AC582" s="82"/>
      <c r="AD582" s="29" t="s">
        <v>1377</v>
      </c>
      <c r="AE582" s="92" t="str">
        <f t="shared" si="41"/>
        <v>7332</v>
      </c>
      <c r="AF582" s="29"/>
      <c r="AG582" s="29"/>
      <c r="AH582" s="29"/>
      <c r="AN582" s="27">
        <v>203</v>
      </c>
      <c r="AQ582" s="85"/>
      <c r="AR582" s="27">
        <v>1</v>
      </c>
      <c r="AS582" s="27">
        <v>1</v>
      </c>
      <c r="AT582" s="85"/>
      <c r="AU582" s="29" t="s">
        <v>1942</v>
      </c>
      <c r="AW582" s="91">
        <v>5</v>
      </c>
      <c r="AX582" s="93">
        <f>VLOOKUP(AW582,색인!$N$14:$O$19,2,FALSE)</f>
        <v>3</v>
      </c>
      <c r="AY582" s="91" t="str">
        <f>"T"&amp;O582&amp;"_"&amp;AX582&amp;"옵션_"&amp;VLOOKUP(E582,색인!$J$25:$K$29,2,FALSE)</f>
        <v>T7_3옵션_장신구</v>
      </c>
      <c r="AZ582" s="91">
        <f>VLOOKUP(G582,색인!$J$32:$K$45,2,FALSE)</f>
        <v>3</v>
      </c>
      <c r="BA582" s="91" t="str">
        <f>_xlfn.IFNA(VLOOKUP(AY582,표1[[검색용]:[OptionGroupIndex'[']22]],EquipItemTable!AZ582,FALSE),"옵션고정안함")</f>
        <v>7332</v>
      </c>
    </row>
    <row r="583" spans="1:53" s="27" customFormat="1" ht="12" x14ac:dyDescent="0.2">
      <c r="A583" s="25" t="s">
        <v>1326</v>
      </c>
      <c r="B583" s="39">
        <v>50419</v>
      </c>
      <c r="C583" s="42" t="s">
        <v>3428</v>
      </c>
      <c r="D583" s="26" t="s">
        <v>77</v>
      </c>
      <c r="E583" s="26" t="s">
        <v>0</v>
      </c>
      <c r="F583" s="27" t="s">
        <v>436</v>
      </c>
      <c r="G583" s="27" t="s">
        <v>1305</v>
      </c>
      <c r="N583" s="8"/>
      <c r="O583" s="29" t="s">
        <v>1338</v>
      </c>
      <c r="P583" s="27">
        <v>71</v>
      </c>
      <c r="W583" s="27">
        <v>6205</v>
      </c>
      <c r="X583" s="1">
        <f t="shared" si="36"/>
        <v>6205</v>
      </c>
      <c r="AB583" s="28"/>
      <c r="AC583" s="82"/>
      <c r="AD583" s="29" t="s">
        <v>1377</v>
      </c>
      <c r="AE583" s="92" t="str">
        <f t="shared" si="41"/>
        <v>7332</v>
      </c>
      <c r="AF583" s="29"/>
      <c r="AG583" s="29"/>
      <c r="AH583" s="29"/>
      <c r="AN583" s="27">
        <v>204</v>
      </c>
      <c r="AQ583" s="85"/>
      <c r="AR583" s="27">
        <v>1</v>
      </c>
      <c r="AS583" s="27">
        <v>1</v>
      </c>
      <c r="AT583" s="85"/>
      <c r="AU583" s="29" t="s">
        <v>1942</v>
      </c>
      <c r="AW583" s="91">
        <v>5</v>
      </c>
      <c r="AX583" s="93">
        <f>VLOOKUP(AW583,색인!$N$14:$O$19,2,FALSE)</f>
        <v>3</v>
      </c>
      <c r="AY583" s="91" t="str">
        <f>"T"&amp;O583&amp;"_"&amp;AX583&amp;"옵션_"&amp;VLOOKUP(E583,색인!$J$25:$K$29,2,FALSE)</f>
        <v>T7_3옵션_장신구</v>
      </c>
      <c r="AZ583" s="91">
        <f>VLOOKUP(G583,색인!$J$32:$K$45,2,FALSE)</f>
        <v>3</v>
      </c>
      <c r="BA583" s="91" t="str">
        <f>_xlfn.IFNA(VLOOKUP(AY583,표1[[검색용]:[OptionGroupIndex'[']22]],EquipItemTable!AZ583,FALSE),"옵션고정안함")</f>
        <v>7332</v>
      </c>
    </row>
    <row r="584" spans="1:53" s="27" customFormat="1" ht="12" x14ac:dyDescent="0.2">
      <c r="A584" s="25" t="s">
        <v>1327</v>
      </c>
      <c r="B584" s="39">
        <v>50420</v>
      </c>
      <c r="C584" s="42" t="s">
        <v>3429</v>
      </c>
      <c r="D584" s="26" t="s">
        <v>77</v>
      </c>
      <c r="E584" s="26" t="s">
        <v>0</v>
      </c>
      <c r="F584" s="27" t="s">
        <v>436</v>
      </c>
      <c r="G584" s="27" t="s">
        <v>1305</v>
      </c>
      <c r="J584" s="1"/>
      <c r="K584" s="1"/>
      <c r="L584" s="1"/>
      <c r="M584" s="1"/>
      <c r="N584" s="8"/>
      <c r="O584" s="29" t="s">
        <v>1338</v>
      </c>
      <c r="P584" s="27">
        <v>71</v>
      </c>
      <c r="W584" s="27">
        <v>6205</v>
      </c>
      <c r="X584" s="1">
        <f t="shared" si="36"/>
        <v>6205</v>
      </c>
      <c r="AB584" s="28"/>
      <c r="AC584" s="82"/>
      <c r="AD584" s="29" t="s">
        <v>1377</v>
      </c>
      <c r="AE584" s="92" t="str">
        <f t="shared" si="41"/>
        <v>7332</v>
      </c>
      <c r="AF584" s="29"/>
      <c r="AG584" s="12"/>
      <c r="AH584" s="12"/>
      <c r="AN584" s="27">
        <v>205</v>
      </c>
      <c r="AQ584" s="85"/>
      <c r="AR584" s="27">
        <v>1</v>
      </c>
      <c r="AS584" s="27">
        <v>1</v>
      </c>
      <c r="AT584" s="85"/>
      <c r="AU584" s="29" t="s">
        <v>1942</v>
      </c>
      <c r="AW584" s="91">
        <v>5</v>
      </c>
      <c r="AX584" s="93">
        <f>VLOOKUP(AW584,색인!$N$14:$O$19,2,FALSE)</f>
        <v>3</v>
      </c>
      <c r="AY584" s="91" t="str">
        <f>"T"&amp;O584&amp;"_"&amp;AX584&amp;"옵션_"&amp;VLOOKUP(E584,색인!$J$25:$K$29,2,FALSE)</f>
        <v>T7_3옵션_장신구</v>
      </c>
      <c r="AZ584" s="91">
        <f>VLOOKUP(G584,색인!$J$32:$K$45,2,FALSE)</f>
        <v>3</v>
      </c>
      <c r="BA584" s="91" t="str">
        <f>_xlfn.IFNA(VLOOKUP(AY584,표1[[검색용]:[OptionGroupIndex'[']22]],EquipItemTable!AZ584,FALSE),"옵션고정안함")</f>
        <v>7332</v>
      </c>
    </row>
    <row r="585" spans="1:53" s="27" customFormat="1" ht="12" x14ac:dyDescent="0.2">
      <c r="A585" s="25" t="s">
        <v>1328</v>
      </c>
      <c r="B585" s="39">
        <v>50421</v>
      </c>
      <c r="C585" s="42" t="s">
        <v>3436</v>
      </c>
      <c r="D585" s="26" t="s">
        <v>77</v>
      </c>
      <c r="E585" s="26" t="s">
        <v>0</v>
      </c>
      <c r="F585" s="27" t="s">
        <v>436</v>
      </c>
      <c r="G585" s="27" t="s">
        <v>1305</v>
      </c>
      <c r="J585" s="1"/>
      <c r="K585" s="1"/>
      <c r="L585" s="1"/>
      <c r="M585" s="1"/>
      <c r="N585" s="8"/>
      <c r="O585" s="29" t="s">
        <v>1338</v>
      </c>
      <c r="P585" s="27">
        <v>71</v>
      </c>
      <c r="W585" s="27">
        <v>6205</v>
      </c>
      <c r="X585" s="1">
        <f t="shared" si="36"/>
        <v>6205</v>
      </c>
      <c r="AB585" s="28"/>
      <c r="AC585" s="82"/>
      <c r="AD585" s="29" t="s">
        <v>1377</v>
      </c>
      <c r="AE585" s="92" t="str">
        <f t="shared" si="41"/>
        <v>7332</v>
      </c>
      <c r="AF585" s="29"/>
      <c r="AG585" s="12"/>
      <c r="AH585" s="12"/>
      <c r="AN585" s="27">
        <v>206</v>
      </c>
      <c r="AQ585" s="85"/>
      <c r="AR585" s="27">
        <v>1</v>
      </c>
      <c r="AS585" s="27">
        <v>1</v>
      </c>
      <c r="AT585" s="85"/>
      <c r="AU585" s="29" t="s">
        <v>1942</v>
      </c>
      <c r="AW585" s="91">
        <v>5</v>
      </c>
      <c r="AX585" s="93">
        <f>VLOOKUP(AW585,색인!$N$14:$O$19,2,FALSE)</f>
        <v>3</v>
      </c>
      <c r="AY585" s="91" t="str">
        <f>"T"&amp;O585&amp;"_"&amp;AX585&amp;"옵션_"&amp;VLOOKUP(E585,색인!$J$25:$K$29,2,FALSE)</f>
        <v>T7_3옵션_장신구</v>
      </c>
      <c r="AZ585" s="91">
        <f>VLOOKUP(G585,색인!$J$32:$K$45,2,FALSE)</f>
        <v>3</v>
      </c>
      <c r="BA585" s="91" t="str">
        <f>_xlfn.IFNA(VLOOKUP(AY585,표1[[검색용]:[OptionGroupIndex'[']22]],EquipItemTable!AZ585,FALSE),"옵션고정안함")</f>
        <v>7332</v>
      </c>
    </row>
    <row r="586" spans="1:53" s="27" customFormat="1" ht="12" x14ac:dyDescent="0.2">
      <c r="A586" s="25" t="s">
        <v>1329</v>
      </c>
      <c r="B586" s="39">
        <v>50422</v>
      </c>
      <c r="C586" s="42" t="s">
        <v>3437</v>
      </c>
      <c r="D586" s="26" t="s">
        <v>77</v>
      </c>
      <c r="E586" s="26" t="s">
        <v>0</v>
      </c>
      <c r="F586" s="27" t="s">
        <v>436</v>
      </c>
      <c r="G586" s="27" t="s">
        <v>1305</v>
      </c>
      <c r="J586" s="1"/>
      <c r="K586" s="1"/>
      <c r="L586" s="1"/>
      <c r="M586" s="1"/>
      <c r="N586" s="8"/>
      <c r="O586" s="29" t="s">
        <v>1338</v>
      </c>
      <c r="P586" s="27">
        <v>71</v>
      </c>
      <c r="W586" s="27">
        <v>6205</v>
      </c>
      <c r="X586" s="1">
        <f t="shared" si="36"/>
        <v>6205</v>
      </c>
      <c r="AB586" s="28"/>
      <c r="AC586" s="82"/>
      <c r="AD586" s="29" t="s">
        <v>1377</v>
      </c>
      <c r="AE586" s="92" t="str">
        <f t="shared" si="41"/>
        <v>7332</v>
      </c>
      <c r="AF586" s="29"/>
      <c r="AG586" s="12"/>
      <c r="AH586" s="12"/>
      <c r="AN586" s="27">
        <v>207</v>
      </c>
      <c r="AQ586" s="85"/>
      <c r="AR586" s="27">
        <v>1</v>
      </c>
      <c r="AS586" s="27">
        <v>1</v>
      </c>
      <c r="AT586" s="85"/>
      <c r="AU586" s="29" t="s">
        <v>1942</v>
      </c>
      <c r="AW586" s="91">
        <v>5</v>
      </c>
      <c r="AX586" s="93">
        <f>VLOOKUP(AW586,색인!$N$14:$O$19,2,FALSE)</f>
        <v>3</v>
      </c>
      <c r="AY586" s="91" t="str">
        <f>"T"&amp;O586&amp;"_"&amp;AX586&amp;"옵션_"&amp;VLOOKUP(E586,색인!$J$25:$K$29,2,FALSE)</f>
        <v>T7_3옵션_장신구</v>
      </c>
      <c r="AZ586" s="91">
        <f>VLOOKUP(G586,색인!$J$32:$K$45,2,FALSE)</f>
        <v>3</v>
      </c>
      <c r="BA586" s="91" t="str">
        <f>_xlfn.IFNA(VLOOKUP(AY586,표1[[검색용]:[OptionGroupIndex'[']22]],EquipItemTable!AZ586,FALSE),"옵션고정안함")</f>
        <v>7332</v>
      </c>
    </row>
    <row r="587" spans="1:53" s="27" customFormat="1" ht="12" x14ac:dyDescent="0.2">
      <c r="A587" s="25" t="s">
        <v>1330</v>
      </c>
      <c r="B587" s="39">
        <v>50423</v>
      </c>
      <c r="C587" s="42" t="s">
        <v>3408</v>
      </c>
      <c r="D587" s="26" t="s">
        <v>77</v>
      </c>
      <c r="E587" s="26" t="s">
        <v>0</v>
      </c>
      <c r="F587" s="27" t="s">
        <v>436</v>
      </c>
      <c r="G587" s="27" t="s">
        <v>1305</v>
      </c>
      <c r="J587" s="1"/>
      <c r="K587" s="1"/>
      <c r="L587" s="1"/>
      <c r="M587" s="1"/>
      <c r="N587" s="8"/>
      <c r="O587" s="29" t="s">
        <v>1338</v>
      </c>
      <c r="P587" s="27">
        <v>71</v>
      </c>
      <c r="W587" s="27">
        <v>6400</v>
      </c>
      <c r="X587" s="1">
        <f t="shared" si="36"/>
        <v>6400</v>
      </c>
      <c r="AB587" s="28"/>
      <c r="AC587" s="82"/>
      <c r="AD587" s="29" t="s">
        <v>1377</v>
      </c>
      <c r="AE587" s="92" t="str">
        <f>BA587</f>
        <v>7432</v>
      </c>
      <c r="AF587" s="29" t="s">
        <v>2234</v>
      </c>
      <c r="AG587" s="12"/>
      <c r="AH587" s="12"/>
      <c r="AN587" s="27">
        <v>1</v>
      </c>
      <c r="AQ587" s="85"/>
      <c r="AR587" s="27">
        <v>1</v>
      </c>
      <c r="AS587" s="27">
        <v>1</v>
      </c>
      <c r="AT587" s="85"/>
      <c r="AU587" s="12" t="s">
        <v>1936</v>
      </c>
      <c r="AW587" s="91">
        <v>6</v>
      </c>
      <c r="AX587" s="93">
        <f>VLOOKUP(AW587,색인!$N$14:$O$19,2,FALSE)</f>
        <v>4</v>
      </c>
      <c r="AY587" s="93" t="str">
        <f>"T"&amp;O587&amp;"_"&amp;AX587&amp;"옵션_"&amp;VLOOKUP(E587,색인!$J$25:$K$29,2,FALSE)</f>
        <v>T7_4옵션_장신구</v>
      </c>
      <c r="AZ587" s="93">
        <f>VLOOKUP(G587,색인!$J$32:$K$45,2,FALSE)</f>
        <v>3</v>
      </c>
      <c r="BA587" s="93" t="str">
        <f>_xlfn.IFNA(VLOOKUP(AY587,표1[[검색용]:[OptionGroupIndex'[']22]],EquipItemTable!AZ587,FALSE),"옵션고정안함")</f>
        <v>7432</v>
      </c>
    </row>
    <row r="588" spans="1:53" s="27" customFormat="1" ht="12" x14ac:dyDescent="0.2">
      <c r="A588" s="25" t="s">
        <v>1331</v>
      </c>
      <c r="B588" s="39">
        <v>50424</v>
      </c>
      <c r="C588" s="42" t="s">
        <v>3409</v>
      </c>
      <c r="D588" s="26" t="s">
        <v>77</v>
      </c>
      <c r="E588" s="26" t="s">
        <v>0</v>
      </c>
      <c r="F588" s="27" t="s">
        <v>436</v>
      </c>
      <c r="G588" s="27" t="s">
        <v>1305</v>
      </c>
      <c r="J588" s="1"/>
      <c r="K588" s="1"/>
      <c r="L588" s="1"/>
      <c r="M588" s="1"/>
      <c r="N588" s="8"/>
      <c r="O588" s="29" t="s">
        <v>1338</v>
      </c>
      <c r="P588" s="27">
        <v>71</v>
      </c>
      <c r="W588" s="27">
        <v>6400</v>
      </c>
      <c r="X588" s="1">
        <f t="shared" si="36"/>
        <v>6400</v>
      </c>
      <c r="AB588" s="28"/>
      <c r="AC588" s="82"/>
      <c r="AD588" s="29" t="s">
        <v>1377</v>
      </c>
      <c r="AE588" s="92" t="str">
        <f>BA588</f>
        <v>7432</v>
      </c>
      <c r="AF588" s="29" t="s">
        <v>2234</v>
      </c>
      <c r="AG588" s="12"/>
      <c r="AH588" s="12"/>
      <c r="AN588" s="27">
        <v>2</v>
      </c>
      <c r="AQ588" s="85"/>
      <c r="AR588" s="27">
        <v>1</v>
      </c>
      <c r="AS588" s="27">
        <v>1</v>
      </c>
      <c r="AT588" s="85"/>
      <c r="AU588" s="12" t="s">
        <v>1936</v>
      </c>
      <c r="AW588" s="91">
        <v>6</v>
      </c>
      <c r="AX588" s="93">
        <f>VLOOKUP(AW588,색인!$N$14:$O$19,2,FALSE)</f>
        <v>4</v>
      </c>
      <c r="AY588" s="93" t="str">
        <f>"T"&amp;O588&amp;"_"&amp;AX588&amp;"옵션_"&amp;VLOOKUP(E588,색인!$J$25:$K$29,2,FALSE)</f>
        <v>T7_4옵션_장신구</v>
      </c>
      <c r="AZ588" s="93">
        <f>VLOOKUP(G588,색인!$J$32:$K$45,2,FALSE)</f>
        <v>3</v>
      </c>
      <c r="BA588" s="93" t="str">
        <f>_xlfn.IFNA(VLOOKUP(AY588,표1[[검색용]:[OptionGroupIndex'[']22]],EquipItemTable!AZ588,FALSE),"옵션고정안함")</f>
        <v>7432</v>
      </c>
    </row>
    <row r="589" spans="1:53" s="27" customFormat="1" ht="12" x14ac:dyDescent="0.2">
      <c r="A589" s="25" t="s">
        <v>1332</v>
      </c>
      <c r="B589" s="39">
        <v>50425</v>
      </c>
      <c r="C589" s="42" t="s">
        <v>3410</v>
      </c>
      <c r="D589" s="26" t="s">
        <v>77</v>
      </c>
      <c r="E589" s="26" t="s">
        <v>0</v>
      </c>
      <c r="F589" s="27" t="s">
        <v>436</v>
      </c>
      <c r="G589" s="27" t="s">
        <v>1305</v>
      </c>
      <c r="J589" s="1"/>
      <c r="K589" s="1"/>
      <c r="L589" s="1"/>
      <c r="M589" s="1"/>
      <c r="N589" s="8"/>
      <c r="O589" s="29" t="s">
        <v>1338</v>
      </c>
      <c r="P589" s="27">
        <v>71</v>
      </c>
      <c r="W589" s="27">
        <v>6400</v>
      </c>
      <c r="X589" s="1">
        <f t="shared" si="36"/>
        <v>6400</v>
      </c>
      <c r="AB589" s="28"/>
      <c r="AC589" s="82"/>
      <c r="AD589" s="29" t="s">
        <v>1377</v>
      </c>
      <c r="AE589" s="92" t="str">
        <f>BA589</f>
        <v>7432</v>
      </c>
      <c r="AF589" s="29" t="s">
        <v>2234</v>
      </c>
      <c r="AG589" s="12"/>
      <c r="AH589" s="12"/>
      <c r="AN589" s="27">
        <v>3</v>
      </c>
      <c r="AQ589" s="85"/>
      <c r="AR589" s="27">
        <v>1</v>
      </c>
      <c r="AS589" s="27">
        <v>1</v>
      </c>
      <c r="AT589" s="85"/>
      <c r="AU589" s="12" t="s">
        <v>1936</v>
      </c>
      <c r="AW589" s="91">
        <v>6</v>
      </c>
      <c r="AX589" s="93">
        <f>VLOOKUP(AW589,색인!$N$14:$O$19,2,FALSE)</f>
        <v>4</v>
      </c>
      <c r="AY589" s="93" t="str">
        <f>"T"&amp;O589&amp;"_"&amp;AX589&amp;"옵션_"&amp;VLOOKUP(E589,색인!$J$25:$K$29,2,FALSE)</f>
        <v>T7_4옵션_장신구</v>
      </c>
      <c r="AZ589" s="93">
        <f>VLOOKUP(G589,색인!$J$32:$K$45,2,FALSE)</f>
        <v>3</v>
      </c>
      <c r="BA589" s="93" t="str">
        <f>_xlfn.IFNA(VLOOKUP(AY589,표1[[검색용]:[OptionGroupIndex'[']22]],EquipItemTable!AZ589,FALSE),"옵션고정안함")</f>
        <v>7432</v>
      </c>
    </row>
    <row r="590" spans="1:53" s="27" customFormat="1" ht="12" x14ac:dyDescent="0.2">
      <c r="A590" s="25" t="s">
        <v>1333</v>
      </c>
      <c r="B590" s="39">
        <v>50426</v>
      </c>
      <c r="C590" s="42" t="s">
        <v>3411</v>
      </c>
      <c r="D590" s="26" t="s">
        <v>77</v>
      </c>
      <c r="E590" s="26" t="s">
        <v>0</v>
      </c>
      <c r="F590" s="27" t="s">
        <v>436</v>
      </c>
      <c r="G590" s="27" t="s">
        <v>1305</v>
      </c>
      <c r="J590" s="1"/>
      <c r="K590" s="1"/>
      <c r="L590" s="1"/>
      <c r="M590" s="1"/>
      <c r="N590" s="8"/>
      <c r="O590" s="29" t="s">
        <v>1338</v>
      </c>
      <c r="P590" s="27">
        <v>71</v>
      </c>
      <c r="W590" s="27">
        <v>6400</v>
      </c>
      <c r="X590" s="1">
        <f t="shared" si="36"/>
        <v>6400</v>
      </c>
      <c r="AB590" s="28"/>
      <c r="AC590" s="82"/>
      <c r="AD590" s="29" t="s">
        <v>1377</v>
      </c>
      <c r="AE590" s="92" t="str">
        <f>BA590</f>
        <v>7432</v>
      </c>
      <c r="AF590" s="29" t="s">
        <v>2234</v>
      </c>
      <c r="AG590" s="12"/>
      <c r="AH590" s="12"/>
      <c r="AN590" s="27">
        <v>4</v>
      </c>
      <c r="AQ590" s="85"/>
      <c r="AR590" s="27">
        <v>1</v>
      </c>
      <c r="AS590" s="27">
        <v>1</v>
      </c>
      <c r="AT590" s="85"/>
      <c r="AU590" s="12" t="s">
        <v>1936</v>
      </c>
      <c r="AW590" s="91">
        <v>6</v>
      </c>
      <c r="AX590" s="93">
        <f>VLOOKUP(AW590,색인!$N$14:$O$19,2,FALSE)</f>
        <v>4</v>
      </c>
      <c r="AY590" s="93" t="str">
        <f>"T"&amp;O590&amp;"_"&amp;AX590&amp;"옵션_"&amp;VLOOKUP(E590,색인!$J$25:$K$29,2,FALSE)</f>
        <v>T7_4옵션_장신구</v>
      </c>
      <c r="AZ590" s="93">
        <f>VLOOKUP(G590,색인!$J$32:$K$45,2,FALSE)</f>
        <v>3</v>
      </c>
      <c r="BA590" s="93" t="str">
        <f>_xlfn.IFNA(VLOOKUP(AY590,표1[[검색용]:[OptionGroupIndex'[']22]],EquipItemTable!AZ590,FALSE),"옵션고정안함")</f>
        <v>7432</v>
      </c>
    </row>
    <row r="591" spans="1:53" s="27" customFormat="1" ht="12" x14ac:dyDescent="0.2">
      <c r="A591" s="30" t="s">
        <v>1334</v>
      </c>
      <c r="B591" s="39">
        <v>50605</v>
      </c>
      <c r="C591" s="42" t="e">
        <v>#N/A</v>
      </c>
      <c r="D591" s="26" t="s">
        <v>77</v>
      </c>
      <c r="E591" s="26" t="s">
        <v>0</v>
      </c>
      <c r="F591" s="27" t="s">
        <v>436</v>
      </c>
      <c r="G591" s="27" t="s">
        <v>1305</v>
      </c>
      <c r="J591" s="1"/>
      <c r="K591" s="1"/>
      <c r="L591" s="1"/>
      <c r="M591" s="1"/>
      <c r="N591" s="8"/>
      <c r="O591" s="29" t="s">
        <v>1338</v>
      </c>
      <c r="P591" s="27">
        <v>71</v>
      </c>
      <c r="W591" s="27">
        <v>6400</v>
      </c>
      <c r="X591" s="1">
        <f t="shared" si="36"/>
        <v>6400</v>
      </c>
      <c r="AB591" s="28"/>
      <c r="AC591" s="82"/>
      <c r="AD591" s="29" t="s">
        <v>1377</v>
      </c>
      <c r="AE591" s="29" t="s">
        <v>1337</v>
      </c>
      <c r="AF591" s="29"/>
      <c r="AG591" s="12"/>
      <c r="AH591" s="12"/>
      <c r="AQ591" s="85"/>
      <c r="AR591" s="27">
        <v>1</v>
      </c>
      <c r="AS591" s="27">
        <v>1</v>
      </c>
      <c r="AT591" s="85"/>
      <c r="AU591" s="29" t="s">
        <v>1944</v>
      </c>
      <c r="AW591" s="91">
        <v>7</v>
      </c>
      <c r="AX591" s="93"/>
      <c r="AY591" s="93"/>
      <c r="AZ591" s="93"/>
      <c r="BA591" s="93"/>
    </row>
    <row r="592" spans="1:53" s="27" customFormat="1" ht="12" x14ac:dyDescent="0.2">
      <c r="A592" s="25" t="s">
        <v>1335</v>
      </c>
      <c r="B592" s="39">
        <v>350003</v>
      </c>
      <c r="C592" s="42" t="s">
        <v>3430</v>
      </c>
      <c r="D592" s="26" t="s">
        <v>77</v>
      </c>
      <c r="E592" s="26" t="s">
        <v>0</v>
      </c>
      <c r="F592" s="27" t="s">
        <v>436</v>
      </c>
      <c r="G592" s="27" t="s">
        <v>1305</v>
      </c>
      <c r="J592" s="1"/>
      <c r="K592" s="1"/>
      <c r="L592" s="1"/>
      <c r="M592" s="1"/>
      <c r="N592" s="8"/>
      <c r="O592" s="29" t="s">
        <v>1338</v>
      </c>
      <c r="P592" s="27">
        <v>71</v>
      </c>
      <c r="W592" s="27">
        <v>6205</v>
      </c>
      <c r="X592" s="1">
        <f t="shared" si="36"/>
        <v>6205</v>
      </c>
      <c r="AB592" s="28"/>
      <c r="AC592" s="82"/>
      <c r="AD592" s="29" t="s">
        <v>1377</v>
      </c>
      <c r="AE592" s="92" t="str">
        <f>BA592</f>
        <v>7332</v>
      </c>
      <c r="AF592" s="29"/>
      <c r="AG592" s="23"/>
      <c r="AH592" s="23"/>
      <c r="AN592" s="27">
        <v>101</v>
      </c>
      <c r="AQ592" s="85"/>
      <c r="AR592" s="27">
        <v>1</v>
      </c>
      <c r="AS592" s="27">
        <v>1</v>
      </c>
      <c r="AT592" s="85"/>
      <c r="AU592" s="29" t="s">
        <v>1942</v>
      </c>
      <c r="AW592" s="91">
        <v>5</v>
      </c>
      <c r="AX592" s="93">
        <f>VLOOKUP(AW592,색인!$N$14:$O$19,2,FALSE)</f>
        <v>3</v>
      </c>
      <c r="AY592" s="91" t="str">
        <f>"T"&amp;O592&amp;"_"&amp;AX592&amp;"옵션_"&amp;VLOOKUP(E592,색인!$J$25:$K$29,2,FALSE)</f>
        <v>T7_3옵션_장신구</v>
      </c>
      <c r="AZ592" s="91">
        <f>VLOOKUP(G592,색인!$J$32:$K$45,2,FALSE)</f>
        <v>3</v>
      </c>
      <c r="BA592" s="91" t="str">
        <f>_xlfn.IFNA(VLOOKUP(AY592,표1[[검색용]:[OptionGroupIndex'[']22]],EquipItemTable!AZ592,FALSE),"옵션고정안함")</f>
        <v>7332</v>
      </c>
    </row>
    <row r="593" spans="1:53" s="27" customFormat="1" ht="12" x14ac:dyDescent="0.2">
      <c r="A593" s="25" t="s">
        <v>1336</v>
      </c>
      <c r="B593" s="39">
        <v>350004</v>
      </c>
      <c r="C593" s="42" t="s">
        <v>3431</v>
      </c>
      <c r="D593" s="26" t="s">
        <v>77</v>
      </c>
      <c r="E593" s="26" t="s">
        <v>0</v>
      </c>
      <c r="F593" s="27" t="s">
        <v>436</v>
      </c>
      <c r="G593" s="27" t="s">
        <v>1305</v>
      </c>
      <c r="J593" s="1"/>
      <c r="K593" s="1"/>
      <c r="L593" s="1"/>
      <c r="M593" s="1"/>
      <c r="N593" s="8"/>
      <c r="O593" s="29" t="s">
        <v>1338</v>
      </c>
      <c r="P593" s="27">
        <v>71</v>
      </c>
      <c r="W593" s="27">
        <v>6400</v>
      </c>
      <c r="X593" s="1">
        <f t="shared" si="36"/>
        <v>6400</v>
      </c>
      <c r="AB593" s="28"/>
      <c r="AC593" s="82"/>
      <c r="AD593" s="29" t="s">
        <v>1377</v>
      </c>
      <c r="AE593" s="92" t="s">
        <v>2190</v>
      </c>
      <c r="AF593" s="29" t="s">
        <v>2185</v>
      </c>
      <c r="AG593" s="23"/>
      <c r="AH593" s="23"/>
      <c r="AN593" s="27">
        <v>102</v>
      </c>
      <c r="AQ593" s="85"/>
      <c r="AR593" s="27">
        <v>1</v>
      </c>
      <c r="AS593" s="27">
        <v>1</v>
      </c>
      <c r="AT593" s="85"/>
      <c r="AU593" s="29" t="s">
        <v>1943</v>
      </c>
      <c r="AW593" s="91">
        <v>6</v>
      </c>
      <c r="AX593" s="93">
        <f>VLOOKUP(AW593,색인!$N$14:$O$19,2,FALSE)</f>
        <v>4</v>
      </c>
      <c r="AY593" s="93" t="str">
        <f>"T"&amp;O593&amp;"_"&amp;AX593&amp;"옵션_"&amp;VLOOKUP(E593,색인!$J$25:$K$29,2,FALSE)</f>
        <v>T7_4옵션_장신구</v>
      </c>
      <c r="AZ593" s="93">
        <f>VLOOKUP(G593,색인!$J$32:$K$45,2,FALSE)</f>
        <v>3</v>
      </c>
      <c r="BA593" s="93" t="str">
        <f>_xlfn.IFNA(VLOOKUP(AY593,표1[[검색용]:[OptionGroupIndex'[']22]],EquipItemTable!AZ593,FALSE),"옵션고정안함")</f>
        <v>7432</v>
      </c>
    </row>
    <row r="594" spans="1:53" ht="12" customHeight="1" x14ac:dyDescent="0.2">
      <c r="A594" s="13" t="s">
        <v>116</v>
      </c>
      <c r="B594" s="39">
        <v>51001</v>
      </c>
      <c r="C594" s="42" t="s">
        <v>3438</v>
      </c>
      <c r="D594" s="10" t="s">
        <v>2958</v>
      </c>
      <c r="E594" s="10" t="s">
        <v>435</v>
      </c>
      <c r="F594" s="1" t="s">
        <v>89</v>
      </c>
      <c r="G594" s="1" t="s">
        <v>1306</v>
      </c>
      <c r="H594" s="1"/>
      <c r="I594" s="1"/>
      <c r="J594" s="1"/>
      <c r="K594" s="1"/>
      <c r="L594" s="1"/>
      <c r="M594" s="1"/>
      <c r="O594" s="12" t="s">
        <v>94</v>
      </c>
      <c r="P594" s="1">
        <v>1</v>
      </c>
      <c r="Q594" s="1"/>
      <c r="R594" s="1"/>
      <c r="S594" s="1"/>
      <c r="T594" s="1"/>
      <c r="U594" s="1"/>
      <c r="V594" s="1"/>
      <c r="W594" s="1">
        <v>74</v>
      </c>
      <c r="X594" s="1">
        <f t="shared" si="0"/>
        <v>74</v>
      </c>
      <c r="Y594" s="1"/>
      <c r="Z594" s="1"/>
      <c r="AA594" s="1"/>
      <c r="AB594" s="11"/>
      <c r="AC594" s="82"/>
      <c r="AD594" s="12" t="s">
        <v>52</v>
      </c>
      <c r="AE594" s="12" t="s">
        <v>94</v>
      </c>
      <c r="AG594" s="23"/>
      <c r="AH594" s="23"/>
      <c r="AN594" s="12"/>
      <c r="AU594" s="12" t="s">
        <v>1932</v>
      </c>
      <c r="AV594" s="13" t="s">
        <v>46</v>
      </c>
      <c r="AW594" s="39">
        <v>1</v>
      </c>
      <c r="AY594" s="32"/>
      <c r="AZ594" s="32"/>
      <c r="BA594" s="32"/>
    </row>
    <row r="595" spans="1:53" ht="12" customHeight="1" x14ac:dyDescent="0.2">
      <c r="A595" s="13" t="s">
        <v>117</v>
      </c>
      <c r="B595" s="39">
        <v>51002</v>
      </c>
      <c r="C595" s="42" t="s">
        <v>44</v>
      </c>
      <c r="D595" s="10" t="s">
        <v>78</v>
      </c>
      <c r="E595" s="10" t="s">
        <v>0</v>
      </c>
      <c r="F595" s="1" t="s">
        <v>89</v>
      </c>
      <c r="G595" s="1" t="s">
        <v>1306</v>
      </c>
      <c r="H595" s="1"/>
      <c r="I595" s="1"/>
      <c r="J595" s="1"/>
      <c r="K595" s="1"/>
      <c r="L595" s="1"/>
      <c r="M595" s="1"/>
      <c r="O595" s="12" t="s">
        <v>94</v>
      </c>
      <c r="P595" s="1">
        <v>1</v>
      </c>
      <c r="Q595" s="1"/>
      <c r="R595" s="1"/>
      <c r="S595" s="1"/>
      <c r="T595" s="1"/>
      <c r="U595" s="1"/>
      <c r="V595" s="1"/>
      <c r="W595" s="1">
        <v>106</v>
      </c>
      <c r="X595" s="1">
        <f t="shared" si="0"/>
        <v>106</v>
      </c>
      <c r="Y595" s="1"/>
      <c r="Z595" s="1"/>
      <c r="AA595" s="1"/>
      <c r="AB595" s="11"/>
      <c r="AC595" s="82"/>
      <c r="AD595" s="12" t="s">
        <v>52</v>
      </c>
      <c r="AE595" s="39" t="str">
        <f t="shared" ref="AE595:AE597" si="42">BA595</f>
        <v>1131</v>
      </c>
      <c r="AG595" s="23"/>
      <c r="AH595" s="23"/>
      <c r="AN595" s="12"/>
      <c r="AU595" s="12" t="s">
        <v>1933</v>
      </c>
      <c r="AV595" s="13"/>
      <c r="AW595" s="39">
        <v>2</v>
      </c>
      <c r="AX595" s="12">
        <f>VLOOKUP(AW595,색인!$N$14:$O$19,2,FALSE)</f>
        <v>1</v>
      </c>
      <c r="AY595" s="39" t="str">
        <f>"T"&amp;O595&amp;"_"&amp;AX595&amp;"옵션_"&amp;VLOOKUP(E595,색인!$J$25:$K$29,2,FALSE)</f>
        <v>T1_1옵션_장신구</v>
      </c>
      <c r="AZ595" s="39">
        <f>VLOOKUP(G595,색인!$J$32:$K$45,2,FALSE)</f>
        <v>2</v>
      </c>
      <c r="BA595" s="39" t="str">
        <f>_xlfn.IFNA(VLOOKUP(AY595,표1[[검색용]:[OptionGroupIndex'[']22]],EquipItemTable!AZ595,FALSE),"옵션고정안함")</f>
        <v>1131</v>
      </c>
    </row>
    <row r="596" spans="1:53" ht="12" customHeight="1" x14ac:dyDescent="0.2">
      <c r="A596" s="13" t="s">
        <v>544</v>
      </c>
      <c r="B596" s="39">
        <v>51003</v>
      </c>
      <c r="C596" s="42" t="s">
        <v>45</v>
      </c>
      <c r="D596" s="10" t="s">
        <v>78</v>
      </c>
      <c r="E596" s="10" t="s">
        <v>0</v>
      </c>
      <c r="F596" s="1" t="s">
        <v>89</v>
      </c>
      <c r="G596" s="1" t="s">
        <v>1306</v>
      </c>
      <c r="H596" s="1"/>
      <c r="I596" s="1"/>
      <c r="J596" s="1"/>
      <c r="K596" s="1"/>
      <c r="L596" s="1"/>
      <c r="M596" s="1"/>
      <c r="O596" s="12" t="s">
        <v>94</v>
      </c>
      <c r="P596" s="1">
        <v>1</v>
      </c>
      <c r="Q596" s="1"/>
      <c r="R596" s="1"/>
      <c r="S596" s="1"/>
      <c r="T596" s="1"/>
      <c r="U596" s="1"/>
      <c r="V596" s="1"/>
      <c r="W596" s="1">
        <v>138</v>
      </c>
      <c r="X596" s="1">
        <f t="shared" si="0"/>
        <v>138</v>
      </c>
      <c r="Y596" s="1"/>
      <c r="Z596" s="1"/>
      <c r="AA596" s="1"/>
      <c r="AB596" s="11"/>
      <c r="AC596" s="82"/>
      <c r="AD596" s="12" t="s">
        <v>52</v>
      </c>
      <c r="AE596" s="39" t="str">
        <f t="shared" si="42"/>
        <v>1231</v>
      </c>
      <c r="AG596" s="23"/>
      <c r="AH596" s="23"/>
      <c r="AN596" s="12"/>
      <c r="AR596" s="34" t="s">
        <v>94</v>
      </c>
      <c r="AS596" s="34" t="s">
        <v>94</v>
      </c>
      <c r="AU596" s="12" t="s">
        <v>1934</v>
      </c>
      <c r="AV596" s="13"/>
      <c r="AW596" s="39">
        <v>3</v>
      </c>
      <c r="AX596" s="12">
        <f>VLOOKUP(AW596,색인!$N$14:$O$19,2,FALSE)</f>
        <v>2</v>
      </c>
      <c r="AY596" s="39" t="str">
        <f>"T"&amp;O596&amp;"_"&amp;AX596&amp;"옵션_"&amp;VLOOKUP(E596,색인!$J$25:$K$29,2,FALSE)</f>
        <v>T1_2옵션_장신구</v>
      </c>
      <c r="AZ596" s="39">
        <f>VLOOKUP(G596,색인!$J$32:$K$45,2,FALSE)</f>
        <v>2</v>
      </c>
      <c r="BA596" s="39" t="str">
        <f>_xlfn.IFNA(VLOOKUP(AY596,표1[[검색용]:[OptionGroupIndex'[']22]],EquipItemTable!AZ596,FALSE),"옵션고정안함")</f>
        <v>1231</v>
      </c>
    </row>
    <row r="597" spans="1:53" ht="12" customHeight="1" x14ac:dyDescent="0.2">
      <c r="A597" s="13" t="s">
        <v>438</v>
      </c>
      <c r="B597" s="39">
        <v>51004</v>
      </c>
      <c r="C597" s="42" t="s">
        <v>3439</v>
      </c>
      <c r="D597" s="10" t="s">
        <v>78</v>
      </c>
      <c r="E597" s="10" t="s">
        <v>0</v>
      </c>
      <c r="F597" s="1" t="s">
        <v>89</v>
      </c>
      <c r="G597" s="1" t="s">
        <v>1306</v>
      </c>
      <c r="H597" s="1"/>
      <c r="I597" s="1"/>
      <c r="J597" s="1"/>
      <c r="K597" s="1"/>
      <c r="L597" s="1"/>
      <c r="M597" s="1"/>
      <c r="O597" s="12" t="s">
        <v>428</v>
      </c>
      <c r="P597" s="1">
        <v>1</v>
      </c>
      <c r="Q597" s="1"/>
      <c r="R597" s="1"/>
      <c r="S597" s="1"/>
      <c r="T597" s="1"/>
      <c r="U597" s="1"/>
      <c r="V597" s="1"/>
      <c r="W597" s="1">
        <v>177</v>
      </c>
      <c r="X597" s="1">
        <f t="shared" si="0"/>
        <v>177</v>
      </c>
      <c r="Y597" s="1"/>
      <c r="Z597" s="1"/>
      <c r="AA597" s="1"/>
      <c r="AB597" s="11"/>
      <c r="AC597" s="82"/>
      <c r="AD597" s="12" t="s">
        <v>1632</v>
      </c>
      <c r="AE597" s="39" t="str">
        <f t="shared" si="42"/>
        <v>1331</v>
      </c>
      <c r="AG597" s="23"/>
      <c r="AH597" s="23"/>
      <c r="AN597" s="12"/>
      <c r="AR597" s="34" t="s">
        <v>543</v>
      </c>
      <c r="AS597" s="34" t="s">
        <v>543</v>
      </c>
      <c r="AU597" s="12" t="s">
        <v>1935</v>
      </c>
      <c r="AV597" s="13"/>
      <c r="AW597" s="39">
        <v>4</v>
      </c>
      <c r="AX597" s="12">
        <f>VLOOKUP(AW597,색인!$N$14:$O$19,2,FALSE)</f>
        <v>3</v>
      </c>
      <c r="AY597" s="39" t="str">
        <f>"T"&amp;O597&amp;"_"&amp;AX597&amp;"옵션_"&amp;VLOOKUP(E597,색인!$J$25:$K$29,2,FALSE)</f>
        <v>T1_3옵션_장신구</v>
      </c>
      <c r="AZ597" s="39">
        <f>VLOOKUP(G597,색인!$J$32:$K$45,2,FALSE)</f>
        <v>2</v>
      </c>
      <c r="BA597" s="39" t="str">
        <f>_xlfn.IFNA(VLOOKUP(AY597,표1[[검색용]:[OptionGroupIndex'[']22]],EquipItemTable!AZ597,FALSE),"옵션고정안함")</f>
        <v>1331</v>
      </c>
    </row>
    <row r="598" spans="1:53" ht="12" customHeight="1" x14ac:dyDescent="0.2">
      <c r="A598" s="13" t="s">
        <v>118</v>
      </c>
      <c r="B598" s="39">
        <v>51005</v>
      </c>
      <c r="C598" s="42" t="s">
        <v>46</v>
      </c>
      <c r="D598" s="10" t="s">
        <v>78</v>
      </c>
      <c r="E598" s="10" t="s">
        <v>0</v>
      </c>
      <c r="F598" s="1" t="s">
        <v>89</v>
      </c>
      <c r="G598" s="1" t="s">
        <v>1306</v>
      </c>
      <c r="H598" s="1"/>
      <c r="I598" s="1"/>
      <c r="J598" s="1"/>
      <c r="K598" s="1"/>
      <c r="L598" s="1"/>
      <c r="M598" s="1"/>
      <c r="O598" s="12" t="s">
        <v>95</v>
      </c>
      <c r="P598" s="1">
        <v>21</v>
      </c>
      <c r="Q598" s="1"/>
      <c r="R598" s="1"/>
      <c r="S598" s="1"/>
      <c r="T598" s="1"/>
      <c r="U598" s="1"/>
      <c r="V598" s="1"/>
      <c r="W598" s="1">
        <v>204</v>
      </c>
      <c r="X598" s="1">
        <f t="shared" si="0"/>
        <v>204</v>
      </c>
      <c r="Y598" s="1"/>
      <c r="Z598" s="1"/>
      <c r="AA598" s="1"/>
      <c r="AB598" s="11"/>
      <c r="AC598" s="82"/>
      <c r="AD598" s="12" t="s">
        <v>52</v>
      </c>
      <c r="AE598" s="12" t="s">
        <v>550</v>
      </c>
      <c r="AG598" s="23"/>
      <c r="AH598" s="23"/>
      <c r="AN598" s="12"/>
      <c r="AU598" s="12" t="s">
        <v>1932</v>
      </c>
      <c r="AV598" s="13"/>
      <c r="AW598" s="39">
        <v>1</v>
      </c>
      <c r="AY598" s="32"/>
      <c r="AZ598" s="32"/>
      <c r="BA598" s="32"/>
    </row>
    <row r="599" spans="1:53" ht="12" customHeight="1" x14ac:dyDescent="0.2">
      <c r="A599" s="13" t="s">
        <v>119</v>
      </c>
      <c r="B599" s="39">
        <v>51006</v>
      </c>
      <c r="C599" s="42" t="s">
        <v>3440</v>
      </c>
      <c r="D599" s="10" t="s">
        <v>78</v>
      </c>
      <c r="E599" s="10" t="s">
        <v>0</v>
      </c>
      <c r="F599" s="1" t="s">
        <v>89</v>
      </c>
      <c r="G599" s="1" t="s">
        <v>1306</v>
      </c>
      <c r="H599" s="1"/>
      <c r="I599" s="1"/>
      <c r="J599" s="1"/>
      <c r="K599" s="1"/>
      <c r="L599" s="1"/>
      <c r="M599" s="1"/>
      <c r="O599" s="12" t="s">
        <v>95</v>
      </c>
      <c r="P599" s="1">
        <v>21</v>
      </c>
      <c r="Q599" s="1"/>
      <c r="R599" s="1"/>
      <c r="S599" s="1"/>
      <c r="T599" s="1"/>
      <c r="U599" s="1"/>
      <c r="V599" s="1"/>
      <c r="W599" s="1">
        <v>267</v>
      </c>
      <c r="X599" s="1">
        <f t="shared" si="0"/>
        <v>267</v>
      </c>
      <c r="Y599" s="1"/>
      <c r="Z599" s="1"/>
      <c r="AA599" s="1"/>
      <c r="AB599" s="11"/>
      <c r="AC599" s="82"/>
      <c r="AD599" s="12" t="s">
        <v>52</v>
      </c>
      <c r="AE599" s="39" t="str">
        <f t="shared" ref="AE599:AE601" si="43">BA599</f>
        <v>2131</v>
      </c>
      <c r="AG599" s="23"/>
      <c r="AH599" s="23"/>
      <c r="AN599" s="12"/>
      <c r="AU599" s="12" t="s">
        <v>1933</v>
      </c>
      <c r="AV599" s="13"/>
      <c r="AW599" s="39">
        <v>2</v>
      </c>
      <c r="AX599" s="12">
        <f>VLOOKUP(AW599,색인!$N$14:$O$19,2,FALSE)</f>
        <v>1</v>
      </c>
      <c r="AY599" s="39" t="str">
        <f>"T"&amp;O599&amp;"_"&amp;AX599&amp;"옵션_"&amp;VLOOKUP(E599,색인!$J$25:$K$29,2,FALSE)</f>
        <v>T2_1옵션_장신구</v>
      </c>
      <c r="AZ599" s="39">
        <f>VLOOKUP(G599,색인!$J$32:$K$45,2,FALSE)</f>
        <v>2</v>
      </c>
      <c r="BA599" s="39" t="str">
        <f>_xlfn.IFNA(VLOOKUP(AY599,표1[[검색용]:[OptionGroupIndex'[']22]],EquipItemTable!AZ599,FALSE),"옵션고정안함")</f>
        <v>2131</v>
      </c>
    </row>
    <row r="600" spans="1:53" ht="12" customHeight="1" x14ac:dyDescent="0.2">
      <c r="A600" s="13" t="s">
        <v>120</v>
      </c>
      <c r="B600" s="39">
        <v>51007</v>
      </c>
      <c r="C600" s="42" t="s">
        <v>3441</v>
      </c>
      <c r="D600" s="10" t="s">
        <v>78</v>
      </c>
      <c r="E600" s="10" t="s">
        <v>0</v>
      </c>
      <c r="F600" s="1" t="s">
        <v>89</v>
      </c>
      <c r="G600" s="1" t="s">
        <v>1306</v>
      </c>
      <c r="H600" s="1"/>
      <c r="I600" s="1"/>
      <c r="J600" s="1"/>
      <c r="K600" s="1"/>
      <c r="L600" s="1"/>
      <c r="M600" s="1"/>
      <c r="O600" s="12" t="s">
        <v>95</v>
      </c>
      <c r="P600" s="1">
        <v>21</v>
      </c>
      <c r="Q600" s="1"/>
      <c r="R600" s="1"/>
      <c r="S600" s="1"/>
      <c r="T600" s="1"/>
      <c r="U600" s="1"/>
      <c r="V600" s="1"/>
      <c r="W600" s="1">
        <v>329</v>
      </c>
      <c r="X600" s="1">
        <f t="shared" si="0"/>
        <v>329</v>
      </c>
      <c r="Y600" s="1"/>
      <c r="Z600" s="1"/>
      <c r="AA600" s="1"/>
      <c r="AB600" s="11"/>
      <c r="AC600" s="82"/>
      <c r="AD600" s="12" t="s">
        <v>52</v>
      </c>
      <c r="AE600" s="39" t="str">
        <f t="shared" si="43"/>
        <v>2231</v>
      </c>
      <c r="AG600" s="23"/>
      <c r="AH600" s="23"/>
      <c r="AN600" s="12"/>
      <c r="AR600" s="34" t="s">
        <v>94</v>
      </c>
      <c r="AS600" s="34" t="s">
        <v>94</v>
      </c>
      <c r="AU600" s="12" t="s">
        <v>1934</v>
      </c>
      <c r="AV600" s="13"/>
      <c r="AW600" s="39">
        <v>3</v>
      </c>
      <c r="AX600" s="12">
        <f>VLOOKUP(AW600,색인!$N$14:$O$19,2,FALSE)</f>
        <v>2</v>
      </c>
      <c r="AY600" s="39" t="str">
        <f>"T"&amp;O600&amp;"_"&amp;AX600&amp;"옵션_"&amp;VLOOKUP(E600,색인!$J$25:$K$29,2,FALSE)</f>
        <v>T2_2옵션_장신구</v>
      </c>
      <c r="AZ600" s="39">
        <f>VLOOKUP(G600,색인!$J$32:$K$45,2,FALSE)</f>
        <v>2</v>
      </c>
      <c r="BA600" s="39" t="str">
        <f>_xlfn.IFNA(VLOOKUP(AY600,표1[[검색용]:[OptionGroupIndex'[']22]],EquipItemTable!AZ600,FALSE),"옵션고정안함")</f>
        <v>2231</v>
      </c>
    </row>
    <row r="601" spans="1:53" ht="12" customHeight="1" x14ac:dyDescent="0.2">
      <c r="A601" s="13" t="s">
        <v>439</v>
      </c>
      <c r="B601" s="39">
        <v>51008</v>
      </c>
      <c r="C601" s="42" t="s">
        <v>3442</v>
      </c>
      <c r="D601" s="10" t="s">
        <v>78</v>
      </c>
      <c r="E601" s="10" t="s">
        <v>0</v>
      </c>
      <c r="F601" s="1" t="s">
        <v>89</v>
      </c>
      <c r="G601" s="1" t="s">
        <v>1306</v>
      </c>
      <c r="H601" s="1"/>
      <c r="I601" s="1"/>
      <c r="J601" s="1"/>
      <c r="K601" s="1"/>
      <c r="L601" s="1"/>
      <c r="M601" s="1"/>
      <c r="O601" s="12" t="s">
        <v>429</v>
      </c>
      <c r="P601" s="1">
        <v>21</v>
      </c>
      <c r="Q601" s="1"/>
      <c r="R601" s="1"/>
      <c r="S601" s="1"/>
      <c r="T601" s="1"/>
      <c r="U601" s="1"/>
      <c r="V601" s="1"/>
      <c r="W601" s="1">
        <v>401</v>
      </c>
      <c r="X601" s="1">
        <f t="shared" si="0"/>
        <v>401</v>
      </c>
      <c r="Y601" s="1"/>
      <c r="Z601" s="1"/>
      <c r="AA601" s="1"/>
      <c r="AB601" s="11"/>
      <c r="AC601" s="82"/>
      <c r="AD601" s="12" t="s">
        <v>1632</v>
      </c>
      <c r="AE601" s="39" t="str">
        <f t="shared" si="43"/>
        <v>2331</v>
      </c>
      <c r="AG601" s="23"/>
      <c r="AH601" s="23"/>
      <c r="AN601" s="12"/>
      <c r="AR601" s="34" t="s">
        <v>543</v>
      </c>
      <c r="AS601" s="34" t="s">
        <v>543</v>
      </c>
      <c r="AU601" s="12" t="s">
        <v>1935</v>
      </c>
      <c r="AV601" s="13"/>
      <c r="AW601" s="39">
        <v>4</v>
      </c>
      <c r="AX601" s="12">
        <f>VLOOKUP(AW601,색인!$N$14:$O$19,2,FALSE)</f>
        <v>3</v>
      </c>
      <c r="AY601" s="39" t="str">
        <f>"T"&amp;O601&amp;"_"&amp;AX601&amp;"옵션_"&amp;VLOOKUP(E601,색인!$J$25:$K$29,2,FALSE)</f>
        <v>T2_3옵션_장신구</v>
      </c>
      <c r="AZ601" s="39">
        <f>VLOOKUP(G601,색인!$J$32:$K$45,2,FALSE)</f>
        <v>2</v>
      </c>
      <c r="BA601" s="39" t="str">
        <f>_xlfn.IFNA(VLOOKUP(AY601,표1[[검색용]:[OptionGroupIndex'[']22]],EquipItemTable!AZ601,FALSE),"옵션고정안함")</f>
        <v>2331</v>
      </c>
    </row>
    <row r="602" spans="1:53" ht="12" customHeight="1" x14ac:dyDescent="0.2">
      <c r="A602" s="13" t="s">
        <v>121</v>
      </c>
      <c r="B602" s="39">
        <v>51009</v>
      </c>
      <c r="C602" s="42" t="s">
        <v>3443</v>
      </c>
      <c r="D602" s="10" t="s">
        <v>78</v>
      </c>
      <c r="E602" s="10" t="s">
        <v>0</v>
      </c>
      <c r="F602" s="1" t="s">
        <v>89</v>
      </c>
      <c r="G602" s="1" t="s">
        <v>1306</v>
      </c>
      <c r="H602" s="1"/>
      <c r="I602" s="1"/>
      <c r="J602" s="1"/>
      <c r="K602" s="1"/>
      <c r="L602" s="1"/>
      <c r="M602" s="1"/>
      <c r="N602" s="81"/>
      <c r="O602" s="12" t="s">
        <v>96</v>
      </c>
      <c r="P602" s="1">
        <v>31</v>
      </c>
      <c r="Q602" s="13"/>
      <c r="R602" s="13"/>
      <c r="S602" s="13"/>
      <c r="T602" s="13"/>
      <c r="U602" s="13"/>
      <c r="V602" s="1"/>
      <c r="W602" s="1">
        <v>460</v>
      </c>
      <c r="X602" s="1">
        <f t="shared" si="0"/>
        <v>460</v>
      </c>
      <c r="Y602" s="13"/>
      <c r="Z602" s="13"/>
      <c r="AA602" s="13"/>
      <c r="AB602" s="13"/>
      <c r="AC602" s="82"/>
      <c r="AD602" s="23" t="s">
        <v>52</v>
      </c>
      <c r="AE602" s="23">
        <v>3</v>
      </c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81"/>
      <c r="AR602" s="83"/>
      <c r="AS602" s="83"/>
      <c r="AT602" s="81"/>
      <c r="AU602" s="12" t="s">
        <v>1932</v>
      </c>
      <c r="AV602" s="13"/>
      <c r="AW602" s="39">
        <v>1</v>
      </c>
      <c r="AY602" s="32"/>
      <c r="AZ602" s="32"/>
      <c r="BA602" s="32"/>
    </row>
    <row r="603" spans="1:53" ht="12" customHeight="1" x14ac:dyDescent="0.2">
      <c r="A603" s="13" t="s">
        <v>122</v>
      </c>
      <c r="B603" s="39">
        <v>51010</v>
      </c>
      <c r="C603" s="42" t="s">
        <v>3444</v>
      </c>
      <c r="D603" s="10" t="s">
        <v>78</v>
      </c>
      <c r="E603" s="10" t="s">
        <v>0</v>
      </c>
      <c r="F603" s="1" t="s">
        <v>89</v>
      </c>
      <c r="G603" s="1" t="s">
        <v>1306</v>
      </c>
      <c r="H603" s="1"/>
      <c r="I603" s="1"/>
      <c r="J603" s="1"/>
      <c r="K603" s="1"/>
      <c r="L603" s="1"/>
      <c r="M603" s="1"/>
      <c r="N603" s="81"/>
      <c r="O603" s="12" t="s">
        <v>96</v>
      </c>
      <c r="P603" s="1">
        <v>31</v>
      </c>
      <c r="Q603" s="13"/>
      <c r="R603" s="13"/>
      <c r="S603" s="13"/>
      <c r="T603" s="13"/>
      <c r="U603" s="13"/>
      <c r="V603" s="1"/>
      <c r="W603" s="1">
        <v>582</v>
      </c>
      <c r="X603" s="1">
        <f t="shared" si="0"/>
        <v>582</v>
      </c>
      <c r="Y603" s="13"/>
      <c r="Z603" s="13"/>
      <c r="AA603" s="13"/>
      <c r="AB603" s="13"/>
      <c r="AC603" s="82"/>
      <c r="AD603" s="23" t="s">
        <v>52</v>
      </c>
      <c r="AE603" s="90" t="str">
        <f t="shared" ref="AE603:AE605" si="44">BA603</f>
        <v>3131</v>
      </c>
      <c r="AF603" s="23"/>
      <c r="AI603" s="23"/>
      <c r="AJ603" s="23"/>
      <c r="AK603" s="23"/>
      <c r="AL603" s="23"/>
      <c r="AM603" s="23"/>
      <c r="AN603" s="23"/>
      <c r="AO603" s="23"/>
      <c r="AP603" s="23"/>
      <c r="AQ603" s="81"/>
      <c r="AR603" s="83"/>
      <c r="AS603" s="83"/>
      <c r="AT603" s="81"/>
      <c r="AU603" s="12" t="s">
        <v>1933</v>
      </c>
      <c r="AV603" s="13"/>
      <c r="AW603" s="39">
        <v>2</v>
      </c>
      <c r="AX603" s="12">
        <f>VLOOKUP(AW603,색인!$N$14:$O$19,2,FALSE)</f>
        <v>1</v>
      </c>
      <c r="AY603" s="39" t="str">
        <f>"T"&amp;O603&amp;"_"&amp;AX603&amp;"옵션_"&amp;VLOOKUP(E603,색인!$J$25:$K$29,2,FALSE)</f>
        <v>T3_1옵션_장신구</v>
      </c>
      <c r="AZ603" s="39">
        <f>VLOOKUP(G603,색인!$J$32:$K$45,2,FALSE)</f>
        <v>2</v>
      </c>
      <c r="BA603" s="39" t="str">
        <f>_xlfn.IFNA(VLOOKUP(AY603,표1[[검색용]:[OptionGroupIndex'[']22]],EquipItemTable!AZ603,FALSE),"옵션고정안함")</f>
        <v>3131</v>
      </c>
    </row>
    <row r="604" spans="1:53" ht="12" customHeight="1" x14ac:dyDescent="0.2">
      <c r="A604" s="13" t="s">
        <v>123</v>
      </c>
      <c r="B604" s="39">
        <v>51011</v>
      </c>
      <c r="C604" s="42" t="s">
        <v>3445</v>
      </c>
      <c r="D604" s="10" t="s">
        <v>78</v>
      </c>
      <c r="E604" s="10" t="s">
        <v>0</v>
      </c>
      <c r="F604" s="1" t="s">
        <v>89</v>
      </c>
      <c r="G604" s="1" t="s">
        <v>1306</v>
      </c>
      <c r="H604" s="1"/>
      <c r="I604" s="1"/>
      <c r="J604" s="1"/>
      <c r="K604" s="1"/>
      <c r="L604" s="1"/>
      <c r="M604" s="1"/>
      <c r="N604" s="81"/>
      <c r="O604" s="12" t="s">
        <v>96</v>
      </c>
      <c r="P604" s="1">
        <v>31</v>
      </c>
      <c r="Q604" s="13"/>
      <c r="R604" s="13"/>
      <c r="S604" s="13"/>
      <c r="T604" s="13"/>
      <c r="U604" s="13"/>
      <c r="V604" s="1"/>
      <c r="W604" s="1">
        <v>697</v>
      </c>
      <c r="X604" s="1">
        <f t="shared" si="0"/>
        <v>697</v>
      </c>
      <c r="Y604" s="13"/>
      <c r="Z604" s="13"/>
      <c r="AA604" s="13"/>
      <c r="AB604" s="13"/>
      <c r="AC604" s="82"/>
      <c r="AD604" s="23" t="s">
        <v>52</v>
      </c>
      <c r="AE604" s="90" t="str">
        <f t="shared" si="44"/>
        <v>3231</v>
      </c>
      <c r="AF604" s="23"/>
      <c r="AI604" s="23"/>
      <c r="AJ604" s="23"/>
      <c r="AK604" s="23"/>
      <c r="AL604" s="23"/>
      <c r="AM604" s="23"/>
      <c r="AN604" s="23"/>
      <c r="AO604" s="23"/>
      <c r="AP604" s="23"/>
      <c r="AQ604" s="81"/>
      <c r="AR604" s="83">
        <v>1</v>
      </c>
      <c r="AS604" s="83">
        <v>1</v>
      </c>
      <c r="AT604" s="81"/>
      <c r="AU604" s="12" t="s">
        <v>1934</v>
      </c>
      <c r="AV604" s="13"/>
      <c r="AW604" s="39">
        <v>3</v>
      </c>
      <c r="AX604" s="12">
        <f>VLOOKUP(AW604,색인!$N$14:$O$19,2,FALSE)</f>
        <v>2</v>
      </c>
      <c r="AY604" s="39" t="str">
        <f>"T"&amp;O604&amp;"_"&amp;AX604&amp;"옵션_"&amp;VLOOKUP(E604,색인!$J$25:$K$29,2,FALSE)</f>
        <v>T3_2옵션_장신구</v>
      </c>
      <c r="AZ604" s="39">
        <f>VLOOKUP(G604,색인!$J$32:$K$45,2,FALSE)</f>
        <v>2</v>
      </c>
      <c r="BA604" s="39" t="str">
        <f>_xlfn.IFNA(VLOOKUP(AY604,표1[[검색용]:[OptionGroupIndex'[']22]],EquipItemTable!AZ604,FALSE),"옵션고정안함")</f>
        <v>3231</v>
      </c>
    </row>
    <row r="605" spans="1:53" ht="12" customHeight="1" x14ac:dyDescent="0.2">
      <c r="A605" s="13" t="s">
        <v>124</v>
      </c>
      <c r="B605" s="39">
        <v>51012</v>
      </c>
      <c r="C605" s="42" t="s">
        <v>3446</v>
      </c>
      <c r="D605" s="10" t="s">
        <v>78</v>
      </c>
      <c r="E605" s="10" t="s">
        <v>0</v>
      </c>
      <c r="F605" s="1" t="s">
        <v>89</v>
      </c>
      <c r="G605" s="1" t="s">
        <v>1306</v>
      </c>
      <c r="H605" s="1"/>
      <c r="I605" s="1"/>
      <c r="J605" s="1"/>
      <c r="K605" s="1"/>
      <c r="L605" s="1"/>
      <c r="M605" s="1"/>
      <c r="N605" s="81"/>
      <c r="O605" s="12" t="s">
        <v>96</v>
      </c>
      <c r="P605" s="1">
        <v>31</v>
      </c>
      <c r="Q605" s="13"/>
      <c r="R605" s="13"/>
      <c r="S605" s="13"/>
      <c r="T605" s="13"/>
      <c r="U605" s="13"/>
      <c r="V605" s="1"/>
      <c r="W605" s="1">
        <v>828</v>
      </c>
      <c r="X605" s="1">
        <f t="shared" si="0"/>
        <v>828</v>
      </c>
      <c r="Y605" s="13"/>
      <c r="Z605" s="13"/>
      <c r="AA605" s="13"/>
      <c r="AB605" s="13"/>
      <c r="AC605" s="82"/>
      <c r="AD605" s="23" t="s">
        <v>52</v>
      </c>
      <c r="AE605" s="90" t="str">
        <f t="shared" si="44"/>
        <v>3331</v>
      </c>
      <c r="AF605" s="23"/>
      <c r="AI605" s="23"/>
      <c r="AJ605" s="23"/>
      <c r="AK605" s="23"/>
      <c r="AL605" s="23"/>
      <c r="AM605" s="23"/>
      <c r="AN605" s="23"/>
      <c r="AO605" s="23"/>
      <c r="AP605" s="23"/>
      <c r="AQ605" s="81"/>
      <c r="AR605" s="83">
        <v>1</v>
      </c>
      <c r="AS605" s="83">
        <v>1</v>
      </c>
      <c r="AT605" s="81"/>
      <c r="AU605" s="12" t="s">
        <v>1935</v>
      </c>
      <c r="AV605" s="13"/>
      <c r="AW605" s="39">
        <v>4</v>
      </c>
      <c r="AX605" s="12">
        <f>VLOOKUP(AW605,색인!$N$14:$O$19,2,FALSE)</f>
        <v>3</v>
      </c>
      <c r="AY605" s="39" t="str">
        <f>"T"&amp;O605&amp;"_"&amp;AX605&amp;"옵션_"&amp;VLOOKUP(E605,색인!$J$25:$K$29,2,FALSE)</f>
        <v>T3_3옵션_장신구</v>
      </c>
      <c r="AZ605" s="39">
        <f>VLOOKUP(G605,색인!$J$32:$K$45,2,FALSE)</f>
        <v>2</v>
      </c>
      <c r="BA605" s="39" t="str">
        <f>_xlfn.IFNA(VLOOKUP(AY605,표1[[검색용]:[OptionGroupIndex'[']22]],EquipItemTable!AZ605,FALSE),"옵션고정안함")</f>
        <v>3331</v>
      </c>
    </row>
    <row r="606" spans="1:53" ht="14.1" customHeight="1" x14ac:dyDescent="0.2">
      <c r="A606" s="13" t="s">
        <v>559</v>
      </c>
      <c r="B606" s="39">
        <v>51031</v>
      </c>
      <c r="C606" s="42" t="s">
        <v>3447</v>
      </c>
      <c r="D606" s="10" t="s">
        <v>78</v>
      </c>
      <c r="E606" s="10" t="s">
        <v>0</v>
      </c>
      <c r="F606" s="1" t="s">
        <v>89</v>
      </c>
      <c r="G606" s="1" t="s">
        <v>1306</v>
      </c>
      <c r="H606" s="1"/>
      <c r="I606" s="1"/>
      <c r="J606" s="1"/>
      <c r="K606" s="1"/>
      <c r="L606" s="1"/>
      <c r="M606" s="1"/>
      <c r="N606" s="81"/>
      <c r="O606" s="12" t="s">
        <v>96</v>
      </c>
      <c r="P606" s="1">
        <v>31</v>
      </c>
      <c r="Q606" s="13"/>
      <c r="R606" s="13"/>
      <c r="S606" s="13"/>
      <c r="T606" s="13"/>
      <c r="U606" s="13"/>
      <c r="V606" s="1"/>
      <c r="W606" s="1">
        <v>979</v>
      </c>
      <c r="X606" s="1">
        <f t="shared" si="0"/>
        <v>979</v>
      </c>
      <c r="Y606" s="13"/>
      <c r="Z606" s="13"/>
      <c r="AA606" s="13"/>
      <c r="AB606" s="13"/>
      <c r="AC606" s="82"/>
      <c r="AD606" s="23" t="s">
        <v>52</v>
      </c>
      <c r="AE606" s="23">
        <v>3</v>
      </c>
      <c r="AF606" s="23"/>
      <c r="AI606" s="23"/>
      <c r="AJ606" s="23"/>
      <c r="AK606" s="23"/>
      <c r="AL606" s="23"/>
      <c r="AM606" s="23"/>
      <c r="AN606" s="23">
        <v>1</v>
      </c>
      <c r="AO606" s="23"/>
      <c r="AP606" s="23"/>
      <c r="AQ606" s="81"/>
      <c r="AR606" s="83">
        <v>1</v>
      </c>
      <c r="AS606" s="83">
        <v>1</v>
      </c>
      <c r="AT606" s="81"/>
      <c r="AU606" s="12" t="s">
        <v>1936</v>
      </c>
      <c r="AV606" s="13"/>
      <c r="AW606" s="39">
        <v>6</v>
      </c>
      <c r="AX606" s="12">
        <f>VLOOKUP(AW606,색인!$N$14:$O$19,2,FALSE)</f>
        <v>4</v>
      </c>
      <c r="AY606" s="32" t="str">
        <f>"T"&amp;O606&amp;"_"&amp;AX606&amp;"옵션_"&amp;VLOOKUP(E606,색인!$J$25:$K$29,2,FALSE)</f>
        <v>T3_4옵션_장신구</v>
      </c>
      <c r="AZ606" s="32">
        <f>VLOOKUP(G606,색인!$J$32:$K$45,2,FALSE)</f>
        <v>2</v>
      </c>
      <c r="BA606" s="32" t="str">
        <f>_xlfn.IFNA(VLOOKUP(AY606,표1[[검색용]:[OptionGroupIndex'[']22]],EquipItemTable!AZ606,FALSE),"옵션고정안함")</f>
        <v>옵션고정안함</v>
      </c>
    </row>
    <row r="607" spans="1:53" ht="14.1" customHeight="1" x14ac:dyDescent="0.2">
      <c r="A607" s="13" t="s">
        <v>982</v>
      </c>
      <c r="B607" s="39">
        <v>51029</v>
      </c>
      <c r="C607" s="42" t="s">
        <v>3448</v>
      </c>
      <c r="D607" s="10" t="s">
        <v>78</v>
      </c>
      <c r="E607" s="10" t="s">
        <v>0</v>
      </c>
      <c r="F607" s="1" t="s">
        <v>89</v>
      </c>
      <c r="G607" s="1" t="s">
        <v>1306</v>
      </c>
      <c r="H607" s="1"/>
      <c r="I607" s="1"/>
      <c r="J607" s="1"/>
      <c r="K607" s="1"/>
      <c r="L607" s="1"/>
      <c r="M607" s="1"/>
      <c r="N607" s="81"/>
      <c r="O607" s="12" t="s">
        <v>96</v>
      </c>
      <c r="P607" s="1">
        <v>31</v>
      </c>
      <c r="Q607" s="13"/>
      <c r="R607" s="13"/>
      <c r="S607" s="13"/>
      <c r="T607" s="13"/>
      <c r="U607" s="13"/>
      <c r="V607" s="1"/>
      <c r="W607" s="1">
        <v>979</v>
      </c>
      <c r="X607" s="1">
        <f t="shared" ref="X607:X609" si="45">W607</f>
        <v>979</v>
      </c>
      <c r="Y607" s="13"/>
      <c r="Z607" s="13"/>
      <c r="AA607" s="13"/>
      <c r="AB607" s="13"/>
      <c r="AC607" s="82"/>
      <c r="AD607" s="23" t="s">
        <v>52</v>
      </c>
      <c r="AE607" s="23">
        <v>3</v>
      </c>
      <c r="AF607" s="23"/>
      <c r="AI607" s="23"/>
      <c r="AJ607" s="23"/>
      <c r="AK607" s="23"/>
      <c r="AL607" s="23"/>
      <c r="AM607" s="23"/>
      <c r="AN607" s="23">
        <v>2</v>
      </c>
      <c r="AO607" s="23"/>
      <c r="AP607" s="23"/>
      <c r="AQ607" s="81"/>
      <c r="AR607" s="83">
        <v>1</v>
      </c>
      <c r="AS607" s="83">
        <v>1</v>
      </c>
      <c r="AT607" s="81"/>
      <c r="AU607" s="12" t="s">
        <v>1936</v>
      </c>
      <c r="AV607" s="13"/>
      <c r="AW607" s="39">
        <v>6</v>
      </c>
      <c r="AX607" s="12">
        <f>VLOOKUP(AW607,색인!$N$14:$O$19,2,FALSE)</f>
        <v>4</v>
      </c>
      <c r="AY607" s="32" t="str">
        <f>"T"&amp;O607&amp;"_"&amp;AX607&amp;"옵션_"&amp;VLOOKUP(E607,색인!$J$25:$K$29,2,FALSE)</f>
        <v>T3_4옵션_장신구</v>
      </c>
      <c r="AZ607" s="32">
        <f>VLOOKUP(G607,색인!$J$32:$K$45,2,FALSE)</f>
        <v>2</v>
      </c>
      <c r="BA607" s="32" t="str">
        <f>_xlfn.IFNA(VLOOKUP(AY607,표1[[검색용]:[OptionGroupIndex'[']22]],EquipItemTable!AZ607,FALSE),"옵션고정안함")</f>
        <v>옵션고정안함</v>
      </c>
    </row>
    <row r="608" spans="1:53" ht="14.1" customHeight="1" x14ac:dyDescent="0.2">
      <c r="A608" s="13" t="s">
        <v>983</v>
      </c>
      <c r="B608" s="39">
        <v>51030</v>
      </c>
      <c r="C608" s="42" t="s">
        <v>3449</v>
      </c>
      <c r="D608" s="10" t="s">
        <v>78</v>
      </c>
      <c r="E608" s="10" t="s">
        <v>0</v>
      </c>
      <c r="F608" s="1" t="s">
        <v>89</v>
      </c>
      <c r="G608" s="1" t="s">
        <v>1306</v>
      </c>
      <c r="H608" s="1"/>
      <c r="I608" s="1"/>
      <c r="J608" s="1"/>
      <c r="K608" s="1"/>
      <c r="L608" s="1"/>
      <c r="M608" s="1"/>
      <c r="N608" s="81"/>
      <c r="O608" s="12" t="s">
        <v>96</v>
      </c>
      <c r="P608" s="1">
        <v>31</v>
      </c>
      <c r="Q608" s="13"/>
      <c r="R608" s="13"/>
      <c r="S608" s="13"/>
      <c r="T608" s="13"/>
      <c r="U608" s="13"/>
      <c r="V608" s="1"/>
      <c r="W608" s="1">
        <v>979</v>
      </c>
      <c r="X608" s="1">
        <f t="shared" si="45"/>
        <v>979</v>
      </c>
      <c r="Y608" s="13"/>
      <c r="Z608" s="13"/>
      <c r="AA608" s="13"/>
      <c r="AB608" s="13"/>
      <c r="AC608" s="82"/>
      <c r="AD608" s="23" t="s">
        <v>52</v>
      </c>
      <c r="AE608" s="23">
        <v>3</v>
      </c>
      <c r="AF608" s="23"/>
      <c r="AI608" s="23"/>
      <c r="AJ608" s="23"/>
      <c r="AK608" s="23"/>
      <c r="AL608" s="23"/>
      <c r="AM608" s="23"/>
      <c r="AN608" s="23">
        <v>3</v>
      </c>
      <c r="AO608" s="23"/>
      <c r="AP608" s="23"/>
      <c r="AQ608" s="81"/>
      <c r="AR608" s="83">
        <v>1</v>
      </c>
      <c r="AS608" s="83">
        <v>1</v>
      </c>
      <c r="AT608" s="81"/>
      <c r="AU608" s="12" t="s">
        <v>1936</v>
      </c>
      <c r="AV608" s="13"/>
      <c r="AW608" s="39">
        <v>6</v>
      </c>
      <c r="AX608" s="12">
        <f>VLOOKUP(AW608,색인!$N$14:$O$19,2,FALSE)</f>
        <v>4</v>
      </c>
      <c r="AY608" s="32" t="str">
        <f>"T"&amp;O608&amp;"_"&amp;AX608&amp;"옵션_"&amp;VLOOKUP(E608,색인!$J$25:$K$29,2,FALSE)</f>
        <v>T3_4옵션_장신구</v>
      </c>
      <c r="AZ608" s="32">
        <f>VLOOKUP(G608,색인!$J$32:$K$45,2,FALSE)</f>
        <v>2</v>
      </c>
      <c r="BA608" s="32" t="str">
        <f>_xlfn.IFNA(VLOOKUP(AY608,표1[[검색용]:[OptionGroupIndex'[']22]],EquipItemTable!AZ608,FALSE),"옵션고정안함")</f>
        <v>옵션고정안함</v>
      </c>
    </row>
    <row r="609" spans="1:53" ht="14.1" customHeight="1" x14ac:dyDescent="0.2">
      <c r="A609" s="13" t="s">
        <v>984</v>
      </c>
      <c r="B609" s="39">
        <v>51021</v>
      </c>
      <c r="C609" s="42" t="s">
        <v>3450</v>
      </c>
      <c r="D609" s="10" t="s">
        <v>78</v>
      </c>
      <c r="E609" s="10" t="s">
        <v>0</v>
      </c>
      <c r="F609" s="1" t="s">
        <v>89</v>
      </c>
      <c r="G609" s="1" t="s">
        <v>1306</v>
      </c>
      <c r="H609" s="1"/>
      <c r="I609" s="1"/>
      <c r="J609" s="1"/>
      <c r="K609" s="1"/>
      <c r="L609" s="1"/>
      <c r="M609" s="1"/>
      <c r="N609" s="81"/>
      <c r="O609" s="12" t="s">
        <v>96</v>
      </c>
      <c r="P609" s="1">
        <v>31</v>
      </c>
      <c r="Q609" s="13"/>
      <c r="R609" s="13"/>
      <c r="S609" s="13"/>
      <c r="T609" s="13"/>
      <c r="U609" s="13"/>
      <c r="V609" s="1"/>
      <c r="W609" s="1">
        <v>979</v>
      </c>
      <c r="X609" s="1">
        <f t="shared" si="45"/>
        <v>979</v>
      </c>
      <c r="Y609" s="13"/>
      <c r="Z609" s="13"/>
      <c r="AA609" s="13"/>
      <c r="AB609" s="13"/>
      <c r="AC609" s="82"/>
      <c r="AD609" s="23" t="s">
        <v>52</v>
      </c>
      <c r="AE609" s="23">
        <v>3</v>
      </c>
      <c r="AF609" s="23"/>
      <c r="AI609" s="23"/>
      <c r="AJ609" s="23"/>
      <c r="AK609" s="23"/>
      <c r="AL609" s="23"/>
      <c r="AM609" s="23"/>
      <c r="AN609" s="23">
        <v>4</v>
      </c>
      <c r="AO609" s="23"/>
      <c r="AP609" s="23"/>
      <c r="AQ609" s="81"/>
      <c r="AR609" s="83">
        <v>1</v>
      </c>
      <c r="AS609" s="83">
        <v>1</v>
      </c>
      <c r="AT609" s="81"/>
      <c r="AU609" s="12" t="s">
        <v>1936</v>
      </c>
      <c r="AV609" s="13"/>
      <c r="AW609" s="39">
        <v>6</v>
      </c>
      <c r="AX609" s="12">
        <f>VLOOKUP(AW609,색인!$N$14:$O$19,2,FALSE)</f>
        <v>4</v>
      </c>
      <c r="AY609" s="32" t="str">
        <f>"T"&amp;O609&amp;"_"&amp;AX609&amp;"옵션_"&amp;VLOOKUP(E609,색인!$J$25:$K$29,2,FALSE)</f>
        <v>T3_4옵션_장신구</v>
      </c>
      <c r="AZ609" s="32">
        <f>VLOOKUP(G609,색인!$J$32:$K$45,2,FALSE)</f>
        <v>2</v>
      </c>
      <c r="BA609" s="32" t="str">
        <f>_xlfn.IFNA(VLOOKUP(AY609,표1[[검색용]:[OptionGroupIndex'[']22]],EquipItemTable!AZ609,FALSE),"옵션고정안함")</f>
        <v>옵션고정안함</v>
      </c>
    </row>
    <row r="610" spans="1:53" ht="12" customHeight="1" x14ac:dyDescent="0.2">
      <c r="A610" s="13" t="s">
        <v>125</v>
      </c>
      <c r="B610" s="39">
        <v>51013</v>
      </c>
      <c r="C610" s="42" t="s">
        <v>48</v>
      </c>
      <c r="D610" s="10" t="s">
        <v>78</v>
      </c>
      <c r="E610" s="10" t="s">
        <v>0</v>
      </c>
      <c r="F610" s="1" t="s">
        <v>89</v>
      </c>
      <c r="G610" s="1" t="s">
        <v>1306</v>
      </c>
      <c r="H610" s="1"/>
      <c r="I610" s="1"/>
      <c r="J610" s="1"/>
      <c r="K610" s="1"/>
      <c r="L610" s="1"/>
      <c r="M610" s="1"/>
      <c r="N610" s="81"/>
      <c r="O610" s="12" t="s">
        <v>97</v>
      </c>
      <c r="P610" s="1">
        <v>41</v>
      </c>
      <c r="Q610" s="13"/>
      <c r="R610" s="13"/>
      <c r="S610" s="13"/>
      <c r="T610" s="13"/>
      <c r="U610" s="13"/>
      <c r="V610" s="1"/>
      <c r="W610" s="1">
        <v>950</v>
      </c>
      <c r="X610" s="1">
        <f t="shared" si="0"/>
        <v>950</v>
      </c>
      <c r="Y610" s="13"/>
      <c r="Z610" s="13"/>
      <c r="AA610" s="13"/>
      <c r="AB610" s="13"/>
      <c r="AC610" s="82"/>
      <c r="AD610" s="23" t="s">
        <v>52</v>
      </c>
      <c r="AE610" s="23">
        <v>4</v>
      </c>
      <c r="AF610" s="23"/>
      <c r="AI610" s="23"/>
      <c r="AJ610" s="23"/>
      <c r="AK610" s="23"/>
      <c r="AL610" s="23"/>
      <c r="AM610" s="23"/>
      <c r="AN610" s="23"/>
      <c r="AO610" s="23"/>
      <c r="AP610" s="23"/>
      <c r="AQ610" s="81"/>
      <c r="AR610" s="83"/>
      <c r="AS610" s="83"/>
      <c r="AT610" s="81"/>
      <c r="AU610" s="12" t="s">
        <v>1932</v>
      </c>
      <c r="AV610" s="13"/>
      <c r="AW610" s="39">
        <v>1</v>
      </c>
      <c r="AY610" s="32"/>
      <c r="AZ610" s="32"/>
      <c r="BA610" s="32"/>
    </row>
    <row r="611" spans="1:53" ht="12" customHeight="1" x14ac:dyDescent="0.2">
      <c r="A611" s="13" t="s">
        <v>126</v>
      </c>
      <c r="B611" s="39">
        <v>51014</v>
      </c>
      <c r="C611" s="42" t="s">
        <v>3451</v>
      </c>
      <c r="D611" s="10" t="s">
        <v>78</v>
      </c>
      <c r="E611" s="10" t="s">
        <v>0</v>
      </c>
      <c r="F611" s="1" t="s">
        <v>89</v>
      </c>
      <c r="G611" s="1" t="s">
        <v>1306</v>
      </c>
      <c r="H611" s="1"/>
      <c r="I611" s="1"/>
      <c r="J611" s="1"/>
      <c r="K611" s="1"/>
      <c r="L611" s="1"/>
      <c r="M611" s="1"/>
      <c r="N611" s="81"/>
      <c r="O611" s="12" t="s">
        <v>97</v>
      </c>
      <c r="P611" s="1">
        <v>41</v>
      </c>
      <c r="Q611" s="13"/>
      <c r="R611" s="13"/>
      <c r="S611" s="13"/>
      <c r="T611" s="13"/>
      <c r="U611" s="13"/>
      <c r="V611" s="1"/>
      <c r="W611" s="1">
        <v>1175</v>
      </c>
      <c r="X611" s="1">
        <f t="shared" si="0"/>
        <v>1175</v>
      </c>
      <c r="Y611" s="13"/>
      <c r="Z611" s="13"/>
      <c r="AA611" s="13"/>
      <c r="AB611" s="13"/>
      <c r="AC611" s="82"/>
      <c r="AD611" s="23" t="s">
        <v>52</v>
      </c>
      <c r="AE611" s="90" t="str">
        <f t="shared" ref="AE611:AE613" si="46">BA611</f>
        <v>4131</v>
      </c>
      <c r="AF611" s="23"/>
      <c r="AI611" s="23"/>
      <c r="AJ611" s="23"/>
      <c r="AK611" s="23"/>
      <c r="AL611" s="23"/>
      <c r="AM611" s="23"/>
      <c r="AN611" s="23"/>
      <c r="AO611" s="23"/>
      <c r="AP611" s="23"/>
      <c r="AQ611" s="81"/>
      <c r="AR611" s="83"/>
      <c r="AS611" s="83"/>
      <c r="AT611" s="81"/>
      <c r="AU611" s="12" t="s">
        <v>1933</v>
      </c>
      <c r="AV611" s="13"/>
      <c r="AW611" s="39">
        <v>2</v>
      </c>
      <c r="AX611" s="12">
        <f>VLOOKUP(AW611,색인!$N$14:$O$19,2,FALSE)</f>
        <v>1</v>
      </c>
      <c r="AY611" s="39" t="str">
        <f>"T"&amp;O611&amp;"_"&amp;AX611&amp;"옵션_"&amp;VLOOKUP(E611,색인!$J$25:$K$29,2,FALSE)</f>
        <v>T4_1옵션_장신구</v>
      </c>
      <c r="AZ611" s="39">
        <f>VLOOKUP(G611,색인!$J$32:$K$45,2,FALSE)</f>
        <v>2</v>
      </c>
      <c r="BA611" s="39" t="str">
        <f>_xlfn.IFNA(VLOOKUP(AY611,표1[[검색용]:[OptionGroupIndex'[']22]],EquipItemTable!AZ611,FALSE),"옵션고정안함")</f>
        <v>4131</v>
      </c>
    </row>
    <row r="612" spans="1:53" ht="12" customHeight="1" x14ac:dyDescent="0.2">
      <c r="A612" s="13" t="s">
        <v>127</v>
      </c>
      <c r="B612" s="39">
        <v>51015</v>
      </c>
      <c r="C612" s="42" t="s">
        <v>3452</v>
      </c>
      <c r="D612" s="10" t="s">
        <v>78</v>
      </c>
      <c r="E612" s="10" t="s">
        <v>0</v>
      </c>
      <c r="F612" s="1" t="s">
        <v>89</v>
      </c>
      <c r="G612" s="1" t="s">
        <v>1306</v>
      </c>
      <c r="H612" s="1"/>
      <c r="I612" s="1"/>
      <c r="J612" s="1"/>
      <c r="K612" s="1"/>
      <c r="L612" s="1"/>
      <c r="M612" s="1"/>
      <c r="N612" s="81"/>
      <c r="O612" s="12" t="s">
        <v>97</v>
      </c>
      <c r="P612" s="1">
        <v>41</v>
      </c>
      <c r="Q612" s="13"/>
      <c r="R612" s="13"/>
      <c r="S612" s="13"/>
      <c r="T612" s="13"/>
      <c r="U612" s="13"/>
      <c r="V612" s="1"/>
      <c r="W612" s="1">
        <v>1380</v>
      </c>
      <c r="X612" s="1">
        <f t="shared" ref="X612:X636" si="47">W612</f>
        <v>1380</v>
      </c>
      <c r="Y612" s="13"/>
      <c r="Z612" s="13"/>
      <c r="AA612" s="13"/>
      <c r="AB612" s="13"/>
      <c r="AC612" s="82"/>
      <c r="AD612" s="23" t="s">
        <v>52</v>
      </c>
      <c r="AE612" s="90" t="str">
        <f t="shared" si="46"/>
        <v>4231</v>
      </c>
      <c r="AF612" s="23"/>
      <c r="AI612" s="23"/>
      <c r="AJ612" s="23"/>
      <c r="AK612" s="23"/>
      <c r="AL612" s="23"/>
      <c r="AM612" s="23"/>
      <c r="AN612" s="23"/>
      <c r="AO612" s="23"/>
      <c r="AP612" s="23"/>
      <c r="AQ612" s="81"/>
      <c r="AR612" s="83">
        <v>1</v>
      </c>
      <c r="AS612" s="83">
        <v>1</v>
      </c>
      <c r="AT612" s="81"/>
      <c r="AU612" s="12" t="s">
        <v>1934</v>
      </c>
      <c r="AV612" s="13"/>
      <c r="AW612" s="39">
        <v>3</v>
      </c>
      <c r="AX612" s="12">
        <f>VLOOKUP(AW612,색인!$N$14:$O$19,2,FALSE)</f>
        <v>2</v>
      </c>
      <c r="AY612" s="39" t="str">
        <f>"T"&amp;O612&amp;"_"&amp;AX612&amp;"옵션_"&amp;VLOOKUP(E612,색인!$J$25:$K$29,2,FALSE)</f>
        <v>T4_2옵션_장신구</v>
      </c>
      <c r="AZ612" s="39">
        <f>VLOOKUP(G612,색인!$J$32:$K$45,2,FALSE)</f>
        <v>2</v>
      </c>
      <c r="BA612" s="39" t="str">
        <f>_xlfn.IFNA(VLOOKUP(AY612,표1[[검색용]:[OptionGroupIndex'[']22]],EquipItemTable!AZ612,FALSE),"옵션고정안함")</f>
        <v>4231</v>
      </c>
    </row>
    <row r="613" spans="1:53" ht="12" customHeight="1" x14ac:dyDescent="0.2">
      <c r="A613" s="13" t="s">
        <v>128</v>
      </c>
      <c r="B613" s="39">
        <v>51016</v>
      </c>
      <c r="C613" s="42" t="s">
        <v>3453</v>
      </c>
      <c r="D613" s="10" t="s">
        <v>78</v>
      </c>
      <c r="E613" s="10" t="s">
        <v>0</v>
      </c>
      <c r="F613" s="1" t="s">
        <v>89</v>
      </c>
      <c r="G613" s="1" t="s">
        <v>1306</v>
      </c>
      <c r="H613" s="1"/>
      <c r="I613" s="1"/>
      <c r="J613" s="1"/>
      <c r="K613" s="1"/>
      <c r="L613" s="1"/>
      <c r="M613" s="1"/>
      <c r="O613" s="12" t="s">
        <v>97</v>
      </c>
      <c r="P613" s="1">
        <v>41</v>
      </c>
      <c r="Q613" s="1"/>
      <c r="R613" s="1"/>
      <c r="S613" s="1"/>
      <c r="T613" s="1"/>
      <c r="U613" s="1"/>
      <c r="V613" s="13"/>
      <c r="W613" s="1">
        <v>1615</v>
      </c>
      <c r="X613" s="1">
        <f t="shared" si="47"/>
        <v>1615</v>
      </c>
      <c r="Y613" s="1"/>
      <c r="Z613" s="1"/>
      <c r="AA613" s="1"/>
      <c r="AB613" s="11"/>
      <c r="AC613" s="82"/>
      <c r="AD613" s="12" t="s">
        <v>52</v>
      </c>
      <c r="AE613" s="39" t="str">
        <f t="shared" si="46"/>
        <v>4331</v>
      </c>
      <c r="AN613" s="12"/>
      <c r="AR613" s="34" t="s">
        <v>94</v>
      </c>
      <c r="AS613" s="34" t="s">
        <v>94</v>
      </c>
      <c r="AU613" s="12" t="s">
        <v>1935</v>
      </c>
      <c r="AV613" s="13"/>
      <c r="AW613" s="39">
        <v>4</v>
      </c>
      <c r="AX613" s="12">
        <f>VLOOKUP(AW613,색인!$N$14:$O$19,2,FALSE)</f>
        <v>3</v>
      </c>
      <c r="AY613" s="39" t="str">
        <f>"T"&amp;O613&amp;"_"&amp;AX613&amp;"옵션_"&amp;VLOOKUP(E613,색인!$J$25:$K$29,2,FALSE)</f>
        <v>T4_3옵션_장신구</v>
      </c>
      <c r="AZ613" s="39">
        <f>VLOOKUP(G613,색인!$J$32:$K$45,2,FALSE)</f>
        <v>2</v>
      </c>
      <c r="BA613" s="39" t="str">
        <f>_xlfn.IFNA(VLOOKUP(AY613,표1[[검색용]:[OptionGroupIndex'[']22]],EquipItemTable!AZ613,FALSE),"옵션고정안함")</f>
        <v>4331</v>
      </c>
    </row>
    <row r="614" spans="1:53" ht="14.1" customHeight="1" x14ac:dyDescent="0.2">
      <c r="A614" s="13" t="s">
        <v>560</v>
      </c>
      <c r="B614" s="39">
        <v>51034</v>
      </c>
      <c r="C614" s="42" t="s">
        <v>3447</v>
      </c>
      <c r="D614" s="10" t="s">
        <v>78</v>
      </c>
      <c r="E614" s="10" t="s">
        <v>0</v>
      </c>
      <c r="F614" s="1" t="s">
        <v>89</v>
      </c>
      <c r="G614" s="1" t="s">
        <v>1306</v>
      </c>
      <c r="H614" s="1"/>
      <c r="I614" s="1"/>
      <c r="J614" s="1"/>
      <c r="K614" s="1"/>
      <c r="L614" s="1"/>
      <c r="M614" s="1"/>
      <c r="O614" s="12" t="s">
        <v>97</v>
      </c>
      <c r="P614" s="1">
        <v>41</v>
      </c>
      <c r="Q614" s="1"/>
      <c r="R614" s="1"/>
      <c r="S614" s="1"/>
      <c r="T614" s="1"/>
      <c r="U614" s="1"/>
      <c r="V614" s="13"/>
      <c r="W614" s="1">
        <v>1883</v>
      </c>
      <c r="X614" s="1">
        <f t="shared" si="47"/>
        <v>1883</v>
      </c>
      <c r="Y614" s="1"/>
      <c r="Z614" s="1"/>
      <c r="AA614" s="1"/>
      <c r="AB614" s="11"/>
      <c r="AC614" s="82"/>
      <c r="AD614" s="12" t="s">
        <v>52</v>
      </c>
      <c r="AE614" s="12" t="s">
        <v>551</v>
      </c>
      <c r="AN614" s="12" t="s">
        <v>428</v>
      </c>
      <c r="AR614" s="34" t="s">
        <v>94</v>
      </c>
      <c r="AS614" s="34" t="s">
        <v>94</v>
      </c>
      <c r="AU614" s="12" t="s">
        <v>1936</v>
      </c>
      <c r="AV614" s="13"/>
      <c r="AW614" s="39">
        <v>6</v>
      </c>
      <c r="AX614" s="12">
        <f>VLOOKUP(AW614,색인!$N$14:$O$19,2,FALSE)</f>
        <v>4</v>
      </c>
      <c r="AY614" s="32" t="str">
        <f>"T"&amp;O614&amp;"_"&amp;AX614&amp;"옵션_"&amp;VLOOKUP(E614,색인!$J$25:$K$29,2,FALSE)</f>
        <v>T4_4옵션_장신구</v>
      </c>
      <c r="AZ614" s="32">
        <f>VLOOKUP(G614,색인!$J$32:$K$45,2,FALSE)</f>
        <v>2</v>
      </c>
      <c r="BA614" s="32" t="str">
        <f>_xlfn.IFNA(VLOOKUP(AY614,표1[[검색용]:[OptionGroupIndex'[']22]],EquipItemTable!AZ614,FALSE),"옵션고정안함")</f>
        <v>옵션고정안함</v>
      </c>
    </row>
    <row r="615" spans="1:53" ht="14.1" customHeight="1" x14ac:dyDescent="0.2">
      <c r="A615" s="13" t="s">
        <v>985</v>
      </c>
      <c r="B615" s="39">
        <v>51032</v>
      </c>
      <c r="C615" s="42" t="s">
        <v>3448</v>
      </c>
      <c r="D615" s="10" t="s">
        <v>78</v>
      </c>
      <c r="E615" s="10" t="s">
        <v>0</v>
      </c>
      <c r="F615" s="1" t="s">
        <v>89</v>
      </c>
      <c r="G615" s="1" t="s">
        <v>1306</v>
      </c>
      <c r="H615" s="1"/>
      <c r="I615" s="1"/>
      <c r="J615" s="1"/>
      <c r="K615" s="1"/>
      <c r="L615" s="1"/>
      <c r="M615" s="1"/>
      <c r="O615" s="12" t="s">
        <v>97</v>
      </c>
      <c r="P615" s="1">
        <v>41</v>
      </c>
      <c r="Q615" s="1"/>
      <c r="R615" s="1"/>
      <c r="S615" s="1"/>
      <c r="T615" s="1"/>
      <c r="U615" s="1"/>
      <c r="V615" s="13"/>
      <c r="W615" s="1">
        <v>1883</v>
      </c>
      <c r="X615" s="1">
        <f t="shared" ref="X615:X617" si="48">W615</f>
        <v>1883</v>
      </c>
      <c r="Y615" s="1"/>
      <c r="Z615" s="1"/>
      <c r="AA615" s="1"/>
      <c r="AB615" s="11"/>
      <c r="AC615" s="82"/>
      <c r="AD615" s="12" t="s">
        <v>52</v>
      </c>
      <c r="AE615" s="12" t="s">
        <v>97</v>
      </c>
      <c r="AN615" s="12" t="s">
        <v>429</v>
      </c>
      <c r="AR615" s="34" t="s">
        <v>94</v>
      </c>
      <c r="AS615" s="34" t="s">
        <v>94</v>
      </c>
      <c r="AU615" s="12" t="s">
        <v>1936</v>
      </c>
      <c r="AV615" s="13"/>
      <c r="AW615" s="39">
        <v>6</v>
      </c>
      <c r="AX615" s="12">
        <f>VLOOKUP(AW615,색인!$N$14:$O$19,2,FALSE)</f>
        <v>4</v>
      </c>
      <c r="AY615" s="32" t="str">
        <f>"T"&amp;O615&amp;"_"&amp;AX615&amp;"옵션_"&amp;VLOOKUP(E615,색인!$J$25:$K$29,2,FALSE)</f>
        <v>T4_4옵션_장신구</v>
      </c>
      <c r="AZ615" s="32">
        <f>VLOOKUP(G615,색인!$J$32:$K$45,2,FALSE)</f>
        <v>2</v>
      </c>
      <c r="BA615" s="32" t="str">
        <f>_xlfn.IFNA(VLOOKUP(AY615,표1[[검색용]:[OptionGroupIndex'[']22]],EquipItemTable!AZ615,FALSE),"옵션고정안함")</f>
        <v>옵션고정안함</v>
      </c>
    </row>
    <row r="616" spans="1:53" ht="14.1" customHeight="1" x14ac:dyDescent="0.2">
      <c r="A616" s="13" t="s">
        <v>986</v>
      </c>
      <c r="B616" s="39">
        <v>51033</v>
      </c>
      <c r="C616" s="42" t="s">
        <v>3449</v>
      </c>
      <c r="D616" s="10" t="s">
        <v>78</v>
      </c>
      <c r="E616" s="10" t="s">
        <v>0</v>
      </c>
      <c r="F616" s="1" t="s">
        <v>89</v>
      </c>
      <c r="G616" s="1" t="s">
        <v>1306</v>
      </c>
      <c r="H616" s="1"/>
      <c r="I616" s="1"/>
      <c r="J616" s="1"/>
      <c r="K616" s="1"/>
      <c r="L616" s="1"/>
      <c r="M616" s="1"/>
      <c r="O616" s="12" t="s">
        <v>97</v>
      </c>
      <c r="P616" s="1">
        <v>41</v>
      </c>
      <c r="Q616" s="1"/>
      <c r="R616" s="1"/>
      <c r="S616" s="1"/>
      <c r="T616" s="1"/>
      <c r="U616" s="1"/>
      <c r="V616" s="13"/>
      <c r="W616" s="1">
        <v>1883</v>
      </c>
      <c r="X616" s="1">
        <f t="shared" si="48"/>
        <v>1883</v>
      </c>
      <c r="Y616" s="1"/>
      <c r="Z616" s="1"/>
      <c r="AA616" s="1"/>
      <c r="AB616" s="11"/>
      <c r="AC616" s="82"/>
      <c r="AD616" s="12" t="s">
        <v>52</v>
      </c>
      <c r="AE616" s="12" t="s">
        <v>97</v>
      </c>
      <c r="AN616" s="12" t="s">
        <v>1193</v>
      </c>
      <c r="AR616" s="34" t="s">
        <v>94</v>
      </c>
      <c r="AS616" s="34" t="s">
        <v>94</v>
      </c>
      <c r="AU616" s="12" t="s">
        <v>1936</v>
      </c>
      <c r="AV616" s="13"/>
      <c r="AW616" s="39">
        <v>6</v>
      </c>
      <c r="AX616" s="12">
        <f>VLOOKUP(AW616,색인!$N$14:$O$19,2,FALSE)</f>
        <v>4</v>
      </c>
      <c r="AY616" s="32" t="str">
        <f>"T"&amp;O616&amp;"_"&amp;AX616&amp;"옵션_"&amp;VLOOKUP(E616,색인!$J$25:$K$29,2,FALSE)</f>
        <v>T4_4옵션_장신구</v>
      </c>
      <c r="AZ616" s="32">
        <f>VLOOKUP(G616,색인!$J$32:$K$45,2,FALSE)</f>
        <v>2</v>
      </c>
      <c r="BA616" s="32" t="str">
        <f>_xlfn.IFNA(VLOOKUP(AY616,표1[[검색용]:[OptionGroupIndex'[']22]],EquipItemTable!AZ616,FALSE),"옵션고정안함")</f>
        <v>옵션고정안함</v>
      </c>
    </row>
    <row r="617" spans="1:53" ht="14.1" customHeight="1" x14ac:dyDescent="0.2">
      <c r="A617" s="13" t="s">
        <v>987</v>
      </c>
      <c r="B617" s="39">
        <v>51022</v>
      </c>
      <c r="C617" s="42" t="s">
        <v>3450</v>
      </c>
      <c r="D617" s="10" t="s">
        <v>78</v>
      </c>
      <c r="E617" s="10" t="s">
        <v>0</v>
      </c>
      <c r="F617" s="1" t="s">
        <v>89</v>
      </c>
      <c r="G617" s="1" t="s">
        <v>1306</v>
      </c>
      <c r="H617" s="1"/>
      <c r="I617" s="1"/>
      <c r="J617" s="1"/>
      <c r="K617" s="1"/>
      <c r="L617" s="1"/>
      <c r="M617" s="1"/>
      <c r="O617" s="12" t="s">
        <v>97</v>
      </c>
      <c r="P617" s="1">
        <v>41</v>
      </c>
      <c r="Q617" s="1"/>
      <c r="R617" s="1"/>
      <c r="S617" s="1"/>
      <c r="T617" s="1"/>
      <c r="U617" s="1"/>
      <c r="V617" s="13"/>
      <c r="W617" s="1">
        <v>1883</v>
      </c>
      <c r="X617" s="1">
        <f t="shared" si="48"/>
        <v>1883</v>
      </c>
      <c r="Y617" s="1"/>
      <c r="Z617" s="1"/>
      <c r="AA617" s="1"/>
      <c r="AB617" s="11"/>
      <c r="AC617" s="82"/>
      <c r="AD617" s="12" t="s">
        <v>52</v>
      </c>
      <c r="AE617" s="12" t="s">
        <v>97</v>
      </c>
      <c r="AN617" s="12" t="s">
        <v>1195</v>
      </c>
      <c r="AR617" s="34" t="s">
        <v>94</v>
      </c>
      <c r="AS617" s="34" t="s">
        <v>94</v>
      </c>
      <c r="AU617" s="12" t="s">
        <v>1936</v>
      </c>
      <c r="AV617" s="13"/>
      <c r="AW617" s="39">
        <v>6</v>
      </c>
      <c r="AX617" s="12">
        <f>VLOOKUP(AW617,색인!$N$14:$O$19,2,FALSE)</f>
        <v>4</v>
      </c>
      <c r="AY617" s="32" t="str">
        <f>"T"&amp;O617&amp;"_"&amp;AX617&amp;"옵션_"&amp;VLOOKUP(E617,색인!$J$25:$K$29,2,FALSE)</f>
        <v>T4_4옵션_장신구</v>
      </c>
      <c r="AZ617" s="32">
        <f>VLOOKUP(G617,색인!$J$32:$K$45,2,FALSE)</f>
        <v>2</v>
      </c>
      <c r="BA617" s="32" t="str">
        <f>_xlfn.IFNA(VLOOKUP(AY617,표1[[검색용]:[OptionGroupIndex'[']22]],EquipItemTable!AZ617,FALSE),"옵션고정안함")</f>
        <v>옵션고정안함</v>
      </c>
    </row>
    <row r="618" spans="1:53" ht="12" customHeight="1" x14ac:dyDescent="0.2">
      <c r="A618" s="13" t="s">
        <v>440</v>
      </c>
      <c r="B618" s="39">
        <v>51017</v>
      </c>
      <c r="C618" s="42" t="s">
        <v>3454</v>
      </c>
      <c r="D618" s="10" t="s">
        <v>78</v>
      </c>
      <c r="E618" s="10" t="s">
        <v>0</v>
      </c>
      <c r="F618" s="1" t="s">
        <v>89</v>
      </c>
      <c r="G618" s="1" t="s">
        <v>1306</v>
      </c>
      <c r="H618" s="1"/>
      <c r="I618" s="1"/>
      <c r="J618" s="1"/>
      <c r="K618" s="1"/>
      <c r="L618" s="1"/>
      <c r="M618" s="1"/>
      <c r="O618" s="12" t="s">
        <v>430</v>
      </c>
      <c r="P618" s="1">
        <v>51</v>
      </c>
      <c r="Q618" s="1"/>
      <c r="R618" s="1"/>
      <c r="S618" s="1"/>
      <c r="T618" s="1"/>
      <c r="U618" s="1"/>
      <c r="V618" s="13"/>
      <c r="W618" s="1">
        <v>1856</v>
      </c>
      <c r="X618" s="1">
        <f t="shared" si="47"/>
        <v>1856</v>
      </c>
      <c r="Y618" s="1"/>
      <c r="Z618" s="1"/>
      <c r="AA618" s="1"/>
      <c r="AB618" s="11"/>
      <c r="AC618" s="82"/>
      <c r="AD618" s="12" t="s">
        <v>542</v>
      </c>
      <c r="AE618" s="12" t="s">
        <v>552</v>
      </c>
      <c r="AN618" s="12"/>
      <c r="AU618" s="12" t="s">
        <v>1932</v>
      </c>
      <c r="AV618" s="13"/>
      <c r="AW618" s="39">
        <v>1</v>
      </c>
      <c r="AY618" s="32"/>
      <c r="AZ618" s="32"/>
      <c r="BA618" s="32"/>
    </row>
    <row r="619" spans="1:53" ht="12" customHeight="1" x14ac:dyDescent="0.2">
      <c r="A619" s="13" t="s">
        <v>441</v>
      </c>
      <c r="B619" s="39">
        <v>51018</v>
      </c>
      <c r="C619" s="42" t="s">
        <v>3455</v>
      </c>
      <c r="D619" s="10" t="s">
        <v>78</v>
      </c>
      <c r="E619" s="10" t="s">
        <v>0</v>
      </c>
      <c r="F619" s="1" t="s">
        <v>89</v>
      </c>
      <c r="G619" s="1" t="s">
        <v>1306</v>
      </c>
      <c r="H619" s="1"/>
      <c r="I619" s="1"/>
      <c r="J619" s="1"/>
      <c r="K619" s="1"/>
      <c r="L619" s="1"/>
      <c r="M619" s="1"/>
      <c r="O619" s="12" t="s">
        <v>430</v>
      </c>
      <c r="P619" s="1">
        <v>51</v>
      </c>
      <c r="Q619" s="1"/>
      <c r="R619" s="1"/>
      <c r="S619" s="1"/>
      <c r="T619" s="1"/>
      <c r="U619" s="1"/>
      <c r="V619" s="13"/>
      <c r="W619" s="1">
        <v>2266</v>
      </c>
      <c r="X619" s="1">
        <f t="shared" si="47"/>
        <v>2266</v>
      </c>
      <c r="Y619" s="1"/>
      <c r="Z619" s="1"/>
      <c r="AA619" s="1"/>
      <c r="AB619" s="11"/>
      <c r="AC619" s="82"/>
      <c r="AD619" s="12" t="s">
        <v>542</v>
      </c>
      <c r="AE619" s="39" t="str">
        <f t="shared" ref="AE619:AE621" si="49">BA619</f>
        <v>5131</v>
      </c>
      <c r="AN619" s="12"/>
      <c r="AU619" s="12" t="s">
        <v>1933</v>
      </c>
      <c r="AV619" s="13"/>
      <c r="AW619" s="39">
        <v>2</v>
      </c>
      <c r="AX619" s="12">
        <f>VLOOKUP(AW619,색인!$N$14:$O$19,2,FALSE)</f>
        <v>1</v>
      </c>
      <c r="AY619" s="39" t="str">
        <f>"T"&amp;O619&amp;"_"&amp;AX619&amp;"옵션_"&amp;VLOOKUP(E619,색인!$J$25:$K$29,2,FALSE)</f>
        <v>T5_1옵션_장신구</v>
      </c>
      <c r="AZ619" s="39">
        <f>VLOOKUP(G619,색인!$J$32:$K$45,2,FALSE)</f>
        <v>2</v>
      </c>
      <c r="BA619" s="39" t="str">
        <f>_xlfn.IFNA(VLOOKUP(AY619,표1[[검색용]:[OptionGroupIndex'[']22]],EquipItemTable!AZ619,FALSE),"옵션고정안함")</f>
        <v>5131</v>
      </c>
    </row>
    <row r="620" spans="1:53" ht="12" customHeight="1" x14ac:dyDescent="0.2">
      <c r="A620" s="13" t="s">
        <v>442</v>
      </c>
      <c r="B620" s="39">
        <v>51019</v>
      </c>
      <c r="C620" s="42" t="s">
        <v>3456</v>
      </c>
      <c r="D620" s="10" t="s">
        <v>78</v>
      </c>
      <c r="E620" s="10" t="s">
        <v>0</v>
      </c>
      <c r="F620" s="1" t="s">
        <v>89</v>
      </c>
      <c r="G620" s="1" t="s">
        <v>1306</v>
      </c>
      <c r="H620" s="1"/>
      <c r="I620" s="1"/>
      <c r="J620" s="1"/>
      <c r="K620" s="1"/>
      <c r="L620" s="1"/>
      <c r="M620" s="1"/>
      <c r="O620" s="12" t="s">
        <v>430</v>
      </c>
      <c r="P620" s="1">
        <v>51</v>
      </c>
      <c r="Q620" s="1"/>
      <c r="R620" s="1"/>
      <c r="S620" s="1"/>
      <c r="T620" s="1"/>
      <c r="U620" s="1"/>
      <c r="V620" s="13"/>
      <c r="W620" s="1">
        <v>2629</v>
      </c>
      <c r="X620" s="1">
        <f t="shared" si="47"/>
        <v>2629</v>
      </c>
      <c r="Y620" s="1"/>
      <c r="Z620" s="1"/>
      <c r="AA620" s="1"/>
      <c r="AB620" s="11"/>
      <c r="AC620" s="82"/>
      <c r="AD620" s="12" t="s">
        <v>542</v>
      </c>
      <c r="AE620" s="39" t="str">
        <f t="shared" si="49"/>
        <v>5231</v>
      </c>
      <c r="AN620" s="12"/>
      <c r="AR620" s="34" t="s">
        <v>543</v>
      </c>
      <c r="AS620" s="34" t="s">
        <v>543</v>
      </c>
      <c r="AU620" s="12" t="s">
        <v>1934</v>
      </c>
      <c r="AV620" s="13"/>
      <c r="AW620" s="39">
        <v>3</v>
      </c>
      <c r="AX620" s="12">
        <f>VLOOKUP(AW620,색인!$N$14:$O$19,2,FALSE)</f>
        <v>2</v>
      </c>
      <c r="AY620" s="39" t="str">
        <f>"T"&amp;O620&amp;"_"&amp;AX620&amp;"옵션_"&amp;VLOOKUP(E620,색인!$J$25:$K$29,2,FALSE)</f>
        <v>T5_2옵션_장신구</v>
      </c>
      <c r="AZ620" s="39">
        <f>VLOOKUP(G620,색인!$J$32:$K$45,2,FALSE)</f>
        <v>2</v>
      </c>
      <c r="BA620" s="39" t="str">
        <f>_xlfn.IFNA(VLOOKUP(AY620,표1[[검색용]:[OptionGroupIndex'[']22]],EquipItemTable!AZ620,FALSE),"옵션고정안함")</f>
        <v>5231</v>
      </c>
    </row>
    <row r="621" spans="1:53" ht="12" customHeight="1" x14ac:dyDescent="0.2">
      <c r="A621" s="13" t="s">
        <v>443</v>
      </c>
      <c r="B621" s="39">
        <v>51020</v>
      </c>
      <c r="C621" s="42" t="s">
        <v>3457</v>
      </c>
      <c r="D621" s="10" t="s">
        <v>78</v>
      </c>
      <c r="E621" s="10" t="s">
        <v>0</v>
      </c>
      <c r="F621" s="1" t="s">
        <v>89</v>
      </c>
      <c r="G621" s="1" t="s">
        <v>1306</v>
      </c>
      <c r="H621" s="1"/>
      <c r="I621" s="1"/>
      <c r="J621" s="1"/>
      <c r="K621" s="1"/>
      <c r="L621" s="1"/>
      <c r="M621" s="1"/>
      <c r="O621" s="12" t="s">
        <v>430</v>
      </c>
      <c r="P621" s="1">
        <v>51</v>
      </c>
      <c r="Q621" s="1"/>
      <c r="R621" s="1"/>
      <c r="S621" s="1"/>
      <c r="T621" s="1"/>
      <c r="U621" s="1"/>
      <c r="V621" s="13"/>
      <c r="W621" s="1">
        <v>3046</v>
      </c>
      <c r="X621" s="1">
        <f t="shared" si="47"/>
        <v>3046</v>
      </c>
      <c r="Y621" s="1"/>
      <c r="Z621" s="1"/>
      <c r="AA621" s="1"/>
      <c r="AB621" s="11"/>
      <c r="AC621" s="82"/>
      <c r="AD621" s="12" t="s">
        <v>542</v>
      </c>
      <c r="AE621" s="39" t="str">
        <f t="shared" si="49"/>
        <v>5331</v>
      </c>
      <c r="AN621" s="12"/>
      <c r="AR621" s="34" t="s">
        <v>543</v>
      </c>
      <c r="AS621" s="34" t="s">
        <v>543</v>
      </c>
      <c r="AU621" s="12" t="s">
        <v>1935</v>
      </c>
      <c r="AV621" s="13"/>
      <c r="AW621" s="39">
        <v>4</v>
      </c>
      <c r="AX621" s="12">
        <f>VLOOKUP(AW621,색인!$N$14:$O$19,2,FALSE)</f>
        <v>3</v>
      </c>
      <c r="AY621" s="39" t="str">
        <f>"T"&amp;O621&amp;"_"&amp;AX621&amp;"옵션_"&amp;VLOOKUP(E621,색인!$J$25:$K$29,2,FALSE)</f>
        <v>T5_3옵션_장신구</v>
      </c>
      <c r="AZ621" s="39">
        <f>VLOOKUP(G621,색인!$J$32:$K$45,2,FALSE)</f>
        <v>2</v>
      </c>
      <c r="BA621" s="39" t="str">
        <f>_xlfn.IFNA(VLOOKUP(AY621,표1[[검색용]:[OptionGroupIndex'[']22]],EquipItemTable!AZ621,FALSE),"옵션고정안함")</f>
        <v>5331</v>
      </c>
    </row>
    <row r="622" spans="1:53" ht="14.1" customHeight="1" x14ac:dyDescent="0.2">
      <c r="A622" s="13" t="s">
        <v>561</v>
      </c>
      <c r="B622" s="39">
        <v>51037</v>
      </c>
      <c r="C622" s="42" t="s">
        <v>3447</v>
      </c>
      <c r="D622" s="10" t="s">
        <v>78</v>
      </c>
      <c r="E622" s="10" t="s">
        <v>0</v>
      </c>
      <c r="F622" s="1" t="s">
        <v>89</v>
      </c>
      <c r="G622" s="1" t="s">
        <v>1306</v>
      </c>
      <c r="H622" s="1"/>
      <c r="I622" s="1"/>
      <c r="J622" s="1"/>
      <c r="K622" s="1"/>
      <c r="L622" s="1"/>
      <c r="M622" s="1"/>
      <c r="O622" s="12" t="s">
        <v>430</v>
      </c>
      <c r="P622" s="1">
        <v>51</v>
      </c>
      <c r="Q622" s="1"/>
      <c r="R622" s="1"/>
      <c r="S622" s="1"/>
      <c r="T622" s="1"/>
      <c r="U622" s="1"/>
      <c r="V622" s="13"/>
      <c r="W622" s="1">
        <v>3517</v>
      </c>
      <c r="X622" s="1">
        <f t="shared" si="47"/>
        <v>3517</v>
      </c>
      <c r="Y622" s="1"/>
      <c r="Z622" s="1"/>
      <c r="AA622" s="1"/>
      <c r="AB622" s="11"/>
      <c r="AC622" s="82"/>
      <c r="AD622" s="12" t="s">
        <v>336</v>
      </c>
      <c r="AE622" s="12" t="s">
        <v>529</v>
      </c>
      <c r="AN622" s="12" t="s">
        <v>969</v>
      </c>
      <c r="AR622" s="34" t="s">
        <v>543</v>
      </c>
      <c r="AS622" s="34" t="s">
        <v>543</v>
      </c>
      <c r="AU622" s="12" t="s">
        <v>1936</v>
      </c>
      <c r="AV622" s="13"/>
      <c r="AW622" s="39">
        <v>6</v>
      </c>
      <c r="AX622" s="12">
        <f>VLOOKUP(AW622,색인!$N$14:$O$19,2,FALSE)</f>
        <v>4</v>
      </c>
      <c r="AY622" s="32" t="str">
        <f>"T"&amp;O622&amp;"_"&amp;AX622&amp;"옵션_"&amp;VLOOKUP(E622,색인!$J$25:$K$29,2,FALSE)</f>
        <v>T5_4옵션_장신구</v>
      </c>
      <c r="AZ622" s="32">
        <f>VLOOKUP(G622,색인!$J$32:$K$45,2,FALSE)</f>
        <v>2</v>
      </c>
      <c r="BA622" s="32" t="str">
        <f>_xlfn.IFNA(VLOOKUP(AY622,표1[[검색용]:[OptionGroupIndex'[']22]],EquipItemTable!AZ622,FALSE),"옵션고정안함")</f>
        <v>옵션고정안함</v>
      </c>
    </row>
    <row r="623" spans="1:53" ht="14.1" customHeight="1" x14ac:dyDescent="0.2">
      <c r="A623" s="13" t="s">
        <v>988</v>
      </c>
      <c r="B623" s="39">
        <v>51035</v>
      </c>
      <c r="C623" s="42" t="s">
        <v>3448</v>
      </c>
      <c r="D623" s="10" t="s">
        <v>78</v>
      </c>
      <c r="E623" s="10" t="s">
        <v>0</v>
      </c>
      <c r="F623" s="1" t="s">
        <v>89</v>
      </c>
      <c r="G623" s="1" t="s">
        <v>1306</v>
      </c>
      <c r="H623" s="1"/>
      <c r="I623" s="1"/>
      <c r="J623" s="1"/>
      <c r="K623" s="1"/>
      <c r="L623" s="1"/>
      <c r="M623" s="1"/>
      <c r="O623" s="12" t="s">
        <v>430</v>
      </c>
      <c r="P623" s="1">
        <v>51</v>
      </c>
      <c r="Q623" s="1"/>
      <c r="R623" s="1"/>
      <c r="S623" s="1"/>
      <c r="T623" s="1"/>
      <c r="U623" s="1"/>
      <c r="V623" s="13"/>
      <c r="W623" s="1">
        <v>3517</v>
      </c>
      <c r="X623" s="1">
        <f t="shared" ref="X623:X625" si="50">W623</f>
        <v>3517</v>
      </c>
      <c r="Y623" s="1"/>
      <c r="Z623" s="1"/>
      <c r="AA623" s="1"/>
      <c r="AB623" s="11"/>
      <c r="AC623" s="82"/>
      <c r="AD623" s="12" t="s">
        <v>336</v>
      </c>
      <c r="AE623" s="12" t="s">
        <v>430</v>
      </c>
      <c r="AN623" s="12" t="s">
        <v>429</v>
      </c>
      <c r="AR623" s="34" t="s">
        <v>428</v>
      </c>
      <c r="AS623" s="34" t="s">
        <v>428</v>
      </c>
      <c r="AU623" s="12" t="s">
        <v>1936</v>
      </c>
      <c r="AV623" s="13"/>
      <c r="AW623" s="39">
        <v>6</v>
      </c>
      <c r="AX623" s="12">
        <f>VLOOKUP(AW623,색인!$N$14:$O$19,2,FALSE)</f>
        <v>4</v>
      </c>
      <c r="AY623" s="32" t="str">
        <f>"T"&amp;O623&amp;"_"&amp;AX623&amp;"옵션_"&amp;VLOOKUP(E623,색인!$J$25:$K$29,2,FALSE)</f>
        <v>T5_4옵션_장신구</v>
      </c>
      <c r="AZ623" s="32">
        <f>VLOOKUP(G623,색인!$J$32:$K$45,2,FALSE)</f>
        <v>2</v>
      </c>
      <c r="BA623" s="32" t="str">
        <f>_xlfn.IFNA(VLOOKUP(AY623,표1[[검색용]:[OptionGroupIndex'[']22]],EquipItemTable!AZ623,FALSE),"옵션고정안함")</f>
        <v>옵션고정안함</v>
      </c>
    </row>
    <row r="624" spans="1:53" ht="14.1" customHeight="1" x14ac:dyDescent="0.2">
      <c r="A624" s="13" t="s">
        <v>989</v>
      </c>
      <c r="B624" s="39">
        <v>51036</v>
      </c>
      <c r="C624" s="42" t="s">
        <v>3449</v>
      </c>
      <c r="D624" s="10" t="s">
        <v>78</v>
      </c>
      <c r="E624" s="10" t="s">
        <v>0</v>
      </c>
      <c r="F624" s="1" t="s">
        <v>89</v>
      </c>
      <c r="G624" s="1" t="s">
        <v>1306</v>
      </c>
      <c r="H624" s="1"/>
      <c r="I624" s="1"/>
      <c r="J624" s="1"/>
      <c r="K624" s="1"/>
      <c r="L624" s="1"/>
      <c r="M624" s="1"/>
      <c r="O624" s="12" t="s">
        <v>430</v>
      </c>
      <c r="P624" s="1">
        <v>51</v>
      </c>
      <c r="Q624" s="1"/>
      <c r="R624" s="1"/>
      <c r="S624" s="1"/>
      <c r="T624" s="1"/>
      <c r="U624" s="1"/>
      <c r="V624" s="13"/>
      <c r="W624" s="1">
        <v>3517</v>
      </c>
      <c r="X624" s="1">
        <f t="shared" si="50"/>
        <v>3517</v>
      </c>
      <c r="Y624" s="1"/>
      <c r="Z624" s="1"/>
      <c r="AA624" s="1"/>
      <c r="AB624" s="11"/>
      <c r="AC624" s="82"/>
      <c r="AD624" s="12" t="s">
        <v>336</v>
      </c>
      <c r="AE624" s="12" t="s">
        <v>430</v>
      </c>
      <c r="AN624" s="12" t="s">
        <v>1193</v>
      </c>
      <c r="AR624" s="34" t="s">
        <v>428</v>
      </c>
      <c r="AS624" s="34" t="s">
        <v>428</v>
      </c>
      <c r="AU624" s="12" t="s">
        <v>1936</v>
      </c>
      <c r="AV624" s="13"/>
      <c r="AW624" s="39">
        <v>6</v>
      </c>
      <c r="AX624" s="12">
        <f>VLOOKUP(AW624,색인!$N$14:$O$19,2,FALSE)</f>
        <v>4</v>
      </c>
      <c r="AY624" s="32" t="str">
        <f>"T"&amp;O624&amp;"_"&amp;AX624&amp;"옵션_"&amp;VLOOKUP(E624,색인!$J$25:$K$29,2,FALSE)</f>
        <v>T5_4옵션_장신구</v>
      </c>
      <c r="AZ624" s="32">
        <f>VLOOKUP(G624,색인!$J$32:$K$45,2,FALSE)</f>
        <v>2</v>
      </c>
      <c r="BA624" s="32" t="str">
        <f>_xlfn.IFNA(VLOOKUP(AY624,표1[[검색용]:[OptionGroupIndex'[']22]],EquipItemTable!AZ624,FALSE),"옵션고정안함")</f>
        <v>옵션고정안함</v>
      </c>
    </row>
    <row r="625" spans="1:53" ht="14.1" customHeight="1" x14ac:dyDescent="0.2">
      <c r="A625" s="13" t="s">
        <v>990</v>
      </c>
      <c r="B625" s="39">
        <v>51023</v>
      </c>
      <c r="C625" s="42" t="s">
        <v>3450</v>
      </c>
      <c r="D625" s="10" t="s">
        <v>78</v>
      </c>
      <c r="E625" s="10" t="s">
        <v>0</v>
      </c>
      <c r="F625" s="1" t="s">
        <v>89</v>
      </c>
      <c r="G625" s="1" t="s">
        <v>1306</v>
      </c>
      <c r="H625" s="1"/>
      <c r="I625" s="1"/>
      <c r="J625" s="1"/>
      <c r="K625" s="1"/>
      <c r="L625" s="1"/>
      <c r="M625" s="1"/>
      <c r="O625" s="12" t="s">
        <v>430</v>
      </c>
      <c r="P625" s="1">
        <v>51</v>
      </c>
      <c r="Q625" s="1"/>
      <c r="R625" s="1"/>
      <c r="S625" s="1"/>
      <c r="T625" s="1"/>
      <c r="U625" s="1"/>
      <c r="V625" s="13"/>
      <c r="W625" s="1">
        <v>3517</v>
      </c>
      <c r="X625" s="1">
        <f t="shared" si="50"/>
        <v>3517</v>
      </c>
      <c r="Y625" s="1"/>
      <c r="Z625" s="1"/>
      <c r="AA625" s="1"/>
      <c r="AB625" s="11"/>
      <c r="AC625" s="82"/>
      <c r="AD625" s="12" t="s">
        <v>336</v>
      </c>
      <c r="AE625" s="12" t="s">
        <v>430</v>
      </c>
      <c r="AN625" s="12" t="s">
        <v>1195</v>
      </c>
      <c r="AR625" s="34" t="s">
        <v>428</v>
      </c>
      <c r="AS625" s="34" t="s">
        <v>428</v>
      </c>
      <c r="AU625" s="12" t="s">
        <v>1936</v>
      </c>
      <c r="AV625" s="13"/>
      <c r="AW625" s="39">
        <v>6</v>
      </c>
      <c r="AX625" s="12">
        <f>VLOOKUP(AW625,색인!$N$14:$O$19,2,FALSE)</f>
        <v>4</v>
      </c>
      <c r="AY625" s="32" t="str">
        <f>"T"&amp;O625&amp;"_"&amp;AX625&amp;"옵션_"&amp;VLOOKUP(E625,색인!$J$25:$K$29,2,FALSE)</f>
        <v>T5_4옵션_장신구</v>
      </c>
      <c r="AZ625" s="32">
        <f>VLOOKUP(G625,색인!$J$32:$K$45,2,FALSE)</f>
        <v>2</v>
      </c>
      <c r="BA625" s="32" t="str">
        <f>_xlfn.IFNA(VLOOKUP(AY625,표1[[검색용]:[OptionGroupIndex'[']22]],EquipItemTable!AZ625,FALSE),"옵션고정안함")</f>
        <v>옵션고정안함</v>
      </c>
    </row>
    <row r="626" spans="1:53" s="1" customFormat="1" ht="12" x14ac:dyDescent="0.2">
      <c r="A626" s="24" t="s">
        <v>757</v>
      </c>
      <c r="B626" s="39">
        <v>51024</v>
      </c>
      <c r="C626" s="42" t="s">
        <v>3458</v>
      </c>
      <c r="D626" s="10" t="s">
        <v>78</v>
      </c>
      <c r="E626" s="10" t="s">
        <v>0</v>
      </c>
      <c r="F626" s="1" t="s">
        <v>758</v>
      </c>
      <c r="G626" s="1" t="s">
        <v>1306</v>
      </c>
      <c r="N626" s="8"/>
      <c r="O626" s="12" t="s">
        <v>755</v>
      </c>
      <c r="P626" s="1">
        <v>61</v>
      </c>
      <c r="V626" s="13"/>
      <c r="W626" s="1">
        <v>3237</v>
      </c>
      <c r="X626" s="1">
        <f t="shared" ref="X626:X630" si="51">W626</f>
        <v>3237</v>
      </c>
      <c r="AB626" s="11"/>
      <c r="AC626" s="82"/>
      <c r="AD626" s="12" t="s">
        <v>756</v>
      </c>
      <c r="AE626" s="12" t="s">
        <v>529</v>
      </c>
      <c r="AF626" s="12"/>
      <c r="AG626" s="23"/>
      <c r="AH626" s="23"/>
      <c r="AI626" s="12"/>
      <c r="AJ626" s="12"/>
      <c r="AK626" s="12"/>
      <c r="AL626" s="12"/>
      <c r="AM626" s="12"/>
      <c r="AN626" s="12"/>
      <c r="AO626" s="12"/>
      <c r="AP626" s="12"/>
      <c r="AQ626" s="8"/>
      <c r="AT626" s="85"/>
      <c r="AU626" s="12" t="s">
        <v>1932</v>
      </c>
      <c r="AW626" s="90">
        <v>1</v>
      </c>
      <c r="AX626" s="23"/>
      <c r="AY626" s="23"/>
      <c r="AZ626" s="23"/>
      <c r="BA626" s="23"/>
    </row>
    <row r="627" spans="1:53" s="1" customFormat="1" ht="12" x14ac:dyDescent="0.2">
      <c r="A627" s="24" t="s">
        <v>759</v>
      </c>
      <c r="B627" s="39">
        <v>51025</v>
      </c>
      <c r="C627" s="42" t="s">
        <v>3459</v>
      </c>
      <c r="D627" s="10" t="s">
        <v>78</v>
      </c>
      <c r="E627" s="10" t="s">
        <v>0</v>
      </c>
      <c r="F627" s="1" t="s">
        <v>760</v>
      </c>
      <c r="G627" s="1" t="s">
        <v>1306</v>
      </c>
      <c r="N627" s="8"/>
      <c r="O627" s="12" t="s">
        <v>747</v>
      </c>
      <c r="P627" s="1">
        <v>61</v>
      </c>
      <c r="V627" s="13"/>
      <c r="W627" s="1">
        <v>3663</v>
      </c>
      <c r="X627" s="1">
        <f t="shared" si="51"/>
        <v>3663</v>
      </c>
      <c r="AB627" s="11"/>
      <c r="AC627" s="82"/>
      <c r="AD627" s="12" t="s">
        <v>748</v>
      </c>
      <c r="AE627" s="39" t="str">
        <f t="shared" ref="AE627:AE629" si="52">BA627</f>
        <v>6131</v>
      </c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8"/>
      <c r="AT627" s="85"/>
      <c r="AU627" s="12" t="s">
        <v>1933</v>
      </c>
      <c r="AW627" s="90">
        <v>2</v>
      </c>
      <c r="AX627" s="23">
        <f>VLOOKUP(AW627,색인!$N$14:$O$19,2,FALSE)</f>
        <v>1</v>
      </c>
      <c r="AY627" s="90" t="str">
        <f>"T"&amp;O627&amp;"_"&amp;AX627&amp;"옵션_"&amp;VLOOKUP(E627,색인!$J$25:$K$29,2,FALSE)</f>
        <v>T6_1옵션_장신구</v>
      </c>
      <c r="AZ627" s="90">
        <f>VLOOKUP(G627,색인!$J$32:$K$45,2,FALSE)</f>
        <v>2</v>
      </c>
      <c r="BA627" s="90" t="str">
        <f>_xlfn.IFNA(VLOOKUP(AY627,표1[[검색용]:[OptionGroupIndex'[']22]],EquipItemTable!AZ627,FALSE),"옵션고정안함")</f>
        <v>6131</v>
      </c>
    </row>
    <row r="628" spans="1:53" s="1" customFormat="1" ht="12" x14ac:dyDescent="0.2">
      <c r="A628" s="24" t="s">
        <v>761</v>
      </c>
      <c r="B628" s="39">
        <v>51026</v>
      </c>
      <c r="C628" s="42" t="s">
        <v>3460</v>
      </c>
      <c r="D628" s="10" t="s">
        <v>78</v>
      </c>
      <c r="E628" s="10" t="s">
        <v>0</v>
      </c>
      <c r="F628" s="1" t="s">
        <v>760</v>
      </c>
      <c r="G628" s="1" t="s">
        <v>1306</v>
      </c>
      <c r="N628" s="8"/>
      <c r="O628" s="12" t="s">
        <v>747</v>
      </c>
      <c r="P628" s="1">
        <v>61</v>
      </c>
      <c r="V628" s="13"/>
      <c r="W628" s="1">
        <v>4037</v>
      </c>
      <c r="X628" s="1">
        <f t="shared" si="51"/>
        <v>4037</v>
      </c>
      <c r="AB628" s="11"/>
      <c r="AC628" s="82"/>
      <c r="AD628" s="12" t="s">
        <v>748</v>
      </c>
      <c r="AE628" s="39" t="str">
        <f t="shared" si="52"/>
        <v>6231</v>
      </c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8"/>
      <c r="AR628" s="1">
        <v>1</v>
      </c>
      <c r="AS628" s="1">
        <v>1</v>
      </c>
      <c r="AT628" s="85"/>
      <c r="AU628" s="12" t="s">
        <v>1934</v>
      </c>
      <c r="AW628" s="90">
        <v>3</v>
      </c>
      <c r="AX628" s="23">
        <f>VLOOKUP(AW628,색인!$N$14:$O$19,2,FALSE)</f>
        <v>2</v>
      </c>
      <c r="AY628" s="90" t="str">
        <f>"T"&amp;O628&amp;"_"&amp;AX628&amp;"옵션_"&amp;VLOOKUP(E628,색인!$J$25:$K$29,2,FALSE)</f>
        <v>T6_2옵션_장신구</v>
      </c>
      <c r="AZ628" s="90">
        <f>VLOOKUP(G628,색인!$J$32:$K$45,2,FALSE)</f>
        <v>2</v>
      </c>
      <c r="BA628" s="90" t="str">
        <f>_xlfn.IFNA(VLOOKUP(AY628,표1[[검색용]:[OptionGroupIndex'[']22]],EquipItemTable!AZ628,FALSE),"옵션고정안함")</f>
        <v>6231</v>
      </c>
    </row>
    <row r="629" spans="1:53" s="1" customFormat="1" ht="12" x14ac:dyDescent="0.2">
      <c r="A629" s="24" t="s">
        <v>762</v>
      </c>
      <c r="B629" s="39">
        <v>51027</v>
      </c>
      <c r="C629" s="42" t="s">
        <v>3461</v>
      </c>
      <c r="D629" s="10" t="s">
        <v>78</v>
      </c>
      <c r="E629" s="10" t="s">
        <v>0</v>
      </c>
      <c r="F629" s="1" t="s">
        <v>763</v>
      </c>
      <c r="G629" s="1" t="s">
        <v>1306</v>
      </c>
      <c r="N629" s="8"/>
      <c r="O629" s="12" t="s">
        <v>764</v>
      </c>
      <c r="P629" s="1">
        <v>61</v>
      </c>
      <c r="V629" s="13"/>
      <c r="W629" s="1">
        <v>4441</v>
      </c>
      <c r="X629" s="1">
        <f t="shared" si="51"/>
        <v>4441</v>
      </c>
      <c r="AB629" s="11"/>
      <c r="AC629" s="82"/>
      <c r="AD629" s="12" t="s">
        <v>765</v>
      </c>
      <c r="AE629" s="39" t="str">
        <f t="shared" si="52"/>
        <v>6331</v>
      </c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8"/>
      <c r="AR629" s="1">
        <v>1</v>
      </c>
      <c r="AS629" s="1">
        <v>1</v>
      </c>
      <c r="AT629" s="85"/>
      <c r="AU629" s="12" t="s">
        <v>1935</v>
      </c>
      <c r="AW629" s="90">
        <v>4</v>
      </c>
      <c r="AX629" s="23">
        <f>VLOOKUP(AW629,색인!$N$14:$O$19,2,FALSE)</f>
        <v>3</v>
      </c>
      <c r="AY629" s="90" t="str">
        <f>"T"&amp;O629&amp;"_"&amp;AX629&amp;"옵션_"&amp;VLOOKUP(E629,색인!$J$25:$K$29,2,FALSE)</f>
        <v>T6_3옵션_장신구</v>
      </c>
      <c r="AZ629" s="90">
        <f>VLOOKUP(G629,색인!$J$32:$K$45,2,FALSE)</f>
        <v>2</v>
      </c>
      <c r="BA629" s="90" t="str">
        <f>_xlfn.IFNA(VLOOKUP(AY629,표1[[검색용]:[OptionGroupIndex'[']22]],EquipItemTable!AZ629,FALSE),"옵션고정안함")</f>
        <v>6331</v>
      </c>
    </row>
    <row r="630" spans="1:53" s="1" customFormat="1" ht="12" x14ac:dyDescent="0.2">
      <c r="A630" s="24" t="s">
        <v>766</v>
      </c>
      <c r="B630" s="39">
        <v>51040</v>
      </c>
      <c r="C630" s="42" t="s">
        <v>3447</v>
      </c>
      <c r="D630" s="10" t="s">
        <v>78</v>
      </c>
      <c r="E630" s="10" t="s">
        <v>0</v>
      </c>
      <c r="F630" s="1" t="s">
        <v>763</v>
      </c>
      <c r="G630" s="1" t="s">
        <v>1306</v>
      </c>
      <c r="N630" s="8"/>
      <c r="O630" s="12" t="s">
        <v>764</v>
      </c>
      <c r="P630" s="1">
        <v>61</v>
      </c>
      <c r="V630" s="13"/>
      <c r="W630" s="1">
        <v>4870</v>
      </c>
      <c r="X630" s="1">
        <f t="shared" si="51"/>
        <v>4870</v>
      </c>
      <c r="AB630" s="11"/>
      <c r="AC630" s="82"/>
      <c r="AD630" s="12" t="s">
        <v>765</v>
      </c>
      <c r="AE630" s="39" t="str">
        <f>BA630</f>
        <v>6431</v>
      </c>
      <c r="AF630" s="12"/>
      <c r="AG630" s="12"/>
      <c r="AH630" s="12"/>
      <c r="AI630" s="12"/>
      <c r="AJ630" s="12"/>
      <c r="AK630" s="12"/>
      <c r="AL630" s="12"/>
      <c r="AM630" s="12"/>
      <c r="AN630" s="12" t="s">
        <v>428</v>
      </c>
      <c r="AO630" s="12"/>
      <c r="AP630" s="12"/>
      <c r="AQ630" s="8"/>
      <c r="AR630" s="1">
        <v>1</v>
      </c>
      <c r="AS630" s="1">
        <v>1</v>
      </c>
      <c r="AT630" s="85"/>
      <c r="AU630" s="12" t="s">
        <v>1936</v>
      </c>
      <c r="AW630" s="90">
        <v>6</v>
      </c>
      <c r="AX630" s="23">
        <f>VLOOKUP(AW630,색인!$N$14:$O$19,2,FALSE)</f>
        <v>4</v>
      </c>
      <c r="AY630" s="23" t="str">
        <f>"T"&amp;O630&amp;"_"&amp;AX630&amp;"옵션_"&amp;VLOOKUP(E630,색인!$J$25:$K$29,2,FALSE)</f>
        <v>T6_4옵션_장신구</v>
      </c>
      <c r="AZ630" s="23">
        <f>VLOOKUP(G630,색인!$J$32:$K$45,2,FALSE)</f>
        <v>2</v>
      </c>
      <c r="BA630" s="23" t="str">
        <f>_xlfn.IFNA(VLOOKUP(AY630,표1[[검색용]:[OptionGroupIndex'[']22]],EquipItemTable!AZ630,FALSE),"옵션고정안함")</f>
        <v>6431</v>
      </c>
    </row>
    <row r="631" spans="1:53" s="1" customFormat="1" ht="12" x14ac:dyDescent="0.2">
      <c r="A631" s="24" t="s">
        <v>991</v>
      </c>
      <c r="B631" s="39">
        <v>51038</v>
      </c>
      <c r="C631" s="42" t="s">
        <v>3448</v>
      </c>
      <c r="D631" s="10" t="s">
        <v>78</v>
      </c>
      <c r="E631" s="10" t="s">
        <v>0</v>
      </c>
      <c r="F631" s="1" t="s">
        <v>758</v>
      </c>
      <c r="G631" s="1" t="s">
        <v>1306</v>
      </c>
      <c r="N631" s="8"/>
      <c r="O631" s="12" t="s">
        <v>747</v>
      </c>
      <c r="P631" s="1">
        <v>61</v>
      </c>
      <c r="V631" s="13"/>
      <c r="W631" s="1">
        <v>4870</v>
      </c>
      <c r="X631" s="1">
        <f t="shared" ref="X631:X633" si="53">W631</f>
        <v>4870</v>
      </c>
      <c r="AB631" s="11"/>
      <c r="AC631" s="82"/>
      <c r="AD631" s="12" t="s">
        <v>336</v>
      </c>
      <c r="AE631" s="39" t="str">
        <f>BA631</f>
        <v>6431</v>
      </c>
      <c r="AF631" s="12"/>
      <c r="AG631" s="12"/>
      <c r="AH631" s="12"/>
      <c r="AI631" s="12"/>
      <c r="AJ631" s="12"/>
      <c r="AK631" s="12"/>
      <c r="AL631" s="12"/>
      <c r="AM631" s="12"/>
      <c r="AN631" s="12" t="s">
        <v>429</v>
      </c>
      <c r="AO631" s="12"/>
      <c r="AP631" s="12"/>
      <c r="AQ631" s="8"/>
      <c r="AR631" s="1">
        <v>1</v>
      </c>
      <c r="AS631" s="1">
        <v>1</v>
      </c>
      <c r="AT631" s="85"/>
      <c r="AU631" s="12" t="s">
        <v>1936</v>
      </c>
      <c r="AW631" s="90">
        <v>6</v>
      </c>
      <c r="AX631" s="23">
        <f>VLOOKUP(AW631,색인!$N$14:$O$19,2,FALSE)</f>
        <v>4</v>
      </c>
      <c r="AY631" s="23" t="str">
        <f>"T"&amp;O631&amp;"_"&amp;AX631&amp;"옵션_"&amp;VLOOKUP(E631,색인!$J$25:$K$29,2,FALSE)</f>
        <v>T6_4옵션_장신구</v>
      </c>
      <c r="AZ631" s="23">
        <f>VLOOKUP(G631,색인!$J$32:$K$45,2,FALSE)</f>
        <v>2</v>
      </c>
      <c r="BA631" s="23" t="str">
        <f>_xlfn.IFNA(VLOOKUP(AY631,표1[[검색용]:[OptionGroupIndex'[']22]],EquipItemTable!AZ631,FALSE),"옵션고정안함")</f>
        <v>6431</v>
      </c>
    </row>
    <row r="632" spans="1:53" s="1" customFormat="1" ht="12" x14ac:dyDescent="0.2">
      <c r="A632" s="24" t="s">
        <v>992</v>
      </c>
      <c r="B632" s="39">
        <v>51039</v>
      </c>
      <c r="C632" s="42" t="s">
        <v>3449</v>
      </c>
      <c r="D632" s="10" t="s">
        <v>78</v>
      </c>
      <c r="E632" s="10" t="s">
        <v>0</v>
      </c>
      <c r="F632" s="1" t="s">
        <v>758</v>
      </c>
      <c r="G632" s="1" t="s">
        <v>1306</v>
      </c>
      <c r="N632" s="8"/>
      <c r="O632" s="12" t="s">
        <v>747</v>
      </c>
      <c r="P632" s="1">
        <v>61</v>
      </c>
      <c r="V632" s="13"/>
      <c r="W632" s="1">
        <v>4870</v>
      </c>
      <c r="X632" s="1">
        <f t="shared" si="53"/>
        <v>4870</v>
      </c>
      <c r="AB632" s="11"/>
      <c r="AC632" s="82"/>
      <c r="AD632" s="12" t="s">
        <v>336</v>
      </c>
      <c r="AE632" s="39" t="str">
        <f>BA632</f>
        <v>6431</v>
      </c>
      <c r="AF632" s="12"/>
      <c r="AG632" s="12"/>
      <c r="AH632" s="12"/>
      <c r="AI632" s="12"/>
      <c r="AJ632" s="12"/>
      <c r="AK632" s="12"/>
      <c r="AL632" s="12"/>
      <c r="AM632" s="12"/>
      <c r="AN632" s="12" t="s">
        <v>1193</v>
      </c>
      <c r="AO632" s="12"/>
      <c r="AP632" s="12"/>
      <c r="AQ632" s="8"/>
      <c r="AR632" s="1">
        <v>1</v>
      </c>
      <c r="AS632" s="1">
        <v>1</v>
      </c>
      <c r="AT632" s="85"/>
      <c r="AU632" s="12" t="s">
        <v>1936</v>
      </c>
      <c r="AW632" s="90">
        <v>6</v>
      </c>
      <c r="AX632" s="23">
        <f>VLOOKUP(AW632,색인!$N$14:$O$19,2,FALSE)</f>
        <v>4</v>
      </c>
      <c r="AY632" s="23" t="str">
        <f>"T"&amp;O632&amp;"_"&amp;AX632&amp;"옵션_"&amp;VLOOKUP(E632,색인!$J$25:$K$29,2,FALSE)</f>
        <v>T6_4옵션_장신구</v>
      </c>
      <c r="AZ632" s="23">
        <f>VLOOKUP(G632,색인!$J$32:$K$45,2,FALSE)</f>
        <v>2</v>
      </c>
      <c r="BA632" s="23" t="str">
        <f>_xlfn.IFNA(VLOOKUP(AY632,표1[[검색용]:[OptionGroupIndex'[']22]],EquipItemTable!AZ632,FALSE),"옵션고정안함")</f>
        <v>6431</v>
      </c>
    </row>
    <row r="633" spans="1:53" s="1" customFormat="1" ht="12" x14ac:dyDescent="0.2">
      <c r="A633" s="24" t="s">
        <v>993</v>
      </c>
      <c r="B633" s="39">
        <v>51028</v>
      </c>
      <c r="C633" s="42" t="s">
        <v>3450</v>
      </c>
      <c r="D633" s="10" t="s">
        <v>78</v>
      </c>
      <c r="E633" s="10" t="s">
        <v>0</v>
      </c>
      <c r="F633" s="1" t="s">
        <v>758</v>
      </c>
      <c r="G633" s="1" t="s">
        <v>1306</v>
      </c>
      <c r="N633" s="8"/>
      <c r="O633" s="12" t="s">
        <v>747</v>
      </c>
      <c r="P633" s="1">
        <v>61</v>
      </c>
      <c r="V633" s="13"/>
      <c r="W633" s="1">
        <v>4870</v>
      </c>
      <c r="X633" s="1">
        <f t="shared" si="53"/>
        <v>4870</v>
      </c>
      <c r="AB633" s="11"/>
      <c r="AC633" s="82"/>
      <c r="AD633" s="12" t="s">
        <v>336</v>
      </c>
      <c r="AE633" s="39" t="str">
        <f>BA633</f>
        <v>6431</v>
      </c>
      <c r="AF633" s="12"/>
      <c r="AG633" s="12"/>
      <c r="AH633" s="12"/>
      <c r="AI633" s="12"/>
      <c r="AJ633" s="12"/>
      <c r="AK633" s="12"/>
      <c r="AL633" s="12"/>
      <c r="AM633" s="12"/>
      <c r="AN633" s="12" t="s">
        <v>1195</v>
      </c>
      <c r="AO633" s="12"/>
      <c r="AP633" s="12"/>
      <c r="AQ633" s="8"/>
      <c r="AR633" s="1">
        <v>1</v>
      </c>
      <c r="AS633" s="1">
        <v>1</v>
      </c>
      <c r="AT633" s="85"/>
      <c r="AU633" s="12" t="s">
        <v>1936</v>
      </c>
      <c r="AW633" s="90">
        <v>6</v>
      </c>
      <c r="AX633" s="23">
        <f>VLOOKUP(AW633,색인!$N$14:$O$19,2,FALSE)</f>
        <v>4</v>
      </c>
      <c r="AY633" s="23" t="str">
        <f>"T"&amp;O633&amp;"_"&amp;AX633&amp;"옵션_"&amp;VLOOKUP(E633,색인!$J$25:$K$29,2,FALSE)</f>
        <v>T6_4옵션_장신구</v>
      </c>
      <c r="AZ633" s="23">
        <f>VLOOKUP(G633,색인!$J$32:$K$45,2,FALSE)</f>
        <v>2</v>
      </c>
      <c r="BA633" s="23" t="str">
        <f>_xlfn.IFNA(VLOOKUP(AY633,표1[[검색용]:[OptionGroupIndex'[']22]],EquipItemTable!AZ633,FALSE),"옵션고정안함")</f>
        <v>6431</v>
      </c>
    </row>
    <row r="634" spans="1:53" ht="12" customHeight="1" x14ac:dyDescent="0.2">
      <c r="A634" s="13" t="s">
        <v>649</v>
      </c>
      <c r="B634" s="39">
        <v>51401</v>
      </c>
      <c r="C634" s="42" t="s">
        <v>3462</v>
      </c>
      <c r="D634" s="10" t="s">
        <v>78</v>
      </c>
      <c r="E634" s="10" t="s">
        <v>0</v>
      </c>
      <c r="F634" s="1" t="s">
        <v>89</v>
      </c>
      <c r="G634" s="1" t="s">
        <v>1306</v>
      </c>
      <c r="H634" s="1"/>
      <c r="I634" s="1"/>
      <c r="J634" s="1"/>
      <c r="K634" s="1"/>
      <c r="L634" s="1"/>
      <c r="M634" s="1"/>
      <c r="O634" s="12" t="s">
        <v>94</v>
      </c>
      <c r="P634" s="1">
        <v>1</v>
      </c>
      <c r="Q634" s="1"/>
      <c r="R634" s="1"/>
      <c r="S634" s="1"/>
      <c r="T634" s="1"/>
      <c r="U634" s="1"/>
      <c r="V634" s="1"/>
      <c r="W634" s="1">
        <v>194</v>
      </c>
      <c r="X634" s="1">
        <f t="shared" si="47"/>
        <v>194</v>
      </c>
      <c r="Y634" s="1"/>
      <c r="Z634" s="1"/>
      <c r="AA634" s="1"/>
      <c r="AB634" s="11"/>
      <c r="AC634" s="82"/>
      <c r="AD634" s="12" t="s">
        <v>868</v>
      </c>
      <c r="AE634" s="39" t="str">
        <f t="shared" ref="AE634:AE644" si="54">BA634</f>
        <v>1331</v>
      </c>
      <c r="AN634" s="12" t="s">
        <v>2833</v>
      </c>
      <c r="AR634" s="34" t="s">
        <v>94</v>
      </c>
      <c r="AS634" s="34" t="s">
        <v>94</v>
      </c>
      <c r="AU634" s="12" t="s">
        <v>1937</v>
      </c>
      <c r="AV634" s="13"/>
      <c r="AW634" s="39">
        <v>5</v>
      </c>
      <c r="AX634" s="12">
        <f>VLOOKUP(AW634,색인!$N$14:$O$19,2,FALSE)</f>
        <v>3</v>
      </c>
      <c r="AY634" s="39" t="str">
        <f>"T"&amp;O634&amp;"_"&amp;AX634&amp;"옵션_"&amp;VLOOKUP(E634,색인!$J$25:$K$29,2,FALSE)</f>
        <v>T1_3옵션_장신구</v>
      </c>
      <c r="AZ634" s="39">
        <f>VLOOKUP(G634,색인!$J$32:$K$45,2,FALSE)</f>
        <v>2</v>
      </c>
      <c r="BA634" s="39" t="str">
        <f>_xlfn.IFNA(VLOOKUP(AY634,표1[[검색용]:[OptionGroupIndex'[']22]],EquipItemTable!AZ634,FALSE),"옵션고정안함")</f>
        <v>1331</v>
      </c>
    </row>
    <row r="635" spans="1:53" ht="12" customHeight="1" x14ac:dyDescent="0.2">
      <c r="A635" s="13" t="s">
        <v>650</v>
      </c>
      <c r="B635" s="39">
        <v>51402</v>
      </c>
      <c r="C635" s="42" t="s">
        <v>3462</v>
      </c>
      <c r="D635" s="10" t="s">
        <v>78</v>
      </c>
      <c r="E635" s="10" t="s">
        <v>0</v>
      </c>
      <c r="F635" s="1" t="s">
        <v>89</v>
      </c>
      <c r="G635" s="1" t="s">
        <v>1306</v>
      </c>
      <c r="H635" s="1"/>
      <c r="I635" s="1"/>
      <c r="J635" s="1"/>
      <c r="K635" s="1"/>
      <c r="L635" s="1"/>
      <c r="M635" s="1"/>
      <c r="O635" s="12" t="s">
        <v>95</v>
      </c>
      <c r="P635" s="1">
        <v>21</v>
      </c>
      <c r="Q635" s="1"/>
      <c r="R635" s="1"/>
      <c r="S635" s="1"/>
      <c r="T635" s="1"/>
      <c r="U635" s="1"/>
      <c r="V635" s="1"/>
      <c r="W635" s="1">
        <v>440</v>
      </c>
      <c r="X635" s="1">
        <f t="shared" si="47"/>
        <v>440</v>
      </c>
      <c r="Y635" s="1"/>
      <c r="Z635" s="1"/>
      <c r="AA635" s="1"/>
      <c r="AB635" s="11"/>
      <c r="AC635" s="82"/>
      <c r="AD635" s="12" t="s">
        <v>868</v>
      </c>
      <c r="AE635" s="39" t="str">
        <f t="shared" si="54"/>
        <v>2331</v>
      </c>
      <c r="AN635" s="12" t="s">
        <v>2833</v>
      </c>
      <c r="AR635" s="34" t="s">
        <v>94</v>
      </c>
      <c r="AS635" s="34" t="s">
        <v>94</v>
      </c>
      <c r="AU635" s="12" t="s">
        <v>1937</v>
      </c>
      <c r="AV635" s="13"/>
      <c r="AW635" s="39">
        <v>5</v>
      </c>
      <c r="AX635" s="12">
        <f>VLOOKUP(AW635,색인!$N$14:$O$19,2,FALSE)</f>
        <v>3</v>
      </c>
      <c r="AY635" s="39" t="str">
        <f>"T"&amp;O635&amp;"_"&amp;AX635&amp;"옵션_"&amp;VLOOKUP(E635,색인!$J$25:$K$29,2,FALSE)</f>
        <v>T2_3옵션_장신구</v>
      </c>
      <c r="AZ635" s="39">
        <f>VLOOKUP(G635,색인!$J$32:$K$45,2,FALSE)</f>
        <v>2</v>
      </c>
      <c r="BA635" s="39" t="str">
        <f>_xlfn.IFNA(VLOOKUP(AY635,표1[[검색용]:[OptionGroupIndex'[']22]],EquipItemTable!AZ635,FALSE),"옵션고정안함")</f>
        <v>2331</v>
      </c>
    </row>
    <row r="636" spans="1:53" ht="12" customHeight="1" x14ac:dyDescent="0.2">
      <c r="A636" s="13" t="s">
        <v>651</v>
      </c>
      <c r="B636" s="39">
        <v>51403</v>
      </c>
      <c r="C636" s="42" t="s">
        <v>3462</v>
      </c>
      <c r="D636" s="10" t="s">
        <v>78</v>
      </c>
      <c r="E636" s="10" t="s">
        <v>0</v>
      </c>
      <c r="F636" s="1" t="s">
        <v>89</v>
      </c>
      <c r="G636" s="1" t="s">
        <v>1306</v>
      </c>
      <c r="H636" s="1"/>
      <c r="I636" s="1"/>
      <c r="J636" s="1"/>
      <c r="K636" s="1"/>
      <c r="L636" s="1"/>
      <c r="M636" s="1"/>
      <c r="N636" s="81"/>
      <c r="O636" s="12" t="s">
        <v>96</v>
      </c>
      <c r="P636" s="1">
        <v>31</v>
      </c>
      <c r="Q636" s="13"/>
      <c r="R636" s="13"/>
      <c r="S636" s="13"/>
      <c r="T636" s="13"/>
      <c r="U636" s="13"/>
      <c r="V636" s="1"/>
      <c r="W636" s="1">
        <v>911</v>
      </c>
      <c r="X636" s="1">
        <f t="shared" si="47"/>
        <v>911</v>
      </c>
      <c r="Y636" s="13"/>
      <c r="Z636" s="13"/>
      <c r="AA636" s="13"/>
      <c r="AB636" s="13"/>
      <c r="AC636" s="82"/>
      <c r="AD636" s="23" t="s">
        <v>52</v>
      </c>
      <c r="AE636" s="90" t="str">
        <f t="shared" si="54"/>
        <v>3331</v>
      </c>
      <c r="AF636" s="23"/>
      <c r="AI636" s="23"/>
      <c r="AJ636" s="23"/>
      <c r="AK636" s="23"/>
      <c r="AL636" s="23"/>
      <c r="AM636" s="23"/>
      <c r="AN636" s="23">
        <v>103</v>
      </c>
      <c r="AO636" s="23"/>
      <c r="AP636" s="23"/>
      <c r="AQ636" s="81"/>
      <c r="AR636" s="83">
        <v>1</v>
      </c>
      <c r="AS636" s="83">
        <v>1</v>
      </c>
      <c r="AT636" s="81"/>
      <c r="AU636" s="12" t="s">
        <v>1937</v>
      </c>
      <c r="AV636" s="13"/>
      <c r="AW636" s="39">
        <v>5</v>
      </c>
      <c r="AX636" s="12">
        <f>VLOOKUP(AW636,색인!$N$14:$O$19,2,FALSE)</f>
        <v>3</v>
      </c>
      <c r="AY636" s="39" t="str">
        <f>"T"&amp;O636&amp;"_"&amp;AX636&amp;"옵션_"&amp;VLOOKUP(E636,색인!$J$25:$K$29,2,FALSE)</f>
        <v>T3_3옵션_장신구</v>
      </c>
      <c r="AZ636" s="39">
        <f>VLOOKUP(G636,색인!$J$32:$K$45,2,FALSE)</f>
        <v>2</v>
      </c>
      <c r="BA636" s="39" t="str">
        <f>_xlfn.IFNA(VLOOKUP(AY636,표1[[검색용]:[OptionGroupIndex'[']22]],EquipItemTable!AZ636,FALSE),"옵션고정안함")</f>
        <v>3331</v>
      </c>
    </row>
    <row r="637" spans="1:53" ht="12" customHeight="1" x14ac:dyDescent="0.2">
      <c r="A637" s="13" t="s">
        <v>652</v>
      </c>
      <c r="B637" s="39">
        <v>51404</v>
      </c>
      <c r="C637" s="42" t="s">
        <v>3462</v>
      </c>
      <c r="D637" s="10" t="s">
        <v>78</v>
      </c>
      <c r="E637" s="10" t="s">
        <v>0</v>
      </c>
      <c r="F637" s="1" t="s">
        <v>89</v>
      </c>
      <c r="G637" s="1" t="s">
        <v>1306</v>
      </c>
      <c r="H637" s="1"/>
      <c r="I637" s="1"/>
      <c r="J637" s="1"/>
      <c r="K637" s="1"/>
      <c r="L637" s="1"/>
      <c r="M637" s="1"/>
      <c r="O637" s="12" t="s">
        <v>97</v>
      </c>
      <c r="P637" s="1">
        <v>41</v>
      </c>
      <c r="Q637" s="1"/>
      <c r="R637" s="1"/>
      <c r="S637" s="1"/>
      <c r="T637" s="1"/>
      <c r="U637" s="1"/>
      <c r="V637" s="13"/>
      <c r="W637" s="1">
        <v>1776</v>
      </c>
      <c r="X637" s="1">
        <f t="shared" ref="X637:X669" si="55">W637</f>
        <v>1776</v>
      </c>
      <c r="Y637" s="1"/>
      <c r="Z637" s="1"/>
      <c r="AA637" s="1"/>
      <c r="AB637" s="11"/>
      <c r="AC637" s="82"/>
      <c r="AD637" s="12" t="s">
        <v>52</v>
      </c>
      <c r="AE637" s="39" t="str">
        <f t="shared" si="54"/>
        <v>4331</v>
      </c>
      <c r="AN637" s="12" t="s">
        <v>2833</v>
      </c>
      <c r="AR637" s="34" t="s">
        <v>94</v>
      </c>
      <c r="AS637" s="34" t="s">
        <v>94</v>
      </c>
      <c r="AU637" s="12" t="s">
        <v>1937</v>
      </c>
      <c r="AV637" s="13"/>
      <c r="AW637" s="39">
        <v>5</v>
      </c>
      <c r="AX637" s="12">
        <f>VLOOKUP(AW637,색인!$N$14:$O$19,2,FALSE)</f>
        <v>3</v>
      </c>
      <c r="AY637" s="39" t="str">
        <f>"T"&amp;O637&amp;"_"&amp;AX637&amp;"옵션_"&amp;VLOOKUP(E637,색인!$J$25:$K$29,2,FALSE)</f>
        <v>T4_3옵션_장신구</v>
      </c>
      <c r="AZ637" s="39">
        <f>VLOOKUP(G637,색인!$J$32:$K$45,2,FALSE)</f>
        <v>2</v>
      </c>
      <c r="BA637" s="39" t="str">
        <f>_xlfn.IFNA(VLOOKUP(AY637,표1[[검색용]:[OptionGroupIndex'[']22]],EquipItemTable!AZ637,FALSE),"옵션고정안함")</f>
        <v>4331</v>
      </c>
    </row>
    <row r="638" spans="1:53" ht="12" customHeight="1" x14ac:dyDescent="0.2">
      <c r="A638" s="13" t="s">
        <v>653</v>
      </c>
      <c r="B638" s="39">
        <v>51405</v>
      </c>
      <c r="C638" s="42" t="s">
        <v>3462</v>
      </c>
      <c r="D638" s="10" t="s">
        <v>78</v>
      </c>
      <c r="E638" s="10" t="s">
        <v>0</v>
      </c>
      <c r="F638" s="1" t="s">
        <v>89</v>
      </c>
      <c r="G638" s="1" t="s">
        <v>1306</v>
      </c>
      <c r="H638" s="1"/>
      <c r="I638" s="1"/>
      <c r="J638" s="1"/>
      <c r="K638" s="1"/>
      <c r="L638" s="1"/>
      <c r="M638" s="1"/>
      <c r="O638" s="12" t="s">
        <v>430</v>
      </c>
      <c r="P638" s="1">
        <v>51</v>
      </c>
      <c r="Q638" s="1"/>
      <c r="R638" s="1"/>
      <c r="S638" s="1"/>
      <c r="T638" s="1"/>
      <c r="U638" s="1"/>
      <c r="V638" s="13"/>
      <c r="W638" s="1">
        <v>3350</v>
      </c>
      <c r="X638" s="1">
        <f t="shared" si="55"/>
        <v>3350</v>
      </c>
      <c r="Y638" s="1"/>
      <c r="Z638" s="1"/>
      <c r="AA638" s="1"/>
      <c r="AB638" s="11"/>
      <c r="AC638" s="82"/>
      <c r="AD638" s="12" t="s">
        <v>98</v>
      </c>
      <c r="AE638" s="39" t="str">
        <f t="shared" si="54"/>
        <v>5331</v>
      </c>
      <c r="AN638" s="12" t="s">
        <v>2833</v>
      </c>
      <c r="AR638" s="34" t="s">
        <v>94</v>
      </c>
      <c r="AS638" s="34" t="s">
        <v>94</v>
      </c>
      <c r="AU638" s="12" t="s">
        <v>1937</v>
      </c>
      <c r="AV638" s="13"/>
      <c r="AW638" s="39">
        <v>5</v>
      </c>
      <c r="AX638" s="12">
        <f>VLOOKUP(AW638,색인!$N$14:$O$19,2,FALSE)</f>
        <v>3</v>
      </c>
      <c r="AY638" s="39" t="str">
        <f>"T"&amp;O638&amp;"_"&amp;AX638&amp;"옵션_"&amp;VLOOKUP(E638,색인!$J$25:$K$29,2,FALSE)</f>
        <v>T5_3옵션_장신구</v>
      </c>
      <c r="AZ638" s="39">
        <f>VLOOKUP(G638,색인!$J$32:$K$45,2,FALSE)</f>
        <v>2</v>
      </c>
      <c r="BA638" s="39" t="str">
        <f>_xlfn.IFNA(VLOOKUP(AY638,표1[[검색용]:[OptionGroupIndex'[']22]],EquipItemTable!AZ638,FALSE),"옵션고정안함")</f>
        <v>5331</v>
      </c>
    </row>
    <row r="639" spans="1:53" s="1" customFormat="1" ht="12" x14ac:dyDescent="0.2">
      <c r="A639" s="24" t="s">
        <v>767</v>
      </c>
      <c r="B639" s="39">
        <v>51406</v>
      </c>
      <c r="C639" s="42" t="s">
        <v>3462</v>
      </c>
      <c r="D639" s="10" t="s">
        <v>78</v>
      </c>
      <c r="E639" s="10" t="s">
        <v>0</v>
      </c>
      <c r="F639" s="1" t="s">
        <v>758</v>
      </c>
      <c r="G639" s="1" t="s">
        <v>1306</v>
      </c>
      <c r="N639" s="8"/>
      <c r="O639" s="12" t="s">
        <v>755</v>
      </c>
      <c r="P639" s="1">
        <v>61</v>
      </c>
      <c r="V639" s="13"/>
      <c r="W639" s="1">
        <v>4885</v>
      </c>
      <c r="X639" s="1">
        <f t="shared" si="55"/>
        <v>4885</v>
      </c>
      <c r="AB639" s="11"/>
      <c r="AC639" s="82"/>
      <c r="AD639" s="12" t="s">
        <v>756</v>
      </c>
      <c r="AE639" s="39" t="str">
        <f t="shared" si="54"/>
        <v>6331</v>
      </c>
      <c r="AF639" s="12"/>
      <c r="AG639" s="12"/>
      <c r="AH639" s="12"/>
      <c r="AI639" s="12"/>
      <c r="AJ639" s="12"/>
      <c r="AK639" s="12"/>
      <c r="AL639" s="12"/>
      <c r="AM639" s="12"/>
      <c r="AN639" s="12" t="s">
        <v>2834</v>
      </c>
      <c r="AO639" s="12"/>
      <c r="AP639" s="12"/>
      <c r="AQ639" s="8"/>
      <c r="AR639" s="34" t="s">
        <v>865</v>
      </c>
      <c r="AS639" s="34" t="s">
        <v>865</v>
      </c>
      <c r="AT639" s="85"/>
      <c r="AU639" s="12" t="s">
        <v>1937</v>
      </c>
      <c r="AW639" s="90">
        <v>5</v>
      </c>
      <c r="AX639" s="23">
        <f>VLOOKUP(AW639,색인!$N$14:$O$19,2,FALSE)</f>
        <v>3</v>
      </c>
      <c r="AY639" s="90" t="str">
        <f>"T"&amp;O639&amp;"_"&amp;AX639&amp;"옵션_"&amp;VLOOKUP(E639,색인!$J$25:$K$29,2,FALSE)</f>
        <v>T6_3옵션_장신구</v>
      </c>
      <c r="AZ639" s="90">
        <f>VLOOKUP(G639,색인!$J$32:$K$45,2,FALSE)</f>
        <v>2</v>
      </c>
      <c r="BA639" s="90" t="str">
        <f>_xlfn.IFNA(VLOOKUP(AY639,표1[[검색용]:[OptionGroupIndex'[']22]],EquipItemTable!AZ639,FALSE),"옵션고정안함")</f>
        <v>6331</v>
      </c>
    </row>
    <row r="640" spans="1:53" s="1" customFormat="1" ht="12" x14ac:dyDescent="0.2">
      <c r="A640" s="24" t="s">
        <v>1208</v>
      </c>
      <c r="B640" s="39">
        <v>51407</v>
      </c>
      <c r="C640" s="42" t="s">
        <v>3463</v>
      </c>
      <c r="D640" s="10" t="s">
        <v>78</v>
      </c>
      <c r="E640" s="10" t="s">
        <v>0</v>
      </c>
      <c r="F640" s="1" t="s">
        <v>758</v>
      </c>
      <c r="G640" s="1" t="s">
        <v>1306</v>
      </c>
      <c r="N640" s="8"/>
      <c r="O640" s="12" t="s">
        <v>747</v>
      </c>
      <c r="P640" s="1">
        <v>61</v>
      </c>
      <c r="V640" s="13"/>
      <c r="W640" s="1">
        <v>4885</v>
      </c>
      <c r="X640" s="1">
        <f t="shared" ref="X640:X644" si="56">W640</f>
        <v>4885</v>
      </c>
      <c r="AB640" s="11"/>
      <c r="AC640" s="82"/>
      <c r="AD640" s="12" t="s">
        <v>336</v>
      </c>
      <c r="AE640" s="39" t="str">
        <f t="shared" si="54"/>
        <v>6331</v>
      </c>
      <c r="AF640" s="12"/>
      <c r="AG640" s="12"/>
      <c r="AH640" s="12"/>
      <c r="AI640" s="12"/>
      <c r="AJ640" s="12"/>
      <c r="AK640" s="12"/>
      <c r="AL640" s="12"/>
      <c r="AM640" s="12"/>
      <c r="AN640" s="12" t="s">
        <v>1217</v>
      </c>
      <c r="AO640" s="12"/>
      <c r="AP640" s="12"/>
      <c r="AQ640" s="8"/>
      <c r="AR640" s="34" t="s">
        <v>865</v>
      </c>
      <c r="AS640" s="34" t="s">
        <v>865</v>
      </c>
      <c r="AT640" s="85"/>
      <c r="AU640" s="12" t="s">
        <v>1937</v>
      </c>
      <c r="AW640" s="90">
        <v>5</v>
      </c>
      <c r="AX640" s="23">
        <f>VLOOKUP(AW640,색인!$N$14:$O$19,2,FALSE)</f>
        <v>3</v>
      </c>
      <c r="AY640" s="90" t="str">
        <f>"T"&amp;O640&amp;"_"&amp;AX640&amp;"옵션_"&amp;VLOOKUP(E640,색인!$J$25:$K$29,2,FALSE)</f>
        <v>T6_3옵션_장신구</v>
      </c>
      <c r="AZ640" s="90">
        <f>VLOOKUP(G640,색인!$J$32:$K$45,2,FALSE)</f>
        <v>2</v>
      </c>
      <c r="BA640" s="90" t="str">
        <f>_xlfn.IFNA(VLOOKUP(AY640,표1[[검색용]:[OptionGroupIndex'[']22]],EquipItemTable!AZ640,FALSE),"옵션고정안함")</f>
        <v>6331</v>
      </c>
    </row>
    <row r="641" spans="1:53" s="1" customFormat="1" ht="12" x14ac:dyDescent="0.2">
      <c r="A641" s="24" t="s">
        <v>1209</v>
      </c>
      <c r="B641" s="39">
        <v>51408</v>
      </c>
      <c r="C641" s="42" t="s">
        <v>3464</v>
      </c>
      <c r="D641" s="10" t="s">
        <v>78</v>
      </c>
      <c r="E641" s="10" t="s">
        <v>0</v>
      </c>
      <c r="F641" s="1" t="s">
        <v>758</v>
      </c>
      <c r="G641" s="1" t="s">
        <v>1306</v>
      </c>
      <c r="J641" s="27"/>
      <c r="K641" s="27"/>
      <c r="L641" s="27"/>
      <c r="M641" s="27"/>
      <c r="N641" s="8"/>
      <c r="O641" s="12" t="s">
        <v>747</v>
      </c>
      <c r="P641" s="1">
        <v>61</v>
      </c>
      <c r="V641" s="13"/>
      <c r="W641" s="1">
        <v>4885</v>
      </c>
      <c r="X641" s="1">
        <f t="shared" si="56"/>
        <v>4885</v>
      </c>
      <c r="AB641" s="11"/>
      <c r="AC641" s="82"/>
      <c r="AD641" s="12" t="s">
        <v>336</v>
      </c>
      <c r="AE641" s="39" t="str">
        <f t="shared" si="54"/>
        <v>6331</v>
      </c>
      <c r="AF641" s="12"/>
      <c r="AG641" s="29"/>
      <c r="AH641" s="29"/>
      <c r="AI641" s="12"/>
      <c r="AJ641" s="12"/>
      <c r="AK641" s="12"/>
      <c r="AL641" s="12"/>
      <c r="AM641" s="12"/>
      <c r="AN641" s="12" t="s">
        <v>1213</v>
      </c>
      <c r="AO641" s="12"/>
      <c r="AP641" s="12"/>
      <c r="AQ641" s="8"/>
      <c r="AR641" s="34" t="s">
        <v>865</v>
      </c>
      <c r="AS641" s="34" t="s">
        <v>865</v>
      </c>
      <c r="AT641" s="85"/>
      <c r="AU641" s="12" t="s">
        <v>1937</v>
      </c>
      <c r="AW641" s="90">
        <v>5</v>
      </c>
      <c r="AX641" s="23">
        <f>VLOOKUP(AW641,색인!$N$14:$O$19,2,FALSE)</f>
        <v>3</v>
      </c>
      <c r="AY641" s="90" t="str">
        <f>"T"&amp;O641&amp;"_"&amp;AX641&amp;"옵션_"&amp;VLOOKUP(E641,색인!$J$25:$K$29,2,FALSE)</f>
        <v>T6_3옵션_장신구</v>
      </c>
      <c r="AZ641" s="90">
        <f>VLOOKUP(G641,색인!$J$32:$K$45,2,FALSE)</f>
        <v>2</v>
      </c>
      <c r="BA641" s="90" t="str">
        <f>_xlfn.IFNA(VLOOKUP(AY641,표1[[검색용]:[OptionGroupIndex'[']22]],EquipItemTable!AZ641,FALSE),"옵션고정안함")</f>
        <v>6331</v>
      </c>
    </row>
    <row r="642" spans="1:53" s="1" customFormat="1" ht="12" x14ac:dyDescent="0.2">
      <c r="A642" s="24" t="s">
        <v>1210</v>
      </c>
      <c r="B642" s="39">
        <v>51409</v>
      </c>
      <c r="C642" s="42" t="s">
        <v>3465</v>
      </c>
      <c r="D642" s="10" t="s">
        <v>78</v>
      </c>
      <c r="E642" s="10" t="s">
        <v>0</v>
      </c>
      <c r="F642" s="1" t="s">
        <v>758</v>
      </c>
      <c r="G642" s="1" t="s">
        <v>1306</v>
      </c>
      <c r="J642" s="27"/>
      <c r="K642" s="27"/>
      <c r="L642" s="27"/>
      <c r="M642" s="27"/>
      <c r="N642" s="8"/>
      <c r="O642" s="12" t="s">
        <v>747</v>
      </c>
      <c r="P642" s="1">
        <v>61</v>
      </c>
      <c r="V642" s="13"/>
      <c r="W642" s="1">
        <v>4885</v>
      </c>
      <c r="X642" s="1">
        <f t="shared" si="56"/>
        <v>4885</v>
      </c>
      <c r="AB642" s="11"/>
      <c r="AC642" s="82"/>
      <c r="AD642" s="12" t="s">
        <v>336</v>
      </c>
      <c r="AE642" s="39" t="str">
        <f t="shared" si="54"/>
        <v>6331</v>
      </c>
      <c r="AF642" s="12"/>
      <c r="AG642" s="29"/>
      <c r="AH642" s="29"/>
      <c r="AI642" s="12"/>
      <c r="AJ642" s="12"/>
      <c r="AK642" s="12"/>
      <c r="AL642" s="12"/>
      <c r="AM642" s="12"/>
      <c r="AN642" s="12" t="s">
        <v>1214</v>
      </c>
      <c r="AO642" s="12"/>
      <c r="AP642" s="12"/>
      <c r="AQ642" s="8"/>
      <c r="AR642" s="34" t="s">
        <v>865</v>
      </c>
      <c r="AS642" s="34" t="s">
        <v>865</v>
      </c>
      <c r="AT642" s="85"/>
      <c r="AU642" s="12" t="s">
        <v>1937</v>
      </c>
      <c r="AW642" s="90">
        <v>5</v>
      </c>
      <c r="AX642" s="23">
        <f>VLOOKUP(AW642,색인!$N$14:$O$19,2,FALSE)</f>
        <v>3</v>
      </c>
      <c r="AY642" s="90" t="str">
        <f>"T"&amp;O642&amp;"_"&amp;AX642&amp;"옵션_"&amp;VLOOKUP(E642,색인!$J$25:$K$29,2,FALSE)</f>
        <v>T6_3옵션_장신구</v>
      </c>
      <c r="AZ642" s="90">
        <f>VLOOKUP(G642,색인!$J$32:$K$45,2,FALSE)</f>
        <v>2</v>
      </c>
      <c r="BA642" s="90" t="str">
        <f>_xlfn.IFNA(VLOOKUP(AY642,표1[[검색용]:[OptionGroupIndex'[']22]],EquipItemTable!AZ642,FALSE),"옵션고정안함")</f>
        <v>6331</v>
      </c>
    </row>
    <row r="643" spans="1:53" s="1" customFormat="1" ht="12" x14ac:dyDescent="0.2">
      <c r="A643" s="24" t="s">
        <v>1211</v>
      </c>
      <c r="B643" s="39">
        <v>51410</v>
      </c>
      <c r="C643" s="42" t="s">
        <v>3466</v>
      </c>
      <c r="D643" s="10" t="s">
        <v>78</v>
      </c>
      <c r="E643" s="10" t="s">
        <v>0</v>
      </c>
      <c r="F643" s="1" t="s">
        <v>758</v>
      </c>
      <c r="G643" s="1" t="s">
        <v>1306</v>
      </c>
      <c r="J643" s="27"/>
      <c r="K643" s="27"/>
      <c r="L643" s="27"/>
      <c r="M643" s="27"/>
      <c r="N643" s="8"/>
      <c r="O643" s="12" t="s">
        <v>747</v>
      </c>
      <c r="P643" s="1">
        <v>61</v>
      </c>
      <c r="V643" s="13"/>
      <c r="W643" s="1">
        <v>4885</v>
      </c>
      <c r="X643" s="1">
        <f t="shared" si="56"/>
        <v>4885</v>
      </c>
      <c r="AB643" s="11"/>
      <c r="AC643" s="82"/>
      <c r="AD643" s="12" t="s">
        <v>336</v>
      </c>
      <c r="AE643" s="39" t="str">
        <f t="shared" si="54"/>
        <v>6331</v>
      </c>
      <c r="AF643" s="12"/>
      <c r="AG643" s="29"/>
      <c r="AH643" s="29"/>
      <c r="AI643" s="12"/>
      <c r="AJ643" s="12"/>
      <c r="AK643" s="12"/>
      <c r="AL643" s="12"/>
      <c r="AM643" s="12"/>
      <c r="AN643" s="12" t="s">
        <v>1215</v>
      </c>
      <c r="AO643" s="12"/>
      <c r="AP643" s="12"/>
      <c r="AQ643" s="8"/>
      <c r="AR643" s="34" t="s">
        <v>865</v>
      </c>
      <c r="AS643" s="34" t="s">
        <v>865</v>
      </c>
      <c r="AT643" s="85"/>
      <c r="AU643" s="12" t="s">
        <v>1937</v>
      </c>
      <c r="AW643" s="90">
        <v>5</v>
      </c>
      <c r="AX643" s="23">
        <f>VLOOKUP(AW643,색인!$N$14:$O$19,2,FALSE)</f>
        <v>3</v>
      </c>
      <c r="AY643" s="90" t="str">
        <f>"T"&amp;O643&amp;"_"&amp;AX643&amp;"옵션_"&amp;VLOOKUP(E643,색인!$J$25:$K$29,2,FALSE)</f>
        <v>T6_3옵션_장신구</v>
      </c>
      <c r="AZ643" s="90">
        <f>VLOOKUP(G643,색인!$J$32:$K$45,2,FALSE)</f>
        <v>2</v>
      </c>
      <c r="BA643" s="90" t="str">
        <f>_xlfn.IFNA(VLOOKUP(AY643,표1[[검색용]:[OptionGroupIndex'[']22]],EquipItemTable!AZ643,FALSE),"옵션고정안함")</f>
        <v>6331</v>
      </c>
    </row>
    <row r="644" spans="1:53" s="1" customFormat="1" ht="12" x14ac:dyDescent="0.2">
      <c r="A644" s="24" t="s">
        <v>1212</v>
      </c>
      <c r="B644" s="39">
        <v>51411</v>
      </c>
      <c r="C644" s="42" t="s">
        <v>3467</v>
      </c>
      <c r="D644" s="10" t="s">
        <v>78</v>
      </c>
      <c r="E644" s="10" t="s">
        <v>0</v>
      </c>
      <c r="F644" s="1" t="s">
        <v>758</v>
      </c>
      <c r="G644" s="1" t="s">
        <v>1306</v>
      </c>
      <c r="J644" s="27"/>
      <c r="K644" s="27"/>
      <c r="L644" s="27"/>
      <c r="M644" s="27"/>
      <c r="N644" s="8"/>
      <c r="O644" s="12" t="s">
        <v>747</v>
      </c>
      <c r="P644" s="1">
        <v>61</v>
      </c>
      <c r="V644" s="13"/>
      <c r="W644" s="1">
        <v>4885</v>
      </c>
      <c r="X644" s="1">
        <f t="shared" si="56"/>
        <v>4885</v>
      </c>
      <c r="AB644" s="11"/>
      <c r="AC644" s="82"/>
      <c r="AD644" s="12" t="s">
        <v>336</v>
      </c>
      <c r="AE644" s="39" t="str">
        <f t="shared" si="54"/>
        <v>6331</v>
      </c>
      <c r="AF644" s="12"/>
      <c r="AG644" s="29"/>
      <c r="AH644" s="29"/>
      <c r="AI644" s="12"/>
      <c r="AJ644" s="12"/>
      <c r="AK644" s="12"/>
      <c r="AL644" s="12"/>
      <c r="AM644" s="12"/>
      <c r="AN644" s="12" t="s">
        <v>1216</v>
      </c>
      <c r="AO644" s="12"/>
      <c r="AP644" s="12"/>
      <c r="AQ644" s="8"/>
      <c r="AR644" s="34" t="s">
        <v>865</v>
      </c>
      <c r="AS644" s="34" t="s">
        <v>865</v>
      </c>
      <c r="AT644" s="85"/>
      <c r="AU644" s="12" t="s">
        <v>1937</v>
      </c>
      <c r="AW644" s="90">
        <v>5</v>
      </c>
      <c r="AX644" s="23">
        <f>VLOOKUP(AW644,색인!$N$14:$O$19,2,FALSE)</f>
        <v>3</v>
      </c>
      <c r="AY644" s="90" t="str">
        <f>"T"&amp;O644&amp;"_"&amp;AX644&amp;"옵션_"&amp;VLOOKUP(E644,색인!$J$25:$K$29,2,FALSE)</f>
        <v>T6_3옵션_장신구</v>
      </c>
      <c r="AZ644" s="90">
        <f>VLOOKUP(G644,색인!$J$32:$K$45,2,FALSE)</f>
        <v>2</v>
      </c>
      <c r="BA644" s="90" t="str">
        <f>_xlfn.IFNA(VLOOKUP(AY644,표1[[검색용]:[OptionGroupIndex'[']22]],EquipItemTable!AZ644,FALSE),"옵션고정안함")</f>
        <v>6331</v>
      </c>
    </row>
    <row r="645" spans="1:53" s="1" customFormat="1" ht="12" x14ac:dyDescent="0.2">
      <c r="A645" s="24" t="s">
        <v>883</v>
      </c>
      <c r="B645" s="39">
        <v>51601</v>
      </c>
      <c r="C645" s="42" t="e">
        <v>#N/A</v>
      </c>
      <c r="D645" s="10" t="s">
        <v>2958</v>
      </c>
      <c r="E645" s="10" t="s">
        <v>435</v>
      </c>
      <c r="F645" s="1" t="s">
        <v>928</v>
      </c>
      <c r="G645" s="1" t="s">
        <v>1306</v>
      </c>
      <c r="J645" s="27"/>
      <c r="K645" s="27"/>
      <c r="L645" s="27"/>
      <c r="M645" s="27"/>
      <c r="N645" s="8"/>
      <c r="O645" s="12" t="s">
        <v>881</v>
      </c>
      <c r="P645" s="1">
        <v>31</v>
      </c>
      <c r="W645" s="1">
        <v>1125</v>
      </c>
      <c r="X645" s="1">
        <f t="shared" si="55"/>
        <v>1125</v>
      </c>
      <c r="AB645" s="11"/>
      <c r="AC645" s="82"/>
      <c r="AD645" s="12" t="s">
        <v>99</v>
      </c>
      <c r="AE645" s="12" t="s">
        <v>881</v>
      </c>
      <c r="AF645" s="12"/>
      <c r="AG645" s="29"/>
      <c r="AH645" s="29"/>
      <c r="AQ645" s="85"/>
      <c r="AR645" s="1">
        <v>1</v>
      </c>
      <c r="AS645" s="1">
        <v>1</v>
      </c>
      <c r="AT645" s="85"/>
      <c r="AU645" s="12" t="s">
        <v>1938</v>
      </c>
      <c r="AW645" s="90">
        <v>7</v>
      </c>
      <c r="AX645" s="23"/>
      <c r="AY645" s="23"/>
      <c r="AZ645" s="23"/>
      <c r="BA645" s="23"/>
    </row>
    <row r="646" spans="1:53" s="1" customFormat="1" ht="12" x14ac:dyDescent="0.2">
      <c r="A646" s="24" t="s">
        <v>884</v>
      </c>
      <c r="B646" s="39">
        <v>51602</v>
      </c>
      <c r="C646" s="42" t="e">
        <v>#N/A</v>
      </c>
      <c r="D646" s="10" t="s">
        <v>2958</v>
      </c>
      <c r="E646" s="10" t="s">
        <v>435</v>
      </c>
      <c r="F646" s="1" t="s">
        <v>928</v>
      </c>
      <c r="G646" s="1" t="s">
        <v>1306</v>
      </c>
      <c r="J646" s="27"/>
      <c r="K646" s="27"/>
      <c r="L646" s="27"/>
      <c r="M646" s="27"/>
      <c r="N646" s="8"/>
      <c r="O646" s="12" t="s">
        <v>882</v>
      </c>
      <c r="P646" s="1">
        <v>41</v>
      </c>
      <c r="W646" s="1">
        <v>2164</v>
      </c>
      <c r="X646" s="1">
        <f t="shared" si="55"/>
        <v>2164</v>
      </c>
      <c r="AB646" s="11"/>
      <c r="AC646" s="82"/>
      <c r="AD646" s="12" t="s">
        <v>99</v>
      </c>
      <c r="AE646" s="12" t="s">
        <v>551</v>
      </c>
      <c r="AF646" s="12"/>
      <c r="AG646" s="29"/>
      <c r="AH646" s="29"/>
      <c r="AQ646" s="85"/>
      <c r="AR646" s="1">
        <v>1</v>
      </c>
      <c r="AS646" s="1">
        <v>1</v>
      </c>
      <c r="AT646" s="85"/>
      <c r="AU646" s="12" t="s">
        <v>1938</v>
      </c>
      <c r="AW646" s="90">
        <v>7</v>
      </c>
      <c r="AX646" s="23"/>
      <c r="AY646" s="23"/>
      <c r="AZ646" s="23"/>
      <c r="BA646" s="23"/>
    </row>
    <row r="647" spans="1:53" s="1" customFormat="1" ht="12" x14ac:dyDescent="0.2">
      <c r="A647" s="24" t="s">
        <v>885</v>
      </c>
      <c r="B647" s="39">
        <v>51603</v>
      </c>
      <c r="C647" s="42" t="e">
        <v>#N/A</v>
      </c>
      <c r="D647" s="10" t="s">
        <v>2958</v>
      </c>
      <c r="E647" s="10" t="s">
        <v>435</v>
      </c>
      <c r="F647" s="1" t="s">
        <v>928</v>
      </c>
      <c r="G647" s="1" t="s">
        <v>1306</v>
      </c>
      <c r="J647" s="27"/>
      <c r="K647" s="27"/>
      <c r="L647" s="27"/>
      <c r="M647" s="27"/>
      <c r="N647" s="8"/>
      <c r="O647" s="12" t="s">
        <v>430</v>
      </c>
      <c r="P647" s="1">
        <v>51</v>
      </c>
      <c r="W647" s="1">
        <v>4043</v>
      </c>
      <c r="X647" s="1">
        <f t="shared" si="55"/>
        <v>4043</v>
      </c>
      <c r="AB647" s="11"/>
      <c r="AC647" s="82"/>
      <c r="AD647" s="12" t="s">
        <v>99</v>
      </c>
      <c r="AE647" s="12" t="s">
        <v>430</v>
      </c>
      <c r="AF647" s="12"/>
      <c r="AG647" s="29"/>
      <c r="AH647" s="29"/>
      <c r="AQ647" s="85"/>
      <c r="AR647" s="1">
        <v>1</v>
      </c>
      <c r="AS647" s="1">
        <v>1</v>
      </c>
      <c r="AT647" s="85"/>
      <c r="AU647" s="12" t="s">
        <v>1938</v>
      </c>
      <c r="AW647" s="90">
        <v>7</v>
      </c>
      <c r="AX647" s="23"/>
      <c r="AY647" s="23"/>
      <c r="AZ647" s="23"/>
      <c r="BA647" s="23"/>
    </row>
    <row r="648" spans="1:53" s="1" customFormat="1" ht="12" x14ac:dyDescent="0.2">
      <c r="A648" s="24" t="s">
        <v>886</v>
      </c>
      <c r="B648" s="39">
        <v>51604</v>
      </c>
      <c r="C648" s="42" t="e">
        <v>#N/A</v>
      </c>
      <c r="D648" s="10" t="s">
        <v>2958</v>
      </c>
      <c r="E648" s="10" t="s">
        <v>435</v>
      </c>
      <c r="F648" s="1" t="s">
        <v>928</v>
      </c>
      <c r="G648" s="1" t="s">
        <v>1306</v>
      </c>
      <c r="J648" s="27"/>
      <c r="K648" s="27"/>
      <c r="L648" s="27"/>
      <c r="M648" s="27"/>
      <c r="N648" s="8"/>
      <c r="O648" s="12" t="s">
        <v>747</v>
      </c>
      <c r="P648" s="1">
        <v>61</v>
      </c>
      <c r="W648" s="1">
        <v>5601</v>
      </c>
      <c r="X648" s="1">
        <f t="shared" si="55"/>
        <v>5601</v>
      </c>
      <c r="AB648" s="11"/>
      <c r="AC648" s="82"/>
      <c r="AD648" s="12" t="s">
        <v>99</v>
      </c>
      <c r="AE648" s="12" t="s">
        <v>430</v>
      </c>
      <c r="AF648" s="12"/>
      <c r="AG648" s="29"/>
      <c r="AH648" s="29"/>
      <c r="AQ648" s="85"/>
      <c r="AR648" s="1">
        <v>1</v>
      </c>
      <c r="AS648" s="1">
        <v>1</v>
      </c>
      <c r="AT648" s="85"/>
      <c r="AU648" s="12" t="s">
        <v>1938</v>
      </c>
      <c r="AW648" s="90">
        <v>7</v>
      </c>
      <c r="AX648" s="23"/>
      <c r="AY648" s="23"/>
      <c r="AZ648" s="23"/>
      <c r="BA648" s="23"/>
    </row>
    <row r="649" spans="1:53" s="1" customFormat="1" ht="12" x14ac:dyDescent="0.2">
      <c r="A649" s="24" t="s">
        <v>1170</v>
      </c>
      <c r="B649" s="39">
        <v>351001</v>
      </c>
      <c r="C649" s="42" t="s">
        <v>3468</v>
      </c>
      <c r="D649" s="10" t="s">
        <v>78</v>
      </c>
      <c r="E649" s="10" t="s">
        <v>0</v>
      </c>
      <c r="F649" s="1" t="s">
        <v>758</v>
      </c>
      <c r="G649" s="1" t="s">
        <v>1306</v>
      </c>
      <c r="J649" s="27"/>
      <c r="K649" s="27"/>
      <c r="L649" s="27"/>
      <c r="M649" s="27"/>
      <c r="N649" s="8"/>
      <c r="O649" s="12" t="s">
        <v>755</v>
      </c>
      <c r="P649" s="1">
        <v>61</v>
      </c>
      <c r="V649" s="13"/>
      <c r="W649" s="1">
        <v>4885</v>
      </c>
      <c r="X649" s="1">
        <f t="shared" ref="X649:X668" si="57">W649</f>
        <v>4885</v>
      </c>
      <c r="AB649" s="11"/>
      <c r="AC649" s="82"/>
      <c r="AD649" s="12" t="s">
        <v>98</v>
      </c>
      <c r="AE649" s="39" t="str">
        <f>BA649</f>
        <v>6331</v>
      </c>
      <c r="AF649" s="12"/>
      <c r="AG649" s="29"/>
      <c r="AH649" s="29"/>
      <c r="AI649" s="12"/>
      <c r="AJ649" s="12"/>
      <c r="AK649" s="12"/>
      <c r="AL649" s="12"/>
      <c r="AM649" s="12"/>
      <c r="AN649" s="12" t="s">
        <v>1200</v>
      </c>
      <c r="AO649" s="12"/>
      <c r="AP649" s="12"/>
      <c r="AQ649" s="8"/>
      <c r="AR649" s="34" t="s">
        <v>543</v>
      </c>
      <c r="AS649" s="34" t="s">
        <v>543</v>
      </c>
      <c r="AT649" s="85"/>
      <c r="AU649" s="12" t="s">
        <v>1937</v>
      </c>
      <c r="AW649" s="90">
        <v>5</v>
      </c>
      <c r="AX649" s="23">
        <f>VLOOKUP(AW649,색인!$N$14:$O$19,2,FALSE)</f>
        <v>3</v>
      </c>
      <c r="AY649" s="90" t="str">
        <f>"T"&amp;O649&amp;"_"&amp;AX649&amp;"옵션_"&amp;VLOOKUP(E649,색인!$J$25:$K$29,2,FALSE)</f>
        <v>T6_3옵션_장신구</v>
      </c>
      <c r="AZ649" s="90">
        <f>VLOOKUP(G649,색인!$J$32:$K$45,2,FALSE)</f>
        <v>2</v>
      </c>
      <c r="BA649" s="90" t="str">
        <f>_xlfn.IFNA(VLOOKUP(AY649,표1[[검색용]:[OptionGroupIndex'[']22]],EquipItemTable!AZ649,FALSE),"옵션고정안함")</f>
        <v>6331</v>
      </c>
    </row>
    <row r="650" spans="1:53" s="1" customFormat="1" ht="12" x14ac:dyDescent="0.2">
      <c r="A650" s="24" t="s">
        <v>1805</v>
      </c>
      <c r="B650" s="39">
        <v>351002</v>
      </c>
      <c r="C650" s="42" t="s">
        <v>3469</v>
      </c>
      <c r="D650" s="10" t="s">
        <v>78</v>
      </c>
      <c r="E650" s="10" t="s">
        <v>0</v>
      </c>
      <c r="F650" s="1" t="s">
        <v>758</v>
      </c>
      <c r="G650" s="1" t="s">
        <v>1306</v>
      </c>
      <c r="J650" s="27"/>
      <c r="K650" s="27"/>
      <c r="L650" s="27"/>
      <c r="M650" s="27"/>
      <c r="N650" s="8"/>
      <c r="O650" s="12" t="s">
        <v>755</v>
      </c>
      <c r="P650" s="1">
        <v>61</v>
      </c>
      <c r="V650" s="13"/>
      <c r="W650" s="1">
        <v>4870</v>
      </c>
      <c r="X650" s="1">
        <f t="shared" si="57"/>
        <v>4870</v>
      </c>
      <c r="AB650" s="11"/>
      <c r="AC650" s="82"/>
      <c r="AD650" s="12" t="s">
        <v>98</v>
      </c>
      <c r="AE650" s="39" t="s">
        <v>430</v>
      </c>
      <c r="AF650" s="12"/>
      <c r="AG650" s="29"/>
      <c r="AH650" s="29"/>
      <c r="AI650" s="12"/>
      <c r="AJ650" s="12"/>
      <c r="AK650" s="12"/>
      <c r="AL650" s="12"/>
      <c r="AM650" s="12"/>
      <c r="AN650" s="12" t="s">
        <v>1294</v>
      </c>
      <c r="AO650" s="12"/>
      <c r="AP650" s="12"/>
      <c r="AQ650" s="8"/>
      <c r="AR650" s="34" t="s">
        <v>543</v>
      </c>
      <c r="AS650" s="34" t="s">
        <v>543</v>
      </c>
      <c r="AT650" s="85"/>
      <c r="AU650" s="12" t="s">
        <v>1936</v>
      </c>
      <c r="AW650" s="90">
        <v>6</v>
      </c>
      <c r="AX650" s="23">
        <f>VLOOKUP(AW650,색인!$N$14:$O$19,2,FALSE)</f>
        <v>4</v>
      </c>
      <c r="AY650" s="23" t="str">
        <f>"T"&amp;O650&amp;"_"&amp;AX650&amp;"옵션_"&amp;VLOOKUP(E650,색인!$J$25:$K$29,2,FALSE)</f>
        <v>T6_4옵션_장신구</v>
      </c>
      <c r="AZ650" s="23">
        <f>VLOOKUP(G650,색인!$J$32:$K$45,2,FALSE)</f>
        <v>2</v>
      </c>
      <c r="BA650" s="23" t="str">
        <f>_xlfn.IFNA(VLOOKUP(AY650,표1[[검색용]:[OptionGroupIndex'[']22]],EquipItemTable!AZ650,FALSE),"옵션고정안함")</f>
        <v>6431</v>
      </c>
    </row>
    <row r="651" spans="1:53" s="27" customFormat="1" ht="12" x14ac:dyDescent="0.2">
      <c r="A651" s="25" t="s">
        <v>1339</v>
      </c>
      <c r="B651" s="39">
        <v>51412</v>
      </c>
      <c r="C651" s="42" t="s">
        <v>3470</v>
      </c>
      <c r="D651" s="26" t="s">
        <v>78</v>
      </c>
      <c r="E651" s="26" t="s">
        <v>0</v>
      </c>
      <c r="F651" s="27" t="s">
        <v>928</v>
      </c>
      <c r="G651" s="27" t="s">
        <v>1357</v>
      </c>
      <c r="N651" s="8"/>
      <c r="O651" s="29" t="s">
        <v>1338</v>
      </c>
      <c r="P651" s="27">
        <v>71</v>
      </c>
      <c r="W651" s="27">
        <v>4758</v>
      </c>
      <c r="X651" s="1">
        <f t="shared" si="57"/>
        <v>4758</v>
      </c>
      <c r="AB651" s="28"/>
      <c r="AC651" s="82"/>
      <c r="AD651" s="29" t="s">
        <v>1377</v>
      </c>
      <c r="AE651" s="29" t="s">
        <v>1337</v>
      </c>
      <c r="AF651" s="29"/>
      <c r="AG651" s="29"/>
      <c r="AH651" s="29"/>
      <c r="AQ651" s="85"/>
      <c r="AR651" s="27">
        <v>1</v>
      </c>
      <c r="AS651" s="27">
        <v>1</v>
      </c>
      <c r="AT651" s="85"/>
      <c r="AU651" s="29">
        <v>1001</v>
      </c>
      <c r="AW651" s="91">
        <v>1</v>
      </c>
      <c r="AX651" s="93"/>
      <c r="AY651" s="93"/>
      <c r="AZ651" s="93"/>
      <c r="BA651" s="93"/>
    </row>
    <row r="652" spans="1:53" s="27" customFormat="1" ht="12" x14ac:dyDescent="0.2">
      <c r="A652" s="25" t="s">
        <v>1340</v>
      </c>
      <c r="B652" s="39">
        <v>51413</v>
      </c>
      <c r="C652" s="42" t="s">
        <v>3471</v>
      </c>
      <c r="D652" s="26" t="s">
        <v>78</v>
      </c>
      <c r="E652" s="26" t="s">
        <v>0</v>
      </c>
      <c r="F652" s="27" t="s">
        <v>928</v>
      </c>
      <c r="G652" s="27" t="s">
        <v>1357</v>
      </c>
      <c r="N652" s="8"/>
      <c r="O652" s="29" t="s">
        <v>1338</v>
      </c>
      <c r="P652" s="27">
        <v>71</v>
      </c>
      <c r="W652" s="27">
        <v>5536</v>
      </c>
      <c r="X652" s="1">
        <f t="shared" si="57"/>
        <v>5536</v>
      </c>
      <c r="AB652" s="28"/>
      <c r="AC652" s="82"/>
      <c r="AD652" s="29" t="s">
        <v>1377</v>
      </c>
      <c r="AE652" s="92" t="str">
        <f t="shared" ref="AE652:AE661" si="58">BA652</f>
        <v>7131</v>
      </c>
      <c r="AF652" s="29"/>
      <c r="AG652" s="29"/>
      <c r="AH652" s="29"/>
      <c r="AQ652" s="85"/>
      <c r="AR652" s="27">
        <v>1</v>
      </c>
      <c r="AS652" s="27">
        <v>1</v>
      </c>
      <c r="AT652" s="85"/>
      <c r="AU652" s="29" t="s">
        <v>1939</v>
      </c>
      <c r="AW652" s="91">
        <v>2</v>
      </c>
      <c r="AX652" s="93">
        <f>VLOOKUP(AW652,색인!$N$14:$O$19,2,FALSE)</f>
        <v>1</v>
      </c>
      <c r="AY652" s="91" t="str">
        <f>"T"&amp;O652&amp;"_"&amp;AX652&amp;"옵션_"&amp;VLOOKUP(E652,색인!$J$25:$K$29,2,FALSE)</f>
        <v>T7_1옵션_장신구</v>
      </c>
      <c r="AZ652" s="91">
        <f>VLOOKUP(G652,색인!$J$32:$K$45,2,FALSE)</f>
        <v>2</v>
      </c>
      <c r="BA652" s="91" t="str">
        <f>_xlfn.IFNA(VLOOKUP(AY652,표1[[검색용]:[OptionGroupIndex'[']22]],EquipItemTable!AZ652,FALSE),"옵션고정안함")</f>
        <v>7131</v>
      </c>
    </row>
    <row r="653" spans="1:53" s="27" customFormat="1" ht="12" x14ac:dyDescent="0.2">
      <c r="A653" s="25" t="s">
        <v>1341</v>
      </c>
      <c r="B653" s="39">
        <v>51414</v>
      </c>
      <c r="C653" s="42" t="s">
        <v>3472</v>
      </c>
      <c r="D653" s="26" t="s">
        <v>78</v>
      </c>
      <c r="E653" s="26" t="s">
        <v>0</v>
      </c>
      <c r="F653" s="27" t="s">
        <v>928</v>
      </c>
      <c r="G653" s="27" t="s">
        <v>1357</v>
      </c>
      <c r="N653" s="8"/>
      <c r="O653" s="29" t="s">
        <v>1338</v>
      </c>
      <c r="P653" s="27">
        <v>71</v>
      </c>
      <c r="W653" s="27">
        <v>5849</v>
      </c>
      <c r="X653" s="1">
        <f t="shared" si="57"/>
        <v>5849</v>
      </c>
      <c r="AB653" s="28"/>
      <c r="AC653" s="82"/>
      <c r="AD653" s="29" t="s">
        <v>1377</v>
      </c>
      <c r="AE653" s="92" t="str">
        <f t="shared" si="58"/>
        <v>7231</v>
      </c>
      <c r="AF653" s="29"/>
      <c r="AG653" s="29"/>
      <c r="AH653" s="29"/>
      <c r="AQ653" s="85"/>
      <c r="AR653" s="27">
        <v>1</v>
      </c>
      <c r="AS653" s="27">
        <v>1</v>
      </c>
      <c r="AT653" s="85"/>
      <c r="AU653" s="29" t="s">
        <v>1940</v>
      </c>
      <c r="AW653" s="91">
        <v>3</v>
      </c>
      <c r="AX653" s="93">
        <f>VLOOKUP(AW653,색인!$N$14:$O$19,2,FALSE)</f>
        <v>2</v>
      </c>
      <c r="AY653" s="91" t="str">
        <f>"T"&amp;O653&amp;"_"&amp;AX653&amp;"옵션_"&amp;VLOOKUP(E653,색인!$J$25:$K$29,2,FALSE)</f>
        <v>T7_2옵션_장신구</v>
      </c>
      <c r="AZ653" s="91">
        <f>VLOOKUP(G653,색인!$J$32:$K$45,2,FALSE)</f>
        <v>2</v>
      </c>
      <c r="BA653" s="91" t="str">
        <f>_xlfn.IFNA(VLOOKUP(AY653,표1[[검색용]:[OptionGroupIndex'[']22]],EquipItemTable!AZ653,FALSE),"옵션고정안함")</f>
        <v>7231</v>
      </c>
    </row>
    <row r="654" spans="1:53" s="27" customFormat="1" ht="12" x14ac:dyDescent="0.2">
      <c r="A654" s="25" t="s">
        <v>1342</v>
      </c>
      <c r="B654" s="39">
        <v>51415</v>
      </c>
      <c r="C654" s="42" t="s">
        <v>3473</v>
      </c>
      <c r="D654" s="26" t="s">
        <v>78</v>
      </c>
      <c r="E654" s="26" t="s">
        <v>0</v>
      </c>
      <c r="F654" s="27" t="s">
        <v>928</v>
      </c>
      <c r="G654" s="27" t="s">
        <v>1357</v>
      </c>
      <c r="N654" s="8"/>
      <c r="O654" s="29" t="s">
        <v>1338</v>
      </c>
      <c r="P654" s="27">
        <v>71</v>
      </c>
      <c r="W654" s="27">
        <v>6393</v>
      </c>
      <c r="X654" s="1">
        <f t="shared" si="57"/>
        <v>6393</v>
      </c>
      <c r="AB654" s="28"/>
      <c r="AC654" s="82"/>
      <c r="AD654" s="29" t="s">
        <v>1377</v>
      </c>
      <c r="AE654" s="92" t="str">
        <f t="shared" si="58"/>
        <v>7331</v>
      </c>
      <c r="AF654" s="29"/>
      <c r="AG654" s="29"/>
      <c r="AH654" s="29"/>
      <c r="AQ654" s="85"/>
      <c r="AR654" s="27">
        <v>1</v>
      </c>
      <c r="AS654" s="27">
        <v>1</v>
      </c>
      <c r="AT654" s="85"/>
      <c r="AU654" s="29" t="s">
        <v>1941</v>
      </c>
      <c r="AW654" s="91">
        <v>4</v>
      </c>
      <c r="AX654" s="93">
        <f>VLOOKUP(AW654,색인!$N$14:$O$19,2,FALSE)</f>
        <v>3</v>
      </c>
      <c r="AY654" s="91" t="str">
        <f>"T"&amp;O654&amp;"_"&amp;AX654&amp;"옵션_"&amp;VLOOKUP(E654,색인!$J$25:$K$29,2,FALSE)</f>
        <v>T7_3옵션_장신구</v>
      </c>
      <c r="AZ654" s="91">
        <f>VLOOKUP(G654,색인!$J$32:$K$45,2,FALSE)</f>
        <v>2</v>
      </c>
      <c r="BA654" s="91" t="str">
        <f>_xlfn.IFNA(VLOOKUP(AY654,표1[[검색용]:[OptionGroupIndex'[']22]],EquipItemTable!AZ654,FALSE),"옵션고정안함")</f>
        <v>7331</v>
      </c>
    </row>
    <row r="655" spans="1:53" s="27" customFormat="1" ht="12" x14ac:dyDescent="0.2">
      <c r="A655" s="25" t="s">
        <v>1343</v>
      </c>
      <c r="B655" s="39">
        <v>51416</v>
      </c>
      <c r="C655" s="42" t="s">
        <v>3462</v>
      </c>
      <c r="D655" s="26" t="s">
        <v>78</v>
      </c>
      <c r="E655" s="26" t="s">
        <v>0</v>
      </c>
      <c r="F655" s="27" t="s">
        <v>928</v>
      </c>
      <c r="G655" s="27" t="s">
        <v>1357</v>
      </c>
      <c r="N655" s="8"/>
      <c r="O655" s="29" t="s">
        <v>1338</v>
      </c>
      <c r="P655" s="27">
        <v>71</v>
      </c>
      <c r="W655" s="27">
        <v>7031</v>
      </c>
      <c r="X655" s="1">
        <f t="shared" si="57"/>
        <v>7031</v>
      </c>
      <c r="AB655" s="28"/>
      <c r="AC655" s="82"/>
      <c r="AD655" s="29" t="s">
        <v>1377</v>
      </c>
      <c r="AE655" s="92" t="str">
        <f t="shared" si="58"/>
        <v>7331</v>
      </c>
      <c r="AF655" s="29"/>
      <c r="AG655" s="29"/>
      <c r="AH655" s="29"/>
      <c r="AN655" s="27">
        <v>103</v>
      </c>
      <c r="AQ655" s="85"/>
      <c r="AR655" s="27">
        <v>1</v>
      </c>
      <c r="AS655" s="27">
        <v>1</v>
      </c>
      <c r="AT655" s="85"/>
      <c r="AU655" s="29" t="s">
        <v>1942</v>
      </c>
      <c r="AW655" s="91">
        <v>5</v>
      </c>
      <c r="AX655" s="93">
        <f>VLOOKUP(AW655,색인!$N$14:$O$19,2,FALSE)</f>
        <v>3</v>
      </c>
      <c r="AY655" s="91" t="str">
        <f>"T"&amp;O655&amp;"_"&amp;AX655&amp;"옵션_"&amp;VLOOKUP(E655,색인!$J$25:$K$29,2,FALSE)</f>
        <v>T7_3옵션_장신구</v>
      </c>
      <c r="AZ655" s="91">
        <f>VLOOKUP(G655,색인!$J$32:$K$45,2,FALSE)</f>
        <v>2</v>
      </c>
      <c r="BA655" s="91" t="str">
        <f>_xlfn.IFNA(VLOOKUP(AY655,표1[[검색용]:[OptionGroupIndex'[']22]],EquipItemTable!AZ655,FALSE),"옵션고정안함")</f>
        <v>7331</v>
      </c>
    </row>
    <row r="656" spans="1:53" s="27" customFormat="1" ht="12" x14ac:dyDescent="0.2">
      <c r="A656" s="25" t="s">
        <v>1344</v>
      </c>
      <c r="B656" s="39">
        <v>51417</v>
      </c>
      <c r="C656" s="42" t="s">
        <v>3464</v>
      </c>
      <c r="D656" s="26" t="s">
        <v>78</v>
      </c>
      <c r="E656" s="26" t="s">
        <v>0</v>
      </c>
      <c r="F656" s="27" t="s">
        <v>928</v>
      </c>
      <c r="G656" s="27" t="s">
        <v>1357</v>
      </c>
      <c r="N656" s="8"/>
      <c r="O656" s="29" t="s">
        <v>1338</v>
      </c>
      <c r="P656" s="27">
        <v>71</v>
      </c>
      <c r="W656" s="27">
        <v>7031</v>
      </c>
      <c r="X656" s="1">
        <f t="shared" si="57"/>
        <v>7031</v>
      </c>
      <c r="AB656" s="28"/>
      <c r="AC656" s="82"/>
      <c r="AD656" s="29" t="s">
        <v>1377</v>
      </c>
      <c r="AE656" s="92" t="str">
        <f t="shared" si="58"/>
        <v>7331</v>
      </c>
      <c r="AF656" s="29"/>
      <c r="AG656" s="29"/>
      <c r="AH656" s="29"/>
      <c r="AN656" s="27">
        <v>202</v>
      </c>
      <c r="AQ656" s="85"/>
      <c r="AR656" s="27">
        <v>1</v>
      </c>
      <c r="AS656" s="27">
        <v>1</v>
      </c>
      <c r="AT656" s="85"/>
      <c r="AU656" s="29" t="s">
        <v>1942</v>
      </c>
      <c r="AW656" s="91">
        <v>5</v>
      </c>
      <c r="AX656" s="93">
        <f>VLOOKUP(AW656,색인!$N$14:$O$19,2,FALSE)</f>
        <v>3</v>
      </c>
      <c r="AY656" s="91" t="str">
        <f>"T"&amp;O656&amp;"_"&amp;AX656&amp;"옵션_"&amp;VLOOKUP(E656,색인!$J$25:$K$29,2,FALSE)</f>
        <v>T7_3옵션_장신구</v>
      </c>
      <c r="AZ656" s="91">
        <f>VLOOKUP(G656,색인!$J$32:$K$45,2,FALSE)</f>
        <v>2</v>
      </c>
      <c r="BA656" s="91" t="str">
        <f>_xlfn.IFNA(VLOOKUP(AY656,표1[[검색용]:[OptionGroupIndex'[']22]],EquipItemTable!AZ656,FALSE),"옵션고정안함")</f>
        <v>7331</v>
      </c>
    </row>
    <row r="657" spans="1:53" s="27" customFormat="1" ht="12" x14ac:dyDescent="0.2">
      <c r="A657" s="25" t="s">
        <v>1345</v>
      </c>
      <c r="B657" s="39">
        <v>51418</v>
      </c>
      <c r="C657" s="42" t="s">
        <v>3465</v>
      </c>
      <c r="D657" s="26" t="s">
        <v>78</v>
      </c>
      <c r="E657" s="26" t="s">
        <v>0</v>
      </c>
      <c r="F657" s="27" t="s">
        <v>928</v>
      </c>
      <c r="G657" s="27" t="s">
        <v>1357</v>
      </c>
      <c r="N657" s="8"/>
      <c r="O657" s="29" t="s">
        <v>1338</v>
      </c>
      <c r="P657" s="27">
        <v>71</v>
      </c>
      <c r="W657" s="27">
        <v>7031</v>
      </c>
      <c r="X657" s="1">
        <f t="shared" si="57"/>
        <v>7031</v>
      </c>
      <c r="AB657" s="28"/>
      <c r="AC657" s="82"/>
      <c r="AD657" s="29" t="s">
        <v>1377</v>
      </c>
      <c r="AE657" s="92" t="str">
        <f t="shared" si="58"/>
        <v>7331</v>
      </c>
      <c r="AF657" s="29"/>
      <c r="AG657" s="29"/>
      <c r="AH657" s="29"/>
      <c r="AN657" s="27">
        <v>203</v>
      </c>
      <c r="AQ657" s="85"/>
      <c r="AR657" s="27">
        <v>1</v>
      </c>
      <c r="AS657" s="27">
        <v>1</v>
      </c>
      <c r="AT657" s="85"/>
      <c r="AU657" s="29" t="s">
        <v>1942</v>
      </c>
      <c r="AW657" s="91">
        <v>5</v>
      </c>
      <c r="AX657" s="93">
        <f>VLOOKUP(AW657,색인!$N$14:$O$19,2,FALSE)</f>
        <v>3</v>
      </c>
      <c r="AY657" s="91" t="str">
        <f>"T"&amp;O657&amp;"_"&amp;AX657&amp;"옵션_"&amp;VLOOKUP(E657,색인!$J$25:$K$29,2,FALSE)</f>
        <v>T7_3옵션_장신구</v>
      </c>
      <c r="AZ657" s="91">
        <f>VLOOKUP(G657,색인!$J$32:$K$45,2,FALSE)</f>
        <v>2</v>
      </c>
      <c r="BA657" s="91" t="str">
        <f>_xlfn.IFNA(VLOOKUP(AY657,표1[[검색용]:[OptionGroupIndex'[']22]],EquipItemTable!AZ657,FALSE),"옵션고정안함")</f>
        <v>7331</v>
      </c>
    </row>
    <row r="658" spans="1:53" s="27" customFormat="1" ht="12" x14ac:dyDescent="0.2">
      <c r="A658" s="25" t="s">
        <v>1346</v>
      </c>
      <c r="B658" s="39">
        <v>51419</v>
      </c>
      <c r="C658" s="42" t="s">
        <v>3466</v>
      </c>
      <c r="D658" s="26" t="s">
        <v>78</v>
      </c>
      <c r="E658" s="26" t="s">
        <v>0</v>
      </c>
      <c r="F658" s="27" t="s">
        <v>928</v>
      </c>
      <c r="G658" s="27" t="s">
        <v>1357</v>
      </c>
      <c r="N658" s="8"/>
      <c r="O658" s="29" t="s">
        <v>1338</v>
      </c>
      <c r="P658" s="27">
        <v>71</v>
      </c>
      <c r="W658" s="27">
        <v>7031</v>
      </c>
      <c r="X658" s="1">
        <f t="shared" si="57"/>
        <v>7031</v>
      </c>
      <c r="AB658" s="28"/>
      <c r="AC658" s="82"/>
      <c r="AD658" s="29" t="s">
        <v>1377</v>
      </c>
      <c r="AE658" s="92" t="str">
        <f t="shared" si="58"/>
        <v>7331</v>
      </c>
      <c r="AF658" s="29"/>
      <c r="AG658" s="29"/>
      <c r="AH658" s="29"/>
      <c r="AN658" s="27">
        <v>204</v>
      </c>
      <c r="AQ658" s="85"/>
      <c r="AR658" s="27">
        <v>1</v>
      </c>
      <c r="AS658" s="27">
        <v>1</v>
      </c>
      <c r="AT658" s="85"/>
      <c r="AU658" s="29" t="s">
        <v>1942</v>
      </c>
      <c r="AW658" s="91">
        <v>5</v>
      </c>
      <c r="AX658" s="93">
        <f>VLOOKUP(AW658,색인!$N$14:$O$19,2,FALSE)</f>
        <v>3</v>
      </c>
      <c r="AY658" s="91" t="str">
        <f>"T"&amp;O658&amp;"_"&amp;AX658&amp;"옵션_"&amp;VLOOKUP(E658,색인!$J$25:$K$29,2,FALSE)</f>
        <v>T7_3옵션_장신구</v>
      </c>
      <c r="AZ658" s="91">
        <f>VLOOKUP(G658,색인!$J$32:$K$45,2,FALSE)</f>
        <v>2</v>
      </c>
      <c r="BA658" s="91" t="str">
        <f>_xlfn.IFNA(VLOOKUP(AY658,표1[[검색용]:[OptionGroupIndex'[']22]],EquipItemTable!AZ658,FALSE),"옵션고정안함")</f>
        <v>7331</v>
      </c>
    </row>
    <row r="659" spans="1:53" s="27" customFormat="1" ht="12" x14ac:dyDescent="0.2">
      <c r="A659" s="25" t="s">
        <v>1347</v>
      </c>
      <c r="B659" s="39">
        <v>51420</v>
      </c>
      <c r="C659" s="42" t="s">
        <v>3467</v>
      </c>
      <c r="D659" s="26" t="s">
        <v>78</v>
      </c>
      <c r="E659" s="26" t="s">
        <v>0</v>
      </c>
      <c r="F659" s="27" t="s">
        <v>928</v>
      </c>
      <c r="G659" s="27" t="s">
        <v>1357</v>
      </c>
      <c r="J659" s="1"/>
      <c r="K659" s="1"/>
      <c r="L659" s="1"/>
      <c r="M659" s="1"/>
      <c r="N659" s="8"/>
      <c r="O659" s="29" t="s">
        <v>1338</v>
      </c>
      <c r="P659" s="27">
        <v>71</v>
      </c>
      <c r="W659" s="27">
        <v>7031</v>
      </c>
      <c r="X659" s="1">
        <f t="shared" si="57"/>
        <v>7031</v>
      </c>
      <c r="AB659" s="28"/>
      <c r="AC659" s="82"/>
      <c r="AD659" s="29" t="s">
        <v>1377</v>
      </c>
      <c r="AE659" s="92" t="str">
        <f t="shared" si="58"/>
        <v>7331</v>
      </c>
      <c r="AF659" s="29"/>
      <c r="AG659" s="12"/>
      <c r="AH659" s="12"/>
      <c r="AN659" s="27">
        <v>205</v>
      </c>
      <c r="AQ659" s="85"/>
      <c r="AR659" s="27">
        <v>1</v>
      </c>
      <c r="AS659" s="27">
        <v>1</v>
      </c>
      <c r="AT659" s="85"/>
      <c r="AU659" s="29" t="s">
        <v>1942</v>
      </c>
      <c r="AW659" s="91">
        <v>5</v>
      </c>
      <c r="AX659" s="93">
        <f>VLOOKUP(AW659,색인!$N$14:$O$19,2,FALSE)</f>
        <v>3</v>
      </c>
      <c r="AY659" s="91" t="str">
        <f>"T"&amp;O659&amp;"_"&amp;AX659&amp;"옵션_"&amp;VLOOKUP(E659,색인!$J$25:$K$29,2,FALSE)</f>
        <v>T7_3옵션_장신구</v>
      </c>
      <c r="AZ659" s="91">
        <f>VLOOKUP(G659,색인!$J$32:$K$45,2,FALSE)</f>
        <v>2</v>
      </c>
      <c r="BA659" s="91" t="str">
        <f>_xlfn.IFNA(VLOOKUP(AY659,표1[[검색용]:[OptionGroupIndex'[']22]],EquipItemTable!AZ659,FALSE),"옵션고정안함")</f>
        <v>7331</v>
      </c>
    </row>
    <row r="660" spans="1:53" s="27" customFormat="1" ht="12" x14ac:dyDescent="0.2">
      <c r="A660" s="25" t="s">
        <v>1348</v>
      </c>
      <c r="B660" s="39">
        <v>51421</v>
      </c>
      <c r="C660" s="42" t="s">
        <v>3474</v>
      </c>
      <c r="D660" s="26" t="s">
        <v>78</v>
      </c>
      <c r="E660" s="26" t="s">
        <v>0</v>
      </c>
      <c r="F660" s="27" t="s">
        <v>928</v>
      </c>
      <c r="G660" s="27" t="s">
        <v>1357</v>
      </c>
      <c r="J660" s="1"/>
      <c r="K660" s="1"/>
      <c r="L660" s="1"/>
      <c r="M660" s="1"/>
      <c r="N660" s="8"/>
      <c r="O660" s="29" t="s">
        <v>1338</v>
      </c>
      <c r="P660" s="27">
        <v>71</v>
      </c>
      <c r="W660" s="27">
        <v>7031</v>
      </c>
      <c r="X660" s="1">
        <f t="shared" si="57"/>
        <v>7031</v>
      </c>
      <c r="AB660" s="28"/>
      <c r="AC660" s="82"/>
      <c r="AD660" s="29" t="s">
        <v>1377</v>
      </c>
      <c r="AE660" s="92" t="str">
        <f t="shared" si="58"/>
        <v>7331</v>
      </c>
      <c r="AF660" s="29"/>
      <c r="AG660" s="12"/>
      <c r="AH660" s="12"/>
      <c r="AN660" s="27">
        <v>206</v>
      </c>
      <c r="AQ660" s="85"/>
      <c r="AR660" s="27">
        <v>1</v>
      </c>
      <c r="AS660" s="27">
        <v>1</v>
      </c>
      <c r="AT660" s="85"/>
      <c r="AU660" s="29" t="s">
        <v>1942</v>
      </c>
      <c r="AW660" s="91">
        <v>5</v>
      </c>
      <c r="AX660" s="93">
        <f>VLOOKUP(AW660,색인!$N$14:$O$19,2,FALSE)</f>
        <v>3</v>
      </c>
      <c r="AY660" s="91" t="str">
        <f>"T"&amp;O660&amp;"_"&amp;AX660&amp;"옵션_"&amp;VLOOKUP(E660,색인!$J$25:$K$29,2,FALSE)</f>
        <v>T7_3옵션_장신구</v>
      </c>
      <c r="AZ660" s="91">
        <f>VLOOKUP(G660,색인!$J$32:$K$45,2,FALSE)</f>
        <v>2</v>
      </c>
      <c r="BA660" s="91" t="str">
        <f>_xlfn.IFNA(VLOOKUP(AY660,표1[[검색용]:[OptionGroupIndex'[']22]],EquipItemTable!AZ660,FALSE),"옵션고정안함")</f>
        <v>7331</v>
      </c>
    </row>
    <row r="661" spans="1:53" s="27" customFormat="1" ht="12" x14ac:dyDescent="0.2">
      <c r="A661" s="25" t="s">
        <v>1349</v>
      </c>
      <c r="B661" s="39">
        <v>51422</v>
      </c>
      <c r="C661" s="42" t="s">
        <v>3475</v>
      </c>
      <c r="D661" s="26" t="s">
        <v>78</v>
      </c>
      <c r="E661" s="26" t="s">
        <v>0</v>
      </c>
      <c r="F661" s="27" t="s">
        <v>928</v>
      </c>
      <c r="G661" s="27" t="s">
        <v>1357</v>
      </c>
      <c r="J661" s="1"/>
      <c r="K661" s="1"/>
      <c r="L661" s="1"/>
      <c r="M661" s="1"/>
      <c r="N661" s="8"/>
      <c r="O661" s="29" t="s">
        <v>1338</v>
      </c>
      <c r="P661" s="27">
        <v>71</v>
      </c>
      <c r="W661" s="27">
        <v>7031</v>
      </c>
      <c r="X661" s="1">
        <f t="shared" si="57"/>
        <v>7031</v>
      </c>
      <c r="AB661" s="28"/>
      <c r="AC661" s="82"/>
      <c r="AD661" s="29" t="s">
        <v>1377</v>
      </c>
      <c r="AE661" s="92" t="str">
        <f t="shared" si="58"/>
        <v>7331</v>
      </c>
      <c r="AF661" s="29"/>
      <c r="AG661" s="12"/>
      <c r="AH661" s="12"/>
      <c r="AN661" s="27">
        <v>207</v>
      </c>
      <c r="AQ661" s="85"/>
      <c r="AR661" s="27">
        <v>1</v>
      </c>
      <c r="AS661" s="27">
        <v>1</v>
      </c>
      <c r="AT661" s="85"/>
      <c r="AU661" s="29" t="s">
        <v>1942</v>
      </c>
      <c r="AW661" s="91">
        <v>5</v>
      </c>
      <c r="AX661" s="93">
        <f>VLOOKUP(AW661,색인!$N$14:$O$19,2,FALSE)</f>
        <v>3</v>
      </c>
      <c r="AY661" s="91" t="str">
        <f>"T"&amp;O661&amp;"_"&amp;AX661&amp;"옵션_"&amp;VLOOKUP(E661,색인!$J$25:$K$29,2,FALSE)</f>
        <v>T7_3옵션_장신구</v>
      </c>
      <c r="AZ661" s="91">
        <f>VLOOKUP(G661,색인!$J$32:$K$45,2,FALSE)</f>
        <v>2</v>
      </c>
      <c r="BA661" s="91" t="str">
        <f>_xlfn.IFNA(VLOOKUP(AY661,표1[[검색용]:[OptionGroupIndex'[']22]],EquipItemTable!AZ661,FALSE),"옵션고정안함")</f>
        <v>7331</v>
      </c>
    </row>
    <row r="662" spans="1:53" s="27" customFormat="1" ht="12" x14ac:dyDescent="0.2">
      <c r="A662" s="25" t="s">
        <v>1350</v>
      </c>
      <c r="B662" s="39">
        <v>51423</v>
      </c>
      <c r="C662" s="42" t="s">
        <v>3447</v>
      </c>
      <c r="D662" s="26" t="s">
        <v>78</v>
      </c>
      <c r="E662" s="26" t="s">
        <v>0</v>
      </c>
      <c r="F662" s="27" t="s">
        <v>928</v>
      </c>
      <c r="G662" s="27" t="s">
        <v>1357</v>
      </c>
      <c r="J662" s="1"/>
      <c r="K662" s="1"/>
      <c r="L662" s="1"/>
      <c r="M662" s="1"/>
      <c r="N662" s="8"/>
      <c r="O662" s="29" t="s">
        <v>1338</v>
      </c>
      <c r="P662" s="27">
        <v>71</v>
      </c>
      <c r="W662" s="27">
        <v>7255</v>
      </c>
      <c r="X662" s="1">
        <f t="shared" si="57"/>
        <v>7255</v>
      </c>
      <c r="AB662" s="28"/>
      <c r="AC662" s="82"/>
      <c r="AD662" s="29" t="s">
        <v>1377</v>
      </c>
      <c r="AE662" s="92" t="str">
        <f>BA662</f>
        <v>7431</v>
      </c>
      <c r="AF662" s="29" t="s">
        <v>2185</v>
      </c>
      <c r="AG662" s="12"/>
      <c r="AH662" s="12"/>
      <c r="AN662" s="27">
        <v>1</v>
      </c>
      <c r="AQ662" s="85"/>
      <c r="AR662" s="27">
        <v>1</v>
      </c>
      <c r="AS662" s="27">
        <v>1</v>
      </c>
      <c r="AT662" s="85"/>
      <c r="AU662" s="12" t="s">
        <v>1936</v>
      </c>
      <c r="AW662" s="91">
        <v>6</v>
      </c>
      <c r="AX662" s="93">
        <f>VLOOKUP(AW662,색인!$N$14:$O$19,2,FALSE)</f>
        <v>4</v>
      </c>
      <c r="AY662" s="93" t="str">
        <f>"T"&amp;O662&amp;"_"&amp;AX662&amp;"옵션_"&amp;VLOOKUP(E662,색인!$J$25:$K$29,2,FALSE)</f>
        <v>T7_4옵션_장신구</v>
      </c>
      <c r="AZ662" s="93">
        <f>VLOOKUP(G662,색인!$J$32:$K$45,2,FALSE)</f>
        <v>2</v>
      </c>
      <c r="BA662" s="93" t="str">
        <f>_xlfn.IFNA(VLOOKUP(AY662,표1[[검색용]:[OptionGroupIndex'[']22]],EquipItemTable!AZ662,FALSE),"옵션고정안함")</f>
        <v>7431</v>
      </c>
    </row>
    <row r="663" spans="1:53" s="27" customFormat="1" ht="12" x14ac:dyDescent="0.2">
      <c r="A663" s="25" t="s">
        <v>1351</v>
      </c>
      <c r="B663" s="39">
        <v>51424</v>
      </c>
      <c r="C663" s="42" t="s">
        <v>3448</v>
      </c>
      <c r="D663" s="26" t="s">
        <v>78</v>
      </c>
      <c r="E663" s="26" t="s">
        <v>0</v>
      </c>
      <c r="F663" s="27" t="s">
        <v>928</v>
      </c>
      <c r="G663" s="27" t="s">
        <v>1357</v>
      </c>
      <c r="J663" s="1"/>
      <c r="K663" s="1"/>
      <c r="L663" s="1"/>
      <c r="M663" s="1"/>
      <c r="N663" s="8"/>
      <c r="O663" s="29" t="s">
        <v>1338</v>
      </c>
      <c r="P663" s="27">
        <v>71</v>
      </c>
      <c r="W663" s="27">
        <v>7255</v>
      </c>
      <c r="X663" s="1">
        <f t="shared" si="57"/>
        <v>7255</v>
      </c>
      <c r="AB663" s="28"/>
      <c r="AC663" s="82"/>
      <c r="AD663" s="29" t="s">
        <v>1377</v>
      </c>
      <c r="AE663" s="92" t="str">
        <f>BA663</f>
        <v>7431</v>
      </c>
      <c r="AF663" s="29" t="s">
        <v>2185</v>
      </c>
      <c r="AG663" s="12"/>
      <c r="AH663" s="12"/>
      <c r="AN663" s="27">
        <v>2</v>
      </c>
      <c r="AQ663" s="85"/>
      <c r="AR663" s="27">
        <v>1</v>
      </c>
      <c r="AS663" s="27">
        <v>1</v>
      </c>
      <c r="AT663" s="85"/>
      <c r="AU663" s="12" t="s">
        <v>1936</v>
      </c>
      <c r="AW663" s="91">
        <v>6</v>
      </c>
      <c r="AX663" s="93">
        <f>VLOOKUP(AW663,색인!$N$14:$O$19,2,FALSE)</f>
        <v>4</v>
      </c>
      <c r="AY663" s="93" t="str">
        <f>"T"&amp;O663&amp;"_"&amp;AX663&amp;"옵션_"&amp;VLOOKUP(E663,색인!$J$25:$K$29,2,FALSE)</f>
        <v>T7_4옵션_장신구</v>
      </c>
      <c r="AZ663" s="93">
        <f>VLOOKUP(G663,색인!$J$32:$K$45,2,FALSE)</f>
        <v>2</v>
      </c>
      <c r="BA663" s="93" t="str">
        <f>_xlfn.IFNA(VLOOKUP(AY663,표1[[검색용]:[OptionGroupIndex'[']22]],EquipItemTable!AZ663,FALSE),"옵션고정안함")</f>
        <v>7431</v>
      </c>
    </row>
    <row r="664" spans="1:53" s="27" customFormat="1" ht="12" x14ac:dyDescent="0.2">
      <c r="A664" s="25" t="s">
        <v>1352</v>
      </c>
      <c r="B664" s="39">
        <v>51425</v>
      </c>
      <c r="C664" s="42" t="s">
        <v>3449</v>
      </c>
      <c r="D664" s="26" t="s">
        <v>78</v>
      </c>
      <c r="E664" s="26" t="s">
        <v>0</v>
      </c>
      <c r="F664" s="27" t="s">
        <v>928</v>
      </c>
      <c r="G664" s="27" t="s">
        <v>1357</v>
      </c>
      <c r="J664" s="1"/>
      <c r="K664" s="1"/>
      <c r="L664" s="1"/>
      <c r="M664" s="1"/>
      <c r="N664" s="8"/>
      <c r="O664" s="29" t="s">
        <v>1338</v>
      </c>
      <c r="P664" s="27">
        <v>71</v>
      </c>
      <c r="W664" s="27">
        <v>7255</v>
      </c>
      <c r="X664" s="1">
        <f t="shared" si="57"/>
        <v>7255</v>
      </c>
      <c r="AB664" s="28"/>
      <c r="AC664" s="82"/>
      <c r="AD664" s="29" t="s">
        <v>1377</v>
      </c>
      <c r="AE664" s="92" t="str">
        <f>BA664</f>
        <v>7431</v>
      </c>
      <c r="AF664" s="29" t="s">
        <v>2185</v>
      </c>
      <c r="AG664" s="12"/>
      <c r="AH664" s="12"/>
      <c r="AN664" s="27">
        <v>3</v>
      </c>
      <c r="AQ664" s="85"/>
      <c r="AR664" s="27">
        <v>1</v>
      </c>
      <c r="AS664" s="27">
        <v>1</v>
      </c>
      <c r="AT664" s="85"/>
      <c r="AU664" s="12" t="s">
        <v>1936</v>
      </c>
      <c r="AW664" s="91">
        <v>6</v>
      </c>
      <c r="AX664" s="93">
        <f>VLOOKUP(AW664,색인!$N$14:$O$19,2,FALSE)</f>
        <v>4</v>
      </c>
      <c r="AY664" s="93" t="str">
        <f>"T"&amp;O664&amp;"_"&amp;AX664&amp;"옵션_"&amp;VLOOKUP(E664,색인!$J$25:$K$29,2,FALSE)</f>
        <v>T7_4옵션_장신구</v>
      </c>
      <c r="AZ664" s="93">
        <f>VLOOKUP(G664,색인!$J$32:$K$45,2,FALSE)</f>
        <v>2</v>
      </c>
      <c r="BA664" s="93" t="str">
        <f>_xlfn.IFNA(VLOOKUP(AY664,표1[[검색용]:[OptionGroupIndex'[']22]],EquipItemTable!AZ664,FALSE),"옵션고정안함")</f>
        <v>7431</v>
      </c>
    </row>
    <row r="665" spans="1:53" s="27" customFormat="1" ht="12" x14ac:dyDescent="0.2">
      <c r="A665" s="25" t="s">
        <v>1353</v>
      </c>
      <c r="B665" s="39">
        <v>51426</v>
      </c>
      <c r="C665" s="42" t="s">
        <v>3450</v>
      </c>
      <c r="D665" s="26" t="s">
        <v>78</v>
      </c>
      <c r="E665" s="26" t="s">
        <v>0</v>
      </c>
      <c r="F665" s="27" t="s">
        <v>928</v>
      </c>
      <c r="G665" s="27" t="s">
        <v>1357</v>
      </c>
      <c r="J665" s="1"/>
      <c r="K665" s="1"/>
      <c r="L665" s="1"/>
      <c r="M665" s="1"/>
      <c r="N665" s="8"/>
      <c r="O665" s="29" t="s">
        <v>1338</v>
      </c>
      <c r="P665" s="27">
        <v>71</v>
      </c>
      <c r="W665" s="27">
        <v>7255</v>
      </c>
      <c r="X665" s="1">
        <f t="shared" si="57"/>
        <v>7255</v>
      </c>
      <c r="AB665" s="28"/>
      <c r="AC665" s="82"/>
      <c r="AD665" s="29" t="s">
        <v>1377</v>
      </c>
      <c r="AE665" s="92" t="str">
        <f>BA665</f>
        <v>7431</v>
      </c>
      <c r="AF665" s="29" t="s">
        <v>2185</v>
      </c>
      <c r="AG665" s="12"/>
      <c r="AH665" s="12"/>
      <c r="AN665" s="27">
        <v>4</v>
      </c>
      <c r="AQ665" s="85"/>
      <c r="AR665" s="27">
        <v>1</v>
      </c>
      <c r="AS665" s="27">
        <v>1</v>
      </c>
      <c r="AT665" s="85"/>
      <c r="AU665" s="12" t="s">
        <v>1936</v>
      </c>
      <c r="AW665" s="91">
        <v>6</v>
      </c>
      <c r="AX665" s="93">
        <f>VLOOKUP(AW665,색인!$N$14:$O$19,2,FALSE)</f>
        <v>4</v>
      </c>
      <c r="AY665" s="93" t="str">
        <f>"T"&amp;O665&amp;"_"&amp;AX665&amp;"옵션_"&amp;VLOOKUP(E665,색인!$J$25:$K$29,2,FALSE)</f>
        <v>T7_4옵션_장신구</v>
      </c>
      <c r="AZ665" s="93">
        <f>VLOOKUP(G665,색인!$J$32:$K$45,2,FALSE)</f>
        <v>2</v>
      </c>
      <c r="BA665" s="93" t="str">
        <f>_xlfn.IFNA(VLOOKUP(AY665,표1[[검색용]:[OptionGroupIndex'[']22]],EquipItemTable!AZ665,FALSE),"옵션고정안함")</f>
        <v>7431</v>
      </c>
    </row>
    <row r="666" spans="1:53" s="27" customFormat="1" ht="12" x14ac:dyDescent="0.2">
      <c r="A666" s="30" t="s">
        <v>1354</v>
      </c>
      <c r="B666" s="39">
        <v>51605</v>
      </c>
      <c r="C666" s="42" t="e">
        <v>#N/A</v>
      </c>
      <c r="D666" s="26" t="s">
        <v>78</v>
      </c>
      <c r="E666" s="26" t="s">
        <v>0</v>
      </c>
      <c r="F666" s="27" t="s">
        <v>928</v>
      </c>
      <c r="G666" s="27" t="s">
        <v>1357</v>
      </c>
      <c r="J666" s="1"/>
      <c r="K666" s="1"/>
      <c r="L666" s="1"/>
      <c r="M666" s="1"/>
      <c r="N666" s="8"/>
      <c r="O666" s="29" t="s">
        <v>1338</v>
      </c>
      <c r="P666" s="27">
        <v>71</v>
      </c>
      <c r="W666" s="27">
        <v>7255</v>
      </c>
      <c r="X666" s="1">
        <f t="shared" si="57"/>
        <v>7255</v>
      </c>
      <c r="AB666" s="28"/>
      <c r="AC666" s="82"/>
      <c r="AD666" s="29" t="s">
        <v>1377</v>
      </c>
      <c r="AE666" s="29" t="s">
        <v>1337</v>
      </c>
      <c r="AF666" s="29"/>
      <c r="AG666" s="12"/>
      <c r="AH666" s="12"/>
      <c r="AQ666" s="85"/>
      <c r="AR666" s="27">
        <v>1</v>
      </c>
      <c r="AS666" s="27">
        <v>1</v>
      </c>
      <c r="AT666" s="85"/>
      <c r="AU666" s="29" t="s">
        <v>1944</v>
      </c>
      <c r="AW666" s="91">
        <v>7</v>
      </c>
      <c r="AX666" s="93"/>
      <c r="AY666" s="93"/>
      <c r="AZ666" s="93"/>
      <c r="BA666" s="93"/>
    </row>
    <row r="667" spans="1:53" s="27" customFormat="1" ht="12" x14ac:dyDescent="0.2">
      <c r="A667" s="25" t="s">
        <v>1355</v>
      </c>
      <c r="B667" s="39">
        <v>351003</v>
      </c>
      <c r="C667" s="42" t="s">
        <v>3468</v>
      </c>
      <c r="D667" s="26" t="s">
        <v>78</v>
      </c>
      <c r="E667" s="26" t="s">
        <v>0</v>
      </c>
      <c r="F667" s="27" t="s">
        <v>928</v>
      </c>
      <c r="G667" s="27" t="s">
        <v>1357</v>
      </c>
      <c r="J667" s="1"/>
      <c r="K667" s="1"/>
      <c r="L667" s="1"/>
      <c r="M667" s="1"/>
      <c r="N667" s="8"/>
      <c r="O667" s="29" t="s">
        <v>1338</v>
      </c>
      <c r="P667" s="27">
        <v>71</v>
      </c>
      <c r="W667" s="27">
        <v>7031</v>
      </c>
      <c r="X667" s="1">
        <f t="shared" si="57"/>
        <v>7031</v>
      </c>
      <c r="AB667" s="28"/>
      <c r="AC667" s="82"/>
      <c r="AD667" s="29" t="s">
        <v>1377</v>
      </c>
      <c r="AE667" s="92" t="str">
        <f>BA667</f>
        <v>7331</v>
      </c>
      <c r="AF667" s="29"/>
      <c r="AG667" s="12"/>
      <c r="AH667" s="12"/>
      <c r="AN667" s="27">
        <v>101</v>
      </c>
      <c r="AQ667" s="85"/>
      <c r="AR667" s="27">
        <v>1</v>
      </c>
      <c r="AS667" s="27">
        <v>1</v>
      </c>
      <c r="AT667" s="85"/>
      <c r="AU667" s="29" t="s">
        <v>1942</v>
      </c>
      <c r="AW667" s="91">
        <v>5</v>
      </c>
      <c r="AX667" s="93">
        <f>VLOOKUP(AW667,색인!$N$14:$O$19,2,FALSE)</f>
        <v>3</v>
      </c>
      <c r="AY667" s="91" t="str">
        <f>"T"&amp;O667&amp;"_"&amp;AX667&amp;"옵션_"&amp;VLOOKUP(E667,색인!$J$25:$K$29,2,FALSE)</f>
        <v>T7_3옵션_장신구</v>
      </c>
      <c r="AZ667" s="91">
        <f>VLOOKUP(G667,색인!$J$32:$K$45,2,FALSE)</f>
        <v>2</v>
      </c>
      <c r="BA667" s="91" t="str">
        <f>_xlfn.IFNA(VLOOKUP(AY667,표1[[검색용]:[OptionGroupIndex'[']22]],EquipItemTable!AZ667,FALSE),"옵션고정안함")</f>
        <v>7331</v>
      </c>
    </row>
    <row r="668" spans="1:53" s="27" customFormat="1" ht="12" x14ac:dyDescent="0.2">
      <c r="A668" s="25" t="s">
        <v>1356</v>
      </c>
      <c r="B668" s="39">
        <v>351004</v>
      </c>
      <c r="C668" s="42" t="s">
        <v>3469</v>
      </c>
      <c r="D668" s="26" t="s">
        <v>78</v>
      </c>
      <c r="E668" s="26" t="s">
        <v>0</v>
      </c>
      <c r="F668" s="27" t="s">
        <v>928</v>
      </c>
      <c r="G668" s="27" t="s">
        <v>1357</v>
      </c>
      <c r="J668" s="1"/>
      <c r="K668" s="1"/>
      <c r="L668" s="1"/>
      <c r="M668" s="1"/>
      <c r="N668" s="8"/>
      <c r="O668" s="29" t="s">
        <v>1338</v>
      </c>
      <c r="P668" s="27">
        <v>71</v>
      </c>
      <c r="W668" s="27">
        <v>7255</v>
      </c>
      <c r="X668" s="1">
        <f t="shared" si="57"/>
        <v>7255</v>
      </c>
      <c r="AB668" s="28"/>
      <c r="AC668" s="82"/>
      <c r="AD668" s="29" t="s">
        <v>1377</v>
      </c>
      <c r="AE668" s="92" t="s">
        <v>2189</v>
      </c>
      <c r="AF668" s="29" t="s">
        <v>2185</v>
      </c>
      <c r="AG668" s="23"/>
      <c r="AH668" s="23"/>
      <c r="AN668" s="27">
        <v>102</v>
      </c>
      <c r="AQ668" s="85"/>
      <c r="AR668" s="27">
        <v>1</v>
      </c>
      <c r="AS668" s="27">
        <v>1</v>
      </c>
      <c r="AT668" s="85"/>
      <c r="AU668" s="29" t="s">
        <v>1943</v>
      </c>
      <c r="AW668" s="91">
        <v>6</v>
      </c>
      <c r="AX668" s="93">
        <f>VLOOKUP(AW668,색인!$N$14:$O$19,2,FALSE)</f>
        <v>4</v>
      </c>
      <c r="AY668" s="93" t="str">
        <f>"T"&amp;O668&amp;"_"&amp;AX668&amp;"옵션_"&amp;VLOOKUP(E668,색인!$J$25:$K$29,2,FALSE)</f>
        <v>T7_4옵션_장신구</v>
      </c>
      <c r="AZ668" s="93">
        <f>VLOOKUP(G668,색인!$J$32:$K$45,2,FALSE)</f>
        <v>2</v>
      </c>
      <c r="BA668" s="93" t="str">
        <f>_xlfn.IFNA(VLOOKUP(AY668,표1[[검색용]:[OptionGroupIndex'[']22]],EquipItemTable!AZ668,FALSE),"옵션고정안함")</f>
        <v>7431</v>
      </c>
    </row>
    <row r="669" spans="1:53" ht="12" customHeight="1" x14ac:dyDescent="0.2">
      <c r="A669" s="13" t="s">
        <v>742</v>
      </c>
      <c r="B669" s="39">
        <v>51901</v>
      </c>
      <c r="C669" s="42" t="s">
        <v>3438</v>
      </c>
      <c r="D669" s="10" t="s">
        <v>2958</v>
      </c>
      <c r="E669" s="10" t="s">
        <v>435</v>
      </c>
      <c r="F669" s="1" t="s">
        <v>89</v>
      </c>
      <c r="G669" s="1" t="s">
        <v>1306</v>
      </c>
      <c r="H669" s="1"/>
      <c r="I669" s="1"/>
      <c r="J669" s="1"/>
      <c r="K669" s="1"/>
      <c r="L669" s="1"/>
      <c r="M669" s="1"/>
      <c r="O669" s="12" t="s">
        <v>94</v>
      </c>
      <c r="P669" s="1">
        <v>1</v>
      </c>
      <c r="Q669" s="1"/>
      <c r="R669" s="1"/>
      <c r="S669" s="1"/>
      <c r="T669" s="1"/>
      <c r="U669" s="1"/>
      <c r="V669" s="1"/>
      <c r="W669" s="1">
        <v>64</v>
      </c>
      <c r="X669" s="1">
        <f t="shared" si="55"/>
        <v>64</v>
      </c>
      <c r="Y669" s="1"/>
      <c r="Z669" s="1"/>
      <c r="AA669" s="1"/>
      <c r="AB669" s="11"/>
      <c r="AC669" s="82"/>
      <c r="AD669" s="12" t="s">
        <v>52</v>
      </c>
      <c r="AE669" s="12" t="s">
        <v>94</v>
      </c>
      <c r="AG669" s="23"/>
      <c r="AH669" s="23"/>
      <c r="AN669" s="12"/>
      <c r="AU669" s="12" t="s">
        <v>1932</v>
      </c>
      <c r="AV669" s="13" t="s">
        <v>46</v>
      </c>
      <c r="AW669" s="39">
        <v>1</v>
      </c>
      <c r="AY669" s="32"/>
      <c r="AZ669" s="32"/>
      <c r="BA669" s="32"/>
    </row>
    <row r="670" spans="1:53" ht="12" customHeight="1" x14ac:dyDescent="0.2">
      <c r="A670" s="13" t="s">
        <v>313</v>
      </c>
      <c r="B670" s="39">
        <v>52001</v>
      </c>
      <c r="C670" s="42" t="s">
        <v>3476</v>
      </c>
      <c r="D670" s="10" t="s">
        <v>2959</v>
      </c>
      <c r="E670" s="10" t="s">
        <v>435</v>
      </c>
      <c r="F670" s="1" t="s">
        <v>310</v>
      </c>
      <c r="G670" s="1" t="s">
        <v>1307</v>
      </c>
      <c r="H670" s="1"/>
      <c r="I670" s="1"/>
      <c r="J670" s="1"/>
      <c r="K670" s="1"/>
      <c r="L670" s="1"/>
      <c r="M670" s="1"/>
      <c r="O670" s="12" t="s">
        <v>94</v>
      </c>
      <c r="P670" s="1">
        <v>1</v>
      </c>
      <c r="Q670" s="1"/>
      <c r="R670" s="1"/>
      <c r="S670" s="1"/>
      <c r="T670" s="1"/>
      <c r="U670" s="1"/>
      <c r="V670" s="1"/>
      <c r="W670" s="1">
        <v>81</v>
      </c>
      <c r="X670" s="1">
        <f t="shared" ref="X670:X710" si="59">W670</f>
        <v>81</v>
      </c>
      <c r="Y670" s="1"/>
      <c r="Z670" s="1"/>
      <c r="AA670" s="1"/>
      <c r="AB670" s="11"/>
      <c r="AC670" s="82"/>
      <c r="AD670" s="12" t="s">
        <v>52</v>
      </c>
      <c r="AE670" s="12" t="s">
        <v>94</v>
      </c>
      <c r="AG670" s="23"/>
      <c r="AH670" s="23"/>
      <c r="AN670" s="12"/>
      <c r="AU670" s="12" t="s">
        <v>1932</v>
      </c>
      <c r="AV670" s="13" t="s">
        <v>51</v>
      </c>
      <c r="AW670" s="39">
        <v>1</v>
      </c>
      <c r="AY670" s="32"/>
      <c r="AZ670" s="32"/>
      <c r="BA670" s="32"/>
    </row>
    <row r="671" spans="1:53" ht="12" customHeight="1" x14ac:dyDescent="0.2">
      <c r="A671" s="13" t="s">
        <v>314</v>
      </c>
      <c r="B671" s="39">
        <v>52002</v>
      </c>
      <c r="C671" s="42" t="s">
        <v>3477</v>
      </c>
      <c r="D671" s="10" t="s">
        <v>309</v>
      </c>
      <c r="E671" s="10" t="s">
        <v>0</v>
      </c>
      <c r="F671" s="1" t="s">
        <v>310</v>
      </c>
      <c r="G671" s="1" t="s">
        <v>1307</v>
      </c>
      <c r="H671" s="1"/>
      <c r="I671" s="1"/>
      <c r="J671" s="1"/>
      <c r="K671" s="1"/>
      <c r="L671" s="1"/>
      <c r="M671" s="1"/>
      <c r="O671" s="12" t="s">
        <v>94</v>
      </c>
      <c r="P671" s="1">
        <v>1</v>
      </c>
      <c r="Q671" s="1"/>
      <c r="R671" s="1"/>
      <c r="S671" s="1"/>
      <c r="T671" s="1"/>
      <c r="U671" s="1"/>
      <c r="V671" s="1"/>
      <c r="W671" s="1">
        <v>116</v>
      </c>
      <c r="X671" s="1">
        <f t="shared" si="59"/>
        <v>116</v>
      </c>
      <c r="Y671" s="1"/>
      <c r="Z671" s="1"/>
      <c r="AA671" s="1"/>
      <c r="AB671" s="11"/>
      <c r="AC671" s="82"/>
      <c r="AD671" s="12" t="s">
        <v>52</v>
      </c>
      <c r="AE671" s="39" t="str">
        <f t="shared" ref="AE671:AE673" si="60">BA671</f>
        <v>1131</v>
      </c>
      <c r="AG671" s="23"/>
      <c r="AH671" s="23"/>
      <c r="AN671" s="12"/>
      <c r="AU671" s="12" t="s">
        <v>1933</v>
      </c>
      <c r="AV671" s="13"/>
      <c r="AW671" s="39">
        <v>2</v>
      </c>
      <c r="AX671" s="12">
        <f>VLOOKUP(AW671,색인!$N$14:$O$19,2,FALSE)</f>
        <v>1</v>
      </c>
      <c r="AY671" s="39" t="str">
        <f>"T"&amp;O671&amp;"_"&amp;AX671&amp;"옵션_"&amp;VLOOKUP(E671,색인!$J$25:$K$29,2,FALSE)</f>
        <v>T1_1옵션_장신구</v>
      </c>
      <c r="AZ671" s="39">
        <f>VLOOKUP(G671,색인!$J$32:$K$45,2,FALSE)</f>
        <v>2</v>
      </c>
      <c r="BA671" s="39" t="str">
        <f>_xlfn.IFNA(VLOOKUP(AY671,표1[[검색용]:[OptionGroupIndex'[']22]],EquipItemTable!AZ671,FALSE),"옵션고정안함")</f>
        <v>1131</v>
      </c>
    </row>
    <row r="672" spans="1:53" ht="12" customHeight="1" x14ac:dyDescent="0.2">
      <c r="A672" s="13" t="s">
        <v>545</v>
      </c>
      <c r="B672" s="39">
        <v>52003</v>
      </c>
      <c r="C672" s="42" t="s">
        <v>3478</v>
      </c>
      <c r="D672" s="10" t="s">
        <v>309</v>
      </c>
      <c r="E672" s="10" t="s">
        <v>0</v>
      </c>
      <c r="F672" s="1" t="s">
        <v>310</v>
      </c>
      <c r="G672" s="1" t="s">
        <v>1307</v>
      </c>
      <c r="H672" s="1"/>
      <c r="I672" s="1"/>
      <c r="J672" s="1"/>
      <c r="K672" s="1"/>
      <c r="L672" s="1"/>
      <c r="M672" s="1"/>
      <c r="O672" s="12" t="s">
        <v>94</v>
      </c>
      <c r="P672" s="1">
        <v>1</v>
      </c>
      <c r="Q672" s="1"/>
      <c r="R672" s="1"/>
      <c r="S672" s="1"/>
      <c r="T672" s="1"/>
      <c r="U672" s="1"/>
      <c r="V672" s="1"/>
      <c r="W672" s="1">
        <v>152</v>
      </c>
      <c r="X672" s="1">
        <f t="shared" si="59"/>
        <v>152</v>
      </c>
      <c r="Y672" s="1"/>
      <c r="Z672" s="1"/>
      <c r="AA672" s="1"/>
      <c r="AB672" s="11"/>
      <c r="AC672" s="82"/>
      <c r="AD672" s="12" t="s">
        <v>52</v>
      </c>
      <c r="AE672" s="39" t="str">
        <f t="shared" si="60"/>
        <v>1231</v>
      </c>
      <c r="AG672" s="23"/>
      <c r="AH672" s="23"/>
      <c r="AN672" s="12"/>
      <c r="AR672" s="34" t="s">
        <v>94</v>
      </c>
      <c r="AS672" s="34" t="s">
        <v>94</v>
      </c>
      <c r="AU672" s="12" t="s">
        <v>1934</v>
      </c>
      <c r="AV672" s="13"/>
      <c r="AW672" s="39">
        <v>3</v>
      </c>
      <c r="AX672" s="12">
        <f>VLOOKUP(AW672,색인!$N$14:$O$19,2,FALSE)</f>
        <v>2</v>
      </c>
      <c r="AY672" s="39" t="str">
        <f>"T"&amp;O672&amp;"_"&amp;AX672&amp;"옵션_"&amp;VLOOKUP(E672,색인!$J$25:$K$29,2,FALSE)</f>
        <v>T1_2옵션_장신구</v>
      </c>
      <c r="AZ672" s="39">
        <f>VLOOKUP(G672,색인!$J$32:$K$45,2,FALSE)</f>
        <v>2</v>
      </c>
      <c r="BA672" s="39" t="str">
        <f>_xlfn.IFNA(VLOOKUP(AY672,표1[[검색용]:[OptionGroupIndex'[']22]],EquipItemTable!AZ672,FALSE),"옵션고정안함")</f>
        <v>1231</v>
      </c>
    </row>
    <row r="673" spans="1:53" ht="12" customHeight="1" x14ac:dyDescent="0.2">
      <c r="A673" s="13" t="s">
        <v>444</v>
      </c>
      <c r="B673" s="39">
        <v>52004</v>
      </c>
      <c r="C673" s="42" t="s">
        <v>3479</v>
      </c>
      <c r="D673" s="10" t="s">
        <v>309</v>
      </c>
      <c r="E673" s="10" t="s">
        <v>0</v>
      </c>
      <c r="F673" s="1" t="s">
        <v>310</v>
      </c>
      <c r="G673" s="1" t="s">
        <v>1307</v>
      </c>
      <c r="H673" s="1"/>
      <c r="I673" s="1"/>
      <c r="J673" s="1"/>
      <c r="K673" s="1"/>
      <c r="L673" s="1"/>
      <c r="M673" s="1"/>
      <c r="O673" s="12" t="s">
        <v>428</v>
      </c>
      <c r="P673" s="1">
        <v>1</v>
      </c>
      <c r="Q673" s="1"/>
      <c r="R673" s="1"/>
      <c r="S673" s="1"/>
      <c r="T673" s="1"/>
      <c r="U673" s="1"/>
      <c r="V673" s="1"/>
      <c r="W673" s="1">
        <v>195</v>
      </c>
      <c r="X673" s="1">
        <f t="shared" si="59"/>
        <v>195</v>
      </c>
      <c r="Y673" s="1"/>
      <c r="Z673" s="1"/>
      <c r="AA673" s="1"/>
      <c r="AB673" s="11"/>
      <c r="AC673" s="82"/>
      <c r="AD673" s="12" t="s">
        <v>868</v>
      </c>
      <c r="AE673" s="39" t="str">
        <f t="shared" si="60"/>
        <v>1331</v>
      </c>
      <c r="AG673" s="23"/>
      <c r="AH673" s="23"/>
      <c r="AN673" s="12"/>
      <c r="AR673" s="34" t="s">
        <v>543</v>
      </c>
      <c r="AS673" s="34" t="s">
        <v>543</v>
      </c>
      <c r="AU673" s="12" t="s">
        <v>1935</v>
      </c>
      <c r="AV673" s="13"/>
      <c r="AW673" s="39">
        <v>4</v>
      </c>
      <c r="AX673" s="12">
        <f>VLOOKUP(AW673,색인!$N$14:$O$19,2,FALSE)</f>
        <v>3</v>
      </c>
      <c r="AY673" s="39" t="str">
        <f>"T"&amp;O673&amp;"_"&amp;AX673&amp;"옵션_"&amp;VLOOKUP(E673,색인!$J$25:$K$29,2,FALSE)</f>
        <v>T1_3옵션_장신구</v>
      </c>
      <c r="AZ673" s="39">
        <f>VLOOKUP(G673,색인!$J$32:$K$45,2,FALSE)</f>
        <v>2</v>
      </c>
      <c r="BA673" s="39" t="str">
        <f>_xlfn.IFNA(VLOOKUP(AY673,표1[[검색용]:[OptionGroupIndex'[']22]],EquipItemTable!AZ673,FALSE),"옵션고정안함")</f>
        <v>1331</v>
      </c>
    </row>
    <row r="674" spans="1:53" ht="12" customHeight="1" x14ac:dyDescent="0.2">
      <c r="A674" s="13" t="s">
        <v>315</v>
      </c>
      <c r="B674" s="39">
        <v>52005</v>
      </c>
      <c r="C674" s="42" t="s">
        <v>3480</v>
      </c>
      <c r="D674" s="10" t="s">
        <v>309</v>
      </c>
      <c r="E674" s="10" t="s">
        <v>0</v>
      </c>
      <c r="F674" s="1" t="s">
        <v>310</v>
      </c>
      <c r="G674" s="1" t="s">
        <v>1307</v>
      </c>
      <c r="H674" s="1"/>
      <c r="I674" s="1"/>
      <c r="J674" s="1"/>
      <c r="K674" s="1"/>
      <c r="L674" s="1"/>
      <c r="M674" s="1"/>
      <c r="O674" s="12" t="s">
        <v>95</v>
      </c>
      <c r="P674" s="1">
        <v>21</v>
      </c>
      <c r="Q674" s="1"/>
      <c r="R674" s="1"/>
      <c r="S674" s="1"/>
      <c r="T674" s="1"/>
      <c r="U674" s="1"/>
      <c r="V674" s="1"/>
      <c r="W674" s="1">
        <v>224</v>
      </c>
      <c r="X674" s="1">
        <f t="shared" si="59"/>
        <v>224</v>
      </c>
      <c r="Y674" s="1"/>
      <c r="Z674" s="1"/>
      <c r="AA674" s="1"/>
      <c r="AB674" s="11"/>
      <c r="AC674" s="82"/>
      <c r="AD674" s="12" t="s">
        <v>52</v>
      </c>
      <c r="AE674" s="12" t="s">
        <v>550</v>
      </c>
      <c r="AG674" s="23"/>
      <c r="AH674" s="23"/>
      <c r="AN674" s="12"/>
      <c r="AU674" s="12" t="s">
        <v>1932</v>
      </c>
      <c r="AV674" s="13"/>
      <c r="AW674" s="39">
        <v>1</v>
      </c>
      <c r="AY674" s="32"/>
      <c r="AZ674" s="32"/>
      <c r="BA674" s="32"/>
    </row>
    <row r="675" spans="1:53" ht="12" customHeight="1" x14ac:dyDescent="0.2">
      <c r="A675" s="13" t="s">
        <v>316</v>
      </c>
      <c r="B675" s="39">
        <v>52006</v>
      </c>
      <c r="C675" s="42" t="s">
        <v>3481</v>
      </c>
      <c r="D675" s="10" t="s">
        <v>309</v>
      </c>
      <c r="E675" s="10" t="s">
        <v>0</v>
      </c>
      <c r="F675" s="1" t="s">
        <v>310</v>
      </c>
      <c r="G675" s="1" t="s">
        <v>1307</v>
      </c>
      <c r="H675" s="1"/>
      <c r="I675" s="1"/>
      <c r="J675" s="1"/>
      <c r="K675" s="1"/>
      <c r="L675" s="1"/>
      <c r="M675" s="1"/>
      <c r="O675" s="12" t="s">
        <v>95</v>
      </c>
      <c r="P675" s="1">
        <v>21</v>
      </c>
      <c r="Q675" s="1"/>
      <c r="R675" s="1"/>
      <c r="S675" s="1"/>
      <c r="T675" s="1"/>
      <c r="U675" s="1"/>
      <c r="V675" s="1"/>
      <c r="W675" s="1">
        <v>293</v>
      </c>
      <c r="X675" s="1">
        <f t="shared" si="59"/>
        <v>293</v>
      </c>
      <c r="Y675" s="1"/>
      <c r="Z675" s="1"/>
      <c r="AA675" s="1"/>
      <c r="AB675" s="11"/>
      <c r="AC675" s="82"/>
      <c r="AD675" s="12" t="s">
        <v>52</v>
      </c>
      <c r="AE675" s="39" t="str">
        <f t="shared" ref="AE675:AE677" si="61">BA675</f>
        <v>2131</v>
      </c>
      <c r="AG675" s="23"/>
      <c r="AH675" s="23"/>
      <c r="AN675" s="12"/>
      <c r="AU675" s="12" t="s">
        <v>1933</v>
      </c>
      <c r="AV675" s="13"/>
      <c r="AW675" s="39">
        <v>2</v>
      </c>
      <c r="AX675" s="12">
        <f>VLOOKUP(AW675,색인!$N$14:$O$19,2,FALSE)</f>
        <v>1</v>
      </c>
      <c r="AY675" s="39" t="str">
        <f>"T"&amp;O675&amp;"_"&amp;AX675&amp;"옵션_"&amp;VLOOKUP(E675,색인!$J$25:$K$29,2,FALSE)</f>
        <v>T2_1옵션_장신구</v>
      </c>
      <c r="AZ675" s="39">
        <f>VLOOKUP(G675,색인!$J$32:$K$45,2,FALSE)</f>
        <v>2</v>
      </c>
      <c r="BA675" s="39" t="str">
        <f>_xlfn.IFNA(VLOOKUP(AY675,표1[[검색용]:[OptionGroupIndex'[']22]],EquipItemTable!AZ675,FALSE),"옵션고정안함")</f>
        <v>2131</v>
      </c>
    </row>
    <row r="676" spans="1:53" ht="12" customHeight="1" x14ac:dyDescent="0.2">
      <c r="A676" s="13" t="s">
        <v>317</v>
      </c>
      <c r="B676" s="39">
        <v>52007</v>
      </c>
      <c r="C676" s="42" t="s">
        <v>3482</v>
      </c>
      <c r="D676" s="10" t="s">
        <v>309</v>
      </c>
      <c r="E676" s="10" t="s">
        <v>0</v>
      </c>
      <c r="F676" s="1" t="s">
        <v>310</v>
      </c>
      <c r="G676" s="1" t="s">
        <v>1307</v>
      </c>
      <c r="H676" s="1"/>
      <c r="I676" s="1"/>
      <c r="J676" s="1"/>
      <c r="K676" s="1"/>
      <c r="L676" s="1"/>
      <c r="M676" s="1"/>
      <c r="O676" s="12" t="s">
        <v>95</v>
      </c>
      <c r="P676" s="1">
        <v>21</v>
      </c>
      <c r="Q676" s="1"/>
      <c r="R676" s="1"/>
      <c r="S676" s="1"/>
      <c r="T676" s="1"/>
      <c r="U676" s="1"/>
      <c r="V676" s="1"/>
      <c r="W676" s="1">
        <v>362</v>
      </c>
      <c r="X676" s="1">
        <f t="shared" si="59"/>
        <v>362</v>
      </c>
      <c r="Y676" s="1"/>
      <c r="Z676" s="1"/>
      <c r="AA676" s="1"/>
      <c r="AB676" s="11"/>
      <c r="AC676" s="82"/>
      <c r="AD676" s="12" t="s">
        <v>52</v>
      </c>
      <c r="AE676" s="39" t="str">
        <f t="shared" si="61"/>
        <v>2231</v>
      </c>
      <c r="AG676" s="23"/>
      <c r="AH676" s="23"/>
      <c r="AN676" s="12"/>
      <c r="AR676" s="34" t="s">
        <v>94</v>
      </c>
      <c r="AS676" s="34" t="s">
        <v>94</v>
      </c>
      <c r="AU676" s="12" t="s">
        <v>1934</v>
      </c>
      <c r="AV676" s="13"/>
      <c r="AW676" s="39">
        <v>3</v>
      </c>
      <c r="AX676" s="12">
        <f>VLOOKUP(AW676,색인!$N$14:$O$19,2,FALSE)</f>
        <v>2</v>
      </c>
      <c r="AY676" s="39" t="str">
        <f>"T"&amp;O676&amp;"_"&amp;AX676&amp;"옵션_"&amp;VLOOKUP(E676,색인!$J$25:$K$29,2,FALSE)</f>
        <v>T2_2옵션_장신구</v>
      </c>
      <c r="AZ676" s="39">
        <f>VLOOKUP(G676,색인!$J$32:$K$45,2,FALSE)</f>
        <v>2</v>
      </c>
      <c r="BA676" s="39" t="str">
        <f>_xlfn.IFNA(VLOOKUP(AY676,표1[[검색용]:[OptionGroupIndex'[']22]],EquipItemTable!AZ676,FALSE),"옵션고정안함")</f>
        <v>2231</v>
      </c>
    </row>
    <row r="677" spans="1:53" ht="12" customHeight="1" x14ac:dyDescent="0.2">
      <c r="A677" s="13" t="s">
        <v>445</v>
      </c>
      <c r="B677" s="39">
        <v>52008</v>
      </c>
      <c r="C677" s="42" t="s">
        <v>3483</v>
      </c>
      <c r="D677" s="10" t="s">
        <v>309</v>
      </c>
      <c r="E677" s="10" t="s">
        <v>0</v>
      </c>
      <c r="F677" s="1" t="s">
        <v>310</v>
      </c>
      <c r="G677" s="1" t="s">
        <v>1307</v>
      </c>
      <c r="H677" s="1"/>
      <c r="I677" s="1"/>
      <c r="J677" s="1"/>
      <c r="K677" s="1"/>
      <c r="L677" s="1"/>
      <c r="M677" s="1"/>
      <c r="O677" s="12" t="s">
        <v>429</v>
      </c>
      <c r="P677" s="1">
        <v>21</v>
      </c>
      <c r="Q677" s="1"/>
      <c r="R677" s="1"/>
      <c r="S677" s="1"/>
      <c r="T677" s="1"/>
      <c r="U677" s="1"/>
      <c r="V677" s="1"/>
      <c r="W677" s="1">
        <v>440</v>
      </c>
      <c r="X677" s="1">
        <f t="shared" si="59"/>
        <v>440</v>
      </c>
      <c r="Y677" s="1"/>
      <c r="Z677" s="1"/>
      <c r="AA677" s="1"/>
      <c r="AB677" s="11"/>
      <c r="AC677" s="82"/>
      <c r="AE677" s="39" t="str">
        <f t="shared" si="61"/>
        <v>2331</v>
      </c>
      <c r="AG677" s="23"/>
      <c r="AH677" s="23"/>
      <c r="AN677" s="12"/>
      <c r="AR677" s="34" t="s">
        <v>543</v>
      </c>
      <c r="AS677" s="34" t="s">
        <v>543</v>
      </c>
      <c r="AU677" s="12" t="s">
        <v>1935</v>
      </c>
      <c r="AV677" s="13"/>
      <c r="AW677" s="39">
        <v>4</v>
      </c>
      <c r="AX677" s="12">
        <f>VLOOKUP(AW677,색인!$N$14:$O$19,2,FALSE)</f>
        <v>3</v>
      </c>
      <c r="AY677" s="39" t="str">
        <f>"T"&amp;O677&amp;"_"&amp;AX677&amp;"옵션_"&amp;VLOOKUP(E677,색인!$J$25:$K$29,2,FALSE)</f>
        <v>T2_3옵션_장신구</v>
      </c>
      <c r="AZ677" s="39">
        <f>VLOOKUP(G677,색인!$J$32:$K$45,2,FALSE)</f>
        <v>2</v>
      </c>
      <c r="BA677" s="39" t="str">
        <f>_xlfn.IFNA(VLOOKUP(AY677,표1[[검색용]:[OptionGroupIndex'[']22]],EquipItemTable!AZ677,FALSE),"옵션고정안함")</f>
        <v>2331</v>
      </c>
    </row>
    <row r="678" spans="1:53" ht="12" customHeight="1" x14ac:dyDescent="0.2">
      <c r="A678" s="13" t="s">
        <v>318</v>
      </c>
      <c r="B678" s="39">
        <v>52009</v>
      </c>
      <c r="C678" s="42" t="s">
        <v>3484</v>
      </c>
      <c r="D678" s="10" t="s">
        <v>309</v>
      </c>
      <c r="E678" s="10" t="s">
        <v>0</v>
      </c>
      <c r="F678" s="1" t="s">
        <v>310</v>
      </c>
      <c r="G678" s="1" t="s">
        <v>1307</v>
      </c>
      <c r="H678" s="1"/>
      <c r="I678" s="1"/>
      <c r="J678" s="1"/>
      <c r="K678" s="1"/>
      <c r="L678" s="1"/>
      <c r="M678" s="1"/>
      <c r="N678" s="81"/>
      <c r="O678" s="12" t="s">
        <v>96</v>
      </c>
      <c r="P678" s="1">
        <v>31</v>
      </c>
      <c r="Q678" s="13"/>
      <c r="R678" s="13"/>
      <c r="S678" s="13"/>
      <c r="T678" s="13"/>
      <c r="U678" s="13"/>
      <c r="V678" s="1"/>
      <c r="W678" s="13">
        <v>505</v>
      </c>
      <c r="X678" s="1">
        <f t="shared" si="59"/>
        <v>505</v>
      </c>
      <c r="Y678" s="13"/>
      <c r="Z678" s="13"/>
      <c r="AA678" s="13"/>
      <c r="AB678" s="13"/>
      <c r="AC678" s="82"/>
      <c r="AD678" s="23" t="s">
        <v>52</v>
      </c>
      <c r="AE678" s="23">
        <v>3</v>
      </c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81"/>
      <c r="AR678" s="83"/>
      <c r="AS678" s="83"/>
      <c r="AT678" s="81"/>
      <c r="AU678" s="12" t="s">
        <v>1932</v>
      </c>
      <c r="AV678" s="13"/>
      <c r="AW678" s="39">
        <v>1</v>
      </c>
      <c r="AY678" s="32"/>
      <c r="AZ678" s="32"/>
      <c r="BA678" s="32"/>
    </row>
    <row r="679" spans="1:53" ht="12" customHeight="1" x14ac:dyDescent="0.2">
      <c r="A679" s="13" t="s">
        <v>319</v>
      </c>
      <c r="B679" s="39">
        <v>52010</v>
      </c>
      <c r="C679" s="42" t="s">
        <v>3485</v>
      </c>
      <c r="D679" s="10" t="s">
        <v>309</v>
      </c>
      <c r="E679" s="10" t="s">
        <v>0</v>
      </c>
      <c r="F679" s="1" t="s">
        <v>310</v>
      </c>
      <c r="G679" s="1" t="s">
        <v>1307</v>
      </c>
      <c r="H679" s="1"/>
      <c r="I679" s="1"/>
      <c r="J679" s="1"/>
      <c r="K679" s="1"/>
      <c r="L679" s="1"/>
      <c r="M679" s="1"/>
      <c r="N679" s="81"/>
      <c r="O679" s="12" t="s">
        <v>96</v>
      </c>
      <c r="P679" s="1">
        <v>31</v>
      </c>
      <c r="Q679" s="13"/>
      <c r="R679" s="13"/>
      <c r="S679" s="13"/>
      <c r="T679" s="13"/>
      <c r="U679" s="13"/>
      <c r="V679" s="1"/>
      <c r="W679" s="13">
        <v>639</v>
      </c>
      <c r="X679" s="1">
        <f t="shared" si="59"/>
        <v>639</v>
      </c>
      <c r="Y679" s="13"/>
      <c r="Z679" s="13"/>
      <c r="AA679" s="13"/>
      <c r="AB679" s="13"/>
      <c r="AC679" s="82"/>
      <c r="AD679" s="23" t="s">
        <v>52</v>
      </c>
      <c r="AE679" s="90" t="str">
        <f t="shared" ref="AE679:AE681" si="62">BA679</f>
        <v>3131</v>
      </c>
      <c r="AF679" s="23"/>
      <c r="AI679" s="23"/>
      <c r="AJ679" s="23"/>
      <c r="AK679" s="23"/>
      <c r="AL679" s="23"/>
      <c r="AM679" s="23"/>
      <c r="AN679" s="23"/>
      <c r="AO679" s="23"/>
      <c r="AP679" s="23"/>
      <c r="AQ679" s="81"/>
      <c r="AR679" s="83"/>
      <c r="AS679" s="83"/>
      <c r="AT679" s="81"/>
      <c r="AU679" s="12" t="s">
        <v>1933</v>
      </c>
      <c r="AV679" s="13"/>
      <c r="AW679" s="39">
        <v>2</v>
      </c>
      <c r="AX679" s="12">
        <f>VLOOKUP(AW679,색인!$N$14:$O$19,2,FALSE)</f>
        <v>1</v>
      </c>
      <c r="AY679" s="39" t="str">
        <f>"T"&amp;O679&amp;"_"&amp;AX679&amp;"옵션_"&amp;VLOOKUP(E679,색인!$J$25:$K$29,2,FALSE)</f>
        <v>T3_1옵션_장신구</v>
      </c>
      <c r="AZ679" s="39">
        <f>VLOOKUP(G679,색인!$J$32:$K$45,2,FALSE)</f>
        <v>2</v>
      </c>
      <c r="BA679" s="39" t="str">
        <f>_xlfn.IFNA(VLOOKUP(AY679,표1[[검색용]:[OptionGroupIndex'[']22]],EquipItemTable!AZ679,FALSE),"옵션고정안함")</f>
        <v>3131</v>
      </c>
    </row>
    <row r="680" spans="1:53" ht="12" customHeight="1" x14ac:dyDescent="0.2">
      <c r="A680" s="13" t="s">
        <v>320</v>
      </c>
      <c r="B680" s="39">
        <v>52011</v>
      </c>
      <c r="C680" s="42" t="s">
        <v>3486</v>
      </c>
      <c r="D680" s="10" t="s">
        <v>309</v>
      </c>
      <c r="E680" s="10" t="s">
        <v>0</v>
      </c>
      <c r="F680" s="1" t="s">
        <v>310</v>
      </c>
      <c r="G680" s="1" t="s">
        <v>1307</v>
      </c>
      <c r="H680" s="1"/>
      <c r="I680" s="1"/>
      <c r="J680" s="1"/>
      <c r="K680" s="1"/>
      <c r="L680" s="1"/>
      <c r="M680" s="1"/>
      <c r="N680" s="81"/>
      <c r="O680" s="12" t="s">
        <v>96</v>
      </c>
      <c r="P680" s="1">
        <v>31</v>
      </c>
      <c r="Q680" s="13"/>
      <c r="R680" s="13"/>
      <c r="S680" s="13"/>
      <c r="T680" s="13"/>
      <c r="U680" s="13"/>
      <c r="V680" s="1"/>
      <c r="W680" s="13">
        <v>765</v>
      </c>
      <c r="X680" s="1">
        <f t="shared" si="59"/>
        <v>765</v>
      </c>
      <c r="Y680" s="13"/>
      <c r="Z680" s="13"/>
      <c r="AA680" s="13"/>
      <c r="AB680" s="13"/>
      <c r="AC680" s="82"/>
      <c r="AD680" s="23" t="s">
        <v>52</v>
      </c>
      <c r="AE680" s="90" t="str">
        <f t="shared" si="62"/>
        <v>3231</v>
      </c>
      <c r="AF680" s="23"/>
      <c r="AI680" s="23"/>
      <c r="AJ680" s="23"/>
      <c r="AK680" s="23"/>
      <c r="AL680" s="23"/>
      <c r="AM680" s="23"/>
      <c r="AN680" s="23"/>
      <c r="AO680" s="23"/>
      <c r="AP680" s="23"/>
      <c r="AQ680" s="81"/>
      <c r="AR680" s="83">
        <v>1</v>
      </c>
      <c r="AS680" s="83">
        <v>1</v>
      </c>
      <c r="AT680" s="81"/>
      <c r="AU680" s="12" t="s">
        <v>1934</v>
      </c>
      <c r="AV680" s="13"/>
      <c r="AW680" s="39">
        <v>3</v>
      </c>
      <c r="AX680" s="12">
        <f>VLOOKUP(AW680,색인!$N$14:$O$19,2,FALSE)</f>
        <v>2</v>
      </c>
      <c r="AY680" s="39" t="str">
        <f>"T"&amp;O680&amp;"_"&amp;AX680&amp;"옵션_"&amp;VLOOKUP(E680,색인!$J$25:$K$29,2,FALSE)</f>
        <v>T3_2옵션_장신구</v>
      </c>
      <c r="AZ680" s="39">
        <f>VLOOKUP(G680,색인!$J$32:$K$45,2,FALSE)</f>
        <v>2</v>
      </c>
      <c r="BA680" s="39" t="str">
        <f>_xlfn.IFNA(VLOOKUP(AY680,표1[[검색용]:[OptionGroupIndex'[']22]],EquipItemTable!AZ680,FALSE),"옵션고정안함")</f>
        <v>3231</v>
      </c>
    </row>
    <row r="681" spans="1:53" ht="12" customHeight="1" x14ac:dyDescent="0.2">
      <c r="A681" s="13" t="s">
        <v>321</v>
      </c>
      <c r="B681" s="39">
        <v>52012</v>
      </c>
      <c r="C681" s="42" t="s">
        <v>3487</v>
      </c>
      <c r="D681" s="10" t="s">
        <v>309</v>
      </c>
      <c r="E681" s="10" t="s">
        <v>0</v>
      </c>
      <c r="F681" s="1" t="s">
        <v>310</v>
      </c>
      <c r="G681" s="1" t="s">
        <v>1307</v>
      </c>
      <c r="H681" s="1"/>
      <c r="I681" s="1"/>
      <c r="J681" s="1"/>
      <c r="K681" s="1"/>
      <c r="L681" s="1"/>
      <c r="M681" s="1"/>
      <c r="N681" s="81"/>
      <c r="O681" s="12" t="s">
        <v>96</v>
      </c>
      <c r="P681" s="1">
        <v>31</v>
      </c>
      <c r="Q681" s="13"/>
      <c r="R681" s="13"/>
      <c r="S681" s="13"/>
      <c r="T681" s="13"/>
      <c r="U681" s="13"/>
      <c r="V681" s="1"/>
      <c r="W681" s="13">
        <v>908</v>
      </c>
      <c r="X681" s="1">
        <f t="shared" si="59"/>
        <v>908</v>
      </c>
      <c r="Y681" s="13"/>
      <c r="Z681" s="13"/>
      <c r="AA681" s="13"/>
      <c r="AB681" s="13"/>
      <c r="AC681" s="82"/>
      <c r="AD681" s="23" t="s">
        <v>52</v>
      </c>
      <c r="AE681" s="90" t="str">
        <f t="shared" si="62"/>
        <v>3331</v>
      </c>
      <c r="AF681" s="23"/>
      <c r="AI681" s="23"/>
      <c r="AJ681" s="23"/>
      <c r="AK681" s="23"/>
      <c r="AL681" s="23"/>
      <c r="AM681" s="23"/>
      <c r="AN681" s="23"/>
      <c r="AO681" s="23"/>
      <c r="AP681" s="23"/>
      <c r="AQ681" s="81"/>
      <c r="AR681" s="83">
        <v>1</v>
      </c>
      <c r="AS681" s="83">
        <v>1</v>
      </c>
      <c r="AT681" s="81"/>
      <c r="AU681" s="12" t="s">
        <v>1935</v>
      </c>
      <c r="AV681" s="13"/>
      <c r="AW681" s="39">
        <v>4</v>
      </c>
      <c r="AX681" s="12">
        <f>VLOOKUP(AW681,색인!$N$14:$O$19,2,FALSE)</f>
        <v>3</v>
      </c>
      <c r="AY681" s="39" t="str">
        <f>"T"&amp;O681&amp;"_"&amp;AX681&amp;"옵션_"&amp;VLOOKUP(E681,색인!$J$25:$K$29,2,FALSE)</f>
        <v>T3_3옵션_장신구</v>
      </c>
      <c r="AZ681" s="39">
        <f>VLOOKUP(G681,색인!$J$32:$K$45,2,FALSE)</f>
        <v>2</v>
      </c>
      <c r="BA681" s="39" t="str">
        <f>_xlfn.IFNA(VLOOKUP(AY681,표1[[검색용]:[OptionGroupIndex'[']22]],EquipItemTable!AZ681,FALSE),"옵션고정안함")</f>
        <v>3331</v>
      </c>
    </row>
    <row r="682" spans="1:53" ht="14.1" customHeight="1" x14ac:dyDescent="0.2">
      <c r="A682" s="13" t="s">
        <v>562</v>
      </c>
      <c r="B682" s="39">
        <v>52031</v>
      </c>
      <c r="C682" s="42" t="s">
        <v>3488</v>
      </c>
      <c r="D682" s="10" t="s">
        <v>309</v>
      </c>
      <c r="E682" s="10" t="s">
        <v>0</v>
      </c>
      <c r="F682" s="1" t="s">
        <v>310</v>
      </c>
      <c r="G682" s="1" t="s">
        <v>1307</v>
      </c>
      <c r="H682" s="1"/>
      <c r="I682" s="1"/>
      <c r="J682" s="1"/>
      <c r="K682" s="1"/>
      <c r="L682" s="1"/>
      <c r="M682" s="1"/>
      <c r="N682" s="81"/>
      <c r="O682" s="12" t="s">
        <v>96</v>
      </c>
      <c r="P682" s="1">
        <v>31</v>
      </c>
      <c r="Q682" s="13"/>
      <c r="R682" s="13"/>
      <c r="S682" s="13"/>
      <c r="T682" s="13"/>
      <c r="U682" s="13"/>
      <c r="V682" s="1"/>
      <c r="W682" s="13">
        <v>1073</v>
      </c>
      <c r="X682" s="1">
        <f t="shared" si="59"/>
        <v>1073</v>
      </c>
      <c r="Y682" s="13"/>
      <c r="Z682" s="13"/>
      <c r="AA682" s="13"/>
      <c r="AB682" s="13"/>
      <c r="AC682" s="82"/>
      <c r="AD682" s="23" t="s">
        <v>52</v>
      </c>
      <c r="AE682" s="23">
        <v>3</v>
      </c>
      <c r="AF682" s="23"/>
      <c r="AI682" s="23"/>
      <c r="AJ682" s="23"/>
      <c r="AK682" s="23"/>
      <c r="AL682" s="23"/>
      <c r="AM682" s="23"/>
      <c r="AN682" s="23">
        <v>1</v>
      </c>
      <c r="AO682" s="23"/>
      <c r="AP682" s="23"/>
      <c r="AQ682" s="81"/>
      <c r="AR682" s="83">
        <v>1</v>
      </c>
      <c r="AS682" s="83">
        <v>1</v>
      </c>
      <c r="AT682" s="81"/>
      <c r="AU682" s="12" t="s">
        <v>1936</v>
      </c>
      <c r="AV682" s="13"/>
      <c r="AW682" s="39">
        <v>6</v>
      </c>
      <c r="AX682" s="12">
        <f>VLOOKUP(AW682,색인!$N$14:$O$19,2,FALSE)</f>
        <v>4</v>
      </c>
      <c r="AY682" s="32" t="str">
        <f>"T"&amp;O682&amp;"_"&amp;AX682&amp;"옵션_"&amp;VLOOKUP(E682,색인!$J$25:$K$29,2,FALSE)</f>
        <v>T3_4옵션_장신구</v>
      </c>
      <c r="AZ682" s="32">
        <f>VLOOKUP(G682,색인!$J$32:$K$45,2,FALSE)</f>
        <v>2</v>
      </c>
      <c r="BA682" s="32" t="str">
        <f>_xlfn.IFNA(VLOOKUP(AY682,표1[[검색용]:[OptionGroupIndex'[']22]],EquipItemTable!AZ682,FALSE),"옵션고정안함")</f>
        <v>옵션고정안함</v>
      </c>
    </row>
    <row r="683" spans="1:53" ht="14.1" customHeight="1" x14ac:dyDescent="0.2">
      <c r="A683" s="13" t="s">
        <v>994</v>
      </c>
      <c r="B683" s="39">
        <v>52029</v>
      </c>
      <c r="C683" s="42" t="s">
        <v>3489</v>
      </c>
      <c r="D683" s="10" t="s">
        <v>309</v>
      </c>
      <c r="E683" s="10" t="s">
        <v>0</v>
      </c>
      <c r="F683" s="1" t="s">
        <v>310</v>
      </c>
      <c r="G683" s="1" t="s">
        <v>1307</v>
      </c>
      <c r="H683" s="1"/>
      <c r="I683" s="1"/>
      <c r="J683" s="1"/>
      <c r="K683" s="1"/>
      <c r="L683" s="1"/>
      <c r="M683" s="1"/>
      <c r="N683" s="81"/>
      <c r="O683" s="12" t="s">
        <v>96</v>
      </c>
      <c r="P683" s="1">
        <v>31</v>
      </c>
      <c r="Q683" s="13"/>
      <c r="R683" s="13"/>
      <c r="S683" s="13"/>
      <c r="T683" s="13"/>
      <c r="U683" s="13"/>
      <c r="V683" s="1"/>
      <c r="W683" s="13">
        <v>1073</v>
      </c>
      <c r="X683" s="1">
        <f t="shared" ref="X683:X685" si="63">W683</f>
        <v>1073</v>
      </c>
      <c r="Y683" s="13"/>
      <c r="Z683" s="13"/>
      <c r="AA683" s="13"/>
      <c r="AB683" s="13"/>
      <c r="AC683" s="82"/>
      <c r="AD683" s="23" t="s">
        <v>52</v>
      </c>
      <c r="AE683" s="23">
        <v>3</v>
      </c>
      <c r="AF683" s="23"/>
      <c r="AI683" s="23"/>
      <c r="AJ683" s="23"/>
      <c r="AK683" s="23"/>
      <c r="AL683" s="23"/>
      <c r="AM683" s="23"/>
      <c r="AN683" s="23">
        <v>2</v>
      </c>
      <c r="AO683" s="23"/>
      <c r="AP683" s="23"/>
      <c r="AQ683" s="81"/>
      <c r="AR683" s="83">
        <v>1</v>
      </c>
      <c r="AS683" s="83">
        <v>1</v>
      </c>
      <c r="AT683" s="81"/>
      <c r="AU683" s="12" t="s">
        <v>1936</v>
      </c>
      <c r="AV683" s="13"/>
      <c r="AW683" s="39">
        <v>6</v>
      </c>
      <c r="AX683" s="12">
        <f>VLOOKUP(AW683,색인!$N$14:$O$19,2,FALSE)</f>
        <v>4</v>
      </c>
      <c r="AY683" s="32" t="str">
        <f>"T"&amp;O683&amp;"_"&amp;AX683&amp;"옵션_"&amp;VLOOKUP(E683,색인!$J$25:$K$29,2,FALSE)</f>
        <v>T3_4옵션_장신구</v>
      </c>
      <c r="AZ683" s="32">
        <f>VLOOKUP(G683,색인!$J$32:$K$45,2,FALSE)</f>
        <v>2</v>
      </c>
      <c r="BA683" s="32" t="str">
        <f>_xlfn.IFNA(VLOOKUP(AY683,표1[[검색용]:[OptionGroupIndex'[']22]],EquipItemTable!AZ683,FALSE),"옵션고정안함")</f>
        <v>옵션고정안함</v>
      </c>
    </row>
    <row r="684" spans="1:53" ht="14.1" customHeight="1" x14ac:dyDescent="0.2">
      <c r="A684" s="13" t="s">
        <v>995</v>
      </c>
      <c r="B684" s="39">
        <v>52030</v>
      </c>
      <c r="C684" s="42" t="s">
        <v>3490</v>
      </c>
      <c r="D684" s="10" t="s">
        <v>309</v>
      </c>
      <c r="E684" s="10" t="s">
        <v>0</v>
      </c>
      <c r="F684" s="1" t="s">
        <v>310</v>
      </c>
      <c r="G684" s="1" t="s">
        <v>1307</v>
      </c>
      <c r="H684" s="1"/>
      <c r="I684" s="1"/>
      <c r="J684" s="1"/>
      <c r="K684" s="1"/>
      <c r="L684" s="1"/>
      <c r="M684" s="1"/>
      <c r="N684" s="81"/>
      <c r="O684" s="12" t="s">
        <v>96</v>
      </c>
      <c r="P684" s="1">
        <v>31</v>
      </c>
      <c r="Q684" s="13"/>
      <c r="R684" s="13"/>
      <c r="S684" s="13"/>
      <c r="T684" s="13"/>
      <c r="U684" s="13"/>
      <c r="V684" s="1"/>
      <c r="W684" s="13">
        <v>1073</v>
      </c>
      <c r="X684" s="1">
        <f t="shared" si="63"/>
        <v>1073</v>
      </c>
      <c r="Y684" s="13"/>
      <c r="Z684" s="13"/>
      <c r="AA684" s="13"/>
      <c r="AB684" s="13"/>
      <c r="AC684" s="82"/>
      <c r="AD684" s="23" t="s">
        <v>52</v>
      </c>
      <c r="AE684" s="23">
        <v>3</v>
      </c>
      <c r="AF684" s="23"/>
      <c r="AI684" s="23"/>
      <c r="AJ684" s="23"/>
      <c r="AK684" s="23"/>
      <c r="AL684" s="23"/>
      <c r="AM684" s="23"/>
      <c r="AN684" s="23">
        <v>3</v>
      </c>
      <c r="AO684" s="23"/>
      <c r="AP684" s="23"/>
      <c r="AQ684" s="81"/>
      <c r="AR684" s="83">
        <v>1</v>
      </c>
      <c r="AS684" s="83">
        <v>1</v>
      </c>
      <c r="AT684" s="81"/>
      <c r="AU684" s="12" t="s">
        <v>1936</v>
      </c>
      <c r="AV684" s="13"/>
      <c r="AW684" s="39">
        <v>6</v>
      </c>
      <c r="AX684" s="12">
        <f>VLOOKUP(AW684,색인!$N$14:$O$19,2,FALSE)</f>
        <v>4</v>
      </c>
      <c r="AY684" s="32" t="str">
        <f>"T"&amp;O684&amp;"_"&amp;AX684&amp;"옵션_"&amp;VLOOKUP(E684,색인!$J$25:$K$29,2,FALSE)</f>
        <v>T3_4옵션_장신구</v>
      </c>
      <c r="AZ684" s="32">
        <f>VLOOKUP(G684,색인!$J$32:$K$45,2,FALSE)</f>
        <v>2</v>
      </c>
      <c r="BA684" s="32" t="str">
        <f>_xlfn.IFNA(VLOOKUP(AY684,표1[[검색용]:[OptionGroupIndex'[']22]],EquipItemTable!AZ684,FALSE),"옵션고정안함")</f>
        <v>옵션고정안함</v>
      </c>
    </row>
    <row r="685" spans="1:53" ht="14.1" customHeight="1" x14ac:dyDescent="0.2">
      <c r="A685" s="13" t="s">
        <v>996</v>
      </c>
      <c r="B685" s="39">
        <v>52021</v>
      </c>
      <c r="C685" s="42" t="s">
        <v>3491</v>
      </c>
      <c r="D685" s="10" t="s">
        <v>309</v>
      </c>
      <c r="E685" s="10" t="s">
        <v>0</v>
      </c>
      <c r="F685" s="1" t="s">
        <v>310</v>
      </c>
      <c r="G685" s="1" t="s">
        <v>1307</v>
      </c>
      <c r="H685" s="1"/>
      <c r="I685" s="1"/>
      <c r="J685" s="1"/>
      <c r="K685" s="1"/>
      <c r="L685" s="1"/>
      <c r="M685" s="1"/>
      <c r="N685" s="81"/>
      <c r="O685" s="12" t="s">
        <v>96</v>
      </c>
      <c r="P685" s="1">
        <v>31</v>
      </c>
      <c r="Q685" s="13"/>
      <c r="R685" s="13"/>
      <c r="S685" s="13"/>
      <c r="T685" s="13"/>
      <c r="U685" s="13"/>
      <c r="V685" s="1"/>
      <c r="W685" s="13">
        <v>1073</v>
      </c>
      <c r="X685" s="1">
        <f t="shared" si="63"/>
        <v>1073</v>
      </c>
      <c r="Y685" s="13"/>
      <c r="Z685" s="13"/>
      <c r="AA685" s="13"/>
      <c r="AB685" s="13"/>
      <c r="AC685" s="82"/>
      <c r="AD685" s="23" t="s">
        <v>52</v>
      </c>
      <c r="AE685" s="23">
        <v>3</v>
      </c>
      <c r="AF685" s="23"/>
      <c r="AI685" s="23"/>
      <c r="AJ685" s="23"/>
      <c r="AK685" s="23"/>
      <c r="AL685" s="23"/>
      <c r="AM685" s="23"/>
      <c r="AN685" s="23">
        <v>4</v>
      </c>
      <c r="AO685" s="23"/>
      <c r="AP685" s="23"/>
      <c r="AQ685" s="81"/>
      <c r="AR685" s="83">
        <v>1</v>
      </c>
      <c r="AS685" s="83">
        <v>1</v>
      </c>
      <c r="AT685" s="81"/>
      <c r="AU685" s="12" t="s">
        <v>1936</v>
      </c>
      <c r="AV685" s="13"/>
      <c r="AW685" s="39">
        <v>6</v>
      </c>
      <c r="AX685" s="12">
        <f>VLOOKUP(AW685,색인!$N$14:$O$19,2,FALSE)</f>
        <v>4</v>
      </c>
      <c r="AY685" s="32" t="str">
        <f>"T"&amp;O685&amp;"_"&amp;AX685&amp;"옵션_"&amp;VLOOKUP(E685,색인!$J$25:$K$29,2,FALSE)</f>
        <v>T3_4옵션_장신구</v>
      </c>
      <c r="AZ685" s="32">
        <f>VLOOKUP(G685,색인!$J$32:$K$45,2,FALSE)</f>
        <v>2</v>
      </c>
      <c r="BA685" s="32" t="str">
        <f>_xlfn.IFNA(VLOOKUP(AY685,표1[[검색용]:[OptionGroupIndex'[']22]],EquipItemTable!AZ685,FALSE),"옵션고정안함")</f>
        <v>옵션고정안함</v>
      </c>
    </row>
    <row r="686" spans="1:53" ht="12" customHeight="1" x14ac:dyDescent="0.2">
      <c r="A686" s="13" t="s">
        <v>322</v>
      </c>
      <c r="B686" s="39">
        <v>52013</v>
      </c>
      <c r="C686" s="42" t="s">
        <v>3492</v>
      </c>
      <c r="D686" s="10" t="s">
        <v>309</v>
      </c>
      <c r="E686" s="10" t="s">
        <v>0</v>
      </c>
      <c r="F686" s="1" t="s">
        <v>310</v>
      </c>
      <c r="G686" s="1" t="s">
        <v>1307</v>
      </c>
      <c r="H686" s="1"/>
      <c r="I686" s="1"/>
      <c r="J686" s="1"/>
      <c r="K686" s="1"/>
      <c r="L686" s="1"/>
      <c r="M686" s="1"/>
      <c r="N686" s="81"/>
      <c r="O686" s="12" t="s">
        <v>97</v>
      </c>
      <c r="P686" s="1">
        <v>41</v>
      </c>
      <c r="Q686" s="13"/>
      <c r="R686" s="13"/>
      <c r="S686" s="13"/>
      <c r="T686" s="13"/>
      <c r="U686" s="13"/>
      <c r="V686" s="1"/>
      <c r="W686" s="13">
        <v>1044</v>
      </c>
      <c r="X686" s="1">
        <f t="shared" si="59"/>
        <v>1044</v>
      </c>
      <c r="Y686" s="13"/>
      <c r="Z686" s="13"/>
      <c r="AA686" s="13"/>
      <c r="AB686" s="13"/>
      <c r="AC686" s="82"/>
      <c r="AD686" s="23" t="s">
        <v>52</v>
      </c>
      <c r="AE686" s="23">
        <v>4</v>
      </c>
      <c r="AF686" s="23"/>
      <c r="AI686" s="23"/>
      <c r="AJ686" s="23"/>
      <c r="AK686" s="23"/>
      <c r="AL686" s="23"/>
      <c r="AM686" s="23"/>
      <c r="AN686" s="23"/>
      <c r="AO686" s="23"/>
      <c r="AP686" s="23"/>
      <c r="AQ686" s="81"/>
      <c r="AR686" s="83"/>
      <c r="AS686" s="83"/>
      <c r="AT686" s="81"/>
      <c r="AU686" s="12" t="s">
        <v>1932</v>
      </c>
      <c r="AV686" s="13"/>
      <c r="AW686" s="39">
        <v>1</v>
      </c>
      <c r="AY686" s="32"/>
      <c r="AZ686" s="32"/>
      <c r="BA686" s="32"/>
    </row>
    <row r="687" spans="1:53" ht="12" customHeight="1" x14ac:dyDescent="0.2">
      <c r="A687" s="13" t="s">
        <v>323</v>
      </c>
      <c r="B687" s="39">
        <v>52014</v>
      </c>
      <c r="C687" s="42" t="s">
        <v>3493</v>
      </c>
      <c r="D687" s="10" t="s">
        <v>309</v>
      </c>
      <c r="E687" s="10" t="s">
        <v>0</v>
      </c>
      <c r="F687" s="1" t="s">
        <v>310</v>
      </c>
      <c r="G687" s="1" t="s">
        <v>1307</v>
      </c>
      <c r="H687" s="1"/>
      <c r="I687" s="1"/>
      <c r="J687" s="1"/>
      <c r="K687" s="1"/>
      <c r="L687" s="1"/>
      <c r="M687" s="1"/>
      <c r="N687" s="81"/>
      <c r="O687" s="12" t="s">
        <v>97</v>
      </c>
      <c r="P687" s="1">
        <v>41</v>
      </c>
      <c r="Q687" s="13"/>
      <c r="R687" s="13"/>
      <c r="S687" s="13"/>
      <c r="T687" s="13"/>
      <c r="U687" s="13"/>
      <c r="V687" s="1"/>
      <c r="W687" s="13">
        <v>1291</v>
      </c>
      <c r="X687" s="1">
        <f t="shared" si="59"/>
        <v>1291</v>
      </c>
      <c r="Y687" s="13"/>
      <c r="Z687" s="13"/>
      <c r="AA687" s="13"/>
      <c r="AB687" s="13"/>
      <c r="AC687" s="82"/>
      <c r="AD687" s="23" t="s">
        <v>52</v>
      </c>
      <c r="AE687" s="90" t="str">
        <f t="shared" ref="AE687:AE689" si="64">BA687</f>
        <v>4131</v>
      </c>
      <c r="AF687" s="23"/>
      <c r="AI687" s="23"/>
      <c r="AJ687" s="23"/>
      <c r="AK687" s="23"/>
      <c r="AL687" s="23"/>
      <c r="AM687" s="23"/>
      <c r="AN687" s="23"/>
      <c r="AO687" s="23"/>
      <c r="AP687" s="23"/>
      <c r="AQ687" s="81"/>
      <c r="AR687" s="83"/>
      <c r="AS687" s="83"/>
      <c r="AT687" s="81"/>
      <c r="AU687" s="12" t="s">
        <v>1933</v>
      </c>
      <c r="AV687" s="13"/>
      <c r="AW687" s="39">
        <v>2</v>
      </c>
      <c r="AX687" s="12">
        <f>VLOOKUP(AW687,색인!$N$14:$O$19,2,FALSE)</f>
        <v>1</v>
      </c>
      <c r="AY687" s="39" t="str">
        <f>"T"&amp;O687&amp;"_"&amp;AX687&amp;"옵션_"&amp;VLOOKUP(E687,색인!$J$25:$K$29,2,FALSE)</f>
        <v>T4_1옵션_장신구</v>
      </c>
      <c r="AZ687" s="39">
        <f>VLOOKUP(G687,색인!$J$32:$K$45,2,FALSE)</f>
        <v>2</v>
      </c>
      <c r="BA687" s="39" t="str">
        <f>_xlfn.IFNA(VLOOKUP(AY687,표1[[검색용]:[OptionGroupIndex'[']22]],EquipItemTable!AZ687,FALSE),"옵션고정안함")</f>
        <v>4131</v>
      </c>
    </row>
    <row r="688" spans="1:53" ht="12" customHeight="1" x14ac:dyDescent="0.2">
      <c r="A688" s="13" t="s">
        <v>324</v>
      </c>
      <c r="B688" s="39">
        <v>52015</v>
      </c>
      <c r="C688" s="42" t="s">
        <v>3494</v>
      </c>
      <c r="D688" s="10" t="s">
        <v>309</v>
      </c>
      <c r="E688" s="10" t="s">
        <v>0</v>
      </c>
      <c r="F688" s="1" t="s">
        <v>310</v>
      </c>
      <c r="G688" s="1" t="s">
        <v>1307</v>
      </c>
      <c r="H688" s="1"/>
      <c r="I688" s="1"/>
      <c r="J688" s="1"/>
      <c r="K688" s="1"/>
      <c r="L688" s="1"/>
      <c r="M688" s="1"/>
      <c r="N688" s="81"/>
      <c r="O688" s="12" t="s">
        <v>97</v>
      </c>
      <c r="P688" s="1">
        <v>41</v>
      </c>
      <c r="Q688" s="13"/>
      <c r="R688" s="13"/>
      <c r="S688" s="13"/>
      <c r="T688" s="13"/>
      <c r="U688" s="13"/>
      <c r="V688" s="1"/>
      <c r="W688" s="13">
        <v>1515</v>
      </c>
      <c r="X688" s="1">
        <f t="shared" si="59"/>
        <v>1515</v>
      </c>
      <c r="Y688" s="13"/>
      <c r="Z688" s="13"/>
      <c r="AA688" s="13"/>
      <c r="AB688" s="13"/>
      <c r="AC688" s="82"/>
      <c r="AD688" s="23" t="s">
        <v>52</v>
      </c>
      <c r="AE688" s="90" t="str">
        <f t="shared" si="64"/>
        <v>4231</v>
      </c>
      <c r="AF688" s="23"/>
      <c r="AI688" s="23"/>
      <c r="AJ688" s="23"/>
      <c r="AK688" s="23"/>
      <c r="AL688" s="23"/>
      <c r="AM688" s="23"/>
      <c r="AN688" s="23"/>
      <c r="AO688" s="23"/>
      <c r="AP688" s="23"/>
      <c r="AQ688" s="81"/>
      <c r="AR688" s="83">
        <v>1</v>
      </c>
      <c r="AS688" s="83">
        <v>1</v>
      </c>
      <c r="AT688" s="81"/>
      <c r="AU688" s="12" t="s">
        <v>1934</v>
      </c>
      <c r="AV688" s="13"/>
      <c r="AW688" s="39">
        <v>3</v>
      </c>
      <c r="AX688" s="12">
        <f>VLOOKUP(AW688,색인!$N$14:$O$19,2,FALSE)</f>
        <v>2</v>
      </c>
      <c r="AY688" s="39" t="str">
        <f>"T"&amp;O688&amp;"_"&amp;AX688&amp;"옵션_"&amp;VLOOKUP(E688,색인!$J$25:$K$29,2,FALSE)</f>
        <v>T4_2옵션_장신구</v>
      </c>
      <c r="AZ688" s="39">
        <f>VLOOKUP(G688,색인!$J$32:$K$45,2,FALSE)</f>
        <v>2</v>
      </c>
      <c r="BA688" s="39" t="str">
        <f>_xlfn.IFNA(VLOOKUP(AY688,표1[[검색용]:[OptionGroupIndex'[']22]],EquipItemTable!AZ688,FALSE),"옵션고정안함")</f>
        <v>4231</v>
      </c>
    </row>
    <row r="689" spans="1:53" ht="12" customHeight="1" x14ac:dyDescent="0.2">
      <c r="A689" s="13" t="s">
        <v>325</v>
      </c>
      <c r="B689" s="39">
        <v>52016</v>
      </c>
      <c r="C689" s="42" t="s">
        <v>3495</v>
      </c>
      <c r="D689" s="10" t="s">
        <v>309</v>
      </c>
      <c r="E689" s="10" t="s">
        <v>0</v>
      </c>
      <c r="F689" s="1" t="s">
        <v>310</v>
      </c>
      <c r="G689" s="1" t="s">
        <v>1307</v>
      </c>
      <c r="H689" s="1"/>
      <c r="I689" s="1"/>
      <c r="J689" s="1"/>
      <c r="K689" s="1"/>
      <c r="L689" s="1"/>
      <c r="M689" s="1"/>
      <c r="O689" s="12" t="s">
        <v>97</v>
      </c>
      <c r="P689" s="1">
        <v>41</v>
      </c>
      <c r="Q689" s="1"/>
      <c r="R689" s="1"/>
      <c r="S689" s="1"/>
      <c r="T689" s="1"/>
      <c r="U689" s="1"/>
      <c r="V689" s="1"/>
      <c r="W689" s="1">
        <v>1774</v>
      </c>
      <c r="X689" s="1">
        <f t="shared" si="59"/>
        <v>1774</v>
      </c>
      <c r="Y689" s="1"/>
      <c r="Z689" s="1"/>
      <c r="AA689" s="1"/>
      <c r="AB689" s="11"/>
      <c r="AC689" s="82"/>
      <c r="AD689" s="12" t="s">
        <v>52</v>
      </c>
      <c r="AE689" s="39" t="str">
        <f t="shared" si="64"/>
        <v>4331</v>
      </c>
      <c r="AN689" s="12"/>
      <c r="AR689" s="34" t="s">
        <v>94</v>
      </c>
      <c r="AS689" s="34" t="s">
        <v>94</v>
      </c>
      <c r="AU689" s="12" t="s">
        <v>1935</v>
      </c>
      <c r="AV689" s="13"/>
      <c r="AW689" s="39">
        <v>4</v>
      </c>
      <c r="AX689" s="12">
        <f>VLOOKUP(AW689,색인!$N$14:$O$19,2,FALSE)</f>
        <v>3</v>
      </c>
      <c r="AY689" s="39" t="str">
        <f>"T"&amp;O689&amp;"_"&amp;AX689&amp;"옵션_"&amp;VLOOKUP(E689,색인!$J$25:$K$29,2,FALSE)</f>
        <v>T4_3옵션_장신구</v>
      </c>
      <c r="AZ689" s="39">
        <f>VLOOKUP(G689,색인!$J$32:$K$45,2,FALSE)</f>
        <v>2</v>
      </c>
      <c r="BA689" s="39" t="str">
        <f>_xlfn.IFNA(VLOOKUP(AY689,표1[[검색용]:[OptionGroupIndex'[']22]],EquipItemTable!AZ689,FALSE),"옵션고정안함")</f>
        <v>4331</v>
      </c>
    </row>
    <row r="690" spans="1:53" ht="14.1" customHeight="1" x14ac:dyDescent="0.2">
      <c r="A690" s="13" t="s">
        <v>563</v>
      </c>
      <c r="B690" s="39">
        <v>52034</v>
      </c>
      <c r="C690" s="42" t="s">
        <v>3488</v>
      </c>
      <c r="D690" s="10" t="s">
        <v>309</v>
      </c>
      <c r="E690" s="10" t="s">
        <v>0</v>
      </c>
      <c r="F690" s="1" t="s">
        <v>310</v>
      </c>
      <c r="G690" s="1" t="s">
        <v>1307</v>
      </c>
      <c r="H690" s="1"/>
      <c r="I690" s="1"/>
      <c r="J690" s="1"/>
      <c r="K690" s="1"/>
      <c r="L690" s="1"/>
      <c r="M690" s="1"/>
      <c r="O690" s="12" t="s">
        <v>97</v>
      </c>
      <c r="P690" s="1">
        <v>41</v>
      </c>
      <c r="Q690" s="1"/>
      <c r="R690" s="1"/>
      <c r="S690" s="1"/>
      <c r="T690" s="1"/>
      <c r="U690" s="1"/>
      <c r="V690" s="1"/>
      <c r="W690" s="1">
        <v>2068</v>
      </c>
      <c r="X690" s="1">
        <f t="shared" si="59"/>
        <v>2068</v>
      </c>
      <c r="Y690" s="1"/>
      <c r="Z690" s="1"/>
      <c r="AA690" s="1"/>
      <c r="AB690" s="11"/>
      <c r="AC690" s="82"/>
      <c r="AD690" s="12" t="s">
        <v>52</v>
      </c>
      <c r="AE690" s="12" t="s">
        <v>551</v>
      </c>
      <c r="AN690" s="12" t="s">
        <v>969</v>
      </c>
      <c r="AR690" s="34" t="s">
        <v>94</v>
      </c>
      <c r="AS690" s="34" t="s">
        <v>94</v>
      </c>
      <c r="AU690" s="12" t="s">
        <v>1936</v>
      </c>
      <c r="AV690" s="13"/>
      <c r="AW690" s="39">
        <v>6</v>
      </c>
      <c r="AX690" s="12">
        <f>VLOOKUP(AW690,색인!$N$14:$O$19,2,FALSE)</f>
        <v>4</v>
      </c>
      <c r="AY690" s="32" t="str">
        <f>"T"&amp;O690&amp;"_"&amp;AX690&amp;"옵션_"&amp;VLOOKUP(E690,색인!$J$25:$K$29,2,FALSE)</f>
        <v>T4_4옵션_장신구</v>
      </c>
      <c r="AZ690" s="32">
        <f>VLOOKUP(G690,색인!$J$32:$K$45,2,FALSE)</f>
        <v>2</v>
      </c>
      <c r="BA690" s="32" t="str">
        <f>_xlfn.IFNA(VLOOKUP(AY690,표1[[검색용]:[OptionGroupIndex'[']22]],EquipItemTable!AZ690,FALSE),"옵션고정안함")</f>
        <v>옵션고정안함</v>
      </c>
    </row>
    <row r="691" spans="1:53" ht="14.1" customHeight="1" x14ac:dyDescent="0.2">
      <c r="A691" s="13" t="s">
        <v>997</v>
      </c>
      <c r="B691" s="39">
        <v>52032</v>
      </c>
      <c r="C691" s="42" t="s">
        <v>3489</v>
      </c>
      <c r="D691" s="10" t="s">
        <v>309</v>
      </c>
      <c r="E691" s="10" t="s">
        <v>0</v>
      </c>
      <c r="F691" s="1" t="s">
        <v>310</v>
      </c>
      <c r="G691" s="1" t="s">
        <v>1307</v>
      </c>
      <c r="H691" s="1"/>
      <c r="I691" s="1"/>
      <c r="J691" s="1"/>
      <c r="K691" s="1"/>
      <c r="L691" s="1"/>
      <c r="M691" s="1"/>
      <c r="O691" s="12" t="s">
        <v>97</v>
      </c>
      <c r="P691" s="1">
        <v>41</v>
      </c>
      <c r="Q691" s="1"/>
      <c r="R691" s="1"/>
      <c r="S691" s="1"/>
      <c r="T691" s="1"/>
      <c r="U691" s="1"/>
      <c r="V691" s="1"/>
      <c r="W691" s="1">
        <v>2068</v>
      </c>
      <c r="X691" s="1">
        <f t="shared" ref="X691:X693" si="65">W691</f>
        <v>2068</v>
      </c>
      <c r="Y691" s="1"/>
      <c r="Z691" s="1"/>
      <c r="AA691" s="1"/>
      <c r="AB691" s="11"/>
      <c r="AC691" s="82"/>
      <c r="AD691" s="12" t="s">
        <v>52</v>
      </c>
      <c r="AE691" s="12" t="s">
        <v>97</v>
      </c>
      <c r="AN691" s="12" t="s">
        <v>429</v>
      </c>
      <c r="AR691" s="34" t="s">
        <v>94</v>
      </c>
      <c r="AS691" s="34" t="s">
        <v>94</v>
      </c>
      <c r="AU691" s="12" t="s">
        <v>1936</v>
      </c>
      <c r="AV691" s="13"/>
      <c r="AW691" s="39">
        <v>6</v>
      </c>
      <c r="AX691" s="12">
        <f>VLOOKUP(AW691,색인!$N$14:$O$19,2,FALSE)</f>
        <v>4</v>
      </c>
      <c r="AY691" s="32" t="str">
        <f>"T"&amp;O691&amp;"_"&amp;AX691&amp;"옵션_"&amp;VLOOKUP(E691,색인!$J$25:$K$29,2,FALSE)</f>
        <v>T4_4옵션_장신구</v>
      </c>
      <c r="AZ691" s="32">
        <f>VLOOKUP(G691,색인!$J$32:$K$45,2,FALSE)</f>
        <v>2</v>
      </c>
      <c r="BA691" s="32" t="str">
        <f>_xlfn.IFNA(VLOOKUP(AY691,표1[[검색용]:[OptionGroupIndex'[']22]],EquipItemTable!AZ691,FALSE),"옵션고정안함")</f>
        <v>옵션고정안함</v>
      </c>
    </row>
    <row r="692" spans="1:53" ht="14.1" customHeight="1" x14ac:dyDescent="0.2">
      <c r="A692" s="13" t="s">
        <v>998</v>
      </c>
      <c r="B692" s="39">
        <v>52033</v>
      </c>
      <c r="C692" s="42" t="s">
        <v>3490</v>
      </c>
      <c r="D692" s="10" t="s">
        <v>309</v>
      </c>
      <c r="E692" s="10" t="s">
        <v>0</v>
      </c>
      <c r="F692" s="1" t="s">
        <v>310</v>
      </c>
      <c r="G692" s="1" t="s">
        <v>1307</v>
      </c>
      <c r="H692" s="1"/>
      <c r="I692" s="1"/>
      <c r="J692" s="1"/>
      <c r="K692" s="1"/>
      <c r="L692" s="1"/>
      <c r="M692" s="1"/>
      <c r="O692" s="12" t="s">
        <v>97</v>
      </c>
      <c r="P692" s="1">
        <v>41</v>
      </c>
      <c r="Q692" s="1"/>
      <c r="R692" s="1"/>
      <c r="S692" s="1"/>
      <c r="T692" s="1"/>
      <c r="U692" s="1"/>
      <c r="V692" s="1"/>
      <c r="W692" s="1">
        <v>2068</v>
      </c>
      <c r="X692" s="1">
        <f t="shared" si="65"/>
        <v>2068</v>
      </c>
      <c r="Y692" s="1"/>
      <c r="Z692" s="1"/>
      <c r="AA692" s="1"/>
      <c r="AB692" s="11"/>
      <c r="AC692" s="82"/>
      <c r="AD692" s="12" t="s">
        <v>52</v>
      </c>
      <c r="AE692" s="12" t="s">
        <v>97</v>
      </c>
      <c r="AN692" s="12" t="s">
        <v>1193</v>
      </c>
      <c r="AR692" s="34" t="s">
        <v>94</v>
      </c>
      <c r="AS692" s="34" t="s">
        <v>94</v>
      </c>
      <c r="AU692" s="12" t="s">
        <v>1936</v>
      </c>
      <c r="AV692" s="13"/>
      <c r="AW692" s="39">
        <v>6</v>
      </c>
      <c r="AX692" s="12">
        <f>VLOOKUP(AW692,색인!$N$14:$O$19,2,FALSE)</f>
        <v>4</v>
      </c>
      <c r="AY692" s="32" t="str">
        <f>"T"&amp;O692&amp;"_"&amp;AX692&amp;"옵션_"&amp;VLOOKUP(E692,색인!$J$25:$K$29,2,FALSE)</f>
        <v>T4_4옵션_장신구</v>
      </c>
      <c r="AZ692" s="32">
        <f>VLOOKUP(G692,색인!$J$32:$K$45,2,FALSE)</f>
        <v>2</v>
      </c>
      <c r="BA692" s="32" t="str">
        <f>_xlfn.IFNA(VLOOKUP(AY692,표1[[검색용]:[OptionGroupIndex'[']22]],EquipItemTable!AZ692,FALSE),"옵션고정안함")</f>
        <v>옵션고정안함</v>
      </c>
    </row>
    <row r="693" spans="1:53" ht="14.1" customHeight="1" x14ac:dyDescent="0.2">
      <c r="A693" s="13" t="s">
        <v>999</v>
      </c>
      <c r="B693" s="39">
        <v>52022</v>
      </c>
      <c r="C693" s="42" t="s">
        <v>3491</v>
      </c>
      <c r="D693" s="10" t="s">
        <v>309</v>
      </c>
      <c r="E693" s="10" t="s">
        <v>0</v>
      </c>
      <c r="F693" s="1" t="s">
        <v>310</v>
      </c>
      <c r="G693" s="1" t="s">
        <v>1307</v>
      </c>
      <c r="H693" s="1"/>
      <c r="I693" s="1"/>
      <c r="J693" s="1"/>
      <c r="K693" s="1"/>
      <c r="L693" s="1"/>
      <c r="M693" s="1"/>
      <c r="O693" s="12" t="s">
        <v>97</v>
      </c>
      <c r="P693" s="1">
        <v>41</v>
      </c>
      <c r="Q693" s="1"/>
      <c r="R693" s="1"/>
      <c r="S693" s="1"/>
      <c r="T693" s="1"/>
      <c r="U693" s="1"/>
      <c r="V693" s="1"/>
      <c r="W693" s="1">
        <v>2068</v>
      </c>
      <c r="X693" s="1">
        <f t="shared" si="65"/>
        <v>2068</v>
      </c>
      <c r="Y693" s="1"/>
      <c r="Z693" s="1"/>
      <c r="AA693" s="1"/>
      <c r="AB693" s="11"/>
      <c r="AC693" s="82"/>
      <c r="AD693" s="12" t="s">
        <v>52</v>
      </c>
      <c r="AE693" s="12" t="s">
        <v>97</v>
      </c>
      <c r="AN693" s="12" t="s">
        <v>1195</v>
      </c>
      <c r="AR693" s="34" t="s">
        <v>94</v>
      </c>
      <c r="AS693" s="34" t="s">
        <v>94</v>
      </c>
      <c r="AU693" s="12" t="s">
        <v>1936</v>
      </c>
      <c r="AV693" s="13"/>
      <c r="AW693" s="39">
        <v>6</v>
      </c>
      <c r="AX693" s="12">
        <f>VLOOKUP(AW693,색인!$N$14:$O$19,2,FALSE)</f>
        <v>4</v>
      </c>
      <c r="AY693" s="32" t="str">
        <f>"T"&amp;O693&amp;"_"&amp;AX693&amp;"옵션_"&amp;VLOOKUP(E693,색인!$J$25:$K$29,2,FALSE)</f>
        <v>T4_4옵션_장신구</v>
      </c>
      <c r="AZ693" s="32">
        <f>VLOOKUP(G693,색인!$J$32:$K$45,2,FALSE)</f>
        <v>2</v>
      </c>
      <c r="BA693" s="32" t="str">
        <f>_xlfn.IFNA(VLOOKUP(AY693,표1[[검색용]:[OptionGroupIndex'[']22]],EquipItemTable!AZ693,FALSE),"옵션고정안함")</f>
        <v>옵션고정안함</v>
      </c>
    </row>
    <row r="694" spans="1:53" ht="12" customHeight="1" x14ac:dyDescent="0.2">
      <c r="A694" s="13" t="s">
        <v>446</v>
      </c>
      <c r="B694" s="39">
        <v>52017</v>
      </c>
      <c r="C694" s="42" t="s">
        <v>3496</v>
      </c>
      <c r="D694" s="10" t="s">
        <v>309</v>
      </c>
      <c r="E694" s="10" t="s">
        <v>0</v>
      </c>
      <c r="F694" s="1" t="s">
        <v>310</v>
      </c>
      <c r="G694" s="1" t="s">
        <v>1307</v>
      </c>
      <c r="H694" s="1"/>
      <c r="I694" s="1"/>
      <c r="J694" s="1"/>
      <c r="K694" s="1"/>
      <c r="L694" s="1"/>
      <c r="M694" s="1"/>
      <c r="O694" s="12" t="s">
        <v>430</v>
      </c>
      <c r="P694" s="1">
        <v>51</v>
      </c>
      <c r="Q694" s="1"/>
      <c r="R694" s="1"/>
      <c r="S694" s="1"/>
      <c r="T694" s="1"/>
      <c r="U694" s="1"/>
      <c r="V694" s="1"/>
      <c r="W694" s="1">
        <v>2036</v>
      </c>
      <c r="X694" s="1">
        <f t="shared" si="59"/>
        <v>2036</v>
      </c>
      <c r="Y694" s="1"/>
      <c r="Z694" s="1"/>
      <c r="AA694" s="1"/>
      <c r="AB694" s="11"/>
      <c r="AC694" s="82"/>
      <c r="AD694" s="12" t="s">
        <v>542</v>
      </c>
      <c r="AE694" s="12" t="s">
        <v>552</v>
      </c>
      <c r="AN694" s="12"/>
      <c r="AU694" s="12" t="s">
        <v>1932</v>
      </c>
      <c r="AV694" s="13"/>
      <c r="AW694" s="39">
        <v>1</v>
      </c>
      <c r="AY694" s="32"/>
      <c r="AZ694" s="32"/>
      <c r="BA694" s="32"/>
    </row>
    <row r="695" spans="1:53" ht="12" customHeight="1" x14ac:dyDescent="0.2">
      <c r="A695" s="13" t="s">
        <v>447</v>
      </c>
      <c r="B695" s="39">
        <v>52018</v>
      </c>
      <c r="C695" s="42" t="s">
        <v>3497</v>
      </c>
      <c r="D695" s="10" t="s">
        <v>309</v>
      </c>
      <c r="E695" s="10" t="s">
        <v>0</v>
      </c>
      <c r="F695" s="1" t="s">
        <v>310</v>
      </c>
      <c r="G695" s="1" t="s">
        <v>1307</v>
      </c>
      <c r="H695" s="1"/>
      <c r="I695" s="1"/>
      <c r="J695" s="1"/>
      <c r="K695" s="1"/>
      <c r="L695" s="1"/>
      <c r="M695" s="1"/>
      <c r="O695" s="12" t="s">
        <v>430</v>
      </c>
      <c r="P695" s="1">
        <v>51</v>
      </c>
      <c r="Q695" s="1"/>
      <c r="R695" s="1"/>
      <c r="S695" s="1"/>
      <c r="T695" s="1"/>
      <c r="U695" s="1"/>
      <c r="V695" s="1"/>
      <c r="W695" s="1">
        <v>2487</v>
      </c>
      <c r="X695" s="1">
        <f t="shared" si="59"/>
        <v>2487</v>
      </c>
      <c r="Y695" s="1"/>
      <c r="Z695" s="1"/>
      <c r="AA695" s="1"/>
      <c r="AB695" s="11"/>
      <c r="AC695" s="82"/>
      <c r="AD695" s="12" t="s">
        <v>542</v>
      </c>
      <c r="AE695" s="39" t="str">
        <f t="shared" ref="AE695:AE697" si="66">BA695</f>
        <v>5131</v>
      </c>
      <c r="AN695" s="12"/>
      <c r="AU695" s="12" t="s">
        <v>1933</v>
      </c>
      <c r="AV695" s="13"/>
      <c r="AW695" s="39">
        <v>2</v>
      </c>
      <c r="AX695" s="12">
        <f>VLOOKUP(AW695,색인!$N$14:$O$19,2,FALSE)</f>
        <v>1</v>
      </c>
      <c r="AY695" s="39" t="str">
        <f>"T"&amp;O695&amp;"_"&amp;AX695&amp;"옵션_"&amp;VLOOKUP(E695,색인!$J$25:$K$29,2,FALSE)</f>
        <v>T5_1옵션_장신구</v>
      </c>
      <c r="AZ695" s="39">
        <f>VLOOKUP(G695,색인!$J$32:$K$45,2,FALSE)</f>
        <v>2</v>
      </c>
      <c r="BA695" s="39" t="str">
        <f>_xlfn.IFNA(VLOOKUP(AY695,표1[[검색용]:[OptionGroupIndex'[']22]],EquipItemTable!AZ695,FALSE),"옵션고정안함")</f>
        <v>5131</v>
      </c>
    </row>
    <row r="696" spans="1:53" ht="12" customHeight="1" x14ac:dyDescent="0.2">
      <c r="A696" s="13" t="s">
        <v>448</v>
      </c>
      <c r="B696" s="39">
        <v>52019</v>
      </c>
      <c r="C696" s="42" t="s">
        <v>3498</v>
      </c>
      <c r="D696" s="10" t="s">
        <v>309</v>
      </c>
      <c r="E696" s="10" t="s">
        <v>0</v>
      </c>
      <c r="F696" s="1" t="s">
        <v>310</v>
      </c>
      <c r="G696" s="1" t="s">
        <v>1307</v>
      </c>
      <c r="H696" s="1"/>
      <c r="I696" s="1"/>
      <c r="J696" s="1"/>
      <c r="K696" s="1"/>
      <c r="L696" s="1"/>
      <c r="M696" s="1"/>
      <c r="O696" s="12" t="s">
        <v>430</v>
      </c>
      <c r="P696" s="1">
        <v>51</v>
      </c>
      <c r="Q696" s="1"/>
      <c r="R696" s="1"/>
      <c r="S696" s="1"/>
      <c r="T696" s="1"/>
      <c r="U696" s="1"/>
      <c r="V696" s="1"/>
      <c r="W696" s="1">
        <v>2887</v>
      </c>
      <c r="X696" s="1">
        <f t="shared" si="59"/>
        <v>2887</v>
      </c>
      <c r="Y696" s="1"/>
      <c r="Z696" s="1"/>
      <c r="AA696" s="1"/>
      <c r="AB696" s="11"/>
      <c r="AC696" s="82"/>
      <c r="AD696" s="12" t="s">
        <v>542</v>
      </c>
      <c r="AE696" s="39" t="str">
        <f t="shared" si="66"/>
        <v>5231</v>
      </c>
      <c r="AN696" s="12"/>
      <c r="AR696" s="34" t="s">
        <v>543</v>
      </c>
      <c r="AS696" s="34" t="s">
        <v>543</v>
      </c>
      <c r="AU696" s="12" t="s">
        <v>1934</v>
      </c>
      <c r="AV696" s="13"/>
      <c r="AW696" s="39">
        <v>3</v>
      </c>
      <c r="AX696" s="12">
        <f>VLOOKUP(AW696,색인!$N$14:$O$19,2,FALSE)</f>
        <v>2</v>
      </c>
      <c r="AY696" s="39" t="str">
        <f>"T"&amp;O696&amp;"_"&amp;AX696&amp;"옵션_"&amp;VLOOKUP(E696,색인!$J$25:$K$29,2,FALSE)</f>
        <v>T5_2옵션_장신구</v>
      </c>
      <c r="AZ696" s="39">
        <f>VLOOKUP(G696,색인!$J$32:$K$45,2,FALSE)</f>
        <v>2</v>
      </c>
      <c r="BA696" s="39" t="str">
        <f>_xlfn.IFNA(VLOOKUP(AY696,표1[[검색용]:[OptionGroupIndex'[']22]],EquipItemTable!AZ696,FALSE),"옵션고정안함")</f>
        <v>5231</v>
      </c>
    </row>
    <row r="697" spans="1:53" ht="12" customHeight="1" x14ac:dyDescent="0.2">
      <c r="A697" s="13" t="s">
        <v>449</v>
      </c>
      <c r="B697" s="39">
        <v>52020</v>
      </c>
      <c r="C697" s="42" t="s">
        <v>3499</v>
      </c>
      <c r="D697" s="10" t="s">
        <v>309</v>
      </c>
      <c r="E697" s="10" t="s">
        <v>0</v>
      </c>
      <c r="F697" s="1" t="s">
        <v>310</v>
      </c>
      <c r="G697" s="1" t="s">
        <v>1307</v>
      </c>
      <c r="H697" s="1"/>
      <c r="I697" s="1"/>
      <c r="J697" s="1"/>
      <c r="K697" s="1"/>
      <c r="L697" s="1"/>
      <c r="M697" s="1"/>
      <c r="O697" s="12" t="s">
        <v>430</v>
      </c>
      <c r="P697" s="1">
        <v>51</v>
      </c>
      <c r="Q697" s="1"/>
      <c r="R697" s="1"/>
      <c r="S697" s="1"/>
      <c r="T697" s="1"/>
      <c r="U697" s="1"/>
      <c r="V697" s="1"/>
      <c r="W697" s="1">
        <v>3343</v>
      </c>
      <c r="X697" s="1">
        <f t="shared" si="59"/>
        <v>3343</v>
      </c>
      <c r="Y697" s="1"/>
      <c r="Z697" s="1"/>
      <c r="AA697" s="1"/>
      <c r="AB697" s="11"/>
      <c r="AC697" s="82"/>
      <c r="AD697" s="12" t="s">
        <v>542</v>
      </c>
      <c r="AE697" s="39" t="str">
        <f t="shared" si="66"/>
        <v>5331</v>
      </c>
      <c r="AN697" s="12"/>
      <c r="AR697" s="34" t="s">
        <v>543</v>
      </c>
      <c r="AS697" s="34" t="s">
        <v>543</v>
      </c>
      <c r="AU697" s="12" t="s">
        <v>1935</v>
      </c>
      <c r="AV697" s="13"/>
      <c r="AW697" s="39">
        <v>4</v>
      </c>
      <c r="AX697" s="12">
        <f>VLOOKUP(AW697,색인!$N$14:$O$19,2,FALSE)</f>
        <v>3</v>
      </c>
      <c r="AY697" s="39" t="str">
        <f>"T"&amp;O697&amp;"_"&amp;AX697&amp;"옵션_"&amp;VLOOKUP(E697,색인!$J$25:$K$29,2,FALSE)</f>
        <v>T5_3옵션_장신구</v>
      </c>
      <c r="AZ697" s="39">
        <f>VLOOKUP(G697,색인!$J$32:$K$45,2,FALSE)</f>
        <v>2</v>
      </c>
      <c r="BA697" s="39" t="str">
        <f>_xlfn.IFNA(VLOOKUP(AY697,표1[[검색용]:[OptionGroupIndex'[']22]],EquipItemTable!AZ697,FALSE),"옵션고정안함")</f>
        <v>5331</v>
      </c>
    </row>
    <row r="698" spans="1:53" ht="14.1" customHeight="1" x14ac:dyDescent="0.2">
      <c r="A698" s="13" t="s">
        <v>564</v>
      </c>
      <c r="B698" s="39">
        <v>52037</v>
      </c>
      <c r="C698" s="42" t="s">
        <v>3488</v>
      </c>
      <c r="D698" s="10" t="s">
        <v>309</v>
      </c>
      <c r="E698" s="10" t="s">
        <v>0</v>
      </c>
      <c r="F698" s="1" t="s">
        <v>310</v>
      </c>
      <c r="G698" s="1" t="s">
        <v>1307</v>
      </c>
      <c r="H698" s="1"/>
      <c r="I698" s="1"/>
      <c r="J698" s="1"/>
      <c r="K698" s="1"/>
      <c r="L698" s="1"/>
      <c r="M698" s="1"/>
      <c r="O698" s="12" t="s">
        <v>430</v>
      </c>
      <c r="P698" s="1">
        <v>51</v>
      </c>
      <c r="Q698" s="1"/>
      <c r="R698" s="1"/>
      <c r="S698" s="1"/>
      <c r="T698" s="1"/>
      <c r="U698" s="1"/>
      <c r="V698" s="1"/>
      <c r="W698" s="1">
        <v>3860</v>
      </c>
      <c r="X698" s="1">
        <f t="shared" si="59"/>
        <v>3860</v>
      </c>
      <c r="Y698" s="1"/>
      <c r="Z698" s="1"/>
      <c r="AA698" s="1"/>
      <c r="AB698" s="11"/>
      <c r="AC698" s="82"/>
      <c r="AD698" s="12" t="s">
        <v>336</v>
      </c>
      <c r="AE698" s="12" t="s">
        <v>529</v>
      </c>
      <c r="AN698" s="12" t="s">
        <v>969</v>
      </c>
      <c r="AR698" s="34" t="s">
        <v>543</v>
      </c>
      <c r="AS698" s="34" t="s">
        <v>543</v>
      </c>
      <c r="AU698" s="12" t="s">
        <v>1936</v>
      </c>
      <c r="AV698" s="13"/>
      <c r="AW698" s="39">
        <v>6</v>
      </c>
      <c r="AX698" s="12">
        <f>VLOOKUP(AW698,색인!$N$14:$O$19,2,FALSE)</f>
        <v>4</v>
      </c>
      <c r="AY698" s="32" t="str">
        <f>"T"&amp;O698&amp;"_"&amp;AX698&amp;"옵션_"&amp;VLOOKUP(E698,색인!$J$25:$K$29,2,FALSE)</f>
        <v>T5_4옵션_장신구</v>
      </c>
      <c r="AZ698" s="32">
        <f>VLOOKUP(G698,색인!$J$32:$K$45,2,FALSE)</f>
        <v>2</v>
      </c>
      <c r="BA698" s="32" t="str">
        <f>_xlfn.IFNA(VLOOKUP(AY698,표1[[검색용]:[OptionGroupIndex'[']22]],EquipItemTable!AZ698,FALSE),"옵션고정안함")</f>
        <v>옵션고정안함</v>
      </c>
    </row>
    <row r="699" spans="1:53" ht="14.1" customHeight="1" x14ac:dyDescent="0.2">
      <c r="A699" s="13" t="s">
        <v>1000</v>
      </c>
      <c r="B699" s="39">
        <v>52035</v>
      </c>
      <c r="C699" s="42" t="s">
        <v>3489</v>
      </c>
      <c r="D699" s="10" t="s">
        <v>309</v>
      </c>
      <c r="E699" s="10" t="s">
        <v>0</v>
      </c>
      <c r="F699" s="1" t="s">
        <v>310</v>
      </c>
      <c r="G699" s="1" t="s">
        <v>1307</v>
      </c>
      <c r="H699" s="1"/>
      <c r="I699" s="1"/>
      <c r="J699" s="1"/>
      <c r="K699" s="1"/>
      <c r="L699" s="1"/>
      <c r="M699" s="1"/>
      <c r="O699" s="12" t="s">
        <v>430</v>
      </c>
      <c r="P699" s="1">
        <v>51</v>
      </c>
      <c r="Q699" s="1"/>
      <c r="R699" s="1"/>
      <c r="S699" s="1"/>
      <c r="T699" s="1"/>
      <c r="U699" s="1"/>
      <c r="V699" s="1"/>
      <c r="W699" s="1">
        <v>3860</v>
      </c>
      <c r="X699" s="1">
        <f t="shared" ref="X699:X701" si="67">W699</f>
        <v>3860</v>
      </c>
      <c r="Y699" s="1"/>
      <c r="Z699" s="1"/>
      <c r="AA699" s="1"/>
      <c r="AB699" s="11"/>
      <c r="AC699" s="82"/>
      <c r="AD699" s="12" t="s">
        <v>336</v>
      </c>
      <c r="AE699" s="12" t="s">
        <v>430</v>
      </c>
      <c r="AN699" s="12" t="s">
        <v>429</v>
      </c>
      <c r="AR699" s="34" t="s">
        <v>428</v>
      </c>
      <c r="AS699" s="34" t="s">
        <v>428</v>
      </c>
      <c r="AU699" s="12" t="s">
        <v>1936</v>
      </c>
      <c r="AV699" s="13"/>
      <c r="AW699" s="39">
        <v>6</v>
      </c>
      <c r="AX699" s="12">
        <f>VLOOKUP(AW699,색인!$N$14:$O$19,2,FALSE)</f>
        <v>4</v>
      </c>
      <c r="AY699" s="32" t="str">
        <f>"T"&amp;O699&amp;"_"&amp;AX699&amp;"옵션_"&amp;VLOOKUP(E699,색인!$J$25:$K$29,2,FALSE)</f>
        <v>T5_4옵션_장신구</v>
      </c>
      <c r="AZ699" s="32">
        <f>VLOOKUP(G699,색인!$J$32:$K$45,2,FALSE)</f>
        <v>2</v>
      </c>
      <c r="BA699" s="32" t="str">
        <f>_xlfn.IFNA(VLOOKUP(AY699,표1[[검색용]:[OptionGroupIndex'[']22]],EquipItemTable!AZ699,FALSE),"옵션고정안함")</f>
        <v>옵션고정안함</v>
      </c>
    </row>
    <row r="700" spans="1:53" ht="14.1" customHeight="1" x14ac:dyDescent="0.2">
      <c r="A700" s="13" t="s">
        <v>1001</v>
      </c>
      <c r="B700" s="39">
        <v>52036</v>
      </c>
      <c r="C700" s="42" t="s">
        <v>3490</v>
      </c>
      <c r="D700" s="10" t="s">
        <v>309</v>
      </c>
      <c r="E700" s="10" t="s">
        <v>0</v>
      </c>
      <c r="F700" s="1" t="s">
        <v>310</v>
      </c>
      <c r="G700" s="1" t="s">
        <v>1307</v>
      </c>
      <c r="H700" s="1"/>
      <c r="I700" s="1"/>
      <c r="J700" s="1"/>
      <c r="K700" s="1"/>
      <c r="L700" s="1"/>
      <c r="M700" s="1"/>
      <c r="O700" s="12" t="s">
        <v>430</v>
      </c>
      <c r="P700" s="1">
        <v>51</v>
      </c>
      <c r="Q700" s="1"/>
      <c r="R700" s="1"/>
      <c r="S700" s="1"/>
      <c r="T700" s="1"/>
      <c r="U700" s="1"/>
      <c r="V700" s="1"/>
      <c r="W700" s="1">
        <v>3860</v>
      </c>
      <c r="X700" s="1">
        <f t="shared" si="67"/>
        <v>3860</v>
      </c>
      <c r="Y700" s="1"/>
      <c r="Z700" s="1"/>
      <c r="AA700" s="1"/>
      <c r="AB700" s="11"/>
      <c r="AC700" s="82"/>
      <c r="AD700" s="12" t="s">
        <v>336</v>
      </c>
      <c r="AE700" s="12" t="s">
        <v>430</v>
      </c>
      <c r="AN700" s="12" t="s">
        <v>1193</v>
      </c>
      <c r="AR700" s="34" t="s">
        <v>428</v>
      </c>
      <c r="AS700" s="34" t="s">
        <v>428</v>
      </c>
      <c r="AU700" s="12" t="s">
        <v>1936</v>
      </c>
      <c r="AV700" s="13"/>
      <c r="AW700" s="39">
        <v>6</v>
      </c>
      <c r="AX700" s="12">
        <f>VLOOKUP(AW700,색인!$N$14:$O$19,2,FALSE)</f>
        <v>4</v>
      </c>
      <c r="AY700" s="32" t="str">
        <f>"T"&amp;O700&amp;"_"&amp;AX700&amp;"옵션_"&amp;VLOOKUP(E700,색인!$J$25:$K$29,2,FALSE)</f>
        <v>T5_4옵션_장신구</v>
      </c>
      <c r="AZ700" s="32">
        <f>VLOOKUP(G700,색인!$J$32:$K$45,2,FALSE)</f>
        <v>2</v>
      </c>
      <c r="BA700" s="32" t="str">
        <f>_xlfn.IFNA(VLOOKUP(AY700,표1[[검색용]:[OptionGroupIndex'[']22]],EquipItemTable!AZ700,FALSE),"옵션고정안함")</f>
        <v>옵션고정안함</v>
      </c>
    </row>
    <row r="701" spans="1:53" ht="14.1" customHeight="1" x14ac:dyDescent="0.2">
      <c r="A701" s="13" t="s">
        <v>1002</v>
      </c>
      <c r="B701" s="39">
        <v>52023</v>
      </c>
      <c r="C701" s="42" t="s">
        <v>3491</v>
      </c>
      <c r="D701" s="10" t="s">
        <v>309</v>
      </c>
      <c r="E701" s="10" t="s">
        <v>0</v>
      </c>
      <c r="F701" s="1" t="s">
        <v>310</v>
      </c>
      <c r="G701" s="1" t="s">
        <v>1307</v>
      </c>
      <c r="H701" s="1"/>
      <c r="I701" s="1"/>
      <c r="J701" s="1"/>
      <c r="K701" s="1"/>
      <c r="L701" s="1"/>
      <c r="M701" s="1"/>
      <c r="O701" s="12" t="s">
        <v>430</v>
      </c>
      <c r="P701" s="1">
        <v>51</v>
      </c>
      <c r="Q701" s="1"/>
      <c r="R701" s="1"/>
      <c r="S701" s="1"/>
      <c r="T701" s="1"/>
      <c r="U701" s="1"/>
      <c r="V701" s="1"/>
      <c r="W701" s="1">
        <v>3860</v>
      </c>
      <c r="X701" s="1">
        <f t="shared" si="67"/>
        <v>3860</v>
      </c>
      <c r="Y701" s="1"/>
      <c r="Z701" s="1"/>
      <c r="AA701" s="1"/>
      <c r="AB701" s="11"/>
      <c r="AC701" s="82"/>
      <c r="AD701" s="12" t="s">
        <v>336</v>
      </c>
      <c r="AE701" s="12" t="s">
        <v>430</v>
      </c>
      <c r="AN701" s="12" t="s">
        <v>1195</v>
      </c>
      <c r="AR701" s="34" t="s">
        <v>428</v>
      </c>
      <c r="AS701" s="34" t="s">
        <v>428</v>
      </c>
      <c r="AU701" s="12" t="s">
        <v>1936</v>
      </c>
      <c r="AV701" s="13"/>
      <c r="AW701" s="39">
        <v>6</v>
      </c>
      <c r="AX701" s="12">
        <f>VLOOKUP(AW701,색인!$N$14:$O$19,2,FALSE)</f>
        <v>4</v>
      </c>
      <c r="AY701" s="32" t="str">
        <f>"T"&amp;O701&amp;"_"&amp;AX701&amp;"옵션_"&amp;VLOOKUP(E701,색인!$J$25:$K$29,2,FALSE)</f>
        <v>T5_4옵션_장신구</v>
      </c>
      <c r="AZ701" s="32">
        <f>VLOOKUP(G701,색인!$J$32:$K$45,2,FALSE)</f>
        <v>2</v>
      </c>
      <c r="BA701" s="32" t="str">
        <f>_xlfn.IFNA(VLOOKUP(AY701,표1[[검색용]:[OptionGroupIndex'[']22]],EquipItemTable!AZ701,FALSE),"옵션고정안함")</f>
        <v>옵션고정안함</v>
      </c>
    </row>
    <row r="702" spans="1:53" s="1" customFormat="1" ht="12" x14ac:dyDescent="0.2">
      <c r="A702" s="13" t="s">
        <v>768</v>
      </c>
      <c r="B702" s="39">
        <v>52024</v>
      </c>
      <c r="C702" s="42" t="s">
        <v>3500</v>
      </c>
      <c r="D702" s="10" t="s">
        <v>309</v>
      </c>
      <c r="E702" s="10" t="s">
        <v>0</v>
      </c>
      <c r="F702" s="1" t="s">
        <v>310</v>
      </c>
      <c r="G702" s="1" t="s">
        <v>1307</v>
      </c>
      <c r="N702" s="8"/>
      <c r="O702" s="12" t="s">
        <v>755</v>
      </c>
      <c r="P702" s="1">
        <v>61</v>
      </c>
      <c r="W702" s="1">
        <v>3556</v>
      </c>
      <c r="X702" s="1">
        <f t="shared" ref="X702:X706" si="68">W702</f>
        <v>3556</v>
      </c>
      <c r="AB702" s="11"/>
      <c r="AC702" s="82"/>
      <c r="AD702" s="12" t="s">
        <v>756</v>
      </c>
      <c r="AE702" s="12" t="s">
        <v>529</v>
      </c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8"/>
      <c r="AR702" s="34"/>
      <c r="AS702" s="34"/>
      <c r="AT702" s="85"/>
      <c r="AU702" s="12" t="s">
        <v>1932</v>
      </c>
      <c r="AW702" s="90">
        <v>1</v>
      </c>
      <c r="AX702" s="23"/>
      <c r="AY702" s="23"/>
      <c r="AZ702" s="23"/>
      <c r="BA702" s="23"/>
    </row>
    <row r="703" spans="1:53" s="1" customFormat="1" ht="12" x14ac:dyDescent="0.2">
      <c r="A703" s="31" t="s">
        <v>769</v>
      </c>
      <c r="B703" s="39">
        <v>52025</v>
      </c>
      <c r="C703" s="42" t="s">
        <v>3501</v>
      </c>
      <c r="D703" s="10" t="s">
        <v>309</v>
      </c>
      <c r="E703" s="10" t="s">
        <v>0</v>
      </c>
      <c r="F703" s="1" t="s">
        <v>310</v>
      </c>
      <c r="G703" s="1" t="s">
        <v>1307</v>
      </c>
      <c r="N703" s="8"/>
      <c r="O703" s="12" t="s">
        <v>755</v>
      </c>
      <c r="P703" s="1">
        <v>61</v>
      </c>
      <c r="W703" s="1">
        <v>4021</v>
      </c>
      <c r="X703" s="1">
        <f t="shared" si="68"/>
        <v>4021</v>
      </c>
      <c r="AB703" s="11"/>
      <c r="AC703" s="82"/>
      <c r="AD703" s="12" t="s">
        <v>756</v>
      </c>
      <c r="AE703" s="39" t="str">
        <f t="shared" ref="AE703:AE705" si="69">BA703</f>
        <v>6131</v>
      </c>
      <c r="AF703" s="12"/>
      <c r="AG703" s="23"/>
      <c r="AH703" s="23"/>
      <c r="AI703" s="12"/>
      <c r="AJ703" s="12"/>
      <c r="AK703" s="12"/>
      <c r="AL703" s="12"/>
      <c r="AM703" s="12"/>
      <c r="AN703" s="12"/>
      <c r="AO703" s="12"/>
      <c r="AP703" s="12"/>
      <c r="AQ703" s="8"/>
      <c r="AR703" s="34"/>
      <c r="AS703" s="34"/>
      <c r="AT703" s="85"/>
      <c r="AU703" s="12" t="s">
        <v>1933</v>
      </c>
      <c r="AW703" s="90">
        <v>2</v>
      </c>
      <c r="AX703" s="23">
        <f>VLOOKUP(AW703,색인!$N$14:$O$19,2,FALSE)</f>
        <v>1</v>
      </c>
      <c r="AY703" s="90" t="str">
        <f>"T"&amp;O703&amp;"_"&amp;AX703&amp;"옵션_"&amp;VLOOKUP(E703,색인!$J$25:$K$29,2,FALSE)</f>
        <v>T6_1옵션_장신구</v>
      </c>
      <c r="AZ703" s="90">
        <f>VLOOKUP(G703,색인!$J$32:$K$45,2,FALSE)</f>
        <v>2</v>
      </c>
      <c r="BA703" s="90" t="str">
        <f>_xlfn.IFNA(VLOOKUP(AY703,표1[[검색용]:[OptionGroupIndex'[']22]],EquipItemTable!AZ703,FALSE),"옵션고정안함")</f>
        <v>6131</v>
      </c>
    </row>
    <row r="704" spans="1:53" s="1" customFormat="1" ht="12" x14ac:dyDescent="0.2">
      <c r="A704" s="13" t="s">
        <v>770</v>
      </c>
      <c r="B704" s="39">
        <v>52026</v>
      </c>
      <c r="C704" s="42" t="s">
        <v>3502</v>
      </c>
      <c r="D704" s="10" t="s">
        <v>309</v>
      </c>
      <c r="E704" s="10" t="s">
        <v>0</v>
      </c>
      <c r="F704" s="1" t="s">
        <v>310</v>
      </c>
      <c r="G704" s="1" t="s">
        <v>1307</v>
      </c>
      <c r="N704" s="8"/>
      <c r="O704" s="12" t="s">
        <v>755</v>
      </c>
      <c r="P704" s="1">
        <v>61</v>
      </c>
      <c r="W704" s="1">
        <v>4433</v>
      </c>
      <c r="X704" s="1">
        <f t="shared" si="68"/>
        <v>4433</v>
      </c>
      <c r="AB704" s="11"/>
      <c r="AC704" s="82"/>
      <c r="AD704" s="12" t="s">
        <v>756</v>
      </c>
      <c r="AE704" s="39" t="str">
        <f t="shared" si="69"/>
        <v>6231</v>
      </c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8"/>
      <c r="AR704" s="34" t="s">
        <v>94</v>
      </c>
      <c r="AS704" s="34" t="s">
        <v>94</v>
      </c>
      <c r="AT704" s="85"/>
      <c r="AU704" s="12" t="s">
        <v>1934</v>
      </c>
      <c r="AW704" s="90">
        <v>3</v>
      </c>
      <c r="AX704" s="23">
        <f>VLOOKUP(AW704,색인!$N$14:$O$19,2,FALSE)</f>
        <v>2</v>
      </c>
      <c r="AY704" s="90" t="str">
        <f>"T"&amp;O704&amp;"_"&amp;AX704&amp;"옵션_"&amp;VLOOKUP(E704,색인!$J$25:$K$29,2,FALSE)</f>
        <v>T6_2옵션_장신구</v>
      </c>
      <c r="AZ704" s="90">
        <f>VLOOKUP(G704,색인!$J$32:$K$45,2,FALSE)</f>
        <v>2</v>
      </c>
      <c r="BA704" s="90" t="str">
        <f>_xlfn.IFNA(VLOOKUP(AY704,표1[[검색용]:[OptionGroupIndex'[']22]],EquipItemTable!AZ704,FALSE),"옵션고정안함")</f>
        <v>6231</v>
      </c>
    </row>
    <row r="705" spans="1:53" s="1" customFormat="1" ht="12" x14ac:dyDescent="0.2">
      <c r="A705" s="31" t="s">
        <v>771</v>
      </c>
      <c r="B705" s="39">
        <v>52027</v>
      </c>
      <c r="C705" s="42" t="s">
        <v>3503</v>
      </c>
      <c r="D705" s="10" t="s">
        <v>309</v>
      </c>
      <c r="E705" s="10" t="s">
        <v>0</v>
      </c>
      <c r="F705" s="1" t="s">
        <v>310</v>
      </c>
      <c r="G705" s="1" t="s">
        <v>1307</v>
      </c>
      <c r="N705" s="8"/>
      <c r="O705" s="12" t="s">
        <v>755</v>
      </c>
      <c r="P705" s="1">
        <v>61</v>
      </c>
      <c r="W705" s="1">
        <v>4874</v>
      </c>
      <c r="X705" s="1">
        <f t="shared" si="68"/>
        <v>4874</v>
      </c>
      <c r="AB705" s="11"/>
      <c r="AC705" s="82"/>
      <c r="AD705" s="12" t="s">
        <v>756</v>
      </c>
      <c r="AE705" s="39" t="str">
        <f t="shared" si="69"/>
        <v>6331</v>
      </c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8"/>
      <c r="AR705" s="34" t="s">
        <v>94</v>
      </c>
      <c r="AS705" s="34" t="s">
        <v>94</v>
      </c>
      <c r="AT705" s="85"/>
      <c r="AU705" s="12" t="s">
        <v>1935</v>
      </c>
      <c r="AW705" s="90">
        <v>4</v>
      </c>
      <c r="AX705" s="23">
        <f>VLOOKUP(AW705,색인!$N$14:$O$19,2,FALSE)</f>
        <v>3</v>
      </c>
      <c r="AY705" s="90" t="str">
        <f>"T"&amp;O705&amp;"_"&amp;AX705&amp;"옵션_"&amp;VLOOKUP(E705,색인!$J$25:$K$29,2,FALSE)</f>
        <v>T6_3옵션_장신구</v>
      </c>
      <c r="AZ705" s="90">
        <f>VLOOKUP(G705,색인!$J$32:$K$45,2,FALSE)</f>
        <v>2</v>
      </c>
      <c r="BA705" s="90" t="str">
        <f>_xlfn.IFNA(VLOOKUP(AY705,표1[[검색용]:[OptionGroupIndex'[']22]],EquipItemTable!AZ705,FALSE),"옵션고정안함")</f>
        <v>6331</v>
      </c>
    </row>
    <row r="706" spans="1:53" s="1" customFormat="1" ht="12" x14ac:dyDescent="0.2">
      <c r="A706" s="13" t="s">
        <v>772</v>
      </c>
      <c r="B706" s="39">
        <v>52040</v>
      </c>
      <c r="C706" s="42" t="s">
        <v>3488</v>
      </c>
      <c r="D706" s="10" t="s">
        <v>309</v>
      </c>
      <c r="E706" s="10" t="s">
        <v>0</v>
      </c>
      <c r="F706" s="1" t="s">
        <v>310</v>
      </c>
      <c r="G706" s="1" t="s">
        <v>1307</v>
      </c>
      <c r="N706" s="8"/>
      <c r="O706" s="12" t="s">
        <v>755</v>
      </c>
      <c r="P706" s="1">
        <v>61</v>
      </c>
      <c r="W706" s="1">
        <v>5349</v>
      </c>
      <c r="X706" s="1">
        <f t="shared" si="68"/>
        <v>5349</v>
      </c>
      <c r="AB706" s="11"/>
      <c r="AC706" s="82"/>
      <c r="AD706" s="12" t="s">
        <v>756</v>
      </c>
      <c r="AE706" s="39" t="str">
        <f>BA706</f>
        <v>6431</v>
      </c>
      <c r="AF706" s="12"/>
      <c r="AG706" s="12"/>
      <c r="AH706" s="12"/>
      <c r="AI706" s="12"/>
      <c r="AJ706" s="12"/>
      <c r="AK706" s="12"/>
      <c r="AL706" s="12"/>
      <c r="AM706" s="12"/>
      <c r="AN706" s="12" t="s">
        <v>428</v>
      </c>
      <c r="AO706" s="12"/>
      <c r="AP706" s="12"/>
      <c r="AQ706" s="8"/>
      <c r="AR706" s="34" t="s">
        <v>94</v>
      </c>
      <c r="AS706" s="34" t="s">
        <v>94</v>
      </c>
      <c r="AT706" s="85"/>
      <c r="AU706" s="12" t="s">
        <v>1936</v>
      </c>
      <c r="AW706" s="90">
        <v>6</v>
      </c>
      <c r="AX706" s="23">
        <f>VLOOKUP(AW706,색인!$N$14:$O$19,2,FALSE)</f>
        <v>4</v>
      </c>
      <c r="AY706" s="23" t="str">
        <f>"T"&amp;O706&amp;"_"&amp;AX706&amp;"옵션_"&amp;VLOOKUP(E706,색인!$J$25:$K$29,2,FALSE)</f>
        <v>T6_4옵션_장신구</v>
      </c>
      <c r="AZ706" s="23">
        <f>VLOOKUP(G706,색인!$J$32:$K$45,2,FALSE)</f>
        <v>2</v>
      </c>
      <c r="BA706" s="23" t="str">
        <f>_xlfn.IFNA(VLOOKUP(AY706,표1[[검색용]:[OptionGroupIndex'[']22]],EquipItemTable!AZ706,FALSE),"옵션고정안함")</f>
        <v>6431</v>
      </c>
    </row>
    <row r="707" spans="1:53" s="1" customFormat="1" ht="12" x14ac:dyDescent="0.2">
      <c r="A707" s="13" t="s">
        <v>1003</v>
      </c>
      <c r="B707" s="39">
        <v>52038</v>
      </c>
      <c r="C707" s="42" t="s">
        <v>3489</v>
      </c>
      <c r="D707" s="10" t="s">
        <v>309</v>
      </c>
      <c r="E707" s="10" t="s">
        <v>0</v>
      </c>
      <c r="F707" s="1" t="s">
        <v>310</v>
      </c>
      <c r="G707" s="1" t="s">
        <v>1307</v>
      </c>
      <c r="N707" s="8"/>
      <c r="O707" s="12" t="s">
        <v>747</v>
      </c>
      <c r="P707" s="1">
        <v>61</v>
      </c>
      <c r="W707" s="1">
        <v>5349</v>
      </c>
      <c r="X707" s="1">
        <f t="shared" ref="X707:X709" si="70">W707</f>
        <v>5349</v>
      </c>
      <c r="AB707" s="11"/>
      <c r="AC707" s="82"/>
      <c r="AD707" s="12" t="s">
        <v>336</v>
      </c>
      <c r="AE707" s="39" t="str">
        <f>BA707</f>
        <v>6431</v>
      </c>
      <c r="AF707" s="12"/>
      <c r="AG707" s="12"/>
      <c r="AH707" s="12"/>
      <c r="AI707" s="12"/>
      <c r="AJ707" s="12"/>
      <c r="AK707" s="12"/>
      <c r="AL707" s="12"/>
      <c r="AM707" s="12"/>
      <c r="AN707" s="12" t="s">
        <v>429</v>
      </c>
      <c r="AO707" s="12"/>
      <c r="AP707" s="12"/>
      <c r="AQ707" s="8"/>
      <c r="AR707" s="34" t="s">
        <v>94</v>
      </c>
      <c r="AS707" s="34" t="s">
        <v>94</v>
      </c>
      <c r="AT707" s="85"/>
      <c r="AU707" s="12" t="s">
        <v>1936</v>
      </c>
      <c r="AW707" s="90">
        <v>6</v>
      </c>
      <c r="AX707" s="23">
        <f>VLOOKUP(AW707,색인!$N$14:$O$19,2,FALSE)</f>
        <v>4</v>
      </c>
      <c r="AY707" s="23" t="str">
        <f>"T"&amp;O707&amp;"_"&amp;AX707&amp;"옵션_"&amp;VLOOKUP(E707,색인!$J$25:$K$29,2,FALSE)</f>
        <v>T6_4옵션_장신구</v>
      </c>
      <c r="AZ707" s="23">
        <f>VLOOKUP(G707,색인!$J$32:$K$45,2,FALSE)</f>
        <v>2</v>
      </c>
      <c r="BA707" s="23" t="str">
        <f>_xlfn.IFNA(VLOOKUP(AY707,표1[[검색용]:[OptionGroupIndex'[']22]],EquipItemTable!AZ707,FALSE),"옵션고정안함")</f>
        <v>6431</v>
      </c>
    </row>
    <row r="708" spans="1:53" s="1" customFormat="1" ht="12" x14ac:dyDescent="0.2">
      <c r="A708" s="13" t="s">
        <v>1004</v>
      </c>
      <c r="B708" s="39">
        <v>52039</v>
      </c>
      <c r="C708" s="42" t="s">
        <v>3490</v>
      </c>
      <c r="D708" s="10" t="s">
        <v>309</v>
      </c>
      <c r="E708" s="10" t="s">
        <v>0</v>
      </c>
      <c r="F708" s="1" t="s">
        <v>310</v>
      </c>
      <c r="G708" s="1" t="s">
        <v>1307</v>
      </c>
      <c r="N708" s="8"/>
      <c r="O708" s="12" t="s">
        <v>747</v>
      </c>
      <c r="P708" s="1">
        <v>61</v>
      </c>
      <c r="W708" s="1">
        <v>5349</v>
      </c>
      <c r="X708" s="1">
        <f t="shared" si="70"/>
        <v>5349</v>
      </c>
      <c r="AB708" s="11"/>
      <c r="AC708" s="82"/>
      <c r="AD708" s="12" t="s">
        <v>336</v>
      </c>
      <c r="AE708" s="39" t="str">
        <f>BA708</f>
        <v>6431</v>
      </c>
      <c r="AF708" s="12"/>
      <c r="AG708" s="12"/>
      <c r="AH708" s="12"/>
      <c r="AI708" s="12"/>
      <c r="AJ708" s="12"/>
      <c r="AK708" s="12"/>
      <c r="AL708" s="12"/>
      <c r="AM708" s="12"/>
      <c r="AN708" s="12" t="s">
        <v>1193</v>
      </c>
      <c r="AO708" s="12"/>
      <c r="AP708" s="12"/>
      <c r="AQ708" s="8"/>
      <c r="AR708" s="34" t="s">
        <v>94</v>
      </c>
      <c r="AS708" s="34" t="s">
        <v>94</v>
      </c>
      <c r="AT708" s="85"/>
      <c r="AU708" s="12" t="s">
        <v>1936</v>
      </c>
      <c r="AW708" s="90">
        <v>6</v>
      </c>
      <c r="AX708" s="23">
        <f>VLOOKUP(AW708,색인!$N$14:$O$19,2,FALSE)</f>
        <v>4</v>
      </c>
      <c r="AY708" s="23" t="str">
        <f>"T"&amp;O708&amp;"_"&amp;AX708&amp;"옵션_"&amp;VLOOKUP(E708,색인!$J$25:$K$29,2,FALSE)</f>
        <v>T6_4옵션_장신구</v>
      </c>
      <c r="AZ708" s="23">
        <f>VLOOKUP(G708,색인!$J$32:$K$45,2,FALSE)</f>
        <v>2</v>
      </c>
      <c r="BA708" s="23" t="str">
        <f>_xlfn.IFNA(VLOOKUP(AY708,표1[[검색용]:[OptionGroupIndex'[']22]],EquipItemTable!AZ708,FALSE),"옵션고정안함")</f>
        <v>6431</v>
      </c>
    </row>
    <row r="709" spans="1:53" s="1" customFormat="1" ht="12" x14ac:dyDescent="0.2">
      <c r="A709" s="13" t="s">
        <v>1005</v>
      </c>
      <c r="B709" s="39">
        <v>52028</v>
      </c>
      <c r="C709" s="42" t="s">
        <v>3491</v>
      </c>
      <c r="D709" s="10" t="s">
        <v>309</v>
      </c>
      <c r="E709" s="10" t="s">
        <v>0</v>
      </c>
      <c r="F709" s="1" t="s">
        <v>310</v>
      </c>
      <c r="G709" s="1" t="s">
        <v>1307</v>
      </c>
      <c r="N709" s="8"/>
      <c r="O709" s="12" t="s">
        <v>747</v>
      </c>
      <c r="P709" s="1">
        <v>61</v>
      </c>
      <c r="W709" s="1">
        <v>5349</v>
      </c>
      <c r="X709" s="1">
        <f t="shared" si="70"/>
        <v>5349</v>
      </c>
      <c r="AB709" s="11"/>
      <c r="AC709" s="82"/>
      <c r="AD709" s="12" t="s">
        <v>336</v>
      </c>
      <c r="AE709" s="39" t="str">
        <f>BA709</f>
        <v>6431</v>
      </c>
      <c r="AF709" s="12"/>
      <c r="AG709" s="12"/>
      <c r="AH709" s="12"/>
      <c r="AI709" s="12"/>
      <c r="AJ709" s="12"/>
      <c r="AK709" s="12"/>
      <c r="AL709" s="12"/>
      <c r="AM709" s="12"/>
      <c r="AN709" s="12" t="s">
        <v>1195</v>
      </c>
      <c r="AO709" s="12"/>
      <c r="AP709" s="12"/>
      <c r="AQ709" s="8"/>
      <c r="AR709" s="34" t="s">
        <v>94</v>
      </c>
      <c r="AS709" s="34" t="s">
        <v>94</v>
      </c>
      <c r="AT709" s="85"/>
      <c r="AU709" s="12" t="s">
        <v>1936</v>
      </c>
      <c r="AW709" s="90">
        <v>6</v>
      </c>
      <c r="AX709" s="23">
        <f>VLOOKUP(AW709,색인!$N$14:$O$19,2,FALSE)</f>
        <v>4</v>
      </c>
      <c r="AY709" s="23" t="str">
        <f>"T"&amp;O709&amp;"_"&amp;AX709&amp;"옵션_"&amp;VLOOKUP(E709,색인!$J$25:$K$29,2,FALSE)</f>
        <v>T6_4옵션_장신구</v>
      </c>
      <c r="AZ709" s="23">
        <f>VLOOKUP(G709,색인!$J$32:$K$45,2,FALSE)</f>
        <v>2</v>
      </c>
      <c r="BA709" s="23" t="str">
        <f>_xlfn.IFNA(VLOOKUP(AY709,표1[[검색용]:[OptionGroupIndex'[']22]],EquipItemTable!AZ709,FALSE),"옵션고정안함")</f>
        <v>6431</v>
      </c>
    </row>
    <row r="710" spans="1:53" ht="12" x14ac:dyDescent="0.2">
      <c r="A710" s="13" t="s">
        <v>555</v>
      </c>
      <c r="B710" s="39">
        <v>52901</v>
      </c>
      <c r="C710" s="42" t="s">
        <v>3477</v>
      </c>
      <c r="D710" s="10" t="s">
        <v>309</v>
      </c>
      <c r="E710" s="10" t="s">
        <v>0</v>
      </c>
      <c r="F710" s="1" t="s">
        <v>310</v>
      </c>
      <c r="G710" s="1" t="s">
        <v>1307</v>
      </c>
      <c r="H710" s="1"/>
      <c r="I710" s="1"/>
      <c r="J710" s="1"/>
      <c r="K710" s="1"/>
      <c r="L710" s="1"/>
      <c r="M710" s="1"/>
      <c r="O710" s="12" t="s">
        <v>554</v>
      </c>
      <c r="P710" s="1">
        <v>1</v>
      </c>
      <c r="Q710" s="1"/>
      <c r="R710" s="1"/>
      <c r="S710" s="1"/>
      <c r="T710" s="1"/>
      <c r="U710" s="1"/>
      <c r="V710" s="1"/>
      <c r="W710" s="1">
        <v>116</v>
      </c>
      <c r="X710" s="1">
        <f t="shared" si="59"/>
        <v>116</v>
      </c>
      <c r="Y710" s="1"/>
      <c r="Z710" s="1"/>
      <c r="AA710" s="1"/>
      <c r="AB710" s="11"/>
      <c r="AC710" s="82"/>
      <c r="AD710" s="12" t="s">
        <v>52</v>
      </c>
      <c r="AE710" s="39" t="str">
        <f t="shared" ref="AE710:AE721" si="71">BA710</f>
        <v>1131</v>
      </c>
      <c r="AN710" s="12"/>
      <c r="AU710" s="12" t="s">
        <v>1939</v>
      </c>
      <c r="AV710" s="13"/>
      <c r="AW710" s="39">
        <v>2</v>
      </c>
      <c r="AX710" s="12">
        <f>VLOOKUP(AW710,색인!$N$14:$O$19,2,FALSE)</f>
        <v>1</v>
      </c>
      <c r="AY710" s="39" t="str">
        <f>"T"&amp;O710&amp;"_"&amp;AX710&amp;"옵션_"&amp;VLOOKUP(E710,색인!$J$25:$K$29,2,FALSE)</f>
        <v>T1_1옵션_장신구</v>
      </c>
      <c r="AZ710" s="39">
        <f>VLOOKUP(G710,색인!$J$32:$K$45,2,FALSE)</f>
        <v>2</v>
      </c>
      <c r="BA710" s="39" t="str">
        <f>_xlfn.IFNA(VLOOKUP(AY710,표1[[검색용]:[OptionGroupIndex'[']22]],EquipItemTable!AZ710,FALSE),"옵션고정안함")</f>
        <v>1131</v>
      </c>
    </row>
    <row r="711" spans="1:53" ht="12" customHeight="1" x14ac:dyDescent="0.2">
      <c r="A711" s="13" t="s">
        <v>654</v>
      </c>
      <c r="B711" s="39">
        <v>52401</v>
      </c>
      <c r="C711" s="42" t="s">
        <v>3504</v>
      </c>
      <c r="D711" s="10" t="s">
        <v>309</v>
      </c>
      <c r="E711" s="10" t="s">
        <v>0</v>
      </c>
      <c r="F711" s="1" t="s">
        <v>310</v>
      </c>
      <c r="G711" s="1" t="s">
        <v>1307</v>
      </c>
      <c r="H711" s="1"/>
      <c r="I711" s="1"/>
      <c r="J711" s="1"/>
      <c r="K711" s="1"/>
      <c r="L711" s="1"/>
      <c r="M711" s="1"/>
      <c r="O711" s="12" t="s">
        <v>94</v>
      </c>
      <c r="P711" s="1">
        <v>1</v>
      </c>
      <c r="Q711" s="1"/>
      <c r="R711" s="1"/>
      <c r="S711" s="1"/>
      <c r="T711" s="1"/>
      <c r="U711" s="1"/>
      <c r="V711" s="1"/>
      <c r="W711" s="1">
        <v>214</v>
      </c>
      <c r="X711" s="1">
        <f t="shared" ref="X711:X725" si="72">W711</f>
        <v>214</v>
      </c>
      <c r="Y711" s="1"/>
      <c r="Z711" s="1"/>
      <c r="AA711" s="1"/>
      <c r="AB711" s="11"/>
      <c r="AC711" s="82"/>
      <c r="AD711" s="12" t="s">
        <v>868</v>
      </c>
      <c r="AE711" s="39" t="str">
        <f t="shared" si="71"/>
        <v>1331</v>
      </c>
      <c r="AN711" s="12" t="s">
        <v>2833</v>
      </c>
      <c r="AR711" s="34" t="s">
        <v>94</v>
      </c>
      <c r="AS711" s="34" t="s">
        <v>94</v>
      </c>
      <c r="AU711" s="12" t="s">
        <v>1937</v>
      </c>
      <c r="AV711" s="13"/>
      <c r="AW711" s="39">
        <v>5</v>
      </c>
      <c r="AX711" s="12">
        <f>VLOOKUP(AW711,색인!$N$14:$O$19,2,FALSE)</f>
        <v>3</v>
      </c>
      <c r="AY711" s="39" t="str">
        <f>"T"&amp;O711&amp;"_"&amp;AX711&amp;"옵션_"&amp;VLOOKUP(E711,색인!$J$25:$K$29,2,FALSE)</f>
        <v>T1_3옵션_장신구</v>
      </c>
      <c r="AZ711" s="39">
        <f>VLOOKUP(G711,색인!$J$32:$K$45,2,FALSE)</f>
        <v>2</v>
      </c>
      <c r="BA711" s="39" t="str">
        <f>_xlfn.IFNA(VLOOKUP(AY711,표1[[검색용]:[OptionGroupIndex'[']22]],EquipItemTable!AZ711,FALSE),"옵션고정안함")</f>
        <v>1331</v>
      </c>
    </row>
    <row r="712" spans="1:53" ht="12" customHeight="1" x14ac:dyDescent="0.2">
      <c r="A712" s="13" t="s">
        <v>655</v>
      </c>
      <c r="B712" s="39">
        <v>52402</v>
      </c>
      <c r="C712" s="42" t="s">
        <v>3504</v>
      </c>
      <c r="D712" s="10" t="s">
        <v>309</v>
      </c>
      <c r="E712" s="10" t="s">
        <v>0</v>
      </c>
      <c r="F712" s="1" t="s">
        <v>310</v>
      </c>
      <c r="G712" s="1" t="s">
        <v>1307</v>
      </c>
      <c r="H712" s="1"/>
      <c r="I712" s="1"/>
      <c r="J712" s="1"/>
      <c r="K712" s="1"/>
      <c r="L712" s="1"/>
      <c r="M712" s="1"/>
      <c r="O712" s="12" t="s">
        <v>95</v>
      </c>
      <c r="P712" s="1">
        <v>21</v>
      </c>
      <c r="Q712" s="1"/>
      <c r="R712" s="1"/>
      <c r="S712" s="1"/>
      <c r="T712" s="1"/>
      <c r="U712" s="1"/>
      <c r="V712" s="1"/>
      <c r="W712" s="1">
        <v>483</v>
      </c>
      <c r="X712" s="1">
        <f t="shared" si="72"/>
        <v>483</v>
      </c>
      <c r="Y712" s="1"/>
      <c r="Z712" s="1"/>
      <c r="AA712" s="1"/>
      <c r="AB712" s="11"/>
      <c r="AC712" s="82"/>
      <c r="AD712" s="12" t="s">
        <v>868</v>
      </c>
      <c r="AE712" s="39" t="str">
        <f t="shared" si="71"/>
        <v>2331</v>
      </c>
      <c r="AN712" s="12" t="s">
        <v>2833</v>
      </c>
      <c r="AR712" s="34" t="s">
        <v>94</v>
      </c>
      <c r="AS712" s="34" t="s">
        <v>94</v>
      </c>
      <c r="AU712" s="12" t="s">
        <v>1937</v>
      </c>
      <c r="AV712" s="13"/>
      <c r="AW712" s="39">
        <v>5</v>
      </c>
      <c r="AX712" s="12">
        <f>VLOOKUP(AW712,색인!$N$14:$O$19,2,FALSE)</f>
        <v>3</v>
      </c>
      <c r="AY712" s="39" t="str">
        <f>"T"&amp;O712&amp;"_"&amp;AX712&amp;"옵션_"&amp;VLOOKUP(E712,색인!$J$25:$K$29,2,FALSE)</f>
        <v>T2_3옵션_장신구</v>
      </c>
      <c r="AZ712" s="39">
        <f>VLOOKUP(G712,색인!$J$32:$K$45,2,FALSE)</f>
        <v>2</v>
      </c>
      <c r="BA712" s="39" t="str">
        <f>_xlfn.IFNA(VLOOKUP(AY712,표1[[검색용]:[OptionGroupIndex'[']22]],EquipItemTable!AZ712,FALSE),"옵션고정안함")</f>
        <v>2331</v>
      </c>
    </row>
    <row r="713" spans="1:53" ht="12" customHeight="1" x14ac:dyDescent="0.2">
      <c r="A713" s="13" t="s">
        <v>656</v>
      </c>
      <c r="B713" s="39">
        <v>52403</v>
      </c>
      <c r="C713" s="42" t="s">
        <v>3504</v>
      </c>
      <c r="D713" s="10" t="s">
        <v>309</v>
      </c>
      <c r="E713" s="10" t="s">
        <v>0</v>
      </c>
      <c r="F713" s="1" t="s">
        <v>310</v>
      </c>
      <c r="G713" s="1" t="s">
        <v>1307</v>
      </c>
      <c r="H713" s="1"/>
      <c r="I713" s="1"/>
      <c r="J713" s="1"/>
      <c r="K713" s="1"/>
      <c r="L713" s="1"/>
      <c r="M713" s="1"/>
      <c r="N713" s="81"/>
      <c r="O713" s="12" t="s">
        <v>96</v>
      </c>
      <c r="P713" s="1">
        <v>31</v>
      </c>
      <c r="Q713" s="13"/>
      <c r="R713" s="13"/>
      <c r="S713" s="13"/>
      <c r="T713" s="13"/>
      <c r="U713" s="13"/>
      <c r="V713" s="1"/>
      <c r="W713" s="1">
        <v>998</v>
      </c>
      <c r="X713" s="1">
        <f t="shared" si="72"/>
        <v>998</v>
      </c>
      <c r="Y713" s="13"/>
      <c r="Z713" s="13"/>
      <c r="AA713" s="13"/>
      <c r="AB713" s="13"/>
      <c r="AC713" s="82"/>
      <c r="AD713" s="23" t="s">
        <v>52</v>
      </c>
      <c r="AE713" s="90" t="str">
        <f t="shared" si="71"/>
        <v>3331</v>
      </c>
      <c r="AF713" s="23"/>
      <c r="AI713" s="23"/>
      <c r="AJ713" s="23"/>
      <c r="AK713" s="23"/>
      <c r="AL713" s="23"/>
      <c r="AM713" s="23"/>
      <c r="AN713" s="12" t="s">
        <v>2833</v>
      </c>
      <c r="AO713" s="23"/>
      <c r="AP713" s="23"/>
      <c r="AQ713" s="81"/>
      <c r="AR713" s="83">
        <v>1</v>
      </c>
      <c r="AS713" s="83">
        <v>1</v>
      </c>
      <c r="AT713" s="81"/>
      <c r="AU713" s="12" t="s">
        <v>1937</v>
      </c>
      <c r="AV713" s="13"/>
      <c r="AW713" s="39">
        <v>5</v>
      </c>
      <c r="AX713" s="12">
        <f>VLOOKUP(AW713,색인!$N$14:$O$19,2,FALSE)</f>
        <v>3</v>
      </c>
      <c r="AY713" s="39" t="str">
        <f>"T"&amp;O713&amp;"_"&amp;AX713&amp;"옵션_"&amp;VLOOKUP(E713,색인!$J$25:$K$29,2,FALSE)</f>
        <v>T3_3옵션_장신구</v>
      </c>
      <c r="AZ713" s="39">
        <f>VLOOKUP(G713,색인!$J$32:$K$45,2,FALSE)</f>
        <v>2</v>
      </c>
      <c r="BA713" s="39" t="str">
        <f>_xlfn.IFNA(VLOOKUP(AY713,표1[[검색용]:[OptionGroupIndex'[']22]],EquipItemTable!AZ713,FALSE),"옵션고정안함")</f>
        <v>3331</v>
      </c>
    </row>
    <row r="714" spans="1:53" ht="12" customHeight="1" x14ac:dyDescent="0.2">
      <c r="A714" s="13" t="s">
        <v>657</v>
      </c>
      <c r="B714" s="39">
        <v>52404</v>
      </c>
      <c r="C714" s="42" t="s">
        <v>3504</v>
      </c>
      <c r="D714" s="10" t="s">
        <v>309</v>
      </c>
      <c r="E714" s="10" t="s">
        <v>0</v>
      </c>
      <c r="F714" s="1" t="s">
        <v>310</v>
      </c>
      <c r="G714" s="1" t="s">
        <v>1307</v>
      </c>
      <c r="H714" s="1"/>
      <c r="I714" s="1"/>
      <c r="J714" s="1"/>
      <c r="K714" s="1"/>
      <c r="L714" s="1"/>
      <c r="M714" s="1"/>
      <c r="O714" s="12" t="s">
        <v>97</v>
      </c>
      <c r="P714" s="1">
        <v>41</v>
      </c>
      <c r="Q714" s="1"/>
      <c r="R714" s="1"/>
      <c r="S714" s="1"/>
      <c r="T714" s="1"/>
      <c r="U714" s="1"/>
      <c r="V714" s="1"/>
      <c r="W714" s="1">
        <v>1950</v>
      </c>
      <c r="X714" s="1">
        <f t="shared" si="72"/>
        <v>1950</v>
      </c>
      <c r="Y714" s="1"/>
      <c r="Z714" s="1"/>
      <c r="AA714" s="1"/>
      <c r="AB714" s="11"/>
      <c r="AC714" s="82"/>
      <c r="AD714" s="12" t="s">
        <v>52</v>
      </c>
      <c r="AE714" s="39" t="str">
        <f t="shared" si="71"/>
        <v>4331</v>
      </c>
      <c r="AN714" s="12" t="s">
        <v>2833</v>
      </c>
      <c r="AR714" s="34" t="s">
        <v>94</v>
      </c>
      <c r="AS714" s="34" t="s">
        <v>94</v>
      </c>
      <c r="AU714" s="12" t="s">
        <v>1937</v>
      </c>
      <c r="AV714" s="13"/>
      <c r="AW714" s="39">
        <v>5</v>
      </c>
      <c r="AX714" s="12">
        <f>VLOOKUP(AW714,색인!$N$14:$O$19,2,FALSE)</f>
        <v>3</v>
      </c>
      <c r="AY714" s="39" t="str">
        <f>"T"&amp;O714&amp;"_"&amp;AX714&amp;"옵션_"&amp;VLOOKUP(E714,색인!$J$25:$K$29,2,FALSE)</f>
        <v>T4_3옵션_장신구</v>
      </c>
      <c r="AZ714" s="39">
        <f>VLOOKUP(G714,색인!$J$32:$K$45,2,FALSE)</f>
        <v>2</v>
      </c>
      <c r="BA714" s="39" t="str">
        <f>_xlfn.IFNA(VLOOKUP(AY714,표1[[검색용]:[OptionGroupIndex'[']22]],EquipItemTable!AZ714,FALSE),"옵션고정안함")</f>
        <v>4331</v>
      </c>
    </row>
    <row r="715" spans="1:53" ht="12" customHeight="1" x14ac:dyDescent="0.2">
      <c r="A715" s="13" t="s">
        <v>658</v>
      </c>
      <c r="B715" s="39">
        <v>52405</v>
      </c>
      <c r="C715" s="42" t="s">
        <v>3504</v>
      </c>
      <c r="D715" s="10" t="s">
        <v>309</v>
      </c>
      <c r="E715" s="10" t="s">
        <v>0</v>
      </c>
      <c r="F715" s="1" t="s">
        <v>310</v>
      </c>
      <c r="G715" s="1" t="s">
        <v>1307</v>
      </c>
      <c r="H715" s="1"/>
      <c r="I715" s="1"/>
      <c r="J715" s="1"/>
      <c r="K715" s="1"/>
      <c r="L715" s="1"/>
      <c r="M715" s="1"/>
      <c r="O715" s="12" t="s">
        <v>430</v>
      </c>
      <c r="P715" s="1">
        <v>51</v>
      </c>
      <c r="Q715" s="1"/>
      <c r="R715" s="1"/>
      <c r="S715" s="1"/>
      <c r="T715" s="1"/>
      <c r="U715" s="1"/>
      <c r="V715" s="1"/>
      <c r="W715" s="1">
        <v>3676</v>
      </c>
      <c r="X715" s="1">
        <f t="shared" si="72"/>
        <v>3676</v>
      </c>
      <c r="Y715" s="1"/>
      <c r="Z715" s="1"/>
      <c r="AA715" s="1"/>
      <c r="AB715" s="11"/>
      <c r="AC715" s="82"/>
      <c r="AD715" s="12" t="s">
        <v>98</v>
      </c>
      <c r="AE715" s="39" t="str">
        <f t="shared" si="71"/>
        <v>5331</v>
      </c>
      <c r="AN715" s="12" t="s">
        <v>2833</v>
      </c>
      <c r="AR715" s="34" t="s">
        <v>94</v>
      </c>
      <c r="AS715" s="34" t="s">
        <v>94</v>
      </c>
      <c r="AU715" s="12" t="s">
        <v>1937</v>
      </c>
      <c r="AV715" s="13"/>
      <c r="AW715" s="39">
        <v>5</v>
      </c>
      <c r="AX715" s="12">
        <f>VLOOKUP(AW715,색인!$N$14:$O$19,2,FALSE)</f>
        <v>3</v>
      </c>
      <c r="AY715" s="39" t="str">
        <f>"T"&amp;O715&amp;"_"&amp;AX715&amp;"옵션_"&amp;VLOOKUP(E715,색인!$J$25:$K$29,2,FALSE)</f>
        <v>T5_3옵션_장신구</v>
      </c>
      <c r="AZ715" s="39">
        <f>VLOOKUP(G715,색인!$J$32:$K$45,2,FALSE)</f>
        <v>2</v>
      </c>
      <c r="BA715" s="39" t="str">
        <f>_xlfn.IFNA(VLOOKUP(AY715,표1[[검색용]:[OptionGroupIndex'[']22]],EquipItemTable!AZ715,FALSE),"옵션고정안함")</f>
        <v>5331</v>
      </c>
    </row>
    <row r="716" spans="1:53" s="1" customFormat="1" ht="12" x14ac:dyDescent="0.2">
      <c r="A716" s="31" t="s">
        <v>773</v>
      </c>
      <c r="B716" s="39">
        <v>52406</v>
      </c>
      <c r="C716" s="42" t="s">
        <v>3504</v>
      </c>
      <c r="D716" s="10" t="s">
        <v>309</v>
      </c>
      <c r="E716" s="10" t="s">
        <v>0</v>
      </c>
      <c r="F716" s="1" t="s">
        <v>310</v>
      </c>
      <c r="G716" s="1" t="s">
        <v>1307</v>
      </c>
      <c r="N716" s="8"/>
      <c r="O716" s="12" t="s">
        <v>747</v>
      </c>
      <c r="P716" s="1">
        <v>61</v>
      </c>
      <c r="W716" s="1">
        <v>5360</v>
      </c>
      <c r="X716" s="1">
        <f t="shared" si="72"/>
        <v>5360</v>
      </c>
      <c r="AB716" s="11"/>
      <c r="AC716" s="82"/>
      <c r="AD716" s="12" t="s">
        <v>866</v>
      </c>
      <c r="AE716" s="39" t="str">
        <f t="shared" si="71"/>
        <v>6331</v>
      </c>
      <c r="AF716" s="12"/>
      <c r="AG716" s="12"/>
      <c r="AH716" s="12"/>
      <c r="AI716" s="12"/>
      <c r="AJ716" s="12"/>
      <c r="AK716" s="12"/>
      <c r="AL716" s="12"/>
      <c r="AM716" s="12"/>
      <c r="AN716" s="12" t="s">
        <v>2833</v>
      </c>
      <c r="AO716" s="12"/>
      <c r="AP716" s="12"/>
      <c r="AQ716" s="8"/>
      <c r="AR716" s="34" t="s">
        <v>865</v>
      </c>
      <c r="AS716" s="34" t="s">
        <v>865</v>
      </c>
      <c r="AT716" s="8"/>
      <c r="AU716" s="12" t="s">
        <v>1937</v>
      </c>
      <c r="AW716" s="90">
        <v>5</v>
      </c>
      <c r="AX716" s="23">
        <f>VLOOKUP(AW716,색인!$N$14:$O$19,2,FALSE)</f>
        <v>3</v>
      </c>
      <c r="AY716" s="90" t="str">
        <f>"T"&amp;O716&amp;"_"&amp;AX716&amp;"옵션_"&amp;VLOOKUP(E716,색인!$J$25:$K$29,2,FALSE)</f>
        <v>T6_3옵션_장신구</v>
      </c>
      <c r="AZ716" s="90">
        <f>VLOOKUP(G716,색인!$J$32:$K$45,2,FALSE)</f>
        <v>2</v>
      </c>
      <c r="BA716" s="90" t="str">
        <f>_xlfn.IFNA(VLOOKUP(AY716,표1[[검색용]:[OptionGroupIndex'[']22]],EquipItemTable!AZ716,FALSE),"옵션고정안함")</f>
        <v>6331</v>
      </c>
    </row>
    <row r="717" spans="1:53" s="1" customFormat="1" ht="12" x14ac:dyDescent="0.2">
      <c r="A717" s="31" t="s">
        <v>1218</v>
      </c>
      <c r="B717" s="39">
        <v>52407</v>
      </c>
      <c r="C717" s="42" t="s">
        <v>3505</v>
      </c>
      <c r="D717" s="10" t="s">
        <v>309</v>
      </c>
      <c r="E717" s="10" t="s">
        <v>0</v>
      </c>
      <c r="F717" s="1" t="s">
        <v>310</v>
      </c>
      <c r="G717" s="1" t="s">
        <v>1307</v>
      </c>
      <c r="N717" s="8"/>
      <c r="O717" s="12" t="s">
        <v>747</v>
      </c>
      <c r="P717" s="1">
        <v>61</v>
      </c>
      <c r="W717" s="1">
        <v>5360</v>
      </c>
      <c r="X717" s="1">
        <f t="shared" ref="X717:X721" si="73">W717</f>
        <v>5360</v>
      </c>
      <c r="AB717" s="11"/>
      <c r="AC717" s="82"/>
      <c r="AD717" s="12" t="s">
        <v>864</v>
      </c>
      <c r="AE717" s="39" t="str">
        <f t="shared" si="71"/>
        <v>6331</v>
      </c>
      <c r="AF717" s="12"/>
      <c r="AG717" s="12"/>
      <c r="AH717" s="12"/>
      <c r="AI717" s="12"/>
      <c r="AJ717" s="12"/>
      <c r="AK717" s="12"/>
      <c r="AL717" s="12"/>
      <c r="AM717" s="12"/>
      <c r="AN717" s="12" t="s">
        <v>1222</v>
      </c>
      <c r="AO717" s="12"/>
      <c r="AP717" s="12"/>
      <c r="AQ717" s="8"/>
      <c r="AR717" s="34" t="s">
        <v>865</v>
      </c>
      <c r="AS717" s="34" t="s">
        <v>865</v>
      </c>
      <c r="AT717" s="8"/>
      <c r="AU717" s="12" t="s">
        <v>1937</v>
      </c>
      <c r="AW717" s="90">
        <v>5</v>
      </c>
      <c r="AX717" s="23">
        <f>VLOOKUP(AW717,색인!$N$14:$O$19,2,FALSE)</f>
        <v>3</v>
      </c>
      <c r="AY717" s="90" t="str">
        <f>"T"&amp;O717&amp;"_"&amp;AX717&amp;"옵션_"&amp;VLOOKUP(E717,색인!$J$25:$K$29,2,FALSE)</f>
        <v>T6_3옵션_장신구</v>
      </c>
      <c r="AZ717" s="90">
        <f>VLOOKUP(G717,색인!$J$32:$K$45,2,FALSE)</f>
        <v>2</v>
      </c>
      <c r="BA717" s="90" t="str">
        <f>_xlfn.IFNA(VLOOKUP(AY717,표1[[검색용]:[OptionGroupIndex'[']22]],EquipItemTable!AZ717,FALSE),"옵션고정안함")</f>
        <v>6331</v>
      </c>
    </row>
    <row r="718" spans="1:53" s="1" customFormat="1" ht="12" x14ac:dyDescent="0.2">
      <c r="A718" s="31" t="s">
        <v>1219</v>
      </c>
      <c r="B718" s="39">
        <v>52408</v>
      </c>
      <c r="C718" s="42" t="s">
        <v>3506</v>
      </c>
      <c r="D718" s="10" t="s">
        <v>309</v>
      </c>
      <c r="E718" s="10" t="s">
        <v>0</v>
      </c>
      <c r="F718" s="1" t="s">
        <v>310</v>
      </c>
      <c r="G718" s="1" t="s">
        <v>1307</v>
      </c>
      <c r="J718" s="27"/>
      <c r="K718" s="27"/>
      <c r="L718" s="27"/>
      <c r="M718" s="27"/>
      <c r="N718" s="8"/>
      <c r="O718" s="12" t="s">
        <v>747</v>
      </c>
      <c r="P718" s="1">
        <v>61</v>
      </c>
      <c r="W718" s="1">
        <v>5360</v>
      </c>
      <c r="X718" s="1">
        <f t="shared" si="73"/>
        <v>5360</v>
      </c>
      <c r="AB718" s="11"/>
      <c r="AC718" s="82"/>
      <c r="AD718" s="12" t="s">
        <v>864</v>
      </c>
      <c r="AE718" s="39" t="str">
        <f t="shared" si="71"/>
        <v>6331</v>
      </c>
      <c r="AF718" s="12"/>
      <c r="AG718" s="29"/>
      <c r="AH718" s="29"/>
      <c r="AI718" s="12"/>
      <c r="AJ718" s="12"/>
      <c r="AK718" s="12"/>
      <c r="AL718" s="12"/>
      <c r="AM718" s="12"/>
      <c r="AN718" s="12" t="s">
        <v>1213</v>
      </c>
      <c r="AO718" s="12"/>
      <c r="AP718" s="12"/>
      <c r="AQ718" s="8"/>
      <c r="AR718" s="34" t="s">
        <v>865</v>
      </c>
      <c r="AS718" s="34" t="s">
        <v>865</v>
      </c>
      <c r="AT718" s="8"/>
      <c r="AU718" s="12" t="s">
        <v>1937</v>
      </c>
      <c r="AW718" s="90">
        <v>5</v>
      </c>
      <c r="AX718" s="23">
        <f>VLOOKUP(AW718,색인!$N$14:$O$19,2,FALSE)</f>
        <v>3</v>
      </c>
      <c r="AY718" s="90" t="str">
        <f>"T"&amp;O718&amp;"_"&amp;AX718&amp;"옵션_"&amp;VLOOKUP(E718,색인!$J$25:$K$29,2,FALSE)</f>
        <v>T6_3옵션_장신구</v>
      </c>
      <c r="AZ718" s="90">
        <f>VLOOKUP(G718,색인!$J$32:$K$45,2,FALSE)</f>
        <v>2</v>
      </c>
      <c r="BA718" s="90" t="str">
        <f>_xlfn.IFNA(VLOOKUP(AY718,표1[[검색용]:[OptionGroupIndex'[']22]],EquipItemTable!AZ718,FALSE),"옵션고정안함")</f>
        <v>6331</v>
      </c>
    </row>
    <row r="719" spans="1:53" s="1" customFormat="1" ht="12" x14ac:dyDescent="0.2">
      <c r="A719" s="31" t="s">
        <v>1220</v>
      </c>
      <c r="B719" s="39">
        <v>52409</v>
      </c>
      <c r="C719" s="42" t="s">
        <v>3507</v>
      </c>
      <c r="D719" s="10" t="s">
        <v>309</v>
      </c>
      <c r="E719" s="10" t="s">
        <v>0</v>
      </c>
      <c r="F719" s="1" t="s">
        <v>310</v>
      </c>
      <c r="G719" s="1" t="s">
        <v>1307</v>
      </c>
      <c r="J719" s="27"/>
      <c r="K719" s="27"/>
      <c r="L719" s="27"/>
      <c r="M719" s="27"/>
      <c r="N719" s="8"/>
      <c r="O719" s="12" t="s">
        <v>747</v>
      </c>
      <c r="P719" s="1">
        <v>61</v>
      </c>
      <c r="W719" s="1">
        <v>5360</v>
      </c>
      <c r="X719" s="1">
        <f t="shared" si="73"/>
        <v>5360</v>
      </c>
      <c r="AB719" s="11"/>
      <c r="AC719" s="82"/>
      <c r="AD719" s="12" t="s">
        <v>864</v>
      </c>
      <c r="AE719" s="39" t="str">
        <f t="shared" si="71"/>
        <v>6331</v>
      </c>
      <c r="AF719" s="12"/>
      <c r="AG719" s="29"/>
      <c r="AH719" s="29"/>
      <c r="AI719" s="12"/>
      <c r="AJ719" s="12"/>
      <c r="AK719" s="12"/>
      <c r="AL719" s="12"/>
      <c r="AM719" s="12"/>
      <c r="AN719" s="12" t="s">
        <v>1214</v>
      </c>
      <c r="AO719" s="12"/>
      <c r="AP719" s="12"/>
      <c r="AQ719" s="8"/>
      <c r="AR719" s="34" t="s">
        <v>865</v>
      </c>
      <c r="AS719" s="34" t="s">
        <v>865</v>
      </c>
      <c r="AT719" s="8"/>
      <c r="AU719" s="12" t="s">
        <v>1937</v>
      </c>
      <c r="AW719" s="90">
        <v>5</v>
      </c>
      <c r="AX719" s="23">
        <f>VLOOKUP(AW719,색인!$N$14:$O$19,2,FALSE)</f>
        <v>3</v>
      </c>
      <c r="AY719" s="90" t="str">
        <f>"T"&amp;O719&amp;"_"&amp;AX719&amp;"옵션_"&amp;VLOOKUP(E719,색인!$J$25:$K$29,2,FALSE)</f>
        <v>T6_3옵션_장신구</v>
      </c>
      <c r="AZ719" s="90">
        <f>VLOOKUP(G719,색인!$J$32:$K$45,2,FALSE)</f>
        <v>2</v>
      </c>
      <c r="BA719" s="90" t="str">
        <f>_xlfn.IFNA(VLOOKUP(AY719,표1[[검색용]:[OptionGroupIndex'[']22]],EquipItemTable!AZ719,FALSE),"옵션고정안함")</f>
        <v>6331</v>
      </c>
    </row>
    <row r="720" spans="1:53" s="1" customFormat="1" ht="12" x14ac:dyDescent="0.2">
      <c r="A720" s="31" t="s">
        <v>1221</v>
      </c>
      <c r="B720" s="39">
        <v>52410</v>
      </c>
      <c r="C720" s="42" t="s">
        <v>3508</v>
      </c>
      <c r="D720" s="10" t="s">
        <v>309</v>
      </c>
      <c r="E720" s="10" t="s">
        <v>0</v>
      </c>
      <c r="F720" s="1" t="s">
        <v>310</v>
      </c>
      <c r="G720" s="1" t="s">
        <v>1307</v>
      </c>
      <c r="J720" s="27"/>
      <c r="K720" s="27"/>
      <c r="L720" s="27"/>
      <c r="M720" s="27"/>
      <c r="N720" s="8"/>
      <c r="O720" s="12" t="s">
        <v>747</v>
      </c>
      <c r="P720" s="1">
        <v>61</v>
      </c>
      <c r="W720" s="1">
        <v>5360</v>
      </c>
      <c r="X720" s="1">
        <f t="shared" si="73"/>
        <v>5360</v>
      </c>
      <c r="AB720" s="11"/>
      <c r="AC720" s="82"/>
      <c r="AD720" s="12" t="s">
        <v>864</v>
      </c>
      <c r="AE720" s="39" t="str">
        <f t="shared" si="71"/>
        <v>6331</v>
      </c>
      <c r="AF720" s="12"/>
      <c r="AG720" s="29"/>
      <c r="AH720" s="29"/>
      <c r="AI720" s="12"/>
      <c r="AJ720" s="12"/>
      <c r="AK720" s="12"/>
      <c r="AL720" s="12"/>
      <c r="AM720" s="12"/>
      <c r="AN720" s="12" t="s">
        <v>1215</v>
      </c>
      <c r="AO720" s="12"/>
      <c r="AP720" s="12"/>
      <c r="AQ720" s="8"/>
      <c r="AR720" s="34" t="s">
        <v>865</v>
      </c>
      <c r="AS720" s="34" t="s">
        <v>865</v>
      </c>
      <c r="AT720" s="8"/>
      <c r="AU720" s="12" t="s">
        <v>1937</v>
      </c>
      <c r="AW720" s="90">
        <v>5</v>
      </c>
      <c r="AX720" s="23">
        <f>VLOOKUP(AW720,색인!$N$14:$O$19,2,FALSE)</f>
        <v>3</v>
      </c>
      <c r="AY720" s="90" t="str">
        <f>"T"&amp;O720&amp;"_"&amp;AX720&amp;"옵션_"&amp;VLOOKUP(E720,색인!$J$25:$K$29,2,FALSE)</f>
        <v>T6_3옵션_장신구</v>
      </c>
      <c r="AZ720" s="90">
        <f>VLOOKUP(G720,색인!$J$32:$K$45,2,FALSE)</f>
        <v>2</v>
      </c>
      <c r="BA720" s="90" t="str">
        <f>_xlfn.IFNA(VLOOKUP(AY720,표1[[검색용]:[OptionGroupIndex'[']22]],EquipItemTable!AZ720,FALSE),"옵션고정안함")</f>
        <v>6331</v>
      </c>
    </row>
    <row r="721" spans="1:53" s="1" customFormat="1" ht="12" x14ac:dyDescent="0.2">
      <c r="A721" s="31" t="s">
        <v>1297</v>
      </c>
      <c r="B721" s="39">
        <v>52411</v>
      </c>
      <c r="C721" s="42" t="s">
        <v>3509</v>
      </c>
      <c r="D721" s="10" t="s">
        <v>309</v>
      </c>
      <c r="E721" s="10" t="s">
        <v>0</v>
      </c>
      <c r="F721" s="1" t="s">
        <v>310</v>
      </c>
      <c r="G721" s="1" t="s">
        <v>1307</v>
      </c>
      <c r="J721" s="27"/>
      <c r="K721" s="27"/>
      <c r="L721" s="27"/>
      <c r="M721" s="27"/>
      <c r="N721" s="8"/>
      <c r="O721" s="12" t="s">
        <v>747</v>
      </c>
      <c r="P721" s="1">
        <v>61</v>
      </c>
      <c r="W721" s="1">
        <v>5360</v>
      </c>
      <c r="X721" s="1">
        <f t="shared" si="73"/>
        <v>5360</v>
      </c>
      <c r="AB721" s="11"/>
      <c r="AC721" s="82"/>
      <c r="AD721" s="12" t="s">
        <v>864</v>
      </c>
      <c r="AE721" s="39" t="str">
        <f t="shared" si="71"/>
        <v>6331</v>
      </c>
      <c r="AF721" s="12"/>
      <c r="AG721" s="29"/>
      <c r="AH721" s="29"/>
      <c r="AI721" s="12"/>
      <c r="AJ721" s="12"/>
      <c r="AK721" s="12"/>
      <c r="AL721" s="12"/>
      <c r="AM721" s="12"/>
      <c r="AN721" s="12" t="s">
        <v>1216</v>
      </c>
      <c r="AO721" s="12"/>
      <c r="AP721" s="12"/>
      <c r="AQ721" s="8"/>
      <c r="AR721" s="34" t="s">
        <v>865</v>
      </c>
      <c r="AS721" s="34" t="s">
        <v>865</v>
      </c>
      <c r="AT721" s="8"/>
      <c r="AU721" s="12" t="s">
        <v>1937</v>
      </c>
      <c r="AW721" s="90">
        <v>5</v>
      </c>
      <c r="AX721" s="23">
        <f>VLOOKUP(AW721,색인!$N$14:$O$19,2,FALSE)</f>
        <v>3</v>
      </c>
      <c r="AY721" s="90" t="str">
        <f>"T"&amp;O721&amp;"_"&amp;AX721&amp;"옵션_"&amp;VLOOKUP(E721,색인!$J$25:$K$29,2,FALSE)</f>
        <v>T6_3옵션_장신구</v>
      </c>
      <c r="AZ721" s="90">
        <f>VLOOKUP(G721,색인!$J$32:$K$45,2,FALSE)</f>
        <v>2</v>
      </c>
      <c r="BA721" s="90" t="str">
        <f>_xlfn.IFNA(VLOOKUP(AY721,표1[[검색용]:[OptionGroupIndex'[']22]],EquipItemTable!AZ721,FALSE),"옵션고정안함")</f>
        <v>6331</v>
      </c>
    </row>
    <row r="722" spans="1:53" s="1" customFormat="1" ht="12" x14ac:dyDescent="0.2">
      <c r="A722" s="24" t="s">
        <v>887</v>
      </c>
      <c r="B722" s="39">
        <v>52601</v>
      </c>
      <c r="C722" s="42" t="e">
        <v>#N/A</v>
      </c>
      <c r="D722" s="10" t="s">
        <v>2959</v>
      </c>
      <c r="E722" s="10" t="s">
        <v>435</v>
      </c>
      <c r="F722" s="1" t="s">
        <v>310</v>
      </c>
      <c r="G722" s="1" t="s">
        <v>1307</v>
      </c>
      <c r="J722" s="27"/>
      <c r="K722" s="27"/>
      <c r="L722" s="27"/>
      <c r="M722" s="27"/>
      <c r="N722" s="8"/>
      <c r="O722" s="12" t="s">
        <v>881</v>
      </c>
      <c r="P722" s="1">
        <v>31</v>
      </c>
      <c r="W722" s="1">
        <v>1233</v>
      </c>
      <c r="X722" s="1">
        <f t="shared" si="72"/>
        <v>1233</v>
      </c>
      <c r="AB722" s="11"/>
      <c r="AC722" s="82"/>
      <c r="AD722" s="12" t="s">
        <v>99</v>
      </c>
      <c r="AE722" s="12" t="s">
        <v>881</v>
      </c>
      <c r="AF722" s="12"/>
      <c r="AG722" s="29"/>
      <c r="AH722" s="29"/>
      <c r="AQ722" s="85"/>
      <c r="AR722" s="1">
        <v>1</v>
      </c>
      <c r="AS722" s="1">
        <v>1</v>
      </c>
      <c r="AT722" s="85"/>
      <c r="AU722" s="12" t="s">
        <v>1938</v>
      </c>
      <c r="AW722" s="90">
        <v>7</v>
      </c>
      <c r="AX722" s="23"/>
      <c r="AY722" s="23"/>
      <c r="AZ722" s="23"/>
      <c r="BA722" s="23"/>
    </row>
    <row r="723" spans="1:53" s="1" customFormat="1" ht="12" x14ac:dyDescent="0.2">
      <c r="A723" s="24" t="s">
        <v>888</v>
      </c>
      <c r="B723" s="39">
        <v>52602</v>
      </c>
      <c r="C723" s="42" t="e">
        <v>#N/A</v>
      </c>
      <c r="D723" s="10" t="s">
        <v>2959</v>
      </c>
      <c r="E723" s="10" t="s">
        <v>435</v>
      </c>
      <c r="F723" s="1" t="s">
        <v>310</v>
      </c>
      <c r="G723" s="1" t="s">
        <v>1307</v>
      </c>
      <c r="J723" s="27"/>
      <c r="K723" s="27"/>
      <c r="L723" s="27"/>
      <c r="M723" s="27"/>
      <c r="N723" s="8"/>
      <c r="O723" s="12" t="s">
        <v>882</v>
      </c>
      <c r="P723" s="1">
        <v>41</v>
      </c>
      <c r="W723" s="1">
        <v>2378</v>
      </c>
      <c r="X723" s="1">
        <f t="shared" si="72"/>
        <v>2378</v>
      </c>
      <c r="AB723" s="11"/>
      <c r="AC723" s="82"/>
      <c r="AD723" s="12" t="s">
        <v>99</v>
      </c>
      <c r="AE723" s="12" t="s">
        <v>551</v>
      </c>
      <c r="AF723" s="12"/>
      <c r="AG723" s="29"/>
      <c r="AH723" s="29"/>
      <c r="AQ723" s="85"/>
      <c r="AR723" s="1">
        <v>1</v>
      </c>
      <c r="AS723" s="1">
        <v>1</v>
      </c>
      <c r="AT723" s="85"/>
      <c r="AU723" s="12" t="s">
        <v>1938</v>
      </c>
      <c r="AW723" s="90">
        <v>7</v>
      </c>
      <c r="AX723" s="23"/>
      <c r="AY723" s="23"/>
      <c r="AZ723" s="23"/>
      <c r="BA723" s="23"/>
    </row>
    <row r="724" spans="1:53" s="1" customFormat="1" ht="12" x14ac:dyDescent="0.2">
      <c r="A724" s="24" t="s">
        <v>889</v>
      </c>
      <c r="B724" s="39">
        <v>52603</v>
      </c>
      <c r="C724" s="42" t="e">
        <v>#N/A</v>
      </c>
      <c r="D724" s="10" t="s">
        <v>2959</v>
      </c>
      <c r="E724" s="10" t="s">
        <v>435</v>
      </c>
      <c r="F724" s="1" t="s">
        <v>310</v>
      </c>
      <c r="G724" s="1" t="s">
        <v>1307</v>
      </c>
      <c r="J724" s="27"/>
      <c r="K724" s="27"/>
      <c r="L724" s="27"/>
      <c r="M724" s="27"/>
      <c r="N724" s="8"/>
      <c r="O724" s="12" t="s">
        <v>430</v>
      </c>
      <c r="P724" s="1">
        <v>51</v>
      </c>
      <c r="W724" s="1">
        <v>4439</v>
      </c>
      <c r="X724" s="1">
        <f t="shared" si="72"/>
        <v>4439</v>
      </c>
      <c r="AB724" s="11"/>
      <c r="AC724" s="82"/>
      <c r="AD724" s="12" t="s">
        <v>99</v>
      </c>
      <c r="AE724" s="12" t="s">
        <v>430</v>
      </c>
      <c r="AF724" s="12"/>
      <c r="AG724" s="29"/>
      <c r="AH724" s="29"/>
      <c r="AQ724" s="85"/>
      <c r="AR724" s="1">
        <v>1</v>
      </c>
      <c r="AS724" s="1">
        <v>1</v>
      </c>
      <c r="AT724" s="85"/>
      <c r="AU724" s="12" t="s">
        <v>1938</v>
      </c>
      <c r="AW724" s="90">
        <v>7</v>
      </c>
      <c r="AX724" s="23"/>
      <c r="AY724" s="23"/>
      <c r="AZ724" s="23"/>
      <c r="BA724" s="23"/>
    </row>
    <row r="725" spans="1:53" s="1" customFormat="1" ht="12" x14ac:dyDescent="0.2">
      <c r="A725" s="24" t="s">
        <v>890</v>
      </c>
      <c r="B725" s="39">
        <v>52604</v>
      </c>
      <c r="C725" s="42" t="e">
        <v>#N/A</v>
      </c>
      <c r="D725" s="10" t="s">
        <v>2959</v>
      </c>
      <c r="E725" s="10" t="s">
        <v>435</v>
      </c>
      <c r="F725" s="1" t="s">
        <v>310</v>
      </c>
      <c r="G725" s="1" t="s">
        <v>1307</v>
      </c>
      <c r="J725" s="27"/>
      <c r="K725" s="27"/>
      <c r="L725" s="27"/>
      <c r="M725" s="27"/>
      <c r="N725" s="8"/>
      <c r="O725" s="12" t="s">
        <v>747</v>
      </c>
      <c r="P725" s="1">
        <v>61</v>
      </c>
      <c r="W725" s="1">
        <v>6151</v>
      </c>
      <c r="X725" s="1">
        <f t="shared" si="72"/>
        <v>6151</v>
      </c>
      <c r="AB725" s="11"/>
      <c r="AC725" s="82"/>
      <c r="AD725" s="12" t="s">
        <v>99</v>
      </c>
      <c r="AE725" s="12" t="s">
        <v>430</v>
      </c>
      <c r="AF725" s="12"/>
      <c r="AG725" s="29"/>
      <c r="AH725" s="29"/>
      <c r="AQ725" s="85"/>
      <c r="AR725" s="1">
        <v>1</v>
      </c>
      <c r="AS725" s="1">
        <v>1</v>
      </c>
      <c r="AT725" s="85"/>
      <c r="AU725" s="12" t="s">
        <v>1938</v>
      </c>
      <c r="AW725" s="90">
        <v>7</v>
      </c>
      <c r="AX725" s="23"/>
      <c r="AY725" s="23"/>
      <c r="AZ725" s="23"/>
      <c r="BA725" s="23"/>
    </row>
    <row r="726" spans="1:53" s="1" customFormat="1" ht="12" x14ac:dyDescent="0.2">
      <c r="A726" s="31" t="s">
        <v>1171</v>
      </c>
      <c r="B726" s="39">
        <v>352001</v>
      </c>
      <c r="C726" s="42" t="s">
        <v>3510</v>
      </c>
      <c r="D726" s="10" t="s">
        <v>309</v>
      </c>
      <c r="E726" s="10" t="s">
        <v>0</v>
      </c>
      <c r="F726" s="1" t="s">
        <v>310</v>
      </c>
      <c r="G726" s="1" t="s">
        <v>1307</v>
      </c>
      <c r="J726" s="27"/>
      <c r="K726" s="27"/>
      <c r="L726" s="27"/>
      <c r="M726" s="27"/>
      <c r="N726" s="8"/>
      <c r="O726" s="12" t="s">
        <v>747</v>
      </c>
      <c r="P726" s="1">
        <v>61</v>
      </c>
      <c r="W726" s="1">
        <v>5360</v>
      </c>
      <c r="X726" s="1">
        <f t="shared" ref="X726:X745" si="74">W726</f>
        <v>5360</v>
      </c>
      <c r="AB726" s="11"/>
      <c r="AC726" s="82"/>
      <c r="AD726" s="12" t="s">
        <v>864</v>
      </c>
      <c r="AE726" s="39" t="str">
        <f>BA726</f>
        <v>6331</v>
      </c>
      <c r="AF726" s="12"/>
      <c r="AG726" s="29"/>
      <c r="AH726" s="29"/>
      <c r="AI726" s="12"/>
      <c r="AJ726" s="12"/>
      <c r="AK726" s="12"/>
      <c r="AL726" s="12"/>
      <c r="AM726" s="12"/>
      <c r="AN726" s="12" t="s">
        <v>1200</v>
      </c>
      <c r="AO726" s="12"/>
      <c r="AP726" s="12"/>
      <c r="AQ726" s="8"/>
      <c r="AR726" s="34" t="s">
        <v>543</v>
      </c>
      <c r="AS726" s="34" t="s">
        <v>543</v>
      </c>
      <c r="AT726" s="8"/>
      <c r="AU726" s="12" t="s">
        <v>1937</v>
      </c>
      <c r="AW726" s="90">
        <v>5</v>
      </c>
      <c r="AX726" s="23">
        <f>VLOOKUP(AW726,색인!$N$14:$O$19,2,FALSE)</f>
        <v>3</v>
      </c>
      <c r="AY726" s="90" t="str">
        <f>"T"&amp;O726&amp;"_"&amp;AX726&amp;"옵션_"&amp;VLOOKUP(E726,색인!$J$25:$K$29,2,FALSE)</f>
        <v>T6_3옵션_장신구</v>
      </c>
      <c r="AZ726" s="90">
        <f>VLOOKUP(G726,색인!$J$32:$K$45,2,FALSE)</f>
        <v>2</v>
      </c>
      <c r="BA726" s="90" t="str">
        <f>_xlfn.IFNA(VLOOKUP(AY726,표1[[검색용]:[OptionGroupIndex'[']22]],EquipItemTable!AZ726,FALSE),"옵션고정안함")</f>
        <v>6331</v>
      </c>
    </row>
    <row r="727" spans="1:53" s="1" customFormat="1" ht="12" x14ac:dyDescent="0.2">
      <c r="A727" s="13" t="s">
        <v>1172</v>
      </c>
      <c r="B727" s="39">
        <v>352002</v>
      </c>
      <c r="C727" s="42" t="s">
        <v>3511</v>
      </c>
      <c r="D727" s="10" t="s">
        <v>309</v>
      </c>
      <c r="E727" s="10" t="s">
        <v>0</v>
      </c>
      <c r="F727" s="1" t="s">
        <v>310</v>
      </c>
      <c r="G727" s="1" t="s">
        <v>1307</v>
      </c>
      <c r="J727" s="27"/>
      <c r="K727" s="27"/>
      <c r="L727" s="27"/>
      <c r="M727" s="27"/>
      <c r="N727" s="8"/>
      <c r="O727" s="12" t="s">
        <v>755</v>
      </c>
      <c r="P727" s="1">
        <v>61</v>
      </c>
      <c r="W727" s="1">
        <v>5349</v>
      </c>
      <c r="X727" s="1">
        <f t="shared" si="74"/>
        <v>5349</v>
      </c>
      <c r="AB727" s="11"/>
      <c r="AC727" s="82"/>
      <c r="AD727" s="12" t="s">
        <v>98</v>
      </c>
      <c r="AE727" s="39" t="s">
        <v>430</v>
      </c>
      <c r="AF727" s="12"/>
      <c r="AG727" s="29"/>
      <c r="AH727" s="29"/>
      <c r="AI727" s="12"/>
      <c r="AJ727" s="12"/>
      <c r="AK727" s="12"/>
      <c r="AL727" s="12"/>
      <c r="AM727" s="12"/>
      <c r="AN727" s="12" t="s">
        <v>1294</v>
      </c>
      <c r="AO727" s="12"/>
      <c r="AP727" s="12"/>
      <c r="AQ727" s="8"/>
      <c r="AR727" s="34" t="s">
        <v>94</v>
      </c>
      <c r="AS727" s="34" t="s">
        <v>94</v>
      </c>
      <c r="AT727" s="85"/>
      <c r="AU727" s="12" t="s">
        <v>1936</v>
      </c>
      <c r="AW727" s="90">
        <v>6</v>
      </c>
      <c r="AX727" s="23">
        <f>VLOOKUP(AW727,색인!$N$14:$O$19,2,FALSE)</f>
        <v>4</v>
      </c>
      <c r="AY727" s="23" t="str">
        <f>"T"&amp;O727&amp;"_"&amp;AX727&amp;"옵션_"&amp;VLOOKUP(E727,색인!$J$25:$K$29,2,FALSE)</f>
        <v>T6_4옵션_장신구</v>
      </c>
      <c r="AZ727" s="23">
        <f>VLOOKUP(G727,색인!$J$32:$K$45,2,FALSE)</f>
        <v>2</v>
      </c>
      <c r="BA727" s="23" t="str">
        <f>_xlfn.IFNA(VLOOKUP(AY727,표1[[검색용]:[OptionGroupIndex'[']22]],EquipItemTable!AZ727,FALSE),"옵션고정안함")</f>
        <v>6431</v>
      </c>
    </row>
    <row r="728" spans="1:53" s="27" customFormat="1" ht="12" x14ac:dyDescent="0.2">
      <c r="A728" s="25" t="s">
        <v>1359</v>
      </c>
      <c r="B728" s="39">
        <v>52412</v>
      </c>
      <c r="C728" s="42" t="s">
        <v>3512</v>
      </c>
      <c r="D728" s="26" t="s">
        <v>309</v>
      </c>
      <c r="E728" s="26" t="s">
        <v>0</v>
      </c>
      <c r="F728" s="27" t="s">
        <v>310</v>
      </c>
      <c r="G728" s="27" t="s">
        <v>1358</v>
      </c>
      <c r="N728" s="8"/>
      <c r="O728" s="29" t="s">
        <v>1338</v>
      </c>
      <c r="P728" s="27">
        <v>71</v>
      </c>
      <c r="W728" s="27">
        <v>5225</v>
      </c>
      <c r="X728" s="1">
        <f t="shared" si="74"/>
        <v>5225</v>
      </c>
      <c r="AB728" s="28"/>
      <c r="AC728" s="82"/>
      <c r="AD728" s="29" t="s">
        <v>1377</v>
      </c>
      <c r="AE728" s="29" t="s">
        <v>1337</v>
      </c>
      <c r="AF728" s="29"/>
      <c r="AG728" s="29"/>
      <c r="AH728" s="29"/>
      <c r="AQ728" s="85"/>
      <c r="AR728" s="27">
        <v>1</v>
      </c>
      <c r="AS728" s="27">
        <v>1</v>
      </c>
      <c r="AT728" s="85"/>
      <c r="AU728" s="29">
        <v>1001</v>
      </c>
      <c r="AW728" s="91">
        <v>1</v>
      </c>
      <c r="AX728" s="93"/>
      <c r="AY728" s="93"/>
      <c r="AZ728" s="93"/>
      <c r="BA728" s="93"/>
    </row>
    <row r="729" spans="1:53" s="27" customFormat="1" ht="12" x14ac:dyDescent="0.2">
      <c r="A729" s="25" t="s">
        <v>1360</v>
      </c>
      <c r="B729" s="39">
        <v>52413</v>
      </c>
      <c r="C729" s="42" t="s">
        <v>3513</v>
      </c>
      <c r="D729" s="26" t="s">
        <v>309</v>
      </c>
      <c r="E729" s="26" t="s">
        <v>0</v>
      </c>
      <c r="F729" s="27" t="s">
        <v>310</v>
      </c>
      <c r="G729" s="27" t="s">
        <v>1358</v>
      </c>
      <c r="N729" s="8"/>
      <c r="O729" s="29" t="s">
        <v>1338</v>
      </c>
      <c r="P729" s="27">
        <v>71</v>
      </c>
      <c r="W729" s="27">
        <v>6079</v>
      </c>
      <c r="X729" s="1">
        <f t="shared" si="74"/>
        <v>6079</v>
      </c>
      <c r="AB729" s="28"/>
      <c r="AC729" s="82"/>
      <c r="AD729" s="29" t="s">
        <v>1377</v>
      </c>
      <c r="AE729" s="92" t="str">
        <f t="shared" ref="AE729:AE738" si="75">BA729</f>
        <v>7131</v>
      </c>
      <c r="AF729" s="29"/>
      <c r="AG729" s="29"/>
      <c r="AH729" s="29"/>
      <c r="AQ729" s="85"/>
      <c r="AR729" s="27">
        <v>1</v>
      </c>
      <c r="AS729" s="27">
        <v>1</v>
      </c>
      <c r="AT729" s="85"/>
      <c r="AU729" s="29" t="s">
        <v>1939</v>
      </c>
      <c r="AW729" s="91">
        <v>2</v>
      </c>
      <c r="AX729" s="93">
        <f>VLOOKUP(AW729,색인!$N$14:$O$19,2,FALSE)</f>
        <v>1</v>
      </c>
      <c r="AY729" s="91" t="str">
        <f>"T"&amp;O729&amp;"_"&amp;AX729&amp;"옵션_"&amp;VLOOKUP(E729,색인!$J$25:$K$29,2,FALSE)</f>
        <v>T7_1옵션_장신구</v>
      </c>
      <c r="AZ729" s="91">
        <f>VLOOKUP(G729,색인!$J$32:$K$45,2,FALSE)</f>
        <v>2</v>
      </c>
      <c r="BA729" s="91" t="str">
        <f>_xlfn.IFNA(VLOOKUP(AY729,표1[[검색용]:[OptionGroupIndex'[']22]],EquipItemTable!AZ729,FALSE),"옵션고정안함")</f>
        <v>7131</v>
      </c>
    </row>
    <row r="730" spans="1:53" s="27" customFormat="1" ht="12" x14ac:dyDescent="0.2">
      <c r="A730" s="25" t="s">
        <v>1361</v>
      </c>
      <c r="B730" s="39">
        <v>52414</v>
      </c>
      <c r="C730" s="42" t="s">
        <v>3514</v>
      </c>
      <c r="D730" s="26" t="s">
        <v>309</v>
      </c>
      <c r="E730" s="26" t="s">
        <v>0</v>
      </c>
      <c r="F730" s="27" t="s">
        <v>310</v>
      </c>
      <c r="G730" s="27" t="s">
        <v>1358</v>
      </c>
      <c r="N730" s="8"/>
      <c r="O730" s="29" t="s">
        <v>1338</v>
      </c>
      <c r="P730" s="27">
        <v>71</v>
      </c>
      <c r="W730" s="27">
        <v>6423</v>
      </c>
      <c r="X730" s="1">
        <f t="shared" si="74"/>
        <v>6423</v>
      </c>
      <c r="AB730" s="28"/>
      <c r="AC730" s="82"/>
      <c r="AD730" s="29" t="s">
        <v>1377</v>
      </c>
      <c r="AE730" s="92" t="str">
        <f t="shared" si="75"/>
        <v>7231</v>
      </c>
      <c r="AF730" s="29"/>
      <c r="AG730" s="29"/>
      <c r="AH730" s="29"/>
      <c r="AQ730" s="85"/>
      <c r="AR730" s="27">
        <v>1</v>
      </c>
      <c r="AS730" s="27">
        <v>1</v>
      </c>
      <c r="AT730" s="85"/>
      <c r="AU730" s="29" t="s">
        <v>1940</v>
      </c>
      <c r="AW730" s="91">
        <v>3</v>
      </c>
      <c r="AX730" s="93">
        <f>VLOOKUP(AW730,색인!$N$14:$O$19,2,FALSE)</f>
        <v>2</v>
      </c>
      <c r="AY730" s="91" t="str">
        <f>"T"&amp;O730&amp;"_"&amp;AX730&amp;"옵션_"&amp;VLOOKUP(E730,색인!$J$25:$K$29,2,FALSE)</f>
        <v>T7_2옵션_장신구</v>
      </c>
      <c r="AZ730" s="91">
        <f>VLOOKUP(G730,색인!$J$32:$K$45,2,FALSE)</f>
        <v>2</v>
      </c>
      <c r="BA730" s="91" t="str">
        <f>_xlfn.IFNA(VLOOKUP(AY730,표1[[검색용]:[OptionGroupIndex'[']22]],EquipItemTable!AZ730,FALSE),"옵션고정안함")</f>
        <v>7231</v>
      </c>
    </row>
    <row r="731" spans="1:53" s="27" customFormat="1" ht="12" x14ac:dyDescent="0.2">
      <c r="A731" s="25" t="s">
        <v>1362</v>
      </c>
      <c r="B731" s="39">
        <v>52415</v>
      </c>
      <c r="C731" s="42" t="s">
        <v>3515</v>
      </c>
      <c r="D731" s="26" t="s">
        <v>309</v>
      </c>
      <c r="E731" s="26" t="s">
        <v>0</v>
      </c>
      <c r="F731" s="27" t="s">
        <v>310</v>
      </c>
      <c r="G731" s="27" t="s">
        <v>1358</v>
      </c>
      <c r="N731" s="8"/>
      <c r="O731" s="29" t="s">
        <v>1338</v>
      </c>
      <c r="P731" s="27">
        <v>71</v>
      </c>
      <c r="W731" s="27">
        <v>7018</v>
      </c>
      <c r="X731" s="1">
        <f t="shared" si="74"/>
        <v>7018</v>
      </c>
      <c r="AB731" s="28"/>
      <c r="AC731" s="82"/>
      <c r="AD731" s="29" t="s">
        <v>1377</v>
      </c>
      <c r="AE731" s="92" t="str">
        <f t="shared" si="75"/>
        <v>7331</v>
      </c>
      <c r="AF731" s="29"/>
      <c r="AG731" s="29"/>
      <c r="AH731" s="29"/>
      <c r="AQ731" s="85"/>
      <c r="AR731" s="27">
        <v>1</v>
      </c>
      <c r="AS731" s="27">
        <v>1</v>
      </c>
      <c r="AT731" s="85"/>
      <c r="AU731" s="29" t="s">
        <v>1941</v>
      </c>
      <c r="AW731" s="91">
        <v>4</v>
      </c>
      <c r="AX731" s="93">
        <f>VLOOKUP(AW731,색인!$N$14:$O$19,2,FALSE)</f>
        <v>3</v>
      </c>
      <c r="AY731" s="91" t="str">
        <f>"T"&amp;O731&amp;"_"&amp;AX731&amp;"옵션_"&amp;VLOOKUP(E731,색인!$J$25:$K$29,2,FALSE)</f>
        <v>T7_3옵션_장신구</v>
      </c>
      <c r="AZ731" s="91">
        <f>VLOOKUP(G731,색인!$J$32:$K$45,2,FALSE)</f>
        <v>2</v>
      </c>
      <c r="BA731" s="91" t="str">
        <f>_xlfn.IFNA(VLOOKUP(AY731,표1[[검색용]:[OptionGroupIndex'[']22]],EquipItemTable!AZ731,FALSE),"옵션고정안함")</f>
        <v>7331</v>
      </c>
    </row>
    <row r="732" spans="1:53" s="27" customFormat="1" ht="12" x14ac:dyDescent="0.2">
      <c r="A732" s="25" t="s">
        <v>1363</v>
      </c>
      <c r="B732" s="39">
        <v>52416</v>
      </c>
      <c r="C732" s="42" t="s">
        <v>3504</v>
      </c>
      <c r="D732" s="26" t="s">
        <v>309</v>
      </c>
      <c r="E732" s="26" t="s">
        <v>0</v>
      </c>
      <c r="F732" s="27" t="s">
        <v>310</v>
      </c>
      <c r="G732" s="27" t="s">
        <v>1358</v>
      </c>
      <c r="N732" s="8"/>
      <c r="O732" s="29" t="s">
        <v>1338</v>
      </c>
      <c r="P732" s="27">
        <v>71</v>
      </c>
      <c r="W732" s="27">
        <v>7719</v>
      </c>
      <c r="X732" s="1">
        <f t="shared" si="74"/>
        <v>7719</v>
      </c>
      <c r="AB732" s="28"/>
      <c r="AC732" s="82"/>
      <c r="AD732" s="29" t="s">
        <v>1377</v>
      </c>
      <c r="AE732" s="92" t="str">
        <f t="shared" si="75"/>
        <v>7331</v>
      </c>
      <c r="AF732" s="29"/>
      <c r="AG732" s="29"/>
      <c r="AH732" s="29"/>
      <c r="AN732" s="27">
        <v>103</v>
      </c>
      <c r="AQ732" s="85"/>
      <c r="AR732" s="27">
        <v>1</v>
      </c>
      <c r="AS732" s="27">
        <v>1</v>
      </c>
      <c r="AT732" s="85"/>
      <c r="AU732" s="29" t="s">
        <v>1942</v>
      </c>
      <c r="AW732" s="91">
        <v>5</v>
      </c>
      <c r="AX732" s="93">
        <f>VLOOKUP(AW732,색인!$N$14:$O$19,2,FALSE)</f>
        <v>3</v>
      </c>
      <c r="AY732" s="91" t="str">
        <f>"T"&amp;O732&amp;"_"&amp;AX732&amp;"옵션_"&amp;VLOOKUP(E732,색인!$J$25:$K$29,2,FALSE)</f>
        <v>T7_3옵션_장신구</v>
      </c>
      <c r="AZ732" s="91">
        <f>VLOOKUP(G732,색인!$J$32:$K$45,2,FALSE)</f>
        <v>2</v>
      </c>
      <c r="BA732" s="91" t="str">
        <f>_xlfn.IFNA(VLOOKUP(AY732,표1[[검색용]:[OptionGroupIndex'[']22]],EquipItemTable!AZ732,FALSE),"옵션고정안함")</f>
        <v>7331</v>
      </c>
    </row>
    <row r="733" spans="1:53" s="27" customFormat="1" ht="12" x14ac:dyDescent="0.2">
      <c r="A733" s="25" t="s">
        <v>1364</v>
      </c>
      <c r="B733" s="39">
        <v>52417</v>
      </c>
      <c r="C733" s="42" t="s">
        <v>3506</v>
      </c>
      <c r="D733" s="26" t="s">
        <v>309</v>
      </c>
      <c r="E733" s="26" t="s">
        <v>0</v>
      </c>
      <c r="F733" s="27" t="s">
        <v>310</v>
      </c>
      <c r="G733" s="27" t="s">
        <v>1358</v>
      </c>
      <c r="N733" s="8"/>
      <c r="O733" s="29" t="s">
        <v>1338</v>
      </c>
      <c r="P733" s="27">
        <v>71</v>
      </c>
      <c r="W733" s="27">
        <v>7719</v>
      </c>
      <c r="X733" s="1">
        <f t="shared" si="74"/>
        <v>7719</v>
      </c>
      <c r="AB733" s="28"/>
      <c r="AC733" s="82"/>
      <c r="AD733" s="29" t="s">
        <v>1377</v>
      </c>
      <c r="AE733" s="92" t="str">
        <f t="shared" si="75"/>
        <v>7331</v>
      </c>
      <c r="AF733" s="29"/>
      <c r="AG733" s="29"/>
      <c r="AH733" s="29"/>
      <c r="AN733" s="27">
        <v>202</v>
      </c>
      <c r="AQ733" s="85"/>
      <c r="AR733" s="27">
        <v>1</v>
      </c>
      <c r="AS733" s="27">
        <v>1</v>
      </c>
      <c r="AT733" s="85"/>
      <c r="AU733" s="29" t="s">
        <v>1942</v>
      </c>
      <c r="AW733" s="91">
        <v>5</v>
      </c>
      <c r="AX733" s="93">
        <f>VLOOKUP(AW733,색인!$N$14:$O$19,2,FALSE)</f>
        <v>3</v>
      </c>
      <c r="AY733" s="91" t="str">
        <f>"T"&amp;O733&amp;"_"&amp;AX733&amp;"옵션_"&amp;VLOOKUP(E733,색인!$J$25:$K$29,2,FALSE)</f>
        <v>T7_3옵션_장신구</v>
      </c>
      <c r="AZ733" s="91">
        <f>VLOOKUP(G733,색인!$J$32:$K$45,2,FALSE)</f>
        <v>2</v>
      </c>
      <c r="BA733" s="91" t="str">
        <f>_xlfn.IFNA(VLOOKUP(AY733,표1[[검색용]:[OptionGroupIndex'[']22]],EquipItemTable!AZ733,FALSE),"옵션고정안함")</f>
        <v>7331</v>
      </c>
    </row>
    <row r="734" spans="1:53" s="27" customFormat="1" ht="12" x14ac:dyDescent="0.2">
      <c r="A734" s="25" t="s">
        <v>1365</v>
      </c>
      <c r="B734" s="39">
        <v>52418</v>
      </c>
      <c r="C734" s="42" t="s">
        <v>3507</v>
      </c>
      <c r="D734" s="26" t="s">
        <v>309</v>
      </c>
      <c r="E734" s="26" t="s">
        <v>0</v>
      </c>
      <c r="F734" s="27" t="s">
        <v>310</v>
      </c>
      <c r="G734" s="27" t="s">
        <v>1358</v>
      </c>
      <c r="N734" s="8"/>
      <c r="O734" s="29" t="s">
        <v>1338</v>
      </c>
      <c r="P734" s="27">
        <v>71</v>
      </c>
      <c r="W734" s="27">
        <v>7719</v>
      </c>
      <c r="X734" s="1">
        <f t="shared" si="74"/>
        <v>7719</v>
      </c>
      <c r="AB734" s="28"/>
      <c r="AC734" s="82"/>
      <c r="AD734" s="29" t="s">
        <v>1377</v>
      </c>
      <c r="AE734" s="92" t="str">
        <f t="shared" si="75"/>
        <v>7331</v>
      </c>
      <c r="AF734" s="29"/>
      <c r="AG734" s="29"/>
      <c r="AH734" s="29"/>
      <c r="AN734" s="27">
        <v>203</v>
      </c>
      <c r="AQ734" s="85"/>
      <c r="AR734" s="27">
        <v>1</v>
      </c>
      <c r="AS734" s="27">
        <v>1</v>
      </c>
      <c r="AT734" s="85"/>
      <c r="AU734" s="29" t="s">
        <v>1942</v>
      </c>
      <c r="AW734" s="91">
        <v>5</v>
      </c>
      <c r="AX734" s="93">
        <f>VLOOKUP(AW734,색인!$N$14:$O$19,2,FALSE)</f>
        <v>3</v>
      </c>
      <c r="AY734" s="91" t="str">
        <f>"T"&amp;O734&amp;"_"&amp;AX734&amp;"옵션_"&amp;VLOOKUP(E734,색인!$J$25:$K$29,2,FALSE)</f>
        <v>T7_3옵션_장신구</v>
      </c>
      <c r="AZ734" s="91">
        <f>VLOOKUP(G734,색인!$J$32:$K$45,2,FALSE)</f>
        <v>2</v>
      </c>
      <c r="BA734" s="91" t="str">
        <f>_xlfn.IFNA(VLOOKUP(AY734,표1[[검색용]:[OptionGroupIndex'[']22]],EquipItemTable!AZ734,FALSE),"옵션고정안함")</f>
        <v>7331</v>
      </c>
    </row>
    <row r="735" spans="1:53" s="27" customFormat="1" ht="12" x14ac:dyDescent="0.2">
      <c r="A735" s="25" t="s">
        <v>1366</v>
      </c>
      <c r="B735" s="39">
        <v>52419</v>
      </c>
      <c r="C735" s="42" t="s">
        <v>3508</v>
      </c>
      <c r="D735" s="26" t="s">
        <v>309</v>
      </c>
      <c r="E735" s="26" t="s">
        <v>0</v>
      </c>
      <c r="F735" s="27" t="s">
        <v>310</v>
      </c>
      <c r="G735" s="27" t="s">
        <v>1358</v>
      </c>
      <c r="N735" s="8"/>
      <c r="O735" s="29" t="s">
        <v>1338</v>
      </c>
      <c r="P735" s="27">
        <v>71</v>
      </c>
      <c r="W735" s="27">
        <v>7719</v>
      </c>
      <c r="X735" s="1">
        <f t="shared" si="74"/>
        <v>7719</v>
      </c>
      <c r="AB735" s="28"/>
      <c r="AC735" s="82"/>
      <c r="AD735" s="29" t="s">
        <v>1377</v>
      </c>
      <c r="AE735" s="92" t="str">
        <f t="shared" si="75"/>
        <v>7331</v>
      </c>
      <c r="AF735" s="29"/>
      <c r="AG735" s="29"/>
      <c r="AH735" s="29"/>
      <c r="AN735" s="27">
        <v>204</v>
      </c>
      <c r="AQ735" s="85"/>
      <c r="AR735" s="27">
        <v>1</v>
      </c>
      <c r="AS735" s="27">
        <v>1</v>
      </c>
      <c r="AT735" s="85"/>
      <c r="AU735" s="29" t="s">
        <v>1942</v>
      </c>
      <c r="AW735" s="91">
        <v>5</v>
      </c>
      <c r="AX735" s="93">
        <f>VLOOKUP(AW735,색인!$N$14:$O$19,2,FALSE)</f>
        <v>3</v>
      </c>
      <c r="AY735" s="91" t="str">
        <f>"T"&amp;O735&amp;"_"&amp;AX735&amp;"옵션_"&amp;VLOOKUP(E735,색인!$J$25:$K$29,2,FALSE)</f>
        <v>T7_3옵션_장신구</v>
      </c>
      <c r="AZ735" s="91">
        <f>VLOOKUP(G735,색인!$J$32:$K$45,2,FALSE)</f>
        <v>2</v>
      </c>
      <c r="BA735" s="91" t="str">
        <f>_xlfn.IFNA(VLOOKUP(AY735,표1[[검색용]:[OptionGroupIndex'[']22]],EquipItemTable!AZ735,FALSE),"옵션고정안함")</f>
        <v>7331</v>
      </c>
    </row>
    <row r="736" spans="1:53" s="27" customFormat="1" ht="12" x14ac:dyDescent="0.2">
      <c r="A736" s="25" t="s">
        <v>1367</v>
      </c>
      <c r="B736" s="39">
        <v>52420</v>
      </c>
      <c r="C736" s="42" t="s">
        <v>3509</v>
      </c>
      <c r="D736" s="26" t="s">
        <v>309</v>
      </c>
      <c r="E736" s="26" t="s">
        <v>0</v>
      </c>
      <c r="F736" s="27" t="s">
        <v>310</v>
      </c>
      <c r="G736" s="27" t="s">
        <v>1358</v>
      </c>
      <c r="J736" s="1"/>
      <c r="K736" s="1"/>
      <c r="L736" s="1"/>
      <c r="M736" s="1"/>
      <c r="N736" s="8"/>
      <c r="O736" s="29" t="s">
        <v>1338</v>
      </c>
      <c r="P736" s="27">
        <v>71</v>
      </c>
      <c r="W736" s="27">
        <v>7719</v>
      </c>
      <c r="X736" s="1">
        <f t="shared" si="74"/>
        <v>7719</v>
      </c>
      <c r="AB736" s="28"/>
      <c r="AC736" s="82"/>
      <c r="AD736" s="29" t="s">
        <v>1377</v>
      </c>
      <c r="AE736" s="92" t="str">
        <f t="shared" si="75"/>
        <v>7331</v>
      </c>
      <c r="AF736" s="29"/>
      <c r="AG736" s="12"/>
      <c r="AH736" s="12"/>
      <c r="AN736" s="27">
        <v>205</v>
      </c>
      <c r="AQ736" s="85"/>
      <c r="AR736" s="27">
        <v>1</v>
      </c>
      <c r="AS736" s="27">
        <v>1</v>
      </c>
      <c r="AT736" s="85"/>
      <c r="AU736" s="29" t="s">
        <v>1942</v>
      </c>
      <c r="AW736" s="91">
        <v>5</v>
      </c>
      <c r="AX736" s="93">
        <f>VLOOKUP(AW736,색인!$N$14:$O$19,2,FALSE)</f>
        <v>3</v>
      </c>
      <c r="AY736" s="91" t="str">
        <f>"T"&amp;O736&amp;"_"&amp;AX736&amp;"옵션_"&amp;VLOOKUP(E736,색인!$J$25:$K$29,2,FALSE)</f>
        <v>T7_3옵션_장신구</v>
      </c>
      <c r="AZ736" s="91">
        <f>VLOOKUP(G736,색인!$J$32:$K$45,2,FALSE)</f>
        <v>2</v>
      </c>
      <c r="BA736" s="91" t="str">
        <f>_xlfn.IFNA(VLOOKUP(AY736,표1[[검색용]:[OptionGroupIndex'[']22]],EquipItemTable!AZ736,FALSE),"옵션고정안함")</f>
        <v>7331</v>
      </c>
    </row>
    <row r="737" spans="1:53" s="27" customFormat="1" ht="12" x14ac:dyDescent="0.2">
      <c r="A737" s="25" t="s">
        <v>1368</v>
      </c>
      <c r="B737" s="39">
        <v>52421</v>
      </c>
      <c r="C737" s="42" t="s">
        <v>3516</v>
      </c>
      <c r="D737" s="26" t="s">
        <v>309</v>
      </c>
      <c r="E737" s="26" t="s">
        <v>0</v>
      </c>
      <c r="F737" s="27" t="s">
        <v>310</v>
      </c>
      <c r="G737" s="27" t="s">
        <v>1358</v>
      </c>
      <c r="J737" s="1"/>
      <c r="K737" s="1"/>
      <c r="L737" s="1"/>
      <c r="M737" s="1"/>
      <c r="N737" s="8"/>
      <c r="O737" s="29" t="s">
        <v>1338</v>
      </c>
      <c r="P737" s="27">
        <v>71</v>
      </c>
      <c r="W737" s="27">
        <v>7719</v>
      </c>
      <c r="X737" s="1">
        <f t="shared" si="74"/>
        <v>7719</v>
      </c>
      <c r="AB737" s="28"/>
      <c r="AC737" s="82"/>
      <c r="AD737" s="29" t="s">
        <v>1377</v>
      </c>
      <c r="AE737" s="92" t="str">
        <f t="shared" si="75"/>
        <v>7331</v>
      </c>
      <c r="AF737" s="29"/>
      <c r="AG737" s="12"/>
      <c r="AH737" s="12"/>
      <c r="AN737" s="27">
        <v>206</v>
      </c>
      <c r="AQ737" s="85"/>
      <c r="AR737" s="27">
        <v>1</v>
      </c>
      <c r="AS737" s="27">
        <v>1</v>
      </c>
      <c r="AT737" s="85"/>
      <c r="AU737" s="29" t="s">
        <v>1942</v>
      </c>
      <c r="AW737" s="91">
        <v>5</v>
      </c>
      <c r="AX737" s="93">
        <f>VLOOKUP(AW737,색인!$N$14:$O$19,2,FALSE)</f>
        <v>3</v>
      </c>
      <c r="AY737" s="91" t="str">
        <f>"T"&amp;O737&amp;"_"&amp;AX737&amp;"옵션_"&amp;VLOOKUP(E737,색인!$J$25:$K$29,2,FALSE)</f>
        <v>T7_3옵션_장신구</v>
      </c>
      <c r="AZ737" s="91">
        <f>VLOOKUP(G737,색인!$J$32:$K$45,2,FALSE)</f>
        <v>2</v>
      </c>
      <c r="BA737" s="91" t="str">
        <f>_xlfn.IFNA(VLOOKUP(AY737,표1[[검색용]:[OptionGroupIndex'[']22]],EquipItemTable!AZ737,FALSE),"옵션고정안함")</f>
        <v>7331</v>
      </c>
    </row>
    <row r="738" spans="1:53" s="27" customFormat="1" ht="12" x14ac:dyDescent="0.2">
      <c r="A738" s="25" t="s">
        <v>1369</v>
      </c>
      <c r="B738" s="39">
        <v>52422</v>
      </c>
      <c r="C738" s="42" t="s">
        <v>3517</v>
      </c>
      <c r="D738" s="26" t="s">
        <v>309</v>
      </c>
      <c r="E738" s="26" t="s">
        <v>0</v>
      </c>
      <c r="F738" s="27" t="s">
        <v>310</v>
      </c>
      <c r="G738" s="27" t="s">
        <v>1358</v>
      </c>
      <c r="J738" s="1"/>
      <c r="K738" s="1"/>
      <c r="L738" s="1"/>
      <c r="M738" s="1"/>
      <c r="N738" s="8"/>
      <c r="O738" s="29" t="s">
        <v>1338</v>
      </c>
      <c r="P738" s="27">
        <v>71</v>
      </c>
      <c r="W738" s="27">
        <v>7719</v>
      </c>
      <c r="X738" s="1">
        <f t="shared" si="74"/>
        <v>7719</v>
      </c>
      <c r="AB738" s="28"/>
      <c r="AC738" s="82"/>
      <c r="AD738" s="29" t="s">
        <v>1377</v>
      </c>
      <c r="AE738" s="92" t="str">
        <f t="shared" si="75"/>
        <v>7331</v>
      </c>
      <c r="AF738" s="29"/>
      <c r="AG738" s="12"/>
      <c r="AH738" s="12"/>
      <c r="AN738" s="27">
        <v>207</v>
      </c>
      <c r="AQ738" s="85"/>
      <c r="AR738" s="27">
        <v>1</v>
      </c>
      <c r="AS738" s="27">
        <v>1</v>
      </c>
      <c r="AT738" s="85"/>
      <c r="AU738" s="29" t="s">
        <v>1942</v>
      </c>
      <c r="AW738" s="91">
        <v>5</v>
      </c>
      <c r="AX738" s="93">
        <f>VLOOKUP(AW738,색인!$N$14:$O$19,2,FALSE)</f>
        <v>3</v>
      </c>
      <c r="AY738" s="91" t="str">
        <f>"T"&amp;O738&amp;"_"&amp;AX738&amp;"옵션_"&amp;VLOOKUP(E738,색인!$J$25:$K$29,2,FALSE)</f>
        <v>T7_3옵션_장신구</v>
      </c>
      <c r="AZ738" s="91">
        <f>VLOOKUP(G738,색인!$J$32:$K$45,2,FALSE)</f>
        <v>2</v>
      </c>
      <c r="BA738" s="91" t="str">
        <f>_xlfn.IFNA(VLOOKUP(AY738,표1[[검색용]:[OptionGroupIndex'[']22]],EquipItemTable!AZ738,FALSE),"옵션고정안함")</f>
        <v>7331</v>
      </c>
    </row>
    <row r="739" spans="1:53" s="27" customFormat="1" ht="12" x14ac:dyDescent="0.2">
      <c r="A739" s="25" t="s">
        <v>1370</v>
      </c>
      <c r="B739" s="39">
        <v>52423</v>
      </c>
      <c r="C739" s="42" t="s">
        <v>3488</v>
      </c>
      <c r="D739" s="26" t="s">
        <v>309</v>
      </c>
      <c r="E739" s="26" t="s">
        <v>0</v>
      </c>
      <c r="F739" s="27" t="s">
        <v>310</v>
      </c>
      <c r="G739" s="27" t="s">
        <v>1358</v>
      </c>
      <c r="J739" s="1"/>
      <c r="K739" s="1"/>
      <c r="L739" s="1"/>
      <c r="M739" s="1"/>
      <c r="N739" s="8"/>
      <c r="O739" s="29" t="s">
        <v>1338</v>
      </c>
      <c r="P739" s="27">
        <v>71</v>
      </c>
      <c r="W739" s="27">
        <v>7962</v>
      </c>
      <c r="X739" s="1">
        <f t="shared" si="74"/>
        <v>7962</v>
      </c>
      <c r="AB739" s="28"/>
      <c r="AC739" s="82"/>
      <c r="AD739" s="29" t="s">
        <v>1377</v>
      </c>
      <c r="AE739" s="92" t="str">
        <f>BA739</f>
        <v>7431</v>
      </c>
      <c r="AF739" s="29" t="s">
        <v>2185</v>
      </c>
      <c r="AG739" s="12"/>
      <c r="AH739" s="12"/>
      <c r="AN739" s="27">
        <v>1</v>
      </c>
      <c r="AQ739" s="85"/>
      <c r="AR739" s="27">
        <v>1</v>
      </c>
      <c r="AS739" s="27">
        <v>1</v>
      </c>
      <c r="AT739" s="85"/>
      <c r="AU739" s="12" t="s">
        <v>1936</v>
      </c>
      <c r="AW739" s="91">
        <v>6</v>
      </c>
      <c r="AX739" s="93">
        <f>VLOOKUP(AW739,색인!$N$14:$O$19,2,FALSE)</f>
        <v>4</v>
      </c>
      <c r="AY739" s="93" t="str">
        <f>"T"&amp;O739&amp;"_"&amp;AX739&amp;"옵션_"&amp;VLOOKUP(E739,색인!$J$25:$K$29,2,FALSE)</f>
        <v>T7_4옵션_장신구</v>
      </c>
      <c r="AZ739" s="93">
        <f>VLOOKUP(G739,색인!$J$32:$K$45,2,FALSE)</f>
        <v>2</v>
      </c>
      <c r="BA739" s="93" t="str">
        <f>_xlfn.IFNA(VLOOKUP(AY739,표1[[검색용]:[OptionGroupIndex'[']22]],EquipItemTable!AZ739,FALSE),"옵션고정안함")</f>
        <v>7431</v>
      </c>
    </row>
    <row r="740" spans="1:53" s="27" customFormat="1" ht="12" x14ac:dyDescent="0.2">
      <c r="A740" s="25" t="s">
        <v>1371</v>
      </c>
      <c r="B740" s="39">
        <v>52424</v>
      </c>
      <c r="C740" s="42" t="s">
        <v>3489</v>
      </c>
      <c r="D740" s="26" t="s">
        <v>309</v>
      </c>
      <c r="E740" s="26" t="s">
        <v>0</v>
      </c>
      <c r="F740" s="27" t="s">
        <v>310</v>
      </c>
      <c r="G740" s="27" t="s">
        <v>1358</v>
      </c>
      <c r="J740" s="1"/>
      <c r="K740" s="1"/>
      <c r="L740" s="1"/>
      <c r="M740" s="1"/>
      <c r="N740" s="8"/>
      <c r="O740" s="29" t="s">
        <v>1338</v>
      </c>
      <c r="P740" s="27">
        <v>71</v>
      </c>
      <c r="W740" s="27">
        <v>7962</v>
      </c>
      <c r="X740" s="1">
        <f t="shared" si="74"/>
        <v>7962</v>
      </c>
      <c r="AB740" s="28"/>
      <c r="AC740" s="82"/>
      <c r="AD740" s="29" t="s">
        <v>1377</v>
      </c>
      <c r="AE740" s="92" t="str">
        <f>BA740</f>
        <v>7431</v>
      </c>
      <c r="AF740" s="29" t="s">
        <v>2185</v>
      </c>
      <c r="AG740" s="12"/>
      <c r="AH740" s="12"/>
      <c r="AN740" s="27">
        <v>2</v>
      </c>
      <c r="AQ740" s="85"/>
      <c r="AR740" s="27">
        <v>1</v>
      </c>
      <c r="AS740" s="27">
        <v>1</v>
      </c>
      <c r="AT740" s="85"/>
      <c r="AU740" s="12" t="s">
        <v>1936</v>
      </c>
      <c r="AW740" s="91">
        <v>6</v>
      </c>
      <c r="AX740" s="93">
        <f>VLOOKUP(AW740,색인!$N$14:$O$19,2,FALSE)</f>
        <v>4</v>
      </c>
      <c r="AY740" s="93" t="str">
        <f>"T"&amp;O740&amp;"_"&amp;AX740&amp;"옵션_"&amp;VLOOKUP(E740,색인!$J$25:$K$29,2,FALSE)</f>
        <v>T7_4옵션_장신구</v>
      </c>
      <c r="AZ740" s="93">
        <f>VLOOKUP(G740,색인!$J$32:$K$45,2,FALSE)</f>
        <v>2</v>
      </c>
      <c r="BA740" s="93" t="str">
        <f>_xlfn.IFNA(VLOOKUP(AY740,표1[[검색용]:[OptionGroupIndex'[']22]],EquipItemTable!AZ740,FALSE),"옵션고정안함")</f>
        <v>7431</v>
      </c>
    </row>
    <row r="741" spans="1:53" s="27" customFormat="1" ht="12" x14ac:dyDescent="0.2">
      <c r="A741" s="25" t="s">
        <v>1372</v>
      </c>
      <c r="B741" s="39">
        <v>52425</v>
      </c>
      <c r="C741" s="42" t="s">
        <v>3490</v>
      </c>
      <c r="D741" s="26" t="s">
        <v>309</v>
      </c>
      <c r="E741" s="26" t="s">
        <v>0</v>
      </c>
      <c r="F741" s="27" t="s">
        <v>310</v>
      </c>
      <c r="G741" s="27" t="s">
        <v>1358</v>
      </c>
      <c r="J741" s="1"/>
      <c r="K741" s="1"/>
      <c r="L741" s="1"/>
      <c r="M741" s="1"/>
      <c r="N741" s="8"/>
      <c r="O741" s="29" t="s">
        <v>1338</v>
      </c>
      <c r="P741" s="27">
        <v>71</v>
      </c>
      <c r="W741" s="27">
        <v>7962</v>
      </c>
      <c r="X741" s="1">
        <f t="shared" si="74"/>
        <v>7962</v>
      </c>
      <c r="AB741" s="28"/>
      <c r="AC741" s="82"/>
      <c r="AD741" s="29" t="s">
        <v>1377</v>
      </c>
      <c r="AE741" s="92" t="str">
        <f>BA741</f>
        <v>7431</v>
      </c>
      <c r="AF741" s="29" t="s">
        <v>2185</v>
      </c>
      <c r="AG741" s="12"/>
      <c r="AH741" s="12"/>
      <c r="AN741" s="27">
        <v>3</v>
      </c>
      <c r="AQ741" s="85"/>
      <c r="AR741" s="27">
        <v>1</v>
      </c>
      <c r="AS741" s="27">
        <v>1</v>
      </c>
      <c r="AT741" s="85"/>
      <c r="AU741" s="12" t="s">
        <v>1936</v>
      </c>
      <c r="AW741" s="91">
        <v>6</v>
      </c>
      <c r="AX741" s="93">
        <f>VLOOKUP(AW741,색인!$N$14:$O$19,2,FALSE)</f>
        <v>4</v>
      </c>
      <c r="AY741" s="93" t="str">
        <f>"T"&amp;O741&amp;"_"&amp;AX741&amp;"옵션_"&amp;VLOOKUP(E741,색인!$J$25:$K$29,2,FALSE)</f>
        <v>T7_4옵션_장신구</v>
      </c>
      <c r="AZ741" s="93">
        <f>VLOOKUP(G741,색인!$J$32:$K$45,2,FALSE)</f>
        <v>2</v>
      </c>
      <c r="BA741" s="93" t="str">
        <f>_xlfn.IFNA(VLOOKUP(AY741,표1[[검색용]:[OptionGroupIndex'[']22]],EquipItemTable!AZ741,FALSE),"옵션고정안함")</f>
        <v>7431</v>
      </c>
    </row>
    <row r="742" spans="1:53" s="27" customFormat="1" ht="12" x14ac:dyDescent="0.2">
      <c r="A742" s="25" t="s">
        <v>1373</v>
      </c>
      <c r="B742" s="39">
        <v>52426</v>
      </c>
      <c r="C742" s="42" t="s">
        <v>3491</v>
      </c>
      <c r="D742" s="26" t="s">
        <v>309</v>
      </c>
      <c r="E742" s="26" t="s">
        <v>0</v>
      </c>
      <c r="F742" s="27" t="s">
        <v>310</v>
      </c>
      <c r="G742" s="27" t="s">
        <v>1358</v>
      </c>
      <c r="J742" s="1"/>
      <c r="K742" s="1"/>
      <c r="L742" s="1"/>
      <c r="M742" s="1"/>
      <c r="N742" s="8"/>
      <c r="O742" s="29" t="s">
        <v>1338</v>
      </c>
      <c r="P742" s="27">
        <v>71</v>
      </c>
      <c r="W742" s="27">
        <v>7962</v>
      </c>
      <c r="X742" s="1">
        <f t="shared" si="74"/>
        <v>7962</v>
      </c>
      <c r="AB742" s="28"/>
      <c r="AC742" s="82"/>
      <c r="AD742" s="29" t="s">
        <v>1377</v>
      </c>
      <c r="AE742" s="92" t="str">
        <f>BA742</f>
        <v>7431</v>
      </c>
      <c r="AF742" s="29" t="s">
        <v>2185</v>
      </c>
      <c r="AG742" s="12"/>
      <c r="AH742" s="12"/>
      <c r="AN742" s="27">
        <v>4</v>
      </c>
      <c r="AQ742" s="85"/>
      <c r="AR742" s="27">
        <v>1</v>
      </c>
      <c r="AS742" s="27">
        <v>1</v>
      </c>
      <c r="AT742" s="85"/>
      <c r="AU742" s="12" t="s">
        <v>1936</v>
      </c>
      <c r="AW742" s="91">
        <v>6</v>
      </c>
      <c r="AX742" s="93">
        <f>VLOOKUP(AW742,색인!$N$14:$O$19,2,FALSE)</f>
        <v>4</v>
      </c>
      <c r="AY742" s="93" t="str">
        <f>"T"&amp;O742&amp;"_"&amp;AX742&amp;"옵션_"&amp;VLOOKUP(E742,색인!$J$25:$K$29,2,FALSE)</f>
        <v>T7_4옵션_장신구</v>
      </c>
      <c r="AZ742" s="93">
        <f>VLOOKUP(G742,색인!$J$32:$K$45,2,FALSE)</f>
        <v>2</v>
      </c>
      <c r="BA742" s="93" t="str">
        <f>_xlfn.IFNA(VLOOKUP(AY742,표1[[검색용]:[OptionGroupIndex'[']22]],EquipItemTable!AZ742,FALSE),"옵션고정안함")</f>
        <v>7431</v>
      </c>
    </row>
    <row r="743" spans="1:53" s="27" customFormat="1" ht="12" x14ac:dyDescent="0.2">
      <c r="A743" s="30" t="s">
        <v>1374</v>
      </c>
      <c r="B743" s="39">
        <v>52605</v>
      </c>
      <c r="C743" s="42" t="e">
        <v>#N/A</v>
      </c>
      <c r="D743" s="26" t="s">
        <v>309</v>
      </c>
      <c r="E743" s="26" t="s">
        <v>0</v>
      </c>
      <c r="F743" s="27" t="s">
        <v>310</v>
      </c>
      <c r="G743" s="27" t="s">
        <v>1358</v>
      </c>
      <c r="J743" s="1"/>
      <c r="K743" s="1"/>
      <c r="L743" s="1"/>
      <c r="M743" s="1"/>
      <c r="N743" s="8"/>
      <c r="O743" s="29" t="s">
        <v>1338</v>
      </c>
      <c r="P743" s="27">
        <v>71</v>
      </c>
      <c r="W743" s="27">
        <v>7962</v>
      </c>
      <c r="X743" s="1">
        <f t="shared" si="74"/>
        <v>7962</v>
      </c>
      <c r="AB743" s="28"/>
      <c r="AC743" s="82"/>
      <c r="AD743" s="29" t="s">
        <v>1377</v>
      </c>
      <c r="AE743" s="29" t="s">
        <v>1337</v>
      </c>
      <c r="AF743" s="29"/>
      <c r="AG743" s="12"/>
      <c r="AH743" s="12"/>
      <c r="AQ743" s="85"/>
      <c r="AR743" s="27">
        <v>1</v>
      </c>
      <c r="AS743" s="27">
        <v>1</v>
      </c>
      <c r="AT743" s="85"/>
      <c r="AU743" s="29" t="s">
        <v>1944</v>
      </c>
      <c r="AW743" s="91">
        <v>7</v>
      </c>
      <c r="AX743" s="93"/>
      <c r="AY743" s="93"/>
      <c r="AZ743" s="93"/>
      <c r="BA743" s="93"/>
    </row>
    <row r="744" spans="1:53" s="27" customFormat="1" ht="12" x14ac:dyDescent="0.2">
      <c r="A744" s="25" t="s">
        <v>1375</v>
      </c>
      <c r="B744" s="39">
        <v>352003</v>
      </c>
      <c r="C744" s="42" t="s">
        <v>3510</v>
      </c>
      <c r="D744" s="26" t="s">
        <v>309</v>
      </c>
      <c r="E744" s="26" t="s">
        <v>0</v>
      </c>
      <c r="F744" s="27" t="s">
        <v>310</v>
      </c>
      <c r="G744" s="27" t="s">
        <v>1358</v>
      </c>
      <c r="J744" s="1"/>
      <c r="K744" s="1"/>
      <c r="L744" s="1"/>
      <c r="M744" s="1"/>
      <c r="N744" s="8"/>
      <c r="O744" s="29" t="s">
        <v>1338</v>
      </c>
      <c r="P744" s="27">
        <v>71</v>
      </c>
      <c r="W744" s="27">
        <v>7719</v>
      </c>
      <c r="X744" s="1">
        <f t="shared" si="74"/>
        <v>7719</v>
      </c>
      <c r="AB744" s="28"/>
      <c r="AC744" s="82"/>
      <c r="AD744" s="29" t="s">
        <v>1377</v>
      </c>
      <c r="AE744" s="92" t="str">
        <f>BA744</f>
        <v>7331</v>
      </c>
      <c r="AF744" s="29"/>
      <c r="AG744" s="23"/>
      <c r="AH744" s="23"/>
      <c r="AN744" s="27">
        <v>101</v>
      </c>
      <c r="AQ744" s="85"/>
      <c r="AR744" s="27">
        <v>1</v>
      </c>
      <c r="AS744" s="27">
        <v>1</v>
      </c>
      <c r="AT744" s="85"/>
      <c r="AU744" s="29" t="s">
        <v>1942</v>
      </c>
      <c r="AW744" s="91">
        <v>5</v>
      </c>
      <c r="AX744" s="93">
        <f>VLOOKUP(AW744,색인!$N$14:$O$19,2,FALSE)</f>
        <v>3</v>
      </c>
      <c r="AY744" s="91" t="str">
        <f>"T"&amp;O744&amp;"_"&amp;AX744&amp;"옵션_"&amp;VLOOKUP(E744,색인!$J$25:$K$29,2,FALSE)</f>
        <v>T7_3옵션_장신구</v>
      </c>
      <c r="AZ744" s="91">
        <f>VLOOKUP(G744,색인!$J$32:$K$45,2,FALSE)</f>
        <v>2</v>
      </c>
      <c r="BA744" s="91" t="str">
        <f>_xlfn.IFNA(VLOOKUP(AY744,표1[[검색용]:[OptionGroupIndex'[']22]],EquipItemTable!AZ744,FALSE),"옵션고정안함")</f>
        <v>7331</v>
      </c>
    </row>
    <row r="745" spans="1:53" s="27" customFormat="1" ht="12" x14ac:dyDescent="0.2">
      <c r="A745" s="25" t="s">
        <v>1376</v>
      </c>
      <c r="B745" s="39">
        <v>352004</v>
      </c>
      <c r="C745" s="42" t="s">
        <v>3511</v>
      </c>
      <c r="D745" s="26" t="s">
        <v>309</v>
      </c>
      <c r="E745" s="26" t="s">
        <v>0</v>
      </c>
      <c r="F745" s="27" t="s">
        <v>310</v>
      </c>
      <c r="G745" s="27" t="s">
        <v>1358</v>
      </c>
      <c r="J745" s="1"/>
      <c r="K745" s="1"/>
      <c r="L745" s="1"/>
      <c r="M745" s="1"/>
      <c r="N745" s="8"/>
      <c r="O745" s="29" t="s">
        <v>1338</v>
      </c>
      <c r="P745" s="27">
        <v>71</v>
      </c>
      <c r="W745" s="27">
        <v>7962</v>
      </c>
      <c r="X745" s="1">
        <f t="shared" si="74"/>
        <v>7962</v>
      </c>
      <c r="AB745" s="28"/>
      <c r="AC745" s="82"/>
      <c r="AD745" s="29" t="s">
        <v>1377</v>
      </c>
      <c r="AE745" s="92" t="s">
        <v>2190</v>
      </c>
      <c r="AF745" s="29" t="s">
        <v>2185</v>
      </c>
      <c r="AG745" s="23"/>
      <c r="AH745" s="23"/>
      <c r="AN745" s="27">
        <v>102</v>
      </c>
      <c r="AQ745" s="85"/>
      <c r="AR745" s="27">
        <v>1</v>
      </c>
      <c r="AS745" s="27">
        <v>1</v>
      </c>
      <c r="AT745" s="85"/>
      <c r="AU745" s="29" t="s">
        <v>1943</v>
      </c>
      <c r="AW745" s="91">
        <v>6</v>
      </c>
      <c r="AX745" s="93">
        <f>VLOOKUP(AW745,색인!$N$14:$O$19,2,FALSE)</f>
        <v>4</v>
      </c>
      <c r="AY745" s="93" t="str">
        <f>"T"&amp;O745&amp;"_"&amp;AX745&amp;"옵션_"&amp;VLOOKUP(E745,색인!$J$25:$K$29,2,FALSE)</f>
        <v>T7_4옵션_장신구</v>
      </c>
      <c r="AZ745" s="93">
        <f>VLOOKUP(G745,색인!$J$32:$K$45,2,FALSE)</f>
        <v>2</v>
      </c>
      <c r="BA745" s="93" t="str">
        <f>_xlfn.IFNA(VLOOKUP(AY745,표1[[검색용]:[OptionGroupIndex'[']22]],EquipItemTable!AZ745,FALSE),"옵션고정안함")</f>
        <v>7431</v>
      </c>
    </row>
    <row r="746" spans="1:53" ht="12" customHeight="1" x14ac:dyDescent="0.2">
      <c r="A746" s="13" t="s">
        <v>129</v>
      </c>
      <c r="B746" s="39">
        <v>53001</v>
      </c>
      <c r="C746" s="42" t="s">
        <v>33</v>
      </c>
      <c r="D746" s="10" t="s">
        <v>2960</v>
      </c>
      <c r="E746" s="10" t="s">
        <v>435</v>
      </c>
      <c r="F746" s="1" t="s">
        <v>457</v>
      </c>
      <c r="G746" s="1" t="s">
        <v>1308</v>
      </c>
      <c r="H746" s="1"/>
      <c r="I746" s="1"/>
      <c r="J746" s="1"/>
      <c r="K746" s="1"/>
      <c r="L746" s="1"/>
      <c r="M746" s="1"/>
      <c r="O746" s="12" t="s">
        <v>94</v>
      </c>
      <c r="P746" s="1">
        <v>1</v>
      </c>
      <c r="Q746" s="1"/>
      <c r="R746" s="1"/>
      <c r="S746" s="1"/>
      <c r="T746" s="1"/>
      <c r="U746" s="1"/>
      <c r="V746" s="1"/>
      <c r="W746" s="1">
        <v>91</v>
      </c>
      <c r="X746" s="1">
        <f t="shared" ref="X746:X774" si="76">W746</f>
        <v>91</v>
      </c>
      <c r="Y746" s="1"/>
      <c r="Z746" s="1"/>
      <c r="AA746" s="1"/>
      <c r="AB746" s="11"/>
      <c r="AC746" s="82"/>
      <c r="AD746" s="12" t="s">
        <v>52</v>
      </c>
      <c r="AE746" s="12" t="s">
        <v>94</v>
      </c>
      <c r="AG746" s="23"/>
      <c r="AH746" s="23"/>
      <c r="AN746" s="12"/>
      <c r="AU746" s="12" t="s">
        <v>1932</v>
      </c>
      <c r="AV746" s="13" t="s">
        <v>33</v>
      </c>
      <c r="AW746" s="39">
        <v>1</v>
      </c>
      <c r="AY746" s="32"/>
      <c r="AZ746" s="32"/>
      <c r="BA746" s="32"/>
    </row>
    <row r="747" spans="1:53" ht="12" customHeight="1" x14ac:dyDescent="0.2">
      <c r="A747" s="13" t="s">
        <v>130</v>
      </c>
      <c r="B747" s="39">
        <v>53002</v>
      </c>
      <c r="C747" s="42" t="s">
        <v>3518</v>
      </c>
      <c r="D747" s="10" t="s">
        <v>79</v>
      </c>
      <c r="E747" s="10" t="s">
        <v>0</v>
      </c>
      <c r="F747" s="1" t="s">
        <v>90</v>
      </c>
      <c r="G747" s="1" t="s">
        <v>1308</v>
      </c>
      <c r="H747" s="1"/>
      <c r="I747" s="1"/>
      <c r="J747" s="1"/>
      <c r="K747" s="1"/>
      <c r="L747" s="1"/>
      <c r="M747" s="1"/>
      <c r="O747" s="12" t="s">
        <v>94</v>
      </c>
      <c r="P747" s="1">
        <v>1</v>
      </c>
      <c r="Q747" s="1"/>
      <c r="R747" s="1"/>
      <c r="S747" s="1"/>
      <c r="T747" s="1"/>
      <c r="U747" s="1"/>
      <c r="V747" s="1"/>
      <c r="W747" s="1">
        <v>130</v>
      </c>
      <c r="X747" s="1">
        <f t="shared" si="76"/>
        <v>130</v>
      </c>
      <c r="Y747" s="1"/>
      <c r="Z747" s="1"/>
      <c r="AA747" s="1"/>
      <c r="AB747" s="11"/>
      <c r="AC747" s="82"/>
      <c r="AD747" s="12" t="s">
        <v>52</v>
      </c>
      <c r="AE747" s="39" t="str">
        <f t="shared" ref="AE747:AE749" si="77">BA747</f>
        <v>1131</v>
      </c>
      <c r="AG747" s="23"/>
      <c r="AH747" s="23"/>
      <c r="AN747" s="12"/>
      <c r="AU747" s="12" t="s">
        <v>1933</v>
      </c>
      <c r="AV747" s="13" t="s">
        <v>34</v>
      </c>
      <c r="AW747" s="39">
        <v>2</v>
      </c>
      <c r="AX747" s="12">
        <f>VLOOKUP(AW747,색인!$N$14:$O$19,2,FALSE)</f>
        <v>1</v>
      </c>
      <c r="AY747" s="39" t="str">
        <f>"T"&amp;O747&amp;"_"&amp;AX747&amp;"옵션_"&amp;VLOOKUP(E747,색인!$J$25:$K$29,2,FALSE)</f>
        <v>T1_1옵션_장신구</v>
      </c>
      <c r="AZ747" s="39">
        <f>VLOOKUP(G747,색인!$J$32:$K$45,2,FALSE)</f>
        <v>2</v>
      </c>
      <c r="BA747" s="39" t="str">
        <f>_xlfn.IFNA(VLOOKUP(AY747,표1[[검색용]:[OptionGroupIndex'[']22]],EquipItemTable!AZ747,FALSE),"옵션고정안함")</f>
        <v>1131</v>
      </c>
    </row>
    <row r="748" spans="1:53" ht="12" customHeight="1" x14ac:dyDescent="0.2">
      <c r="A748" s="13" t="s">
        <v>131</v>
      </c>
      <c r="B748" s="39">
        <v>53003</v>
      </c>
      <c r="C748" s="42" t="s">
        <v>3519</v>
      </c>
      <c r="D748" s="10" t="s">
        <v>79</v>
      </c>
      <c r="E748" s="10" t="s">
        <v>0</v>
      </c>
      <c r="F748" s="1" t="s">
        <v>90</v>
      </c>
      <c r="G748" s="1" t="s">
        <v>1308</v>
      </c>
      <c r="H748" s="1"/>
      <c r="I748" s="1"/>
      <c r="J748" s="1"/>
      <c r="K748" s="1"/>
      <c r="L748" s="1"/>
      <c r="M748" s="1"/>
      <c r="O748" s="12" t="s">
        <v>94</v>
      </c>
      <c r="P748" s="1">
        <v>1</v>
      </c>
      <c r="Q748" s="1"/>
      <c r="R748" s="1"/>
      <c r="S748" s="1"/>
      <c r="T748" s="1"/>
      <c r="U748" s="1"/>
      <c r="V748" s="1"/>
      <c r="W748" s="1">
        <v>171</v>
      </c>
      <c r="X748" s="1">
        <f t="shared" si="76"/>
        <v>171</v>
      </c>
      <c r="Y748" s="1"/>
      <c r="Z748" s="1"/>
      <c r="AA748" s="1"/>
      <c r="AB748" s="11"/>
      <c r="AC748" s="82"/>
      <c r="AD748" s="12" t="s">
        <v>52</v>
      </c>
      <c r="AE748" s="39" t="str">
        <f t="shared" si="77"/>
        <v>1231</v>
      </c>
      <c r="AG748" s="23"/>
      <c r="AH748" s="23"/>
      <c r="AN748" s="12"/>
      <c r="AR748" s="34" t="s">
        <v>94</v>
      </c>
      <c r="AS748" s="34" t="s">
        <v>94</v>
      </c>
      <c r="AU748" s="12" t="s">
        <v>1934</v>
      </c>
      <c r="AV748" s="13" t="s">
        <v>35</v>
      </c>
      <c r="AW748" s="39">
        <v>3</v>
      </c>
      <c r="AX748" s="12">
        <f>VLOOKUP(AW748,색인!$N$14:$O$19,2,FALSE)</f>
        <v>2</v>
      </c>
      <c r="AY748" s="39" t="str">
        <f>"T"&amp;O748&amp;"_"&amp;AX748&amp;"옵션_"&amp;VLOOKUP(E748,색인!$J$25:$K$29,2,FALSE)</f>
        <v>T1_2옵션_장신구</v>
      </c>
      <c r="AZ748" s="39">
        <f>VLOOKUP(G748,색인!$J$32:$K$45,2,FALSE)</f>
        <v>2</v>
      </c>
      <c r="BA748" s="39" t="str">
        <f>_xlfn.IFNA(VLOOKUP(AY748,표1[[검색용]:[OptionGroupIndex'[']22]],EquipItemTable!AZ748,FALSE),"옵션고정안함")</f>
        <v>1231</v>
      </c>
    </row>
    <row r="749" spans="1:53" ht="12" customHeight="1" x14ac:dyDescent="0.2">
      <c r="A749" s="13" t="s">
        <v>450</v>
      </c>
      <c r="B749" s="39">
        <v>53004</v>
      </c>
      <c r="C749" s="42" t="s">
        <v>3520</v>
      </c>
      <c r="D749" s="10" t="s">
        <v>79</v>
      </c>
      <c r="E749" s="10" t="s">
        <v>0</v>
      </c>
      <c r="F749" s="1" t="s">
        <v>456</v>
      </c>
      <c r="G749" s="1" t="s">
        <v>1308</v>
      </c>
      <c r="H749" s="1"/>
      <c r="I749" s="1"/>
      <c r="J749" s="1"/>
      <c r="K749" s="1"/>
      <c r="L749" s="1"/>
      <c r="M749" s="1"/>
      <c r="O749" s="12" t="s">
        <v>428</v>
      </c>
      <c r="P749" s="1">
        <v>1</v>
      </c>
      <c r="Q749" s="1"/>
      <c r="R749" s="1"/>
      <c r="S749" s="1"/>
      <c r="T749" s="1"/>
      <c r="U749" s="1"/>
      <c r="V749" s="1"/>
      <c r="W749" s="1">
        <v>220</v>
      </c>
      <c r="X749" s="1">
        <f t="shared" si="76"/>
        <v>220</v>
      </c>
      <c r="Y749" s="1"/>
      <c r="Z749" s="1"/>
      <c r="AA749" s="1"/>
      <c r="AB749" s="11"/>
      <c r="AC749" s="82"/>
      <c r="AE749" s="39" t="str">
        <f t="shared" si="77"/>
        <v>1331</v>
      </c>
      <c r="AG749" s="23"/>
      <c r="AH749" s="23"/>
      <c r="AN749" s="12"/>
      <c r="AR749" s="34" t="s">
        <v>543</v>
      </c>
      <c r="AS749" s="34" t="s">
        <v>543</v>
      </c>
      <c r="AU749" s="12" t="s">
        <v>1935</v>
      </c>
      <c r="AV749" s="13"/>
      <c r="AW749" s="39">
        <v>4</v>
      </c>
      <c r="AX749" s="12">
        <f>VLOOKUP(AW749,색인!$N$14:$O$19,2,FALSE)</f>
        <v>3</v>
      </c>
      <c r="AY749" s="39" t="str">
        <f>"T"&amp;O749&amp;"_"&amp;AX749&amp;"옵션_"&amp;VLOOKUP(E749,색인!$J$25:$K$29,2,FALSE)</f>
        <v>T1_3옵션_장신구</v>
      </c>
      <c r="AZ749" s="39">
        <f>VLOOKUP(G749,색인!$J$32:$K$45,2,FALSE)</f>
        <v>2</v>
      </c>
      <c r="BA749" s="39" t="str">
        <f>_xlfn.IFNA(VLOOKUP(AY749,표1[[검색용]:[OptionGroupIndex'[']22]],EquipItemTable!AZ749,FALSE),"옵션고정안함")</f>
        <v>1331</v>
      </c>
    </row>
    <row r="750" spans="1:53" ht="12" customHeight="1" x14ac:dyDescent="0.2">
      <c r="A750" s="13" t="s">
        <v>132</v>
      </c>
      <c r="B750" s="39">
        <v>53005</v>
      </c>
      <c r="C750" s="42" t="s">
        <v>35</v>
      </c>
      <c r="D750" s="10" t="s">
        <v>79</v>
      </c>
      <c r="E750" s="10" t="s">
        <v>0</v>
      </c>
      <c r="F750" s="1" t="s">
        <v>90</v>
      </c>
      <c r="G750" s="1" t="s">
        <v>1308</v>
      </c>
      <c r="H750" s="1"/>
      <c r="I750" s="1"/>
      <c r="J750" s="1"/>
      <c r="K750" s="1"/>
      <c r="L750" s="1"/>
      <c r="M750" s="1"/>
      <c r="O750" s="12" t="s">
        <v>95</v>
      </c>
      <c r="P750" s="1">
        <v>21</v>
      </c>
      <c r="Q750" s="1"/>
      <c r="R750" s="1"/>
      <c r="S750" s="1"/>
      <c r="T750" s="1"/>
      <c r="U750" s="1"/>
      <c r="V750" s="1"/>
      <c r="W750" s="1">
        <v>252</v>
      </c>
      <c r="X750" s="1">
        <f t="shared" si="76"/>
        <v>252</v>
      </c>
      <c r="Y750" s="1"/>
      <c r="Z750" s="1"/>
      <c r="AA750" s="1"/>
      <c r="AB750" s="11"/>
      <c r="AC750" s="82"/>
      <c r="AD750" s="12" t="s">
        <v>52</v>
      </c>
      <c r="AE750" s="12" t="s">
        <v>550</v>
      </c>
      <c r="AG750" s="23"/>
      <c r="AH750" s="23"/>
      <c r="AN750" s="12"/>
      <c r="AU750" s="12" t="s">
        <v>1932</v>
      </c>
      <c r="AV750" s="13" t="s">
        <v>36</v>
      </c>
      <c r="AW750" s="39">
        <v>1</v>
      </c>
      <c r="AY750" s="32"/>
      <c r="AZ750" s="32"/>
      <c r="BA750" s="32"/>
    </row>
    <row r="751" spans="1:53" ht="12" customHeight="1" x14ac:dyDescent="0.2">
      <c r="A751" s="13" t="s">
        <v>133</v>
      </c>
      <c r="B751" s="39">
        <v>53006</v>
      </c>
      <c r="C751" s="42" t="s">
        <v>3521</v>
      </c>
      <c r="D751" s="10" t="s">
        <v>79</v>
      </c>
      <c r="E751" s="10" t="s">
        <v>0</v>
      </c>
      <c r="F751" s="1" t="s">
        <v>90</v>
      </c>
      <c r="G751" s="1" t="s">
        <v>1308</v>
      </c>
      <c r="H751" s="1"/>
      <c r="I751" s="1"/>
      <c r="J751" s="1"/>
      <c r="K751" s="1"/>
      <c r="L751" s="1"/>
      <c r="M751" s="1"/>
      <c r="O751" s="12" t="s">
        <v>95</v>
      </c>
      <c r="P751" s="1">
        <v>21</v>
      </c>
      <c r="Q751" s="1"/>
      <c r="R751" s="1"/>
      <c r="S751" s="1"/>
      <c r="T751" s="1"/>
      <c r="U751" s="1"/>
      <c r="V751" s="1"/>
      <c r="W751" s="1">
        <v>330</v>
      </c>
      <c r="X751" s="1">
        <f t="shared" si="76"/>
        <v>330</v>
      </c>
      <c r="Y751" s="1"/>
      <c r="Z751" s="1"/>
      <c r="AA751" s="1"/>
      <c r="AB751" s="11"/>
      <c r="AC751" s="82"/>
      <c r="AD751" s="12" t="s">
        <v>52</v>
      </c>
      <c r="AE751" s="39" t="str">
        <f t="shared" ref="AE751:AE753" si="78">BA751</f>
        <v>2131</v>
      </c>
      <c r="AG751" s="23"/>
      <c r="AH751" s="23"/>
      <c r="AN751" s="12"/>
      <c r="AU751" s="12" t="s">
        <v>1933</v>
      </c>
      <c r="AV751" s="13" t="s">
        <v>37</v>
      </c>
      <c r="AW751" s="39">
        <v>2</v>
      </c>
      <c r="AX751" s="12">
        <f>VLOOKUP(AW751,색인!$N$14:$O$19,2,FALSE)</f>
        <v>1</v>
      </c>
      <c r="AY751" s="39" t="str">
        <f>"T"&amp;O751&amp;"_"&amp;AX751&amp;"옵션_"&amp;VLOOKUP(E751,색인!$J$25:$K$29,2,FALSE)</f>
        <v>T2_1옵션_장신구</v>
      </c>
      <c r="AZ751" s="39">
        <f>VLOOKUP(G751,색인!$J$32:$K$45,2,FALSE)</f>
        <v>2</v>
      </c>
      <c r="BA751" s="39" t="str">
        <f>_xlfn.IFNA(VLOOKUP(AY751,표1[[검색용]:[OptionGroupIndex'[']22]],EquipItemTable!AZ751,FALSE),"옵션고정안함")</f>
        <v>2131</v>
      </c>
    </row>
    <row r="752" spans="1:53" ht="12" customHeight="1" x14ac:dyDescent="0.2">
      <c r="A752" s="13" t="s">
        <v>134</v>
      </c>
      <c r="B752" s="39">
        <v>53007</v>
      </c>
      <c r="C752" s="42" t="s">
        <v>3522</v>
      </c>
      <c r="D752" s="10" t="s">
        <v>79</v>
      </c>
      <c r="E752" s="10" t="s">
        <v>0</v>
      </c>
      <c r="F752" s="1" t="s">
        <v>90</v>
      </c>
      <c r="G752" s="1" t="s">
        <v>1308</v>
      </c>
      <c r="H752" s="1"/>
      <c r="I752" s="1"/>
      <c r="J752" s="1"/>
      <c r="K752" s="1"/>
      <c r="L752" s="1"/>
      <c r="M752" s="1"/>
      <c r="O752" s="12" t="s">
        <v>95</v>
      </c>
      <c r="P752" s="1">
        <v>21</v>
      </c>
      <c r="Q752" s="1"/>
      <c r="R752" s="1"/>
      <c r="S752" s="1"/>
      <c r="T752" s="1"/>
      <c r="U752" s="1"/>
      <c r="V752" s="1"/>
      <c r="W752" s="1">
        <v>408</v>
      </c>
      <c r="X752" s="1">
        <f t="shared" si="76"/>
        <v>408</v>
      </c>
      <c r="Y752" s="1"/>
      <c r="Z752" s="1"/>
      <c r="AA752" s="1"/>
      <c r="AB752" s="11"/>
      <c r="AC752" s="82"/>
      <c r="AD752" s="12" t="s">
        <v>52</v>
      </c>
      <c r="AE752" s="39" t="str">
        <f t="shared" si="78"/>
        <v>2231</v>
      </c>
      <c r="AG752" s="23"/>
      <c r="AH752" s="23"/>
      <c r="AN752" s="12"/>
      <c r="AR752" s="34" t="s">
        <v>94</v>
      </c>
      <c r="AS752" s="34" t="s">
        <v>94</v>
      </c>
      <c r="AU752" s="12" t="s">
        <v>1934</v>
      </c>
      <c r="AV752" s="13" t="s">
        <v>38</v>
      </c>
      <c r="AW752" s="39">
        <v>3</v>
      </c>
      <c r="AX752" s="12">
        <f>VLOOKUP(AW752,색인!$N$14:$O$19,2,FALSE)</f>
        <v>2</v>
      </c>
      <c r="AY752" s="39" t="str">
        <f>"T"&amp;O752&amp;"_"&amp;AX752&amp;"옵션_"&amp;VLOOKUP(E752,색인!$J$25:$K$29,2,FALSE)</f>
        <v>T2_2옵션_장신구</v>
      </c>
      <c r="AZ752" s="39">
        <f>VLOOKUP(G752,색인!$J$32:$K$45,2,FALSE)</f>
        <v>2</v>
      </c>
      <c r="BA752" s="39" t="str">
        <f>_xlfn.IFNA(VLOOKUP(AY752,표1[[검색용]:[OptionGroupIndex'[']22]],EquipItemTable!AZ752,FALSE),"옵션고정안함")</f>
        <v>2231</v>
      </c>
    </row>
    <row r="753" spans="1:53" ht="12" customHeight="1" x14ac:dyDescent="0.2">
      <c r="A753" s="13" t="s">
        <v>451</v>
      </c>
      <c r="B753" s="39">
        <v>53008</v>
      </c>
      <c r="C753" s="42" t="s">
        <v>3523</v>
      </c>
      <c r="D753" s="10" t="s">
        <v>79</v>
      </c>
      <c r="E753" s="10" t="s">
        <v>0</v>
      </c>
      <c r="F753" s="1" t="s">
        <v>456</v>
      </c>
      <c r="G753" s="1" t="s">
        <v>1308</v>
      </c>
      <c r="H753" s="1"/>
      <c r="I753" s="1"/>
      <c r="J753" s="1"/>
      <c r="K753" s="1"/>
      <c r="L753" s="1"/>
      <c r="M753" s="1"/>
      <c r="O753" s="12" t="s">
        <v>429</v>
      </c>
      <c r="P753" s="1">
        <v>21</v>
      </c>
      <c r="Q753" s="1"/>
      <c r="R753" s="1"/>
      <c r="S753" s="1"/>
      <c r="T753" s="1"/>
      <c r="U753" s="1"/>
      <c r="V753" s="1"/>
      <c r="W753" s="1">
        <v>497</v>
      </c>
      <c r="X753" s="1">
        <f t="shared" si="76"/>
        <v>497</v>
      </c>
      <c r="Y753" s="1"/>
      <c r="Z753" s="1"/>
      <c r="AA753" s="1"/>
      <c r="AB753" s="11"/>
      <c r="AC753" s="82"/>
      <c r="AE753" s="39" t="str">
        <f t="shared" si="78"/>
        <v>2331</v>
      </c>
      <c r="AG753" s="23"/>
      <c r="AH753" s="23"/>
      <c r="AN753" s="12"/>
      <c r="AR753" s="34" t="s">
        <v>543</v>
      </c>
      <c r="AS753" s="34" t="s">
        <v>543</v>
      </c>
      <c r="AU753" s="12" t="s">
        <v>1935</v>
      </c>
      <c r="AV753" s="13"/>
      <c r="AW753" s="39">
        <v>4</v>
      </c>
      <c r="AX753" s="12">
        <f>VLOOKUP(AW753,색인!$N$14:$O$19,2,FALSE)</f>
        <v>3</v>
      </c>
      <c r="AY753" s="39" t="str">
        <f>"T"&amp;O753&amp;"_"&amp;AX753&amp;"옵션_"&amp;VLOOKUP(E753,색인!$J$25:$K$29,2,FALSE)</f>
        <v>T2_3옵션_장신구</v>
      </c>
      <c r="AZ753" s="39">
        <f>VLOOKUP(G753,색인!$J$32:$K$45,2,FALSE)</f>
        <v>2</v>
      </c>
      <c r="BA753" s="39" t="str">
        <f>_xlfn.IFNA(VLOOKUP(AY753,표1[[검색용]:[OptionGroupIndex'[']22]],EquipItemTable!AZ753,FALSE),"옵션고정안함")</f>
        <v>2331</v>
      </c>
    </row>
    <row r="754" spans="1:53" ht="12" customHeight="1" x14ac:dyDescent="0.2">
      <c r="A754" s="13" t="s">
        <v>135</v>
      </c>
      <c r="B754" s="39">
        <v>53009</v>
      </c>
      <c r="C754" s="42" t="s">
        <v>3524</v>
      </c>
      <c r="D754" s="10" t="s">
        <v>79</v>
      </c>
      <c r="E754" s="10" t="s">
        <v>0</v>
      </c>
      <c r="F754" s="1" t="s">
        <v>90</v>
      </c>
      <c r="G754" s="1" t="s">
        <v>1308</v>
      </c>
      <c r="H754" s="1"/>
      <c r="I754" s="1"/>
      <c r="J754" s="1"/>
      <c r="K754" s="1"/>
      <c r="L754" s="1"/>
      <c r="M754" s="1"/>
      <c r="N754" s="81"/>
      <c r="O754" s="12" t="s">
        <v>96</v>
      </c>
      <c r="P754" s="1">
        <v>31</v>
      </c>
      <c r="Q754" s="13"/>
      <c r="R754" s="13"/>
      <c r="S754" s="13"/>
      <c r="T754" s="13"/>
      <c r="U754" s="13"/>
      <c r="V754" s="1"/>
      <c r="W754" s="13">
        <v>570</v>
      </c>
      <c r="X754" s="1">
        <f t="shared" si="76"/>
        <v>570</v>
      </c>
      <c r="Y754" s="13"/>
      <c r="Z754" s="13"/>
      <c r="AA754" s="13"/>
      <c r="AB754" s="13"/>
      <c r="AC754" s="82"/>
      <c r="AD754" s="23" t="s">
        <v>52</v>
      </c>
      <c r="AE754" s="23">
        <v>3</v>
      </c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81"/>
      <c r="AR754" s="83"/>
      <c r="AS754" s="83"/>
      <c r="AT754" s="81"/>
      <c r="AU754" s="12" t="s">
        <v>1932</v>
      </c>
      <c r="AV754" s="13" t="s">
        <v>39</v>
      </c>
      <c r="AW754" s="39">
        <v>1</v>
      </c>
      <c r="AY754" s="32"/>
      <c r="AZ754" s="32"/>
      <c r="BA754" s="32"/>
    </row>
    <row r="755" spans="1:53" ht="12" customHeight="1" x14ac:dyDescent="0.2">
      <c r="A755" s="13" t="s">
        <v>136</v>
      </c>
      <c r="B755" s="39">
        <v>53010</v>
      </c>
      <c r="C755" s="42" t="s">
        <v>37</v>
      </c>
      <c r="D755" s="10" t="s">
        <v>79</v>
      </c>
      <c r="E755" s="10" t="s">
        <v>0</v>
      </c>
      <c r="F755" s="1" t="s">
        <v>90</v>
      </c>
      <c r="G755" s="1" t="s">
        <v>1308</v>
      </c>
      <c r="H755" s="1"/>
      <c r="I755" s="1"/>
      <c r="J755" s="1"/>
      <c r="K755" s="1"/>
      <c r="L755" s="1"/>
      <c r="M755" s="1"/>
      <c r="N755" s="81"/>
      <c r="O755" s="12" t="s">
        <v>96</v>
      </c>
      <c r="P755" s="1">
        <v>31</v>
      </c>
      <c r="Q755" s="13"/>
      <c r="R755" s="13"/>
      <c r="S755" s="13"/>
      <c r="T755" s="13"/>
      <c r="U755" s="13"/>
      <c r="V755" s="1"/>
      <c r="W755" s="13">
        <v>721</v>
      </c>
      <c r="X755" s="1">
        <f t="shared" si="76"/>
        <v>721</v>
      </c>
      <c r="Y755" s="13"/>
      <c r="Z755" s="13"/>
      <c r="AA755" s="13"/>
      <c r="AB755" s="13"/>
      <c r="AC755" s="82"/>
      <c r="AD755" s="23" t="s">
        <v>52</v>
      </c>
      <c r="AE755" s="90" t="str">
        <f t="shared" ref="AE755:AE757" si="79">BA755</f>
        <v>3131</v>
      </c>
      <c r="AF755" s="23"/>
      <c r="AI755" s="23"/>
      <c r="AJ755" s="23"/>
      <c r="AK755" s="23"/>
      <c r="AL755" s="23"/>
      <c r="AM755" s="23"/>
      <c r="AN755" s="23"/>
      <c r="AO755" s="23"/>
      <c r="AP755" s="23"/>
      <c r="AQ755" s="81"/>
      <c r="AR755" s="83"/>
      <c r="AS755" s="83"/>
      <c r="AT755" s="81"/>
      <c r="AU755" s="12" t="s">
        <v>1933</v>
      </c>
      <c r="AV755" s="13" t="s">
        <v>40</v>
      </c>
      <c r="AW755" s="39">
        <v>2</v>
      </c>
      <c r="AX755" s="12">
        <f>VLOOKUP(AW755,색인!$N$14:$O$19,2,FALSE)</f>
        <v>1</v>
      </c>
      <c r="AY755" s="39" t="str">
        <f>"T"&amp;O755&amp;"_"&amp;AX755&amp;"옵션_"&amp;VLOOKUP(E755,색인!$J$25:$K$29,2,FALSE)</f>
        <v>T3_1옵션_장신구</v>
      </c>
      <c r="AZ755" s="39">
        <f>VLOOKUP(G755,색인!$J$32:$K$45,2,FALSE)</f>
        <v>2</v>
      </c>
      <c r="BA755" s="39" t="str">
        <f>_xlfn.IFNA(VLOOKUP(AY755,표1[[검색용]:[OptionGroupIndex'[']22]],EquipItemTable!AZ755,FALSE),"옵션고정안함")</f>
        <v>3131</v>
      </c>
    </row>
    <row r="756" spans="1:53" ht="12" customHeight="1" x14ac:dyDescent="0.2">
      <c r="A756" s="13" t="s">
        <v>137</v>
      </c>
      <c r="B756" s="39">
        <v>53011</v>
      </c>
      <c r="C756" s="42" t="s">
        <v>3525</v>
      </c>
      <c r="D756" s="10" t="s">
        <v>79</v>
      </c>
      <c r="E756" s="10" t="s">
        <v>0</v>
      </c>
      <c r="F756" s="1" t="s">
        <v>90</v>
      </c>
      <c r="G756" s="1" t="s">
        <v>1308</v>
      </c>
      <c r="H756" s="1"/>
      <c r="I756" s="1"/>
      <c r="J756" s="1"/>
      <c r="K756" s="1"/>
      <c r="L756" s="1"/>
      <c r="M756" s="1"/>
      <c r="N756" s="81"/>
      <c r="O756" s="12" t="s">
        <v>96</v>
      </c>
      <c r="P756" s="1">
        <v>31</v>
      </c>
      <c r="Q756" s="13"/>
      <c r="R756" s="13"/>
      <c r="S756" s="13"/>
      <c r="T756" s="13"/>
      <c r="U756" s="13"/>
      <c r="V756" s="1"/>
      <c r="W756" s="13">
        <v>863</v>
      </c>
      <c r="X756" s="1">
        <f t="shared" si="76"/>
        <v>863</v>
      </c>
      <c r="Y756" s="13"/>
      <c r="Z756" s="13"/>
      <c r="AA756" s="13"/>
      <c r="AB756" s="13"/>
      <c r="AC756" s="82"/>
      <c r="AD756" s="23" t="s">
        <v>52</v>
      </c>
      <c r="AE756" s="90" t="str">
        <f t="shared" si="79"/>
        <v>3231</v>
      </c>
      <c r="AF756" s="23"/>
      <c r="AI756" s="23"/>
      <c r="AJ756" s="23"/>
      <c r="AK756" s="23"/>
      <c r="AL756" s="23"/>
      <c r="AM756" s="23"/>
      <c r="AN756" s="23"/>
      <c r="AO756" s="23"/>
      <c r="AP756" s="23"/>
      <c r="AQ756" s="81"/>
      <c r="AR756" s="83">
        <v>1</v>
      </c>
      <c r="AS756" s="83">
        <v>1</v>
      </c>
      <c r="AT756" s="81"/>
      <c r="AU756" s="12" t="s">
        <v>1934</v>
      </c>
      <c r="AV756" s="13" t="s">
        <v>41</v>
      </c>
      <c r="AW756" s="39">
        <v>3</v>
      </c>
      <c r="AX756" s="12">
        <f>VLOOKUP(AW756,색인!$N$14:$O$19,2,FALSE)</f>
        <v>2</v>
      </c>
      <c r="AY756" s="39" t="str">
        <f>"T"&amp;O756&amp;"_"&amp;AX756&amp;"옵션_"&amp;VLOOKUP(E756,색인!$J$25:$K$29,2,FALSE)</f>
        <v>T3_2옵션_장신구</v>
      </c>
      <c r="AZ756" s="39">
        <f>VLOOKUP(G756,색인!$J$32:$K$45,2,FALSE)</f>
        <v>2</v>
      </c>
      <c r="BA756" s="39" t="str">
        <f>_xlfn.IFNA(VLOOKUP(AY756,표1[[검색용]:[OptionGroupIndex'[']22]],EquipItemTable!AZ756,FALSE),"옵션고정안함")</f>
        <v>3231</v>
      </c>
    </row>
    <row r="757" spans="1:53" ht="12" customHeight="1" x14ac:dyDescent="0.2">
      <c r="A757" s="13" t="s">
        <v>138</v>
      </c>
      <c r="B757" s="39">
        <v>53012</v>
      </c>
      <c r="C757" s="42" t="s">
        <v>41</v>
      </c>
      <c r="D757" s="10" t="s">
        <v>79</v>
      </c>
      <c r="E757" s="10" t="s">
        <v>0</v>
      </c>
      <c r="F757" s="1" t="s">
        <v>90</v>
      </c>
      <c r="G757" s="1" t="s">
        <v>1308</v>
      </c>
      <c r="H757" s="1"/>
      <c r="I757" s="1"/>
      <c r="J757" s="1"/>
      <c r="K757" s="1"/>
      <c r="L757" s="1"/>
      <c r="M757" s="1"/>
      <c r="N757" s="81"/>
      <c r="O757" s="12" t="s">
        <v>96</v>
      </c>
      <c r="P757" s="1">
        <v>31</v>
      </c>
      <c r="Q757" s="13"/>
      <c r="R757" s="13"/>
      <c r="S757" s="13"/>
      <c r="T757" s="13"/>
      <c r="U757" s="13"/>
      <c r="V757" s="1"/>
      <c r="W757" s="13">
        <v>1026</v>
      </c>
      <c r="X757" s="1">
        <f t="shared" si="76"/>
        <v>1026</v>
      </c>
      <c r="Y757" s="13"/>
      <c r="Z757" s="13"/>
      <c r="AA757" s="13"/>
      <c r="AB757" s="13"/>
      <c r="AC757" s="82"/>
      <c r="AD757" s="23" t="s">
        <v>52</v>
      </c>
      <c r="AE757" s="90" t="str">
        <f t="shared" si="79"/>
        <v>3331</v>
      </c>
      <c r="AF757" s="23"/>
      <c r="AI757" s="23"/>
      <c r="AJ757" s="23"/>
      <c r="AK757" s="23"/>
      <c r="AL757" s="23"/>
      <c r="AM757" s="23"/>
      <c r="AN757" s="23"/>
      <c r="AO757" s="23"/>
      <c r="AP757" s="23"/>
      <c r="AQ757" s="81"/>
      <c r="AR757" s="83">
        <v>1</v>
      </c>
      <c r="AS757" s="83">
        <v>1</v>
      </c>
      <c r="AT757" s="81"/>
      <c r="AU757" s="12" t="s">
        <v>1935</v>
      </c>
      <c r="AV757" s="13"/>
      <c r="AW757" s="39">
        <v>4</v>
      </c>
      <c r="AX757" s="12">
        <f>VLOOKUP(AW757,색인!$N$14:$O$19,2,FALSE)</f>
        <v>3</v>
      </c>
      <c r="AY757" s="39" t="str">
        <f>"T"&amp;O757&amp;"_"&amp;AX757&amp;"옵션_"&amp;VLOOKUP(E757,색인!$J$25:$K$29,2,FALSE)</f>
        <v>T3_3옵션_장신구</v>
      </c>
      <c r="AZ757" s="39">
        <f>VLOOKUP(G757,색인!$J$32:$K$45,2,FALSE)</f>
        <v>2</v>
      </c>
      <c r="BA757" s="39" t="str">
        <f>_xlfn.IFNA(VLOOKUP(AY757,표1[[검색용]:[OptionGroupIndex'[']22]],EquipItemTable!AZ757,FALSE),"옵션고정안함")</f>
        <v>3331</v>
      </c>
    </row>
    <row r="758" spans="1:53" ht="14.1" customHeight="1" x14ac:dyDescent="0.2">
      <c r="A758" s="13" t="s">
        <v>565</v>
      </c>
      <c r="B758" s="39">
        <v>53031</v>
      </c>
      <c r="C758" s="42" t="s">
        <v>3526</v>
      </c>
      <c r="D758" s="10" t="s">
        <v>79</v>
      </c>
      <c r="E758" s="10" t="s">
        <v>0</v>
      </c>
      <c r="F758" s="1" t="s">
        <v>90</v>
      </c>
      <c r="G758" s="1" t="s">
        <v>1308</v>
      </c>
      <c r="H758" s="1"/>
      <c r="I758" s="1"/>
      <c r="J758" s="1"/>
      <c r="K758" s="1"/>
      <c r="L758" s="1"/>
      <c r="M758" s="1"/>
      <c r="N758" s="81"/>
      <c r="O758" s="12" t="s">
        <v>96</v>
      </c>
      <c r="P758" s="1">
        <v>31</v>
      </c>
      <c r="Q758" s="13"/>
      <c r="R758" s="13"/>
      <c r="S758" s="13"/>
      <c r="T758" s="13"/>
      <c r="U758" s="13"/>
      <c r="V758" s="1"/>
      <c r="W758" s="13">
        <v>1211</v>
      </c>
      <c r="X758" s="1">
        <f t="shared" si="76"/>
        <v>1211</v>
      </c>
      <c r="Y758" s="13"/>
      <c r="Z758" s="13"/>
      <c r="AA758" s="13"/>
      <c r="AB758" s="13"/>
      <c r="AC758" s="82"/>
      <c r="AD758" s="23" t="s">
        <v>52</v>
      </c>
      <c r="AE758" s="23">
        <v>3</v>
      </c>
      <c r="AF758" s="23"/>
      <c r="AI758" s="23"/>
      <c r="AJ758" s="23"/>
      <c r="AK758" s="23"/>
      <c r="AL758" s="23"/>
      <c r="AM758" s="23"/>
      <c r="AN758" s="23">
        <v>1</v>
      </c>
      <c r="AO758" s="23"/>
      <c r="AP758" s="23"/>
      <c r="AQ758" s="81"/>
      <c r="AR758" s="83">
        <v>1</v>
      </c>
      <c r="AS758" s="83">
        <v>1</v>
      </c>
      <c r="AT758" s="81"/>
      <c r="AU758" s="12" t="s">
        <v>1936</v>
      </c>
      <c r="AV758" s="13"/>
      <c r="AW758" s="39">
        <v>6</v>
      </c>
      <c r="AX758" s="12">
        <f>VLOOKUP(AW758,색인!$N$14:$O$19,2,FALSE)</f>
        <v>4</v>
      </c>
      <c r="AY758" s="32" t="str">
        <f>"T"&amp;O758&amp;"_"&amp;AX758&amp;"옵션_"&amp;VLOOKUP(E758,색인!$J$25:$K$29,2,FALSE)</f>
        <v>T3_4옵션_장신구</v>
      </c>
      <c r="AZ758" s="32">
        <f>VLOOKUP(G758,색인!$J$32:$K$45,2,FALSE)</f>
        <v>2</v>
      </c>
      <c r="BA758" s="32" t="str">
        <f>_xlfn.IFNA(VLOOKUP(AY758,표1[[검색용]:[OptionGroupIndex'[']22]],EquipItemTable!AZ758,FALSE),"옵션고정안함")</f>
        <v>옵션고정안함</v>
      </c>
    </row>
    <row r="759" spans="1:53" ht="14.1" customHeight="1" x14ac:dyDescent="0.2">
      <c r="A759" s="13" t="s">
        <v>1006</v>
      </c>
      <c r="B759" s="39">
        <v>53029</v>
      </c>
      <c r="C759" s="42" t="s">
        <v>3527</v>
      </c>
      <c r="D759" s="10" t="s">
        <v>79</v>
      </c>
      <c r="E759" s="10" t="s">
        <v>0</v>
      </c>
      <c r="F759" s="1" t="s">
        <v>90</v>
      </c>
      <c r="G759" s="1" t="s">
        <v>1308</v>
      </c>
      <c r="H759" s="1"/>
      <c r="I759" s="1"/>
      <c r="J759" s="1"/>
      <c r="K759" s="1"/>
      <c r="L759" s="1"/>
      <c r="M759" s="1"/>
      <c r="N759" s="81"/>
      <c r="O759" s="12" t="s">
        <v>96</v>
      </c>
      <c r="P759" s="1">
        <v>31</v>
      </c>
      <c r="Q759" s="13"/>
      <c r="R759" s="13"/>
      <c r="S759" s="13"/>
      <c r="T759" s="13"/>
      <c r="U759" s="13"/>
      <c r="V759" s="1"/>
      <c r="W759" s="13">
        <v>1211</v>
      </c>
      <c r="X759" s="1">
        <f t="shared" ref="X759:X761" si="80">W759</f>
        <v>1211</v>
      </c>
      <c r="Y759" s="13"/>
      <c r="Z759" s="13"/>
      <c r="AA759" s="13"/>
      <c r="AB759" s="13"/>
      <c r="AC759" s="82"/>
      <c r="AD759" s="23" t="s">
        <v>52</v>
      </c>
      <c r="AE759" s="23">
        <v>3</v>
      </c>
      <c r="AF759" s="23"/>
      <c r="AI759" s="23"/>
      <c r="AJ759" s="23"/>
      <c r="AK759" s="23"/>
      <c r="AL759" s="23"/>
      <c r="AM759" s="23"/>
      <c r="AN759" s="23">
        <v>2</v>
      </c>
      <c r="AO759" s="23"/>
      <c r="AP759" s="23"/>
      <c r="AQ759" s="81"/>
      <c r="AR759" s="83">
        <v>1</v>
      </c>
      <c r="AS759" s="83">
        <v>1</v>
      </c>
      <c r="AT759" s="81"/>
      <c r="AU759" s="12" t="s">
        <v>1936</v>
      </c>
      <c r="AV759" s="13"/>
      <c r="AW759" s="39">
        <v>6</v>
      </c>
      <c r="AX759" s="12">
        <f>VLOOKUP(AW759,색인!$N$14:$O$19,2,FALSE)</f>
        <v>4</v>
      </c>
      <c r="AY759" s="32" t="str">
        <f>"T"&amp;O759&amp;"_"&amp;AX759&amp;"옵션_"&amp;VLOOKUP(E759,색인!$J$25:$K$29,2,FALSE)</f>
        <v>T3_4옵션_장신구</v>
      </c>
      <c r="AZ759" s="32">
        <f>VLOOKUP(G759,색인!$J$32:$K$45,2,FALSE)</f>
        <v>2</v>
      </c>
      <c r="BA759" s="32" t="str">
        <f>_xlfn.IFNA(VLOOKUP(AY759,표1[[검색용]:[OptionGroupIndex'[']22]],EquipItemTable!AZ759,FALSE),"옵션고정안함")</f>
        <v>옵션고정안함</v>
      </c>
    </row>
    <row r="760" spans="1:53" ht="14.1" customHeight="1" x14ac:dyDescent="0.2">
      <c r="A760" s="13" t="s">
        <v>1007</v>
      </c>
      <c r="B760" s="39">
        <v>53030</v>
      </c>
      <c r="C760" s="42" t="s">
        <v>3528</v>
      </c>
      <c r="D760" s="10" t="s">
        <v>79</v>
      </c>
      <c r="E760" s="10" t="s">
        <v>0</v>
      </c>
      <c r="F760" s="1" t="s">
        <v>90</v>
      </c>
      <c r="G760" s="1" t="s">
        <v>1308</v>
      </c>
      <c r="H760" s="1"/>
      <c r="I760" s="1"/>
      <c r="J760" s="1"/>
      <c r="K760" s="1"/>
      <c r="L760" s="1"/>
      <c r="M760" s="1"/>
      <c r="N760" s="81"/>
      <c r="O760" s="12" t="s">
        <v>96</v>
      </c>
      <c r="P760" s="1">
        <v>31</v>
      </c>
      <c r="Q760" s="13"/>
      <c r="R760" s="13"/>
      <c r="S760" s="13"/>
      <c r="T760" s="13"/>
      <c r="U760" s="13"/>
      <c r="V760" s="1"/>
      <c r="W760" s="13">
        <v>1211</v>
      </c>
      <c r="X760" s="1">
        <f t="shared" si="80"/>
        <v>1211</v>
      </c>
      <c r="Y760" s="13"/>
      <c r="Z760" s="13"/>
      <c r="AA760" s="13"/>
      <c r="AB760" s="13"/>
      <c r="AC760" s="82"/>
      <c r="AD760" s="23" t="s">
        <v>52</v>
      </c>
      <c r="AE760" s="23">
        <v>3</v>
      </c>
      <c r="AF760" s="23"/>
      <c r="AI760" s="23"/>
      <c r="AJ760" s="23"/>
      <c r="AK760" s="23"/>
      <c r="AL760" s="23"/>
      <c r="AM760" s="23"/>
      <c r="AN760" s="23">
        <v>3</v>
      </c>
      <c r="AO760" s="23"/>
      <c r="AP760" s="23"/>
      <c r="AQ760" s="81"/>
      <c r="AR760" s="83">
        <v>1</v>
      </c>
      <c r="AS760" s="83">
        <v>1</v>
      </c>
      <c r="AT760" s="81"/>
      <c r="AU760" s="12" t="s">
        <v>1936</v>
      </c>
      <c r="AV760" s="13"/>
      <c r="AW760" s="39">
        <v>6</v>
      </c>
      <c r="AX760" s="12">
        <f>VLOOKUP(AW760,색인!$N$14:$O$19,2,FALSE)</f>
        <v>4</v>
      </c>
      <c r="AY760" s="32" t="str">
        <f>"T"&amp;O760&amp;"_"&amp;AX760&amp;"옵션_"&amp;VLOOKUP(E760,색인!$J$25:$K$29,2,FALSE)</f>
        <v>T3_4옵션_장신구</v>
      </c>
      <c r="AZ760" s="32">
        <f>VLOOKUP(G760,색인!$J$32:$K$45,2,FALSE)</f>
        <v>2</v>
      </c>
      <c r="BA760" s="32" t="str">
        <f>_xlfn.IFNA(VLOOKUP(AY760,표1[[검색용]:[OptionGroupIndex'[']22]],EquipItemTable!AZ760,FALSE),"옵션고정안함")</f>
        <v>옵션고정안함</v>
      </c>
    </row>
    <row r="761" spans="1:53" ht="14.1" customHeight="1" x14ac:dyDescent="0.2">
      <c r="A761" s="13" t="s">
        <v>1008</v>
      </c>
      <c r="B761" s="39">
        <v>53021</v>
      </c>
      <c r="C761" s="42" t="s">
        <v>3529</v>
      </c>
      <c r="D761" s="10" t="s">
        <v>79</v>
      </c>
      <c r="E761" s="10" t="s">
        <v>0</v>
      </c>
      <c r="F761" s="1" t="s">
        <v>90</v>
      </c>
      <c r="G761" s="1" t="s">
        <v>1308</v>
      </c>
      <c r="H761" s="1"/>
      <c r="I761" s="1"/>
      <c r="J761" s="1"/>
      <c r="K761" s="1"/>
      <c r="L761" s="1"/>
      <c r="M761" s="1"/>
      <c r="N761" s="81"/>
      <c r="O761" s="12" t="s">
        <v>96</v>
      </c>
      <c r="P761" s="1">
        <v>31</v>
      </c>
      <c r="Q761" s="13"/>
      <c r="R761" s="13"/>
      <c r="S761" s="13"/>
      <c r="T761" s="13"/>
      <c r="U761" s="13"/>
      <c r="V761" s="1"/>
      <c r="W761" s="13">
        <v>1211</v>
      </c>
      <c r="X761" s="1">
        <f t="shared" si="80"/>
        <v>1211</v>
      </c>
      <c r="Y761" s="13"/>
      <c r="Z761" s="13"/>
      <c r="AA761" s="13"/>
      <c r="AB761" s="13"/>
      <c r="AC761" s="82"/>
      <c r="AD761" s="23" t="s">
        <v>52</v>
      </c>
      <c r="AE761" s="23">
        <v>3</v>
      </c>
      <c r="AF761" s="23"/>
      <c r="AI761" s="23"/>
      <c r="AJ761" s="23"/>
      <c r="AK761" s="23"/>
      <c r="AL761" s="23"/>
      <c r="AM761" s="23"/>
      <c r="AN761" s="23">
        <v>4</v>
      </c>
      <c r="AO761" s="23"/>
      <c r="AP761" s="23"/>
      <c r="AQ761" s="81"/>
      <c r="AR761" s="83">
        <v>1</v>
      </c>
      <c r="AS761" s="83">
        <v>1</v>
      </c>
      <c r="AT761" s="81"/>
      <c r="AU761" s="12" t="s">
        <v>1936</v>
      </c>
      <c r="AV761" s="13"/>
      <c r="AW761" s="39">
        <v>6</v>
      </c>
      <c r="AX761" s="12">
        <f>VLOOKUP(AW761,색인!$N$14:$O$19,2,FALSE)</f>
        <v>4</v>
      </c>
      <c r="AY761" s="32" t="str">
        <f>"T"&amp;O761&amp;"_"&amp;AX761&amp;"옵션_"&amp;VLOOKUP(E761,색인!$J$25:$K$29,2,FALSE)</f>
        <v>T3_4옵션_장신구</v>
      </c>
      <c r="AZ761" s="32">
        <f>VLOOKUP(G761,색인!$J$32:$K$45,2,FALSE)</f>
        <v>2</v>
      </c>
      <c r="BA761" s="32" t="str">
        <f>_xlfn.IFNA(VLOOKUP(AY761,표1[[검색용]:[OptionGroupIndex'[']22]],EquipItemTable!AZ761,FALSE),"옵션고정안함")</f>
        <v>옵션고정안함</v>
      </c>
    </row>
    <row r="762" spans="1:53" ht="12" customHeight="1" x14ac:dyDescent="0.2">
      <c r="A762" s="13" t="s">
        <v>139</v>
      </c>
      <c r="B762" s="39">
        <v>53013</v>
      </c>
      <c r="C762" s="42" t="s">
        <v>40</v>
      </c>
      <c r="D762" s="10" t="s">
        <v>79</v>
      </c>
      <c r="E762" s="10" t="s">
        <v>0</v>
      </c>
      <c r="F762" s="1" t="s">
        <v>90</v>
      </c>
      <c r="G762" s="1" t="s">
        <v>1308</v>
      </c>
      <c r="H762" s="1"/>
      <c r="I762" s="1"/>
      <c r="J762" s="1"/>
      <c r="K762" s="1"/>
      <c r="L762" s="1"/>
      <c r="M762" s="1"/>
      <c r="N762" s="81"/>
      <c r="O762" s="12" t="s">
        <v>97</v>
      </c>
      <c r="P762" s="1">
        <v>41</v>
      </c>
      <c r="Q762" s="13"/>
      <c r="R762" s="13"/>
      <c r="S762" s="13"/>
      <c r="T762" s="13"/>
      <c r="U762" s="13"/>
      <c r="V762" s="1"/>
      <c r="W762" s="13">
        <v>1177</v>
      </c>
      <c r="X762" s="1">
        <f t="shared" si="76"/>
        <v>1177</v>
      </c>
      <c r="Y762" s="13"/>
      <c r="Z762" s="13"/>
      <c r="AA762" s="13"/>
      <c r="AB762" s="13"/>
      <c r="AC762" s="82"/>
      <c r="AD762" s="23" t="s">
        <v>52</v>
      </c>
      <c r="AE762" s="23">
        <v>4</v>
      </c>
      <c r="AF762" s="23"/>
      <c r="AI762" s="23"/>
      <c r="AJ762" s="23"/>
      <c r="AK762" s="23"/>
      <c r="AL762" s="23"/>
      <c r="AM762" s="23"/>
      <c r="AN762" s="23"/>
      <c r="AO762" s="23"/>
      <c r="AP762" s="23"/>
      <c r="AQ762" s="81"/>
      <c r="AR762" s="83"/>
      <c r="AS762" s="83"/>
      <c r="AT762" s="81"/>
      <c r="AU762" s="12" t="s">
        <v>1932</v>
      </c>
      <c r="AV762" s="13"/>
      <c r="AW762" s="39">
        <v>1</v>
      </c>
      <c r="AY762" s="32"/>
      <c r="AZ762" s="32"/>
      <c r="BA762" s="32"/>
    </row>
    <row r="763" spans="1:53" ht="12" customHeight="1" x14ac:dyDescent="0.2">
      <c r="A763" s="13" t="s">
        <v>140</v>
      </c>
      <c r="B763" s="39">
        <v>53014</v>
      </c>
      <c r="C763" s="42" t="s">
        <v>3530</v>
      </c>
      <c r="D763" s="10" t="s">
        <v>79</v>
      </c>
      <c r="E763" s="10" t="s">
        <v>0</v>
      </c>
      <c r="F763" s="1" t="s">
        <v>90</v>
      </c>
      <c r="G763" s="1" t="s">
        <v>1308</v>
      </c>
      <c r="H763" s="1"/>
      <c r="I763" s="1"/>
      <c r="J763" s="1"/>
      <c r="K763" s="1"/>
      <c r="L763" s="1"/>
      <c r="M763" s="1"/>
      <c r="N763" s="81"/>
      <c r="O763" s="12" t="s">
        <v>97</v>
      </c>
      <c r="P763" s="1">
        <v>41</v>
      </c>
      <c r="Q763" s="13"/>
      <c r="R763" s="13"/>
      <c r="S763" s="13"/>
      <c r="T763" s="13"/>
      <c r="U763" s="13"/>
      <c r="V763" s="1"/>
      <c r="W763" s="13">
        <v>1456</v>
      </c>
      <c r="X763" s="1">
        <f t="shared" si="76"/>
        <v>1456</v>
      </c>
      <c r="Y763" s="13"/>
      <c r="Z763" s="13"/>
      <c r="AA763" s="13"/>
      <c r="AB763" s="13"/>
      <c r="AC763" s="82"/>
      <c r="AD763" s="23" t="s">
        <v>52</v>
      </c>
      <c r="AE763" s="90" t="str">
        <f t="shared" ref="AE763:AE765" si="81">BA763</f>
        <v>4131</v>
      </c>
      <c r="AF763" s="23"/>
      <c r="AI763" s="23"/>
      <c r="AJ763" s="23"/>
      <c r="AK763" s="23"/>
      <c r="AL763" s="23"/>
      <c r="AM763" s="23"/>
      <c r="AN763" s="23"/>
      <c r="AO763" s="23"/>
      <c r="AP763" s="23"/>
      <c r="AQ763" s="81"/>
      <c r="AR763" s="83"/>
      <c r="AS763" s="83"/>
      <c r="AT763" s="81"/>
      <c r="AU763" s="12" t="s">
        <v>1933</v>
      </c>
      <c r="AV763" s="13"/>
      <c r="AW763" s="39">
        <v>2</v>
      </c>
      <c r="AX763" s="12">
        <f>VLOOKUP(AW763,색인!$N$14:$O$19,2,FALSE)</f>
        <v>1</v>
      </c>
      <c r="AY763" s="39" t="str">
        <f>"T"&amp;O763&amp;"_"&amp;AX763&amp;"옵션_"&amp;VLOOKUP(E763,색인!$J$25:$K$29,2,FALSE)</f>
        <v>T4_1옵션_장신구</v>
      </c>
      <c r="AZ763" s="39">
        <f>VLOOKUP(G763,색인!$J$32:$K$45,2,FALSE)</f>
        <v>2</v>
      </c>
      <c r="BA763" s="39" t="str">
        <f>_xlfn.IFNA(VLOOKUP(AY763,표1[[검색용]:[OptionGroupIndex'[']22]],EquipItemTable!AZ763,FALSE),"옵션고정안함")</f>
        <v>4131</v>
      </c>
    </row>
    <row r="764" spans="1:53" ht="12" customHeight="1" x14ac:dyDescent="0.2">
      <c r="A764" s="13" t="s">
        <v>141</v>
      </c>
      <c r="B764" s="39">
        <v>53015</v>
      </c>
      <c r="C764" s="42" t="s">
        <v>3531</v>
      </c>
      <c r="D764" s="10" t="s">
        <v>79</v>
      </c>
      <c r="E764" s="10" t="s">
        <v>0</v>
      </c>
      <c r="F764" s="1" t="s">
        <v>90</v>
      </c>
      <c r="G764" s="1" t="s">
        <v>1308</v>
      </c>
      <c r="H764" s="1"/>
      <c r="I764" s="1"/>
      <c r="J764" s="1"/>
      <c r="K764" s="1"/>
      <c r="L764" s="1"/>
      <c r="M764" s="1"/>
      <c r="N764" s="81"/>
      <c r="O764" s="12" t="s">
        <v>97</v>
      </c>
      <c r="P764" s="1">
        <v>41</v>
      </c>
      <c r="Q764" s="13"/>
      <c r="R764" s="13"/>
      <c r="S764" s="13"/>
      <c r="T764" s="13"/>
      <c r="U764" s="13"/>
      <c r="V764" s="1"/>
      <c r="W764" s="13">
        <v>1710</v>
      </c>
      <c r="X764" s="1">
        <f t="shared" si="76"/>
        <v>1710</v>
      </c>
      <c r="Y764" s="13"/>
      <c r="Z764" s="13"/>
      <c r="AA764" s="13"/>
      <c r="AB764" s="13"/>
      <c r="AC764" s="82"/>
      <c r="AD764" s="23" t="s">
        <v>52</v>
      </c>
      <c r="AE764" s="90" t="str">
        <f t="shared" si="81"/>
        <v>4231</v>
      </c>
      <c r="AF764" s="23"/>
      <c r="AI764" s="23"/>
      <c r="AJ764" s="23"/>
      <c r="AK764" s="23"/>
      <c r="AL764" s="23"/>
      <c r="AM764" s="23"/>
      <c r="AN764" s="23"/>
      <c r="AO764" s="23"/>
      <c r="AP764" s="23"/>
      <c r="AQ764" s="81"/>
      <c r="AR764" s="83">
        <v>1</v>
      </c>
      <c r="AS764" s="83">
        <v>1</v>
      </c>
      <c r="AT764" s="81"/>
      <c r="AU764" s="12" t="s">
        <v>1934</v>
      </c>
      <c r="AV764" s="13" t="s">
        <v>42</v>
      </c>
      <c r="AW764" s="39">
        <v>3</v>
      </c>
      <c r="AX764" s="12">
        <f>VLOOKUP(AW764,색인!$N$14:$O$19,2,FALSE)</f>
        <v>2</v>
      </c>
      <c r="AY764" s="39" t="str">
        <f>"T"&amp;O764&amp;"_"&amp;AX764&amp;"옵션_"&amp;VLOOKUP(E764,색인!$J$25:$K$29,2,FALSE)</f>
        <v>T4_2옵션_장신구</v>
      </c>
      <c r="AZ764" s="39">
        <f>VLOOKUP(G764,색인!$J$32:$K$45,2,FALSE)</f>
        <v>2</v>
      </c>
      <c r="BA764" s="39" t="str">
        <f>_xlfn.IFNA(VLOOKUP(AY764,표1[[검색용]:[OptionGroupIndex'[']22]],EquipItemTable!AZ764,FALSE),"옵션고정안함")</f>
        <v>4231</v>
      </c>
    </row>
    <row r="765" spans="1:53" ht="12" customHeight="1" x14ac:dyDescent="0.2">
      <c r="A765" s="13" t="s">
        <v>142</v>
      </c>
      <c r="B765" s="39">
        <v>53016</v>
      </c>
      <c r="C765" s="42" t="s">
        <v>3532</v>
      </c>
      <c r="D765" s="10" t="s">
        <v>79</v>
      </c>
      <c r="E765" s="10" t="s">
        <v>0</v>
      </c>
      <c r="F765" s="1" t="s">
        <v>90</v>
      </c>
      <c r="G765" s="1" t="s">
        <v>1308</v>
      </c>
      <c r="H765" s="1"/>
      <c r="I765" s="1"/>
      <c r="J765" s="1"/>
      <c r="K765" s="1"/>
      <c r="L765" s="1"/>
      <c r="M765" s="1"/>
      <c r="O765" s="12" t="s">
        <v>97</v>
      </c>
      <c r="P765" s="1">
        <v>41</v>
      </c>
      <c r="Q765" s="1"/>
      <c r="R765" s="1"/>
      <c r="S765" s="1"/>
      <c r="T765" s="1"/>
      <c r="U765" s="1"/>
      <c r="V765" s="1"/>
      <c r="W765" s="1">
        <v>2002</v>
      </c>
      <c r="X765" s="1">
        <f t="shared" si="76"/>
        <v>2002</v>
      </c>
      <c r="Y765" s="1"/>
      <c r="Z765" s="1"/>
      <c r="AA765" s="1"/>
      <c r="AB765" s="11"/>
      <c r="AC765" s="82"/>
      <c r="AD765" s="12" t="s">
        <v>52</v>
      </c>
      <c r="AE765" s="39" t="str">
        <f t="shared" si="81"/>
        <v>4331</v>
      </c>
      <c r="AN765" s="12"/>
      <c r="AR765" s="34" t="s">
        <v>94</v>
      </c>
      <c r="AS765" s="34" t="s">
        <v>94</v>
      </c>
      <c r="AU765" s="12" t="s">
        <v>1935</v>
      </c>
      <c r="AV765" s="13" t="s">
        <v>43</v>
      </c>
      <c r="AW765" s="39">
        <v>4</v>
      </c>
      <c r="AX765" s="12">
        <f>VLOOKUP(AW765,색인!$N$14:$O$19,2,FALSE)</f>
        <v>3</v>
      </c>
      <c r="AY765" s="39" t="str">
        <f>"T"&amp;O765&amp;"_"&amp;AX765&amp;"옵션_"&amp;VLOOKUP(E765,색인!$J$25:$K$29,2,FALSE)</f>
        <v>T4_3옵션_장신구</v>
      </c>
      <c r="AZ765" s="39">
        <f>VLOOKUP(G765,색인!$J$32:$K$45,2,FALSE)</f>
        <v>2</v>
      </c>
      <c r="BA765" s="39" t="str">
        <f>_xlfn.IFNA(VLOOKUP(AY765,표1[[검색용]:[OptionGroupIndex'[']22]],EquipItemTable!AZ765,FALSE),"옵션고정안함")</f>
        <v>4331</v>
      </c>
    </row>
    <row r="766" spans="1:53" ht="14.1" customHeight="1" x14ac:dyDescent="0.2">
      <c r="A766" s="13" t="s">
        <v>566</v>
      </c>
      <c r="B766" s="39">
        <v>53034</v>
      </c>
      <c r="C766" s="42" t="s">
        <v>3526</v>
      </c>
      <c r="D766" s="10" t="s">
        <v>79</v>
      </c>
      <c r="E766" s="10" t="s">
        <v>0</v>
      </c>
      <c r="F766" s="1" t="s">
        <v>90</v>
      </c>
      <c r="G766" s="1" t="s">
        <v>1308</v>
      </c>
      <c r="H766" s="1"/>
      <c r="I766" s="1"/>
      <c r="J766" s="1"/>
      <c r="K766" s="1"/>
      <c r="L766" s="1"/>
      <c r="M766" s="1"/>
      <c r="O766" s="12" t="s">
        <v>97</v>
      </c>
      <c r="P766" s="1">
        <v>41</v>
      </c>
      <c r="Q766" s="1"/>
      <c r="R766" s="1"/>
      <c r="S766" s="1"/>
      <c r="T766" s="1"/>
      <c r="U766" s="1"/>
      <c r="V766" s="1"/>
      <c r="W766" s="1">
        <v>2334</v>
      </c>
      <c r="X766" s="1">
        <f t="shared" si="76"/>
        <v>2334</v>
      </c>
      <c r="Y766" s="1"/>
      <c r="Z766" s="1"/>
      <c r="AA766" s="1"/>
      <c r="AB766" s="11"/>
      <c r="AC766" s="82"/>
      <c r="AD766" s="12" t="s">
        <v>52</v>
      </c>
      <c r="AE766" s="12" t="s">
        <v>551</v>
      </c>
      <c r="AN766" s="12" t="s">
        <v>554</v>
      </c>
      <c r="AR766" s="34" t="s">
        <v>94</v>
      </c>
      <c r="AS766" s="34" t="s">
        <v>94</v>
      </c>
      <c r="AU766" s="12" t="s">
        <v>1936</v>
      </c>
      <c r="AV766" s="13" t="s">
        <v>43</v>
      </c>
      <c r="AW766" s="39">
        <v>6</v>
      </c>
      <c r="AX766" s="12">
        <f>VLOOKUP(AW766,색인!$N$14:$O$19,2,FALSE)</f>
        <v>4</v>
      </c>
      <c r="AY766" s="32" t="str">
        <f>"T"&amp;O766&amp;"_"&amp;AX766&amp;"옵션_"&amp;VLOOKUP(E766,색인!$J$25:$K$29,2,FALSE)</f>
        <v>T4_4옵션_장신구</v>
      </c>
      <c r="AZ766" s="32">
        <f>VLOOKUP(G766,색인!$J$32:$K$45,2,FALSE)</f>
        <v>2</v>
      </c>
      <c r="BA766" s="32" t="str">
        <f>_xlfn.IFNA(VLOOKUP(AY766,표1[[검색용]:[OptionGroupIndex'[']22]],EquipItemTable!AZ766,FALSE),"옵션고정안함")</f>
        <v>옵션고정안함</v>
      </c>
    </row>
    <row r="767" spans="1:53" ht="14.1" customHeight="1" x14ac:dyDescent="0.2">
      <c r="A767" s="13" t="s">
        <v>1009</v>
      </c>
      <c r="B767" s="39">
        <v>53032</v>
      </c>
      <c r="C767" s="42" t="s">
        <v>3527</v>
      </c>
      <c r="D767" s="10" t="s">
        <v>79</v>
      </c>
      <c r="E767" s="10" t="s">
        <v>0</v>
      </c>
      <c r="F767" s="1" t="s">
        <v>90</v>
      </c>
      <c r="G767" s="1" t="s">
        <v>1308</v>
      </c>
      <c r="H767" s="1"/>
      <c r="I767" s="1"/>
      <c r="J767" s="1"/>
      <c r="K767" s="1"/>
      <c r="L767" s="1"/>
      <c r="M767" s="1"/>
      <c r="O767" s="12" t="s">
        <v>97</v>
      </c>
      <c r="P767" s="1">
        <v>41</v>
      </c>
      <c r="Q767" s="1"/>
      <c r="R767" s="1"/>
      <c r="S767" s="1"/>
      <c r="T767" s="1"/>
      <c r="U767" s="1"/>
      <c r="V767" s="1"/>
      <c r="W767" s="1">
        <v>2334</v>
      </c>
      <c r="X767" s="1">
        <f t="shared" ref="X767:X769" si="82">W767</f>
        <v>2334</v>
      </c>
      <c r="Y767" s="1"/>
      <c r="Z767" s="1"/>
      <c r="AA767" s="1"/>
      <c r="AB767" s="11"/>
      <c r="AC767" s="82"/>
      <c r="AD767" s="12" t="s">
        <v>52</v>
      </c>
      <c r="AE767" s="12" t="s">
        <v>97</v>
      </c>
      <c r="AN767" s="12" t="s">
        <v>1192</v>
      </c>
      <c r="AR767" s="34" t="s">
        <v>94</v>
      </c>
      <c r="AS767" s="34" t="s">
        <v>94</v>
      </c>
      <c r="AU767" s="12" t="s">
        <v>1936</v>
      </c>
      <c r="AV767" s="13" t="s">
        <v>43</v>
      </c>
      <c r="AW767" s="39">
        <v>6</v>
      </c>
      <c r="AX767" s="12">
        <f>VLOOKUP(AW767,색인!$N$14:$O$19,2,FALSE)</f>
        <v>4</v>
      </c>
      <c r="AY767" s="32" t="str">
        <f>"T"&amp;O767&amp;"_"&amp;AX767&amp;"옵션_"&amp;VLOOKUP(E767,색인!$J$25:$K$29,2,FALSE)</f>
        <v>T4_4옵션_장신구</v>
      </c>
      <c r="AZ767" s="32">
        <f>VLOOKUP(G767,색인!$J$32:$K$45,2,FALSE)</f>
        <v>2</v>
      </c>
      <c r="BA767" s="32" t="str">
        <f>_xlfn.IFNA(VLOOKUP(AY767,표1[[검색용]:[OptionGroupIndex'[']22]],EquipItemTable!AZ767,FALSE),"옵션고정안함")</f>
        <v>옵션고정안함</v>
      </c>
    </row>
    <row r="768" spans="1:53" ht="14.1" customHeight="1" x14ac:dyDescent="0.2">
      <c r="A768" s="13" t="s">
        <v>1010</v>
      </c>
      <c r="B768" s="39">
        <v>53033</v>
      </c>
      <c r="C768" s="42" t="s">
        <v>3528</v>
      </c>
      <c r="D768" s="10" t="s">
        <v>79</v>
      </c>
      <c r="E768" s="10" t="s">
        <v>0</v>
      </c>
      <c r="F768" s="1" t="s">
        <v>90</v>
      </c>
      <c r="G768" s="1" t="s">
        <v>1308</v>
      </c>
      <c r="H768" s="1"/>
      <c r="I768" s="1"/>
      <c r="J768" s="1"/>
      <c r="K768" s="1"/>
      <c r="L768" s="1"/>
      <c r="M768" s="1"/>
      <c r="O768" s="12" t="s">
        <v>97</v>
      </c>
      <c r="P768" s="1">
        <v>41</v>
      </c>
      <c r="Q768" s="1"/>
      <c r="R768" s="1"/>
      <c r="S768" s="1"/>
      <c r="T768" s="1"/>
      <c r="U768" s="1"/>
      <c r="V768" s="1"/>
      <c r="W768" s="1">
        <v>2334</v>
      </c>
      <c r="X768" s="1">
        <f t="shared" si="82"/>
        <v>2334</v>
      </c>
      <c r="Y768" s="1"/>
      <c r="Z768" s="1"/>
      <c r="AA768" s="1"/>
      <c r="AB768" s="11"/>
      <c r="AC768" s="82"/>
      <c r="AD768" s="12" t="s">
        <v>52</v>
      </c>
      <c r="AE768" s="12" t="s">
        <v>97</v>
      </c>
      <c r="AN768" s="12" t="s">
        <v>369</v>
      </c>
      <c r="AR768" s="34" t="s">
        <v>94</v>
      </c>
      <c r="AS768" s="34" t="s">
        <v>94</v>
      </c>
      <c r="AU768" s="12" t="s">
        <v>1936</v>
      </c>
      <c r="AV768" s="13" t="s">
        <v>43</v>
      </c>
      <c r="AW768" s="39">
        <v>6</v>
      </c>
      <c r="AX768" s="12">
        <f>VLOOKUP(AW768,색인!$N$14:$O$19,2,FALSE)</f>
        <v>4</v>
      </c>
      <c r="AY768" s="32" t="str">
        <f>"T"&amp;O768&amp;"_"&amp;AX768&amp;"옵션_"&amp;VLOOKUP(E768,색인!$J$25:$K$29,2,FALSE)</f>
        <v>T4_4옵션_장신구</v>
      </c>
      <c r="AZ768" s="32">
        <f>VLOOKUP(G768,색인!$J$32:$K$45,2,FALSE)</f>
        <v>2</v>
      </c>
      <c r="BA768" s="32" t="str">
        <f>_xlfn.IFNA(VLOOKUP(AY768,표1[[검색용]:[OptionGroupIndex'[']22]],EquipItemTable!AZ768,FALSE),"옵션고정안함")</f>
        <v>옵션고정안함</v>
      </c>
    </row>
    <row r="769" spans="1:53" ht="14.1" customHeight="1" x14ac:dyDescent="0.2">
      <c r="A769" s="13" t="s">
        <v>1011</v>
      </c>
      <c r="B769" s="39">
        <v>53022</v>
      </c>
      <c r="C769" s="42" t="s">
        <v>3529</v>
      </c>
      <c r="D769" s="10" t="s">
        <v>79</v>
      </c>
      <c r="E769" s="10" t="s">
        <v>0</v>
      </c>
      <c r="F769" s="1" t="s">
        <v>90</v>
      </c>
      <c r="G769" s="1" t="s">
        <v>1308</v>
      </c>
      <c r="H769" s="1"/>
      <c r="I769" s="1"/>
      <c r="J769" s="1"/>
      <c r="K769" s="1"/>
      <c r="L769" s="1"/>
      <c r="M769" s="1"/>
      <c r="O769" s="12" t="s">
        <v>97</v>
      </c>
      <c r="P769" s="1">
        <v>41</v>
      </c>
      <c r="Q769" s="1"/>
      <c r="R769" s="1"/>
      <c r="S769" s="1"/>
      <c r="T769" s="1"/>
      <c r="U769" s="1"/>
      <c r="V769" s="1"/>
      <c r="W769" s="1">
        <v>2334</v>
      </c>
      <c r="X769" s="1">
        <f t="shared" si="82"/>
        <v>2334</v>
      </c>
      <c r="Y769" s="1"/>
      <c r="Z769" s="1"/>
      <c r="AA769" s="1"/>
      <c r="AB769" s="11"/>
      <c r="AC769" s="82"/>
      <c r="AD769" s="12" t="s">
        <v>52</v>
      </c>
      <c r="AE769" s="12" t="s">
        <v>97</v>
      </c>
      <c r="AN769" s="12" t="s">
        <v>1194</v>
      </c>
      <c r="AR769" s="34" t="s">
        <v>94</v>
      </c>
      <c r="AS769" s="34" t="s">
        <v>94</v>
      </c>
      <c r="AU769" s="12" t="s">
        <v>1936</v>
      </c>
      <c r="AV769" s="13" t="s">
        <v>43</v>
      </c>
      <c r="AW769" s="39">
        <v>6</v>
      </c>
      <c r="AX769" s="12">
        <f>VLOOKUP(AW769,색인!$N$14:$O$19,2,FALSE)</f>
        <v>4</v>
      </c>
      <c r="AY769" s="32" t="str">
        <f>"T"&amp;O769&amp;"_"&amp;AX769&amp;"옵션_"&amp;VLOOKUP(E769,색인!$J$25:$K$29,2,FALSE)</f>
        <v>T4_4옵션_장신구</v>
      </c>
      <c r="AZ769" s="32">
        <f>VLOOKUP(G769,색인!$J$32:$K$45,2,FALSE)</f>
        <v>2</v>
      </c>
      <c r="BA769" s="32" t="str">
        <f>_xlfn.IFNA(VLOOKUP(AY769,표1[[검색용]:[OptionGroupIndex'[']22]],EquipItemTable!AZ769,FALSE),"옵션고정안함")</f>
        <v>옵션고정안함</v>
      </c>
    </row>
    <row r="770" spans="1:53" ht="12" customHeight="1" x14ac:dyDescent="0.2">
      <c r="A770" s="13" t="s">
        <v>452</v>
      </c>
      <c r="B770" s="39">
        <v>53017</v>
      </c>
      <c r="C770" s="42" t="s">
        <v>38</v>
      </c>
      <c r="D770" s="10" t="s">
        <v>79</v>
      </c>
      <c r="E770" s="10" t="s">
        <v>0</v>
      </c>
      <c r="F770" s="1" t="s">
        <v>456</v>
      </c>
      <c r="G770" s="1" t="s">
        <v>1308</v>
      </c>
      <c r="H770" s="1"/>
      <c r="I770" s="1"/>
      <c r="J770" s="1"/>
      <c r="K770" s="1"/>
      <c r="L770" s="1"/>
      <c r="M770" s="1"/>
      <c r="O770" s="12" t="s">
        <v>430</v>
      </c>
      <c r="P770" s="1">
        <v>51</v>
      </c>
      <c r="Q770" s="1"/>
      <c r="R770" s="1"/>
      <c r="S770" s="1"/>
      <c r="T770" s="1"/>
      <c r="U770" s="1"/>
      <c r="V770" s="1"/>
      <c r="W770" s="1">
        <v>2300</v>
      </c>
      <c r="X770" s="1">
        <f t="shared" si="76"/>
        <v>2300</v>
      </c>
      <c r="Y770" s="1"/>
      <c r="Z770" s="1"/>
      <c r="AA770" s="1"/>
      <c r="AB770" s="11"/>
      <c r="AC770" s="82"/>
      <c r="AD770" s="12" t="s">
        <v>542</v>
      </c>
      <c r="AE770" s="12" t="s">
        <v>552</v>
      </c>
      <c r="AN770" s="12"/>
      <c r="AU770" s="12" t="s">
        <v>1932</v>
      </c>
      <c r="AV770" s="13"/>
      <c r="AW770" s="39">
        <v>1</v>
      </c>
      <c r="AY770" s="32"/>
      <c r="AZ770" s="32"/>
      <c r="BA770" s="32"/>
    </row>
    <row r="771" spans="1:53" ht="12" customHeight="1" x14ac:dyDescent="0.2">
      <c r="A771" s="13" t="s">
        <v>453</v>
      </c>
      <c r="B771" s="39">
        <v>53018</v>
      </c>
      <c r="C771" s="42" t="s">
        <v>3533</v>
      </c>
      <c r="D771" s="10" t="s">
        <v>79</v>
      </c>
      <c r="E771" s="10" t="s">
        <v>0</v>
      </c>
      <c r="F771" s="1" t="s">
        <v>456</v>
      </c>
      <c r="G771" s="1" t="s">
        <v>1308</v>
      </c>
      <c r="H771" s="1"/>
      <c r="I771" s="1"/>
      <c r="J771" s="1"/>
      <c r="K771" s="1"/>
      <c r="L771" s="1"/>
      <c r="M771" s="1"/>
      <c r="O771" s="12" t="s">
        <v>430</v>
      </c>
      <c r="P771" s="1">
        <v>51</v>
      </c>
      <c r="Q771" s="1"/>
      <c r="R771" s="1"/>
      <c r="S771" s="1"/>
      <c r="T771" s="1"/>
      <c r="U771" s="1"/>
      <c r="V771" s="1"/>
      <c r="W771" s="1">
        <v>2805</v>
      </c>
      <c r="X771" s="1">
        <f t="shared" si="76"/>
        <v>2805</v>
      </c>
      <c r="Y771" s="1"/>
      <c r="Z771" s="1"/>
      <c r="AA771" s="1"/>
      <c r="AB771" s="11"/>
      <c r="AC771" s="82"/>
      <c r="AD771" s="12" t="s">
        <v>542</v>
      </c>
      <c r="AE771" s="39" t="str">
        <f t="shared" ref="AE771:AE773" si="83">BA771</f>
        <v>5131</v>
      </c>
      <c r="AN771" s="12"/>
      <c r="AU771" s="12" t="s">
        <v>1933</v>
      </c>
      <c r="AV771" s="13"/>
      <c r="AW771" s="39">
        <v>2</v>
      </c>
      <c r="AX771" s="12">
        <f>VLOOKUP(AW771,색인!$N$14:$O$19,2,FALSE)</f>
        <v>1</v>
      </c>
      <c r="AY771" s="39" t="str">
        <f>"T"&amp;O771&amp;"_"&amp;AX771&amp;"옵션_"&amp;VLOOKUP(E771,색인!$J$25:$K$29,2,FALSE)</f>
        <v>T5_1옵션_장신구</v>
      </c>
      <c r="AZ771" s="39">
        <f>VLOOKUP(G771,색인!$J$32:$K$45,2,FALSE)</f>
        <v>2</v>
      </c>
      <c r="BA771" s="39" t="str">
        <f>_xlfn.IFNA(VLOOKUP(AY771,표1[[검색용]:[OptionGroupIndex'[']22]],EquipItemTable!AZ771,FALSE),"옵션고정안함")</f>
        <v>5131</v>
      </c>
    </row>
    <row r="772" spans="1:53" ht="12" customHeight="1" x14ac:dyDescent="0.2">
      <c r="A772" s="13" t="s">
        <v>454</v>
      </c>
      <c r="B772" s="39">
        <v>53019</v>
      </c>
      <c r="C772" s="42" t="s">
        <v>3534</v>
      </c>
      <c r="D772" s="10" t="s">
        <v>79</v>
      </c>
      <c r="E772" s="10" t="s">
        <v>0</v>
      </c>
      <c r="F772" s="1" t="s">
        <v>456</v>
      </c>
      <c r="G772" s="1" t="s">
        <v>1308</v>
      </c>
      <c r="H772" s="1"/>
      <c r="I772" s="1"/>
      <c r="J772" s="1"/>
      <c r="K772" s="1"/>
      <c r="L772" s="1"/>
      <c r="M772" s="1"/>
      <c r="O772" s="12" t="s">
        <v>430</v>
      </c>
      <c r="P772" s="1">
        <v>51</v>
      </c>
      <c r="Q772" s="1"/>
      <c r="R772" s="1"/>
      <c r="S772" s="1"/>
      <c r="T772" s="1"/>
      <c r="U772" s="1"/>
      <c r="V772" s="1"/>
      <c r="W772" s="1">
        <v>3258</v>
      </c>
      <c r="X772" s="1">
        <f t="shared" si="76"/>
        <v>3258</v>
      </c>
      <c r="Y772" s="1"/>
      <c r="Z772" s="1"/>
      <c r="AA772" s="1"/>
      <c r="AB772" s="11"/>
      <c r="AC772" s="82"/>
      <c r="AD772" s="12" t="s">
        <v>542</v>
      </c>
      <c r="AE772" s="39" t="str">
        <f t="shared" si="83"/>
        <v>5231</v>
      </c>
      <c r="AN772" s="12"/>
      <c r="AR772" s="34" t="s">
        <v>543</v>
      </c>
      <c r="AS772" s="34" t="s">
        <v>543</v>
      </c>
      <c r="AU772" s="12" t="s">
        <v>1934</v>
      </c>
      <c r="AV772" s="13"/>
      <c r="AW772" s="39">
        <v>3</v>
      </c>
      <c r="AX772" s="12">
        <f>VLOOKUP(AW772,색인!$N$14:$O$19,2,FALSE)</f>
        <v>2</v>
      </c>
      <c r="AY772" s="39" t="str">
        <f>"T"&amp;O772&amp;"_"&amp;AX772&amp;"옵션_"&amp;VLOOKUP(E772,색인!$J$25:$K$29,2,FALSE)</f>
        <v>T5_2옵션_장신구</v>
      </c>
      <c r="AZ772" s="39">
        <f>VLOOKUP(G772,색인!$J$32:$K$45,2,FALSE)</f>
        <v>2</v>
      </c>
      <c r="BA772" s="39" t="str">
        <f>_xlfn.IFNA(VLOOKUP(AY772,표1[[검색용]:[OptionGroupIndex'[']22]],EquipItemTable!AZ772,FALSE),"옵션고정안함")</f>
        <v>5231</v>
      </c>
    </row>
    <row r="773" spans="1:53" ht="12" customHeight="1" x14ac:dyDescent="0.2">
      <c r="A773" s="13" t="s">
        <v>455</v>
      </c>
      <c r="B773" s="39">
        <v>53020</v>
      </c>
      <c r="C773" s="42" t="s">
        <v>43</v>
      </c>
      <c r="D773" s="10" t="s">
        <v>79</v>
      </c>
      <c r="E773" s="10" t="s">
        <v>0</v>
      </c>
      <c r="F773" s="1" t="s">
        <v>456</v>
      </c>
      <c r="G773" s="1" t="s">
        <v>1308</v>
      </c>
      <c r="H773" s="1"/>
      <c r="I773" s="1"/>
      <c r="J773" s="1"/>
      <c r="K773" s="1"/>
      <c r="L773" s="1"/>
      <c r="M773" s="1"/>
      <c r="O773" s="12" t="s">
        <v>430</v>
      </c>
      <c r="P773" s="1">
        <v>51</v>
      </c>
      <c r="Q773" s="1"/>
      <c r="R773" s="1"/>
      <c r="S773" s="1"/>
      <c r="T773" s="1"/>
      <c r="U773" s="1"/>
      <c r="V773" s="1"/>
      <c r="W773" s="1">
        <v>3772</v>
      </c>
      <c r="X773" s="1">
        <f t="shared" si="76"/>
        <v>3772</v>
      </c>
      <c r="Y773" s="1"/>
      <c r="Z773" s="1"/>
      <c r="AA773" s="1"/>
      <c r="AB773" s="11"/>
      <c r="AC773" s="82"/>
      <c r="AD773" s="12" t="s">
        <v>542</v>
      </c>
      <c r="AE773" s="39" t="str">
        <f t="shared" si="83"/>
        <v>5331</v>
      </c>
      <c r="AN773" s="12"/>
      <c r="AR773" s="34" t="s">
        <v>543</v>
      </c>
      <c r="AS773" s="34" t="s">
        <v>543</v>
      </c>
      <c r="AU773" s="12" t="s">
        <v>1935</v>
      </c>
      <c r="AV773" s="13"/>
      <c r="AW773" s="39">
        <v>4</v>
      </c>
      <c r="AX773" s="12">
        <f>VLOOKUP(AW773,색인!$N$14:$O$19,2,FALSE)</f>
        <v>3</v>
      </c>
      <c r="AY773" s="39" t="str">
        <f>"T"&amp;O773&amp;"_"&amp;AX773&amp;"옵션_"&amp;VLOOKUP(E773,색인!$J$25:$K$29,2,FALSE)</f>
        <v>T5_3옵션_장신구</v>
      </c>
      <c r="AZ773" s="39">
        <f>VLOOKUP(G773,색인!$J$32:$K$45,2,FALSE)</f>
        <v>2</v>
      </c>
      <c r="BA773" s="39" t="str">
        <f>_xlfn.IFNA(VLOOKUP(AY773,표1[[검색용]:[OptionGroupIndex'[']22]],EquipItemTable!AZ773,FALSE),"옵션고정안함")</f>
        <v>5331</v>
      </c>
    </row>
    <row r="774" spans="1:53" ht="14.1" customHeight="1" x14ac:dyDescent="0.2">
      <c r="A774" s="13" t="s">
        <v>567</v>
      </c>
      <c r="B774" s="39">
        <v>53037</v>
      </c>
      <c r="C774" s="42" t="s">
        <v>3526</v>
      </c>
      <c r="D774" s="10" t="s">
        <v>79</v>
      </c>
      <c r="E774" s="10" t="s">
        <v>0</v>
      </c>
      <c r="F774" s="1" t="s">
        <v>456</v>
      </c>
      <c r="G774" s="1" t="s">
        <v>1308</v>
      </c>
      <c r="H774" s="1"/>
      <c r="I774" s="1"/>
      <c r="J774" s="1"/>
      <c r="K774" s="1"/>
      <c r="L774" s="1"/>
      <c r="M774" s="1"/>
      <c r="O774" s="12" t="s">
        <v>430</v>
      </c>
      <c r="P774" s="1">
        <v>51</v>
      </c>
      <c r="Q774" s="1"/>
      <c r="R774" s="1"/>
      <c r="S774" s="1"/>
      <c r="T774" s="1"/>
      <c r="U774" s="1"/>
      <c r="V774" s="1"/>
      <c r="W774" s="1">
        <v>4355</v>
      </c>
      <c r="X774" s="1">
        <f t="shared" si="76"/>
        <v>4355</v>
      </c>
      <c r="Y774" s="1"/>
      <c r="Z774" s="1"/>
      <c r="AA774" s="1"/>
      <c r="AB774" s="11"/>
      <c r="AC774" s="82"/>
      <c r="AD774" s="12" t="s">
        <v>336</v>
      </c>
      <c r="AE774" s="12" t="s">
        <v>529</v>
      </c>
      <c r="AN774" s="12" t="s">
        <v>554</v>
      </c>
      <c r="AR774" s="34" t="s">
        <v>543</v>
      </c>
      <c r="AS774" s="34" t="s">
        <v>543</v>
      </c>
      <c r="AU774" s="12" t="s">
        <v>1936</v>
      </c>
      <c r="AV774" s="13"/>
      <c r="AW774" s="39">
        <v>6</v>
      </c>
      <c r="AX774" s="12">
        <f>VLOOKUP(AW774,색인!$N$14:$O$19,2,FALSE)</f>
        <v>4</v>
      </c>
      <c r="AY774" s="32" t="str">
        <f>"T"&amp;O774&amp;"_"&amp;AX774&amp;"옵션_"&amp;VLOOKUP(E774,색인!$J$25:$K$29,2,FALSE)</f>
        <v>T5_4옵션_장신구</v>
      </c>
      <c r="AZ774" s="32">
        <f>VLOOKUP(G774,색인!$J$32:$K$45,2,FALSE)</f>
        <v>2</v>
      </c>
      <c r="BA774" s="32" t="str">
        <f>_xlfn.IFNA(VLOOKUP(AY774,표1[[검색용]:[OptionGroupIndex'[']22]],EquipItemTable!AZ774,FALSE),"옵션고정안함")</f>
        <v>옵션고정안함</v>
      </c>
    </row>
    <row r="775" spans="1:53" ht="14.1" customHeight="1" x14ac:dyDescent="0.2">
      <c r="A775" s="13" t="s">
        <v>1012</v>
      </c>
      <c r="B775" s="39">
        <v>53035</v>
      </c>
      <c r="C775" s="42" t="s">
        <v>3527</v>
      </c>
      <c r="D775" s="10" t="s">
        <v>79</v>
      </c>
      <c r="E775" s="10" t="s">
        <v>0</v>
      </c>
      <c r="F775" s="1" t="s">
        <v>456</v>
      </c>
      <c r="G775" s="1" t="s">
        <v>1308</v>
      </c>
      <c r="H775" s="1"/>
      <c r="I775" s="1"/>
      <c r="J775" s="1"/>
      <c r="K775" s="1"/>
      <c r="L775" s="1"/>
      <c r="M775" s="1"/>
      <c r="O775" s="12" t="s">
        <v>430</v>
      </c>
      <c r="P775" s="1">
        <v>51</v>
      </c>
      <c r="Q775" s="1"/>
      <c r="R775" s="1"/>
      <c r="S775" s="1"/>
      <c r="T775" s="1"/>
      <c r="U775" s="1"/>
      <c r="V775" s="1"/>
      <c r="W775" s="1">
        <v>4355</v>
      </c>
      <c r="X775" s="1">
        <f t="shared" ref="X775:X777" si="84">W775</f>
        <v>4355</v>
      </c>
      <c r="Y775" s="1"/>
      <c r="Z775" s="1"/>
      <c r="AA775" s="1"/>
      <c r="AB775" s="11"/>
      <c r="AC775" s="82"/>
      <c r="AD775" s="12" t="s">
        <v>336</v>
      </c>
      <c r="AE775" s="12" t="s">
        <v>430</v>
      </c>
      <c r="AN775" s="12" t="s">
        <v>1192</v>
      </c>
      <c r="AR775" s="34" t="s">
        <v>428</v>
      </c>
      <c r="AS775" s="34" t="s">
        <v>428</v>
      </c>
      <c r="AU775" s="12" t="s">
        <v>1936</v>
      </c>
      <c r="AV775" s="13"/>
      <c r="AW775" s="39">
        <v>6</v>
      </c>
      <c r="AX775" s="12">
        <f>VLOOKUP(AW775,색인!$N$14:$O$19,2,FALSE)</f>
        <v>4</v>
      </c>
      <c r="AY775" s="32" t="str">
        <f>"T"&amp;O775&amp;"_"&amp;AX775&amp;"옵션_"&amp;VLOOKUP(E775,색인!$J$25:$K$29,2,FALSE)</f>
        <v>T5_4옵션_장신구</v>
      </c>
      <c r="AZ775" s="32">
        <f>VLOOKUP(G775,색인!$J$32:$K$45,2,FALSE)</f>
        <v>2</v>
      </c>
      <c r="BA775" s="32" t="str">
        <f>_xlfn.IFNA(VLOOKUP(AY775,표1[[검색용]:[OptionGroupIndex'[']22]],EquipItemTable!AZ775,FALSE),"옵션고정안함")</f>
        <v>옵션고정안함</v>
      </c>
    </row>
    <row r="776" spans="1:53" ht="14.1" customHeight="1" x14ac:dyDescent="0.2">
      <c r="A776" s="13" t="s">
        <v>1013</v>
      </c>
      <c r="B776" s="39">
        <v>53036</v>
      </c>
      <c r="C776" s="42" t="s">
        <v>3528</v>
      </c>
      <c r="D776" s="10" t="s">
        <v>79</v>
      </c>
      <c r="E776" s="10" t="s">
        <v>0</v>
      </c>
      <c r="F776" s="1" t="s">
        <v>456</v>
      </c>
      <c r="G776" s="1" t="s">
        <v>1308</v>
      </c>
      <c r="H776" s="1"/>
      <c r="I776" s="1"/>
      <c r="J776" s="1"/>
      <c r="K776" s="1"/>
      <c r="L776" s="1"/>
      <c r="M776" s="1"/>
      <c r="O776" s="12" t="s">
        <v>430</v>
      </c>
      <c r="P776" s="1">
        <v>51</v>
      </c>
      <c r="Q776" s="1"/>
      <c r="R776" s="1"/>
      <c r="S776" s="1"/>
      <c r="T776" s="1"/>
      <c r="U776" s="1"/>
      <c r="V776" s="1"/>
      <c r="W776" s="1">
        <v>4355</v>
      </c>
      <c r="X776" s="1">
        <f t="shared" si="84"/>
        <v>4355</v>
      </c>
      <c r="Y776" s="1"/>
      <c r="Z776" s="1"/>
      <c r="AA776" s="1"/>
      <c r="AB776" s="11"/>
      <c r="AC776" s="82"/>
      <c r="AD776" s="12" t="s">
        <v>336</v>
      </c>
      <c r="AE776" s="12" t="s">
        <v>430</v>
      </c>
      <c r="AN776" s="12" t="s">
        <v>369</v>
      </c>
      <c r="AR776" s="34" t="s">
        <v>428</v>
      </c>
      <c r="AS776" s="34" t="s">
        <v>428</v>
      </c>
      <c r="AU776" s="12" t="s">
        <v>1936</v>
      </c>
      <c r="AV776" s="13"/>
      <c r="AW776" s="39">
        <v>6</v>
      </c>
      <c r="AX776" s="12">
        <f>VLOOKUP(AW776,색인!$N$14:$O$19,2,FALSE)</f>
        <v>4</v>
      </c>
      <c r="AY776" s="32" t="str">
        <f>"T"&amp;O776&amp;"_"&amp;AX776&amp;"옵션_"&amp;VLOOKUP(E776,색인!$J$25:$K$29,2,FALSE)</f>
        <v>T5_4옵션_장신구</v>
      </c>
      <c r="AZ776" s="32">
        <f>VLOOKUP(G776,색인!$J$32:$K$45,2,FALSE)</f>
        <v>2</v>
      </c>
      <c r="BA776" s="32" t="str">
        <f>_xlfn.IFNA(VLOOKUP(AY776,표1[[검색용]:[OptionGroupIndex'[']22]],EquipItemTable!AZ776,FALSE),"옵션고정안함")</f>
        <v>옵션고정안함</v>
      </c>
    </row>
    <row r="777" spans="1:53" ht="14.1" customHeight="1" x14ac:dyDescent="0.2">
      <c r="A777" s="13" t="s">
        <v>1014</v>
      </c>
      <c r="B777" s="39">
        <v>53023</v>
      </c>
      <c r="C777" s="42" t="s">
        <v>3529</v>
      </c>
      <c r="D777" s="10" t="s">
        <v>79</v>
      </c>
      <c r="E777" s="10" t="s">
        <v>0</v>
      </c>
      <c r="F777" s="1" t="s">
        <v>456</v>
      </c>
      <c r="G777" s="1" t="s">
        <v>1308</v>
      </c>
      <c r="H777" s="1"/>
      <c r="I777" s="1"/>
      <c r="J777" s="1"/>
      <c r="K777" s="1"/>
      <c r="L777" s="1"/>
      <c r="M777" s="1"/>
      <c r="O777" s="12" t="s">
        <v>430</v>
      </c>
      <c r="P777" s="1">
        <v>51</v>
      </c>
      <c r="Q777" s="1"/>
      <c r="R777" s="1"/>
      <c r="S777" s="1"/>
      <c r="T777" s="1"/>
      <c r="U777" s="1"/>
      <c r="V777" s="1"/>
      <c r="W777" s="1">
        <v>4355</v>
      </c>
      <c r="X777" s="1">
        <f t="shared" si="84"/>
        <v>4355</v>
      </c>
      <c r="Y777" s="1"/>
      <c r="Z777" s="1"/>
      <c r="AA777" s="1"/>
      <c r="AB777" s="11"/>
      <c r="AC777" s="82"/>
      <c r="AD777" s="12" t="s">
        <v>336</v>
      </c>
      <c r="AE777" s="12" t="s">
        <v>430</v>
      </c>
      <c r="AN777" s="12" t="s">
        <v>1194</v>
      </c>
      <c r="AR777" s="34" t="s">
        <v>428</v>
      </c>
      <c r="AS777" s="34" t="s">
        <v>428</v>
      </c>
      <c r="AU777" s="12" t="s">
        <v>1936</v>
      </c>
      <c r="AV777" s="13"/>
      <c r="AW777" s="39">
        <v>6</v>
      </c>
      <c r="AX777" s="12">
        <f>VLOOKUP(AW777,색인!$N$14:$O$19,2,FALSE)</f>
        <v>4</v>
      </c>
      <c r="AY777" s="32" t="str">
        <f>"T"&amp;O777&amp;"_"&amp;AX777&amp;"옵션_"&amp;VLOOKUP(E777,색인!$J$25:$K$29,2,FALSE)</f>
        <v>T5_4옵션_장신구</v>
      </c>
      <c r="AZ777" s="32">
        <f>VLOOKUP(G777,색인!$J$32:$K$45,2,FALSE)</f>
        <v>2</v>
      </c>
      <c r="BA777" s="32" t="str">
        <f>_xlfn.IFNA(VLOOKUP(AY777,표1[[검색용]:[OptionGroupIndex'[']22]],EquipItemTable!AZ777,FALSE),"옵션고정안함")</f>
        <v>옵션고정안함</v>
      </c>
    </row>
    <row r="778" spans="1:53" s="1" customFormat="1" ht="12" x14ac:dyDescent="0.2">
      <c r="A778" s="13" t="s">
        <v>774</v>
      </c>
      <c r="B778" s="39">
        <v>53024</v>
      </c>
      <c r="C778" s="42" t="s">
        <v>3535</v>
      </c>
      <c r="D778" s="10" t="s">
        <v>79</v>
      </c>
      <c r="E778" s="10" t="s">
        <v>0</v>
      </c>
      <c r="F778" s="1" t="s">
        <v>456</v>
      </c>
      <c r="G778" s="1" t="s">
        <v>1308</v>
      </c>
      <c r="N778" s="8"/>
      <c r="O778" s="12" t="s">
        <v>755</v>
      </c>
      <c r="P778" s="1">
        <v>61</v>
      </c>
      <c r="W778" s="1">
        <v>4012</v>
      </c>
      <c r="X778" s="1">
        <f t="shared" ref="X778:X782" si="85">W778</f>
        <v>4012</v>
      </c>
      <c r="AB778" s="11"/>
      <c r="AC778" s="82"/>
      <c r="AD778" s="12" t="s">
        <v>756</v>
      </c>
      <c r="AE778" s="12" t="s">
        <v>529</v>
      </c>
      <c r="AF778" s="12"/>
      <c r="AG778" s="23"/>
      <c r="AH778" s="23"/>
      <c r="AI778" s="12"/>
      <c r="AJ778" s="12"/>
      <c r="AK778" s="12"/>
      <c r="AL778" s="12"/>
      <c r="AM778" s="12"/>
      <c r="AN778" s="12"/>
      <c r="AO778" s="12"/>
      <c r="AP778" s="12"/>
      <c r="AQ778" s="8"/>
      <c r="AR778" s="34"/>
      <c r="AS778" s="34"/>
      <c r="AT778" s="8"/>
      <c r="AU778" s="12" t="s">
        <v>1932</v>
      </c>
      <c r="AW778" s="90">
        <v>1</v>
      </c>
      <c r="AX778" s="23"/>
      <c r="AY778" s="23"/>
      <c r="AZ778" s="23"/>
      <c r="BA778" s="23"/>
    </row>
    <row r="779" spans="1:53" s="1" customFormat="1" ht="12" x14ac:dyDescent="0.2">
      <c r="A779" s="13" t="s">
        <v>775</v>
      </c>
      <c r="B779" s="39">
        <v>53025</v>
      </c>
      <c r="C779" s="42" t="s">
        <v>3536</v>
      </c>
      <c r="D779" s="10" t="s">
        <v>79</v>
      </c>
      <c r="E779" s="10" t="s">
        <v>0</v>
      </c>
      <c r="F779" s="1" t="s">
        <v>456</v>
      </c>
      <c r="G779" s="1" t="s">
        <v>1308</v>
      </c>
      <c r="N779" s="8"/>
      <c r="O779" s="12" t="s">
        <v>755</v>
      </c>
      <c r="P779" s="1">
        <v>61</v>
      </c>
      <c r="W779" s="1">
        <v>4539</v>
      </c>
      <c r="X779" s="1">
        <f t="shared" si="85"/>
        <v>4539</v>
      </c>
      <c r="AB779" s="11"/>
      <c r="AC779" s="82"/>
      <c r="AD779" s="12" t="s">
        <v>756</v>
      </c>
      <c r="AE779" s="39" t="str">
        <f t="shared" ref="AE779:AE781" si="86">BA779</f>
        <v>6131</v>
      </c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8"/>
      <c r="AR779" s="34"/>
      <c r="AS779" s="34"/>
      <c r="AT779" s="8"/>
      <c r="AU779" s="12" t="s">
        <v>1933</v>
      </c>
      <c r="AW779" s="90">
        <v>2</v>
      </c>
      <c r="AX779" s="23">
        <f>VLOOKUP(AW779,색인!$N$14:$O$19,2,FALSE)</f>
        <v>1</v>
      </c>
      <c r="AY779" s="90" t="str">
        <f>"T"&amp;O779&amp;"_"&amp;AX779&amp;"옵션_"&amp;VLOOKUP(E779,색인!$J$25:$K$29,2,FALSE)</f>
        <v>T6_1옵션_장신구</v>
      </c>
      <c r="AZ779" s="90">
        <f>VLOOKUP(G779,색인!$J$32:$K$45,2,FALSE)</f>
        <v>2</v>
      </c>
      <c r="BA779" s="90" t="str">
        <f>_xlfn.IFNA(VLOOKUP(AY779,표1[[검색용]:[OptionGroupIndex'[']22]],EquipItemTable!AZ779,FALSE),"옵션고정안함")</f>
        <v>6131</v>
      </c>
    </row>
    <row r="780" spans="1:53" s="1" customFormat="1" ht="12" x14ac:dyDescent="0.2">
      <c r="A780" s="13" t="s">
        <v>776</v>
      </c>
      <c r="B780" s="39">
        <v>53026</v>
      </c>
      <c r="C780" s="42" t="s">
        <v>3537</v>
      </c>
      <c r="D780" s="10" t="s">
        <v>79</v>
      </c>
      <c r="E780" s="10" t="s">
        <v>0</v>
      </c>
      <c r="F780" s="1" t="s">
        <v>456</v>
      </c>
      <c r="G780" s="1" t="s">
        <v>1308</v>
      </c>
      <c r="N780" s="8"/>
      <c r="O780" s="12" t="s">
        <v>747</v>
      </c>
      <c r="P780" s="1">
        <v>61</v>
      </c>
      <c r="W780" s="1">
        <v>5003</v>
      </c>
      <c r="X780" s="1">
        <f t="shared" si="85"/>
        <v>5003</v>
      </c>
      <c r="AB780" s="11"/>
      <c r="AC780" s="82"/>
      <c r="AD780" s="12" t="s">
        <v>748</v>
      </c>
      <c r="AE780" s="39" t="str">
        <f t="shared" si="86"/>
        <v>6231</v>
      </c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8"/>
      <c r="AR780" s="34" t="s">
        <v>94</v>
      </c>
      <c r="AS780" s="34" t="s">
        <v>94</v>
      </c>
      <c r="AT780" s="8"/>
      <c r="AU780" s="12" t="s">
        <v>1934</v>
      </c>
      <c r="AW780" s="90">
        <v>3</v>
      </c>
      <c r="AX780" s="23">
        <f>VLOOKUP(AW780,색인!$N$14:$O$19,2,FALSE)</f>
        <v>2</v>
      </c>
      <c r="AY780" s="90" t="str">
        <f>"T"&amp;O780&amp;"_"&amp;AX780&amp;"옵션_"&amp;VLOOKUP(E780,색인!$J$25:$K$29,2,FALSE)</f>
        <v>T6_2옵션_장신구</v>
      </c>
      <c r="AZ780" s="90">
        <f>VLOOKUP(G780,색인!$J$32:$K$45,2,FALSE)</f>
        <v>2</v>
      </c>
      <c r="BA780" s="90" t="str">
        <f>_xlfn.IFNA(VLOOKUP(AY780,표1[[검색용]:[OptionGroupIndex'[']22]],EquipItemTable!AZ780,FALSE),"옵션고정안함")</f>
        <v>6231</v>
      </c>
    </row>
    <row r="781" spans="1:53" s="1" customFormat="1" ht="12" x14ac:dyDescent="0.2">
      <c r="A781" s="13" t="s">
        <v>777</v>
      </c>
      <c r="B781" s="39">
        <v>53027</v>
      </c>
      <c r="C781" s="42" t="s">
        <v>3538</v>
      </c>
      <c r="D781" s="10" t="s">
        <v>79</v>
      </c>
      <c r="E781" s="10" t="s">
        <v>0</v>
      </c>
      <c r="F781" s="1" t="s">
        <v>456</v>
      </c>
      <c r="G781" s="1" t="s">
        <v>1308</v>
      </c>
      <c r="N781" s="8"/>
      <c r="O781" s="12" t="s">
        <v>747</v>
      </c>
      <c r="P781" s="1">
        <v>61</v>
      </c>
      <c r="W781" s="1">
        <v>5502</v>
      </c>
      <c r="X781" s="1">
        <f t="shared" si="85"/>
        <v>5502</v>
      </c>
      <c r="AB781" s="11"/>
      <c r="AC781" s="82"/>
      <c r="AD781" s="12" t="s">
        <v>748</v>
      </c>
      <c r="AE781" s="39" t="str">
        <f t="shared" si="86"/>
        <v>6331</v>
      </c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8"/>
      <c r="AR781" s="34" t="s">
        <v>94</v>
      </c>
      <c r="AS781" s="34" t="s">
        <v>94</v>
      </c>
      <c r="AT781" s="8"/>
      <c r="AU781" s="12" t="s">
        <v>1935</v>
      </c>
      <c r="AW781" s="90">
        <v>4</v>
      </c>
      <c r="AX781" s="23">
        <f>VLOOKUP(AW781,색인!$N$14:$O$19,2,FALSE)</f>
        <v>3</v>
      </c>
      <c r="AY781" s="90" t="str">
        <f>"T"&amp;O781&amp;"_"&amp;AX781&amp;"옵션_"&amp;VLOOKUP(E781,색인!$J$25:$K$29,2,FALSE)</f>
        <v>T6_3옵션_장신구</v>
      </c>
      <c r="AZ781" s="90">
        <f>VLOOKUP(G781,색인!$J$32:$K$45,2,FALSE)</f>
        <v>2</v>
      </c>
      <c r="BA781" s="90" t="str">
        <f>_xlfn.IFNA(VLOOKUP(AY781,표1[[검색용]:[OptionGroupIndex'[']22]],EquipItemTable!AZ781,FALSE),"옵션고정안함")</f>
        <v>6331</v>
      </c>
    </row>
    <row r="782" spans="1:53" s="1" customFormat="1" ht="12" x14ac:dyDescent="0.2">
      <c r="A782" s="13" t="s">
        <v>778</v>
      </c>
      <c r="B782" s="39">
        <v>53040</v>
      </c>
      <c r="C782" s="42" t="s">
        <v>3526</v>
      </c>
      <c r="D782" s="10" t="s">
        <v>79</v>
      </c>
      <c r="E782" s="10" t="s">
        <v>0</v>
      </c>
      <c r="F782" s="1" t="s">
        <v>456</v>
      </c>
      <c r="G782" s="1" t="s">
        <v>1308</v>
      </c>
      <c r="N782" s="8"/>
      <c r="O782" s="12" t="s">
        <v>747</v>
      </c>
      <c r="P782" s="1">
        <v>61</v>
      </c>
      <c r="W782" s="1">
        <v>6037</v>
      </c>
      <c r="X782" s="1">
        <f t="shared" si="85"/>
        <v>6037</v>
      </c>
      <c r="AB782" s="11"/>
      <c r="AC782" s="82"/>
      <c r="AD782" s="12" t="s">
        <v>748</v>
      </c>
      <c r="AE782" s="39" t="str">
        <f>BA782</f>
        <v>6431</v>
      </c>
      <c r="AF782" s="12"/>
      <c r="AG782" s="12"/>
      <c r="AH782" s="12"/>
      <c r="AI782" s="12"/>
      <c r="AJ782" s="12"/>
      <c r="AK782" s="12"/>
      <c r="AL782" s="12"/>
      <c r="AM782" s="12"/>
      <c r="AN782" s="12" t="s">
        <v>554</v>
      </c>
      <c r="AO782" s="12"/>
      <c r="AP782" s="12"/>
      <c r="AQ782" s="8"/>
      <c r="AR782" s="34" t="s">
        <v>94</v>
      </c>
      <c r="AS782" s="34" t="s">
        <v>94</v>
      </c>
      <c r="AT782" s="8"/>
      <c r="AU782" s="12" t="s">
        <v>1936</v>
      </c>
      <c r="AW782" s="90">
        <v>6</v>
      </c>
      <c r="AX782" s="23">
        <f>VLOOKUP(AW782,색인!$N$14:$O$19,2,FALSE)</f>
        <v>4</v>
      </c>
      <c r="AY782" s="23" t="str">
        <f>"T"&amp;O782&amp;"_"&amp;AX782&amp;"옵션_"&amp;VLOOKUP(E782,색인!$J$25:$K$29,2,FALSE)</f>
        <v>T6_4옵션_장신구</v>
      </c>
      <c r="AZ782" s="23">
        <f>VLOOKUP(G782,색인!$J$32:$K$45,2,FALSE)</f>
        <v>2</v>
      </c>
      <c r="BA782" s="23" t="str">
        <f>_xlfn.IFNA(VLOOKUP(AY782,표1[[검색용]:[OptionGroupIndex'[']22]],EquipItemTable!AZ782,FALSE),"옵션고정안함")</f>
        <v>6431</v>
      </c>
    </row>
    <row r="783" spans="1:53" s="1" customFormat="1" ht="12" x14ac:dyDescent="0.2">
      <c r="A783" s="13" t="s">
        <v>1015</v>
      </c>
      <c r="B783" s="39">
        <v>53038</v>
      </c>
      <c r="C783" s="42" t="s">
        <v>3527</v>
      </c>
      <c r="D783" s="10" t="s">
        <v>79</v>
      </c>
      <c r="E783" s="10" t="s">
        <v>0</v>
      </c>
      <c r="F783" s="1" t="s">
        <v>456</v>
      </c>
      <c r="G783" s="1" t="s">
        <v>1308</v>
      </c>
      <c r="N783" s="8"/>
      <c r="O783" s="12" t="s">
        <v>747</v>
      </c>
      <c r="P783" s="1">
        <v>61</v>
      </c>
      <c r="W783" s="1">
        <v>6037</v>
      </c>
      <c r="X783" s="1">
        <f t="shared" ref="X783:X785" si="87">W783</f>
        <v>6037</v>
      </c>
      <c r="AB783" s="11"/>
      <c r="AC783" s="82"/>
      <c r="AD783" s="12" t="s">
        <v>336</v>
      </c>
      <c r="AE783" s="39" t="str">
        <f>BA783</f>
        <v>6431</v>
      </c>
      <c r="AF783" s="12"/>
      <c r="AG783" s="12"/>
      <c r="AH783" s="12"/>
      <c r="AI783" s="12"/>
      <c r="AJ783" s="12"/>
      <c r="AK783" s="12"/>
      <c r="AL783" s="12"/>
      <c r="AM783" s="12"/>
      <c r="AN783" s="12" t="s">
        <v>1192</v>
      </c>
      <c r="AO783" s="12"/>
      <c r="AP783" s="12"/>
      <c r="AQ783" s="8"/>
      <c r="AR783" s="34" t="s">
        <v>94</v>
      </c>
      <c r="AS783" s="34" t="s">
        <v>94</v>
      </c>
      <c r="AT783" s="8"/>
      <c r="AU783" s="12" t="s">
        <v>1936</v>
      </c>
      <c r="AW783" s="90">
        <v>6</v>
      </c>
      <c r="AX783" s="23">
        <f>VLOOKUP(AW783,색인!$N$14:$O$19,2,FALSE)</f>
        <v>4</v>
      </c>
      <c r="AY783" s="23" t="str">
        <f>"T"&amp;O783&amp;"_"&amp;AX783&amp;"옵션_"&amp;VLOOKUP(E783,색인!$J$25:$K$29,2,FALSE)</f>
        <v>T6_4옵션_장신구</v>
      </c>
      <c r="AZ783" s="23">
        <f>VLOOKUP(G783,색인!$J$32:$K$45,2,FALSE)</f>
        <v>2</v>
      </c>
      <c r="BA783" s="23" t="str">
        <f>_xlfn.IFNA(VLOOKUP(AY783,표1[[검색용]:[OptionGroupIndex'[']22]],EquipItemTable!AZ783,FALSE),"옵션고정안함")</f>
        <v>6431</v>
      </c>
    </row>
    <row r="784" spans="1:53" s="1" customFormat="1" ht="12" x14ac:dyDescent="0.2">
      <c r="A784" s="13" t="s">
        <v>1016</v>
      </c>
      <c r="B784" s="39">
        <v>53039</v>
      </c>
      <c r="C784" s="42" t="s">
        <v>3528</v>
      </c>
      <c r="D784" s="10" t="s">
        <v>79</v>
      </c>
      <c r="E784" s="10" t="s">
        <v>0</v>
      </c>
      <c r="F784" s="1" t="s">
        <v>456</v>
      </c>
      <c r="G784" s="1" t="s">
        <v>1308</v>
      </c>
      <c r="N784" s="8"/>
      <c r="O784" s="12" t="s">
        <v>747</v>
      </c>
      <c r="P784" s="1">
        <v>61</v>
      </c>
      <c r="W784" s="1">
        <v>6037</v>
      </c>
      <c r="X784" s="1">
        <f t="shared" si="87"/>
        <v>6037</v>
      </c>
      <c r="AB784" s="11"/>
      <c r="AC784" s="82"/>
      <c r="AD784" s="12" t="s">
        <v>336</v>
      </c>
      <c r="AE784" s="39" t="str">
        <f>BA784</f>
        <v>6431</v>
      </c>
      <c r="AF784" s="12"/>
      <c r="AG784" s="12"/>
      <c r="AH784" s="12"/>
      <c r="AI784" s="12"/>
      <c r="AJ784" s="12"/>
      <c r="AK784" s="12"/>
      <c r="AL784" s="12"/>
      <c r="AM784" s="12"/>
      <c r="AN784" s="12" t="s">
        <v>369</v>
      </c>
      <c r="AO784" s="12"/>
      <c r="AP784" s="12"/>
      <c r="AQ784" s="8"/>
      <c r="AR784" s="34" t="s">
        <v>94</v>
      </c>
      <c r="AS784" s="34" t="s">
        <v>94</v>
      </c>
      <c r="AT784" s="8"/>
      <c r="AU784" s="12" t="s">
        <v>1936</v>
      </c>
      <c r="AW784" s="90">
        <v>6</v>
      </c>
      <c r="AX784" s="23">
        <f>VLOOKUP(AW784,색인!$N$14:$O$19,2,FALSE)</f>
        <v>4</v>
      </c>
      <c r="AY784" s="23" t="str">
        <f>"T"&amp;O784&amp;"_"&amp;AX784&amp;"옵션_"&amp;VLOOKUP(E784,색인!$J$25:$K$29,2,FALSE)</f>
        <v>T6_4옵션_장신구</v>
      </c>
      <c r="AZ784" s="23">
        <f>VLOOKUP(G784,색인!$J$32:$K$45,2,FALSE)</f>
        <v>2</v>
      </c>
      <c r="BA784" s="23" t="str">
        <f>_xlfn.IFNA(VLOOKUP(AY784,표1[[검색용]:[OptionGroupIndex'[']22]],EquipItemTable!AZ784,FALSE),"옵션고정안함")</f>
        <v>6431</v>
      </c>
    </row>
    <row r="785" spans="1:53" s="1" customFormat="1" ht="12" x14ac:dyDescent="0.2">
      <c r="A785" s="13" t="s">
        <v>1017</v>
      </c>
      <c r="B785" s="39">
        <v>53028</v>
      </c>
      <c r="C785" s="42" t="s">
        <v>3529</v>
      </c>
      <c r="D785" s="10" t="s">
        <v>79</v>
      </c>
      <c r="E785" s="10" t="s">
        <v>0</v>
      </c>
      <c r="F785" s="1" t="s">
        <v>456</v>
      </c>
      <c r="G785" s="1" t="s">
        <v>1308</v>
      </c>
      <c r="N785" s="8"/>
      <c r="O785" s="12" t="s">
        <v>747</v>
      </c>
      <c r="P785" s="1">
        <v>61</v>
      </c>
      <c r="W785" s="1">
        <v>6037</v>
      </c>
      <c r="X785" s="1">
        <f t="shared" si="87"/>
        <v>6037</v>
      </c>
      <c r="AB785" s="11"/>
      <c r="AC785" s="82"/>
      <c r="AD785" s="12" t="s">
        <v>336</v>
      </c>
      <c r="AE785" s="39" t="str">
        <f>BA785</f>
        <v>6431</v>
      </c>
      <c r="AF785" s="12"/>
      <c r="AG785" s="12"/>
      <c r="AH785" s="12"/>
      <c r="AI785" s="12"/>
      <c r="AJ785" s="12"/>
      <c r="AK785" s="12"/>
      <c r="AL785" s="12"/>
      <c r="AM785" s="12"/>
      <c r="AN785" s="12" t="s">
        <v>1194</v>
      </c>
      <c r="AO785" s="12"/>
      <c r="AP785" s="12"/>
      <c r="AQ785" s="8"/>
      <c r="AR785" s="34" t="s">
        <v>94</v>
      </c>
      <c r="AS785" s="34" t="s">
        <v>94</v>
      </c>
      <c r="AT785" s="8"/>
      <c r="AU785" s="12" t="s">
        <v>1936</v>
      </c>
      <c r="AW785" s="90">
        <v>6</v>
      </c>
      <c r="AX785" s="23">
        <f>VLOOKUP(AW785,색인!$N$14:$O$19,2,FALSE)</f>
        <v>4</v>
      </c>
      <c r="AY785" s="23" t="str">
        <f>"T"&amp;O785&amp;"_"&amp;AX785&amp;"옵션_"&amp;VLOOKUP(E785,색인!$J$25:$K$29,2,FALSE)</f>
        <v>T6_4옵션_장신구</v>
      </c>
      <c r="AZ785" s="23">
        <f>VLOOKUP(G785,색인!$J$32:$K$45,2,FALSE)</f>
        <v>2</v>
      </c>
      <c r="BA785" s="23" t="str">
        <f>_xlfn.IFNA(VLOOKUP(AY785,표1[[검색용]:[OptionGroupIndex'[']22]],EquipItemTable!AZ785,FALSE),"옵션고정안함")</f>
        <v>6431</v>
      </c>
    </row>
    <row r="786" spans="1:53" ht="12" customHeight="1" x14ac:dyDescent="0.2">
      <c r="A786" s="13" t="s">
        <v>659</v>
      </c>
      <c r="B786" s="39">
        <v>53401</v>
      </c>
      <c r="C786" s="42" t="s">
        <v>3539</v>
      </c>
      <c r="D786" s="10" t="s">
        <v>79</v>
      </c>
      <c r="E786" s="10" t="s">
        <v>0</v>
      </c>
      <c r="F786" s="1" t="s">
        <v>456</v>
      </c>
      <c r="G786" s="1" t="s">
        <v>1308</v>
      </c>
      <c r="H786" s="1"/>
      <c r="I786" s="1"/>
      <c r="J786" s="1"/>
      <c r="K786" s="1"/>
      <c r="L786" s="1"/>
      <c r="M786" s="1"/>
      <c r="O786" s="12" t="s">
        <v>94</v>
      </c>
      <c r="P786" s="1">
        <v>1</v>
      </c>
      <c r="Q786" s="1"/>
      <c r="R786" s="1"/>
      <c r="S786" s="1"/>
      <c r="T786" s="1"/>
      <c r="U786" s="1"/>
      <c r="V786" s="1"/>
      <c r="W786" s="1">
        <f>ROUNDDOWN(W749*1.1,0)</f>
        <v>242</v>
      </c>
      <c r="X786" s="1">
        <f t="shared" ref="X786:X800" si="88">W786</f>
        <v>242</v>
      </c>
      <c r="Y786" s="1"/>
      <c r="Z786" s="1"/>
      <c r="AA786" s="1"/>
      <c r="AB786" s="11"/>
      <c r="AC786" s="82"/>
      <c r="AD786" s="12" t="s">
        <v>868</v>
      </c>
      <c r="AE786" s="39" t="str">
        <f t="shared" ref="AE786:AE796" si="89">BA786</f>
        <v>1331</v>
      </c>
      <c r="AN786" s="12" t="s">
        <v>2833</v>
      </c>
      <c r="AR786" s="34" t="s">
        <v>94</v>
      </c>
      <c r="AS786" s="34" t="s">
        <v>94</v>
      </c>
      <c r="AU786" s="12" t="s">
        <v>1937</v>
      </c>
      <c r="AV786" s="13"/>
      <c r="AW786" s="39">
        <v>5</v>
      </c>
      <c r="AX786" s="12">
        <f>VLOOKUP(AW786,색인!$N$14:$O$19,2,FALSE)</f>
        <v>3</v>
      </c>
      <c r="AY786" s="39" t="str">
        <f>"T"&amp;O786&amp;"_"&amp;AX786&amp;"옵션_"&amp;VLOOKUP(E786,색인!$J$25:$K$29,2,FALSE)</f>
        <v>T1_3옵션_장신구</v>
      </c>
      <c r="AZ786" s="39">
        <f>VLOOKUP(G786,색인!$J$32:$K$45,2,FALSE)</f>
        <v>2</v>
      </c>
      <c r="BA786" s="39" t="str">
        <f>_xlfn.IFNA(VLOOKUP(AY786,표1[[검색용]:[OptionGroupIndex'[']22]],EquipItemTable!AZ786,FALSE),"옵션고정안함")</f>
        <v>1331</v>
      </c>
    </row>
    <row r="787" spans="1:53" ht="12" customHeight="1" x14ac:dyDescent="0.2">
      <c r="A787" s="13" t="s">
        <v>660</v>
      </c>
      <c r="B787" s="39">
        <v>53402</v>
      </c>
      <c r="C787" s="42" t="s">
        <v>3539</v>
      </c>
      <c r="D787" s="10" t="s">
        <v>79</v>
      </c>
      <c r="E787" s="10" t="s">
        <v>0</v>
      </c>
      <c r="F787" s="1" t="s">
        <v>456</v>
      </c>
      <c r="G787" s="1" t="s">
        <v>1308</v>
      </c>
      <c r="H787" s="1"/>
      <c r="I787" s="1"/>
      <c r="J787" s="1"/>
      <c r="K787" s="1"/>
      <c r="L787" s="1"/>
      <c r="M787" s="1"/>
      <c r="O787" s="12" t="s">
        <v>95</v>
      </c>
      <c r="P787" s="1">
        <v>21</v>
      </c>
      <c r="Q787" s="1"/>
      <c r="R787" s="1"/>
      <c r="S787" s="1"/>
      <c r="T787" s="1"/>
      <c r="U787" s="1"/>
      <c r="V787" s="1"/>
      <c r="W787" s="1">
        <f>ROUNDDOWN(W753*1.1,0)</f>
        <v>546</v>
      </c>
      <c r="X787" s="1">
        <f t="shared" si="88"/>
        <v>546</v>
      </c>
      <c r="Y787" s="1"/>
      <c r="Z787" s="1"/>
      <c r="AA787" s="1"/>
      <c r="AB787" s="11"/>
      <c r="AC787" s="82"/>
      <c r="AD787" s="12" t="s">
        <v>868</v>
      </c>
      <c r="AE787" s="39" t="str">
        <f t="shared" si="89"/>
        <v>2331</v>
      </c>
      <c r="AN787" s="12" t="s">
        <v>2833</v>
      </c>
      <c r="AR787" s="34" t="s">
        <v>94</v>
      </c>
      <c r="AS787" s="34" t="s">
        <v>94</v>
      </c>
      <c r="AU787" s="12" t="s">
        <v>1937</v>
      </c>
      <c r="AV787" s="13"/>
      <c r="AW787" s="39">
        <v>5</v>
      </c>
      <c r="AX787" s="12">
        <f>VLOOKUP(AW787,색인!$N$14:$O$19,2,FALSE)</f>
        <v>3</v>
      </c>
      <c r="AY787" s="39" t="str">
        <f>"T"&amp;O787&amp;"_"&amp;AX787&amp;"옵션_"&amp;VLOOKUP(E787,색인!$J$25:$K$29,2,FALSE)</f>
        <v>T2_3옵션_장신구</v>
      </c>
      <c r="AZ787" s="39">
        <f>VLOOKUP(G787,색인!$J$32:$K$45,2,FALSE)</f>
        <v>2</v>
      </c>
      <c r="BA787" s="39" t="str">
        <f>_xlfn.IFNA(VLOOKUP(AY787,표1[[검색용]:[OptionGroupIndex'[']22]],EquipItemTable!AZ787,FALSE),"옵션고정안함")</f>
        <v>2331</v>
      </c>
    </row>
    <row r="788" spans="1:53" ht="12" customHeight="1" x14ac:dyDescent="0.2">
      <c r="A788" s="13" t="s">
        <v>661</v>
      </c>
      <c r="B788" s="39">
        <v>53403</v>
      </c>
      <c r="C788" s="42" t="s">
        <v>3539</v>
      </c>
      <c r="D788" s="10" t="s">
        <v>79</v>
      </c>
      <c r="E788" s="10" t="s">
        <v>0</v>
      </c>
      <c r="F788" s="1" t="s">
        <v>90</v>
      </c>
      <c r="G788" s="1" t="s">
        <v>1308</v>
      </c>
      <c r="H788" s="1"/>
      <c r="I788" s="1"/>
      <c r="J788" s="1"/>
      <c r="K788" s="1"/>
      <c r="L788" s="1"/>
      <c r="M788" s="1"/>
      <c r="N788" s="81"/>
      <c r="O788" s="12" t="s">
        <v>96</v>
      </c>
      <c r="P788" s="1">
        <v>31</v>
      </c>
      <c r="Q788" s="13"/>
      <c r="R788" s="13"/>
      <c r="S788" s="13"/>
      <c r="T788" s="13"/>
      <c r="U788" s="13"/>
      <c r="V788" s="1"/>
      <c r="W788" s="1">
        <f>ROUNDDOWN(W757*1.1,0)</f>
        <v>1128</v>
      </c>
      <c r="X788" s="1">
        <f t="shared" si="88"/>
        <v>1128</v>
      </c>
      <c r="Y788" s="13"/>
      <c r="Z788" s="13"/>
      <c r="AA788" s="13"/>
      <c r="AB788" s="13"/>
      <c r="AC788" s="82"/>
      <c r="AD788" s="23" t="s">
        <v>52</v>
      </c>
      <c r="AE788" s="90" t="str">
        <f t="shared" si="89"/>
        <v>3331</v>
      </c>
      <c r="AF788" s="23"/>
      <c r="AI788" s="23"/>
      <c r="AJ788" s="23"/>
      <c r="AK788" s="23"/>
      <c r="AL788" s="23"/>
      <c r="AM788" s="23"/>
      <c r="AN788" s="12" t="s">
        <v>2833</v>
      </c>
      <c r="AO788" s="23"/>
      <c r="AP788" s="23"/>
      <c r="AQ788" s="81"/>
      <c r="AR788" s="83">
        <v>1</v>
      </c>
      <c r="AS788" s="83">
        <v>1</v>
      </c>
      <c r="AT788" s="81"/>
      <c r="AU788" s="12" t="s">
        <v>1937</v>
      </c>
      <c r="AV788" s="13"/>
      <c r="AW788" s="39">
        <v>5</v>
      </c>
      <c r="AX788" s="12">
        <f>VLOOKUP(AW788,색인!$N$14:$O$19,2,FALSE)</f>
        <v>3</v>
      </c>
      <c r="AY788" s="39" t="str">
        <f>"T"&amp;O788&amp;"_"&amp;AX788&amp;"옵션_"&amp;VLOOKUP(E788,색인!$J$25:$K$29,2,FALSE)</f>
        <v>T3_3옵션_장신구</v>
      </c>
      <c r="AZ788" s="39">
        <f>VLOOKUP(G788,색인!$J$32:$K$45,2,FALSE)</f>
        <v>2</v>
      </c>
      <c r="BA788" s="39" t="str">
        <f>_xlfn.IFNA(VLOOKUP(AY788,표1[[검색용]:[OptionGroupIndex'[']22]],EquipItemTable!AZ788,FALSE),"옵션고정안함")</f>
        <v>3331</v>
      </c>
    </row>
    <row r="789" spans="1:53" ht="12" customHeight="1" x14ac:dyDescent="0.2">
      <c r="A789" s="13" t="s">
        <v>662</v>
      </c>
      <c r="B789" s="39">
        <v>53404</v>
      </c>
      <c r="C789" s="42" t="s">
        <v>3539</v>
      </c>
      <c r="D789" s="10" t="s">
        <v>79</v>
      </c>
      <c r="E789" s="10" t="s">
        <v>0</v>
      </c>
      <c r="F789" s="1" t="s">
        <v>90</v>
      </c>
      <c r="G789" s="1" t="s">
        <v>1308</v>
      </c>
      <c r="H789" s="1"/>
      <c r="I789" s="1"/>
      <c r="J789" s="1"/>
      <c r="K789" s="1"/>
      <c r="L789" s="1"/>
      <c r="M789" s="1"/>
      <c r="O789" s="12" t="s">
        <v>97</v>
      </c>
      <c r="P789" s="1">
        <v>41</v>
      </c>
      <c r="Q789" s="1"/>
      <c r="R789" s="1"/>
      <c r="S789" s="1"/>
      <c r="T789" s="1"/>
      <c r="U789" s="1"/>
      <c r="V789" s="1"/>
      <c r="W789" s="1">
        <f>ROUNDDOWN(W765*1.1,0)</f>
        <v>2202</v>
      </c>
      <c r="X789" s="1">
        <f t="shared" si="88"/>
        <v>2202</v>
      </c>
      <c r="Y789" s="1"/>
      <c r="Z789" s="1"/>
      <c r="AA789" s="1"/>
      <c r="AB789" s="11"/>
      <c r="AC789" s="82"/>
      <c r="AD789" s="12" t="s">
        <v>52</v>
      </c>
      <c r="AE789" s="39" t="str">
        <f t="shared" si="89"/>
        <v>4331</v>
      </c>
      <c r="AN789" s="12" t="s">
        <v>2833</v>
      </c>
      <c r="AR789" s="34" t="s">
        <v>94</v>
      </c>
      <c r="AS789" s="34" t="s">
        <v>94</v>
      </c>
      <c r="AU789" s="12" t="s">
        <v>1937</v>
      </c>
      <c r="AV789" s="13" t="s">
        <v>43</v>
      </c>
      <c r="AW789" s="39">
        <v>5</v>
      </c>
      <c r="AX789" s="12">
        <f>VLOOKUP(AW789,색인!$N$14:$O$19,2,FALSE)</f>
        <v>3</v>
      </c>
      <c r="AY789" s="39" t="str">
        <f>"T"&amp;O789&amp;"_"&amp;AX789&amp;"옵션_"&amp;VLOOKUP(E789,색인!$J$25:$K$29,2,FALSE)</f>
        <v>T4_3옵션_장신구</v>
      </c>
      <c r="AZ789" s="39">
        <f>VLOOKUP(G789,색인!$J$32:$K$45,2,FALSE)</f>
        <v>2</v>
      </c>
      <c r="BA789" s="39" t="str">
        <f>_xlfn.IFNA(VLOOKUP(AY789,표1[[검색용]:[OptionGroupIndex'[']22]],EquipItemTable!AZ789,FALSE),"옵션고정안함")</f>
        <v>4331</v>
      </c>
    </row>
    <row r="790" spans="1:53" ht="12" customHeight="1" x14ac:dyDescent="0.2">
      <c r="A790" s="13" t="s">
        <v>663</v>
      </c>
      <c r="B790" s="39">
        <v>53405</v>
      </c>
      <c r="C790" s="42" t="s">
        <v>3539</v>
      </c>
      <c r="D790" s="10" t="s">
        <v>79</v>
      </c>
      <c r="E790" s="10" t="s">
        <v>0</v>
      </c>
      <c r="F790" s="1" t="s">
        <v>456</v>
      </c>
      <c r="G790" s="1" t="s">
        <v>1308</v>
      </c>
      <c r="H790" s="1"/>
      <c r="I790" s="1"/>
      <c r="J790" s="1"/>
      <c r="K790" s="1"/>
      <c r="L790" s="1"/>
      <c r="M790" s="1"/>
      <c r="O790" s="12" t="s">
        <v>430</v>
      </c>
      <c r="P790" s="1">
        <v>51</v>
      </c>
      <c r="Q790" s="1"/>
      <c r="R790" s="1"/>
      <c r="S790" s="1"/>
      <c r="T790" s="1"/>
      <c r="U790" s="1"/>
      <c r="V790" s="1"/>
      <c r="W790" s="1">
        <f>ROUNDDOWN(W773*1.1,0)</f>
        <v>4149</v>
      </c>
      <c r="X790" s="1">
        <f t="shared" si="88"/>
        <v>4149</v>
      </c>
      <c r="Y790" s="1"/>
      <c r="Z790" s="1"/>
      <c r="AA790" s="1"/>
      <c r="AB790" s="11"/>
      <c r="AC790" s="82"/>
      <c r="AD790" s="12" t="s">
        <v>98</v>
      </c>
      <c r="AE790" s="39" t="str">
        <f t="shared" si="89"/>
        <v>5331</v>
      </c>
      <c r="AN790" s="12" t="s">
        <v>2833</v>
      </c>
      <c r="AR790" s="34" t="s">
        <v>94</v>
      </c>
      <c r="AS790" s="34" t="s">
        <v>94</v>
      </c>
      <c r="AU790" s="12" t="s">
        <v>1937</v>
      </c>
      <c r="AV790" s="13"/>
      <c r="AW790" s="39">
        <v>5</v>
      </c>
      <c r="AX790" s="12">
        <f>VLOOKUP(AW790,색인!$N$14:$O$19,2,FALSE)</f>
        <v>3</v>
      </c>
      <c r="AY790" s="39" t="str">
        <f>"T"&amp;O790&amp;"_"&amp;AX790&amp;"옵션_"&amp;VLOOKUP(E790,색인!$J$25:$K$29,2,FALSE)</f>
        <v>T5_3옵션_장신구</v>
      </c>
      <c r="AZ790" s="39">
        <f>VLOOKUP(G790,색인!$J$32:$K$45,2,FALSE)</f>
        <v>2</v>
      </c>
      <c r="BA790" s="39" t="str">
        <f>_xlfn.IFNA(VLOOKUP(AY790,표1[[검색용]:[OptionGroupIndex'[']22]],EquipItemTable!AZ790,FALSE),"옵션고정안함")</f>
        <v>5331</v>
      </c>
    </row>
    <row r="791" spans="1:53" s="1" customFormat="1" ht="12" x14ac:dyDescent="0.2">
      <c r="A791" s="13" t="s">
        <v>779</v>
      </c>
      <c r="B791" s="39">
        <v>53406</v>
      </c>
      <c r="C791" s="42" t="s">
        <v>3539</v>
      </c>
      <c r="D791" s="10" t="s">
        <v>79</v>
      </c>
      <c r="E791" s="10" t="s">
        <v>0</v>
      </c>
      <c r="F791" s="1" t="s">
        <v>456</v>
      </c>
      <c r="G791" s="1" t="s">
        <v>1308</v>
      </c>
      <c r="N791" s="8"/>
      <c r="O791" s="12" t="s">
        <v>755</v>
      </c>
      <c r="P791" s="1">
        <v>61</v>
      </c>
      <c r="W791" s="1">
        <v>6052</v>
      </c>
      <c r="X791" s="1">
        <f t="shared" si="88"/>
        <v>6052</v>
      </c>
      <c r="AB791" s="11"/>
      <c r="AC791" s="82"/>
      <c r="AD791" s="12" t="s">
        <v>756</v>
      </c>
      <c r="AE791" s="39" t="str">
        <f t="shared" si="89"/>
        <v>6331</v>
      </c>
      <c r="AF791" s="12"/>
      <c r="AG791" s="12"/>
      <c r="AH791" s="12"/>
      <c r="AI791" s="12"/>
      <c r="AJ791" s="12"/>
      <c r="AK791" s="12"/>
      <c r="AL791" s="12"/>
      <c r="AM791" s="12"/>
      <c r="AN791" s="12" t="s">
        <v>2833</v>
      </c>
      <c r="AO791" s="12"/>
      <c r="AP791" s="12"/>
      <c r="AQ791" s="8"/>
      <c r="AR791" s="34" t="s">
        <v>865</v>
      </c>
      <c r="AS791" s="34" t="s">
        <v>865</v>
      </c>
      <c r="AT791" s="85"/>
      <c r="AU791" s="12" t="s">
        <v>1937</v>
      </c>
      <c r="AW791" s="90">
        <v>5</v>
      </c>
      <c r="AX791" s="23">
        <f>VLOOKUP(AW791,색인!$N$14:$O$19,2,FALSE)</f>
        <v>3</v>
      </c>
      <c r="AY791" s="90" t="str">
        <f>"T"&amp;O791&amp;"_"&amp;AX791&amp;"옵션_"&amp;VLOOKUP(E791,색인!$J$25:$K$29,2,FALSE)</f>
        <v>T6_3옵션_장신구</v>
      </c>
      <c r="AZ791" s="90">
        <f>VLOOKUP(G791,색인!$J$32:$K$45,2,FALSE)</f>
        <v>2</v>
      </c>
      <c r="BA791" s="90" t="str">
        <f>_xlfn.IFNA(VLOOKUP(AY791,표1[[검색용]:[OptionGroupIndex'[']22]],EquipItemTable!AZ791,FALSE),"옵션고정안함")</f>
        <v>6331</v>
      </c>
    </row>
    <row r="792" spans="1:53" s="1" customFormat="1" ht="12" x14ac:dyDescent="0.2">
      <c r="A792" s="13" t="s">
        <v>1223</v>
      </c>
      <c r="B792" s="39">
        <v>53407</v>
      </c>
      <c r="C792" s="42" t="s">
        <v>3540</v>
      </c>
      <c r="D792" s="10" t="s">
        <v>79</v>
      </c>
      <c r="E792" s="10" t="s">
        <v>0</v>
      </c>
      <c r="F792" s="1" t="s">
        <v>456</v>
      </c>
      <c r="G792" s="1" t="s">
        <v>1308</v>
      </c>
      <c r="N792" s="8"/>
      <c r="O792" s="12" t="s">
        <v>747</v>
      </c>
      <c r="P792" s="1">
        <v>61</v>
      </c>
      <c r="W792" s="1">
        <v>6052</v>
      </c>
      <c r="X792" s="1">
        <f t="shared" ref="X792:X796" si="90">W792</f>
        <v>6052</v>
      </c>
      <c r="AB792" s="11"/>
      <c r="AC792" s="82"/>
      <c r="AD792" s="12" t="s">
        <v>336</v>
      </c>
      <c r="AE792" s="39" t="str">
        <f t="shared" si="89"/>
        <v>6331</v>
      </c>
      <c r="AF792" s="12"/>
      <c r="AG792" s="12"/>
      <c r="AH792" s="12"/>
      <c r="AI792" s="12"/>
      <c r="AJ792" s="12"/>
      <c r="AK792" s="12"/>
      <c r="AL792" s="12"/>
      <c r="AM792" s="12"/>
      <c r="AN792" s="12" t="s">
        <v>1222</v>
      </c>
      <c r="AO792" s="12"/>
      <c r="AP792" s="12"/>
      <c r="AQ792" s="8"/>
      <c r="AR792" s="34" t="s">
        <v>865</v>
      </c>
      <c r="AS792" s="34" t="s">
        <v>865</v>
      </c>
      <c r="AT792" s="85"/>
      <c r="AU792" s="12" t="s">
        <v>1937</v>
      </c>
      <c r="AW792" s="90">
        <v>5</v>
      </c>
      <c r="AX792" s="23">
        <f>VLOOKUP(AW792,색인!$N$14:$O$19,2,FALSE)</f>
        <v>3</v>
      </c>
      <c r="AY792" s="90" t="str">
        <f>"T"&amp;O792&amp;"_"&amp;AX792&amp;"옵션_"&amp;VLOOKUP(E792,색인!$J$25:$K$29,2,FALSE)</f>
        <v>T6_3옵션_장신구</v>
      </c>
      <c r="AZ792" s="90">
        <f>VLOOKUP(G792,색인!$J$32:$K$45,2,FALSE)</f>
        <v>2</v>
      </c>
      <c r="BA792" s="90" t="str">
        <f>_xlfn.IFNA(VLOOKUP(AY792,표1[[검색용]:[OptionGroupIndex'[']22]],EquipItemTable!AZ792,FALSE),"옵션고정안함")</f>
        <v>6331</v>
      </c>
    </row>
    <row r="793" spans="1:53" s="1" customFormat="1" ht="12" x14ac:dyDescent="0.2">
      <c r="A793" s="13" t="s">
        <v>1224</v>
      </c>
      <c r="B793" s="39">
        <v>53408</v>
      </c>
      <c r="C793" s="42" t="s">
        <v>3541</v>
      </c>
      <c r="D793" s="10" t="s">
        <v>79</v>
      </c>
      <c r="E793" s="10" t="s">
        <v>0</v>
      </c>
      <c r="F793" s="1" t="s">
        <v>456</v>
      </c>
      <c r="G793" s="1" t="s">
        <v>1308</v>
      </c>
      <c r="J793" s="27"/>
      <c r="K793" s="27"/>
      <c r="L793" s="27"/>
      <c r="M793" s="27"/>
      <c r="N793" s="8"/>
      <c r="O793" s="12" t="s">
        <v>747</v>
      </c>
      <c r="P793" s="1">
        <v>61</v>
      </c>
      <c r="W793" s="1">
        <v>6052</v>
      </c>
      <c r="X793" s="1">
        <f t="shared" si="90"/>
        <v>6052</v>
      </c>
      <c r="AB793" s="11"/>
      <c r="AC793" s="82"/>
      <c r="AD793" s="12" t="s">
        <v>336</v>
      </c>
      <c r="AE793" s="39" t="str">
        <f t="shared" si="89"/>
        <v>6331</v>
      </c>
      <c r="AF793" s="12"/>
      <c r="AG793" s="29"/>
      <c r="AH793" s="29"/>
      <c r="AI793" s="12"/>
      <c r="AJ793" s="12"/>
      <c r="AK793" s="12"/>
      <c r="AL793" s="12"/>
      <c r="AM793" s="12"/>
      <c r="AN793" s="12" t="s">
        <v>1213</v>
      </c>
      <c r="AO793" s="12"/>
      <c r="AP793" s="12"/>
      <c r="AQ793" s="8"/>
      <c r="AR793" s="34" t="s">
        <v>865</v>
      </c>
      <c r="AS793" s="34" t="s">
        <v>865</v>
      </c>
      <c r="AT793" s="85"/>
      <c r="AU793" s="12" t="s">
        <v>1937</v>
      </c>
      <c r="AW793" s="90">
        <v>5</v>
      </c>
      <c r="AX793" s="23">
        <f>VLOOKUP(AW793,색인!$N$14:$O$19,2,FALSE)</f>
        <v>3</v>
      </c>
      <c r="AY793" s="90" t="str">
        <f>"T"&amp;O793&amp;"_"&amp;AX793&amp;"옵션_"&amp;VLOOKUP(E793,색인!$J$25:$K$29,2,FALSE)</f>
        <v>T6_3옵션_장신구</v>
      </c>
      <c r="AZ793" s="90">
        <f>VLOOKUP(G793,색인!$J$32:$K$45,2,FALSE)</f>
        <v>2</v>
      </c>
      <c r="BA793" s="90" t="str">
        <f>_xlfn.IFNA(VLOOKUP(AY793,표1[[검색용]:[OptionGroupIndex'[']22]],EquipItemTable!AZ793,FALSE),"옵션고정안함")</f>
        <v>6331</v>
      </c>
    </row>
    <row r="794" spans="1:53" s="1" customFormat="1" ht="12" x14ac:dyDescent="0.2">
      <c r="A794" s="13" t="s">
        <v>1225</v>
      </c>
      <c r="B794" s="39">
        <v>53409</v>
      </c>
      <c r="C794" s="42" t="s">
        <v>3542</v>
      </c>
      <c r="D794" s="10" t="s">
        <v>79</v>
      </c>
      <c r="E794" s="10" t="s">
        <v>0</v>
      </c>
      <c r="F794" s="1" t="s">
        <v>456</v>
      </c>
      <c r="G794" s="1" t="s">
        <v>1308</v>
      </c>
      <c r="J794" s="27"/>
      <c r="K794" s="27"/>
      <c r="L794" s="27"/>
      <c r="M794" s="27"/>
      <c r="N794" s="8"/>
      <c r="O794" s="12" t="s">
        <v>747</v>
      </c>
      <c r="P794" s="1">
        <v>61</v>
      </c>
      <c r="W794" s="1">
        <v>6052</v>
      </c>
      <c r="X794" s="1">
        <f t="shared" si="90"/>
        <v>6052</v>
      </c>
      <c r="AB794" s="11"/>
      <c r="AC794" s="82"/>
      <c r="AD794" s="12" t="s">
        <v>336</v>
      </c>
      <c r="AE794" s="39" t="str">
        <f t="shared" si="89"/>
        <v>6331</v>
      </c>
      <c r="AF794" s="12"/>
      <c r="AG794" s="29"/>
      <c r="AH794" s="29"/>
      <c r="AI794" s="12"/>
      <c r="AJ794" s="12"/>
      <c r="AK794" s="12"/>
      <c r="AL794" s="12"/>
      <c r="AM794" s="12"/>
      <c r="AN794" s="12" t="s">
        <v>1214</v>
      </c>
      <c r="AO794" s="12"/>
      <c r="AP794" s="12"/>
      <c r="AQ794" s="8"/>
      <c r="AR794" s="34" t="s">
        <v>865</v>
      </c>
      <c r="AS794" s="34" t="s">
        <v>865</v>
      </c>
      <c r="AT794" s="85"/>
      <c r="AU794" s="12" t="s">
        <v>1937</v>
      </c>
      <c r="AW794" s="90">
        <v>5</v>
      </c>
      <c r="AX794" s="23">
        <f>VLOOKUP(AW794,색인!$N$14:$O$19,2,FALSE)</f>
        <v>3</v>
      </c>
      <c r="AY794" s="90" t="str">
        <f>"T"&amp;O794&amp;"_"&amp;AX794&amp;"옵션_"&amp;VLOOKUP(E794,색인!$J$25:$K$29,2,FALSE)</f>
        <v>T6_3옵션_장신구</v>
      </c>
      <c r="AZ794" s="90">
        <f>VLOOKUP(G794,색인!$J$32:$K$45,2,FALSE)</f>
        <v>2</v>
      </c>
      <c r="BA794" s="90" t="str">
        <f>_xlfn.IFNA(VLOOKUP(AY794,표1[[검색용]:[OptionGroupIndex'[']22]],EquipItemTable!AZ794,FALSE),"옵션고정안함")</f>
        <v>6331</v>
      </c>
    </row>
    <row r="795" spans="1:53" s="1" customFormat="1" ht="12" x14ac:dyDescent="0.2">
      <c r="A795" s="13" t="s">
        <v>1226</v>
      </c>
      <c r="B795" s="39">
        <v>53410</v>
      </c>
      <c r="C795" s="42" t="s">
        <v>3543</v>
      </c>
      <c r="D795" s="10" t="s">
        <v>79</v>
      </c>
      <c r="E795" s="10" t="s">
        <v>0</v>
      </c>
      <c r="F795" s="1" t="s">
        <v>456</v>
      </c>
      <c r="G795" s="1" t="s">
        <v>1308</v>
      </c>
      <c r="J795" s="27"/>
      <c r="K795" s="27"/>
      <c r="L795" s="27"/>
      <c r="M795" s="27"/>
      <c r="N795" s="8"/>
      <c r="O795" s="12" t="s">
        <v>747</v>
      </c>
      <c r="P795" s="1">
        <v>61</v>
      </c>
      <c r="W795" s="1">
        <v>6052</v>
      </c>
      <c r="X795" s="1">
        <f t="shared" si="90"/>
        <v>6052</v>
      </c>
      <c r="AB795" s="11"/>
      <c r="AC795" s="82"/>
      <c r="AD795" s="12" t="s">
        <v>336</v>
      </c>
      <c r="AE795" s="39" t="str">
        <f t="shared" si="89"/>
        <v>6331</v>
      </c>
      <c r="AF795" s="12"/>
      <c r="AG795" s="29"/>
      <c r="AH795" s="29"/>
      <c r="AI795" s="12"/>
      <c r="AJ795" s="12"/>
      <c r="AK795" s="12"/>
      <c r="AL795" s="12"/>
      <c r="AM795" s="12"/>
      <c r="AN795" s="12" t="s">
        <v>1215</v>
      </c>
      <c r="AO795" s="12"/>
      <c r="AP795" s="12"/>
      <c r="AQ795" s="8"/>
      <c r="AR795" s="34" t="s">
        <v>865</v>
      </c>
      <c r="AS795" s="34" t="s">
        <v>865</v>
      </c>
      <c r="AT795" s="85"/>
      <c r="AU795" s="12" t="s">
        <v>1937</v>
      </c>
      <c r="AW795" s="90">
        <v>5</v>
      </c>
      <c r="AX795" s="23">
        <f>VLOOKUP(AW795,색인!$N$14:$O$19,2,FALSE)</f>
        <v>3</v>
      </c>
      <c r="AY795" s="90" t="str">
        <f>"T"&amp;O795&amp;"_"&amp;AX795&amp;"옵션_"&amp;VLOOKUP(E795,색인!$J$25:$K$29,2,FALSE)</f>
        <v>T6_3옵션_장신구</v>
      </c>
      <c r="AZ795" s="90">
        <f>VLOOKUP(G795,색인!$J$32:$K$45,2,FALSE)</f>
        <v>2</v>
      </c>
      <c r="BA795" s="90" t="str">
        <f>_xlfn.IFNA(VLOOKUP(AY795,표1[[검색용]:[OptionGroupIndex'[']22]],EquipItemTable!AZ795,FALSE),"옵션고정안함")</f>
        <v>6331</v>
      </c>
    </row>
    <row r="796" spans="1:53" s="1" customFormat="1" ht="12" x14ac:dyDescent="0.2">
      <c r="A796" s="13" t="s">
        <v>1227</v>
      </c>
      <c r="B796" s="39">
        <v>53411</v>
      </c>
      <c r="C796" s="42" t="s">
        <v>3544</v>
      </c>
      <c r="D796" s="10" t="s">
        <v>79</v>
      </c>
      <c r="E796" s="10" t="s">
        <v>0</v>
      </c>
      <c r="F796" s="1" t="s">
        <v>456</v>
      </c>
      <c r="G796" s="1" t="s">
        <v>1308</v>
      </c>
      <c r="J796" s="27"/>
      <c r="K796" s="27"/>
      <c r="L796" s="27"/>
      <c r="M796" s="27"/>
      <c r="N796" s="8"/>
      <c r="O796" s="12" t="s">
        <v>747</v>
      </c>
      <c r="P796" s="1">
        <v>61</v>
      </c>
      <c r="W796" s="1">
        <v>6052</v>
      </c>
      <c r="X796" s="1">
        <f t="shared" si="90"/>
        <v>6052</v>
      </c>
      <c r="AB796" s="11"/>
      <c r="AC796" s="82"/>
      <c r="AD796" s="12" t="s">
        <v>336</v>
      </c>
      <c r="AE796" s="39" t="str">
        <f t="shared" si="89"/>
        <v>6331</v>
      </c>
      <c r="AF796" s="12"/>
      <c r="AG796" s="29"/>
      <c r="AH796" s="29"/>
      <c r="AI796" s="12"/>
      <c r="AJ796" s="12"/>
      <c r="AK796" s="12"/>
      <c r="AL796" s="12"/>
      <c r="AM796" s="12"/>
      <c r="AN796" s="12" t="s">
        <v>1216</v>
      </c>
      <c r="AO796" s="12"/>
      <c r="AP796" s="12"/>
      <c r="AQ796" s="8"/>
      <c r="AR796" s="34" t="s">
        <v>865</v>
      </c>
      <c r="AS796" s="34" t="s">
        <v>865</v>
      </c>
      <c r="AT796" s="85"/>
      <c r="AU796" s="12" t="s">
        <v>1937</v>
      </c>
      <c r="AW796" s="90">
        <v>5</v>
      </c>
      <c r="AX796" s="23">
        <f>VLOOKUP(AW796,색인!$N$14:$O$19,2,FALSE)</f>
        <v>3</v>
      </c>
      <c r="AY796" s="90" t="str">
        <f>"T"&amp;O796&amp;"_"&amp;AX796&amp;"옵션_"&amp;VLOOKUP(E796,색인!$J$25:$K$29,2,FALSE)</f>
        <v>T6_3옵션_장신구</v>
      </c>
      <c r="AZ796" s="90">
        <f>VLOOKUP(G796,색인!$J$32:$K$45,2,FALSE)</f>
        <v>2</v>
      </c>
      <c r="BA796" s="90" t="str">
        <f>_xlfn.IFNA(VLOOKUP(AY796,표1[[검색용]:[OptionGroupIndex'[']22]],EquipItemTable!AZ796,FALSE),"옵션고정안함")</f>
        <v>6331</v>
      </c>
    </row>
    <row r="797" spans="1:53" s="1" customFormat="1" ht="12" x14ac:dyDescent="0.2">
      <c r="A797" s="24" t="s">
        <v>891</v>
      </c>
      <c r="B797" s="39">
        <v>53601</v>
      </c>
      <c r="C797" s="42" t="e">
        <v>#N/A</v>
      </c>
      <c r="D797" s="10" t="s">
        <v>2960</v>
      </c>
      <c r="E797" s="10" t="s">
        <v>435</v>
      </c>
      <c r="F797" s="1" t="s">
        <v>456</v>
      </c>
      <c r="G797" s="1" t="s">
        <v>1308</v>
      </c>
      <c r="J797" s="27"/>
      <c r="K797" s="27"/>
      <c r="L797" s="27"/>
      <c r="M797" s="27"/>
      <c r="N797" s="8"/>
      <c r="O797" s="12" t="s">
        <v>881</v>
      </c>
      <c r="P797" s="1">
        <v>31</v>
      </c>
      <c r="W797" s="1">
        <v>1392</v>
      </c>
      <c r="X797" s="1">
        <f t="shared" si="88"/>
        <v>1392</v>
      </c>
      <c r="AB797" s="11"/>
      <c r="AC797" s="82"/>
      <c r="AD797" s="12" t="s">
        <v>99</v>
      </c>
      <c r="AE797" s="12" t="s">
        <v>881</v>
      </c>
      <c r="AF797" s="12"/>
      <c r="AG797" s="29"/>
      <c r="AH797" s="29"/>
      <c r="AQ797" s="85"/>
      <c r="AR797" s="1">
        <v>1</v>
      </c>
      <c r="AS797" s="1">
        <v>1</v>
      </c>
      <c r="AT797" s="85"/>
      <c r="AU797" s="12" t="s">
        <v>1938</v>
      </c>
      <c r="AW797" s="90">
        <v>7</v>
      </c>
      <c r="AX797" s="23"/>
      <c r="AY797" s="23"/>
      <c r="AZ797" s="23"/>
      <c r="BA797" s="23"/>
    </row>
    <row r="798" spans="1:53" s="1" customFormat="1" ht="12" x14ac:dyDescent="0.2">
      <c r="A798" s="24" t="s">
        <v>892</v>
      </c>
      <c r="B798" s="39">
        <v>53602</v>
      </c>
      <c r="C798" s="42" t="e">
        <v>#N/A</v>
      </c>
      <c r="D798" s="10" t="s">
        <v>2960</v>
      </c>
      <c r="E798" s="10" t="s">
        <v>435</v>
      </c>
      <c r="F798" s="1" t="s">
        <v>456</v>
      </c>
      <c r="G798" s="1" t="s">
        <v>1308</v>
      </c>
      <c r="J798" s="27"/>
      <c r="K798" s="27"/>
      <c r="L798" s="27"/>
      <c r="M798" s="27"/>
      <c r="N798" s="8"/>
      <c r="O798" s="12" t="s">
        <v>882</v>
      </c>
      <c r="P798" s="1">
        <v>41</v>
      </c>
      <c r="W798" s="1">
        <v>2684</v>
      </c>
      <c r="X798" s="1">
        <f t="shared" si="88"/>
        <v>2684</v>
      </c>
      <c r="AB798" s="11"/>
      <c r="AC798" s="82"/>
      <c r="AD798" s="12" t="s">
        <v>99</v>
      </c>
      <c r="AE798" s="12" t="s">
        <v>551</v>
      </c>
      <c r="AF798" s="12"/>
      <c r="AG798" s="29"/>
      <c r="AH798" s="29"/>
      <c r="AQ798" s="85"/>
      <c r="AR798" s="1">
        <v>1</v>
      </c>
      <c r="AS798" s="1">
        <v>1</v>
      </c>
      <c r="AT798" s="85"/>
      <c r="AU798" s="12" t="s">
        <v>1938</v>
      </c>
      <c r="AW798" s="90">
        <v>7</v>
      </c>
      <c r="AX798" s="23"/>
      <c r="AY798" s="23"/>
      <c r="AZ798" s="23"/>
      <c r="BA798" s="23"/>
    </row>
    <row r="799" spans="1:53" s="1" customFormat="1" ht="12" x14ac:dyDescent="0.2">
      <c r="A799" s="24" t="s">
        <v>893</v>
      </c>
      <c r="B799" s="39">
        <v>53603</v>
      </c>
      <c r="C799" s="42" t="e">
        <v>#N/A</v>
      </c>
      <c r="D799" s="10" t="s">
        <v>2960</v>
      </c>
      <c r="E799" s="10" t="s">
        <v>435</v>
      </c>
      <c r="F799" s="1" t="s">
        <v>456</v>
      </c>
      <c r="G799" s="1" t="s">
        <v>1308</v>
      </c>
      <c r="J799" s="27"/>
      <c r="K799" s="27"/>
      <c r="L799" s="27"/>
      <c r="M799" s="27"/>
      <c r="N799" s="8"/>
      <c r="O799" s="12" t="s">
        <v>430</v>
      </c>
      <c r="P799" s="1">
        <v>51</v>
      </c>
      <c r="W799" s="1">
        <v>5008</v>
      </c>
      <c r="X799" s="1">
        <f t="shared" si="88"/>
        <v>5008</v>
      </c>
      <c r="AB799" s="11"/>
      <c r="AC799" s="82"/>
      <c r="AD799" s="12" t="s">
        <v>99</v>
      </c>
      <c r="AE799" s="12" t="s">
        <v>430</v>
      </c>
      <c r="AF799" s="12"/>
      <c r="AG799" s="29"/>
      <c r="AH799" s="29"/>
      <c r="AQ799" s="85"/>
      <c r="AR799" s="1">
        <v>1</v>
      </c>
      <c r="AS799" s="1">
        <v>1</v>
      </c>
      <c r="AT799" s="85"/>
      <c r="AU799" s="12" t="s">
        <v>1938</v>
      </c>
      <c r="AW799" s="90">
        <v>7</v>
      </c>
      <c r="AX799" s="23"/>
      <c r="AY799" s="23"/>
      <c r="AZ799" s="23"/>
      <c r="BA799" s="23"/>
    </row>
    <row r="800" spans="1:53" s="1" customFormat="1" ht="12" x14ac:dyDescent="0.2">
      <c r="A800" s="24" t="s">
        <v>894</v>
      </c>
      <c r="B800" s="39">
        <v>53604</v>
      </c>
      <c r="C800" s="42" t="e">
        <v>#N/A</v>
      </c>
      <c r="D800" s="10" t="s">
        <v>2960</v>
      </c>
      <c r="E800" s="10" t="s">
        <v>435</v>
      </c>
      <c r="F800" s="1" t="s">
        <v>456</v>
      </c>
      <c r="G800" s="1" t="s">
        <v>1308</v>
      </c>
      <c r="J800" s="27"/>
      <c r="K800" s="27"/>
      <c r="L800" s="27"/>
      <c r="M800" s="27"/>
      <c r="N800" s="8"/>
      <c r="O800" s="12" t="s">
        <v>747</v>
      </c>
      <c r="P800" s="1">
        <v>61</v>
      </c>
      <c r="W800" s="1">
        <v>6942</v>
      </c>
      <c r="X800" s="1">
        <f t="shared" si="88"/>
        <v>6942</v>
      </c>
      <c r="AB800" s="11"/>
      <c r="AC800" s="82"/>
      <c r="AD800" s="12" t="s">
        <v>99</v>
      </c>
      <c r="AE800" s="12" t="s">
        <v>430</v>
      </c>
      <c r="AF800" s="12"/>
      <c r="AG800" s="29"/>
      <c r="AH800" s="29"/>
      <c r="AQ800" s="85"/>
      <c r="AR800" s="1">
        <v>1</v>
      </c>
      <c r="AS800" s="1">
        <v>1</v>
      </c>
      <c r="AT800" s="85"/>
      <c r="AU800" s="12" t="s">
        <v>1938</v>
      </c>
      <c r="AW800" s="90">
        <v>7</v>
      </c>
      <c r="AX800" s="23"/>
      <c r="AY800" s="23"/>
      <c r="AZ800" s="23"/>
      <c r="BA800" s="23"/>
    </row>
    <row r="801" spans="1:53" s="1" customFormat="1" ht="12" x14ac:dyDescent="0.2">
      <c r="A801" s="13" t="s">
        <v>1173</v>
      </c>
      <c r="B801" s="39">
        <v>353001</v>
      </c>
      <c r="C801" s="42" t="s">
        <v>3545</v>
      </c>
      <c r="D801" s="10" t="s">
        <v>79</v>
      </c>
      <c r="E801" s="10" t="s">
        <v>0</v>
      </c>
      <c r="F801" s="1" t="s">
        <v>456</v>
      </c>
      <c r="G801" s="1" t="s">
        <v>1308</v>
      </c>
      <c r="J801" s="27"/>
      <c r="K801" s="27"/>
      <c r="L801" s="27"/>
      <c r="M801" s="27"/>
      <c r="N801" s="8"/>
      <c r="O801" s="12" t="s">
        <v>755</v>
      </c>
      <c r="P801" s="1">
        <v>61</v>
      </c>
      <c r="W801" s="1">
        <v>6052</v>
      </c>
      <c r="X801" s="1">
        <f t="shared" ref="X801:X802" si="91">W801</f>
        <v>6052</v>
      </c>
      <c r="AB801" s="11"/>
      <c r="AC801" s="82"/>
      <c r="AD801" s="12" t="s">
        <v>98</v>
      </c>
      <c r="AE801" s="39" t="str">
        <f>BA801</f>
        <v>6331</v>
      </c>
      <c r="AF801" s="12"/>
      <c r="AG801" s="29"/>
      <c r="AH801" s="29"/>
      <c r="AI801" s="12"/>
      <c r="AJ801" s="12"/>
      <c r="AK801" s="12"/>
      <c r="AL801" s="12"/>
      <c r="AM801" s="12"/>
      <c r="AN801" s="12" t="s">
        <v>1200</v>
      </c>
      <c r="AO801" s="12"/>
      <c r="AP801" s="12"/>
      <c r="AQ801" s="8"/>
      <c r="AR801" s="34" t="s">
        <v>543</v>
      </c>
      <c r="AS801" s="34" t="s">
        <v>543</v>
      </c>
      <c r="AT801" s="85"/>
      <c r="AU801" s="12" t="s">
        <v>1937</v>
      </c>
      <c r="AW801" s="90">
        <v>5</v>
      </c>
      <c r="AX801" s="23">
        <f>VLOOKUP(AW801,색인!$N$14:$O$19,2,FALSE)</f>
        <v>3</v>
      </c>
      <c r="AY801" s="90" t="str">
        <f>"T"&amp;O801&amp;"_"&amp;AX801&amp;"옵션_"&amp;VLOOKUP(E801,색인!$J$25:$K$29,2,FALSE)</f>
        <v>T6_3옵션_장신구</v>
      </c>
      <c r="AZ801" s="90">
        <f>VLOOKUP(G801,색인!$J$32:$K$45,2,FALSE)</f>
        <v>2</v>
      </c>
      <c r="BA801" s="90" t="str">
        <f>_xlfn.IFNA(VLOOKUP(AY801,표1[[검색용]:[OptionGroupIndex'[']22]],EquipItemTable!AZ801,FALSE),"옵션고정안함")</f>
        <v>6331</v>
      </c>
    </row>
    <row r="802" spans="1:53" s="1" customFormat="1" ht="12" x14ac:dyDescent="0.2">
      <c r="A802" s="13" t="s">
        <v>1174</v>
      </c>
      <c r="B802" s="39">
        <v>353002</v>
      </c>
      <c r="C802" s="42" t="s">
        <v>3546</v>
      </c>
      <c r="D802" s="10" t="s">
        <v>79</v>
      </c>
      <c r="E802" s="10" t="s">
        <v>0</v>
      </c>
      <c r="F802" s="1" t="s">
        <v>456</v>
      </c>
      <c r="G802" s="1" t="s">
        <v>1308</v>
      </c>
      <c r="J802" s="27"/>
      <c r="K802" s="27"/>
      <c r="L802" s="27"/>
      <c r="M802" s="27"/>
      <c r="N802" s="8"/>
      <c r="O802" s="12" t="s">
        <v>747</v>
      </c>
      <c r="P802" s="1">
        <v>61</v>
      </c>
      <c r="W802" s="1">
        <v>6037</v>
      </c>
      <c r="X802" s="1">
        <f t="shared" si="91"/>
        <v>6037</v>
      </c>
      <c r="AB802" s="11"/>
      <c r="AC802" s="82"/>
      <c r="AD802" s="12" t="s">
        <v>98</v>
      </c>
      <c r="AE802" s="39" t="s">
        <v>430</v>
      </c>
      <c r="AF802" s="12"/>
      <c r="AG802" s="29"/>
      <c r="AH802" s="29"/>
      <c r="AI802" s="12"/>
      <c r="AJ802" s="12"/>
      <c r="AK802" s="12"/>
      <c r="AL802" s="12"/>
      <c r="AM802" s="12"/>
      <c r="AN802" s="12" t="s">
        <v>1294</v>
      </c>
      <c r="AO802" s="12"/>
      <c r="AP802" s="12"/>
      <c r="AQ802" s="8"/>
      <c r="AR802" s="34" t="s">
        <v>94</v>
      </c>
      <c r="AS802" s="34" t="s">
        <v>94</v>
      </c>
      <c r="AT802" s="8"/>
      <c r="AU802" s="12" t="s">
        <v>1936</v>
      </c>
      <c r="AW802" s="90">
        <v>6</v>
      </c>
      <c r="AX802" s="23">
        <f>VLOOKUP(AW802,색인!$N$14:$O$19,2,FALSE)</f>
        <v>4</v>
      </c>
      <c r="AY802" s="23" t="str">
        <f>"T"&amp;O802&amp;"_"&amp;AX802&amp;"옵션_"&amp;VLOOKUP(E802,색인!$J$25:$K$29,2,FALSE)</f>
        <v>T6_4옵션_장신구</v>
      </c>
      <c r="AZ802" s="23">
        <f>VLOOKUP(G802,색인!$J$32:$K$45,2,FALSE)</f>
        <v>2</v>
      </c>
      <c r="BA802" s="23" t="str">
        <f>_xlfn.IFNA(VLOOKUP(AY802,표1[[검색용]:[OptionGroupIndex'[']22]],EquipItemTable!AZ802,FALSE),"옵션고정안함")</f>
        <v>6431</v>
      </c>
    </row>
    <row r="803" spans="1:53" s="27" customFormat="1" ht="12" x14ac:dyDescent="0.2">
      <c r="A803" s="25" t="s">
        <v>1378</v>
      </c>
      <c r="B803" s="39">
        <v>53412</v>
      </c>
      <c r="C803" s="42" t="s">
        <v>3547</v>
      </c>
      <c r="D803" s="26" t="s">
        <v>79</v>
      </c>
      <c r="E803" s="26" t="s">
        <v>0</v>
      </c>
      <c r="F803" s="27" t="s">
        <v>456</v>
      </c>
      <c r="G803" s="27" t="s">
        <v>1396</v>
      </c>
      <c r="N803" s="8"/>
      <c r="O803" s="29" t="s">
        <v>1338</v>
      </c>
      <c r="P803" s="27">
        <v>71</v>
      </c>
      <c r="W803" s="27">
        <v>5896</v>
      </c>
      <c r="X803" s="27">
        <v>5896</v>
      </c>
      <c r="AB803" s="28"/>
      <c r="AC803" s="82"/>
      <c r="AD803" s="29" t="s">
        <v>1377</v>
      </c>
      <c r="AE803" s="29" t="s">
        <v>1337</v>
      </c>
      <c r="AF803" s="29"/>
      <c r="AG803" s="29"/>
      <c r="AH803" s="29"/>
      <c r="AQ803" s="85"/>
      <c r="AR803" s="27">
        <v>1</v>
      </c>
      <c r="AS803" s="27">
        <v>1</v>
      </c>
      <c r="AT803" s="85"/>
      <c r="AU803" s="29">
        <v>1001</v>
      </c>
      <c r="AW803" s="91">
        <v>1</v>
      </c>
      <c r="AX803" s="93"/>
      <c r="AY803" s="93"/>
      <c r="AZ803" s="93"/>
      <c r="BA803" s="93"/>
    </row>
    <row r="804" spans="1:53" s="27" customFormat="1" ht="12" x14ac:dyDescent="0.2">
      <c r="A804" s="25" t="s">
        <v>1379</v>
      </c>
      <c r="B804" s="39">
        <v>53413</v>
      </c>
      <c r="C804" s="42" t="s">
        <v>3548</v>
      </c>
      <c r="D804" s="26" t="s">
        <v>79</v>
      </c>
      <c r="E804" s="26" t="s">
        <v>0</v>
      </c>
      <c r="F804" s="27" t="s">
        <v>456</v>
      </c>
      <c r="G804" s="27" t="s">
        <v>1396</v>
      </c>
      <c r="N804" s="8"/>
      <c r="O804" s="29" t="s">
        <v>1338</v>
      </c>
      <c r="P804" s="27">
        <v>71</v>
      </c>
      <c r="W804" s="27">
        <v>6860</v>
      </c>
      <c r="X804" s="27">
        <v>6860</v>
      </c>
      <c r="AB804" s="28"/>
      <c r="AC804" s="82"/>
      <c r="AD804" s="29" t="s">
        <v>1377</v>
      </c>
      <c r="AE804" s="92" t="str">
        <f t="shared" ref="AE804:AE813" si="92">BA804</f>
        <v>7131</v>
      </c>
      <c r="AF804" s="29"/>
      <c r="AG804" s="29"/>
      <c r="AH804" s="29"/>
      <c r="AQ804" s="85"/>
      <c r="AR804" s="27">
        <v>1</v>
      </c>
      <c r="AS804" s="27">
        <v>1</v>
      </c>
      <c r="AT804" s="85"/>
      <c r="AU804" s="29" t="s">
        <v>1939</v>
      </c>
      <c r="AW804" s="91">
        <v>2</v>
      </c>
      <c r="AX804" s="93">
        <f>VLOOKUP(AW804,색인!$N$14:$O$19,2,FALSE)</f>
        <v>1</v>
      </c>
      <c r="AY804" s="91" t="str">
        <f>"T"&amp;O804&amp;"_"&amp;AX804&amp;"옵션_"&amp;VLOOKUP(E804,색인!$J$25:$K$29,2,FALSE)</f>
        <v>T7_1옵션_장신구</v>
      </c>
      <c r="AZ804" s="91">
        <f>VLOOKUP(G804,색인!$J$32:$K$45,2,FALSE)</f>
        <v>2</v>
      </c>
      <c r="BA804" s="91" t="str">
        <f>_xlfn.IFNA(VLOOKUP(AY804,표1[[검색용]:[OptionGroupIndex'[']22]],EquipItemTable!AZ804,FALSE),"옵션고정안함")</f>
        <v>7131</v>
      </c>
    </row>
    <row r="805" spans="1:53" s="27" customFormat="1" ht="12" x14ac:dyDescent="0.2">
      <c r="A805" s="25" t="s">
        <v>1380</v>
      </c>
      <c r="B805" s="39">
        <v>53414</v>
      </c>
      <c r="C805" s="42" t="s">
        <v>3549</v>
      </c>
      <c r="D805" s="26" t="s">
        <v>79</v>
      </c>
      <c r="E805" s="26" t="s">
        <v>0</v>
      </c>
      <c r="F805" s="27" t="s">
        <v>456</v>
      </c>
      <c r="G805" s="27" t="s">
        <v>1396</v>
      </c>
      <c r="N805" s="8"/>
      <c r="O805" s="29" t="s">
        <v>1338</v>
      </c>
      <c r="P805" s="27">
        <v>71</v>
      </c>
      <c r="W805" s="27">
        <v>7248</v>
      </c>
      <c r="X805" s="27">
        <v>7248</v>
      </c>
      <c r="AB805" s="28"/>
      <c r="AC805" s="82"/>
      <c r="AD805" s="29" t="s">
        <v>1377</v>
      </c>
      <c r="AE805" s="92" t="str">
        <f t="shared" si="92"/>
        <v>7231</v>
      </c>
      <c r="AF805" s="29"/>
      <c r="AG805" s="29"/>
      <c r="AH805" s="29"/>
      <c r="AQ805" s="85"/>
      <c r="AR805" s="27">
        <v>1</v>
      </c>
      <c r="AS805" s="27">
        <v>1</v>
      </c>
      <c r="AT805" s="85"/>
      <c r="AU805" s="29" t="s">
        <v>1940</v>
      </c>
      <c r="AW805" s="91">
        <v>3</v>
      </c>
      <c r="AX805" s="93">
        <f>VLOOKUP(AW805,색인!$N$14:$O$19,2,FALSE)</f>
        <v>2</v>
      </c>
      <c r="AY805" s="91" t="str">
        <f>"T"&amp;O805&amp;"_"&amp;AX805&amp;"옵션_"&amp;VLOOKUP(E805,색인!$J$25:$K$29,2,FALSE)</f>
        <v>T7_2옵션_장신구</v>
      </c>
      <c r="AZ805" s="91">
        <f>VLOOKUP(G805,색인!$J$32:$K$45,2,FALSE)</f>
        <v>2</v>
      </c>
      <c r="BA805" s="91" t="str">
        <f>_xlfn.IFNA(VLOOKUP(AY805,표1[[검색용]:[OptionGroupIndex'[']22]],EquipItemTable!AZ805,FALSE),"옵션고정안함")</f>
        <v>7231</v>
      </c>
    </row>
    <row r="806" spans="1:53" s="27" customFormat="1" ht="12" x14ac:dyDescent="0.2">
      <c r="A806" s="25" t="s">
        <v>1381</v>
      </c>
      <c r="B806" s="39">
        <v>53415</v>
      </c>
      <c r="C806" s="42" t="s">
        <v>3550</v>
      </c>
      <c r="D806" s="26" t="s">
        <v>79</v>
      </c>
      <c r="E806" s="26" t="s">
        <v>0</v>
      </c>
      <c r="F806" s="27" t="s">
        <v>456</v>
      </c>
      <c r="G806" s="27" t="s">
        <v>1396</v>
      </c>
      <c r="N806" s="8"/>
      <c r="O806" s="29" t="s">
        <v>1338</v>
      </c>
      <c r="P806" s="27">
        <v>71</v>
      </c>
      <c r="W806" s="27">
        <v>7920</v>
      </c>
      <c r="X806" s="27">
        <v>7920</v>
      </c>
      <c r="AB806" s="28"/>
      <c r="AC806" s="82"/>
      <c r="AD806" s="29" t="s">
        <v>1377</v>
      </c>
      <c r="AE806" s="92" t="str">
        <f t="shared" si="92"/>
        <v>7331</v>
      </c>
      <c r="AF806" s="29"/>
      <c r="AG806" s="29"/>
      <c r="AH806" s="29"/>
      <c r="AQ806" s="85"/>
      <c r="AR806" s="27">
        <v>1</v>
      </c>
      <c r="AS806" s="27">
        <v>1</v>
      </c>
      <c r="AT806" s="85"/>
      <c r="AU806" s="29" t="s">
        <v>1941</v>
      </c>
      <c r="AW806" s="91">
        <v>4</v>
      </c>
      <c r="AX806" s="93">
        <f>VLOOKUP(AW806,색인!$N$14:$O$19,2,FALSE)</f>
        <v>3</v>
      </c>
      <c r="AY806" s="91" t="str">
        <f>"T"&amp;O806&amp;"_"&amp;AX806&amp;"옵션_"&amp;VLOOKUP(E806,색인!$J$25:$K$29,2,FALSE)</f>
        <v>T7_3옵션_장신구</v>
      </c>
      <c r="AZ806" s="91">
        <f>VLOOKUP(G806,색인!$J$32:$K$45,2,FALSE)</f>
        <v>2</v>
      </c>
      <c r="BA806" s="91" t="str">
        <f>_xlfn.IFNA(VLOOKUP(AY806,표1[[검색용]:[OptionGroupIndex'[']22]],EquipItemTable!AZ806,FALSE),"옵션고정안함")</f>
        <v>7331</v>
      </c>
    </row>
    <row r="807" spans="1:53" s="27" customFormat="1" ht="12" x14ac:dyDescent="0.2">
      <c r="A807" s="25" t="s">
        <v>1382</v>
      </c>
      <c r="B807" s="39">
        <v>53416</v>
      </c>
      <c r="C807" s="42" t="s">
        <v>3539</v>
      </c>
      <c r="D807" s="26" t="s">
        <v>79</v>
      </c>
      <c r="E807" s="26" t="s">
        <v>0</v>
      </c>
      <c r="F807" s="27" t="s">
        <v>456</v>
      </c>
      <c r="G807" s="27" t="s">
        <v>1396</v>
      </c>
      <c r="N807" s="8"/>
      <c r="O807" s="29" t="s">
        <v>1338</v>
      </c>
      <c r="P807" s="27">
        <v>71</v>
      </c>
      <c r="W807" s="27">
        <v>8712</v>
      </c>
      <c r="X807" s="27">
        <v>8712</v>
      </c>
      <c r="AB807" s="28"/>
      <c r="AC807" s="82"/>
      <c r="AD807" s="29" t="s">
        <v>1377</v>
      </c>
      <c r="AE807" s="92" t="str">
        <f t="shared" si="92"/>
        <v>7331</v>
      </c>
      <c r="AF807" s="29"/>
      <c r="AG807" s="29"/>
      <c r="AH807" s="29"/>
      <c r="AN807" s="27">
        <v>103</v>
      </c>
      <c r="AQ807" s="85"/>
      <c r="AR807" s="27">
        <v>1</v>
      </c>
      <c r="AS807" s="27">
        <v>1</v>
      </c>
      <c r="AT807" s="85"/>
      <c r="AU807" s="29" t="s">
        <v>1942</v>
      </c>
      <c r="AW807" s="91">
        <v>5</v>
      </c>
      <c r="AX807" s="93">
        <f>VLOOKUP(AW807,색인!$N$14:$O$19,2,FALSE)</f>
        <v>3</v>
      </c>
      <c r="AY807" s="91" t="str">
        <f>"T"&amp;O807&amp;"_"&amp;AX807&amp;"옵션_"&amp;VLOOKUP(E807,색인!$J$25:$K$29,2,FALSE)</f>
        <v>T7_3옵션_장신구</v>
      </c>
      <c r="AZ807" s="91">
        <f>VLOOKUP(G807,색인!$J$32:$K$45,2,FALSE)</f>
        <v>2</v>
      </c>
      <c r="BA807" s="91" t="str">
        <f>_xlfn.IFNA(VLOOKUP(AY807,표1[[검색용]:[OptionGroupIndex'[']22]],EquipItemTable!AZ807,FALSE),"옵션고정안함")</f>
        <v>7331</v>
      </c>
    </row>
    <row r="808" spans="1:53" s="27" customFormat="1" ht="12" x14ac:dyDescent="0.2">
      <c r="A808" s="25" t="s">
        <v>1383</v>
      </c>
      <c r="B808" s="39">
        <v>53417</v>
      </c>
      <c r="C808" s="42" t="s">
        <v>3541</v>
      </c>
      <c r="D808" s="26" t="s">
        <v>79</v>
      </c>
      <c r="E808" s="26" t="s">
        <v>0</v>
      </c>
      <c r="F808" s="27" t="s">
        <v>456</v>
      </c>
      <c r="G808" s="27" t="s">
        <v>1396</v>
      </c>
      <c r="N808" s="8"/>
      <c r="O808" s="29" t="s">
        <v>1338</v>
      </c>
      <c r="P808" s="27">
        <v>71</v>
      </c>
      <c r="W808" s="27">
        <v>8712</v>
      </c>
      <c r="X808" s="27">
        <v>8712</v>
      </c>
      <c r="AB808" s="28"/>
      <c r="AC808" s="82"/>
      <c r="AD808" s="29" t="s">
        <v>1377</v>
      </c>
      <c r="AE808" s="92" t="str">
        <f t="shared" si="92"/>
        <v>7331</v>
      </c>
      <c r="AF808" s="29"/>
      <c r="AG808" s="29"/>
      <c r="AH808" s="29"/>
      <c r="AN808" s="27">
        <v>202</v>
      </c>
      <c r="AQ808" s="85"/>
      <c r="AR808" s="27">
        <v>1</v>
      </c>
      <c r="AS808" s="27">
        <v>1</v>
      </c>
      <c r="AT808" s="85"/>
      <c r="AU808" s="29" t="s">
        <v>1942</v>
      </c>
      <c r="AW808" s="91">
        <v>5</v>
      </c>
      <c r="AX808" s="93">
        <f>VLOOKUP(AW808,색인!$N$14:$O$19,2,FALSE)</f>
        <v>3</v>
      </c>
      <c r="AY808" s="91" t="str">
        <f>"T"&amp;O808&amp;"_"&amp;AX808&amp;"옵션_"&amp;VLOOKUP(E808,색인!$J$25:$K$29,2,FALSE)</f>
        <v>T7_3옵션_장신구</v>
      </c>
      <c r="AZ808" s="91">
        <f>VLOOKUP(G808,색인!$J$32:$K$45,2,FALSE)</f>
        <v>2</v>
      </c>
      <c r="BA808" s="91" t="str">
        <f>_xlfn.IFNA(VLOOKUP(AY808,표1[[검색용]:[OptionGroupIndex'[']22]],EquipItemTable!AZ808,FALSE),"옵션고정안함")</f>
        <v>7331</v>
      </c>
    </row>
    <row r="809" spans="1:53" s="27" customFormat="1" ht="12" x14ac:dyDescent="0.2">
      <c r="A809" s="25" t="s">
        <v>1384</v>
      </c>
      <c r="B809" s="39">
        <v>53418</v>
      </c>
      <c r="C809" s="42" t="s">
        <v>3542</v>
      </c>
      <c r="D809" s="26" t="s">
        <v>79</v>
      </c>
      <c r="E809" s="26" t="s">
        <v>0</v>
      </c>
      <c r="F809" s="27" t="s">
        <v>456</v>
      </c>
      <c r="G809" s="27" t="s">
        <v>1396</v>
      </c>
      <c r="N809" s="8"/>
      <c r="O809" s="29" t="s">
        <v>1338</v>
      </c>
      <c r="P809" s="27">
        <v>71</v>
      </c>
      <c r="W809" s="27">
        <v>8712</v>
      </c>
      <c r="X809" s="27">
        <v>8712</v>
      </c>
      <c r="AB809" s="28"/>
      <c r="AC809" s="82"/>
      <c r="AD809" s="29" t="s">
        <v>1377</v>
      </c>
      <c r="AE809" s="92" t="str">
        <f t="shared" si="92"/>
        <v>7331</v>
      </c>
      <c r="AF809" s="29"/>
      <c r="AG809" s="29"/>
      <c r="AH809" s="29"/>
      <c r="AN809" s="27">
        <v>203</v>
      </c>
      <c r="AQ809" s="85"/>
      <c r="AR809" s="27">
        <v>1</v>
      </c>
      <c r="AS809" s="27">
        <v>1</v>
      </c>
      <c r="AT809" s="85"/>
      <c r="AU809" s="29" t="s">
        <v>1942</v>
      </c>
      <c r="AW809" s="91">
        <v>5</v>
      </c>
      <c r="AX809" s="93">
        <f>VLOOKUP(AW809,색인!$N$14:$O$19,2,FALSE)</f>
        <v>3</v>
      </c>
      <c r="AY809" s="91" t="str">
        <f>"T"&amp;O809&amp;"_"&amp;AX809&amp;"옵션_"&amp;VLOOKUP(E809,색인!$J$25:$K$29,2,FALSE)</f>
        <v>T7_3옵션_장신구</v>
      </c>
      <c r="AZ809" s="91">
        <f>VLOOKUP(G809,색인!$J$32:$K$45,2,FALSE)</f>
        <v>2</v>
      </c>
      <c r="BA809" s="91" t="str">
        <f>_xlfn.IFNA(VLOOKUP(AY809,표1[[검색용]:[OptionGroupIndex'[']22]],EquipItemTable!AZ809,FALSE),"옵션고정안함")</f>
        <v>7331</v>
      </c>
    </row>
    <row r="810" spans="1:53" s="27" customFormat="1" ht="12" x14ac:dyDescent="0.2">
      <c r="A810" s="25" t="s">
        <v>1385</v>
      </c>
      <c r="B810" s="39">
        <v>53419</v>
      </c>
      <c r="C810" s="42" t="s">
        <v>3543</v>
      </c>
      <c r="D810" s="26" t="s">
        <v>79</v>
      </c>
      <c r="E810" s="26" t="s">
        <v>0</v>
      </c>
      <c r="F810" s="27" t="s">
        <v>456</v>
      </c>
      <c r="G810" s="27" t="s">
        <v>1396</v>
      </c>
      <c r="N810" s="8"/>
      <c r="O810" s="29" t="s">
        <v>1338</v>
      </c>
      <c r="P810" s="27">
        <v>71</v>
      </c>
      <c r="W810" s="27">
        <v>8712</v>
      </c>
      <c r="X810" s="27">
        <v>8712</v>
      </c>
      <c r="AB810" s="28"/>
      <c r="AC810" s="82"/>
      <c r="AD810" s="29" t="s">
        <v>1377</v>
      </c>
      <c r="AE810" s="92" t="str">
        <f t="shared" si="92"/>
        <v>7331</v>
      </c>
      <c r="AF810" s="29"/>
      <c r="AG810" s="29"/>
      <c r="AH810" s="29"/>
      <c r="AN810" s="27">
        <v>204</v>
      </c>
      <c r="AQ810" s="85"/>
      <c r="AR810" s="27">
        <v>1</v>
      </c>
      <c r="AS810" s="27">
        <v>1</v>
      </c>
      <c r="AT810" s="85"/>
      <c r="AU810" s="29" t="s">
        <v>1942</v>
      </c>
      <c r="AW810" s="91">
        <v>5</v>
      </c>
      <c r="AX810" s="93">
        <f>VLOOKUP(AW810,색인!$N$14:$O$19,2,FALSE)</f>
        <v>3</v>
      </c>
      <c r="AY810" s="91" t="str">
        <f>"T"&amp;O810&amp;"_"&amp;AX810&amp;"옵션_"&amp;VLOOKUP(E810,색인!$J$25:$K$29,2,FALSE)</f>
        <v>T7_3옵션_장신구</v>
      </c>
      <c r="AZ810" s="91">
        <f>VLOOKUP(G810,색인!$J$32:$K$45,2,FALSE)</f>
        <v>2</v>
      </c>
      <c r="BA810" s="91" t="str">
        <f>_xlfn.IFNA(VLOOKUP(AY810,표1[[검색용]:[OptionGroupIndex'[']22]],EquipItemTable!AZ810,FALSE),"옵션고정안함")</f>
        <v>7331</v>
      </c>
    </row>
    <row r="811" spans="1:53" s="27" customFormat="1" ht="12" x14ac:dyDescent="0.2">
      <c r="A811" s="25" t="s">
        <v>1386</v>
      </c>
      <c r="B811" s="39">
        <v>53420</v>
      </c>
      <c r="C811" s="42" t="s">
        <v>3544</v>
      </c>
      <c r="D811" s="26" t="s">
        <v>79</v>
      </c>
      <c r="E811" s="26" t="s">
        <v>0</v>
      </c>
      <c r="F811" s="27" t="s">
        <v>456</v>
      </c>
      <c r="G811" s="27" t="s">
        <v>1396</v>
      </c>
      <c r="J811" s="1"/>
      <c r="K811" s="1"/>
      <c r="L811" s="1"/>
      <c r="M811" s="1"/>
      <c r="N811" s="8"/>
      <c r="O811" s="29" t="s">
        <v>1338</v>
      </c>
      <c r="P811" s="27">
        <v>71</v>
      </c>
      <c r="W811" s="27">
        <v>8712</v>
      </c>
      <c r="X811" s="27">
        <v>8712</v>
      </c>
      <c r="AB811" s="28"/>
      <c r="AC811" s="82"/>
      <c r="AD811" s="29" t="s">
        <v>1377</v>
      </c>
      <c r="AE811" s="92" t="str">
        <f t="shared" si="92"/>
        <v>7331</v>
      </c>
      <c r="AF811" s="29"/>
      <c r="AG811" s="12"/>
      <c r="AH811" s="12"/>
      <c r="AN811" s="27">
        <v>205</v>
      </c>
      <c r="AQ811" s="85"/>
      <c r="AR811" s="27">
        <v>1</v>
      </c>
      <c r="AS811" s="27">
        <v>1</v>
      </c>
      <c r="AT811" s="85"/>
      <c r="AU811" s="29" t="s">
        <v>1942</v>
      </c>
      <c r="AW811" s="91">
        <v>5</v>
      </c>
      <c r="AX811" s="93">
        <f>VLOOKUP(AW811,색인!$N$14:$O$19,2,FALSE)</f>
        <v>3</v>
      </c>
      <c r="AY811" s="91" t="str">
        <f>"T"&amp;O811&amp;"_"&amp;AX811&amp;"옵션_"&amp;VLOOKUP(E811,색인!$J$25:$K$29,2,FALSE)</f>
        <v>T7_3옵션_장신구</v>
      </c>
      <c r="AZ811" s="91">
        <f>VLOOKUP(G811,색인!$J$32:$K$45,2,FALSE)</f>
        <v>2</v>
      </c>
      <c r="BA811" s="91" t="str">
        <f>_xlfn.IFNA(VLOOKUP(AY811,표1[[검색용]:[OptionGroupIndex'[']22]],EquipItemTable!AZ811,FALSE),"옵션고정안함")</f>
        <v>7331</v>
      </c>
    </row>
    <row r="812" spans="1:53" s="27" customFormat="1" ht="12" x14ac:dyDescent="0.2">
      <c r="A812" s="25" t="s">
        <v>1387</v>
      </c>
      <c r="B812" s="39">
        <v>53421</v>
      </c>
      <c r="C812" s="42" t="s">
        <v>3551</v>
      </c>
      <c r="D812" s="26" t="s">
        <v>79</v>
      </c>
      <c r="E812" s="26" t="s">
        <v>0</v>
      </c>
      <c r="F812" s="27" t="s">
        <v>456</v>
      </c>
      <c r="G812" s="27" t="s">
        <v>1396</v>
      </c>
      <c r="J812" s="1"/>
      <c r="K812" s="1"/>
      <c r="L812" s="1"/>
      <c r="M812" s="1"/>
      <c r="N812" s="8"/>
      <c r="O812" s="29" t="s">
        <v>1338</v>
      </c>
      <c r="P812" s="27">
        <v>71</v>
      </c>
      <c r="W812" s="27">
        <v>8712</v>
      </c>
      <c r="X812" s="27">
        <v>8712</v>
      </c>
      <c r="AB812" s="28"/>
      <c r="AC812" s="82"/>
      <c r="AD812" s="29" t="s">
        <v>1377</v>
      </c>
      <c r="AE812" s="92" t="str">
        <f t="shared" si="92"/>
        <v>7331</v>
      </c>
      <c r="AF812" s="29"/>
      <c r="AG812" s="12"/>
      <c r="AH812" s="12"/>
      <c r="AN812" s="27">
        <v>206</v>
      </c>
      <c r="AQ812" s="85"/>
      <c r="AR812" s="27">
        <v>1</v>
      </c>
      <c r="AS812" s="27">
        <v>1</v>
      </c>
      <c r="AT812" s="85"/>
      <c r="AU812" s="29" t="s">
        <v>1942</v>
      </c>
      <c r="AW812" s="91">
        <v>5</v>
      </c>
      <c r="AX812" s="93">
        <f>VLOOKUP(AW812,색인!$N$14:$O$19,2,FALSE)</f>
        <v>3</v>
      </c>
      <c r="AY812" s="91" t="str">
        <f>"T"&amp;O812&amp;"_"&amp;AX812&amp;"옵션_"&amp;VLOOKUP(E812,색인!$J$25:$K$29,2,FALSE)</f>
        <v>T7_3옵션_장신구</v>
      </c>
      <c r="AZ812" s="91">
        <f>VLOOKUP(G812,색인!$J$32:$K$45,2,FALSE)</f>
        <v>2</v>
      </c>
      <c r="BA812" s="91" t="str">
        <f>_xlfn.IFNA(VLOOKUP(AY812,표1[[검색용]:[OptionGroupIndex'[']22]],EquipItemTable!AZ812,FALSE),"옵션고정안함")</f>
        <v>7331</v>
      </c>
    </row>
    <row r="813" spans="1:53" s="27" customFormat="1" ht="12" x14ac:dyDescent="0.2">
      <c r="A813" s="25" t="s">
        <v>1388</v>
      </c>
      <c r="B813" s="39">
        <v>53422</v>
      </c>
      <c r="C813" s="42" t="s">
        <v>3552</v>
      </c>
      <c r="D813" s="26" t="s">
        <v>79</v>
      </c>
      <c r="E813" s="26" t="s">
        <v>0</v>
      </c>
      <c r="F813" s="27" t="s">
        <v>456</v>
      </c>
      <c r="G813" s="27" t="s">
        <v>1396</v>
      </c>
      <c r="J813" s="1"/>
      <c r="K813" s="1"/>
      <c r="L813" s="1"/>
      <c r="M813" s="1"/>
      <c r="N813" s="8"/>
      <c r="O813" s="29" t="s">
        <v>1338</v>
      </c>
      <c r="P813" s="27">
        <v>71</v>
      </c>
      <c r="W813" s="27">
        <v>8712</v>
      </c>
      <c r="X813" s="27">
        <v>8712</v>
      </c>
      <c r="AB813" s="28"/>
      <c r="AC813" s="82"/>
      <c r="AD813" s="29" t="s">
        <v>1377</v>
      </c>
      <c r="AE813" s="92" t="str">
        <f t="shared" si="92"/>
        <v>7331</v>
      </c>
      <c r="AF813" s="29"/>
      <c r="AG813" s="12"/>
      <c r="AH813" s="12"/>
      <c r="AN813" s="27">
        <v>207</v>
      </c>
      <c r="AQ813" s="85"/>
      <c r="AR813" s="27">
        <v>1</v>
      </c>
      <c r="AS813" s="27">
        <v>1</v>
      </c>
      <c r="AT813" s="85"/>
      <c r="AU813" s="29" t="s">
        <v>1942</v>
      </c>
      <c r="AW813" s="91">
        <v>5</v>
      </c>
      <c r="AX813" s="93">
        <f>VLOOKUP(AW813,색인!$N$14:$O$19,2,FALSE)</f>
        <v>3</v>
      </c>
      <c r="AY813" s="91" t="str">
        <f>"T"&amp;O813&amp;"_"&amp;AX813&amp;"옵션_"&amp;VLOOKUP(E813,색인!$J$25:$K$29,2,FALSE)</f>
        <v>T7_3옵션_장신구</v>
      </c>
      <c r="AZ813" s="91">
        <f>VLOOKUP(G813,색인!$J$32:$K$45,2,FALSE)</f>
        <v>2</v>
      </c>
      <c r="BA813" s="91" t="str">
        <f>_xlfn.IFNA(VLOOKUP(AY813,표1[[검색용]:[OptionGroupIndex'[']22]],EquipItemTable!AZ813,FALSE),"옵션고정안함")</f>
        <v>7331</v>
      </c>
    </row>
    <row r="814" spans="1:53" s="27" customFormat="1" ht="12" x14ac:dyDescent="0.2">
      <c r="A814" s="25" t="s">
        <v>1389</v>
      </c>
      <c r="B814" s="39">
        <v>53423</v>
      </c>
      <c r="C814" s="42" t="s">
        <v>3526</v>
      </c>
      <c r="D814" s="26" t="s">
        <v>79</v>
      </c>
      <c r="E814" s="26" t="s">
        <v>0</v>
      </c>
      <c r="F814" s="27" t="s">
        <v>456</v>
      </c>
      <c r="G814" s="27" t="s">
        <v>1396</v>
      </c>
      <c r="J814" s="1"/>
      <c r="K814" s="1"/>
      <c r="L814" s="1"/>
      <c r="M814" s="1"/>
      <c r="N814" s="8"/>
      <c r="O814" s="29" t="s">
        <v>1338</v>
      </c>
      <c r="P814" s="27">
        <v>71</v>
      </c>
      <c r="W814" s="27">
        <v>8987</v>
      </c>
      <c r="X814" s="27">
        <v>8987</v>
      </c>
      <c r="AB814" s="28"/>
      <c r="AC814" s="82"/>
      <c r="AD814" s="29" t="s">
        <v>1377</v>
      </c>
      <c r="AE814" s="92" t="str">
        <f>BA814</f>
        <v>7431</v>
      </c>
      <c r="AF814" s="29" t="s">
        <v>2185</v>
      </c>
      <c r="AG814" s="12"/>
      <c r="AH814" s="12"/>
      <c r="AN814" s="27">
        <v>1</v>
      </c>
      <c r="AQ814" s="85"/>
      <c r="AR814" s="27">
        <v>1</v>
      </c>
      <c r="AS814" s="27">
        <v>1</v>
      </c>
      <c r="AT814" s="85"/>
      <c r="AU814" s="12" t="s">
        <v>1936</v>
      </c>
      <c r="AW814" s="91">
        <v>6</v>
      </c>
      <c r="AX814" s="93">
        <f>VLOOKUP(AW814,색인!$N$14:$O$19,2,FALSE)</f>
        <v>4</v>
      </c>
      <c r="AY814" s="93" t="str">
        <f>"T"&amp;O814&amp;"_"&amp;AX814&amp;"옵션_"&amp;VLOOKUP(E814,색인!$J$25:$K$29,2,FALSE)</f>
        <v>T7_4옵션_장신구</v>
      </c>
      <c r="AZ814" s="93">
        <f>VLOOKUP(G814,색인!$J$32:$K$45,2,FALSE)</f>
        <v>2</v>
      </c>
      <c r="BA814" s="93" t="str">
        <f>_xlfn.IFNA(VLOOKUP(AY814,표1[[검색용]:[OptionGroupIndex'[']22]],EquipItemTable!AZ814,FALSE),"옵션고정안함")</f>
        <v>7431</v>
      </c>
    </row>
    <row r="815" spans="1:53" s="27" customFormat="1" ht="12" x14ac:dyDescent="0.2">
      <c r="A815" s="25" t="s">
        <v>1390</v>
      </c>
      <c r="B815" s="39">
        <v>53424</v>
      </c>
      <c r="C815" s="42" t="s">
        <v>3527</v>
      </c>
      <c r="D815" s="26" t="s">
        <v>79</v>
      </c>
      <c r="E815" s="26" t="s">
        <v>0</v>
      </c>
      <c r="F815" s="27" t="s">
        <v>456</v>
      </c>
      <c r="G815" s="27" t="s">
        <v>1396</v>
      </c>
      <c r="J815" s="1"/>
      <c r="K815" s="1"/>
      <c r="L815" s="1"/>
      <c r="M815" s="1"/>
      <c r="N815" s="8"/>
      <c r="O815" s="29" t="s">
        <v>1338</v>
      </c>
      <c r="P815" s="27">
        <v>71</v>
      </c>
      <c r="W815" s="27">
        <v>8987</v>
      </c>
      <c r="X815" s="27">
        <v>8987</v>
      </c>
      <c r="AB815" s="28"/>
      <c r="AC815" s="82"/>
      <c r="AD815" s="29" t="s">
        <v>1377</v>
      </c>
      <c r="AE815" s="92" t="str">
        <f>BA815</f>
        <v>7431</v>
      </c>
      <c r="AF815" s="29" t="s">
        <v>2185</v>
      </c>
      <c r="AG815" s="12"/>
      <c r="AH815" s="12"/>
      <c r="AN815" s="27">
        <v>2</v>
      </c>
      <c r="AQ815" s="85"/>
      <c r="AR815" s="27">
        <v>1</v>
      </c>
      <c r="AS815" s="27">
        <v>1</v>
      </c>
      <c r="AT815" s="85"/>
      <c r="AU815" s="12" t="s">
        <v>1936</v>
      </c>
      <c r="AW815" s="91">
        <v>6</v>
      </c>
      <c r="AX815" s="93">
        <f>VLOOKUP(AW815,색인!$N$14:$O$19,2,FALSE)</f>
        <v>4</v>
      </c>
      <c r="AY815" s="93" t="str">
        <f>"T"&amp;O815&amp;"_"&amp;AX815&amp;"옵션_"&amp;VLOOKUP(E815,색인!$J$25:$K$29,2,FALSE)</f>
        <v>T7_4옵션_장신구</v>
      </c>
      <c r="AZ815" s="93">
        <f>VLOOKUP(G815,색인!$J$32:$K$45,2,FALSE)</f>
        <v>2</v>
      </c>
      <c r="BA815" s="93" t="str">
        <f>_xlfn.IFNA(VLOOKUP(AY815,표1[[검색용]:[OptionGroupIndex'[']22]],EquipItemTable!AZ815,FALSE),"옵션고정안함")</f>
        <v>7431</v>
      </c>
    </row>
    <row r="816" spans="1:53" s="27" customFormat="1" ht="12" x14ac:dyDescent="0.2">
      <c r="A816" s="25" t="s">
        <v>1391</v>
      </c>
      <c r="B816" s="39">
        <v>53425</v>
      </c>
      <c r="C816" s="42" t="s">
        <v>3528</v>
      </c>
      <c r="D816" s="26" t="s">
        <v>79</v>
      </c>
      <c r="E816" s="26" t="s">
        <v>0</v>
      </c>
      <c r="F816" s="27" t="s">
        <v>456</v>
      </c>
      <c r="G816" s="27" t="s">
        <v>1396</v>
      </c>
      <c r="J816" s="1"/>
      <c r="K816" s="1"/>
      <c r="L816" s="1"/>
      <c r="M816" s="1"/>
      <c r="N816" s="8"/>
      <c r="O816" s="29" t="s">
        <v>1338</v>
      </c>
      <c r="P816" s="27">
        <v>71</v>
      </c>
      <c r="W816" s="27">
        <v>8987</v>
      </c>
      <c r="X816" s="27">
        <v>8987</v>
      </c>
      <c r="AB816" s="28"/>
      <c r="AC816" s="82"/>
      <c r="AD816" s="29" t="s">
        <v>1377</v>
      </c>
      <c r="AE816" s="92" t="str">
        <f>BA816</f>
        <v>7431</v>
      </c>
      <c r="AF816" s="29" t="s">
        <v>2185</v>
      </c>
      <c r="AG816" s="12"/>
      <c r="AH816" s="12"/>
      <c r="AN816" s="27">
        <v>3</v>
      </c>
      <c r="AQ816" s="85"/>
      <c r="AR816" s="27">
        <v>1</v>
      </c>
      <c r="AS816" s="27">
        <v>1</v>
      </c>
      <c r="AT816" s="85"/>
      <c r="AU816" s="12" t="s">
        <v>1936</v>
      </c>
      <c r="AW816" s="91">
        <v>6</v>
      </c>
      <c r="AX816" s="93">
        <f>VLOOKUP(AW816,색인!$N$14:$O$19,2,FALSE)</f>
        <v>4</v>
      </c>
      <c r="AY816" s="93" t="str">
        <f>"T"&amp;O816&amp;"_"&amp;AX816&amp;"옵션_"&amp;VLOOKUP(E816,색인!$J$25:$K$29,2,FALSE)</f>
        <v>T7_4옵션_장신구</v>
      </c>
      <c r="AZ816" s="93">
        <f>VLOOKUP(G816,색인!$J$32:$K$45,2,FALSE)</f>
        <v>2</v>
      </c>
      <c r="BA816" s="93" t="str">
        <f>_xlfn.IFNA(VLOOKUP(AY816,표1[[검색용]:[OptionGroupIndex'[']22]],EquipItemTable!AZ816,FALSE),"옵션고정안함")</f>
        <v>7431</v>
      </c>
    </row>
    <row r="817" spans="1:53" s="27" customFormat="1" ht="12" x14ac:dyDescent="0.2">
      <c r="A817" s="25" t="s">
        <v>1392</v>
      </c>
      <c r="B817" s="39">
        <v>53426</v>
      </c>
      <c r="C817" s="42" t="s">
        <v>3529</v>
      </c>
      <c r="D817" s="26" t="s">
        <v>79</v>
      </c>
      <c r="E817" s="26" t="s">
        <v>0</v>
      </c>
      <c r="F817" s="27" t="s">
        <v>456</v>
      </c>
      <c r="G817" s="27" t="s">
        <v>1396</v>
      </c>
      <c r="J817" s="1"/>
      <c r="K817" s="1"/>
      <c r="L817" s="1"/>
      <c r="M817" s="1"/>
      <c r="N817" s="8"/>
      <c r="O817" s="29" t="s">
        <v>1338</v>
      </c>
      <c r="P817" s="27">
        <v>71</v>
      </c>
      <c r="W817" s="27">
        <v>8987</v>
      </c>
      <c r="X817" s="27">
        <v>8987</v>
      </c>
      <c r="AB817" s="28"/>
      <c r="AC817" s="82"/>
      <c r="AD817" s="29" t="s">
        <v>1377</v>
      </c>
      <c r="AE817" s="92" t="str">
        <f>BA817</f>
        <v>7431</v>
      </c>
      <c r="AF817" s="29" t="s">
        <v>2185</v>
      </c>
      <c r="AG817" s="12"/>
      <c r="AH817" s="12"/>
      <c r="AN817" s="27">
        <v>4</v>
      </c>
      <c r="AQ817" s="85"/>
      <c r="AR817" s="27">
        <v>1</v>
      </c>
      <c r="AS817" s="27">
        <v>1</v>
      </c>
      <c r="AT817" s="85"/>
      <c r="AU817" s="12" t="s">
        <v>1936</v>
      </c>
      <c r="AW817" s="91">
        <v>6</v>
      </c>
      <c r="AX817" s="93">
        <f>VLOOKUP(AW817,색인!$N$14:$O$19,2,FALSE)</f>
        <v>4</v>
      </c>
      <c r="AY817" s="93" t="str">
        <f>"T"&amp;O817&amp;"_"&amp;AX817&amp;"옵션_"&amp;VLOOKUP(E817,색인!$J$25:$K$29,2,FALSE)</f>
        <v>T7_4옵션_장신구</v>
      </c>
      <c r="AZ817" s="93">
        <f>VLOOKUP(G817,색인!$J$32:$K$45,2,FALSE)</f>
        <v>2</v>
      </c>
      <c r="BA817" s="93" t="str">
        <f>_xlfn.IFNA(VLOOKUP(AY817,표1[[검색용]:[OptionGroupIndex'[']22]],EquipItemTable!AZ817,FALSE),"옵션고정안함")</f>
        <v>7431</v>
      </c>
    </row>
    <row r="818" spans="1:53" s="27" customFormat="1" ht="12" x14ac:dyDescent="0.2">
      <c r="A818" s="30" t="s">
        <v>1393</v>
      </c>
      <c r="B818" s="39">
        <v>53605</v>
      </c>
      <c r="C818" s="42" t="e">
        <v>#N/A</v>
      </c>
      <c r="D818" s="26" t="s">
        <v>79</v>
      </c>
      <c r="E818" s="26" t="s">
        <v>0</v>
      </c>
      <c r="F818" s="27" t="s">
        <v>456</v>
      </c>
      <c r="G818" s="27" t="s">
        <v>1396</v>
      </c>
      <c r="J818" s="1"/>
      <c r="K818" s="1"/>
      <c r="L818" s="1"/>
      <c r="M818" s="1"/>
      <c r="N818" s="8"/>
      <c r="O818" s="29" t="s">
        <v>1338</v>
      </c>
      <c r="P818" s="27">
        <v>71</v>
      </c>
      <c r="W818" s="27">
        <v>8987</v>
      </c>
      <c r="X818" s="27">
        <v>8987</v>
      </c>
      <c r="AB818" s="28"/>
      <c r="AC818" s="82"/>
      <c r="AD818" s="29" t="s">
        <v>1377</v>
      </c>
      <c r="AE818" s="29" t="s">
        <v>1337</v>
      </c>
      <c r="AF818" s="29"/>
      <c r="AG818" s="12"/>
      <c r="AH818" s="12"/>
      <c r="AQ818" s="85"/>
      <c r="AR818" s="27">
        <v>1</v>
      </c>
      <c r="AS818" s="27">
        <v>1</v>
      </c>
      <c r="AT818" s="85"/>
      <c r="AU818" s="29" t="s">
        <v>1944</v>
      </c>
      <c r="AW818" s="91">
        <v>7</v>
      </c>
      <c r="AX818" s="93"/>
      <c r="AY818" s="93"/>
      <c r="AZ818" s="93"/>
      <c r="BA818" s="93"/>
    </row>
    <row r="819" spans="1:53" s="27" customFormat="1" ht="12" x14ac:dyDescent="0.2">
      <c r="A819" s="25" t="s">
        <v>1394</v>
      </c>
      <c r="B819" s="39">
        <v>353003</v>
      </c>
      <c r="C819" s="42" t="s">
        <v>3545</v>
      </c>
      <c r="D819" s="26" t="s">
        <v>79</v>
      </c>
      <c r="E819" s="26" t="s">
        <v>0</v>
      </c>
      <c r="F819" s="27" t="s">
        <v>456</v>
      </c>
      <c r="G819" s="27" t="s">
        <v>1396</v>
      </c>
      <c r="J819" s="1"/>
      <c r="K819" s="1"/>
      <c r="L819" s="1"/>
      <c r="M819" s="1"/>
      <c r="N819" s="8"/>
      <c r="O819" s="29" t="s">
        <v>1338</v>
      </c>
      <c r="P819" s="27">
        <v>71</v>
      </c>
      <c r="W819" s="27">
        <v>8712</v>
      </c>
      <c r="X819" s="27">
        <v>8712</v>
      </c>
      <c r="AB819" s="28"/>
      <c r="AC819" s="82"/>
      <c r="AD819" s="29" t="s">
        <v>1377</v>
      </c>
      <c r="AE819" s="92" t="str">
        <f>BA819</f>
        <v>7331</v>
      </c>
      <c r="AF819" s="29"/>
      <c r="AG819" s="23"/>
      <c r="AH819" s="23"/>
      <c r="AN819" s="27">
        <v>101</v>
      </c>
      <c r="AQ819" s="85"/>
      <c r="AR819" s="27">
        <v>1</v>
      </c>
      <c r="AS819" s="27">
        <v>1</v>
      </c>
      <c r="AT819" s="85"/>
      <c r="AU819" s="29" t="s">
        <v>1942</v>
      </c>
      <c r="AW819" s="91">
        <v>5</v>
      </c>
      <c r="AX819" s="93">
        <f>VLOOKUP(AW819,색인!$N$14:$O$19,2,FALSE)</f>
        <v>3</v>
      </c>
      <c r="AY819" s="91" t="str">
        <f>"T"&amp;O819&amp;"_"&amp;AX819&amp;"옵션_"&amp;VLOOKUP(E819,색인!$J$25:$K$29,2,FALSE)</f>
        <v>T7_3옵션_장신구</v>
      </c>
      <c r="AZ819" s="91">
        <f>VLOOKUP(G819,색인!$J$32:$K$45,2,FALSE)</f>
        <v>2</v>
      </c>
      <c r="BA819" s="91" t="str">
        <f>_xlfn.IFNA(VLOOKUP(AY819,표1[[검색용]:[OptionGroupIndex'[']22]],EquipItemTable!AZ819,FALSE),"옵션고정안함")</f>
        <v>7331</v>
      </c>
    </row>
    <row r="820" spans="1:53" s="27" customFormat="1" ht="12" x14ac:dyDescent="0.2">
      <c r="A820" s="25" t="s">
        <v>1395</v>
      </c>
      <c r="B820" s="39">
        <v>353004</v>
      </c>
      <c r="C820" s="42" t="s">
        <v>3546</v>
      </c>
      <c r="D820" s="26" t="s">
        <v>79</v>
      </c>
      <c r="E820" s="26" t="s">
        <v>0</v>
      </c>
      <c r="F820" s="27" t="s">
        <v>456</v>
      </c>
      <c r="G820" s="27" t="s">
        <v>1396</v>
      </c>
      <c r="J820" s="1"/>
      <c r="K820" s="1"/>
      <c r="L820" s="1"/>
      <c r="M820" s="1"/>
      <c r="N820" s="8"/>
      <c r="O820" s="29" t="s">
        <v>1338</v>
      </c>
      <c r="P820" s="27">
        <v>71</v>
      </c>
      <c r="W820" s="27">
        <v>8987</v>
      </c>
      <c r="X820" s="27">
        <v>8987</v>
      </c>
      <c r="AB820" s="28"/>
      <c r="AC820" s="82"/>
      <c r="AD820" s="29" t="s">
        <v>1377</v>
      </c>
      <c r="AE820" s="92" t="s">
        <v>2190</v>
      </c>
      <c r="AF820" s="29" t="s">
        <v>2185</v>
      </c>
      <c r="AG820" s="23"/>
      <c r="AH820" s="23"/>
      <c r="AN820" s="27">
        <v>102</v>
      </c>
      <c r="AQ820" s="85"/>
      <c r="AR820" s="27">
        <v>1</v>
      </c>
      <c r="AS820" s="27">
        <v>1</v>
      </c>
      <c r="AT820" s="85"/>
      <c r="AU820" s="29" t="s">
        <v>1943</v>
      </c>
      <c r="AW820" s="91">
        <v>6</v>
      </c>
      <c r="AX820" s="93">
        <f>VLOOKUP(AW820,색인!$N$14:$O$19,2,FALSE)</f>
        <v>4</v>
      </c>
      <c r="AY820" s="93" t="str">
        <f>"T"&amp;O820&amp;"_"&amp;AX820&amp;"옵션_"&amp;VLOOKUP(E820,색인!$J$25:$K$29,2,FALSE)</f>
        <v>T7_4옵션_장신구</v>
      </c>
      <c r="AZ820" s="93">
        <f>VLOOKUP(G820,색인!$J$32:$K$45,2,FALSE)</f>
        <v>2</v>
      </c>
      <c r="BA820" s="93" t="str">
        <f>_xlfn.IFNA(VLOOKUP(AY820,표1[[검색용]:[OptionGroupIndex'[']22]],EquipItemTable!AZ820,FALSE),"옵션고정안함")</f>
        <v>7431</v>
      </c>
    </row>
    <row r="821" spans="1:53" ht="12" customHeight="1" x14ac:dyDescent="0.2">
      <c r="A821" s="13" t="s">
        <v>143</v>
      </c>
      <c r="B821" s="39">
        <v>54001</v>
      </c>
      <c r="C821" s="42" t="s">
        <v>3553</v>
      </c>
      <c r="D821" s="10" t="s">
        <v>2961</v>
      </c>
      <c r="E821" s="10" t="s">
        <v>435</v>
      </c>
      <c r="F821" s="1" t="s">
        <v>91</v>
      </c>
      <c r="G821" s="1" t="s">
        <v>1309</v>
      </c>
      <c r="H821" s="1"/>
      <c r="I821" s="1"/>
      <c r="J821" s="1"/>
      <c r="K821" s="1"/>
      <c r="L821" s="1"/>
      <c r="M821" s="1"/>
      <c r="O821" s="12" t="s">
        <v>94</v>
      </c>
      <c r="P821" s="1">
        <v>1</v>
      </c>
      <c r="Q821" s="1"/>
      <c r="R821" s="1"/>
      <c r="S821" s="1"/>
      <c r="T821" s="1"/>
      <c r="U821" s="1"/>
      <c r="V821" s="1"/>
      <c r="W821" s="1">
        <v>83</v>
      </c>
      <c r="X821" s="1">
        <f t="shared" ref="X821:X849" si="93">W821</f>
        <v>83</v>
      </c>
      <c r="Y821" s="1"/>
      <c r="Z821" s="1"/>
      <c r="AA821" s="1"/>
      <c r="AB821" s="11"/>
      <c r="AC821" s="82"/>
      <c r="AD821" s="12" t="s">
        <v>52</v>
      </c>
      <c r="AE821" s="12" t="s">
        <v>94</v>
      </c>
      <c r="AG821" s="23"/>
      <c r="AH821" s="23"/>
      <c r="AN821" s="12"/>
      <c r="AU821" s="12" t="s">
        <v>1932</v>
      </c>
      <c r="AV821" s="13"/>
      <c r="AW821" s="39">
        <v>1</v>
      </c>
      <c r="AY821" s="32"/>
      <c r="AZ821" s="32"/>
      <c r="BA821" s="32"/>
    </row>
    <row r="822" spans="1:53" ht="12" customHeight="1" x14ac:dyDescent="0.2">
      <c r="A822" s="13" t="s">
        <v>144</v>
      </c>
      <c r="B822" s="39">
        <v>54002</v>
      </c>
      <c r="C822" s="42" t="s">
        <v>3554</v>
      </c>
      <c r="D822" s="10" t="s">
        <v>80</v>
      </c>
      <c r="E822" s="10" t="s">
        <v>0</v>
      </c>
      <c r="F822" s="1" t="s">
        <v>91</v>
      </c>
      <c r="G822" s="1" t="s">
        <v>1309</v>
      </c>
      <c r="H822" s="1"/>
      <c r="I822" s="1"/>
      <c r="J822" s="1"/>
      <c r="K822" s="1"/>
      <c r="L822" s="1"/>
      <c r="M822" s="1"/>
      <c r="O822" s="12" t="s">
        <v>94</v>
      </c>
      <c r="P822" s="1">
        <v>1</v>
      </c>
      <c r="Q822" s="1"/>
      <c r="R822" s="1"/>
      <c r="S822" s="1"/>
      <c r="T822" s="1"/>
      <c r="U822" s="1"/>
      <c r="V822" s="1"/>
      <c r="W822" s="1">
        <v>119</v>
      </c>
      <c r="X822" s="1">
        <f t="shared" si="93"/>
        <v>119</v>
      </c>
      <c r="Y822" s="1"/>
      <c r="Z822" s="1"/>
      <c r="AA822" s="1"/>
      <c r="AB822" s="11"/>
      <c r="AC822" s="82"/>
      <c r="AD822" s="12" t="s">
        <v>52</v>
      </c>
      <c r="AE822" s="39" t="str">
        <f t="shared" ref="AE822:AE824" si="94">BA822</f>
        <v>1131</v>
      </c>
      <c r="AG822" s="23"/>
      <c r="AH822" s="23"/>
      <c r="AN822" s="12"/>
      <c r="AU822" s="12" t="s">
        <v>1933</v>
      </c>
      <c r="AV822" s="13"/>
      <c r="AW822" s="39">
        <v>2</v>
      </c>
      <c r="AX822" s="12">
        <f>VLOOKUP(AW822,색인!$N$14:$O$19,2,FALSE)</f>
        <v>1</v>
      </c>
      <c r="AY822" s="39" t="str">
        <f>"T"&amp;O822&amp;"_"&amp;AX822&amp;"옵션_"&amp;VLOOKUP(E822,색인!$J$25:$K$29,2,FALSE)</f>
        <v>T1_1옵션_장신구</v>
      </c>
      <c r="AZ822" s="39">
        <f>VLOOKUP(G822,색인!$J$32:$K$45,2,FALSE)</f>
        <v>2</v>
      </c>
      <c r="BA822" s="39" t="str">
        <f>_xlfn.IFNA(VLOOKUP(AY822,표1[[검색용]:[OptionGroupIndex'[']22]],EquipItemTable!AZ822,FALSE),"옵션고정안함")</f>
        <v>1131</v>
      </c>
    </row>
    <row r="823" spans="1:53" ht="12" customHeight="1" x14ac:dyDescent="0.2">
      <c r="A823" s="13" t="s">
        <v>145</v>
      </c>
      <c r="B823" s="39">
        <v>54003</v>
      </c>
      <c r="C823" s="42" t="s">
        <v>3555</v>
      </c>
      <c r="D823" s="10" t="s">
        <v>80</v>
      </c>
      <c r="E823" s="10" t="s">
        <v>0</v>
      </c>
      <c r="F823" s="1" t="s">
        <v>91</v>
      </c>
      <c r="G823" s="1" t="s">
        <v>1309</v>
      </c>
      <c r="H823" s="1"/>
      <c r="I823" s="1"/>
      <c r="J823" s="1"/>
      <c r="K823" s="1"/>
      <c r="L823" s="1"/>
      <c r="M823" s="1"/>
      <c r="O823" s="12" t="s">
        <v>94</v>
      </c>
      <c r="P823" s="1">
        <v>1</v>
      </c>
      <c r="Q823" s="1"/>
      <c r="R823" s="1"/>
      <c r="S823" s="1"/>
      <c r="T823" s="1"/>
      <c r="U823" s="1"/>
      <c r="V823" s="1"/>
      <c r="W823" s="1">
        <v>156</v>
      </c>
      <c r="X823" s="1">
        <f t="shared" si="93"/>
        <v>156</v>
      </c>
      <c r="Y823" s="1"/>
      <c r="Z823" s="1"/>
      <c r="AA823" s="1"/>
      <c r="AB823" s="11"/>
      <c r="AC823" s="82"/>
      <c r="AD823" s="12" t="s">
        <v>52</v>
      </c>
      <c r="AE823" s="39" t="str">
        <f t="shared" si="94"/>
        <v>1231</v>
      </c>
      <c r="AG823" s="23"/>
      <c r="AH823" s="23"/>
      <c r="AN823" s="12"/>
      <c r="AR823" s="34" t="s">
        <v>94</v>
      </c>
      <c r="AS823" s="34" t="s">
        <v>94</v>
      </c>
      <c r="AU823" s="12" t="s">
        <v>1934</v>
      </c>
      <c r="AV823" s="13"/>
      <c r="AW823" s="39">
        <v>3</v>
      </c>
      <c r="AX823" s="12">
        <f>VLOOKUP(AW823,색인!$N$14:$O$19,2,FALSE)</f>
        <v>2</v>
      </c>
      <c r="AY823" s="39" t="str">
        <f>"T"&amp;O823&amp;"_"&amp;AX823&amp;"옵션_"&amp;VLOOKUP(E823,색인!$J$25:$K$29,2,FALSE)</f>
        <v>T1_2옵션_장신구</v>
      </c>
      <c r="AZ823" s="39">
        <f>VLOOKUP(G823,색인!$J$32:$K$45,2,FALSE)</f>
        <v>2</v>
      </c>
      <c r="BA823" s="39" t="str">
        <f>_xlfn.IFNA(VLOOKUP(AY823,표1[[검색용]:[OptionGroupIndex'[']22]],EquipItemTable!AZ823,FALSE),"옵션고정안함")</f>
        <v>1231</v>
      </c>
    </row>
    <row r="824" spans="1:53" ht="12" customHeight="1" x14ac:dyDescent="0.2">
      <c r="A824" s="13" t="s">
        <v>458</v>
      </c>
      <c r="B824" s="39">
        <v>54004</v>
      </c>
      <c r="C824" s="42" t="s">
        <v>3556</v>
      </c>
      <c r="D824" s="10" t="s">
        <v>80</v>
      </c>
      <c r="E824" s="10" t="s">
        <v>0</v>
      </c>
      <c r="F824" s="1" t="s">
        <v>91</v>
      </c>
      <c r="G824" s="1" t="s">
        <v>1309</v>
      </c>
      <c r="H824" s="1"/>
      <c r="I824" s="1"/>
      <c r="J824" s="1"/>
      <c r="K824" s="1"/>
      <c r="L824" s="1"/>
      <c r="M824" s="1"/>
      <c r="O824" s="12" t="s">
        <v>428</v>
      </c>
      <c r="P824" s="1">
        <v>1</v>
      </c>
      <c r="Q824" s="1"/>
      <c r="R824" s="1"/>
      <c r="S824" s="1"/>
      <c r="T824" s="1"/>
      <c r="U824" s="1"/>
      <c r="V824" s="1"/>
      <c r="W824" s="1">
        <v>201</v>
      </c>
      <c r="X824" s="1">
        <f t="shared" si="93"/>
        <v>201</v>
      </c>
      <c r="Y824" s="1"/>
      <c r="Z824" s="1"/>
      <c r="AA824" s="1"/>
      <c r="AB824" s="11"/>
      <c r="AC824" s="82"/>
      <c r="AE824" s="39" t="str">
        <f t="shared" si="94"/>
        <v>1331</v>
      </c>
      <c r="AG824" s="23"/>
      <c r="AH824" s="23"/>
      <c r="AN824" s="12"/>
      <c r="AR824" s="34" t="s">
        <v>543</v>
      </c>
      <c r="AS824" s="34" t="s">
        <v>543</v>
      </c>
      <c r="AU824" s="12" t="s">
        <v>1935</v>
      </c>
      <c r="AV824" s="13"/>
      <c r="AW824" s="39">
        <v>4</v>
      </c>
      <c r="AX824" s="12">
        <f>VLOOKUP(AW824,색인!$N$14:$O$19,2,FALSE)</f>
        <v>3</v>
      </c>
      <c r="AY824" s="39" t="str">
        <f>"T"&amp;O824&amp;"_"&amp;AX824&amp;"옵션_"&amp;VLOOKUP(E824,색인!$J$25:$K$29,2,FALSE)</f>
        <v>T1_3옵션_장신구</v>
      </c>
      <c r="AZ824" s="39">
        <f>VLOOKUP(G824,색인!$J$32:$K$45,2,FALSE)</f>
        <v>2</v>
      </c>
      <c r="BA824" s="39" t="str">
        <f>_xlfn.IFNA(VLOOKUP(AY824,표1[[검색용]:[OptionGroupIndex'[']22]],EquipItemTable!AZ824,FALSE),"옵션고정안함")</f>
        <v>1331</v>
      </c>
    </row>
    <row r="825" spans="1:53" ht="12" customHeight="1" x14ac:dyDescent="0.2">
      <c r="A825" s="13" t="s">
        <v>146</v>
      </c>
      <c r="B825" s="39">
        <v>54005</v>
      </c>
      <c r="C825" s="42" t="s">
        <v>3557</v>
      </c>
      <c r="D825" s="10" t="s">
        <v>80</v>
      </c>
      <c r="E825" s="10" t="s">
        <v>0</v>
      </c>
      <c r="F825" s="1" t="s">
        <v>91</v>
      </c>
      <c r="G825" s="1" t="s">
        <v>1309</v>
      </c>
      <c r="H825" s="1"/>
      <c r="I825" s="1"/>
      <c r="J825" s="1"/>
      <c r="K825" s="1"/>
      <c r="L825" s="1"/>
      <c r="M825" s="1"/>
      <c r="O825" s="12" t="s">
        <v>95</v>
      </c>
      <c r="P825" s="1">
        <v>21</v>
      </c>
      <c r="Q825" s="1"/>
      <c r="R825" s="1"/>
      <c r="S825" s="1"/>
      <c r="T825" s="1"/>
      <c r="U825" s="1"/>
      <c r="V825" s="1"/>
      <c r="W825" s="1">
        <v>231</v>
      </c>
      <c r="X825" s="1">
        <f t="shared" si="93"/>
        <v>231</v>
      </c>
      <c r="Y825" s="1"/>
      <c r="Z825" s="1"/>
      <c r="AA825" s="1"/>
      <c r="AB825" s="11"/>
      <c r="AC825" s="82"/>
      <c r="AD825" s="12" t="s">
        <v>52</v>
      </c>
      <c r="AE825" s="12" t="s">
        <v>550</v>
      </c>
      <c r="AG825" s="23"/>
      <c r="AH825" s="23"/>
      <c r="AN825" s="12"/>
      <c r="AU825" s="12" t="s">
        <v>1932</v>
      </c>
      <c r="AV825" s="13"/>
      <c r="AW825" s="39">
        <v>1</v>
      </c>
      <c r="AY825" s="32"/>
      <c r="AZ825" s="32"/>
      <c r="BA825" s="32"/>
    </row>
    <row r="826" spans="1:53" ht="12" customHeight="1" x14ac:dyDescent="0.2">
      <c r="A826" s="13" t="s">
        <v>147</v>
      </c>
      <c r="B826" s="39">
        <v>54006</v>
      </c>
      <c r="C826" s="42" t="s">
        <v>3558</v>
      </c>
      <c r="D826" s="10" t="s">
        <v>80</v>
      </c>
      <c r="E826" s="10" t="s">
        <v>0</v>
      </c>
      <c r="F826" s="1" t="s">
        <v>91</v>
      </c>
      <c r="G826" s="1" t="s">
        <v>1309</v>
      </c>
      <c r="H826" s="1"/>
      <c r="I826" s="1"/>
      <c r="J826" s="1"/>
      <c r="K826" s="1"/>
      <c r="L826" s="1"/>
      <c r="M826" s="1"/>
      <c r="O826" s="12" t="s">
        <v>95</v>
      </c>
      <c r="P826" s="1">
        <v>21</v>
      </c>
      <c r="Q826" s="1"/>
      <c r="R826" s="1"/>
      <c r="S826" s="1"/>
      <c r="T826" s="1"/>
      <c r="U826" s="1"/>
      <c r="V826" s="1"/>
      <c r="W826" s="1">
        <v>302</v>
      </c>
      <c r="X826" s="1">
        <f t="shared" si="93"/>
        <v>302</v>
      </c>
      <c r="Y826" s="1"/>
      <c r="Z826" s="1"/>
      <c r="AA826" s="1"/>
      <c r="AB826" s="11"/>
      <c r="AC826" s="82"/>
      <c r="AD826" s="12" t="s">
        <v>52</v>
      </c>
      <c r="AE826" s="39" t="str">
        <f t="shared" ref="AE826:AE828" si="95">BA826</f>
        <v>2131</v>
      </c>
      <c r="AG826" s="23"/>
      <c r="AH826" s="23"/>
      <c r="AN826" s="12"/>
      <c r="AU826" s="12" t="s">
        <v>1933</v>
      </c>
      <c r="AV826" s="13"/>
      <c r="AW826" s="39">
        <v>2</v>
      </c>
      <c r="AX826" s="12">
        <f>VLOOKUP(AW826,색인!$N$14:$O$19,2,FALSE)</f>
        <v>1</v>
      </c>
      <c r="AY826" s="39" t="str">
        <f>"T"&amp;O826&amp;"_"&amp;AX826&amp;"옵션_"&amp;VLOOKUP(E826,색인!$J$25:$K$29,2,FALSE)</f>
        <v>T2_1옵션_장신구</v>
      </c>
      <c r="AZ826" s="39">
        <f>VLOOKUP(G826,색인!$J$32:$K$45,2,FALSE)</f>
        <v>2</v>
      </c>
      <c r="BA826" s="39" t="str">
        <f>_xlfn.IFNA(VLOOKUP(AY826,표1[[검색용]:[OptionGroupIndex'[']22]],EquipItemTable!AZ826,FALSE),"옵션고정안함")</f>
        <v>2131</v>
      </c>
    </row>
    <row r="827" spans="1:53" ht="12" customHeight="1" x14ac:dyDescent="0.2">
      <c r="A827" s="13" t="s">
        <v>148</v>
      </c>
      <c r="B827" s="39">
        <v>54007</v>
      </c>
      <c r="C827" s="42" t="s">
        <v>3559</v>
      </c>
      <c r="D827" s="10" t="s">
        <v>80</v>
      </c>
      <c r="E827" s="10" t="s">
        <v>0</v>
      </c>
      <c r="F827" s="1" t="s">
        <v>91</v>
      </c>
      <c r="G827" s="1" t="s">
        <v>1309</v>
      </c>
      <c r="H827" s="1"/>
      <c r="I827" s="1"/>
      <c r="J827" s="1"/>
      <c r="K827" s="1"/>
      <c r="L827" s="1"/>
      <c r="M827" s="1"/>
      <c r="O827" s="12" t="s">
        <v>95</v>
      </c>
      <c r="P827" s="1">
        <v>21</v>
      </c>
      <c r="Q827" s="1"/>
      <c r="R827" s="1"/>
      <c r="S827" s="1"/>
      <c r="T827" s="1"/>
      <c r="U827" s="1"/>
      <c r="V827" s="1"/>
      <c r="W827" s="1">
        <v>373</v>
      </c>
      <c r="X827" s="1">
        <f t="shared" si="93"/>
        <v>373</v>
      </c>
      <c r="Y827" s="1"/>
      <c r="Z827" s="1"/>
      <c r="AA827" s="1"/>
      <c r="AB827" s="11"/>
      <c r="AC827" s="82"/>
      <c r="AD827" s="12" t="s">
        <v>52</v>
      </c>
      <c r="AE827" s="39" t="str">
        <f t="shared" si="95"/>
        <v>2231</v>
      </c>
      <c r="AG827" s="23"/>
      <c r="AH827" s="23"/>
      <c r="AN827" s="12"/>
      <c r="AR827" s="34" t="s">
        <v>94</v>
      </c>
      <c r="AS827" s="34" t="s">
        <v>94</v>
      </c>
      <c r="AU827" s="12" t="s">
        <v>1934</v>
      </c>
      <c r="AV827" s="13"/>
      <c r="AW827" s="39">
        <v>3</v>
      </c>
      <c r="AX827" s="12">
        <f>VLOOKUP(AW827,색인!$N$14:$O$19,2,FALSE)</f>
        <v>2</v>
      </c>
      <c r="AY827" s="39" t="str">
        <f>"T"&amp;O827&amp;"_"&amp;AX827&amp;"옵션_"&amp;VLOOKUP(E827,색인!$J$25:$K$29,2,FALSE)</f>
        <v>T2_2옵션_장신구</v>
      </c>
      <c r="AZ827" s="39">
        <f>VLOOKUP(G827,색인!$J$32:$K$45,2,FALSE)</f>
        <v>2</v>
      </c>
      <c r="BA827" s="39" t="str">
        <f>_xlfn.IFNA(VLOOKUP(AY827,표1[[검색용]:[OptionGroupIndex'[']22]],EquipItemTable!AZ827,FALSE),"옵션고정안함")</f>
        <v>2231</v>
      </c>
    </row>
    <row r="828" spans="1:53" ht="12" customHeight="1" x14ac:dyDescent="0.2">
      <c r="A828" s="13" t="s">
        <v>459</v>
      </c>
      <c r="B828" s="39">
        <v>54008</v>
      </c>
      <c r="C828" s="42" t="s">
        <v>3560</v>
      </c>
      <c r="D828" s="10" t="s">
        <v>80</v>
      </c>
      <c r="E828" s="10" t="s">
        <v>0</v>
      </c>
      <c r="F828" s="1" t="s">
        <v>91</v>
      </c>
      <c r="G828" s="1" t="s">
        <v>1309</v>
      </c>
      <c r="H828" s="1"/>
      <c r="I828" s="1"/>
      <c r="J828" s="1"/>
      <c r="K828" s="1"/>
      <c r="L828" s="1"/>
      <c r="M828" s="1"/>
      <c r="O828" s="12" t="s">
        <v>429</v>
      </c>
      <c r="P828" s="1">
        <v>21</v>
      </c>
      <c r="Q828" s="1"/>
      <c r="R828" s="1"/>
      <c r="S828" s="1"/>
      <c r="T828" s="1"/>
      <c r="U828" s="1"/>
      <c r="V828" s="1"/>
      <c r="W828" s="1">
        <v>454</v>
      </c>
      <c r="X828" s="1">
        <f t="shared" si="93"/>
        <v>454</v>
      </c>
      <c r="Y828" s="1"/>
      <c r="Z828" s="1"/>
      <c r="AA828" s="1"/>
      <c r="AB828" s="11"/>
      <c r="AC828" s="82"/>
      <c r="AE828" s="39" t="str">
        <f t="shared" si="95"/>
        <v>2331</v>
      </c>
      <c r="AG828" s="23"/>
      <c r="AH828" s="23"/>
      <c r="AN828" s="12"/>
      <c r="AR828" s="34" t="s">
        <v>543</v>
      </c>
      <c r="AS828" s="34" t="s">
        <v>543</v>
      </c>
      <c r="AU828" s="12" t="s">
        <v>1935</v>
      </c>
      <c r="AV828" s="13"/>
      <c r="AW828" s="39">
        <v>4</v>
      </c>
      <c r="AX828" s="12">
        <f>VLOOKUP(AW828,색인!$N$14:$O$19,2,FALSE)</f>
        <v>3</v>
      </c>
      <c r="AY828" s="39" t="str">
        <f>"T"&amp;O828&amp;"_"&amp;AX828&amp;"옵션_"&amp;VLOOKUP(E828,색인!$J$25:$K$29,2,FALSE)</f>
        <v>T2_3옵션_장신구</v>
      </c>
      <c r="AZ828" s="39">
        <f>VLOOKUP(G828,색인!$J$32:$K$45,2,FALSE)</f>
        <v>2</v>
      </c>
      <c r="BA828" s="39" t="str">
        <f>_xlfn.IFNA(VLOOKUP(AY828,표1[[검색용]:[OptionGroupIndex'[']22]],EquipItemTable!AZ828,FALSE),"옵션고정안함")</f>
        <v>2331</v>
      </c>
    </row>
    <row r="829" spans="1:53" ht="12" customHeight="1" x14ac:dyDescent="0.2">
      <c r="A829" s="13" t="s">
        <v>149</v>
      </c>
      <c r="B829" s="39">
        <v>54009</v>
      </c>
      <c r="C829" s="42" t="s">
        <v>3561</v>
      </c>
      <c r="D829" s="10" t="s">
        <v>80</v>
      </c>
      <c r="E829" s="10" t="s">
        <v>0</v>
      </c>
      <c r="F829" s="1" t="s">
        <v>91</v>
      </c>
      <c r="G829" s="1" t="s">
        <v>1309</v>
      </c>
      <c r="H829" s="1"/>
      <c r="I829" s="1"/>
      <c r="J829" s="1"/>
      <c r="K829" s="1"/>
      <c r="L829" s="1"/>
      <c r="M829" s="1"/>
      <c r="N829" s="81"/>
      <c r="O829" s="12" t="s">
        <v>96</v>
      </c>
      <c r="P829" s="1">
        <v>31</v>
      </c>
      <c r="Q829" s="13"/>
      <c r="R829" s="13"/>
      <c r="S829" s="13"/>
      <c r="T829" s="13"/>
      <c r="U829" s="13"/>
      <c r="V829" s="1"/>
      <c r="W829" s="1">
        <v>520</v>
      </c>
      <c r="X829" s="1">
        <f t="shared" si="93"/>
        <v>520</v>
      </c>
      <c r="Y829" s="13"/>
      <c r="Z829" s="13"/>
      <c r="AA829" s="13"/>
      <c r="AB829" s="13"/>
      <c r="AC829" s="82"/>
      <c r="AD829" s="23" t="s">
        <v>52</v>
      </c>
      <c r="AE829" s="23">
        <v>3</v>
      </c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81"/>
      <c r="AR829" s="83"/>
      <c r="AS829" s="83"/>
      <c r="AT829" s="81"/>
      <c r="AU829" s="12" t="s">
        <v>1932</v>
      </c>
      <c r="AV829" s="13"/>
      <c r="AW829" s="39">
        <v>1</v>
      </c>
      <c r="AY829" s="32"/>
      <c r="AZ829" s="32"/>
      <c r="BA829" s="32"/>
    </row>
    <row r="830" spans="1:53" ht="12" customHeight="1" x14ac:dyDescent="0.2">
      <c r="A830" s="13" t="s">
        <v>150</v>
      </c>
      <c r="B830" s="39">
        <v>54010</v>
      </c>
      <c r="C830" s="42" t="s">
        <v>3562</v>
      </c>
      <c r="D830" s="10" t="s">
        <v>80</v>
      </c>
      <c r="E830" s="10" t="s">
        <v>0</v>
      </c>
      <c r="F830" s="1" t="s">
        <v>91</v>
      </c>
      <c r="G830" s="1" t="s">
        <v>1309</v>
      </c>
      <c r="H830" s="1"/>
      <c r="I830" s="1"/>
      <c r="J830" s="1"/>
      <c r="K830" s="1"/>
      <c r="L830" s="1"/>
      <c r="M830" s="1"/>
      <c r="N830" s="81"/>
      <c r="O830" s="12" t="s">
        <v>96</v>
      </c>
      <c r="P830" s="1">
        <v>31</v>
      </c>
      <c r="Q830" s="13"/>
      <c r="R830" s="13"/>
      <c r="S830" s="13"/>
      <c r="T830" s="13"/>
      <c r="U830" s="13"/>
      <c r="V830" s="1"/>
      <c r="W830" s="1">
        <v>658</v>
      </c>
      <c r="X830" s="1">
        <f t="shared" si="93"/>
        <v>658</v>
      </c>
      <c r="Y830" s="13"/>
      <c r="Z830" s="13"/>
      <c r="AA830" s="13"/>
      <c r="AB830" s="13"/>
      <c r="AC830" s="82"/>
      <c r="AD830" s="23" t="s">
        <v>52</v>
      </c>
      <c r="AE830" s="90" t="str">
        <f t="shared" ref="AE830:AE832" si="96">BA830</f>
        <v>3131</v>
      </c>
      <c r="AF830" s="23"/>
      <c r="AI830" s="23"/>
      <c r="AJ830" s="23"/>
      <c r="AK830" s="23"/>
      <c r="AL830" s="23"/>
      <c r="AM830" s="23"/>
      <c r="AN830" s="23"/>
      <c r="AO830" s="23"/>
      <c r="AP830" s="23"/>
      <c r="AQ830" s="81"/>
      <c r="AR830" s="83"/>
      <c r="AS830" s="83"/>
      <c r="AT830" s="81"/>
      <c r="AU830" s="12" t="s">
        <v>1933</v>
      </c>
      <c r="AV830" s="13"/>
      <c r="AW830" s="39">
        <v>2</v>
      </c>
      <c r="AX830" s="12">
        <f>VLOOKUP(AW830,색인!$N$14:$O$19,2,FALSE)</f>
        <v>1</v>
      </c>
      <c r="AY830" s="39" t="str">
        <f>"T"&amp;O830&amp;"_"&amp;AX830&amp;"옵션_"&amp;VLOOKUP(E830,색인!$J$25:$K$29,2,FALSE)</f>
        <v>T3_1옵션_장신구</v>
      </c>
      <c r="AZ830" s="39">
        <f>VLOOKUP(G830,색인!$J$32:$K$45,2,FALSE)</f>
        <v>2</v>
      </c>
      <c r="BA830" s="39" t="str">
        <f>_xlfn.IFNA(VLOOKUP(AY830,표1[[검색용]:[OptionGroupIndex'[']22]],EquipItemTable!AZ830,FALSE),"옵션고정안함")</f>
        <v>3131</v>
      </c>
    </row>
    <row r="831" spans="1:53" ht="12" customHeight="1" x14ac:dyDescent="0.2">
      <c r="A831" s="13" t="s">
        <v>151</v>
      </c>
      <c r="B831" s="39">
        <v>54011</v>
      </c>
      <c r="C831" s="42" t="s">
        <v>3563</v>
      </c>
      <c r="D831" s="10" t="s">
        <v>80</v>
      </c>
      <c r="E831" s="10" t="s">
        <v>0</v>
      </c>
      <c r="F831" s="1" t="s">
        <v>91</v>
      </c>
      <c r="G831" s="1" t="s">
        <v>1309</v>
      </c>
      <c r="H831" s="1"/>
      <c r="I831" s="1"/>
      <c r="J831" s="1"/>
      <c r="K831" s="1"/>
      <c r="L831" s="1"/>
      <c r="M831" s="1"/>
      <c r="N831" s="81"/>
      <c r="O831" s="12" t="s">
        <v>96</v>
      </c>
      <c r="P831" s="1">
        <v>31</v>
      </c>
      <c r="Q831" s="13"/>
      <c r="R831" s="13"/>
      <c r="S831" s="13"/>
      <c r="T831" s="13"/>
      <c r="U831" s="13"/>
      <c r="V831" s="1"/>
      <c r="W831" s="1">
        <v>788</v>
      </c>
      <c r="X831" s="1">
        <f t="shared" si="93"/>
        <v>788</v>
      </c>
      <c r="Y831" s="13"/>
      <c r="Z831" s="13"/>
      <c r="AA831" s="13"/>
      <c r="AB831" s="13"/>
      <c r="AC831" s="82"/>
      <c r="AD831" s="23" t="s">
        <v>52</v>
      </c>
      <c r="AE831" s="90" t="str">
        <f t="shared" si="96"/>
        <v>3231</v>
      </c>
      <c r="AF831" s="23"/>
      <c r="AI831" s="23"/>
      <c r="AJ831" s="23"/>
      <c r="AK831" s="23"/>
      <c r="AL831" s="23"/>
      <c r="AM831" s="23"/>
      <c r="AN831" s="23"/>
      <c r="AO831" s="23"/>
      <c r="AP831" s="23"/>
      <c r="AQ831" s="81"/>
      <c r="AR831" s="83">
        <v>1</v>
      </c>
      <c r="AS831" s="83">
        <v>1</v>
      </c>
      <c r="AT831" s="81"/>
      <c r="AU831" s="12" t="s">
        <v>1934</v>
      </c>
      <c r="AV831" s="13"/>
      <c r="AW831" s="39">
        <v>3</v>
      </c>
      <c r="AX831" s="12">
        <f>VLOOKUP(AW831,색인!$N$14:$O$19,2,FALSE)</f>
        <v>2</v>
      </c>
      <c r="AY831" s="39" t="str">
        <f>"T"&amp;O831&amp;"_"&amp;AX831&amp;"옵션_"&amp;VLOOKUP(E831,색인!$J$25:$K$29,2,FALSE)</f>
        <v>T3_2옵션_장신구</v>
      </c>
      <c r="AZ831" s="39">
        <f>VLOOKUP(G831,색인!$J$32:$K$45,2,FALSE)</f>
        <v>2</v>
      </c>
      <c r="BA831" s="39" t="str">
        <f>_xlfn.IFNA(VLOOKUP(AY831,표1[[검색용]:[OptionGroupIndex'[']22]],EquipItemTable!AZ831,FALSE),"옵션고정안함")</f>
        <v>3231</v>
      </c>
    </row>
    <row r="832" spans="1:53" ht="12" customHeight="1" x14ac:dyDescent="0.2">
      <c r="A832" s="13" t="s">
        <v>152</v>
      </c>
      <c r="B832" s="39">
        <v>54012</v>
      </c>
      <c r="C832" s="42" t="s">
        <v>3564</v>
      </c>
      <c r="D832" s="10" t="s">
        <v>80</v>
      </c>
      <c r="E832" s="10" t="s">
        <v>0</v>
      </c>
      <c r="F832" s="1" t="s">
        <v>91</v>
      </c>
      <c r="G832" s="1" t="s">
        <v>1309</v>
      </c>
      <c r="H832" s="1"/>
      <c r="I832" s="1"/>
      <c r="J832" s="1"/>
      <c r="K832" s="1"/>
      <c r="L832" s="1"/>
      <c r="M832" s="1"/>
      <c r="N832" s="81"/>
      <c r="O832" s="12" t="s">
        <v>96</v>
      </c>
      <c r="P832" s="1">
        <v>31</v>
      </c>
      <c r="Q832" s="13"/>
      <c r="R832" s="13"/>
      <c r="S832" s="13"/>
      <c r="T832" s="13"/>
      <c r="U832" s="13"/>
      <c r="V832" s="1"/>
      <c r="W832" s="1">
        <v>935</v>
      </c>
      <c r="X832" s="1">
        <f t="shared" si="93"/>
        <v>935</v>
      </c>
      <c r="Y832" s="13"/>
      <c r="Z832" s="13"/>
      <c r="AA832" s="13"/>
      <c r="AB832" s="13"/>
      <c r="AC832" s="82"/>
      <c r="AD832" s="23" t="s">
        <v>52</v>
      </c>
      <c r="AE832" s="90" t="str">
        <f t="shared" si="96"/>
        <v>3331</v>
      </c>
      <c r="AF832" s="23"/>
      <c r="AI832" s="23"/>
      <c r="AJ832" s="23"/>
      <c r="AK832" s="23"/>
      <c r="AL832" s="23"/>
      <c r="AM832" s="23"/>
      <c r="AN832" s="23"/>
      <c r="AO832" s="23"/>
      <c r="AP832" s="23"/>
      <c r="AQ832" s="81"/>
      <c r="AR832" s="83">
        <v>1</v>
      </c>
      <c r="AS832" s="83">
        <v>1</v>
      </c>
      <c r="AT832" s="81"/>
      <c r="AU832" s="12" t="s">
        <v>1935</v>
      </c>
      <c r="AV832" s="13"/>
      <c r="AW832" s="39">
        <v>4</v>
      </c>
      <c r="AX832" s="12">
        <f>VLOOKUP(AW832,색인!$N$14:$O$19,2,FALSE)</f>
        <v>3</v>
      </c>
      <c r="AY832" s="39" t="str">
        <f>"T"&amp;O832&amp;"_"&amp;AX832&amp;"옵션_"&amp;VLOOKUP(E832,색인!$J$25:$K$29,2,FALSE)</f>
        <v>T3_3옵션_장신구</v>
      </c>
      <c r="AZ832" s="39">
        <f>VLOOKUP(G832,색인!$J$32:$K$45,2,FALSE)</f>
        <v>2</v>
      </c>
      <c r="BA832" s="39" t="str">
        <f>_xlfn.IFNA(VLOOKUP(AY832,표1[[검색용]:[OptionGroupIndex'[']22]],EquipItemTable!AZ832,FALSE),"옵션고정안함")</f>
        <v>3331</v>
      </c>
    </row>
    <row r="833" spans="1:53" ht="14.1" customHeight="1" x14ac:dyDescent="0.2">
      <c r="A833" s="13" t="s">
        <v>568</v>
      </c>
      <c r="B833" s="39">
        <v>54031</v>
      </c>
      <c r="C833" s="42" t="s">
        <v>3565</v>
      </c>
      <c r="D833" s="10" t="s">
        <v>80</v>
      </c>
      <c r="E833" s="10" t="s">
        <v>0</v>
      </c>
      <c r="F833" s="1" t="s">
        <v>91</v>
      </c>
      <c r="G833" s="1" t="s">
        <v>1309</v>
      </c>
      <c r="H833" s="1"/>
      <c r="I833" s="1"/>
      <c r="J833" s="1"/>
      <c r="K833" s="1"/>
      <c r="L833" s="1"/>
      <c r="M833" s="1"/>
      <c r="N833" s="81"/>
      <c r="O833" s="12" t="s">
        <v>96</v>
      </c>
      <c r="P833" s="1">
        <v>31</v>
      </c>
      <c r="Q833" s="13"/>
      <c r="R833" s="13"/>
      <c r="S833" s="13"/>
      <c r="T833" s="13"/>
      <c r="U833" s="13"/>
      <c r="V833" s="1"/>
      <c r="W833" s="1">
        <v>1105</v>
      </c>
      <c r="X833" s="1">
        <f t="shared" si="93"/>
        <v>1105</v>
      </c>
      <c r="Y833" s="13"/>
      <c r="Z833" s="13"/>
      <c r="AA833" s="13"/>
      <c r="AB833" s="13"/>
      <c r="AC833" s="82"/>
      <c r="AD833" s="23" t="s">
        <v>52</v>
      </c>
      <c r="AE833" s="23">
        <v>3</v>
      </c>
      <c r="AF833" s="23"/>
      <c r="AI833" s="23"/>
      <c r="AJ833" s="23"/>
      <c r="AK833" s="23"/>
      <c r="AL833" s="23"/>
      <c r="AM833" s="23"/>
      <c r="AN833" s="23">
        <v>1</v>
      </c>
      <c r="AO833" s="23"/>
      <c r="AP833" s="23"/>
      <c r="AQ833" s="81"/>
      <c r="AR833" s="83">
        <v>1</v>
      </c>
      <c r="AS833" s="83">
        <v>1</v>
      </c>
      <c r="AT833" s="81"/>
      <c r="AU833" s="12" t="s">
        <v>1936</v>
      </c>
      <c r="AV833" s="13"/>
      <c r="AW833" s="39">
        <v>6</v>
      </c>
      <c r="AX833" s="12">
        <f>VLOOKUP(AW833,색인!$N$14:$O$19,2,FALSE)</f>
        <v>4</v>
      </c>
      <c r="AY833" s="32" t="str">
        <f>"T"&amp;O833&amp;"_"&amp;AX833&amp;"옵션_"&amp;VLOOKUP(E833,색인!$J$25:$K$29,2,FALSE)</f>
        <v>T3_4옵션_장신구</v>
      </c>
      <c r="AZ833" s="32">
        <f>VLOOKUP(G833,색인!$J$32:$K$45,2,FALSE)</f>
        <v>2</v>
      </c>
      <c r="BA833" s="32" t="str">
        <f>_xlfn.IFNA(VLOOKUP(AY833,표1[[검색용]:[OptionGroupIndex'[']22]],EquipItemTable!AZ833,FALSE),"옵션고정안함")</f>
        <v>옵션고정안함</v>
      </c>
    </row>
    <row r="834" spans="1:53" ht="14.1" customHeight="1" x14ac:dyDescent="0.2">
      <c r="A834" s="13" t="s">
        <v>1018</v>
      </c>
      <c r="B834" s="39">
        <v>54029</v>
      </c>
      <c r="C834" s="42" t="s">
        <v>3566</v>
      </c>
      <c r="D834" s="10" t="s">
        <v>80</v>
      </c>
      <c r="E834" s="10" t="s">
        <v>0</v>
      </c>
      <c r="F834" s="1" t="s">
        <v>91</v>
      </c>
      <c r="G834" s="1" t="s">
        <v>1309</v>
      </c>
      <c r="H834" s="1"/>
      <c r="I834" s="1"/>
      <c r="J834" s="1"/>
      <c r="K834" s="1"/>
      <c r="L834" s="1"/>
      <c r="M834" s="1"/>
      <c r="N834" s="81"/>
      <c r="O834" s="12" t="s">
        <v>96</v>
      </c>
      <c r="P834" s="1">
        <v>31</v>
      </c>
      <c r="Q834" s="13"/>
      <c r="R834" s="13"/>
      <c r="S834" s="13"/>
      <c r="T834" s="13"/>
      <c r="U834" s="13"/>
      <c r="V834" s="1"/>
      <c r="W834" s="1">
        <v>1105</v>
      </c>
      <c r="X834" s="1">
        <f t="shared" ref="X834:X836" si="97">W834</f>
        <v>1105</v>
      </c>
      <c r="Y834" s="13"/>
      <c r="Z834" s="13"/>
      <c r="AA834" s="13"/>
      <c r="AB834" s="13"/>
      <c r="AC834" s="82"/>
      <c r="AD834" s="23" t="s">
        <v>52</v>
      </c>
      <c r="AE834" s="23">
        <v>3</v>
      </c>
      <c r="AF834" s="23"/>
      <c r="AI834" s="23"/>
      <c r="AJ834" s="23"/>
      <c r="AK834" s="23"/>
      <c r="AL834" s="23"/>
      <c r="AM834" s="23"/>
      <c r="AN834" s="23">
        <v>2</v>
      </c>
      <c r="AO834" s="23"/>
      <c r="AP834" s="23"/>
      <c r="AQ834" s="81"/>
      <c r="AR834" s="83">
        <v>1</v>
      </c>
      <c r="AS834" s="83">
        <v>1</v>
      </c>
      <c r="AT834" s="81"/>
      <c r="AU834" s="12" t="s">
        <v>1936</v>
      </c>
      <c r="AV834" s="13"/>
      <c r="AW834" s="39">
        <v>6</v>
      </c>
      <c r="AX834" s="12">
        <f>VLOOKUP(AW834,색인!$N$14:$O$19,2,FALSE)</f>
        <v>4</v>
      </c>
      <c r="AY834" s="32" t="str">
        <f>"T"&amp;O834&amp;"_"&amp;AX834&amp;"옵션_"&amp;VLOOKUP(E834,색인!$J$25:$K$29,2,FALSE)</f>
        <v>T3_4옵션_장신구</v>
      </c>
      <c r="AZ834" s="32">
        <f>VLOOKUP(G834,색인!$J$32:$K$45,2,FALSE)</f>
        <v>2</v>
      </c>
      <c r="BA834" s="32" t="str">
        <f>_xlfn.IFNA(VLOOKUP(AY834,표1[[검색용]:[OptionGroupIndex'[']22]],EquipItemTable!AZ834,FALSE),"옵션고정안함")</f>
        <v>옵션고정안함</v>
      </c>
    </row>
    <row r="835" spans="1:53" ht="14.1" customHeight="1" x14ac:dyDescent="0.2">
      <c r="A835" s="13" t="s">
        <v>1019</v>
      </c>
      <c r="B835" s="39">
        <v>54030</v>
      </c>
      <c r="C835" s="42" t="s">
        <v>3567</v>
      </c>
      <c r="D835" s="10" t="s">
        <v>80</v>
      </c>
      <c r="E835" s="10" t="s">
        <v>0</v>
      </c>
      <c r="F835" s="1" t="s">
        <v>91</v>
      </c>
      <c r="G835" s="1" t="s">
        <v>1309</v>
      </c>
      <c r="H835" s="1"/>
      <c r="I835" s="1"/>
      <c r="J835" s="1"/>
      <c r="K835" s="1"/>
      <c r="L835" s="1"/>
      <c r="M835" s="1"/>
      <c r="N835" s="81"/>
      <c r="O835" s="12" t="s">
        <v>96</v>
      </c>
      <c r="P835" s="1">
        <v>31</v>
      </c>
      <c r="Q835" s="13"/>
      <c r="R835" s="13"/>
      <c r="S835" s="13"/>
      <c r="T835" s="13"/>
      <c r="U835" s="13"/>
      <c r="V835" s="1"/>
      <c r="W835" s="1">
        <v>1105</v>
      </c>
      <c r="X835" s="1">
        <f t="shared" si="97"/>
        <v>1105</v>
      </c>
      <c r="Y835" s="13"/>
      <c r="Z835" s="13"/>
      <c r="AA835" s="13"/>
      <c r="AB835" s="13"/>
      <c r="AC835" s="82"/>
      <c r="AD835" s="23" t="s">
        <v>52</v>
      </c>
      <c r="AE835" s="23">
        <v>3</v>
      </c>
      <c r="AF835" s="23"/>
      <c r="AI835" s="23"/>
      <c r="AJ835" s="23"/>
      <c r="AK835" s="23"/>
      <c r="AL835" s="23"/>
      <c r="AM835" s="23"/>
      <c r="AN835" s="23">
        <v>3</v>
      </c>
      <c r="AO835" s="23"/>
      <c r="AP835" s="23"/>
      <c r="AQ835" s="81"/>
      <c r="AR835" s="83">
        <v>1</v>
      </c>
      <c r="AS835" s="83">
        <v>1</v>
      </c>
      <c r="AT835" s="81"/>
      <c r="AU835" s="12" t="s">
        <v>1936</v>
      </c>
      <c r="AV835" s="13"/>
      <c r="AW835" s="39">
        <v>6</v>
      </c>
      <c r="AX835" s="12">
        <f>VLOOKUP(AW835,색인!$N$14:$O$19,2,FALSE)</f>
        <v>4</v>
      </c>
      <c r="AY835" s="32" t="str">
        <f>"T"&amp;O835&amp;"_"&amp;AX835&amp;"옵션_"&amp;VLOOKUP(E835,색인!$J$25:$K$29,2,FALSE)</f>
        <v>T3_4옵션_장신구</v>
      </c>
      <c r="AZ835" s="32">
        <f>VLOOKUP(G835,색인!$J$32:$K$45,2,FALSE)</f>
        <v>2</v>
      </c>
      <c r="BA835" s="32" t="str">
        <f>_xlfn.IFNA(VLOOKUP(AY835,표1[[검색용]:[OptionGroupIndex'[']22]],EquipItemTable!AZ835,FALSE),"옵션고정안함")</f>
        <v>옵션고정안함</v>
      </c>
    </row>
    <row r="836" spans="1:53" ht="14.1" customHeight="1" x14ac:dyDescent="0.2">
      <c r="A836" s="13" t="s">
        <v>1020</v>
      </c>
      <c r="B836" s="39">
        <v>54021</v>
      </c>
      <c r="C836" s="42" t="s">
        <v>3568</v>
      </c>
      <c r="D836" s="10" t="s">
        <v>80</v>
      </c>
      <c r="E836" s="10" t="s">
        <v>0</v>
      </c>
      <c r="F836" s="1" t="s">
        <v>91</v>
      </c>
      <c r="G836" s="1" t="s">
        <v>1309</v>
      </c>
      <c r="H836" s="1"/>
      <c r="I836" s="1"/>
      <c r="J836" s="1"/>
      <c r="K836" s="1"/>
      <c r="L836" s="1"/>
      <c r="M836" s="1"/>
      <c r="N836" s="81"/>
      <c r="O836" s="12" t="s">
        <v>96</v>
      </c>
      <c r="P836" s="1">
        <v>31</v>
      </c>
      <c r="Q836" s="13"/>
      <c r="R836" s="13"/>
      <c r="S836" s="13"/>
      <c r="T836" s="13"/>
      <c r="U836" s="13"/>
      <c r="V836" s="1"/>
      <c r="W836" s="1">
        <v>1105</v>
      </c>
      <c r="X836" s="1">
        <f t="shared" si="97"/>
        <v>1105</v>
      </c>
      <c r="Y836" s="13"/>
      <c r="Z836" s="13"/>
      <c r="AA836" s="13"/>
      <c r="AB836" s="13"/>
      <c r="AC836" s="82"/>
      <c r="AD836" s="23" t="s">
        <v>52</v>
      </c>
      <c r="AE836" s="23">
        <v>3</v>
      </c>
      <c r="AF836" s="23"/>
      <c r="AI836" s="23"/>
      <c r="AJ836" s="23"/>
      <c r="AK836" s="23"/>
      <c r="AL836" s="23"/>
      <c r="AM836" s="23"/>
      <c r="AN836" s="23">
        <v>4</v>
      </c>
      <c r="AO836" s="23"/>
      <c r="AP836" s="23"/>
      <c r="AQ836" s="81"/>
      <c r="AR836" s="83">
        <v>1</v>
      </c>
      <c r="AS836" s="83">
        <v>1</v>
      </c>
      <c r="AT836" s="81"/>
      <c r="AU836" s="12" t="s">
        <v>1936</v>
      </c>
      <c r="AV836" s="13"/>
      <c r="AW836" s="39">
        <v>6</v>
      </c>
      <c r="AX836" s="12">
        <f>VLOOKUP(AW836,색인!$N$14:$O$19,2,FALSE)</f>
        <v>4</v>
      </c>
      <c r="AY836" s="32" t="str">
        <f>"T"&amp;O836&amp;"_"&amp;AX836&amp;"옵션_"&amp;VLOOKUP(E836,색인!$J$25:$K$29,2,FALSE)</f>
        <v>T3_4옵션_장신구</v>
      </c>
      <c r="AZ836" s="32">
        <f>VLOOKUP(G836,색인!$J$32:$K$45,2,FALSE)</f>
        <v>2</v>
      </c>
      <c r="BA836" s="32" t="str">
        <f>_xlfn.IFNA(VLOOKUP(AY836,표1[[검색용]:[OptionGroupIndex'[']22]],EquipItemTable!AZ836,FALSE),"옵션고정안함")</f>
        <v>옵션고정안함</v>
      </c>
    </row>
    <row r="837" spans="1:53" ht="12" customHeight="1" x14ac:dyDescent="0.2">
      <c r="A837" s="13" t="s">
        <v>153</v>
      </c>
      <c r="B837" s="39">
        <v>54013</v>
      </c>
      <c r="C837" s="42" t="s">
        <v>3569</v>
      </c>
      <c r="D837" s="10" t="s">
        <v>80</v>
      </c>
      <c r="E837" s="10" t="s">
        <v>0</v>
      </c>
      <c r="F837" s="1" t="s">
        <v>91</v>
      </c>
      <c r="G837" s="1" t="s">
        <v>1309</v>
      </c>
      <c r="H837" s="1"/>
      <c r="I837" s="1"/>
      <c r="J837" s="1"/>
      <c r="K837" s="1"/>
      <c r="L837" s="1"/>
      <c r="M837" s="1"/>
      <c r="N837" s="81"/>
      <c r="O837" s="12" t="s">
        <v>97</v>
      </c>
      <c r="P837" s="1">
        <v>41</v>
      </c>
      <c r="Q837" s="13"/>
      <c r="R837" s="13"/>
      <c r="S837" s="13"/>
      <c r="T837" s="13"/>
      <c r="U837" s="13"/>
      <c r="V837" s="1"/>
      <c r="W837" s="1">
        <v>1075</v>
      </c>
      <c r="X837" s="1">
        <f t="shared" si="93"/>
        <v>1075</v>
      </c>
      <c r="Y837" s="13"/>
      <c r="Z837" s="13"/>
      <c r="AA837" s="13"/>
      <c r="AB837" s="13"/>
      <c r="AC837" s="82"/>
      <c r="AD837" s="23" t="s">
        <v>52</v>
      </c>
      <c r="AE837" s="23">
        <v>4</v>
      </c>
      <c r="AF837" s="23"/>
      <c r="AI837" s="23"/>
      <c r="AJ837" s="23"/>
      <c r="AK837" s="23"/>
      <c r="AL837" s="23"/>
      <c r="AM837" s="23"/>
      <c r="AN837" s="23"/>
      <c r="AO837" s="23"/>
      <c r="AP837" s="23"/>
      <c r="AQ837" s="81"/>
      <c r="AR837" s="83"/>
      <c r="AS837" s="83"/>
      <c r="AT837" s="81"/>
      <c r="AU837" s="12" t="s">
        <v>1932</v>
      </c>
      <c r="AV837" s="13"/>
      <c r="AW837" s="39">
        <v>1</v>
      </c>
      <c r="AY837" s="32"/>
      <c r="AZ837" s="32"/>
      <c r="BA837" s="32"/>
    </row>
    <row r="838" spans="1:53" ht="12" customHeight="1" x14ac:dyDescent="0.2">
      <c r="A838" s="13" t="s">
        <v>154</v>
      </c>
      <c r="B838" s="39">
        <v>54014</v>
      </c>
      <c r="C838" s="42" t="s">
        <v>3570</v>
      </c>
      <c r="D838" s="10" t="s">
        <v>80</v>
      </c>
      <c r="E838" s="10" t="s">
        <v>0</v>
      </c>
      <c r="F838" s="1" t="s">
        <v>91</v>
      </c>
      <c r="G838" s="1" t="s">
        <v>1309</v>
      </c>
      <c r="H838" s="1"/>
      <c r="I838" s="1"/>
      <c r="J838" s="1"/>
      <c r="K838" s="1"/>
      <c r="L838" s="1"/>
      <c r="M838" s="1"/>
      <c r="N838" s="81"/>
      <c r="O838" s="12" t="s">
        <v>97</v>
      </c>
      <c r="P838" s="1">
        <v>41</v>
      </c>
      <c r="Q838" s="13"/>
      <c r="R838" s="13"/>
      <c r="S838" s="13"/>
      <c r="T838" s="13"/>
      <c r="U838" s="13"/>
      <c r="V838" s="1"/>
      <c r="W838" s="1">
        <v>1329</v>
      </c>
      <c r="X838" s="1">
        <f t="shared" si="93"/>
        <v>1329</v>
      </c>
      <c r="Y838" s="13"/>
      <c r="Z838" s="13"/>
      <c r="AA838" s="13"/>
      <c r="AB838" s="13"/>
      <c r="AC838" s="82"/>
      <c r="AD838" s="23" t="s">
        <v>52</v>
      </c>
      <c r="AE838" s="90" t="str">
        <f t="shared" ref="AE838:AE840" si="98">BA838</f>
        <v>4131</v>
      </c>
      <c r="AF838" s="23"/>
      <c r="AI838" s="23"/>
      <c r="AJ838" s="23"/>
      <c r="AK838" s="23"/>
      <c r="AL838" s="23"/>
      <c r="AM838" s="23"/>
      <c r="AN838" s="23"/>
      <c r="AO838" s="23"/>
      <c r="AP838" s="23"/>
      <c r="AQ838" s="81"/>
      <c r="AR838" s="83"/>
      <c r="AS838" s="83"/>
      <c r="AT838" s="81"/>
      <c r="AU838" s="12" t="s">
        <v>1933</v>
      </c>
      <c r="AV838" s="13"/>
      <c r="AW838" s="39">
        <v>2</v>
      </c>
      <c r="AX838" s="12">
        <f>VLOOKUP(AW838,색인!$N$14:$O$19,2,FALSE)</f>
        <v>1</v>
      </c>
      <c r="AY838" s="39" t="str">
        <f>"T"&amp;O838&amp;"_"&amp;AX838&amp;"옵션_"&amp;VLOOKUP(E838,색인!$J$25:$K$29,2,FALSE)</f>
        <v>T4_1옵션_장신구</v>
      </c>
      <c r="AZ838" s="39">
        <f>VLOOKUP(G838,색인!$J$32:$K$45,2,FALSE)</f>
        <v>2</v>
      </c>
      <c r="BA838" s="39" t="str">
        <f>_xlfn.IFNA(VLOOKUP(AY838,표1[[검색용]:[OptionGroupIndex'[']22]],EquipItemTable!AZ838,FALSE),"옵션고정안함")</f>
        <v>4131</v>
      </c>
    </row>
    <row r="839" spans="1:53" ht="12" customHeight="1" x14ac:dyDescent="0.2">
      <c r="A839" s="13" t="s">
        <v>155</v>
      </c>
      <c r="B839" s="39">
        <v>54015</v>
      </c>
      <c r="C839" s="42" t="s">
        <v>3571</v>
      </c>
      <c r="D839" s="10" t="s">
        <v>80</v>
      </c>
      <c r="E839" s="10" t="s">
        <v>0</v>
      </c>
      <c r="F839" s="1" t="s">
        <v>91</v>
      </c>
      <c r="G839" s="1" t="s">
        <v>1309</v>
      </c>
      <c r="H839" s="1"/>
      <c r="I839" s="1"/>
      <c r="J839" s="1"/>
      <c r="K839" s="1"/>
      <c r="L839" s="1"/>
      <c r="M839" s="1"/>
      <c r="N839" s="81"/>
      <c r="O839" s="12" t="s">
        <v>97</v>
      </c>
      <c r="P839" s="1">
        <v>41</v>
      </c>
      <c r="Q839" s="13"/>
      <c r="R839" s="13"/>
      <c r="S839" s="13"/>
      <c r="T839" s="13"/>
      <c r="U839" s="13"/>
      <c r="V839" s="1"/>
      <c r="W839" s="1">
        <v>1560</v>
      </c>
      <c r="X839" s="1">
        <f t="shared" si="93"/>
        <v>1560</v>
      </c>
      <c r="Y839" s="13"/>
      <c r="Z839" s="13"/>
      <c r="AA839" s="13"/>
      <c r="AB839" s="13"/>
      <c r="AC839" s="82"/>
      <c r="AD839" s="23" t="s">
        <v>52</v>
      </c>
      <c r="AE839" s="90" t="str">
        <f t="shared" si="98"/>
        <v>4231</v>
      </c>
      <c r="AF839" s="23"/>
      <c r="AI839" s="23"/>
      <c r="AJ839" s="23"/>
      <c r="AK839" s="23"/>
      <c r="AL839" s="23"/>
      <c r="AM839" s="23"/>
      <c r="AN839" s="23"/>
      <c r="AO839" s="23"/>
      <c r="AP839" s="23"/>
      <c r="AQ839" s="81"/>
      <c r="AR839" s="83">
        <v>1</v>
      </c>
      <c r="AS839" s="83">
        <v>1</v>
      </c>
      <c r="AT839" s="81"/>
      <c r="AU839" s="12" t="s">
        <v>1934</v>
      </c>
      <c r="AV839" s="13"/>
      <c r="AW839" s="39">
        <v>3</v>
      </c>
      <c r="AX839" s="12">
        <f>VLOOKUP(AW839,색인!$N$14:$O$19,2,FALSE)</f>
        <v>2</v>
      </c>
      <c r="AY839" s="39" t="str">
        <f>"T"&amp;O839&amp;"_"&amp;AX839&amp;"옵션_"&amp;VLOOKUP(E839,색인!$J$25:$K$29,2,FALSE)</f>
        <v>T4_2옵션_장신구</v>
      </c>
      <c r="AZ839" s="39">
        <f>VLOOKUP(G839,색인!$J$32:$K$45,2,FALSE)</f>
        <v>2</v>
      </c>
      <c r="BA839" s="39" t="str">
        <f>_xlfn.IFNA(VLOOKUP(AY839,표1[[검색용]:[OptionGroupIndex'[']22]],EquipItemTable!AZ839,FALSE),"옵션고정안함")</f>
        <v>4231</v>
      </c>
    </row>
    <row r="840" spans="1:53" ht="12" customHeight="1" x14ac:dyDescent="0.2">
      <c r="A840" s="13" t="s">
        <v>156</v>
      </c>
      <c r="B840" s="39">
        <v>54016</v>
      </c>
      <c r="C840" s="42" t="s">
        <v>3572</v>
      </c>
      <c r="D840" s="10" t="s">
        <v>80</v>
      </c>
      <c r="E840" s="10" t="s">
        <v>0</v>
      </c>
      <c r="F840" s="1" t="s">
        <v>91</v>
      </c>
      <c r="G840" s="1" t="s">
        <v>1309</v>
      </c>
      <c r="H840" s="1"/>
      <c r="I840" s="1"/>
      <c r="J840" s="1"/>
      <c r="K840" s="1"/>
      <c r="L840" s="1"/>
      <c r="M840" s="1"/>
      <c r="O840" s="12" t="s">
        <v>97</v>
      </c>
      <c r="P840" s="1">
        <v>41</v>
      </c>
      <c r="Q840" s="1"/>
      <c r="R840" s="1"/>
      <c r="S840" s="1"/>
      <c r="T840" s="1"/>
      <c r="U840" s="1"/>
      <c r="V840" s="1"/>
      <c r="W840" s="1">
        <v>1826</v>
      </c>
      <c r="X840" s="1">
        <f t="shared" si="93"/>
        <v>1826</v>
      </c>
      <c r="Y840" s="1"/>
      <c r="Z840" s="1"/>
      <c r="AA840" s="1"/>
      <c r="AB840" s="11"/>
      <c r="AC840" s="82"/>
      <c r="AD840" s="12" t="s">
        <v>52</v>
      </c>
      <c r="AE840" s="39" t="str">
        <f t="shared" si="98"/>
        <v>4331</v>
      </c>
      <c r="AN840" s="12"/>
      <c r="AR840" s="34" t="s">
        <v>94</v>
      </c>
      <c r="AS840" s="34" t="s">
        <v>94</v>
      </c>
      <c r="AU840" s="12" t="s">
        <v>1935</v>
      </c>
      <c r="AV840" s="13"/>
      <c r="AW840" s="39">
        <v>4</v>
      </c>
      <c r="AX840" s="12">
        <f>VLOOKUP(AW840,색인!$N$14:$O$19,2,FALSE)</f>
        <v>3</v>
      </c>
      <c r="AY840" s="39" t="str">
        <f>"T"&amp;O840&amp;"_"&amp;AX840&amp;"옵션_"&amp;VLOOKUP(E840,색인!$J$25:$K$29,2,FALSE)</f>
        <v>T4_3옵션_장신구</v>
      </c>
      <c r="AZ840" s="39">
        <f>VLOOKUP(G840,색인!$J$32:$K$45,2,FALSE)</f>
        <v>2</v>
      </c>
      <c r="BA840" s="39" t="str">
        <f>_xlfn.IFNA(VLOOKUP(AY840,표1[[검색용]:[OptionGroupIndex'[']22]],EquipItemTable!AZ840,FALSE),"옵션고정안함")</f>
        <v>4331</v>
      </c>
    </row>
    <row r="841" spans="1:53" ht="14.1" customHeight="1" x14ac:dyDescent="0.2">
      <c r="A841" s="13" t="s">
        <v>569</v>
      </c>
      <c r="B841" s="39">
        <v>54034</v>
      </c>
      <c r="C841" s="42" t="s">
        <v>3565</v>
      </c>
      <c r="D841" s="10" t="s">
        <v>80</v>
      </c>
      <c r="E841" s="10" t="s">
        <v>0</v>
      </c>
      <c r="F841" s="1" t="s">
        <v>91</v>
      </c>
      <c r="G841" s="1" t="s">
        <v>1309</v>
      </c>
      <c r="H841" s="1"/>
      <c r="I841" s="1"/>
      <c r="J841" s="1"/>
      <c r="K841" s="1"/>
      <c r="L841" s="1"/>
      <c r="M841" s="1"/>
      <c r="O841" s="12" t="s">
        <v>97</v>
      </c>
      <c r="P841" s="1">
        <v>41</v>
      </c>
      <c r="Q841" s="1"/>
      <c r="R841" s="1"/>
      <c r="S841" s="1"/>
      <c r="T841" s="1"/>
      <c r="U841" s="1"/>
      <c r="V841" s="1"/>
      <c r="W841" s="1">
        <v>2128</v>
      </c>
      <c r="X841" s="1">
        <f t="shared" si="93"/>
        <v>2128</v>
      </c>
      <c r="Y841" s="1"/>
      <c r="Z841" s="1"/>
      <c r="AA841" s="1"/>
      <c r="AB841" s="11"/>
      <c r="AC841" s="82"/>
      <c r="AD841" s="12" t="s">
        <v>52</v>
      </c>
      <c r="AE841" s="12" t="s">
        <v>551</v>
      </c>
      <c r="AN841" s="12" t="s">
        <v>554</v>
      </c>
      <c r="AR841" s="34" t="s">
        <v>94</v>
      </c>
      <c r="AS841" s="34" t="s">
        <v>94</v>
      </c>
      <c r="AU841" s="12" t="s">
        <v>1936</v>
      </c>
      <c r="AV841" s="13"/>
      <c r="AW841" s="39">
        <v>6</v>
      </c>
      <c r="AX841" s="12">
        <f>VLOOKUP(AW841,색인!$N$14:$O$19,2,FALSE)</f>
        <v>4</v>
      </c>
      <c r="AY841" s="32" t="str">
        <f>"T"&amp;O841&amp;"_"&amp;AX841&amp;"옵션_"&amp;VLOOKUP(E841,색인!$J$25:$K$29,2,FALSE)</f>
        <v>T4_4옵션_장신구</v>
      </c>
      <c r="AZ841" s="32">
        <f>VLOOKUP(G841,색인!$J$32:$K$45,2,FALSE)</f>
        <v>2</v>
      </c>
      <c r="BA841" s="32" t="str">
        <f>_xlfn.IFNA(VLOOKUP(AY841,표1[[검색용]:[OptionGroupIndex'[']22]],EquipItemTable!AZ841,FALSE),"옵션고정안함")</f>
        <v>옵션고정안함</v>
      </c>
    </row>
    <row r="842" spans="1:53" ht="14.1" customHeight="1" x14ac:dyDescent="0.2">
      <c r="A842" s="13" t="s">
        <v>1021</v>
      </c>
      <c r="B842" s="39">
        <v>54032</v>
      </c>
      <c r="C842" s="42" t="s">
        <v>3566</v>
      </c>
      <c r="D842" s="10" t="s">
        <v>80</v>
      </c>
      <c r="E842" s="10" t="s">
        <v>0</v>
      </c>
      <c r="F842" s="1" t="s">
        <v>91</v>
      </c>
      <c r="G842" s="1" t="s">
        <v>1309</v>
      </c>
      <c r="H842" s="1"/>
      <c r="I842" s="1"/>
      <c r="J842" s="1"/>
      <c r="K842" s="1"/>
      <c r="L842" s="1"/>
      <c r="M842" s="1"/>
      <c r="O842" s="12" t="s">
        <v>97</v>
      </c>
      <c r="P842" s="1">
        <v>41</v>
      </c>
      <c r="Q842" s="1"/>
      <c r="R842" s="1"/>
      <c r="S842" s="1"/>
      <c r="T842" s="1"/>
      <c r="U842" s="1"/>
      <c r="V842" s="1"/>
      <c r="W842" s="1">
        <v>2128</v>
      </c>
      <c r="X842" s="1">
        <f t="shared" ref="X842:X844" si="99">W842</f>
        <v>2128</v>
      </c>
      <c r="Y842" s="1"/>
      <c r="Z842" s="1"/>
      <c r="AA842" s="1"/>
      <c r="AB842" s="11"/>
      <c r="AC842" s="82"/>
      <c r="AD842" s="12" t="s">
        <v>52</v>
      </c>
      <c r="AE842" s="12" t="s">
        <v>97</v>
      </c>
      <c r="AN842" s="12" t="s">
        <v>1192</v>
      </c>
      <c r="AR842" s="34" t="s">
        <v>94</v>
      </c>
      <c r="AS842" s="34" t="s">
        <v>94</v>
      </c>
      <c r="AU842" s="12" t="s">
        <v>1936</v>
      </c>
      <c r="AV842" s="13"/>
      <c r="AW842" s="39">
        <v>6</v>
      </c>
      <c r="AX842" s="12">
        <f>VLOOKUP(AW842,색인!$N$14:$O$19,2,FALSE)</f>
        <v>4</v>
      </c>
      <c r="AY842" s="32" t="str">
        <f>"T"&amp;O842&amp;"_"&amp;AX842&amp;"옵션_"&amp;VLOOKUP(E842,색인!$J$25:$K$29,2,FALSE)</f>
        <v>T4_4옵션_장신구</v>
      </c>
      <c r="AZ842" s="32">
        <f>VLOOKUP(G842,색인!$J$32:$K$45,2,FALSE)</f>
        <v>2</v>
      </c>
      <c r="BA842" s="32" t="str">
        <f>_xlfn.IFNA(VLOOKUP(AY842,표1[[검색용]:[OptionGroupIndex'[']22]],EquipItemTable!AZ842,FALSE),"옵션고정안함")</f>
        <v>옵션고정안함</v>
      </c>
    </row>
    <row r="843" spans="1:53" ht="14.1" customHeight="1" x14ac:dyDescent="0.2">
      <c r="A843" s="13" t="s">
        <v>1022</v>
      </c>
      <c r="B843" s="39">
        <v>54033</v>
      </c>
      <c r="C843" s="42" t="s">
        <v>3567</v>
      </c>
      <c r="D843" s="10" t="s">
        <v>80</v>
      </c>
      <c r="E843" s="10" t="s">
        <v>0</v>
      </c>
      <c r="F843" s="1" t="s">
        <v>91</v>
      </c>
      <c r="G843" s="1" t="s">
        <v>1309</v>
      </c>
      <c r="H843" s="1"/>
      <c r="I843" s="1"/>
      <c r="J843" s="1"/>
      <c r="K843" s="1"/>
      <c r="L843" s="1"/>
      <c r="M843" s="1"/>
      <c r="O843" s="12" t="s">
        <v>97</v>
      </c>
      <c r="P843" s="1">
        <v>41</v>
      </c>
      <c r="Q843" s="1"/>
      <c r="R843" s="1"/>
      <c r="S843" s="1"/>
      <c r="T843" s="1"/>
      <c r="U843" s="1"/>
      <c r="V843" s="1"/>
      <c r="W843" s="1">
        <v>2128</v>
      </c>
      <c r="X843" s="1">
        <f t="shared" si="99"/>
        <v>2128</v>
      </c>
      <c r="Y843" s="1"/>
      <c r="Z843" s="1"/>
      <c r="AA843" s="1"/>
      <c r="AB843" s="11"/>
      <c r="AC843" s="82"/>
      <c r="AD843" s="12" t="s">
        <v>52</v>
      </c>
      <c r="AE843" s="12" t="s">
        <v>97</v>
      </c>
      <c r="AN843" s="12" t="s">
        <v>369</v>
      </c>
      <c r="AR843" s="34" t="s">
        <v>94</v>
      </c>
      <c r="AS843" s="34" t="s">
        <v>94</v>
      </c>
      <c r="AU843" s="12" t="s">
        <v>1936</v>
      </c>
      <c r="AV843" s="13"/>
      <c r="AW843" s="39">
        <v>6</v>
      </c>
      <c r="AX843" s="12">
        <f>VLOOKUP(AW843,색인!$N$14:$O$19,2,FALSE)</f>
        <v>4</v>
      </c>
      <c r="AY843" s="32" t="str">
        <f>"T"&amp;O843&amp;"_"&amp;AX843&amp;"옵션_"&amp;VLOOKUP(E843,색인!$J$25:$K$29,2,FALSE)</f>
        <v>T4_4옵션_장신구</v>
      </c>
      <c r="AZ843" s="32">
        <f>VLOOKUP(G843,색인!$J$32:$K$45,2,FALSE)</f>
        <v>2</v>
      </c>
      <c r="BA843" s="32" t="str">
        <f>_xlfn.IFNA(VLOOKUP(AY843,표1[[검색용]:[OptionGroupIndex'[']22]],EquipItemTable!AZ843,FALSE),"옵션고정안함")</f>
        <v>옵션고정안함</v>
      </c>
    </row>
    <row r="844" spans="1:53" ht="14.1" customHeight="1" x14ac:dyDescent="0.2">
      <c r="A844" s="13" t="s">
        <v>1023</v>
      </c>
      <c r="B844" s="39">
        <v>54022</v>
      </c>
      <c r="C844" s="42" t="s">
        <v>3568</v>
      </c>
      <c r="D844" s="10" t="s">
        <v>80</v>
      </c>
      <c r="E844" s="10" t="s">
        <v>0</v>
      </c>
      <c r="F844" s="1" t="s">
        <v>91</v>
      </c>
      <c r="G844" s="1" t="s">
        <v>1309</v>
      </c>
      <c r="H844" s="1"/>
      <c r="I844" s="1"/>
      <c r="J844" s="1"/>
      <c r="K844" s="1"/>
      <c r="L844" s="1"/>
      <c r="M844" s="1"/>
      <c r="O844" s="12" t="s">
        <v>97</v>
      </c>
      <c r="P844" s="1">
        <v>41</v>
      </c>
      <c r="Q844" s="1"/>
      <c r="R844" s="1"/>
      <c r="S844" s="1"/>
      <c r="T844" s="1"/>
      <c r="U844" s="1"/>
      <c r="V844" s="1"/>
      <c r="W844" s="1">
        <v>2128</v>
      </c>
      <c r="X844" s="1">
        <f t="shared" si="99"/>
        <v>2128</v>
      </c>
      <c r="Y844" s="1"/>
      <c r="Z844" s="1"/>
      <c r="AA844" s="1"/>
      <c r="AB844" s="11"/>
      <c r="AC844" s="82"/>
      <c r="AD844" s="12" t="s">
        <v>52</v>
      </c>
      <c r="AE844" s="12" t="s">
        <v>97</v>
      </c>
      <c r="AN844" s="12" t="s">
        <v>1194</v>
      </c>
      <c r="AR844" s="34" t="s">
        <v>94</v>
      </c>
      <c r="AS844" s="34" t="s">
        <v>94</v>
      </c>
      <c r="AU844" s="12" t="s">
        <v>1936</v>
      </c>
      <c r="AV844" s="13"/>
      <c r="AW844" s="39">
        <v>6</v>
      </c>
      <c r="AX844" s="12">
        <f>VLOOKUP(AW844,색인!$N$14:$O$19,2,FALSE)</f>
        <v>4</v>
      </c>
      <c r="AY844" s="32" t="str">
        <f>"T"&amp;O844&amp;"_"&amp;AX844&amp;"옵션_"&amp;VLOOKUP(E844,색인!$J$25:$K$29,2,FALSE)</f>
        <v>T4_4옵션_장신구</v>
      </c>
      <c r="AZ844" s="32">
        <f>VLOOKUP(G844,색인!$J$32:$K$45,2,FALSE)</f>
        <v>2</v>
      </c>
      <c r="BA844" s="32" t="str">
        <f>_xlfn.IFNA(VLOOKUP(AY844,표1[[검색용]:[OptionGroupIndex'[']22]],EquipItemTable!AZ844,FALSE),"옵션고정안함")</f>
        <v>옵션고정안함</v>
      </c>
    </row>
    <row r="845" spans="1:53" ht="12" customHeight="1" x14ac:dyDescent="0.2">
      <c r="A845" s="13" t="s">
        <v>460</v>
      </c>
      <c r="B845" s="39">
        <v>54017</v>
      </c>
      <c r="C845" s="42" t="s">
        <v>3573</v>
      </c>
      <c r="D845" s="10" t="s">
        <v>80</v>
      </c>
      <c r="E845" s="10" t="s">
        <v>0</v>
      </c>
      <c r="F845" s="1" t="s">
        <v>91</v>
      </c>
      <c r="G845" s="1" t="s">
        <v>1309</v>
      </c>
      <c r="H845" s="1"/>
      <c r="I845" s="1"/>
      <c r="J845" s="1"/>
      <c r="K845" s="1"/>
      <c r="L845" s="1"/>
      <c r="M845" s="1"/>
      <c r="O845" s="12" t="s">
        <v>430</v>
      </c>
      <c r="P845" s="1">
        <v>51</v>
      </c>
      <c r="Q845" s="1"/>
      <c r="R845" s="1"/>
      <c r="S845" s="1"/>
      <c r="T845" s="1"/>
      <c r="U845" s="1"/>
      <c r="V845" s="1"/>
      <c r="W845" s="1">
        <v>2098</v>
      </c>
      <c r="X845" s="1">
        <f t="shared" si="93"/>
        <v>2098</v>
      </c>
      <c r="Y845" s="1"/>
      <c r="Z845" s="1"/>
      <c r="AA845" s="1"/>
      <c r="AB845" s="11"/>
      <c r="AC845" s="82"/>
      <c r="AD845" s="12" t="s">
        <v>542</v>
      </c>
      <c r="AE845" s="12" t="s">
        <v>552</v>
      </c>
      <c r="AN845" s="12"/>
      <c r="AU845" s="12" t="s">
        <v>1932</v>
      </c>
      <c r="AV845" s="13"/>
      <c r="AW845" s="39">
        <v>1</v>
      </c>
      <c r="AY845" s="32"/>
      <c r="AZ845" s="32"/>
      <c r="BA845" s="32"/>
    </row>
    <row r="846" spans="1:53" ht="12" customHeight="1" x14ac:dyDescent="0.2">
      <c r="A846" s="13" t="s">
        <v>461</v>
      </c>
      <c r="B846" s="39">
        <v>54018</v>
      </c>
      <c r="C846" s="42" t="s">
        <v>3574</v>
      </c>
      <c r="D846" s="10" t="s">
        <v>80</v>
      </c>
      <c r="E846" s="10" t="s">
        <v>0</v>
      </c>
      <c r="F846" s="1" t="s">
        <v>91</v>
      </c>
      <c r="G846" s="1" t="s">
        <v>1309</v>
      </c>
      <c r="H846" s="1"/>
      <c r="I846" s="1"/>
      <c r="J846" s="1"/>
      <c r="K846" s="1"/>
      <c r="L846" s="1"/>
      <c r="M846" s="1"/>
      <c r="O846" s="12" t="s">
        <v>430</v>
      </c>
      <c r="P846" s="1">
        <v>51</v>
      </c>
      <c r="Q846" s="1"/>
      <c r="R846" s="1"/>
      <c r="S846" s="1"/>
      <c r="T846" s="1"/>
      <c r="U846" s="1"/>
      <c r="V846" s="1"/>
      <c r="W846" s="1">
        <v>2561</v>
      </c>
      <c r="X846" s="1">
        <f t="shared" si="93"/>
        <v>2561</v>
      </c>
      <c r="Y846" s="1"/>
      <c r="Z846" s="1"/>
      <c r="AA846" s="1"/>
      <c r="AB846" s="11"/>
      <c r="AC846" s="82"/>
      <c r="AD846" s="12" t="s">
        <v>542</v>
      </c>
      <c r="AE846" s="39" t="str">
        <f t="shared" ref="AE846:AE848" si="100">BA846</f>
        <v>5131</v>
      </c>
      <c r="AN846" s="12"/>
      <c r="AU846" s="12" t="s">
        <v>1933</v>
      </c>
      <c r="AV846" s="13"/>
      <c r="AW846" s="39">
        <v>2</v>
      </c>
      <c r="AX846" s="12">
        <f>VLOOKUP(AW846,색인!$N$14:$O$19,2,FALSE)</f>
        <v>1</v>
      </c>
      <c r="AY846" s="39" t="str">
        <f>"T"&amp;O846&amp;"_"&amp;AX846&amp;"옵션_"&amp;VLOOKUP(E846,색인!$J$25:$K$29,2,FALSE)</f>
        <v>T5_1옵션_장신구</v>
      </c>
      <c r="AZ846" s="39">
        <f>VLOOKUP(G846,색인!$J$32:$K$45,2,FALSE)</f>
        <v>2</v>
      </c>
      <c r="BA846" s="39" t="str">
        <f>_xlfn.IFNA(VLOOKUP(AY846,표1[[검색용]:[OptionGroupIndex'[']22]],EquipItemTable!AZ846,FALSE),"옵션고정안함")</f>
        <v>5131</v>
      </c>
    </row>
    <row r="847" spans="1:53" ht="12" customHeight="1" x14ac:dyDescent="0.2">
      <c r="A847" s="13" t="s">
        <v>462</v>
      </c>
      <c r="B847" s="39">
        <v>54019</v>
      </c>
      <c r="C847" s="42" t="s">
        <v>3575</v>
      </c>
      <c r="D847" s="10" t="s">
        <v>80</v>
      </c>
      <c r="E847" s="10" t="s">
        <v>0</v>
      </c>
      <c r="F847" s="1" t="s">
        <v>91</v>
      </c>
      <c r="G847" s="1" t="s">
        <v>1309</v>
      </c>
      <c r="H847" s="1"/>
      <c r="I847" s="1"/>
      <c r="J847" s="1"/>
      <c r="K847" s="1"/>
      <c r="L847" s="1"/>
      <c r="M847" s="1"/>
      <c r="O847" s="12" t="s">
        <v>430</v>
      </c>
      <c r="P847" s="1">
        <v>51</v>
      </c>
      <c r="Q847" s="1"/>
      <c r="R847" s="1"/>
      <c r="S847" s="1"/>
      <c r="T847" s="1"/>
      <c r="U847" s="1"/>
      <c r="V847" s="1"/>
      <c r="W847" s="1">
        <v>2973</v>
      </c>
      <c r="X847" s="1">
        <f t="shared" si="93"/>
        <v>2973</v>
      </c>
      <c r="Y847" s="1"/>
      <c r="Z847" s="1"/>
      <c r="AA847" s="1"/>
      <c r="AB847" s="11"/>
      <c r="AC847" s="82"/>
      <c r="AD847" s="12" t="s">
        <v>542</v>
      </c>
      <c r="AE847" s="39" t="str">
        <f t="shared" si="100"/>
        <v>5231</v>
      </c>
      <c r="AN847" s="12"/>
      <c r="AR847" s="34" t="s">
        <v>543</v>
      </c>
      <c r="AS847" s="34" t="s">
        <v>543</v>
      </c>
      <c r="AU847" s="12" t="s">
        <v>1934</v>
      </c>
      <c r="AV847" s="13"/>
      <c r="AW847" s="39">
        <v>3</v>
      </c>
      <c r="AX847" s="12">
        <f>VLOOKUP(AW847,색인!$N$14:$O$19,2,FALSE)</f>
        <v>2</v>
      </c>
      <c r="AY847" s="39" t="str">
        <f>"T"&amp;O847&amp;"_"&amp;AX847&amp;"옵션_"&amp;VLOOKUP(E847,색인!$J$25:$K$29,2,FALSE)</f>
        <v>T5_2옵션_장신구</v>
      </c>
      <c r="AZ847" s="39">
        <f>VLOOKUP(G847,색인!$J$32:$K$45,2,FALSE)</f>
        <v>2</v>
      </c>
      <c r="BA847" s="39" t="str">
        <f>_xlfn.IFNA(VLOOKUP(AY847,표1[[검색용]:[OptionGroupIndex'[']22]],EquipItemTable!AZ847,FALSE),"옵션고정안함")</f>
        <v>5231</v>
      </c>
    </row>
    <row r="848" spans="1:53" ht="12" customHeight="1" x14ac:dyDescent="0.2">
      <c r="A848" s="13" t="s">
        <v>463</v>
      </c>
      <c r="B848" s="39">
        <v>54020</v>
      </c>
      <c r="C848" s="42" t="s">
        <v>3576</v>
      </c>
      <c r="D848" s="10" t="s">
        <v>80</v>
      </c>
      <c r="E848" s="10" t="s">
        <v>0</v>
      </c>
      <c r="F848" s="1" t="s">
        <v>91</v>
      </c>
      <c r="G848" s="1" t="s">
        <v>1309</v>
      </c>
      <c r="H848" s="1"/>
      <c r="I848" s="1"/>
      <c r="J848" s="1"/>
      <c r="K848" s="1"/>
      <c r="L848" s="1"/>
      <c r="M848" s="1"/>
      <c r="O848" s="12" t="s">
        <v>430</v>
      </c>
      <c r="P848" s="1">
        <v>51</v>
      </c>
      <c r="Q848" s="1"/>
      <c r="R848" s="1"/>
      <c r="S848" s="1"/>
      <c r="T848" s="1"/>
      <c r="U848" s="1"/>
      <c r="V848" s="1"/>
      <c r="W848" s="1">
        <v>3442</v>
      </c>
      <c r="X848" s="1">
        <f t="shared" si="93"/>
        <v>3442</v>
      </c>
      <c r="Y848" s="1"/>
      <c r="Z848" s="1"/>
      <c r="AA848" s="1"/>
      <c r="AB848" s="11"/>
      <c r="AC848" s="82"/>
      <c r="AD848" s="12" t="s">
        <v>542</v>
      </c>
      <c r="AE848" s="39" t="str">
        <f t="shared" si="100"/>
        <v>5331</v>
      </c>
      <c r="AN848" s="12"/>
      <c r="AR848" s="34" t="s">
        <v>543</v>
      </c>
      <c r="AS848" s="34" t="s">
        <v>543</v>
      </c>
      <c r="AU848" s="12" t="s">
        <v>1935</v>
      </c>
      <c r="AV848" s="13"/>
      <c r="AW848" s="39">
        <v>4</v>
      </c>
      <c r="AX848" s="12">
        <f>VLOOKUP(AW848,색인!$N$14:$O$19,2,FALSE)</f>
        <v>3</v>
      </c>
      <c r="AY848" s="39" t="str">
        <f>"T"&amp;O848&amp;"_"&amp;AX848&amp;"옵션_"&amp;VLOOKUP(E848,색인!$J$25:$K$29,2,FALSE)</f>
        <v>T5_3옵션_장신구</v>
      </c>
      <c r="AZ848" s="39">
        <f>VLOOKUP(G848,색인!$J$32:$K$45,2,FALSE)</f>
        <v>2</v>
      </c>
      <c r="BA848" s="39" t="str">
        <f>_xlfn.IFNA(VLOOKUP(AY848,표1[[검색용]:[OptionGroupIndex'[']22]],EquipItemTable!AZ848,FALSE),"옵션고정안함")</f>
        <v>5331</v>
      </c>
    </row>
    <row r="849" spans="1:53" ht="14.1" customHeight="1" x14ac:dyDescent="0.2">
      <c r="A849" s="13" t="s">
        <v>570</v>
      </c>
      <c r="B849" s="39">
        <v>54037</v>
      </c>
      <c r="C849" s="42" t="s">
        <v>3565</v>
      </c>
      <c r="D849" s="10" t="s">
        <v>80</v>
      </c>
      <c r="E849" s="10" t="s">
        <v>0</v>
      </c>
      <c r="F849" s="1" t="s">
        <v>91</v>
      </c>
      <c r="G849" s="1" t="s">
        <v>1309</v>
      </c>
      <c r="H849" s="1"/>
      <c r="I849" s="1"/>
      <c r="J849" s="1"/>
      <c r="K849" s="1"/>
      <c r="L849" s="1"/>
      <c r="M849" s="1"/>
      <c r="O849" s="12" t="s">
        <v>430</v>
      </c>
      <c r="P849" s="1">
        <v>51</v>
      </c>
      <c r="Q849" s="1"/>
      <c r="R849" s="1"/>
      <c r="S849" s="1"/>
      <c r="T849" s="1"/>
      <c r="U849" s="1"/>
      <c r="V849" s="1"/>
      <c r="W849" s="1">
        <v>3973</v>
      </c>
      <c r="X849" s="1">
        <f t="shared" si="93"/>
        <v>3973</v>
      </c>
      <c r="Y849" s="1"/>
      <c r="Z849" s="1"/>
      <c r="AA849" s="1"/>
      <c r="AB849" s="11"/>
      <c r="AC849" s="82"/>
      <c r="AD849" s="12" t="s">
        <v>336</v>
      </c>
      <c r="AE849" s="12" t="s">
        <v>529</v>
      </c>
      <c r="AN849" s="12" t="s">
        <v>554</v>
      </c>
      <c r="AR849" s="34" t="s">
        <v>543</v>
      </c>
      <c r="AS849" s="34" t="s">
        <v>543</v>
      </c>
      <c r="AU849" s="12" t="s">
        <v>1936</v>
      </c>
      <c r="AV849" s="13"/>
      <c r="AW849" s="39">
        <v>6</v>
      </c>
      <c r="AX849" s="12">
        <f>VLOOKUP(AW849,색인!$N$14:$O$19,2,FALSE)</f>
        <v>4</v>
      </c>
      <c r="AY849" s="32" t="str">
        <f>"T"&amp;O849&amp;"_"&amp;AX849&amp;"옵션_"&amp;VLOOKUP(E849,색인!$J$25:$K$29,2,FALSE)</f>
        <v>T5_4옵션_장신구</v>
      </c>
      <c r="AZ849" s="32">
        <f>VLOOKUP(G849,색인!$J$32:$K$45,2,FALSE)</f>
        <v>2</v>
      </c>
      <c r="BA849" s="32" t="str">
        <f>_xlfn.IFNA(VLOOKUP(AY849,표1[[검색용]:[OptionGroupIndex'[']22]],EquipItemTable!AZ849,FALSE),"옵션고정안함")</f>
        <v>옵션고정안함</v>
      </c>
    </row>
    <row r="850" spans="1:53" ht="14.1" customHeight="1" x14ac:dyDescent="0.2">
      <c r="A850" s="13" t="s">
        <v>1024</v>
      </c>
      <c r="B850" s="39">
        <v>54035</v>
      </c>
      <c r="C850" s="42" t="s">
        <v>3566</v>
      </c>
      <c r="D850" s="10" t="s">
        <v>80</v>
      </c>
      <c r="E850" s="10" t="s">
        <v>0</v>
      </c>
      <c r="F850" s="1" t="s">
        <v>91</v>
      </c>
      <c r="G850" s="1" t="s">
        <v>1309</v>
      </c>
      <c r="H850" s="1"/>
      <c r="I850" s="1"/>
      <c r="J850" s="1"/>
      <c r="K850" s="1"/>
      <c r="L850" s="1"/>
      <c r="M850" s="1"/>
      <c r="O850" s="12" t="s">
        <v>430</v>
      </c>
      <c r="P850" s="1">
        <v>51</v>
      </c>
      <c r="Q850" s="1"/>
      <c r="R850" s="1"/>
      <c r="S850" s="1"/>
      <c r="T850" s="1"/>
      <c r="U850" s="1"/>
      <c r="V850" s="1"/>
      <c r="W850" s="1">
        <v>3973</v>
      </c>
      <c r="X850" s="1">
        <f t="shared" ref="X850:X852" si="101">W850</f>
        <v>3973</v>
      </c>
      <c r="Y850" s="1"/>
      <c r="Z850" s="1"/>
      <c r="AA850" s="1"/>
      <c r="AB850" s="11"/>
      <c r="AC850" s="82"/>
      <c r="AD850" s="12" t="s">
        <v>336</v>
      </c>
      <c r="AE850" s="12" t="s">
        <v>430</v>
      </c>
      <c r="AN850" s="12" t="s">
        <v>1192</v>
      </c>
      <c r="AR850" s="34" t="s">
        <v>428</v>
      </c>
      <c r="AS850" s="34" t="s">
        <v>428</v>
      </c>
      <c r="AU850" s="12" t="s">
        <v>1936</v>
      </c>
      <c r="AV850" s="13"/>
      <c r="AW850" s="39">
        <v>6</v>
      </c>
      <c r="AX850" s="12">
        <f>VLOOKUP(AW850,색인!$N$14:$O$19,2,FALSE)</f>
        <v>4</v>
      </c>
      <c r="AY850" s="32" t="str">
        <f>"T"&amp;O850&amp;"_"&amp;AX850&amp;"옵션_"&amp;VLOOKUP(E850,색인!$J$25:$K$29,2,FALSE)</f>
        <v>T5_4옵션_장신구</v>
      </c>
      <c r="AZ850" s="32">
        <f>VLOOKUP(G850,색인!$J$32:$K$45,2,FALSE)</f>
        <v>2</v>
      </c>
      <c r="BA850" s="32" t="str">
        <f>_xlfn.IFNA(VLOOKUP(AY850,표1[[검색용]:[OptionGroupIndex'[']22]],EquipItemTable!AZ850,FALSE),"옵션고정안함")</f>
        <v>옵션고정안함</v>
      </c>
    </row>
    <row r="851" spans="1:53" ht="14.1" customHeight="1" x14ac:dyDescent="0.2">
      <c r="A851" s="13" t="s">
        <v>1025</v>
      </c>
      <c r="B851" s="39">
        <v>54036</v>
      </c>
      <c r="C851" s="42" t="s">
        <v>3567</v>
      </c>
      <c r="D851" s="10" t="s">
        <v>80</v>
      </c>
      <c r="E851" s="10" t="s">
        <v>0</v>
      </c>
      <c r="F851" s="1" t="s">
        <v>91</v>
      </c>
      <c r="G851" s="1" t="s">
        <v>1309</v>
      </c>
      <c r="H851" s="1"/>
      <c r="I851" s="1"/>
      <c r="J851" s="1"/>
      <c r="K851" s="1"/>
      <c r="L851" s="1"/>
      <c r="M851" s="1"/>
      <c r="O851" s="12" t="s">
        <v>430</v>
      </c>
      <c r="P851" s="1">
        <v>51</v>
      </c>
      <c r="Q851" s="1"/>
      <c r="R851" s="1"/>
      <c r="S851" s="1"/>
      <c r="T851" s="1"/>
      <c r="U851" s="1"/>
      <c r="V851" s="1"/>
      <c r="W851" s="1">
        <v>3973</v>
      </c>
      <c r="X851" s="1">
        <f t="shared" si="101"/>
        <v>3973</v>
      </c>
      <c r="Y851" s="1"/>
      <c r="Z851" s="1"/>
      <c r="AA851" s="1"/>
      <c r="AB851" s="11"/>
      <c r="AC851" s="82"/>
      <c r="AD851" s="12" t="s">
        <v>336</v>
      </c>
      <c r="AE851" s="12" t="s">
        <v>430</v>
      </c>
      <c r="AN851" s="12" t="s">
        <v>369</v>
      </c>
      <c r="AR851" s="34" t="s">
        <v>428</v>
      </c>
      <c r="AS851" s="34" t="s">
        <v>428</v>
      </c>
      <c r="AU851" s="12" t="s">
        <v>1936</v>
      </c>
      <c r="AV851" s="13"/>
      <c r="AW851" s="39">
        <v>6</v>
      </c>
      <c r="AX851" s="12">
        <f>VLOOKUP(AW851,색인!$N$14:$O$19,2,FALSE)</f>
        <v>4</v>
      </c>
      <c r="AY851" s="32" t="str">
        <f>"T"&amp;O851&amp;"_"&amp;AX851&amp;"옵션_"&amp;VLOOKUP(E851,색인!$J$25:$K$29,2,FALSE)</f>
        <v>T5_4옵션_장신구</v>
      </c>
      <c r="AZ851" s="32">
        <f>VLOOKUP(G851,색인!$J$32:$K$45,2,FALSE)</f>
        <v>2</v>
      </c>
      <c r="BA851" s="32" t="str">
        <f>_xlfn.IFNA(VLOOKUP(AY851,표1[[검색용]:[OptionGroupIndex'[']22]],EquipItemTable!AZ851,FALSE),"옵션고정안함")</f>
        <v>옵션고정안함</v>
      </c>
    </row>
    <row r="852" spans="1:53" ht="14.1" customHeight="1" x14ac:dyDescent="0.2">
      <c r="A852" s="13" t="s">
        <v>1026</v>
      </c>
      <c r="B852" s="39">
        <v>54023</v>
      </c>
      <c r="C852" s="42" t="s">
        <v>3568</v>
      </c>
      <c r="D852" s="10" t="s">
        <v>80</v>
      </c>
      <c r="E852" s="10" t="s">
        <v>0</v>
      </c>
      <c r="F852" s="1" t="s">
        <v>91</v>
      </c>
      <c r="G852" s="1" t="s">
        <v>1309</v>
      </c>
      <c r="H852" s="1"/>
      <c r="I852" s="1"/>
      <c r="J852" s="1"/>
      <c r="K852" s="1"/>
      <c r="L852" s="1"/>
      <c r="M852" s="1"/>
      <c r="O852" s="12" t="s">
        <v>430</v>
      </c>
      <c r="P852" s="1">
        <v>51</v>
      </c>
      <c r="Q852" s="1"/>
      <c r="R852" s="1"/>
      <c r="S852" s="1"/>
      <c r="T852" s="1"/>
      <c r="U852" s="1"/>
      <c r="V852" s="1"/>
      <c r="W852" s="1">
        <v>3973</v>
      </c>
      <c r="X852" s="1">
        <f t="shared" si="101"/>
        <v>3973</v>
      </c>
      <c r="Y852" s="1"/>
      <c r="Z852" s="1"/>
      <c r="AA852" s="1"/>
      <c r="AB852" s="11"/>
      <c r="AC852" s="82"/>
      <c r="AD852" s="12" t="s">
        <v>336</v>
      </c>
      <c r="AE852" s="12" t="s">
        <v>430</v>
      </c>
      <c r="AN852" s="12" t="s">
        <v>1194</v>
      </c>
      <c r="AR852" s="34" t="s">
        <v>428</v>
      </c>
      <c r="AS852" s="34" t="s">
        <v>428</v>
      </c>
      <c r="AU852" s="12" t="s">
        <v>1936</v>
      </c>
      <c r="AV852" s="13"/>
      <c r="AW852" s="39">
        <v>6</v>
      </c>
      <c r="AX852" s="12">
        <f>VLOOKUP(AW852,색인!$N$14:$O$19,2,FALSE)</f>
        <v>4</v>
      </c>
      <c r="AY852" s="32" t="str">
        <f>"T"&amp;O852&amp;"_"&amp;AX852&amp;"옵션_"&amp;VLOOKUP(E852,색인!$J$25:$K$29,2,FALSE)</f>
        <v>T5_4옵션_장신구</v>
      </c>
      <c r="AZ852" s="32">
        <f>VLOOKUP(G852,색인!$J$32:$K$45,2,FALSE)</f>
        <v>2</v>
      </c>
      <c r="BA852" s="32" t="str">
        <f>_xlfn.IFNA(VLOOKUP(AY852,표1[[검색용]:[OptionGroupIndex'[']22]],EquipItemTable!AZ852,FALSE),"옵션고정안함")</f>
        <v>옵션고정안함</v>
      </c>
    </row>
    <row r="853" spans="1:53" s="1" customFormat="1" ht="12" x14ac:dyDescent="0.2">
      <c r="A853" s="13" t="s">
        <v>780</v>
      </c>
      <c r="B853" s="39">
        <v>54024</v>
      </c>
      <c r="C853" s="42" t="s">
        <v>3577</v>
      </c>
      <c r="D853" s="10" t="s">
        <v>80</v>
      </c>
      <c r="E853" s="10" t="s">
        <v>0</v>
      </c>
      <c r="F853" s="1" t="s">
        <v>781</v>
      </c>
      <c r="G853" s="1" t="s">
        <v>1309</v>
      </c>
      <c r="N853" s="8"/>
      <c r="O853" s="12" t="s">
        <v>755</v>
      </c>
      <c r="P853" s="1">
        <v>61</v>
      </c>
      <c r="W853" s="1">
        <v>3659</v>
      </c>
      <c r="X853" s="1">
        <f t="shared" ref="X853:X857" si="102">W853</f>
        <v>3659</v>
      </c>
      <c r="AB853" s="11"/>
      <c r="AC853" s="82"/>
      <c r="AD853" s="12" t="s">
        <v>756</v>
      </c>
      <c r="AE853" s="12" t="s">
        <v>529</v>
      </c>
      <c r="AF853" s="12"/>
      <c r="AG853" s="23"/>
      <c r="AH853" s="23"/>
      <c r="AI853" s="12"/>
      <c r="AJ853" s="12"/>
      <c r="AK853" s="12"/>
      <c r="AL853" s="12"/>
      <c r="AM853" s="12"/>
      <c r="AN853" s="12"/>
      <c r="AO853" s="12"/>
      <c r="AP853" s="12"/>
      <c r="AQ853" s="8"/>
      <c r="AR853" s="34"/>
      <c r="AS853" s="34"/>
      <c r="AT853" s="85"/>
      <c r="AU853" s="12" t="s">
        <v>1932</v>
      </c>
      <c r="AW853" s="90">
        <v>1</v>
      </c>
      <c r="AX853" s="23"/>
      <c r="AY853" s="23"/>
      <c r="AZ853" s="23"/>
      <c r="BA853" s="23"/>
    </row>
    <row r="854" spans="1:53" s="1" customFormat="1" ht="12" x14ac:dyDescent="0.2">
      <c r="A854" s="13" t="s">
        <v>782</v>
      </c>
      <c r="B854" s="39">
        <v>54025</v>
      </c>
      <c r="C854" s="42" t="s">
        <v>3578</v>
      </c>
      <c r="D854" s="10" t="s">
        <v>80</v>
      </c>
      <c r="E854" s="10" t="s">
        <v>0</v>
      </c>
      <c r="F854" s="1" t="s">
        <v>781</v>
      </c>
      <c r="G854" s="1" t="s">
        <v>1309</v>
      </c>
      <c r="N854" s="8"/>
      <c r="O854" s="12" t="s">
        <v>755</v>
      </c>
      <c r="P854" s="1">
        <v>61</v>
      </c>
      <c r="W854" s="1">
        <v>4140</v>
      </c>
      <c r="X854" s="1">
        <f t="shared" si="102"/>
        <v>4140</v>
      </c>
      <c r="AB854" s="11"/>
      <c r="AC854" s="82"/>
      <c r="AD854" s="12" t="s">
        <v>756</v>
      </c>
      <c r="AE854" s="39" t="str">
        <f t="shared" ref="AE854:AE856" si="103">BA854</f>
        <v>6131</v>
      </c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8"/>
      <c r="AR854" s="34"/>
      <c r="AS854" s="34"/>
      <c r="AT854" s="85"/>
      <c r="AU854" s="12" t="s">
        <v>1933</v>
      </c>
      <c r="AW854" s="90">
        <v>2</v>
      </c>
      <c r="AX854" s="23">
        <f>VLOOKUP(AW854,색인!$N$14:$O$19,2,FALSE)</f>
        <v>1</v>
      </c>
      <c r="AY854" s="90" t="str">
        <f>"T"&amp;O854&amp;"_"&amp;AX854&amp;"옵션_"&amp;VLOOKUP(E854,색인!$J$25:$K$29,2,FALSE)</f>
        <v>T6_1옵션_장신구</v>
      </c>
      <c r="AZ854" s="90">
        <f>VLOOKUP(G854,색인!$J$32:$K$45,2,FALSE)</f>
        <v>2</v>
      </c>
      <c r="BA854" s="90" t="str">
        <f>_xlfn.IFNA(VLOOKUP(AY854,표1[[검색용]:[OptionGroupIndex'[']22]],EquipItemTable!AZ854,FALSE),"옵션고정안함")</f>
        <v>6131</v>
      </c>
    </row>
    <row r="855" spans="1:53" s="1" customFormat="1" ht="12" x14ac:dyDescent="0.2">
      <c r="A855" s="13" t="s">
        <v>783</v>
      </c>
      <c r="B855" s="39">
        <v>54026</v>
      </c>
      <c r="C855" s="42" t="s">
        <v>3579</v>
      </c>
      <c r="D855" s="10" t="s">
        <v>80</v>
      </c>
      <c r="E855" s="10" t="s">
        <v>0</v>
      </c>
      <c r="F855" s="1" t="s">
        <v>781</v>
      </c>
      <c r="G855" s="1" t="s">
        <v>1309</v>
      </c>
      <c r="N855" s="8"/>
      <c r="O855" s="12" t="s">
        <v>755</v>
      </c>
      <c r="P855" s="1">
        <v>61</v>
      </c>
      <c r="W855" s="1">
        <v>4565</v>
      </c>
      <c r="X855" s="1">
        <f t="shared" si="102"/>
        <v>4565</v>
      </c>
      <c r="AB855" s="11"/>
      <c r="AC855" s="82"/>
      <c r="AD855" s="12" t="s">
        <v>756</v>
      </c>
      <c r="AE855" s="39" t="str">
        <f t="shared" si="103"/>
        <v>6231</v>
      </c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8"/>
      <c r="AR855" s="34" t="s">
        <v>94</v>
      </c>
      <c r="AS855" s="34" t="s">
        <v>94</v>
      </c>
      <c r="AT855" s="85"/>
      <c r="AU855" s="12" t="s">
        <v>1934</v>
      </c>
      <c r="AW855" s="90">
        <v>3</v>
      </c>
      <c r="AX855" s="23">
        <f>VLOOKUP(AW855,색인!$N$14:$O$19,2,FALSE)</f>
        <v>2</v>
      </c>
      <c r="AY855" s="90" t="str">
        <f>"T"&amp;O855&amp;"_"&amp;AX855&amp;"옵션_"&amp;VLOOKUP(E855,색인!$J$25:$K$29,2,FALSE)</f>
        <v>T6_2옵션_장신구</v>
      </c>
      <c r="AZ855" s="90">
        <f>VLOOKUP(G855,색인!$J$32:$K$45,2,FALSE)</f>
        <v>2</v>
      </c>
      <c r="BA855" s="90" t="str">
        <f>_xlfn.IFNA(VLOOKUP(AY855,표1[[검색용]:[OptionGroupIndex'[']22]],EquipItemTable!AZ855,FALSE),"옵션고정안함")</f>
        <v>6231</v>
      </c>
    </row>
    <row r="856" spans="1:53" s="1" customFormat="1" ht="12" x14ac:dyDescent="0.2">
      <c r="A856" s="13" t="s">
        <v>784</v>
      </c>
      <c r="B856" s="39">
        <v>54027</v>
      </c>
      <c r="C856" s="42" t="s">
        <v>3580</v>
      </c>
      <c r="D856" s="10" t="s">
        <v>80</v>
      </c>
      <c r="E856" s="10" t="s">
        <v>0</v>
      </c>
      <c r="F856" s="1" t="s">
        <v>781</v>
      </c>
      <c r="G856" s="1" t="s">
        <v>1309</v>
      </c>
      <c r="N856" s="8"/>
      <c r="O856" s="12" t="s">
        <v>755</v>
      </c>
      <c r="P856" s="1">
        <v>61</v>
      </c>
      <c r="W856" s="1">
        <v>5019</v>
      </c>
      <c r="X856" s="1">
        <f t="shared" si="102"/>
        <v>5019</v>
      </c>
      <c r="AB856" s="11"/>
      <c r="AC856" s="82"/>
      <c r="AD856" s="12" t="s">
        <v>756</v>
      </c>
      <c r="AE856" s="39" t="str">
        <f t="shared" si="103"/>
        <v>6331</v>
      </c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8"/>
      <c r="AR856" s="34" t="s">
        <v>94</v>
      </c>
      <c r="AS856" s="34" t="s">
        <v>94</v>
      </c>
      <c r="AT856" s="85"/>
      <c r="AU856" s="12" t="s">
        <v>1935</v>
      </c>
      <c r="AW856" s="90">
        <v>4</v>
      </c>
      <c r="AX856" s="23">
        <f>VLOOKUP(AW856,색인!$N$14:$O$19,2,FALSE)</f>
        <v>3</v>
      </c>
      <c r="AY856" s="90" t="str">
        <f>"T"&amp;O856&amp;"_"&amp;AX856&amp;"옵션_"&amp;VLOOKUP(E856,색인!$J$25:$K$29,2,FALSE)</f>
        <v>T6_3옵션_장신구</v>
      </c>
      <c r="AZ856" s="90">
        <f>VLOOKUP(G856,색인!$J$32:$K$45,2,FALSE)</f>
        <v>2</v>
      </c>
      <c r="BA856" s="90" t="str">
        <f>_xlfn.IFNA(VLOOKUP(AY856,표1[[검색용]:[OptionGroupIndex'[']22]],EquipItemTable!AZ856,FALSE),"옵션고정안함")</f>
        <v>6331</v>
      </c>
    </row>
    <row r="857" spans="1:53" s="1" customFormat="1" ht="12" x14ac:dyDescent="0.2">
      <c r="A857" s="13" t="s">
        <v>785</v>
      </c>
      <c r="B857" s="39">
        <v>54040</v>
      </c>
      <c r="C857" s="42" t="s">
        <v>3565</v>
      </c>
      <c r="D857" s="10" t="s">
        <v>80</v>
      </c>
      <c r="E857" s="10" t="s">
        <v>0</v>
      </c>
      <c r="F857" s="1" t="s">
        <v>781</v>
      </c>
      <c r="G857" s="1" t="s">
        <v>1309</v>
      </c>
      <c r="N857" s="8"/>
      <c r="O857" s="12" t="s">
        <v>755</v>
      </c>
      <c r="P857" s="1">
        <v>61</v>
      </c>
      <c r="W857" s="1">
        <v>5506</v>
      </c>
      <c r="X857" s="1">
        <f t="shared" si="102"/>
        <v>5506</v>
      </c>
      <c r="AB857" s="11"/>
      <c r="AC857" s="82"/>
      <c r="AD857" s="12" t="s">
        <v>756</v>
      </c>
      <c r="AE857" s="39" t="str">
        <f>BA857</f>
        <v>6431</v>
      </c>
      <c r="AF857" s="12"/>
      <c r="AG857" s="12"/>
      <c r="AH857" s="12"/>
      <c r="AI857" s="12"/>
      <c r="AJ857" s="12"/>
      <c r="AK857" s="12"/>
      <c r="AL857" s="12"/>
      <c r="AM857" s="12"/>
      <c r="AN857" s="12" t="s">
        <v>554</v>
      </c>
      <c r="AO857" s="12"/>
      <c r="AP857" s="12"/>
      <c r="AQ857" s="8"/>
      <c r="AR857" s="34" t="s">
        <v>94</v>
      </c>
      <c r="AS857" s="34" t="s">
        <v>94</v>
      </c>
      <c r="AT857" s="85"/>
      <c r="AU857" s="12" t="s">
        <v>1936</v>
      </c>
      <c r="AW857" s="90">
        <v>6</v>
      </c>
      <c r="AX857" s="23">
        <f>VLOOKUP(AW857,색인!$N$14:$O$19,2,FALSE)</f>
        <v>4</v>
      </c>
      <c r="AY857" s="23" t="str">
        <f>"T"&amp;O857&amp;"_"&amp;AX857&amp;"옵션_"&amp;VLOOKUP(E857,색인!$J$25:$K$29,2,FALSE)</f>
        <v>T6_4옵션_장신구</v>
      </c>
      <c r="AZ857" s="23">
        <f>VLOOKUP(G857,색인!$J$32:$K$45,2,FALSE)</f>
        <v>2</v>
      </c>
      <c r="BA857" s="23" t="str">
        <f>_xlfn.IFNA(VLOOKUP(AY857,표1[[검색용]:[OptionGroupIndex'[']22]],EquipItemTable!AZ857,FALSE),"옵션고정안함")</f>
        <v>6431</v>
      </c>
    </row>
    <row r="858" spans="1:53" s="1" customFormat="1" ht="12" x14ac:dyDescent="0.2">
      <c r="A858" s="13" t="s">
        <v>1027</v>
      </c>
      <c r="B858" s="39">
        <v>54038</v>
      </c>
      <c r="C858" s="42" t="s">
        <v>3566</v>
      </c>
      <c r="D858" s="10" t="s">
        <v>80</v>
      </c>
      <c r="E858" s="10" t="s">
        <v>0</v>
      </c>
      <c r="F858" s="1" t="s">
        <v>398</v>
      </c>
      <c r="G858" s="1" t="s">
        <v>1309</v>
      </c>
      <c r="N858" s="8"/>
      <c r="O858" s="12" t="s">
        <v>747</v>
      </c>
      <c r="P858" s="1">
        <v>61</v>
      </c>
      <c r="W858" s="1">
        <v>5506</v>
      </c>
      <c r="X858" s="1">
        <f t="shared" ref="X858:X860" si="104">W858</f>
        <v>5506</v>
      </c>
      <c r="AB858" s="11"/>
      <c r="AC858" s="82"/>
      <c r="AD858" s="12" t="s">
        <v>336</v>
      </c>
      <c r="AE858" s="39" t="str">
        <f>BA858</f>
        <v>6431</v>
      </c>
      <c r="AF858" s="12"/>
      <c r="AG858" s="12"/>
      <c r="AH858" s="12"/>
      <c r="AI858" s="12"/>
      <c r="AJ858" s="12"/>
      <c r="AK858" s="12"/>
      <c r="AL858" s="12"/>
      <c r="AM858" s="12"/>
      <c r="AN858" s="12" t="s">
        <v>1192</v>
      </c>
      <c r="AO858" s="12"/>
      <c r="AP858" s="12"/>
      <c r="AQ858" s="8"/>
      <c r="AR858" s="34" t="s">
        <v>94</v>
      </c>
      <c r="AS858" s="34" t="s">
        <v>94</v>
      </c>
      <c r="AT858" s="85"/>
      <c r="AU858" s="12" t="s">
        <v>1936</v>
      </c>
      <c r="AW858" s="90">
        <v>6</v>
      </c>
      <c r="AX858" s="23">
        <f>VLOOKUP(AW858,색인!$N$14:$O$19,2,FALSE)</f>
        <v>4</v>
      </c>
      <c r="AY858" s="23" t="str">
        <f>"T"&amp;O858&amp;"_"&amp;AX858&amp;"옵션_"&amp;VLOOKUP(E858,색인!$J$25:$K$29,2,FALSE)</f>
        <v>T6_4옵션_장신구</v>
      </c>
      <c r="AZ858" s="23">
        <f>VLOOKUP(G858,색인!$J$32:$K$45,2,FALSE)</f>
        <v>2</v>
      </c>
      <c r="BA858" s="23" t="str">
        <f>_xlfn.IFNA(VLOOKUP(AY858,표1[[검색용]:[OptionGroupIndex'[']22]],EquipItemTable!AZ858,FALSE),"옵션고정안함")</f>
        <v>6431</v>
      </c>
    </row>
    <row r="859" spans="1:53" s="1" customFormat="1" ht="12" x14ac:dyDescent="0.2">
      <c r="A859" s="13" t="s">
        <v>1028</v>
      </c>
      <c r="B859" s="39">
        <v>54039</v>
      </c>
      <c r="C859" s="42" t="s">
        <v>3567</v>
      </c>
      <c r="D859" s="10" t="s">
        <v>80</v>
      </c>
      <c r="E859" s="10" t="s">
        <v>0</v>
      </c>
      <c r="F859" s="1" t="s">
        <v>398</v>
      </c>
      <c r="G859" s="1" t="s">
        <v>1309</v>
      </c>
      <c r="N859" s="8"/>
      <c r="O859" s="12" t="s">
        <v>747</v>
      </c>
      <c r="P859" s="1">
        <v>61</v>
      </c>
      <c r="W859" s="1">
        <v>5506</v>
      </c>
      <c r="X859" s="1">
        <f t="shared" si="104"/>
        <v>5506</v>
      </c>
      <c r="AB859" s="11"/>
      <c r="AC859" s="82"/>
      <c r="AD859" s="12" t="s">
        <v>336</v>
      </c>
      <c r="AE859" s="39" t="str">
        <f>BA859</f>
        <v>6431</v>
      </c>
      <c r="AF859" s="12"/>
      <c r="AG859" s="12"/>
      <c r="AH859" s="12"/>
      <c r="AI859" s="12"/>
      <c r="AJ859" s="12"/>
      <c r="AK859" s="12"/>
      <c r="AL859" s="12"/>
      <c r="AM859" s="12"/>
      <c r="AN859" s="12" t="s">
        <v>369</v>
      </c>
      <c r="AO859" s="12"/>
      <c r="AP859" s="12"/>
      <c r="AQ859" s="8"/>
      <c r="AR859" s="34" t="s">
        <v>94</v>
      </c>
      <c r="AS859" s="34" t="s">
        <v>94</v>
      </c>
      <c r="AT859" s="85"/>
      <c r="AU859" s="12" t="s">
        <v>1936</v>
      </c>
      <c r="AW859" s="90">
        <v>6</v>
      </c>
      <c r="AX859" s="23">
        <f>VLOOKUP(AW859,색인!$N$14:$O$19,2,FALSE)</f>
        <v>4</v>
      </c>
      <c r="AY859" s="23" t="str">
        <f>"T"&amp;O859&amp;"_"&amp;AX859&amp;"옵션_"&amp;VLOOKUP(E859,색인!$J$25:$K$29,2,FALSE)</f>
        <v>T6_4옵션_장신구</v>
      </c>
      <c r="AZ859" s="23">
        <f>VLOOKUP(G859,색인!$J$32:$K$45,2,FALSE)</f>
        <v>2</v>
      </c>
      <c r="BA859" s="23" t="str">
        <f>_xlfn.IFNA(VLOOKUP(AY859,표1[[검색용]:[OptionGroupIndex'[']22]],EquipItemTable!AZ859,FALSE),"옵션고정안함")</f>
        <v>6431</v>
      </c>
    </row>
    <row r="860" spans="1:53" s="1" customFormat="1" ht="12" x14ac:dyDescent="0.2">
      <c r="A860" s="13" t="s">
        <v>1029</v>
      </c>
      <c r="B860" s="39">
        <v>54028</v>
      </c>
      <c r="C860" s="42" t="s">
        <v>3568</v>
      </c>
      <c r="D860" s="10" t="s">
        <v>80</v>
      </c>
      <c r="E860" s="10" t="s">
        <v>0</v>
      </c>
      <c r="F860" s="1" t="s">
        <v>398</v>
      </c>
      <c r="G860" s="1" t="s">
        <v>1309</v>
      </c>
      <c r="N860" s="8"/>
      <c r="O860" s="12" t="s">
        <v>747</v>
      </c>
      <c r="P860" s="1">
        <v>61</v>
      </c>
      <c r="W860" s="1">
        <v>5506</v>
      </c>
      <c r="X860" s="1">
        <f t="shared" si="104"/>
        <v>5506</v>
      </c>
      <c r="AB860" s="11"/>
      <c r="AC860" s="82"/>
      <c r="AD860" s="12" t="s">
        <v>336</v>
      </c>
      <c r="AE860" s="39" t="str">
        <f>BA860</f>
        <v>6431</v>
      </c>
      <c r="AF860" s="12"/>
      <c r="AG860" s="12"/>
      <c r="AH860" s="12"/>
      <c r="AI860" s="12"/>
      <c r="AJ860" s="12"/>
      <c r="AK860" s="12"/>
      <c r="AL860" s="12"/>
      <c r="AM860" s="12"/>
      <c r="AN860" s="12" t="s">
        <v>1194</v>
      </c>
      <c r="AO860" s="12"/>
      <c r="AP860" s="12"/>
      <c r="AQ860" s="8"/>
      <c r="AR860" s="34" t="s">
        <v>94</v>
      </c>
      <c r="AS860" s="34" t="s">
        <v>94</v>
      </c>
      <c r="AT860" s="85"/>
      <c r="AU860" s="12" t="s">
        <v>1936</v>
      </c>
      <c r="AW860" s="90">
        <v>6</v>
      </c>
      <c r="AX860" s="23">
        <f>VLOOKUP(AW860,색인!$N$14:$O$19,2,FALSE)</f>
        <v>4</v>
      </c>
      <c r="AY860" s="23" t="str">
        <f>"T"&amp;O860&amp;"_"&amp;AX860&amp;"옵션_"&amp;VLOOKUP(E860,색인!$J$25:$K$29,2,FALSE)</f>
        <v>T6_4옵션_장신구</v>
      </c>
      <c r="AZ860" s="23">
        <f>VLOOKUP(G860,색인!$J$32:$K$45,2,FALSE)</f>
        <v>2</v>
      </c>
      <c r="BA860" s="23" t="str">
        <f>_xlfn.IFNA(VLOOKUP(AY860,표1[[검색용]:[OptionGroupIndex'[']22]],EquipItemTable!AZ860,FALSE),"옵션고정안함")</f>
        <v>6431</v>
      </c>
    </row>
    <row r="861" spans="1:53" ht="12" customHeight="1" x14ac:dyDescent="0.2">
      <c r="A861" s="13" t="s">
        <v>664</v>
      </c>
      <c r="B861" s="39">
        <v>54401</v>
      </c>
      <c r="C861" s="42" t="s">
        <v>3581</v>
      </c>
      <c r="D861" s="10" t="s">
        <v>80</v>
      </c>
      <c r="E861" s="10" t="s">
        <v>0</v>
      </c>
      <c r="F861" s="1" t="s">
        <v>91</v>
      </c>
      <c r="G861" s="1" t="s">
        <v>1309</v>
      </c>
      <c r="H861" s="1"/>
      <c r="I861" s="1"/>
      <c r="J861" s="1"/>
      <c r="K861" s="1"/>
      <c r="L861" s="1"/>
      <c r="M861" s="1"/>
      <c r="O861" s="12" t="s">
        <v>94</v>
      </c>
      <c r="P861" s="1">
        <v>1</v>
      </c>
      <c r="Q861" s="1"/>
      <c r="R861" s="1"/>
      <c r="S861" s="1"/>
      <c r="T861" s="1"/>
      <c r="U861" s="1"/>
      <c r="V861" s="1"/>
      <c r="W861" s="1">
        <f>ROUNDDOWN(W824*1.1,0)</f>
        <v>221</v>
      </c>
      <c r="X861" s="1">
        <f t="shared" ref="X861:X875" si="105">W861</f>
        <v>221</v>
      </c>
      <c r="Y861" s="1"/>
      <c r="Z861" s="1"/>
      <c r="AA861" s="1"/>
      <c r="AB861" s="11"/>
      <c r="AC861" s="82"/>
      <c r="AD861" s="12" t="s">
        <v>868</v>
      </c>
      <c r="AE861" s="39" t="str">
        <f t="shared" ref="AE861:AE871" si="106">BA861</f>
        <v>1331</v>
      </c>
      <c r="AN861" s="12" t="s">
        <v>2833</v>
      </c>
      <c r="AR861" s="34" t="s">
        <v>94</v>
      </c>
      <c r="AS861" s="34" t="s">
        <v>94</v>
      </c>
      <c r="AU861" s="12" t="s">
        <v>1937</v>
      </c>
      <c r="AV861" s="13"/>
      <c r="AW861" s="39">
        <v>5</v>
      </c>
      <c r="AX861" s="12">
        <f>VLOOKUP(AW861,색인!$N$14:$O$19,2,FALSE)</f>
        <v>3</v>
      </c>
      <c r="AY861" s="39" t="str">
        <f>"T"&amp;O861&amp;"_"&amp;AX861&amp;"옵션_"&amp;VLOOKUP(E861,색인!$J$25:$K$29,2,FALSE)</f>
        <v>T1_3옵션_장신구</v>
      </c>
      <c r="AZ861" s="39">
        <f>VLOOKUP(G861,색인!$J$32:$K$45,2,FALSE)</f>
        <v>2</v>
      </c>
      <c r="BA861" s="39" t="str">
        <f>_xlfn.IFNA(VLOOKUP(AY861,표1[[검색용]:[OptionGroupIndex'[']22]],EquipItemTable!AZ861,FALSE),"옵션고정안함")</f>
        <v>1331</v>
      </c>
    </row>
    <row r="862" spans="1:53" ht="12" customHeight="1" x14ac:dyDescent="0.2">
      <c r="A862" s="13" t="s">
        <v>665</v>
      </c>
      <c r="B862" s="39">
        <v>54402</v>
      </c>
      <c r="C862" s="42" t="s">
        <v>3581</v>
      </c>
      <c r="D862" s="10" t="s">
        <v>80</v>
      </c>
      <c r="E862" s="10" t="s">
        <v>0</v>
      </c>
      <c r="F862" s="1" t="s">
        <v>91</v>
      </c>
      <c r="G862" s="1" t="s">
        <v>1309</v>
      </c>
      <c r="H862" s="1"/>
      <c r="I862" s="1"/>
      <c r="J862" s="1"/>
      <c r="K862" s="1"/>
      <c r="L862" s="1"/>
      <c r="M862" s="1"/>
      <c r="O862" s="12" t="s">
        <v>95</v>
      </c>
      <c r="P862" s="1">
        <v>21</v>
      </c>
      <c r="Q862" s="1"/>
      <c r="R862" s="1"/>
      <c r="S862" s="1"/>
      <c r="T862" s="1"/>
      <c r="U862" s="1"/>
      <c r="V862" s="1"/>
      <c r="W862" s="1">
        <f>ROUNDDOWN(W828*1.1,0)</f>
        <v>499</v>
      </c>
      <c r="X862" s="1">
        <f t="shared" si="105"/>
        <v>499</v>
      </c>
      <c r="Y862" s="1"/>
      <c r="Z862" s="1"/>
      <c r="AA862" s="1"/>
      <c r="AB862" s="11"/>
      <c r="AC862" s="82"/>
      <c r="AD862" s="12" t="s">
        <v>868</v>
      </c>
      <c r="AE862" s="39" t="str">
        <f t="shared" si="106"/>
        <v>2331</v>
      </c>
      <c r="AN862" s="12" t="s">
        <v>2833</v>
      </c>
      <c r="AR862" s="34" t="s">
        <v>94</v>
      </c>
      <c r="AS862" s="34" t="s">
        <v>94</v>
      </c>
      <c r="AU862" s="12" t="s">
        <v>1937</v>
      </c>
      <c r="AV862" s="13"/>
      <c r="AW862" s="39">
        <v>5</v>
      </c>
      <c r="AX862" s="12">
        <f>VLOOKUP(AW862,색인!$N$14:$O$19,2,FALSE)</f>
        <v>3</v>
      </c>
      <c r="AY862" s="39" t="str">
        <f>"T"&amp;O862&amp;"_"&amp;AX862&amp;"옵션_"&amp;VLOOKUP(E862,색인!$J$25:$K$29,2,FALSE)</f>
        <v>T2_3옵션_장신구</v>
      </c>
      <c r="AZ862" s="39">
        <f>VLOOKUP(G862,색인!$J$32:$K$45,2,FALSE)</f>
        <v>2</v>
      </c>
      <c r="BA862" s="39" t="str">
        <f>_xlfn.IFNA(VLOOKUP(AY862,표1[[검색용]:[OptionGroupIndex'[']22]],EquipItemTable!AZ862,FALSE),"옵션고정안함")</f>
        <v>2331</v>
      </c>
    </row>
    <row r="863" spans="1:53" ht="12" customHeight="1" x14ac:dyDescent="0.2">
      <c r="A863" s="13" t="s">
        <v>666</v>
      </c>
      <c r="B863" s="39">
        <v>54403</v>
      </c>
      <c r="C863" s="42" t="s">
        <v>3581</v>
      </c>
      <c r="D863" s="10" t="s">
        <v>80</v>
      </c>
      <c r="E863" s="10" t="s">
        <v>0</v>
      </c>
      <c r="F863" s="1" t="s">
        <v>91</v>
      </c>
      <c r="G863" s="1" t="s">
        <v>1309</v>
      </c>
      <c r="H863" s="1"/>
      <c r="I863" s="1"/>
      <c r="J863" s="1"/>
      <c r="K863" s="1"/>
      <c r="L863" s="1"/>
      <c r="M863" s="1"/>
      <c r="N863" s="81"/>
      <c r="O863" s="12" t="s">
        <v>96</v>
      </c>
      <c r="P863" s="1">
        <v>31</v>
      </c>
      <c r="Q863" s="13"/>
      <c r="R863" s="13"/>
      <c r="S863" s="13"/>
      <c r="T863" s="13"/>
      <c r="U863" s="13"/>
      <c r="V863" s="1"/>
      <c r="W863" s="1">
        <f>ROUNDDOWN(W832*1.1,0)</f>
        <v>1028</v>
      </c>
      <c r="X863" s="1">
        <f t="shared" si="105"/>
        <v>1028</v>
      </c>
      <c r="Y863" s="13"/>
      <c r="Z863" s="13"/>
      <c r="AA863" s="13"/>
      <c r="AB863" s="13"/>
      <c r="AC863" s="82"/>
      <c r="AD863" s="23" t="s">
        <v>52</v>
      </c>
      <c r="AE863" s="90" t="str">
        <f t="shared" si="106"/>
        <v>3331</v>
      </c>
      <c r="AF863" s="23"/>
      <c r="AI863" s="23"/>
      <c r="AJ863" s="23"/>
      <c r="AK863" s="23"/>
      <c r="AL863" s="23"/>
      <c r="AM863" s="23"/>
      <c r="AN863" s="12" t="s">
        <v>2833</v>
      </c>
      <c r="AO863" s="23"/>
      <c r="AP863" s="23"/>
      <c r="AQ863" s="81"/>
      <c r="AR863" s="83">
        <v>1</v>
      </c>
      <c r="AS863" s="83">
        <v>1</v>
      </c>
      <c r="AT863" s="81"/>
      <c r="AU863" s="12" t="s">
        <v>1937</v>
      </c>
      <c r="AV863" s="13"/>
      <c r="AW863" s="39">
        <v>5</v>
      </c>
      <c r="AX863" s="12">
        <f>VLOOKUP(AW863,색인!$N$14:$O$19,2,FALSE)</f>
        <v>3</v>
      </c>
      <c r="AY863" s="39" t="str">
        <f>"T"&amp;O863&amp;"_"&amp;AX863&amp;"옵션_"&amp;VLOOKUP(E863,색인!$J$25:$K$29,2,FALSE)</f>
        <v>T3_3옵션_장신구</v>
      </c>
      <c r="AZ863" s="39">
        <f>VLOOKUP(G863,색인!$J$32:$K$45,2,FALSE)</f>
        <v>2</v>
      </c>
      <c r="BA863" s="39" t="str">
        <f>_xlfn.IFNA(VLOOKUP(AY863,표1[[검색용]:[OptionGroupIndex'[']22]],EquipItemTable!AZ863,FALSE),"옵션고정안함")</f>
        <v>3331</v>
      </c>
    </row>
    <row r="864" spans="1:53" ht="12" customHeight="1" x14ac:dyDescent="0.2">
      <c r="A864" s="13" t="s">
        <v>667</v>
      </c>
      <c r="B864" s="39">
        <v>54404</v>
      </c>
      <c r="C864" s="42" t="s">
        <v>3581</v>
      </c>
      <c r="D864" s="10" t="s">
        <v>80</v>
      </c>
      <c r="E864" s="10" t="s">
        <v>0</v>
      </c>
      <c r="F864" s="1" t="s">
        <v>91</v>
      </c>
      <c r="G864" s="1" t="s">
        <v>1309</v>
      </c>
      <c r="H864" s="1"/>
      <c r="I864" s="1"/>
      <c r="J864" s="1"/>
      <c r="K864" s="1"/>
      <c r="L864" s="1"/>
      <c r="M864" s="1"/>
      <c r="O864" s="12" t="s">
        <v>97</v>
      </c>
      <c r="P864" s="1">
        <v>41</v>
      </c>
      <c r="Q864" s="1"/>
      <c r="R864" s="1"/>
      <c r="S864" s="1"/>
      <c r="T864" s="1"/>
      <c r="U864" s="1"/>
      <c r="V864" s="1"/>
      <c r="W864" s="1">
        <f>ROUNDDOWN(W840*1.1,0)</f>
        <v>2008</v>
      </c>
      <c r="X864" s="1">
        <f t="shared" si="105"/>
        <v>2008</v>
      </c>
      <c r="Y864" s="1"/>
      <c r="Z864" s="1"/>
      <c r="AA864" s="1"/>
      <c r="AB864" s="11"/>
      <c r="AC864" s="82"/>
      <c r="AD864" s="12" t="s">
        <v>52</v>
      </c>
      <c r="AE864" s="39" t="str">
        <f t="shared" si="106"/>
        <v>4331</v>
      </c>
      <c r="AN864" s="12" t="s">
        <v>2833</v>
      </c>
      <c r="AR864" s="34" t="s">
        <v>94</v>
      </c>
      <c r="AS864" s="34" t="s">
        <v>94</v>
      </c>
      <c r="AU864" s="12" t="s">
        <v>1937</v>
      </c>
      <c r="AV864" s="13"/>
      <c r="AW864" s="39">
        <v>5</v>
      </c>
      <c r="AX864" s="12">
        <f>VLOOKUP(AW864,색인!$N$14:$O$19,2,FALSE)</f>
        <v>3</v>
      </c>
      <c r="AY864" s="39" t="str">
        <f>"T"&amp;O864&amp;"_"&amp;AX864&amp;"옵션_"&amp;VLOOKUP(E864,색인!$J$25:$K$29,2,FALSE)</f>
        <v>T4_3옵션_장신구</v>
      </c>
      <c r="AZ864" s="39">
        <f>VLOOKUP(G864,색인!$J$32:$K$45,2,FALSE)</f>
        <v>2</v>
      </c>
      <c r="BA864" s="39" t="str">
        <f>_xlfn.IFNA(VLOOKUP(AY864,표1[[검색용]:[OptionGroupIndex'[']22]],EquipItemTable!AZ864,FALSE),"옵션고정안함")</f>
        <v>4331</v>
      </c>
    </row>
    <row r="865" spans="1:53" ht="12" customHeight="1" x14ac:dyDescent="0.2">
      <c r="A865" s="13" t="s">
        <v>668</v>
      </c>
      <c r="B865" s="39">
        <v>54405</v>
      </c>
      <c r="C865" s="42" t="s">
        <v>3581</v>
      </c>
      <c r="D865" s="10" t="s">
        <v>80</v>
      </c>
      <c r="E865" s="10" t="s">
        <v>0</v>
      </c>
      <c r="F865" s="1" t="s">
        <v>91</v>
      </c>
      <c r="G865" s="1" t="s">
        <v>1309</v>
      </c>
      <c r="H865" s="1"/>
      <c r="I865" s="1"/>
      <c r="J865" s="1"/>
      <c r="K865" s="1"/>
      <c r="L865" s="1"/>
      <c r="M865" s="1"/>
      <c r="O865" s="12" t="s">
        <v>430</v>
      </c>
      <c r="P865" s="1">
        <v>51</v>
      </c>
      <c r="Q865" s="1"/>
      <c r="R865" s="1"/>
      <c r="S865" s="1"/>
      <c r="T865" s="1"/>
      <c r="U865" s="1"/>
      <c r="V865" s="1"/>
      <c r="W865" s="1">
        <f>ROUNDDOWN(W848*1.1,0)</f>
        <v>3786</v>
      </c>
      <c r="X865" s="1">
        <f t="shared" si="105"/>
        <v>3786</v>
      </c>
      <c r="Y865" s="1"/>
      <c r="Z865" s="1"/>
      <c r="AA865" s="1"/>
      <c r="AB865" s="11"/>
      <c r="AC865" s="82"/>
      <c r="AD865" s="12" t="s">
        <v>98</v>
      </c>
      <c r="AE865" s="39" t="str">
        <f t="shared" si="106"/>
        <v>5331</v>
      </c>
      <c r="AN865" s="12" t="s">
        <v>2833</v>
      </c>
      <c r="AR865" s="34" t="s">
        <v>94</v>
      </c>
      <c r="AS865" s="34" t="s">
        <v>94</v>
      </c>
      <c r="AU865" s="12" t="s">
        <v>1937</v>
      </c>
      <c r="AV865" s="13"/>
      <c r="AW865" s="39">
        <v>5</v>
      </c>
      <c r="AX865" s="12">
        <f>VLOOKUP(AW865,색인!$N$14:$O$19,2,FALSE)</f>
        <v>3</v>
      </c>
      <c r="AY865" s="39" t="str">
        <f>"T"&amp;O865&amp;"_"&amp;AX865&amp;"옵션_"&amp;VLOOKUP(E865,색인!$J$25:$K$29,2,FALSE)</f>
        <v>T5_3옵션_장신구</v>
      </c>
      <c r="AZ865" s="39">
        <f>VLOOKUP(G865,색인!$J$32:$K$45,2,FALSE)</f>
        <v>2</v>
      </c>
      <c r="BA865" s="39" t="str">
        <f>_xlfn.IFNA(VLOOKUP(AY865,표1[[검색용]:[OptionGroupIndex'[']22]],EquipItemTable!AZ865,FALSE),"옵션고정안함")</f>
        <v>5331</v>
      </c>
    </row>
    <row r="866" spans="1:53" s="1" customFormat="1" ht="12" x14ac:dyDescent="0.2">
      <c r="A866" s="13" t="s">
        <v>786</v>
      </c>
      <c r="B866" s="39">
        <v>54406</v>
      </c>
      <c r="C866" s="42" t="s">
        <v>3581</v>
      </c>
      <c r="D866" s="10" t="s">
        <v>80</v>
      </c>
      <c r="E866" s="10" t="s">
        <v>0</v>
      </c>
      <c r="F866" s="1" t="s">
        <v>781</v>
      </c>
      <c r="G866" s="1" t="s">
        <v>1309</v>
      </c>
      <c r="N866" s="8"/>
      <c r="O866" s="12" t="s">
        <v>755</v>
      </c>
      <c r="P866" s="1">
        <v>61</v>
      </c>
      <c r="W866" s="1">
        <v>5520</v>
      </c>
      <c r="X866" s="1">
        <f t="shared" si="105"/>
        <v>5520</v>
      </c>
      <c r="AB866" s="11"/>
      <c r="AC866" s="82"/>
      <c r="AD866" s="12" t="s">
        <v>864</v>
      </c>
      <c r="AE866" s="39" t="str">
        <f t="shared" si="106"/>
        <v>6331</v>
      </c>
      <c r="AF866" s="12"/>
      <c r="AG866" s="12"/>
      <c r="AH866" s="12"/>
      <c r="AI866" s="12"/>
      <c r="AJ866" s="12"/>
      <c r="AK866" s="12"/>
      <c r="AL866" s="12"/>
      <c r="AM866" s="12"/>
      <c r="AN866" s="12" t="s">
        <v>2833</v>
      </c>
      <c r="AO866" s="12"/>
      <c r="AP866" s="12"/>
      <c r="AQ866" s="8"/>
      <c r="AR866" s="34" t="s">
        <v>865</v>
      </c>
      <c r="AS866" s="34" t="s">
        <v>865</v>
      </c>
      <c r="AT866" s="85"/>
      <c r="AU866" s="12" t="s">
        <v>1937</v>
      </c>
      <c r="AW866" s="90">
        <v>5</v>
      </c>
      <c r="AX866" s="23">
        <f>VLOOKUP(AW866,색인!$N$14:$O$19,2,FALSE)</f>
        <v>3</v>
      </c>
      <c r="AY866" s="90" t="str">
        <f>"T"&amp;O866&amp;"_"&amp;AX866&amp;"옵션_"&amp;VLOOKUP(E866,색인!$J$25:$K$29,2,FALSE)</f>
        <v>T6_3옵션_장신구</v>
      </c>
      <c r="AZ866" s="90">
        <f>VLOOKUP(G866,색인!$J$32:$K$45,2,FALSE)</f>
        <v>2</v>
      </c>
      <c r="BA866" s="90" t="str">
        <f>_xlfn.IFNA(VLOOKUP(AY866,표1[[검색용]:[OptionGroupIndex'[']22]],EquipItemTable!AZ866,FALSE),"옵션고정안함")</f>
        <v>6331</v>
      </c>
    </row>
    <row r="867" spans="1:53" s="1" customFormat="1" ht="12" x14ac:dyDescent="0.2">
      <c r="A867" s="13" t="s">
        <v>1229</v>
      </c>
      <c r="B867" s="39">
        <v>54407</v>
      </c>
      <c r="C867" s="42" t="s">
        <v>3582</v>
      </c>
      <c r="D867" s="10" t="s">
        <v>80</v>
      </c>
      <c r="E867" s="10" t="s">
        <v>0</v>
      </c>
      <c r="F867" s="1" t="s">
        <v>781</v>
      </c>
      <c r="G867" s="1" t="s">
        <v>1309</v>
      </c>
      <c r="N867" s="8"/>
      <c r="O867" s="12" t="s">
        <v>747</v>
      </c>
      <c r="P867" s="1">
        <v>61</v>
      </c>
      <c r="W867" s="1">
        <v>5520</v>
      </c>
      <c r="X867" s="1">
        <f t="shared" ref="X867:X871" si="107">W867</f>
        <v>5520</v>
      </c>
      <c r="AB867" s="11"/>
      <c r="AC867" s="82"/>
      <c r="AD867" s="12" t="s">
        <v>864</v>
      </c>
      <c r="AE867" s="39" t="str">
        <f t="shared" si="106"/>
        <v>6331</v>
      </c>
      <c r="AF867" s="12"/>
      <c r="AG867" s="12"/>
      <c r="AH867" s="12"/>
      <c r="AI867" s="12"/>
      <c r="AJ867" s="12"/>
      <c r="AK867" s="12"/>
      <c r="AL867" s="12"/>
      <c r="AM867" s="12"/>
      <c r="AN867" s="12" t="s">
        <v>1228</v>
      </c>
      <c r="AO867" s="12"/>
      <c r="AP867" s="12"/>
      <c r="AQ867" s="8"/>
      <c r="AR867" s="34" t="s">
        <v>865</v>
      </c>
      <c r="AS867" s="34" t="s">
        <v>865</v>
      </c>
      <c r="AT867" s="85"/>
      <c r="AU867" s="12" t="s">
        <v>1937</v>
      </c>
      <c r="AW867" s="90">
        <v>5</v>
      </c>
      <c r="AX867" s="23">
        <f>VLOOKUP(AW867,색인!$N$14:$O$19,2,FALSE)</f>
        <v>3</v>
      </c>
      <c r="AY867" s="90" t="str">
        <f>"T"&amp;O867&amp;"_"&amp;AX867&amp;"옵션_"&amp;VLOOKUP(E867,색인!$J$25:$K$29,2,FALSE)</f>
        <v>T6_3옵션_장신구</v>
      </c>
      <c r="AZ867" s="90">
        <f>VLOOKUP(G867,색인!$J$32:$K$45,2,FALSE)</f>
        <v>2</v>
      </c>
      <c r="BA867" s="90" t="str">
        <f>_xlfn.IFNA(VLOOKUP(AY867,표1[[검색용]:[OptionGroupIndex'[']22]],EquipItemTable!AZ867,FALSE),"옵션고정안함")</f>
        <v>6331</v>
      </c>
    </row>
    <row r="868" spans="1:53" s="1" customFormat="1" ht="12" x14ac:dyDescent="0.2">
      <c r="A868" s="13" t="s">
        <v>1230</v>
      </c>
      <c r="B868" s="39">
        <v>54408</v>
      </c>
      <c r="C868" s="42" t="s">
        <v>3583</v>
      </c>
      <c r="D868" s="10" t="s">
        <v>80</v>
      </c>
      <c r="E868" s="10" t="s">
        <v>0</v>
      </c>
      <c r="F868" s="1" t="s">
        <v>781</v>
      </c>
      <c r="G868" s="1" t="s">
        <v>1309</v>
      </c>
      <c r="J868" s="27"/>
      <c r="K868" s="27"/>
      <c r="L868" s="27"/>
      <c r="M868" s="27"/>
      <c r="N868" s="8"/>
      <c r="O868" s="12" t="s">
        <v>747</v>
      </c>
      <c r="P868" s="1">
        <v>61</v>
      </c>
      <c r="W868" s="1">
        <v>5520</v>
      </c>
      <c r="X868" s="1">
        <f t="shared" si="107"/>
        <v>5520</v>
      </c>
      <c r="AB868" s="11"/>
      <c r="AC868" s="82"/>
      <c r="AD868" s="12" t="s">
        <v>864</v>
      </c>
      <c r="AE868" s="39" t="str">
        <f t="shared" si="106"/>
        <v>6331</v>
      </c>
      <c r="AF868" s="12"/>
      <c r="AG868" s="29"/>
      <c r="AH868" s="29"/>
      <c r="AI868" s="12"/>
      <c r="AJ868" s="12"/>
      <c r="AK868" s="12"/>
      <c r="AL868" s="12"/>
      <c r="AM868" s="12"/>
      <c r="AN868" s="12" t="s">
        <v>1213</v>
      </c>
      <c r="AO868" s="12"/>
      <c r="AP868" s="12"/>
      <c r="AQ868" s="8"/>
      <c r="AR868" s="34" t="s">
        <v>865</v>
      </c>
      <c r="AS868" s="34" t="s">
        <v>865</v>
      </c>
      <c r="AT868" s="85"/>
      <c r="AU868" s="12" t="s">
        <v>1937</v>
      </c>
      <c r="AW868" s="90">
        <v>5</v>
      </c>
      <c r="AX868" s="23">
        <f>VLOOKUP(AW868,색인!$N$14:$O$19,2,FALSE)</f>
        <v>3</v>
      </c>
      <c r="AY868" s="90" t="str">
        <f>"T"&amp;O868&amp;"_"&amp;AX868&amp;"옵션_"&amp;VLOOKUP(E868,색인!$J$25:$K$29,2,FALSE)</f>
        <v>T6_3옵션_장신구</v>
      </c>
      <c r="AZ868" s="90">
        <f>VLOOKUP(G868,색인!$J$32:$K$45,2,FALSE)</f>
        <v>2</v>
      </c>
      <c r="BA868" s="90" t="str">
        <f>_xlfn.IFNA(VLOOKUP(AY868,표1[[검색용]:[OptionGroupIndex'[']22]],EquipItemTable!AZ868,FALSE),"옵션고정안함")</f>
        <v>6331</v>
      </c>
    </row>
    <row r="869" spans="1:53" s="1" customFormat="1" ht="12" x14ac:dyDescent="0.2">
      <c r="A869" s="13" t="s">
        <v>1231</v>
      </c>
      <c r="B869" s="39">
        <v>54409</v>
      </c>
      <c r="C869" s="42" t="s">
        <v>3584</v>
      </c>
      <c r="D869" s="10" t="s">
        <v>80</v>
      </c>
      <c r="E869" s="10" t="s">
        <v>0</v>
      </c>
      <c r="F869" s="1" t="s">
        <v>781</v>
      </c>
      <c r="G869" s="1" t="s">
        <v>1309</v>
      </c>
      <c r="J869" s="27"/>
      <c r="K869" s="27"/>
      <c r="L869" s="27"/>
      <c r="M869" s="27"/>
      <c r="N869" s="8"/>
      <c r="O869" s="12" t="s">
        <v>747</v>
      </c>
      <c r="P869" s="1">
        <v>61</v>
      </c>
      <c r="W869" s="1">
        <v>5520</v>
      </c>
      <c r="X869" s="1">
        <f t="shared" si="107"/>
        <v>5520</v>
      </c>
      <c r="AB869" s="11"/>
      <c r="AC869" s="82"/>
      <c r="AD869" s="12" t="s">
        <v>864</v>
      </c>
      <c r="AE869" s="39" t="str">
        <f t="shared" si="106"/>
        <v>6331</v>
      </c>
      <c r="AF869" s="12"/>
      <c r="AG869" s="29"/>
      <c r="AH869" s="29"/>
      <c r="AI869" s="12"/>
      <c r="AJ869" s="12"/>
      <c r="AK869" s="12"/>
      <c r="AL869" s="12"/>
      <c r="AM869" s="12"/>
      <c r="AN869" s="12" t="s">
        <v>1214</v>
      </c>
      <c r="AO869" s="12"/>
      <c r="AP869" s="12"/>
      <c r="AQ869" s="8"/>
      <c r="AR869" s="34" t="s">
        <v>865</v>
      </c>
      <c r="AS869" s="34" t="s">
        <v>865</v>
      </c>
      <c r="AT869" s="85"/>
      <c r="AU869" s="12" t="s">
        <v>1937</v>
      </c>
      <c r="AW869" s="90">
        <v>5</v>
      </c>
      <c r="AX869" s="23">
        <f>VLOOKUP(AW869,색인!$N$14:$O$19,2,FALSE)</f>
        <v>3</v>
      </c>
      <c r="AY869" s="90" t="str">
        <f>"T"&amp;O869&amp;"_"&amp;AX869&amp;"옵션_"&amp;VLOOKUP(E869,색인!$J$25:$K$29,2,FALSE)</f>
        <v>T6_3옵션_장신구</v>
      </c>
      <c r="AZ869" s="90">
        <f>VLOOKUP(G869,색인!$J$32:$K$45,2,FALSE)</f>
        <v>2</v>
      </c>
      <c r="BA869" s="90" t="str">
        <f>_xlfn.IFNA(VLOOKUP(AY869,표1[[검색용]:[OptionGroupIndex'[']22]],EquipItemTable!AZ869,FALSE),"옵션고정안함")</f>
        <v>6331</v>
      </c>
    </row>
    <row r="870" spans="1:53" s="1" customFormat="1" ht="12" x14ac:dyDescent="0.2">
      <c r="A870" s="13" t="s">
        <v>1232</v>
      </c>
      <c r="B870" s="39">
        <v>54410</v>
      </c>
      <c r="C870" s="42" t="s">
        <v>3585</v>
      </c>
      <c r="D870" s="10" t="s">
        <v>80</v>
      </c>
      <c r="E870" s="10" t="s">
        <v>0</v>
      </c>
      <c r="F870" s="1" t="s">
        <v>781</v>
      </c>
      <c r="G870" s="1" t="s">
        <v>1309</v>
      </c>
      <c r="J870" s="27"/>
      <c r="K870" s="27"/>
      <c r="L870" s="27"/>
      <c r="M870" s="27"/>
      <c r="N870" s="8"/>
      <c r="O870" s="12" t="s">
        <v>747</v>
      </c>
      <c r="P870" s="1">
        <v>61</v>
      </c>
      <c r="W870" s="1">
        <v>5520</v>
      </c>
      <c r="X870" s="1">
        <f t="shared" si="107"/>
        <v>5520</v>
      </c>
      <c r="AB870" s="11"/>
      <c r="AC870" s="82"/>
      <c r="AD870" s="12" t="s">
        <v>864</v>
      </c>
      <c r="AE870" s="39" t="str">
        <f t="shared" si="106"/>
        <v>6331</v>
      </c>
      <c r="AF870" s="12"/>
      <c r="AG870" s="29"/>
      <c r="AH870" s="29"/>
      <c r="AI870" s="12"/>
      <c r="AJ870" s="12"/>
      <c r="AK870" s="12"/>
      <c r="AL870" s="12"/>
      <c r="AM870" s="12"/>
      <c r="AN870" s="12" t="s">
        <v>1215</v>
      </c>
      <c r="AO870" s="12"/>
      <c r="AP870" s="12"/>
      <c r="AQ870" s="8"/>
      <c r="AR870" s="34" t="s">
        <v>865</v>
      </c>
      <c r="AS870" s="34" t="s">
        <v>865</v>
      </c>
      <c r="AT870" s="85"/>
      <c r="AU870" s="12" t="s">
        <v>1937</v>
      </c>
      <c r="AW870" s="90">
        <v>5</v>
      </c>
      <c r="AX870" s="23">
        <f>VLOOKUP(AW870,색인!$N$14:$O$19,2,FALSE)</f>
        <v>3</v>
      </c>
      <c r="AY870" s="90" t="str">
        <f>"T"&amp;O870&amp;"_"&amp;AX870&amp;"옵션_"&amp;VLOOKUP(E870,색인!$J$25:$K$29,2,FALSE)</f>
        <v>T6_3옵션_장신구</v>
      </c>
      <c r="AZ870" s="90">
        <f>VLOOKUP(G870,색인!$J$32:$K$45,2,FALSE)</f>
        <v>2</v>
      </c>
      <c r="BA870" s="90" t="str">
        <f>_xlfn.IFNA(VLOOKUP(AY870,표1[[검색용]:[OptionGroupIndex'[']22]],EquipItemTable!AZ870,FALSE),"옵션고정안함")</f>
        <v>6331</v>
      </c>
    </row>
    <row r="871" spans="1:53" s="1" customFormat="1" ht="12" x14ac:dyDescent="0.2">
      <c r="A871" s="13" t="s">
        <v>1233</v>
      </c>
      <c r="B871" s="39">
        <v>54411</v>
      </c>
      <c r="C871" s="42" t="s">
        <v>3586</v>
      </c>
      <c r="D871" s="10" t="s">
        <v>80</v>
      </c>
      <c r="E871" s="10" t="s">
        <v>0</v>
      </c>
      <c r="F871" s="1" t="s">
        <v>781</v>
      </c>
      <c r="G871" s="1" t="s">
        <v>1309</v>
      </c>
      <c r="J871" s="27"/>
      <c r="K871" s="27"/>
      <c r="L871" s="27"/>
      <c r="M871" s="27"/>
      <c r="N871" s="8"/>
      <c r="O871" s="12" t="s">
        <v>747</v>
      </c>
      <c r="P871" s="1">
        <v>61</v>
      </c>
      <c r="W871" s="1">
        <v>5520</v>
      </c>
      <c r="X871" s="1">
        <f t="shared" si="107"/>
        <v>5520</v>
      </c>
      <c r="AB871" s="11"/>
      <c r="AC871" s="82"/>
      <c r="AD871" s="12" t="s">
        <v>864</v>
      </c>
      <c r="AE871" s="39" t="str">
        <f t="shared" si="106"/>
        <v>6331</v>
      </c>
      <c r="AF871" s="12"/>
      <c r="AG871" s="29"/>
      <c r="AH871" s="29"/>
      <c r="AI871" s="12"/>
      <c r="AJ871" s="12"/>
      <c r="AK871" s="12"/>
      <c r="AL871" s="12"/>
      <c r="AM871" s="12"/>
      <c r="AN871" s="12" t="s">
        <v>1216</v>
      </c>
      <c r="AO871" s="12"/>
      <c r="AP871" s="12"/>
      <c r="AQ871" s="8"/>
      <c r="AR871" s="34" t="s">
        <v>865</v>
      </c>
      <c r="AS871" s="34" t="s">
        <v>865</v>
      </c>
      <c r="AT871" s="85"/>
      <c r="AU871" s="12" t="s">
        <v>1937</v>
      </c>
      <c r="AW871" s="90">
        <v>5</v>
      </c>
      <c r="AX871" s="23">
        <f>VLOOKUP(AW871,색인!$N$14:$O$19,2,FALSE)</f>
        <v>3</v>
      </c>
      <c r="AY871" s="90" t="str">
        <f>"T"&amp;O871&amp;"_"&amp;AX871&amp;"옵션_"&amp;VLOOKUP(E871,색인!$J$25:$K$29,2,FALSE)</f>
        <v>T6_3옵션_장신구</v>
      </c>
      <c r="AZ871" s="90">
        <f>VLOOKUP(G871,색인!$J$32:$K$45,2,FALSE)</f>
        <v>2</v>
      </c>
      <c r="BA871" s="90" t="str">
        <f>_xlfn.IFNA(VLOOKUP(AY871,표1[[검색용]:[OptionGroupIndex'[']22]],EquipItemTable!AZ871,FALSE),"옵션고정안함")</f>
        <v>6331</v>
      </c>
    </row>
    <row r="872" spans="1:53" s="1" customFormat="1" ht="12" x14ac:dyDescent="0.2">
      <c r="A872" s="24" t="s">
        <v>895</v>
      </c>
      <c r="B872" s="39">
        <v>54601</v>
      </c>
      <c r="C872" s="42" t="e">
        <v>#N/A</v>
      </c>
      <c r="D872" s="10" t="s">
        <v>2961</v>
      </c>
      <c r="E872" s="10" t="s">
        <v>435</v>
      </c>
      <c r="F872" s="1" t="s">
        <v>927</v>
      </c>
      <c r="G872" s="1" t="s">
        <v>1309</v>
      </c>
      <c r="J872" s="27"/>
      <c r="K872" s="27"/>
      <c r="L872" s="27"/>
      <c r="M872" s="27"/>
      <c r="N872" s="8"/>
      <c r="O872" s="12" t="s">
        <v>881</v>
      </c>
      <c r="P872" s="1">
        <v>31</v>
      </c>
      <c r="W872" s="1">
        <v>1270</v>
      </c>
      <c r="X872" s="1">
        <f t="shared" si="105"/>
        <v>1270</v>
      </c>
      <c r="AB872" s="11"/>
      <c r="AC872" s="82"/>
      <c r="AD872" s="12" t="s">
        <v>99</v>
      </c>
      <c r="AE872" s="12" t="s">
        <v>881</v>
      </c>
      <c r="AF872" s="12"/>
      <c r="AG872" s="29"/>
      <c r="AH872" s="29"/>
      <c r="AQ872" s="85"/>
      <c r="AR872" s="1">
        <v>1</v>
      </c>
      <c r="AS872" s="1">
        <v>1</v>
      </c>
      <c r="AT872" s="85"/>
      <c r="AU872" s="12" t="s">
        <v>1938</v>
      </c>
      <c r="AW872" s="90">
        <v>7</v>
      </c>
      <c r="AX872" s="23"/>
      <c r="AY872" s="23"/>
      <c r="AZ872" s="23"/>
      <c r="BA872" s="23"/>
    </row>
    <row r="873" spans="1:53" s="1" customFormat="1" ht="12" x14ac:dyDescent="0.2">
      <c r="A873" s="24" t="s">
        <v>896</v>
      </c>
      <c r="B873" s="39">
        <v>54602</v>
      </c>
      <c r="C873" s="42" t="e">
        <v>#N/A</v>
      </c>
      <c r="D873" s="10" t="s">
        <v>2961</v>
      </c>
      <c r="E873" s="10" t="s">
        <v>435</v>
      </c>
      <c r="F873" s="1" t="s">
        <v>927</v>
      </c>
      <c r="G873" s="1" t="s">
        <v>1309</v>
      </c>
      <c r="J873" s="27"/>
      <c r="K873" s="27"/>
      <c r="L873" s="27"/>
      <c r="M873" s="27"/>
      <c r="N873" s="8"/>
      <c r="O873" s="12" t="s">
        <v>882</v>
      </c>
      <c r="P873" s="1">
        <v>41</v>
      </c>
      <c r="W873" s="1">
        <v>2447</v>
      </c>
      <c r="X873" s="1">
        <f t="shared" si="105"/>
        <v>2447</v>
      </c>
      <c r="AB873" s="11"/>
      <c r="AC873" s="82"/>
      <c r="AD873" s="12" t="s">
        <v>99</v>
      </c>
      <c r="AE873" s="12" t="s">
        <v>551</v>
      </c>
      <c r="AF873" s="12"/>
      <c r="AG873" s="29"/>
      <c r="AH873" s="29"/>
      <c r="AQ873" s="85"/>
      <c r="AR873" s="1">
        <v>1</v>
      </c>
      <c r="AS873" s="1">
        <v>1</v>
      </c>
      <c r="AT873" s="85"/>
      <c r="AU873" s="12" t="s">
        <v>1938</v>
      </c>
      <c r="AW873" s="90">
        <v>7</v>
      </c>
      <c r="AX873" s="23"/>
      <c r="AY873" s="23"/>
      <c r="AZ873" s="23"/>
      <c r="BA873" s="23"/>
    </row>
    <row r="874" spans="1:53" s="1" customFormat="1" ht="12" x14ac:dyDescent="0.2">
      <c r="A874" s="24" t="s">
        <v>897</v>
      </c>
      <c r="B874" s="39">
        <v>54603</v>
      </c>
      <c r="C874" s="42" t="e">
        <v>#N/A</v>
      </c>
      <c r="D874" s="10" t="s">
        <v>2961</v>
      </c>
      <c r="E874" s="10" t="s">
        <v>435</v>
      </c>
      <c r="F874" s="1" t="s">
        <v>927</v>
      </c>
      <c r="G874" s="1" t="s">
        <v>1309</v>
      </c>
      <c r="J874" s="27"/>
      <c r="K874" s="27"/>
      <c r="L874" s="27"/>
      <c r="M874" s="27"/>
      <c r="N874" s="8"/>
      <c r="O874" s="12" t="s">
        <v>430</v>
      </c>
      <c r="P874" s="1">
        <v>51</v>
      </c>
      <c r="W874" s="1">
        <v>4568</v>
      </c>
      <c r="X874" s="1">
        <f t="shared" si="105"/>
        <v>4568</v>
      </c>
      <c r="AB874" s="11"/>
      <c r="AC874" s="82"/>
      <c r="AD874" s="12" t="s">
        <v>99</v>
      </c>
      <c r="AE874" s="12" t="s">
        <v>430</v>
      </c>
      <c r="AF874" s="12"/>
      <c r="AG874" s="29"/>
      <c r="AH874" s="29"/>
      <c r="AQ874" s="85"/>
      <c r="AR874" s="1">
        <v>1</v>
      </c>
      <c r="AS874" s="1">
        <v>1</v>
      </c>
      <c r="AT874" s="85"/>
      <c r="AU874" s="12" t="s">
        <v>1938</v>
      </c>
      <c r="AW874" s="90">
        <v>7</v>
      </c>
      <c r="AX874" s="23"/>
      <c r="AY874" s="23"/>
      <c r="AZ874" s="23"/>
      <c r="BA874" s="23"/>
    </row>
    <row r="875" spans="1:53" s="1" customFormat="1" ht="12" x14ac:dyDescent="0.2">
      <c r="A875" s="24" t="s">
        <v>898</v>
      </c>
      <c r="B875" s="39">
        <v>54604</v>
      </c>
      <c r="C875" s="42" t="e">
        <v>#N/A</v>
      </c>
      <c r="D875" s="10" t="s">
        <v>2961</v>
      </c>
      <c r="E875" s="10" t="s">
        <v>435</v>
      </c>
      <c r="F875" s="1" t="s">
        <v>927</v>
      </c>
      <c r="G875" s="1" t="s">
        <v>1309</v>
      </c>
      <c r="J875" s="27"/>
      <c r="K875" s="27"/>
      <c r="L875" s="27"/>
      <c r="M875" s="27"/>
      <c r="N875" s="8"/>
      <c r="O875" s="12" t="s">
        <v>747</v>
      </c>
      <c r="P875" s="1">
        <v>61</v>
      </c>
      <c r="W875" s="1">
        <v>6331</v>
      </c>
      <c r="X875" s="1">
        <f t="shared" si="105"/>
        <v>6331</v>
      </c>
      <c r="AB875" s="11"/>
      <c r="AC875" s="82"/>
      <c r="AD875" s="12" t="s">
        <v>99</v>
      </c>
      <c r="AE875" s="12" t="s">
        <v>430</v>
      </c>
      <c r="AF875" s="12"/>
      <c r="AG875" s="29"/>
      <c r="AH875" s="29"/>
      <c r="AQ875" s="85"/>
      <c r="AR875" s="1">
        <v>1</v>
      </c>
      <c r="AS875" s="1">
        <v>1</v>
      </c>
      <c r="AT875" s="85"/>
      <c r="AU875" s="12" t="s">
        <v>1938</v>
      </c>
      <c r="AW875" s="90">
        <v>7</v>
      </c>
      <c r="AX875" s="23"/>
      <c r="AY875" s="23"/>
      <c r="AZ875" s="23"/>
      <c r="BA875" s="23"/>
    </row>
    <row r="876" spans="1:53" s="1" customFormat="1" ht="12" x14ac:dyDescent="0.2">
      <c r="A876" s="13" t="s">
        <v>1175</v>
      </c>
      <c r="B876" s="39">
        <v>354001</v>
      </c>
      <c r="C876" s="42" t="s">
        <v>3587</v>
      </c>
      <c r="D876" s="10" t="s">
        <v>80</v>
      </c>
      <c r="E876" s="10" t="s">
        <v>0</v>
      </c>
      <c r="F876" s="1" t="s">
        <v>781</v>
      </c>
      <c r="G876" s="1" t="s">
        <v>1309</v>
      </c>
      <c r="J876" s="27"/>
      <c r="K876" s="27"/>
      <c r="L876" s="27"/>
      <c r="M876" s="27"/>
      <c r="N876" s="8"/>
      <c r="O876" s="12" t="s">
        <v>755</v>
      </c>
      <c r="P876" s="1">
        <v>61</v>
      </c>
      <c r="W876" s="1">
        <v>5520</v>
      </c>
      <c r="X876" s="1">
        <f t="shared" ref="X876:X877" si="108">W876</f>
        <v>5520</v>
      </c>
      <c r="AB876" s="11"/>
      <c r="AC876" s="82"/>
      <c r="AD876" s="12" t="s">
        <v>864</v>
      </c>
      <c r="AE876" s="39" t="str">
        <f>BA876</f>
        <v>6331</v>
      </c>
      <c r="AF876" s="12"/>
      <c r="AG876" s="29"/>
      <c r="AH876" s="29"/>
      <c r="AI876" s="12"/>
      <c r="AJ876" s="12"/>
      <c r="AK876" s="12"/>
      <c r="AL876" s="12"/>
      <c r="AM876" s="12"/>
      <c r="AN876" s="12" t="s">
        <v>1199</v>
      </c>
      <c r="AO876" s="12"/>
      <c r="AP876" s="12"/>
      <c r="AQ876" s="8"/>
      <c r="AR876" s="34" t="s">
        <v>543</v>
      </c>
      <c r="AS876" s="34" t="s">
        <v>543</v>
      </c>
      <c r="AT876" s="85"/>
      <c r="AU876" s="12" t="s">
        <v>1937</v>
      </c>
      <c r="AW876" s="90">
        <v>5</v>
      </c>
      <c r="AX876" s="23">
        <f>VLOOKUP(AW876,색인!$N$14:$O$19,2,FALSE)</f>
        <v>3</v>
      </c>
      <c r="AY876" s="90" t="str">
        <f>"T"&amp;O876&amp;"_"&amp;AX876&amp;"옵션_"&amp;VLOOKUP(E876,색인!$J$25:$K$29,2,FALSE)</f>
        <v>T6_3옵션_장신구</v>
      </c>
      <c r="AZ876" s="90">
        <f>VLOOKUP(G876,색인!$J$32:$K$45,2,FALSE)</f>
        <v>2</v>
      </c>
      <c r="BA876" s="90" t="str">
        <f>_xlfn.IFNA(VLOOKUP(AY876,표1[[검색용]:[OptionGroupIndex'[']22]],EquipItemTable!AZ876,FALSE),"옵션고정안함")</f>
        <v>6331</v>
      </c>
    </row>
    <row r="877" spans="1:53" s="1" customFormat="1" ht="12" x14ac:dyDescent="0.2">
      <c r="A877" s="13" t="s">
        <v>1176</v>
      </c>
      <c r="B877" s="39">
        <v>354002</v>
      </c>
      <c r="C877" s="42" t="s">
        <v>3588</v>
      </c>
      <c r="D877" s="10" t="s">
        <v>80</v>
      </c>
      <c r="E877" s="10" t="s">
        <v>0</v>
      </c>
      <c r="F877" s="1" t="s">
        <v>781</v>
      </c>
      <c r="G877" s="1" t="s">
        <v>1309</v>
      </c>
      <c r="J877" s="27"/>
      <c r="K877" s="27"/>
      <c r="L877" s="27"/>
      <c r="M877" s="27"/>
      <c r="N877" s="8"/>
      <c r="O877" s="12" t="s">
        <v>755</v>
      </c>
      <c r="P877" s="1">
        <v>61</v>
      </c>
      <c r="W877" s="1">
        <v>5506</v>
      </c>
      <c r="X877" s="1">
        <f t="shared" si="108"/>
        <v>5506</v>
      </c>
      <c r="AB877" s="11"/>
      <c r="AC877" s="82"/>
      <c r="AD877" s="12" t="s">
        <v>98</v>
      </c>
      <c r="AE877" s="39" t="s">
        <v>430</v>
      </c>
      <c r="AF877" s="12"/>
      <c r="AG877" s="29"/>
      <c r="AH877" s="29"/>
      <c r="AI877" s="12"/>
      <c r="AJ877" s="12"/>
      <c r="AK877" s="12"/>
      <c r="AL877" s="12"/>
      <c r="AM877" s="12"/>
      <c r="AN877" s="12" t="s">
        <v>1296</v>
      </c>
      <c r="AO877" s="12"/>
      <c r="AP877" s="12"/>
      <c r="AQ877" s="8"/>
      <c r="AR877" s="34" t="s">
        <v>94</v>
      </c>
      <c r="AS877" s="34" t="s">
        <v>94</v>
      </c>
      <c r="AT877" s="85"/>
      <c r="AU877" s="12" t="s">
        <v>1936</v>
      </c>
      <c r="AW877" s="90">
        <v>6</v>
      </c>
      <c r="AX877" s="23">
        <f>VLOOKUP(AW877,색인!$N$14:$O$19,2,FALSE)</f>
        <v>4</v>
      </c>
      <c r="AY877" s="23" t="str">
        <f>"T"&amp;O877&amp;"_"&amp;AX877&amp;"옵션_"&amp;VLOOKUP(E877,색인!$J$25:$K$29,2,FALSE)</f>
        <v>T6_4옵션_장신구</v>
      </c>
      <c r="AZ877" s="23">
        <f>VLOOKUP(G877,색인!$J$32:$K$45,2,FALSE)</f>
        <v>2</v>
      </c>
      <c r="BA877" s="23" t="str">
        <f>_xlfn.IFNA(VLOOKUP(AY877,표1[[검색용]:[OptionGroupIndex'[']22]],EquipItemTable!AZ877,FALSE),"옵션고정안함")</f>
        <v>6431</v>
      </c>
    </row>
    <row r="878" spans="1:53" s="27" customFormat="1" ht="12" x14ac:dyDescent="0.2">
      <c r="A878" s="25" t="s">
        <v>1397</v>
      </c>
      <c r="B878" s="39">
        <v>54412</v>
      </c>
      <c r="C878" s="42" t="s">
        <v>3589</v>
      </c>
      <c r="D878" s="26" t="s">
        <v>80</v>
      </c>
      <c r="E878" s="26" t="s">
        <v>0</v>
      </c>
      <c r="F878" s="27" t="s">
        <v>927</v>
      </c>
      <c r="G878" s="27" t="s">
        <v>1415</v>
      </c>
      <c r="N878" s="8"/>
      <c r="O878" s="29" t="s">
        <v>1338</v>
      </c>
      <c r="P878" s="27">
        <v>71</v>
      </c>
      <c r="W878" s="27">
        <v>5379</v>
      </c>
      <c r="X878" s="27">
        <v>5379</v>
      </c>
      <c r="AB878" s="28"/>
      <c r="AC878" s="82"/>
      <c r="AD878" s="29" t="s">
        <v>1377</v>
      </c>
      <c r="AE878" s="29" t="s">
        <v>1337</v>
      </c>
      <c r="AF878" s="29"/>
      <c r="AG878" s="29"/>
      <c r="AH878" s="29"/>
      <c r="AQ878" s="85"/>
      <c r="AR878" s="27">
        <v>1</v>
      </c>
      <c r="AS878" s="27">
        <v>1</v>
      </c>
      <c r="AT878" s="85"/>
      <c r="AU878" s="29">
        <v>1001</v>
      </c>
      <c r="AW878" s="91">
        <v>1</v>
      </c>
      <c r="AX878" s="93"/>
      <c r="AY878" s="93"/>
      <c r="AZ878" s="93"/>
      <c r="BA878" s="93"/>
    </row>
    <row r="879" spans="1:53" s="27" customFormat="1" ht="12" x14ac:dyDescent="0.2">
      <c r="A879" s="25" t="s">
        <v>1398</v>
      </c>
      <c r="B879" s="39">
        <v>54413</v>
      </c>
      <c r="C879" s="42" t="s">
        <v>3590</v>
      </c>
      <c r="D879" s="26" t="s">
        <v>80</v>
      </c>
      <c r="E879" s="26" t="s">
        <v>0</v>
      </c>
      <c r="F879" s="27" t="s">
        <v>927</v>
      </c>
      <c r="G879" s="27" t="s">
        <v>1415</v>
      </c>
      <c r="N879" s="8"/>
      <c r="O879" s="29" t="s">
        <v>1338</v>
      </c>
      <c r="P879" s="27">
        <v>71</v>
      </c>
      <c r="W879" s="27">
        <v>6259</v>
      </c>
      <c r="X879" s="27">
        <v>6259</v>
      </c>
      <c r="AB879" s="28"/>
      <c r="AC879" s="82"/>
      <c r="AD879" s="29" t="s">
        <v>1377</v>
      </c>
      <c r="AE879" s="92" t="str">
        <f t="shared" ref="AE879:AE888" si="109">BA879</f>
        <v>7131</v>
      </c>
      <c r="AF879" s="29"/>
      <c r="AG879" s="29"/>
      <c r="AH879" s="29"/>
      <c r="AQ879" s="85"/>
      <c r="AR879" s="27">
        <v>1</v>
      </c>
      <c r="AS879" s="27">
        <v>1</v>
      </c>
      <c r="AT879" s="85"/>
      <c r="AU879" s="29" t="s">
        <v>1939</v>
      </c>
      <c r="AW879" s="91">
        <v>2</v>
      </c>
      <c r="AX879" s="93">
        <f>VLOOKUP(AW879,색인!$N$14:$O$19,2,FALSE)</f>
        <v>1</v>
      </c>
      <c r="AY879" s="91" t="str">
        <f>"T"&amp;O879&amp;"_"&amp;AX879&amp;"옵션_"&amp;VLOOKUP(E879,색인!$J$25:$K$29,2,FALSE)</f>
        <v>T7_1옵션_장신구</v>
      </c>
      <c r="AZ879" s="91">
        <f>VLOOKUP(G879,색인!$J$32:$K$45,2,FALSE)</f>
        <v>2</v>
      </c>
      <c r="BA879" s="91" t="str">
        <f>_xlfn.IFNA(VLOOKUP(AY879,표1[[검색용]:[OptionGroupIndex'[']22]],EquipItemTable!AZ879,FALSE),"옵션고정안함")</f>
        <v>7131</v>
      </c>
    </row>
    <row r="880" spans="1:53" s="27" customFormat="1" ht="12" x14ac:dyDescent="0.2">
      <c r="A880" s="25" t="s">
        <v>1399</v>
      </c>
      <c r="B880" s="39">
        <v>54414</v>
      </c>
      <c r="C880" s="42" t="s">
        <v>3591</v>
      </c>
      <c r="D880" s="26" t="s">
        <v>80</v>
      </c>
      <c r="E880" s="26" t="s">
        <v>0</v>
      </c>
      <c r="F880" s="27" t="s">
        <v>927</v>
      </c>
      <c r="G880" s="27" t="s">
        <v>1415</v>
      </c>
      <c r="N880" s="8"/>
      <c r="O880" s="29" t="s">
        <v>1338</v>
      </c>
      <c r="P880" s="27">
        <v>71</v>
      </c>
      <c r="W880" s="27">
        <v>6613</v>
      </c>
      <c r="X880" s="27">
        <v>6613</v>
      </c>
      <c r="AB880" s="28"/>
      <c r="AC880" s="82"/>
      <c r="AD880" s="29" t="s">
        <v>1377</v>
      </c>
      <c r="AE880" s="92" t="str">
        <f t="shared" si="109"/>
        <v>7231</v>
      </c>
      <c r="AF880" s="29"/>
      <c r="AG880" s="29"/>
      <c r="AH880" s="29"/>
      <c r="AQ880" s="85"/>
      <c r="AR880" s="27">
        <v>1</v>
      </c>
      <c r="AS880" s="27">
        <v>1</v>
      </c>
      <c r="AT880" s="85"/>
      <c r="AU880" s="29" t="s">
        <v>1940</v>
      </c>
      <c r="AW880" s="91">
        <v>3</v>
      </c>
      <c r="AX880" s="93">
        <f>VLOOKUP(AW880,색인!$N$14:$O$19,2,FALSE)</f>
        <v>2</v>
      </c>
      <c r="AY880" s="91" t="str">
        <f>"T"&amp;O880&amp;"_"&amp;AX880&amp;"옵션_"&amp;VLOOKUP(E880,색인!$J$25:$K$29,2,FALSE)</f>
        <v>T7_2옵션_장신구</v>
      </c>
      <c r="AZ880" s="91">
        <f>VLOOKUP(G880,색인!$J$32:$K$45,2,FALSE)</f>
        <v>2</v>
      </c>
      <c r="BA880" s="91" t="str">
        <f>_xlfn.IFNA(VLOOKUP(AY880,표1[[검색용]:[OptionGroupIndex'[']22]],EquipItemTable!AZ880,FALSE),"옵션고정안함")</f>
        <v>7231</v>
      </c>
    </row>
    <row r="881" spans="1:53" s="27" customFormat="1" ht="12" x14ac:dyDescent="0.2">
      <c r="A881" s="25" t="s">
        <v>1400</v>
      </c>
      <c r="B881" s="39">
        <v>54415</v>
      </c>
      <c r="C881" s="42" t="s">
        <v>3592</v>
      </c>
      <c r="D881" s="26" t="s">
        <v>80</v>
      </c>
      <c r="E881" s="26" t="s">
        <v>0</v>
      </c>
      <c r="F881" s="27" t="s">
        <v>927</v>
      </c>
      <c r="G881" s="27" t="s">
        <v>1415</v>
      </c>
      <c r="N881" s="8"/>
      <c r="O881" s="29" t="s">
        <v>1338</v>
      </c>
      <c r="P881" s="27">
        <v>71</v>
      </c>
      <c r="W881" s="27">
        <v>7227</v>
      </c>
      <c r="X881" s="27">
        <v>7227</v>
      </c>
      <c r="AB881" s="28"/>
      <c r="AC881" s="82"/>
      <c r="AD881" s="29" t="s">
        <v>1377</v>
      </c>
      <c r="AE881" s="92" t="str">
        <f t="shared" si="109"/>
        <v>7331</v>
      </c>
      <c r="AF881" s="29"/>
      <c r="AG881" s="29"/>
      <c r="AH881" s="29"/>
      <c r="AQ881" s="85"/>
      <c r="AR881" s="27">
        <v>1</v>
      </c>
      <c r="AS881" s="27">
        <v>1</v>
      </c>
      <c r="AT881" s="85"/>
      <c r="AU881" s="29" t="s">
        <v>1941</v>
      </c>
      <c r="AW881" s="91">
        <v>4</v>
      </c>
      <c r="AX881" s="93">
        <f>VLOOKUP(AW881,색인!$N$14:$O$19,2,FALSE)</f>
        <v>3</v>
      </c>
      <c r="AY881" s="91" t="str">
        <f>"T"&amp;O881&amp;"_"&amp;AX881&amp;"옵션_"&amp;VLOOKUP(E881,색인!$J$25:$K$29,2,FALSE)</f>
        <v>T7_3옵션_장신구</v>
      </c>
      <c r="AZ881" s="91">
        <f>VLOOKUP(G881,색인!$J$32:$K$45,2,FALSE)</f>
        <v>2</v>
      </c>
      <c r="BA881" s="91" t="str">
        <f>_xlfn.IFNA(VLOOKUP(AY881,표1[[검색용]:[OptionGroupIndex'[']22]],EquipItemTable!AZ881,FALSE),"옵션고정안함")</f>
        <v>7331</v>
      </c>
    </row>
    <row r="882" spans="1:53" s="27" customFormat="1" ht="12" x14ac:dyDescent="0.2">
      <c r="A882" s="25" t="s">
        <v>1401</v>
      </c>
      <c r="B882" s="39">
        <v>54416</v>
      </c>
      <c r="C882" s="42" t="s">
        <v>3581</v>
      </c>
      <c r="D882" s="26" t="s">
        <v>80</v>
      </c>
      <c r="E882" s="26" t="s">
        <v>0</v>
      </c>
      <c r="F882" s="27" t="s">
        <v>927</v>
      </c>
      <c r="G882" s="27" t="s">
        <v>1415</v>
      </c>
      <c r="N882" s="8"/>
      <c r="O882" s="29" t="s">
        <v>1338</v>
      </c>
      <c r="P882" s="27">
        <v>71</v>
      </c>
      <c r="W882" s="27">
        <v>7949</v>
      </c>
      <c r="X882" s="27">
        <v>7949</v>
      </c>
      <c r="AB882" s="28"/>
      <c r="AC882" s="82"/>
      <c r="AD882" s="29" t="s">
        <v>1377</v>
      </c>
      <c r="AE882" s="92" t="str">
        <f t="shared" si="109"/>
        <v>7331</v>
      </c>
      <c r="AF882" s="29"/>
      <c r="AG882" s="29"/>
      <c r="AH882" s="29"/>
      <c r="AN882" s="27">
        <v>103</v>
      </c>
      <c r="AQ882" s="85"/>
      <c r="AR882" s="27">
        <v>1</v>
      </c>
      <c r="AS882" s="27">
        <v>1</v>
      </c>
      <c r="AT882" s="85"/>
      <c r="AU882" s="29" t="s">
        <v>1942</v>
      </c>
      <c r="AW882" s="91">
        <v>5</v>
      </c>
      <c r="AX882" s="93">
        <f>VLOOKUP(AW882,색인!$N$14:$O$19,2,FALSE)</f>
        <v>3</v>
      </c>
      <c r="AY882" s="91" t="str">
        <f>"T"&amp;O882&amp;"_"&amp;AX882&amp;"옵션_"&amp;VLOOKUP(E882,색인!$J$25:$K$29,2,FALSE)</f>
        <v>T7_3옵션_장신구</v>
      </c>
      <c r="AZ882" s="91">
        <f>VLOOKUP(G882,색인!$J$32:$K$45,2,FALSE)</f>
        <v>2</v>
      </c>
      <c r="BA882" s="91" t="str">
        <f>_xlfn.IFNA(VLOOKUP(AY882,표1[[검색용]:[OptionGroupIndex'[']22]],EquipItemTable!AZ882,FALSE),"옵션고정안함")</f>
        <v>7331</v>
      </c>
    </row>
    <row r="883" spans="1:53" s="27" customFormat="1" ht="12" x14ac:dyDescent="0.2">
      <c r="A883" s="25" t="s">
        <v>1402</v>
      </c>
      <c r="B883" s="39">
        <v>54417</v>
      </c>
      <c r="C883" s="42" t="s">
        <v>3583</v>
      </c>
      <c r="D883" s="26" t="s">
        <v>80</v>
      </c>
      <c r="E883" s="26" t="s">
        <v>0</v>
      </c>
      <c r="F883" s="27" t="s">
        <v>927</v>
      </c>
      <c r="G883" s="27" t="s">
        <v>1415</v>
      </c>
      <c r="N883" s="8"/>
      <c r="O883" s="29" t="s">
        <v>1338</v>
      </c>
      <c r="P883" s="27">
        <v>71</v>
      </c>
      <c r="W883" s="27">
        <v>7949</v>
      </c>
      <c r="X883" s="27">
        <v>7949</v>
      </c>
      <c r="AB883" s="28"/>
      <c r="AC883" s="82"/>
      <c r="AD883" s="29" t="s">
        <v>1377</v>
      </c>
      <c r="AE883" s="92" t="str">
        <f t="shared" si="109"/>
        <v>7331</v>
      </c>
      <c r="AF883" s="29"/>
      <c r="AG883" s="29"/>
      <c r="AH883" s="29"/>
      <c r="AN883" s="27">
        <v>202</v>
      </c>
      <c r="AQ883" s="85"/>
      <c r="AR883" s="27">
        <v>1</v>
      </c>
      <c r="AS883" s="27">
        <v>1</v>
      </c>
      <c r="AT883" s="85"/>
      <c r="AU883" s="29" t="s">
        <v>1942</v>
      </c>
      <c r="AW883" s="91">
        <v>5</v>
      </c>
      <c r="AX883" s="93">
        <f>VLOOKUP(AW883,색인!$N$14:$O$19,2,FALSE)</f>
        <v>3</v>
      </c>
      <c r="AY883" s="91" t="str">
        <f>"T"&amp;O883&amp;"_"&amp;AX883&amp;"옵션_"&amp;VLOOKUP(E883,색인!$J$25:$K$29,2,FALSE)</f>
        <v>T7_3옵션_장신구</v>
      </c>
      <c r="AZ883" s="91">
        <f>VLOOKUP(G883,색인!$J$32:$K$45,2,FALSE)</f>
        <v>2</v>
      </c>
      <c r="BA883" s="91" t="str">
        <f>_xlfn.IFNA(VLOOKUP(AY883,표1[[검색용]:[OptionGroupIndex'[']22]],EquipItemTable!AZ883,FALSE),"옵션고정안함")</f>
        <v>7331</v>
      </c>
    </row>
    <row r="884" spans="1:53" s="27" customFormat="1" ht="12" x14ac:dyDescent="0.2">
      <c r="A884" s="25" t="s">
        <v>1403</v>
      </c>
      <c r="B884" s="39">
        <v>54418</v>
      </c>
      <c r="C884" s="42" t="s">
        <v>3584</v>
      </c>
      <c r="D884" s="26" t="s">
        <v>80</v>
      </c>
      <c r="E884" s="26" t="s">
        <v>0</v>
      </c>
      <c r="F884" s="27" t="s">
        <v>927</v>
      </c>
      <c r="G884" s="27" t="s">
        <v>1415</v>
      </c>
      <c r="N884" s="8"/>
      <c r="O884" s="29" t="s">
        <v>1338</v>
      </c>
      <c r="P884" s="27">
        <v>71</v>
      </c>
      <c r="W884" s="27">
        <v>7949</v>
      </c>
      <c r="X884" s="27">
        <v>7949</v>
      </c>
      <c r="AB884" s="28"/>
      <c r="AC884" s="82"/>
      <c r="AD884" s="29" t="s">
        <v>1377</v>
      </c>
      <c r="AE884" s="92" t="str">
        <f t="shared" si="109"/>
        <v>7331</v>
      </c>
      <c r="AF884" s="29"/>
      <c r="AG884" s="29"/>
      <c r="AH884" s="29"/>
      <c r="AN884" s="27">
        <v>203</v>
      </c>
      <c r="AQ884" s="85"/>
      <c r="AR884" s="27">
        <v>1</v>
      </c>
      <c r="AS884" s="27">
        <v>1</v>
      </c>
      <c r="AT884" s="85"/>
      <c r="AU884" s="29" t="s">
        <v>1942</v>
      </c>
      <c r="AW884" s="91">
        <v>5</v>
      </c>
      <c r="AX884" s="93">
        <f>VLOOKUP(AW884,색인!$N$14:$O$19,2,FALSE)</f>
        <v>3</v>
      </c>
      <c r="AY884" s="91" t="str">
        <f>"T"&amp;O884&amp;"_"&amp;AX884&amp;"옵션_"&amp;VLOOKUP(E884,색인!$J$25:$K$29,2,FALSE)</f>
        <v>T7_3옵션_장신구</v>
      </c>
      <c r="AZ884" s="91">
        <f>VLOOKUP(G884,색인!$J$32:$K$45,2,FALSE)</f>
        <v>2</v>
      </c>
      <c r="BA884" s="91" t="str">
        <f>_xlfn.IFNA(VLOOKUP(AY884,표1[[검색용]:[OptionGroupIndex'[']22]],EquipItemTable!AZ884,FALSE),"옵션고정안함")</f>
        <v>7331</v>
      </c>
    </row>
    <row r="885" spans="1:53" s="27" customFormat="1" ht="12" x14ac:dyDescent="0.2">
      <c r="A885" s="25" t="s">
        <v>1404</v>
      </c>
      <c r="B885" s="39">
        <v>54419</v>
      </c>
      <c r="C885" s="42" t="s">
        <v>3585</v>
      </c>
      <c r="D885" s="26" t="s">
        <v>80</v>
      </c>
      <c r="E885" s="26" t="s">
        <v>0</v>
      </c>
      <c r="F885" s="27" t="s">
        <v>927</v>
      </c>
      <c r="G885" s="27" t="s">
        <v>1415</v>
      </c>
      <c r="N885" s="8"/>
      <c r="O885" s="29" t="s">
        <v>1338</v>
      </c>
      <c r="P885" s="27">
        <v>71</v>
      </c>
      <c r="W885" s="27">
        <v>7949</v>
      </c>
      <c r="X885" s="27">
        <v>7949</v>
      </c>
      <c r="AB885" s="28"/>
      <c r="AC885" s="82"/>
      <c r="AD885" s="29" t="s">
        <v>1377</v>
      </c>
      <c r="AE885" s="92" t="str">
        <f t="shared" si="109"/>
        <v>7331</v>
      </c>
      <c r="AF885" s="29"/>
      <c r="AG885" s="29"/>
      <c r="AH885" s="29"/>
      <c r="AN885" s="27">
        <v>204</v>
      </c>
      <c r="AQ885" s="85"/>
      <c r="AR885" s="27">
        <v>1</v>
      </c>
      <c r="AS885" s="27">
        <v>1</v>
      </c>
      <c r="AT885" s="85"/>
      <c r="AU885" s="29" t="s">
        <v>1942</v>
      </c>
      <c r="AW885" s="91">
        <v>5</v>
      </c>
      <c r="AX885" s="93">
        <f>VLOOKUP(AW885,색인!$N$14:$O$19,2,FALSE)</f>
        <v>3</v>
      </c>
      <c r="AY885" s="91" t="str">
        <f>"T"&amp;O885&amp;"_"&amp;AX885&amp;"옵션_"&amp;VLOOKUP(E885,색인!$J$25:$K$29,2,FALSE)</f>
        <v>T7_3옵션_장신구</v>
      </c>
      <c r="AZ885" s="91">
        <f>VLOOKUP(G885,색인!$J$32:$K$45,2,FALSE)</f>
        <v>2</v>
      </c>
      <c r="BA885" s="91" t="str">
        <f>_xlfn.IFNA(VLOOKUP(AY885,표1[[검색용]:[OptionGroupIndex'[']22]],EquipItemTable!AZ885,FALSE),"옵션고정안함")</f>
        <v>7331</v>
      </c>
    </row>
    <row r="886" spans="1:53" s="27" customFormat="1" ht="12" x14ac:dyDescent="0.2">
      <c r="A886" s="25" t="s">
        <v>1405</v>
      </c>
      <c r="B886" s="39">
        <v>54420</v>
      </c>
      <c r="C886" s="42" t="s">
        <v>3586</v>
      </c>
      <c r="D886" s="26" t="s">
        <v>80</v>
      </c>
      <c r="E886" s="26" t="s">
        <v>0</v>
      </c>
      <c r="F886" s="27" t="s">
        <v>927</v>
      </c>
      <c r="G886" s="27" t="s">
        <v>1415</v>
      </c>
      <c r="J886" s="1"/>
      <c r="K886" s="1"/>
      <c r="L886" s="1"/>
      <c r="M886" s="1"/>
      <c r="N886" s="8"/>
      <c r="O886" s="29" t="s">
        <v>1338</v>
      </c>
      <c r="P886" s="27">
        <v>71</v>
      </c>
      <c r="W886" s="27">
        <v>7949</v>
      </c>
      <c r="X886" s="27">
        <v>7949</v>
      </c>
      <c r="AB886" s="28"/>
      <c r="AC886" s="82"/>
      <c r="AD886" s="29" t="s">
        <v>1377</v>
      </c>
      <c r="AE886" s="92" t="str">
        <f t="shared" si="109"/>
        <v>7331</v>
      </c>
      <c r="AF886" s="29"/>
      <c r="AG886" s="12"/>
      <c r="AH886" s="12"/>
      <c r="AN886" s="27">
        <v>205</v>
      </c>
      <c r="AQ886" s="85"/>
      <c r="AR886" s="27">
        <v>1</v>
      </c>
      <c r="AS886" s="27">
        <v>1</v>
      </c>
      <c r="AT886" s="85"/>
      <c r="AU886" s="29" t="s">
        <v>1942</v>
      </c>
      <c r="AW886" s="91">
        <v>5</v>
      </c>
      <c r="AX886" s="93">
        <f>VLOOKUP(AW886,색인!$N$14:$O$19,2,FALSE)</f>
        <v>3</v>
      </c>
      <c r="AY886" s="91" t="str">
        <f>"T"&amp;O886&amp;"_"&amp;AX886&amp;"옵션_"&amp;VLOOKUP(E886,색인!$J$25:$K$29,2,FALSE)</f>
        <v>T7_3옵션_장신구</v>
      </c>
      <c r="AZ886" s="91">
        <f>VLOOKUP(G886,색인!$J$32:$K$45,2,FALSE)</f>
        <v>2</v>
      </c>
      <c r="BA886" s="91" t="str">
        <f>_xlfn.IFNA(VLOOKUP(AY886,표1[[검색용]:[OptionGroupIndex'[']22]],EquipItemTable!AZ886,FALSE),"옵션고정안함")</f>
        <v>7331</v>
      </c>
    </row>
    <row r="887" spans="1:53" s="27" customFormat="1" ht="12" x14ac:dyDescent="0.2">
      <c r="A887" s="25" t="s">
        <v>1406</v>
      </c>
      <c r="B887" s="39">
        <v>54421</v>
      </c>
      <c r="C887" s="42" t="s">
        <v>3593</v>
      </c>
      <c r="D887" s="26" t="s">
        <v>80</v>
      </c>
      <c r="E887" s="26" t="s">
        <v>0</v>
      </c>
      <c r="F887" s="27" t="s">
        <v>927</v>
      </c>
      <c r="G887" s="27" t="s">
        <v>1415</v>
      </c>
      <c r="J887" s="1"/>
      <c r="K887" s="1"/>
      <c r="L887" s="1"/>
      <c r="M887" s="1"/>
      <c r="N887" s="8"/>
      <c r="O887" s="29" t="s">
        <v>1338</v>
      </c>
      <c r="P887" s="27">
        <v>71</v>
      </c>
      <c r="W887" s="27">
        <v>7949</v>
      </c>
      <c r="X887" s="27">
        <v>7949</v>
      </c>
      <c r="AB887" s="28"/>
      <c r="AC887" s="82"/>
      <c r="AD887" s="29" t="s">
        <v>1377</v>
      </c>
      <c r="AE887" s="92" t="str">
        <f t="shared" si="109"/>
        <v>7331</v>
      </c>
      <c r="AF887" s="29"/>
      <c r="AG887" s="12"/>
      <c r="AH887" s="12"/>
      <c r="AN887" s="27">
        <v>206</v>
      </c>
      <c r="AQ887" s="85"/>
      <c r="AR887" s="27">
        <v>1</v>
      </c>
      <c r="AS887" s="27">
        <v>1</v>
      </c>
      <c r="AT887" s="85"/>
      <c r="AU887" s="29" t="s">
        <v>1942</v>
      </c>
      <c r="AW887" s="91">
        <v>5</v>
      </c>
      <c r="AX887" s="93">
        <f>VLOOKUP(AW887,색인!$N$14:$O$19,2,FALSE)</f>
        <v>3</v>
      </c>
      <c r="AY887" s="91" t="str">
        <f>"T"&amp;O887&amp;"_"&amp;AX887&amp;"옵션_"&amp;VLOOKUP(E887,색인!$J$25:$K$29,2,FALSE)</f>
        <v>T7_3옵션_장신구</v>
      </c>
      <c r="AZ887" s="91">
        <f>VLOOKUP(G887,색인!$J$32:$K$45,2,FALSE)</f>
        <v>2</v>
      </c>
      <c r="BA887" s="91" t="str">
        <f>_xlfn.IFNA(VLOOKUP(AY887,표1[[검색용]:[OptionGroupIndex'[']22]],EquipItemTable!AZ887,FALSE),"옵션고정안함")</f>
        <v>7331</v>
      </c>
    </row>
    <row r="888" spans="1:53" s="27" customFormat="1" ht="12" x14ac:dyDescent="0.2">
      <c r="A888" s="25" t="s">
        <v>1407</v>
      </c>
      <c r="B888" s="39">
        <v>54422</v>
      </c>
      <c r="C888" s="42" t="s">
        <v>3594</v>
      </c>
      <c r="D888" s="26" t="s">
        <v>80</v>
      </c>
      <c r="E888" s="26" t="s">
        <v>0</v>
      </c>
      <c r="F888" s="27" t="s">
        <v>927</v>
      </c>
      <c r="G888" s="27" t="s">
        <v>1415</v>
      </c>
      <c r="J888" s="1"/>
      <c r="K888" s="1"/>
      <c r="L888" s="1"/>
      <c r="M888" s="1"/>
      <c r="N888" s="8"/>
      <c r="O888" s="29" t="s">
        <v>1338</v>
      </c>
      <c r="P888" s="27">
        <v>71</v>
      </c>
      <c r="W888" s="27">
        <v>7949</v>
      </c>
      <c r="X888" s="27">
        <v>7949</v>
      </c>
      <c r="AB888" s="28"/>
      <c r="AC888" s="82"/>
      <c r="AD888" s="29" t="s">
        <v>1377</v>
      </c>
      <c r="AE888" s="92" t="str">
        <f t="shared" si="109"/>
        <v>7331</v>
      </c>
      <c r="AF888" s="29"/>
      <c r="AG888" s="12"/>
      <c r="AH888" s="12"/>
      <c r="AN888" s="27">
        <v>207</v>
      </c>
      <c r="AQ888" s="85"/>
      <c r="AR888" s="27">
        <v>1</v>
      </c>
      <c r="AS888" s="27">
        <v>1</v>
      </c>
      <c r="AT888" s="85"/>
      <c r="AU888" s="29" t="s">
        <v>1942</v>
      </c>
      <c r="AW888" s="91">
        <v>5</v>
      </c>
      <c r="AX888" s="93">
        <f>VLOOKUP(AW888,색인!$N$14:$O$19,2,FALSE)</f>
        <v>3</v>
      </c>
      <c r="AY888" s="91" t="str">
        <f>"T"&amp;O888&amp;"_"&amp;AX888&amp;"옵션_"&amp;VLOOKUP(E888,색인!$J$25:$K$29,2,FALSE)</f>
        <v>T7_3옵션_장신구</v>
      </c>
      <c r="AZ888" s="91">
        <f>VLOOKUP(G888,색인!$J$32:$K$45,2,FALSE)</f>
        <v>2</v>
      </c>
      <c r="BA888" s="91" t="str">
        <f>_xlfn.IFNA(VLOOKUP(AY888,표1[[검색용]:[OptionGroupIndex'[']22]],EquipItemTable!AZ888,FALSE),"옵션고정안함")</f>
        <v>7331</v>
      </c>
    </row>
    <row r="889" spans="1:53" s="27" customFormat="1" ht="12" x14ac:dyDescent="0.2">
      <c r="A889" s="25" t="s">
        <v>1408</v>
      </c>
      <c r="B889" s="39">
        <v>54423</v>
      </c>
      <c r="C889" s="42" t="s">
        <v>3565</v>
      </c>
      <c r="D889" s="26" t="s">
        <v>80</v>
      </c>
      <c r="E889" s="26" t="s">
        <v>0</v>
      </c>
      <c r="F889" s="27" t="s">
        <v>927</v>
      </c>
      <c r="G889" s="27" t="s">
        <v>1415</v>
      </c>
      <c r="J889" s="1"/>
      <c r="K889" s="1"/>
      <c r="L889" s="1"/>
      <c r="M889" s="1"/>
      <c r="N889" s="8"/>
      <c r="O889" s="29" t="s">
        <v>1338</v>
      </c>
      <c r="P889" s="27">
        <v>71</v>
      </c>
      <c r="W889" s="27">
        <v>8200</v>
      </c>
      <c r="X889" s="27">
        <v>8200</v>
      </c>
      <c r="AB889" s="28"/>
      <c r="AC889" s="82"/>
      <c r="AD889" s="29" t="s">
        <v>1377</v>
      </c>
      <c r="AE889" s="92" t="str">
        <f>BA889</f>
        <v>7431</v>
      </c>
      <c r="AF889" s="29" t="s">
        <v>2185</v>
      </c>
      <c r="AG889" s="12"/>
      <c r="AH889" s="12"/>
      <c r="AN889" s="27">
        <v>1</v>
      </c>
      <c r="AQ889" s="85"/>
      <c r="AR889" s="27">
        <v>1</v>
      </c>
      <c r="AS889" s="27">
        <v>1</v>
      </c>
      <c r="AT889" s="85"/>
      <c r="AU889" s="12" t="s">
        <v>1936</v>
      </c>
      <c r="AW889" s="91">
        <v>6</v>
      </c>
      <c r="AX889" s="93">
        <f>VLOOKUP(AW889,색인!$N$14:$O$19,2,FALSE)</f>
        <v>4</v>
      </c>
      <c r="AY889" s="93" t="str">
        <f>"T"&amp;O889&amp;"_"&amp;AX889&amp;"옵션_"&amp;VLOOKUP(E889,색인!$J$25:$K$29,2,FALSE)</f>
        <v>T7_4옵션_장신구</v>
      </c>
      <c r="AZ889" s="93">
        <f>VLOOKUP(G889,색인!$J$32:$K$45,2,FALSE)</f>
        <v>2</v>
      </c>
      <c r="BA889" s="93" t="str">
        <f>_xlfn.IFNA(VLOOKUP(AY889,표1[[검색용]:[OptionGroupIndex'[']22]],EquipItemTable!AZ889,FALSE),"옵션고정안함")</f>
        <v>7431</v>
      </c>
    </row>
    <row r="890" spans="1:53" s="27" customFormat="1" ht="12" x14ac:dyDescent="0.2">
      <c r="A890" s="25" t="s">
        <v>1409</v>
      </c>
      <c r="B890" s="39">
        <v>54424</v>
      </c>
      <c r="C890" s="42" t="s">
        <v>3566</v>
      </c>
      <c r="D890" s="26" t="s">
        <v>80</v>
      </c>
      <c r="E890" s="26" t="s">
        <v>0</v>
      </c>
      <c r="F890" s="27" t="s">
        <v>927</v>
      </c>
      <c r="G890" s="27" t="s">
        <v>1415</v>
      </c>
      <c r="J890" s="1"/>
      <c r="K890" s="1"/>
      <c r="L890" s="1"/>
      <c r="M890" s="1"/>
      <c r="N890" s="8"/>
      <c r="O890" s="29" t="s">
        <v>1338</v>
      </c>
      <c r="P890" s="27">
        <v>71</v>
      </c>
      <c r="W890" s="27">
        <v>8200</v>
      </c>
      <c r="X890" s="27">
        <v>8200</v>
      </c>
      <c r="AB890" s="28"/>
      <c r="AC890" s="82"/>
      <c r="AD890" s="29" t="s">
        <v>1377</v>
      </c>
      <c r="AE890" s="92" t="str">
        <f>BA890</f>
        <v>7431</v>
      </c>
      <c r="AF890" s="29" t="s">
        <v>2185</v>
      </c>
      <c r="AG890" s="12"/>
      <c r="AH890" s="12"/>
      <c r="AN890" s="27">
        <v>2</v>
      </c>
      <c r="AQ890" s="85"/>
      <c r="AR890" s="27">
        <v>1</v>
      </c>
      <c r="AS890" s="27">
        <v>1</v>
      </c>
      <c r="AT890" s="85"/>
      <c r="AU890" s="12" t="s">
        <v>1936</v>
      </c>
      <c r="AW890" s="91">
        <v>6</v>
      </c>
      <c r="AX890" s="93">
        <f>VLOOKUP(AW890,색인!$N$14:$O$19,2,FALSE)</f>
        <v>4</v>
      </c>
      <c r="AY890" s="93" t="str">
        <f>"T"&amp;O890&amp;"_"&amp;AX890&amp;"옵션_"&amp;VLOOKUP(E890,색인!$J$25:$K$29,2,FALSE)</f>
        <v>T7_4옵션_장신구</v>
      </c>
      <c r="AZ890" s="93">
        <f>VLOOKUP(G890,색인!$J$32:$K$45,2,FALSE)</f>
        <v>2</v>
      </c>
      <c r="BA890" s="93" t="str">
        <f>_xlfn.IFNA(VLOOKUP(AY890,표1[[검색용]:[OptionGroupIndex'[']22]],EquipItemTable!AZ890,FALSE),"옵션고정안함")</f>
        <v>7431</v>
      </c>
    </row>
    <row r="891" spans="1:53" s="27" customFormat="1" ht="12" x14ac:dyDescent="0.2">
      <c r="A891" s="25" t="s">
        <v>1410</v>
      </c>
      <c r="B891" s="39">
        <v>54425</v>
      </c>
      <c r="C891" s="42" t="s">
        <v>3567</v>
      </c>
      <c r="D891" s="26" t="s">
        <v>80</v>
      </c>
      <c r="E891" s="26" t="s">
        <v>0</v>
      </c>
      <c r="F891" s="27" t="s">
        <v>927</v>
      </c>
      <c r="G891" s="27" t="s">
        <v>1415</v>
      </c>
      <c r="J891" s="1"/>
      <c r="K891" s="1"/>
      <c r="L891" s="1"/>
      <c r="M891" s="1"/>
      <c r="N891" s="8"/>
      <c r="O891" s="29" t="s">
        <v>1338</v>
      </c>
      <c r="P891" s="27">
        <v>71</v>
      </c>
      <c r="W891" s="27">
        <v>8200</v>
      </c>
      <c r="X891" s="27">
        <v>8200</v>
      </c>
      <c r="AB891" s="28"/>
      <c r="AC891" s="82"/>
      <c r="AD891" s="29" t="s">
        <v>1377</v>
      </c>
      <c r="AE891" s="92" t="str">
        <f>BA891</f>
        <v>7431</v>
      </c>
      <c r="AF891" s="29" t="s">
        <v>2185</v>
      </c>
      <c r="AG891" s="12"/>
      <c r="AH891" s="12"/>
      <c r="AN891" s="27">
        <v>3</v>
      </c>
      <c r="AQ891" s="85"/>
      <c r="AR891" s="27">
        <v>1</v>
      </c>
      <c r="AS891" s="27">
        <v>1</v>
      </c>
      <c r="AT891" s="85"/>
      <c r="AU891" s="12" t="s">
        <v>1936</v>
      </c>
      <c r="AW891" s="91">
        <v>6</v>
      </c>
      <c r="AX891" s="93">
        <f>VLOOKUP(AW891,색인!$N$14:$O$19,2,FALSE)</f>
        <v>4</v>
      </c>
      <c r="AY891" s="93" t="str">
        <f>"T"&amp;O891&amp;"_"&amp;AX891&amp;"옵션_"&amp;VLOOKUP(E891,색인!$J$25:$K$29,2,FALSE)</f>
        <v>T7_4옵션_장신구</v>
      </c>
      <c r="AZ891" s="93">
        <f>VLOOKUP(G891,색인!$J$32:$K$45,2,FALSE)</f>
        <v>2</v>
      </c>
      <c r="BA891" s="93" t="str">
        <f>_xlfn.IFNA(VLOOKUP(AY891,표1[[검색용]:[OptionGroupIndex'[']22]],EquipItemTable!AZ891,FALSE),"옵션고정안함")</f>
        <v>7431</v>
      </c>
    </row>
    <row r="892" spans="1:53" s="27" customFormat="1" ht="12" x14ac:dyDescent="0.2">
      <c r="A892" s="25" t="s">
        <v>1411</v>
      </c>
      <c r="B892" s="39">
        <v>54426</v>
      </c>
      <c r="C892" s="42" t="s">
        <v>3568</v>
      </c>
      <c r="D892" s="26" t="s">
        <v>80</v>
      </c>
      <c r="E892" s="26" t="s">
        <v>0</v>
      </c>
      <c r="F892" s="27" t="s">
        <v>927</v>
      </c>
      <c r="G892" s="27" t="s">
        <v>1415</v>
      </c>
      <c r="J892" s="1"/>
      <c r="K892" s="1"/>
      <c r="L892" s="1"/>
      <c r="M892" s="1"/>
      <c r="N892" s="8"/>
      <c r="O892" s="29" t="s">
        <v>1338</v>
      </c>
      <c r="P892" s="27">
        <v>71</v>
      </c>
      <c r="W892" s="27">
        <v>8200</v>
      </c>
      <c r="X892" s="27">
        <v>8200</v>
      </c>
      <c r="AB892" s="28"/>
      <c r="AC892" s="82"/>
      <c r="AD892" s="29" t="s">
        <v>1377</v>
      </c>
      <c r="AE892" s="92" t="str">
        <f>BA892</f>
        <v>7431</v>
      </c>
      <c r="AF892" s="29" t="s">
        <v>2185</v>
      </c>
      <c r="AG892" s="12"/>
      <c r="AH892" s="12"/>
      <c r="AN892" s="27">
        <v>4</v>
      </c>
      <c r="AQ892" s="85"/>
      <c r="AR892" s="27">
        <v>1</v>
      </c>
      <c r="AS892" s="27">
        <v>1</v>
      </c>
      <c r="AT892" s="85"/>
      <c r="AU892" s="12" t="s">
        <v>1936</v>
      </c>
      <c r="AW892" s="91">
        <v>6</v>
      </c>
      <c r="AX892" s="93">
        <f>VLOOKUP(AW892,색인!$N$14:$O$19,2,FALSE)</f>
        <v>4</v>
      </c>
      <c r="AY892" s="93" t="str">
        <f>"T"&amp;O892&amp;"_"&amp;AX892&amp;"옵션_"&amp;VLOOKUP(E892,색인!$J$25:$K$29,2,FALSE)</f>
        <v>T7_4옵션_장신구</v>
      </c>
      <c r="AZ892" s="93">
        <f>VLOOKUP(G892,색인!$J$32:$K$45,2,FALSE)</f>
        <v>2</v>
      </c>
      <c r="BA892" s="93" t="str">
        <f>_xlfn.IFNA(VLOOKUP(AY892,표1[[검색용]:[OptionGroupIndex'[']22]],EquipItemTable!AZ892,FALSE),"옵션고정안함")</f>
        <v>7431</v>
      </c>
    </row>
    <row r="893" spans="1:53" s="27" customFormat="1" ht="12" x14ac:dyDescent="0.2">
      <c r="A893" s="30" t="s">
        <v>1412</v>
      </c>
      <c r="B893" s="39">
        <v>54605</v>
      </c>
      <c r="C893" s="42" t="e">
        <v>#N/A</v>
      </c>
      <c r="D893" s="26" t="s">
        <v>80</v>
      </c>
      <c r="E893" s="26" t="s">
        <v>0</v>
      </c>
      <c r="F893" s="27" t="s">
        <v>927</v>
      </c>
      <c r="G893" s="27" t="s">
        <v>1415</v>
      </c>
      <c r="J893" s="1"/>
      <c r="K893" s="1"/>
      <c r="L893" s="1"/>
      <c r="M893" s="1"/>
      <c r="N893" s="8"/>
      <c r="O893" s="29" t="s">
        <v>1338</v>
      </c>
      <c r="P893" s="27">
        <v>71</v>
      </c>
      <c r="W893" s="27">
        <v>8200</v>
      </c>
      <c r="X893" s="27">
        <v>8200</v>
      </c>
      <c r="AB893" s="28"/>
      <c r="AC893" s="82"/>
      <c r="AD893" s="29" t="s">
        <v>1377</v>
      </c>
      <c r="AE893" s="29" t="s">
        <v>1337</v>
      </c>
      <c r="AF893" s="29"/>
      <c r="AG893" s="12"/>
      <c r="AH893" s="12"/>
      <c r="AQ893" s="85"/>
      <c r="AR893" s="27">
        <v>1</v>
      </c>
      <c r="AS893" s="27">
        <v>1</v>
      </c>
      <c r="AT893" s="85"/>
      <c r="AU893" s="29" t="s">
        <v>1944</v>
      </c>
      <c r="AW893" s="91">
        <v>7</v>
      </c>
      <c r="AX893" s="93"/>
      <c r="AY893" s="93"/>
      <c r="AZ893" s="93"/>
      <c r="BA893" s="93"/>
    </row>
    <row r="894" spans="1:53" s="27" customFormat="1" ht="12" x14ac:dyDescent="0.2">
      <c r="A894" s="25" t="s">
        <v>1413</v>
      </c>
      <c r="B894" s="39">
        <v>354003</v>
      </c>
      <c r="C894" s="42" t="s">
        <v>3587</v>
      </c>
      <c r="D894" s="26" t="s">
        <v>80</v>
      </c>
      <c r="E894" s="26" t="s">
        <v>0</v>
      </c>
      <c r="F894" s="27" t="s">
        <v>927</v>
      </c>
      <c r="G894" s="27" t="s">
        <v>1415</v>
      </c>
      <c r="J894" s="1"/>
      <c r="K894" s="1"/>
      <c r="L894" s="1"/>
      <c r="M894" s="1"/>
      <c r="N894" s="8"/>
      <c r="O894" s="29" t="s">
        <v>1338</v>
      </c>
      <c r="P894" s="27">
        <v>71</v>
      </c>
      <c r="W894" s="27">
        <v>7949</v>
      </c>
      <c r="X894" s="27">
        <v>7949</v>
      </c>
      <c r="AB894" s="28"/>
      <c r="AC894" s="82"/>
      <c r="AD894" s="29" t="s">
        <v>1377</v>
      </c>
      <c r="AE894" s="92" t="str">
        <f>BA894</f>
        <v>7331</v>
      </c>
      <c r="AF894" s="29"/>
      <c r="AG894" s="23"/>
      <c r="AH894" s="23"/>
      <c r="AN894" s="27">
        <v>101</v>
      </c>
      <c r="AQ894" s="85"/>
      <c r="AR894" s="27">
        <v>1</v>
      </c>
      <c r="AS894" s="27">
        <v>1</v>
      </c>
      <c r="AT894" s="85"/>
      <c r="AU894" s="29" t="s">
        <v>1942</v>
      </c>
      <c r="AW894" s="91">
        <v>5</v>
      </c>
      <c r="AX894" s="93">
        <f>VLOOKUP(AW894,색인!$N$14:$O$19,2,FALSE)</f>
        <v>3</v>
      </c>
      <c r="AY894" s="91" t="str">
        <f>"T"&amp;O894&amp;"_"&amp;AX894&amp;"옵션_"&amp;VLOOKUP(E894,색인!$J$25:$K$29,2,FALSE)</f>
        <v>T7_3옵션_장신구</v>
      </c>
      <c r="AZ894" s="91">
        <f>VLOOKUP(G894,색인!$J$32:$K$45,2,FALSE)</f>
        <v>2</v>
      </c>
      <c r="BA894" s="91" t="str">
        <f>_xlfn.IFNA(VLOOKUP(AY894,표1[[검색용]:[OptionGroupIndex'[']22]],EquipItemTable!AZ894,FALSE),"옵션고정안함")</f>
        <v>7331</v>
      </c>
    </row>
    <row r="895" spans="1:53" s="27" customFormat="1" ht="12" x14ac:dyDescent="0.2">
      <c r="A895" s="25" t="s">
        <v>1414</v>
      </c>
      <c r="B895" s="39">
        <v>354004</v>
      </c>
      <c r="C895" s="42" t="s">
        <v>3588</v>
      </c>
      <c r="D895" s="26" t="s">
        <v>80</v>
      </c>
      <c r="E895" s="26" t="s">
        <v>0</v>
      </c>
      <c r="F895" s="27" t="s">
        <v>927</v>
      </c>
      <c r="G895" s="27" t="s">
        <v>1415</v>
      </c>
      <c r="J895" s="1"/>
      <c r="K895" s="1"/>
      <c r="L895" s="1"/>
      <c r="M895" s="1"/>
      <c r="N895" s="8"/>
      <c r="O895" s="29" t="s">
        <v>1338</v>
      </c>
      <c r="P895" s="27">
        <v>71</v>
      </c>
      <c r="W895" s="27">
        <v>8200</v>
      </c>
      <c r="X895" s="27">
        <v>8200</v>
      </c>
      <c r="AB895" s="28"/>
      <c r="AC895" s="82"/>
      <c r="AD895" s="29" t="s">
        <v>1377</v>
      </c>
      <c r="AE895" s="92" t="s">
        <v>2190</v>
      </c>
      <c r="AF895" s="29" t="s">
        <v>2185</v>
      </c>
      <c r="AG895" s="23"/>
      <c r="AH895" s="23"/>
      <c r="AN895" s="27">
        <v>102</v>
      </c>
      <c r="AQ895" s="85"/>
      <c r="AR895" s="27">
        <v>1</v>
      </c>
      <c r="AS895" s="27">
        <v>1</v>
      </c>
      <c r="AT895" s="85"/>
      <c r="AU895" s="29" t="s">
        <v>1943</v>
      </c>
      <c r="AW895" s="91">
        <v>6</v>
      </c>
      <c r="AX895" s="93">
        <f>VLOOKUP(AW895,색인!$N$14:$O$19,2,FALSE)</f>
        <v>4</v>
      </c>
      <c r="AY895" s="93" t="str">
        <f>"T"&amp;O895&amp;"_"&amp;AX895&amp;"옵션_"&amp;VLOOKUP(E895,색인!$J$25:$K$29,2,FALSE)</f>
        <v>T7_4옵션_장신구</v>
      </c>
      <c r="AZ895" s="93">
        <f>VLOOKUP(G895,색인!$J$32:$K$45,2,FALSE)</f>
        <v>2</v>
      </c>
      <c r="BA895" s="93" t="str">
        <f>_xlfn.IFNA(VLOOKUP(AY895,표1[[검색용]:[OptionGroupIndex'[']22]],EquipItemTable!AZ895,FALSE),"옵션고정안함")</f>
        <v>7431</v>
      </c>
    </row>
    <row r="896" spans="1:53" ht="12" customHeight="1" x14ac:dyDescent="0.2">
      <c r="A896" s="13" t="s">
        <v>157</v>
      </c>
      <c r="B896" s="39">
        <v>55001</v>
      </c>
      <c r="C896" s="42" t="s">
        <v>24</v>
      </c>
      <c r="D896" s="10" t="s">
        <v>2962</v>
      </c>
      <c r="E896" s="10" t="s">
        <v>435</v>
      </c>
      <c r="F896" s="1" t="s">
        <v>472</v>
      </c>
      <c r="G896" s="1" t="s">
        <v>1310</v>
      </c>
      <c r="H896" s="1"/>
      <c r="I896" s="1"/>
      <c r="J896" s="1"/>
      <c r="K896" s="1"/>
      <c r="L896" s="1"/>
      <c r="M896" s="1"/>
      <c r="O896" s="12" t="s">
        <v>94</v>
      </c>
      <c r="P896" s="1">
        <v>1</v>
      </c>
      <c r="Q896" s="1"/>
      <c r="R896" s="1"/>
      <c r="S896" s="1"/>
      <c r="T896" s="1"/>
      <c r="U896" s="1"/>
      <c r="V896" s="1"/>
      <c r="W896" s="1">
        <v>85</v>
      </c>
      <c r="X896" s="1">
        <f t="shared" ref="X896:X924" si="110">W896</f>
        <v>85</v>
      </c>
      <c r="Y896" s="1"/>
      <c r="Z896" s="1"/>
      <c r="AA896" s="1"/>
      <c r="AB896" s="11"/>
      <c r="AC896" s="82"/>
      <c r="AD896" s="12" t="s">
        <v>52</v>
      </c>
      <c r="AE896" s="12" t="s">
        <v>94</v>
      </c>
      <c r="AG896" s="23"/>
      <c r="AH896" s="23"/>
      <c r="AN896" s="12"/>
      <c r="AU896" s="12" t="s">
        <v>1932</v>
      </c>
      <c r="AV896" s="13" t="s">
        <v>24</v>
      </c>
      <c r="AW896" s="39">
        <v>1</v>
      </c>
      <c r="AY896" s="32"/>
      <c r="AZ896" s="32"/>
      <c r="BA896" s="32"/>
    </row>
    <row r="897" spans="1:53" ht="12" customHeight="1" x14ac:dyDescent="0.2">
      <c r="A897" s="13" t="s">
        <v>158</v>
      </c>
      <c r="B897" s="39">
        <v>55002</v>
      </c>
      <c r="C897" s="42" t="s">
        <v>26</v>
      </c>
      <c r="D897" s="10" t="s">
        <v>81</v>
      </c>
      <c r="E897" s="10" t="s">
        <v>0</v>
      </c>
      <c r="F897" s="1" t="s">
        <v>93</v>
      </c>
      <c r="G897" s="1" t="s">
        <v>1310</v>
      </c>
      <c r="H897" s="1"/>
      <c r="I897" s="1"/>
      <c r="J897" s="1"/>
      <c r="K897" s="1"/>
      <c r="L897" s="1"/>
      <c r="M897" s="1"/>
      <c r="O897" s="12" t="s">
        <v>94</v>
      </c>
      <c r="P897" s="1">
        <v>1</v>
      </c>
      <c r="Q897" s="1"/>
      <c r="R897" s="1"/>
      <c r="S897" s="1"/>
      <c r="T897" s="1"/>
      <c r="U897" s="1"/>
      <c r="V897" s="1"/>
      <c r="W897" s="1">
        <v>122</v>
      </c>
      <c r="X897" s="1">
        <f t="shared" si="110"/>
        <v>122</v>
      </c>
      <c r="Y897" s="1"/>
      <c r="Z897" s="1"/>
      <c r="AA897" s="1"/>
      <c r="AB897" s="11"/>
      <c r="AC897" s="82"/>
      <c r="AD897" s="12" t="s">
        <v>52</v>
      </c>
      <c r="AE897" s="39" t="str">
        <f t="shared" ref="AE897:AE899" si="111">BA897</f>
        <v>1131</v>
      </c>
      <c r="AG897" s="23"/>
      <c r="AH897" s="23"/>
      <c r="AN897" s="12"/>
      <c r="AU897" s="12" t="s">
        <v>1933</v>
      </c>
      <c r="AV897" s="13" t="s">
        <v>25</v>
      </c>
      <c r="AW897" s="39">
        <v>2</v>
      </c>
      <c r="AX897" s="12">
        <f>VLOOKUP(AW897,색인!$N$14:$O$19,2,FALSE)</f>
        <v>1</v>
      </c>
      <c r="AY897" s="39" t="str">
        <f>"T"&amp;O897&amp;"_"&amp;AX897&amp;"옵션_"&amp;VLOOKUP(E897,색인!$J$25:$K$29,2,FALSE)</f>
        <v>T1_1옵션_장신구</v>
      </c>
      <c r="AZ897" s="39">
        <f>VLOOKUP(G897,색인!$J$32:$K$45,2,FALSE)</f>
        <v>2</v>
      </c>
      <c r="BA897" s="39" t="str">
        <f>_xlfn.IFNA(VLOOKUP(AY897,표1[[검색용]:[OptionGroupIndex'[']22]],EquipItemTable!AZ897,FALSE),"옵션고정안함")</f>
        <v>1131</v>
      </c>
    </row>
    <row r="898" spans="1:53" ht="12" customHeight="1" x14ac:dyDescent="0.2">
      <c r="A898" s="13" t="s">
        <v>546</v>
      </c>
      <c r="B898" s="39">
        <v>55003</v>
      </c>
      <c r="C898" s="42" t="s">
        <v>3595</v>
      </c>
      <c r="D898" s="10" t="s">
        <v>81</v>
      </c>
      <c r="E898" s="10" t="s">
        <v>0</v>
      </c>
      <c r="F898" s="1" t="s">
        <v>93</v>
      </c>
      <c r="G898" s="1" t="s">
        <v>1310</v>
      </c>
      <c r="H898" s="1"/>
      <c r="I898" s="1"/>
      <c r="J898" s="1"/>
      <c r="K898" s="1"/>
      <c r="L898" s="1"/>
      <c r="M898" s="1"/>
      <c r="O898" s="12" t="s">
        <v>94</v>
      </c>
      <c r="P898" s="1">
        <v>1</v>
      </c>
      <c r="Q898" s="1"/>
      <c r="R898" s="1"/>
      <c r="S898" s="1"/>
      <c r="T898" s="1"/>
      <c r="U898" s="1"/>
      <c r="V898" s="1"/>
      <c r="W898" s="1">
        <v>159</v>
      </c>
      <c r="X898" s="1">
        <f t="shared" si="110"/>
        <v>159</v>
      </c>
      <c r="Y898" s="1"/>
      <c r="Z898" s="1"/>
      <c r="AA898" s="1"/>
      <c r="AB898" s="11"/>
      <c r="AC898" s="82"/>
      <c r="AD898" s="12" t="s">
        <v>52</v>
      </c>
      <c r="AE898" s="39" t="str">
        <f t="shared" si="111"/>
        <v>1231</v>
      </c>
      <c r="AG898" s="23"/>
      <c r="AH898" s="23"/>
      <c r="AN898" s="12"/>
      <c r="AR898" s="34" t="s">
        <v>94</v>
      </c>
      <c r="AS898" s="34" t="s">
        <v>94</v>
      </c>
      <c r="AU898" s="12" t="s">
        <v>1934</v>
      </c>
      <c r="AV898" s="13" t="s">
        <v>26</v>
      </c>
      <c r="AW898" s="39">
        <v>3</v>
      </c>
      <c r="AX898" s="12">
        <f>VLOOKUP(AW898,색인!$N$14:$O$19,2,FALSE)</f>
        <v>2</v>
      </c>
      <c r="AY898" s="39" t="str">
        <f>"T"&amp;O898&amp;"_"&amp;AX898&amp;"옵션_"&amp;VLOOKUP(E898,색인!$J$25:$K$29,2,FALSE)</f>
        <v>T1_2옵션_장신구</v>
      </c>
      <c r="AZ898" s="39">
        <f>VLOOKUP(G898,색인!$J$32:$K$45,2,FALSE)</f>
        <v>2</v>
      </c>
      <c r="BA898" s="39" t="str">
        <f>_xlfn.IFNA(VLOOKUP(AY898,표1[[검색용]:[OptionGroupIndex'[']22]],EquipItemTable!AZ898,FALSE),"옵션고정안함")</f>
        <v>1231</v>
      </c>
    </row>
    <row r="899" spans="1:53" ht="12" customHeight="1" x14ac:dyDescent="0.2">
      <c r="A899" s="13" t="s">
        <v>464</v>
      </c>
      <c r="B899" s="39">
        <v>55004</v>
      </c>
      <c r="C899" s="42" t="s">
        <v>3596</v>
      </c>
      <c r="D899" s="10" t="s">
        <v>81</v>
      </c>
      <c r="E899" s="10" t="s">
        <v>0</v>
      </c>
      <c r="F899" s="1" t="s">
        <v>471</v>
      </c>
      <c r="G899" s="1" t="s">
        <v>1310</v>
      </c>
      <c r="H899" s="1"/>
      <c r="I899" s="1"/>
      <c r="J899" s="1"/>
      <c r="K899" s="1"/>
      <c r="L899" s="1"/>
      <c r="M899" s="1"/>
      <c r="O899" s="12" t="s">
        <v>428</v>
      </c>
      <c r="P899" s="1">
        <v>1</v>
      </c>
      <c r="Q899" s="1"/>
      <c r="R899" s="1"/>
      <c r="S899" s="1"/>
      <c r="T899" s="1"/>
      <c r="U899" s="1"/>
      <c r="V899" s="1"/>
      <c r="W899" s="1">
        <v>204</v>
      </c>
      <c r="X899" s="1">
        <f t="shared" si="110"/>
        <v>204</v>
      </c>
      <c r="Y899" s="1"/>
      <c r="Z899" s="1"/>
      <c r="AA899" s="1"/>
      <c r="AB899" s="11"/>
      <c r="AC899" s="82"/>
      <c r="AE899" s="39" t="str">
        <f t="shared" si="111"/>
        <v>1331</v>
      </c>
      <c r="AG899" s="23"/>
      <c r="AH899" s="23"/>
      <c r="AN899" s="12"/>
      <c r="AR899" s="34" t="s">
        <v>543</v>
      </c>
      <c r="AS899" s="34" t="s">
        <v>543</v>
      </c>
      <c r="AU899" s="12" t="s">
        <v>1935</v>
      </c>
      <c r="AV899" s="13"/>
      <c r="AW899" s="39">
        <v>4</v>
      </c>
      <c r="AX899" s="12">
        <f>VLOOKUP(AW899,색인!$N$14:$O$19,2,FALSE)</f>
        <v>3</v>
      </c>
      <c r="AY899" s="39" t="str">
        <f>"T"&amp;O899&amp;"_"&amp;AX899&amp;"옵션_"&amp;VLOOKUP(E899,색인!$J$25:$K$29,2,FALSE)</f>
        <v>T1_3옵션_장신구</v>
      </c>
      <c r="AZ899" s="39">
        <f>VLOOKUP(G899,색인!$J$32:$K$45,2,FALSE)</f>
        <v>2</v>
      </c>
      <c r="BA899" s="39" t="str">
        <f>_xlfn.IFNA(VLOOKUP(AY899,표1[[검색용]:[OptionGroupIndex'[']22]],EquipItemTable!AZ899,FALSE),"옵션고정안함")</f>
        <v>1331</v>
      </c>
    </row>
    <row r="900" spans="1:53" ht="12" customHeight="1" x14ac:dyDescent="0.2">
      <c r="A900" s="13" t="s">
        <v>159</v>
      </c>
      <c r="B900" s="39">
        <v>55005</v>
      </c>
      <c r="C900" s="42" t="s">
        <v>25</v>
      </c>
      <c r="D900" s="10" t="s">
        <v>81</v>
      </c>
      <c r="E900" s="10" t="s">
        <v>0</v>
      </c>
      <c r="F900" s="1" t="s">
        <v>93</v>
      </c>
      <c r="G900" s="1" t="s">
        <v>1310</v>
      </c>
      <c r="H900" s="1"/>
      <c r="I900" s="1"/>
      <c r="J900" s="1"/>
      <c r="K900" s="1"/>
      <c r="L900" s="1"/>
      <c r="M900" s="1"/>
      <c r="O900" s="12" t="s">
        <v>95</v>
      </c>
      <c r="P900" s="1">
        <v>21</v>
      </c>
      <c r="Q900" s="1"/>
      <c r="R900" s="1"/>
      <c r="S900" s="1"/>
      <c r="T900" s="1"/>
      <c r="U900" s="1"/>
      <c r="V900" s="1"/>
      <c r="W900" s="1">
        <v>235</v>
      </c>
      <c r="X900" s="1">
        <f t="shared" si="110"/>
        <v>235</v>
      </c>
      <c r="Y900" s="1"/>
      <c r="Z900" s="1"/>
      <c r="AA900" s="1"/>
      <c r="AB900" s="11"/>
      <c r="AC900" s="82"/>
      <c r="AD900" s="12" t="s">
        <v>52</v>
      </c>
      <c r="AE900" s="12" t="s">
        <v>550</v>
      </c>
      <c r="AG900" s="23"/>
      <c r="AH900" s="23"/>
      <c r="AN900" s="12"/>
      <c r="AU900" s="12" t="s">
        <v>1932</v>
      </c>
      <c r="AV900" s="13" t="s">
        <v>27</v>
      </c>
      <c r="AW900" s="39">
        <v>1</v>
      </c>
      <c r="AY900" s="32"/>
      <c r="AZ900" s="32"/>
      <c r="BA900" s="32"/>
    </row>
    <row r="901" spans="1:53" ht="12" customHeight="1" x14ac:dyDescent="0.2">
      <c r="A901" s="13" t="s">
        <v>160</v>
      </c>
      <c r="B901" s="39">
        <v>55006</v>
      </c>
      <c r="C901" s="42" t="s">
        <v>3597</v>
      </c>
      <c r="D901" s="10" t="s">
        <v>81</v>
      </c>
      <c r="E901" s="10" t="s">
        <v>0</v>
      </c>
      <c r="F901" s="1" t="s">
        <v>93</v>
      </c>
      <c r="G901" s="1" t="s">
        <v>1310</v>
      </c>
      <c r="H901" s="1"/>
      <c r="I901" s="1"/>
      <c r="J901" s="1"/>
      <c r="K901" s="1"/>
      <c r="L901" s="1"/>
      <c r="M901" s="1"/>
      <c r="O901" s="12" t="s">
        <v>95</v>
      </c>
      <c r="P901" s="1">
        <v>21</v>
      </c>
      <c r="Q901" s="1"/>
      <c r="R901" s="1"/>
      <c r="S901" s="1"/>
      <c r="T901" s="1"/>
      <c r="U901" s="1"/>
      <c r="V901" s="1"/>
      <c r="W901" s="1">
        <v>307</v>
      </c>
      <c r="X901" s="1">
        <f t="shared" si="110"/>
        <v>307</v>
      </c>
      <c r="Y901" s="1"/>
      <c r="Z901" s="1"/>
      <c r="AA901" s="1"/>
      <c r="AB901" s="11"/>
      <c r="AC901" s="82"/>
      <c r="AD901" s="12" t="s">
        <v>52</v>
      </c>
      <c r="AE901" s="39" t="str">
        <f t="shared" ref="AE901:AE903" si="112">BA901</f>
        <v>2131</v>
      </c>
      <c r="AG901" s="23"/>
      <c r="AH901" s="23"/>
      <c r="AN901" s="12"/>
      <c r="AU901" s="12" t="s">
        <v>1933</v>
      </c>
      <c r="AV901" s="13" t="s">
        <v>28</v>
      </c>
      <c r="AW901" s="39">
        <v>2</v>
      </c>
      <c r="AX901" s="12">
        <f>VLOOKUP(AW901,색인!$N$14:$O$19,2,FALSE)</f>
        <v>1</v>
      </c>
      <c r="AY901" s="39" t="str">
        <f>"T"&amp;O901&amp;"_"&amp;AX901&amp;"옵션_"&amp;VLOOKUP(E901,색인!$J$25:$K$29,2,FALSE)</f>
        <v>T2_1옵션_장신구</v>
      </c>
      <c r="AZ901" s="39">
        <f>VLOOKUP(G901,색인!$J$32:$K$45,2,FALSE)</f>
        <v>2</v>
      </c>
      <c r="BA901" s="39" t="str">
        <f>_xlfn.IFNA(VLOOKUP(AY901,표1[[검색용]:[OptionGroupIndex'[']22]],EquipItemTable!AZ901,FALSE),"옵션고정안함")</f>
        <v>2131</v>
      </c>
    </row>
    <row r="902" spans="1:53" ht="12" customHeight="1" x14ac:dyDescent="0.2">
      <c r="A902" s="13" t="s">
        <v>465</v>
      </c>
      <c r="B902" s="39">
        <v>55007</v>
      </c>
      <c r="C902" s="42" t="s">
        <v>3598</v>
      </c>
      <c r="D902" s="10" t="s">
        <v>81</v>
      </c>
      <c r="E902" s="10" t="s">
        <v>0</v>
      </c>
      <c r="F902" s="1" t="s">
        <v>93</v>
      </c>
      <c r="G902" s="1" t="s">
        <v>1310</v>
      </c>
      <c r="H902" s="1"/>
      <c r="I902" s="1"/>
      <c r="J902" s="1"/>
      <c r="K902" s="1"/>
      <c r="L902" s="1"/>
      <c r="M902" s="1"/>
      <c r="O902" s="12" t="s">
        <v>95</v>
      </c>
      <c r="P902" s="1">
        <v>21</v>
      </c>
      <c r="Q902" s="1"/>
      <c r="R902" s="1"/>
      <c r="S902" s="1"/>
      <c r="T902" s="1"/>
      <c r="U902" s="1"/>
      <c r="V902" s="1"/>
      <c r="W902" s="1">
        <v>380</v>
      </c>
      <c r="X902" s="1">
        <f t="shared" si="110"/>
        <v>380</v>
      </c>
      <c r="Y902" s="1"/>
      <c r="Z902" s="1"/>
      <c r="AA902" s="1"/>
      <c r="AB902" s="11"/>
      <c r="AC902" s="82"/>
      <c r="AD902" s="12" t="s">
        <v>52</v>
      </c>
      <c r="AE902" s="39" t="str">
        <f t="shared" si="112"/>
        <v>2231</v>
      </c>
      <c r="AG902" s="23"/>
      <c r="AH902" s="23"/>
      <c r="AN902" s="12"/>
      <c r="AR902" s="34" t="s">
        <v>94</v>
      </c>
      <c r="AS902" s="34" t="s">
        <v>94</v>
      </c>
      <c r="AU902" s="12" t="s">
        <v>1934</v>
      </c>
      <c r="AV902" s="13" t="s">
        <v>29</v>
      </c>
      <c r="AW902" s="39">
        <v>3</v>
      </c>
      <c r="AX902" s="12">
        <f>VLOOKUP(AW902,색인!$N$14:$O$19,2,FALSE)</f>
        <v>2</v>
      </c>
      <c r="AY902" s="39" t="str">
        <f>"T"&amp;O902&amp;"_"&amp;AX902&amp;"옵션_"&amp;VLOOKUP(E902,색인!$J$25:$K$29,2,FALSE)</f>
        <v>T2_2옵션_장신구</v>
      </c>
      <c r="AZ902" s="39">
        <f>VLOOKUP(G902,색인!$J$32:$K$45,2,FALSE)</f>
        <v>2</v>
      </c>
      <c r="BA902" s="39" t="str">
        <f>_xlfn.IFNA(VLOOKUP(AY902,표1[[검색용]:[OptionGroupIndex'[']22]],EquipItemTable!AZ902,FALSE),"옵션고정안함")</f>
        <v>2231</v>
      </c>
    </row>
    <row r="903" spans="1:53" ht="12" customHeight="1" x14ac:dyDescent="0.2">
      <c r="A903" s="13" t="s">
        <v>466</v>
      </c>
      <c r="B903" s="39">
        <v>55008</v>
      </c>
      <c r="C903" s="42" t="s">
        <v>3599</v>
      </c>
      <c r="D903" s="10" t="s">
        <v>81</v>
      </c>
      <c r="E903" s="10" t="s">
        <v>0</v>
      </c>
      <c r="F903" s="1" t="s">
        <v>471</v>
      </c>
      <c r="G903" s="1" t="s">
        <v>1310</v>
      </c>
      <c r="H903" s="1"/>
      <c r="I903" s="1"/>
      <c r="J903" s="1"/>
      <c r="K903" s="1"/>
      <c r="L903" s="1"/>
      <c r="M903" s="1"/>
      <c r="O903" s="12" t="s">
        <v>429</v>
      </c>
      <c r="P903" s="1">
        <v>21</v>
      </c>
      <c r="Q903" s="1"/>
      <c r="R903" s="1"/>
      <c r="S903" s="1"/>
      <c r="T903" s="1"/>
      <c r="U903" s="1"/>
      <c r="V903" s="1"/>
      <c r="W903" s="1">
        <v>463</v>
      </c>
      <c r="X903" s="1">
        <f t="shared" si="110"/>
        <v>463</v>
      </c>
      <c r="Y903" s="1"/>
      <c r="Z903" s="1"/>
      <c r="AA903" s="1"/>
      <c r="AB903" s="11"/>
      <c r="AC903" s="82"/>
      <c r="AE903" s="39" t="str">
        <f t="shared" si="112"/>
        <v>2331</v>
      </c>
      <c r="AG903" s="23"/>
      <c r="AH903" s="23"/>
      <c r="AN903" s="12"/>
      <c r="AR903" s="34" t="s">
        <v>543</v>
      </c>
      <c r="AS903" s="34" t="s">
        <v>543</v>
      </c>
      <c r="AU903" s="12" t="s">
        <v>1935</v>
      </c>
      <c r="AV903" s="13"/>
      <c r="AW903" s="39">
        <v>4</v>
      </c>
      <c r="AX903" s="12">
        <f>VLOOKUP(AW903,색인!$N$14:$O$19,2,FALSE)</f>
        <v>3</v>
      </c>
      <c r="AY903" s="39" t="str">
        <f>"T"&amp;O903&amp;"_"&amp;AX903&amp;"옵션_"&amp;VLOOKUP(E903,색인!$J$25:$K$29,2,FALSE)</f>
        <v>T2_3옵션_장신구</v>
      </c>
      <c r="AZ903" s="39">
        <f>VLOOKUP(G903,색인!$J$32:$K$45,2,FALSE)</f>
        <v>2</v>
      </c>
      <c r="BA903" s="39" t="str">
        <f>_xlfn.IFNA(VLOOKUP(AY903,표1[[검색용]:[OptionGroupIndex'[']22]],EquipItemTable!AZ903,FALSE),"옵션고정안함")</f>
        <v>2331</v>
      </c>
    </row>
    <row r="904" spans="1:53" ht="12" customHeight="1" x14ac:dyDescent="0.2">
      <c r="A904" s="13" t="s">
        <v>161</v>
      </c>
      <c r="B904" s="39">
        <v>55009</v>
      </c>
      <c r="C904" s="42" t="s">
        <v>28</v>
      </c>
      <c r="D904" s="10" t="s">
        <v>81</v>
      </c>
      <c r="E904" s="10" t="s">
        <v>0</v>
      </c>
      <c r="F904" s="1" t="s">
        <v>93</v>
      </c>
      <c r="G904" s="1" t="s">
        <v>1310</v>
      </c>
      <c r="H904" s="1"/>
      <c r="I904" s="1"/>
      <c r="J904" s="1"/>
      <c r="K904" s="1"/>
      <c r="L904" s="1"/>
      <c r="M904" s="1"/>
      <c r="N904" s="81"/>
      <c r="O904" s="12" t="s">
        <v>96</v>
      </c>
      <c r="P904" s="1">
        <v>31</v>
      </c>
      <c r="Q904" s="13"/>
      <c r="R904" s="13"/>
      <c r="S904" s="13"/>
      <c r="T904" s="13"/>
      <c r="U904" s="13"/>
      <c r="V904" s="1"/>
      <c r="W904" s="1">
        <v>530</v>
      </c>
      <c r="X904" s="1">
        <f t="shared" si="110"/>
        <v>530</v>
      </c>
      <c r="Y904" s="13"/>
      <c r="Z904" s="13"/>
      <c r="AA904" s="13"/>
      <c r="AB904" s="13"/>
      <c r="AC904" s="82"/>
      <c r="AD904" s="23" t="s">
        <v>52</v>
      </c>
      <c r="AE904" s="23">
        <v>3</v>
      </c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81"/>
      <c r="AR904" s="83"/>
      <c r="AS904" s="83"/>
      <c r="AT904" s="81"/>
      <c r="AU904" s="12" t="s">
        <v>1932</v>
      </c>
      <c r="AV904" s="13"/>
      <c r="AW904" s="39">
        <v>1</v>
      </c>
      <c r="AY904" s="32"/>
      <c r="AZ904" s="32"/>
      <c r="BA904" s="32"/>
    </row>
    <row r="905" spans="1:53" ht="12" customHeight="1" x14ac:dyDescent="0.2">
      <c r="A905" s="13" t="s">
        <v>162</v>
      </c>
      <c r="B905" s="39">
        <v>55010</v>
      </c>
      <c r="C905" s="42" t="s">
        <v>29</v>
      </c>
      <c r="D905" s="10" t="s">
        <v>81</v>
      </c>
      <c r="E905" s="10" t="s">
        <v>0</v>
      </c>
      <c r="F905" s="1" t="s">
        <v>93</v>
      </c>
      <c r="G905" s="1" t="s">
        <v>1310</v>
      </c>
      <c r="H905" s="1"/>
      <c r="I905" s="1"/>
      <c r="J905" s="1"/>
      <c r="K905" s="1"/>
      <c r="L905" s="1"/>
      <c r="M905" s="1"/>
      <c r="N905" s="81"/>
      <c r="O905" s="12" t="s">
        <v>96</v>
      </c>
      <c r="P905" s="1">
        <v>31</v>
      </c>
      <c r="Q905" s="13"/>
      <c r="R905" s="13"/>
      <c r="S905" s="13"/>
      <c r="T905" s="13"/>
      <c r="U905" s="13"/>
      <c r="V905" s="1"/>
      <c r="W905" s="1">
        <v>671</v>
      </c>
      <c r="X905" s="1">
        <f t="shared" si="110"/>
        <v>671</v>
      </c>
      <c r="Y905" s="13"/>
      <c r="Z905" s="13"/>
      <c r="AA905" s="13"/>
      <c r="AB905" s="13"/>
      <c r="AC905" s="82"/>
      <c r="AD905" s="23" t="s">
        <v>52</v>
      </c>
      <c r="AE905" s="90" t="str">
        <f t="shared" ref="AE905:AE907" si="113">BA905</f>
        <v>3131</v>
      </c>
      <c r="AF905" s="23"/>
      <c r="AI905" s="23"/>
      <c r="AJ905" s="23"/>
      <c r="AK905" s="23"/>
      <c r="AL905" s="23"/>
      <c r="AM905" s="23"/>
      <c r="AN905" s="23"/>
      <c r="AO905" s="23"/>
      <c r="AP905" s="23"/>
      <c r="AQ905" s="81"/>
      <c r="AR905" s="83"/>
      <c r="AS905" s="83"/>
      <c r="AT905" s="81"/>
      <c r="AU905" s="12" t="s">
        <v>1933</v>
      </c>
      <c r="AV905" s="13" t="s">
        <v>30</v>
      </c>
      <c r="AW905" s="39">
        <v>2</v>
      </c>
      <c r="AX905" s="12">
        <f>VLOOKUP(AW905,색인!$N$14:$O$19,2,FALSE)</f>
        <v>1</v>
      </c>
      <c r="AY905" s="39" t="str">
        <f>"T"&amp;O905&amp;"_"&amp;AX905&amp;"옵션_"&amp;VLOOKUP(E905,색인!$J$25:$K$29,2,FALSE)</f>
        <v>T3_1옵션_장신구</v>
      </c>
      <c r="AZ905" s="39">
        <f>VLOOKUP(G905,색인!$J$32:$K$45,2,FALSE)</f>
        <v>2</v>
      </c>
      <c r="BA905" s="39" t="str">
        <f>_xlfn.IFNA(VLOOKUP(AY905,표1[[검색용]:[OptionGroupIndex'[']22]],EquipItemTable!AZ905,FALSE),"옵션고정안함")</f>
        <v>3131</v>
      </c>
    </row>
    <row r="906" spans="1:53" ht="12" customHeight="1" x14ac:dyDescent="0.2">
      <c r="A906" s="13" t="s">
        <v>163</v>
      </c>
      <c r="B906" s="39">
        <v>55011</v>
      </c>
      <c r="C906" s="42" t="s">
        <v>27</v>
      </c>
      <c r="D906" s="10" t="s">
        <v>81</v>
      </c>
      <c r="E906" s="10" t="s">
        <v>0</v>
      </c>
      <c r="F906" s="1" t="s">
        <v>93</v>
      </c>
      <c r="G906" s="1" t="s">
        <v>1310</v>
      </c>
      <c r="H906" s="1"/>
      <c r="I906" s="1"/>
      <c r="J906" s="1"/>
      <c r="K906" s="1"/>
      <c r="L906" s="1"/>
      <c r="M906" s="1"/>
      <c r="N906" s="81"/>
      <c r="O906" s="12" t="s">
        <v>96</v>
      </c>
      <c r="P906" s="1">
        <v>31</v>
      </c>
      <c r="Q906" s="13"/>
      <c r="R906" s="13"/>
      <c r="S906" s="13"/>
      <c r="T906" s="13"/>
      <c r="U906" s="13"/>
      <c r="V906" s="1"/>
      <c r="W906" s="1">
        <v>803</v>
      </c>
      <c r="X906" s="1">
        <f t="shared" si="110"/>
        <v>803</v>
      </c>
      <c r="Y906" s="13"/>
      <c r="Z906" s="13"/>
      <c r="AA906" s="13"/>
      <c r="AB906" s="13"/>
      <c r="AC906" s="82"/>
      <c r="AD906" s="23" t="s">
        <v>52</v>
      </c>
      <c r="AE906" s="90" t="str">
        <f t="shared" si="113"/>
        <v>3231</v>
      </c>
      <c r="AF906" s="23"/>
      <c r="AI906" s="23"/>
      <c r="AJ906" s="23"/>
      <c r="AK906" s="23"/>
      <c r="AL906" s="23"/>
      <c r="AM906" s="23"/>
      <c r="AN906" s="23"/>
      <c r="AO906" s="23"/>
      <c r="AP906" s="23"/>
      <c r="AQ906" s="81"/>
      <c r="AR906" s="83">
        <v>1</v>
      </c>
      <c r="AS906" s="83">
        <v>1</v>
      </c>
      <c r="AT906" s="81"/>
      <c r="AU906" s="12" t="s">
        <v>1934</v>
      </c>
      <c r="AV906" s="13"/>
      <c r="AW906" s="39">
        <v>3</v>
      </c>
      <c r="AX906" s="12">
        <f>VLOOKUP(AW906,색인!$N$14:$O$19,2,FALSE)</f>
        <v>2</v>
      </c>
      <c r="AY906" s="39" t="str">
        <f>"T"&amp;O906&amp;"_"&amp;AX906&amp;"옵션_"&amp;VLOOKUP(E906,색인!$J$25:$K$29,2,FALSE)</f>
        <v>T3_2옵션_장신구</v>
      </c>
      <c r="AZ906" s="39">
        <f>VLOOKUP(G906,색인!$J$32:$K$45,2,FALSE)</f>
        <v>2</v>
      </c>
      <c r="BA906" s="39" t="str">
        <f>_xlfn.IFNA(VLOOKUP(AY906,표1[[검색용]:[OptionGroupIndex'[']22]],EquipItemTable!AZ906,FALSE),"옵션고정안함")</f>
        <v>3231</v>
      </c>
    </row>
    <row r="907" spans="1:53" ht="12" customHeight="1" x14ac:dyDescent="0.2">
      <c r="A907" s="13" t="s">
        <v>164</v>
      </c>
      <c r="B907" s="39">
        <v>55012</v>
      </c>
      <c r="C907" s="42" t="s">
        <v>3600</v>
      </c>
      <c r="D907" s="10" t="s">
        <v>81</v>
      </c>
      <c r="E907" s="10" t="s">
        <v>0</v>
      </c>
      <c r="F907" s="1" t="s">
        <v>93</v>
      </c>
      <c r="G907" s="1" t="s">
        <v>1310</v>
      </c>
      <c r="H907" s="1"/>
      <c r="I907" s="1"/>
      <c r="J907" s="1"/>
      <c r="K907" s="1"/>
      <c r="L907" s="1"/>
      <c r="M907" s="1"/>
      <c r="N907" s="81"/>
      <c r="O907" s="12" t="s">
        <v>96</v>
      </c>
      <c r="P907" s="1">
        <v>31</v>
      </c>
      <c r="Q907" s="13"/>
      <c r="R907" s="13"/>
      <c r="S907" s="13"/>
      <c r="T907" s="13"/>
      <c r="U907" s="13"/>
      <c r="V907" s="1"/>
      <c r="W907" s="1">
        <v>953</v>
      </c>
      <c r="X907" s="1">
        <f t="shared" si="110"/>
        <v>953</v>
      </c>
      <c r="Y907" s="13"/>
      <c r="Z907" s="13"/>
      <c r="AA907" s="13"/>
      <c r="AB907" s="13"/>
      <c r="AC907" s="82"/>
      <c r="AD907" s="23" t="s">
        <v>52</v>
      </c>
      <c r="AE907" s="90" t="str">
        <f t="shared" si="113"/>
        <v>3331</v>
      </c>
      <c r="AF907" s="23"/>
      <c r="AI907" s="23"/>
      <c r="AJ907" s="23"/>
      <c r="AK907" s="23"/>
      <c r="AL907" s="23"/>
      <c r="AM907" s="23"/>
      <c r="AN907" s="23"/>
      <c r="AO907" s="23"/>
      <c r="AP907" s="23"/>
      <c r="AQ907" s="81"/>
      <c r="AR907" s="83">
        <v>1</v>
      </c>
      <c r="AS907" s="83">
        <v>1</v>
      </c>
      <c r="AT907" s="81"/>
      <c r="AU907" s="12" t="s">
        <v>1935</v>
      </c>
      <c r="AV907" s="13"/>
      <c r="AW907" s="39">
        <v>4</v>
      </c>
      <c r="AX907" s="12">
        <f>VLOOKUP(AW907,색인!$N$14:$O$19,2,FALSE)</f>
        <v>3</v>
      </c>
      <c r="AY907" s="39" t="str">
        <f>"T"&amp;O907&amp;"_"&amp;AX907&amp;"옵션_"&amp;VLOOKUP(E907,색인!$J$25:$K$29,2,FALSE)</f>
        <v>T3_3옵션_장신구</v>
      </c>
      <c r="AZ907" s="39">
        <f>VLOOKUP(G907,색인!$J$32:$K$45,2,FALSE)</f>
        <v>2</v>
      </c>
      <c r="BA907" s="39" t="str">
        <f>_xlfn.IFNA(VLOOKUP(AY907,표1[[검색용]:[OptionGroupIndex'[']22]],EquipItemTable!AZ907,FALSE),"옵션고정안함")</f>
        <v>3331</v>
      </c>
    </row>
    <row r="908" spans="1:53" ht="14.1" customHeight="1" x14ac:dyDescent="0.2">
      <c r="A908" s="13" t="s">
        <v>571</v>
      </c>
      <c r="B908" s="39">
        <v>55031</v>
      </c>
      <c r="C908" s="42" t="s">
        <v>3601</v>
      </c>
      <c r="D908" s="10" t="s">
        <v>81</v>
      </c>
      <c r="E908" s="10" t="s">
        <v>0</v>
      </c>
      <c r="F908" s="1" t="s">
        <v>93</v>
      </c>
      <c r="G908" s="1" t="s">
        <v>1310</v>
      </c>
      <c r="H908" s="1"/>
      <c r="I908" s="1"/>
      <c r="J908" s="1"/>
      <c r="K908" s="1"/>
      <c r="L908" s="1"/>
      <c r="M908" s="1"/>
      <c r="N908" s="81"/>
      <c r="O908" s="12" t="s">
        <v>96</v>
      </c>
      <c r="P908" s="1">
        <v>31</v>
      </c>
      <c r="Q908" s="13"/>
      <c r="R908" s="13"/>
      <c r="S908" s="13"/>
      <c r="T908" s="13"/>
      <c r="U908" s="13"/>
      <c r="V908" s="1"/>
      <c r="W908" s="1">
        <v>1126</v>
      </c>
      <c r="X908" s="1">
        <f t="shared" si="110"/>
        <v>1126</v>
      </c>
      <c r="Y908" s="13"/>
      <c r="Z908" s="13"/>
      <c r="AA908" s="13"/>
      <c r="AB908" s="13"/>
      <c r="AC908" s="82"/>
      <c r="AD908" s="23" t="s">
        <v>52</v>
      </c>
      <c r="AE908" s="23">
        <v>3</v>
      </c>
      <c r="AF908" s="23"/>
      <c r="AI908" s="23"/>
      <c r="AJ908" s="23"/>
      <c r="AK908" s="23"/>
      <c r="AL908" s="23"/>
      <c r="AM908" s="23"/>
      <c r="AN908" s="23">
        <v>1</v>
      </c>
      <c r="AO908" s="23"/>
      <c r="AP908" s="23"/>
      <c r="AQ908" s="81"/>
      <c r="AR908" s="83">
        <v>1</v>
      </c>
      <c r="AS908" s="83">
        <v>1</v>
      </c>
      <c r="AT908" s="81"/>
      <c r="AU908" s="12" t="s">
        <v>1936</v>
      </c>
      <c r="AV908" s="13"/>
      <c r="AW908" s="39">
        <v>6</v>
      </c>
      <c r="AX908" s="12">
        <f>VLOOKUP(AW908,색인!$N$14:$O$19,2,FALSE)</f>
        <v>4</v>
      </c>
      <c r="AY908" s="32" t="str">
        <f>"T"&amp;O908&amp;"_"&amp;AX908&amp;"옵션_"&amp;VLOOKUP(E908,색인!$J$25:$K$29,2,FALSE)</f>
        <v>T3_4옵션_장신구</v>
      </c>
      <c r="AZ908" s="32">
        <f>VLOOKUP(G908,색인!$J$32:$K$45,2,FALSE)</f>
        <v>2</v>
      </c>
      <c r="BA908" s="32" t="str">
        <f>_xlfn.IFNA(VLOOKUP(AY908,표1[[검색용]:[OptionGroupIndex'[']22]],EquipItemTable!AZ908,FALSE),"옵션고정안함")</f>
        <v>옵션고정안함</v>
      </c>
    </row>
    <row r="909" spans="1:53" ht="14.1" customHeight="1" x14ac:dyDescent="0.2">
      <c r="A909" s="13" t="s">
        <v>1030</v>
      </c>
      <c r="B909" s="39">
        <v>55029</v>
      </c>
      <c r="C909" s="42" t="s">
        <v>3602</v>
      </c>
      <c r="D909" s="10" t="s">
        <v>81</v>
      </c>
      <c r="E909" s="10" t="s">
        <v>0</v>
      </c>
      <c r="F909" s="1" t="s">
        <v>93</v>
      </c>
      <c r="G909" s="1" t="s">
        <v>1310</v>
      </c>
      <c r="H909" s="1"/>
      <c r="I909" s="1"/>
      <c r="J909" s="1"/>
      <c r="K909" s="1"/>
      <c r="L909" s="1"/>
      <c r="M909" s="1"/>
      <c r="N909" s="81"/>
      <c r="O909" s="12" t="s">
        <v>96</v>
      </c>
      <c r="P909" s="1">
        <v>31</v>
      </c>
      <c r="Q909" s="13"/>
      <c r="R909" s="13"/>
      <c r="S909" s="13"/>
      <c r="T909" s="13"/>
      <c r="U909" s="13"/>
      <c r="V909" s="1"/>
      <c r="W909" s="1">
        <v>1126</v>
      </c>
      <c r="X909" s="1">
        <f t="shared" ref="X909:X911" si="114">W909</f>
        <v>1126</v>
      </c>
      <c r="Y909" s="13"/>
      <c r="Z909" s="13"/>
      <c r="AA909" s="13"/>
      <c r="AB909" s="13"/>
      <c r="AC909" s="82"/>
      <c r="AD909" s="23" t="s">
        <v>52</v>
      </c>
      <c r="AE909" s="23">
        <v>3</v>
      </c>
      <c r="AF909" s="23"/>
      <c r="AI909" s="23"/>
      <c r="AJ909" s="23"/>
      <c r="AK909" s="23"/>
      <c r="AL909" s="23"/>
      <c r="AM909" s="23"/>
      <c r="AN909" s="23">
        <v>2</v>
      </c>
      <c r="AO909" s="23"/>
      <c r="AP909" s="23"/>
      <c r="AQ909" s="81"/>
      <c r="AR909" s="83">
        <v>1</v>
      </c>
      <c r="AS909" s="83">
        <v>1</v>
      </c>
      <c r="AT909" s="81"/>
      <c r="AU909" s="12" t="s">
        <v>1936</v>
      </c>
      <c r="AV909" s="13"/>
      <c r="AW909" s="39">
        <v>6</v>
      </c>
      <c r="AX909" s="12">
        <f>VLOOKUP(AW909,색인!$N$14:$O$19,2,FALSE)</f>
        <v>4</v>
      </c>
      <c r="AY909" s="32" t="str">
        <f>"T"&amp;O909&amp;"_"&amp;AX909&amp;"옵션_"&amp;VLOOKUP(E909,색인!$J$25:$K$29,2,FALSE)</f>
        <v>T3_4옵션_장신구</v>
      </c>
      <c r="AZ909" s="32">
        <f>VLOOKUP(G909,색인!$J$32:$K$45,2,FALSE)</f>
        <v>2</v>
      </c>
      <c r="BA909" s="32" t="str">
        <f>_xlfn.IFNA(VLOOKUP(AY909,표1[[검색용]:[OptionGroupIndex'[']22]],EquipItemTable!AZ909,FALSE),"옵션고정안함")</f>
        <v>옵션고정안함</v>
      </c>
    </row>
    <row r="910" spans="1:53" ht="14.1" customHeight="1" x14ac:dyDescent="0.2">
      <c r="A910" s="13" t="s">
        <v>1031</v>
      </c>
      <c r="B910" s="39">
        <v>55030</v>
      </c>
      <c r="C910" s="42" t="s">
        <v>3603</v>
      </c>
      <c r="D910" s="10" t="s">
        <v>81</v>
      </c>
      <c r="E910" s="10" t="s">
        <v>0</v>
      </c>
      <c r="F910" s="1" t="s">
        <v>93</v>
      </c>
      <c r="G910" s="1" t="s">
        <v>1310</v>
      </c>
      <c r="H910" s="1"/>
      <c r="I910" s="1"/>
      <c r="J910" s="1"/>
      <c r="K910" s="1"/>
      <c r="L910" s="1"/>
      <c r="M910" s="1"/>
      <c r="N910" s="81"/>
      <c r="O910" s="12" t="s">
        <v>96</v>
      </c>
      <c r="P910" s="1">
        <v>31</v>
      </c>
      <c r="Q910" s="13"/>
      <c r="R910" s="13"/>
      <c r="S910" s="13"/>
      <c r="T910" s="13"/>
      <c r="U910" s="13"/>
      <c r="V910" s="1"/>
      <c r="W910" s="1">
        <v>1126</v>
      </c>
      <c r="X910" s="1">
        <f t="shared" si="114"/>
        <v>1126</v>
      </c>
      <c r="Y910" s="13"/>
      <c r="Z910" s="13"/>
      <c r="AA910" s="13"/>
      <c r="AB910" s="13"/>
      <c r="AC910" s="82"/>
      <c r="AD910" s="23" t="s">
        <v>52</v>
      </c>
      <c r="AE910" s="23">
        <v>3</v>
      </c>
      <c r="AF910" s="23"/>
      <c r="AI910" s="23"/>
      <c r="AJ910" s="23"/>
      <c r="AK910" s="23"/>
      <c r="AL910" s="23"/>
      <c r="AM910" s="23"/>
      <c r="AN910" s="23">
        <v>3</v>
      </c>
      <c r="AO910" s="23"/>
      <c r="AP910" s="23"/>
      <c r="AQ910" s="81"/>
      <c r="AR910" s="83">
        <v>1</v>
      </c>
      <c r="AS910" s="83">
        <v>1</v>
      </c>
      <c r="AT910" s="81"/>
      <c r="AU910" s="12" t="s">
        <v>1936</v>
      </c>
      <c r="AV910" s="13"/>
      <c r="AW910" s="39">
        <v>6</v>
      </c>
      <c r="AX910" s="12">
        <f>VLOOKUP(AW910,색인!$N$14:$O$19,2,FALSE)</f>
        <v>4</v>
      </c>
      <c r="AY910" s="32" t="str">
        <f>"T"&amp;O910&amp;"_"&amp;AX910&amp;"옵션_"&amp;VLOOKUP(E910,색인!$J$25:$K$29,2,FALSE)</f>
        <v>T3_4옵션_장신구</v>
      </c>
      <c r="AZ910" s="32">
        <f>VLOOKUP(G910,색인!$J$32:$K$45,2,FALSE)</f>
        <v>2</v>
      </c>
      <c r="BA910" s="32" t="str">
        <f>_xlfn.IFNA(VLOOKUP(AY910,표1[[검색용]:[OptionGroupIndex'[']22]],EquipItemTable!AZ910,FALSE),"옵션고정안함")</f>
        <v>옵션고정안함</v>
      </c>
    </row>
    <row r="911" spans="1:53" ht="14.1" customHeight="1" x14ac:dyDescent="0.2">
      <c r="A911" s="13" t="s">
        <v>1032</v>
      </c>
      <c r="B911" s="39">
        <v>55021</v>
      </c>
      <c r="C911" s="42" t="s">
        <v>3604</v>
      </c>
      <c r="D911" s="10" t="s">
        <v>81</v>
      </c>
      <c r="E911" s="10" t="s">
        <v>0</v>
      </c>
      <c r="F911" s="1" t="s">
        <v>93</v>
      </c>
      <c r="G911" s="1" t="s">
        <v>1310</v>
      </c>
      <c r="H911" s="1"/>
      <c r="I911" s="1"/>
      <c r="J911" s="1"/>
      <c r="K911" s="1"/>
      <c r="L911" s="1"/>
      <c r="M911" s="1"/>
      <c r="N911" s="81"/>
      <c r="O911" s="12" t="s">
        <v>96</v>
      </c>
      <c r="P911" s="1">
        <v>31</v>
      </c>
      <c r="Q911" s="13"/>
      <c r="R911" s="13"/>
      <c r="S911" s="13"/>
      <c r="T911" s="13"/>
      <c r="U911" s="13"/>
      <c r="V911" s="1"/>
      <c r="W911" s="1">
        <v>1126</v>
      </c>
      <c r="X911" s="1">
        <f t="shared" si="114"/>
        <v>1126</v>
      </c>
      <c r="Y911" s="13"/>
      <c r="Z911" s="13"/>
      <c r="AA911" s="13"/>
      <c r="AB911" s="13"/>
      <c r="AC911" s="82"/>
      <c r="AD911" s="23" t="s">
        <v>52</v>
      </c>
      <c r="AE911" s="23">
        <v>3</v>
      </c>
      <c r="AF911" s="23"/>
      <c r="AI911" s="23"/>
      <c r="AJ911" s="23"/>
      <c r="AK911" s="23"/>
      <c r="AL911" s="23"/>
      <c r="AM911" s="23"/>
      <c r="AN911" s="23">
        <v>4</v>
      </c>
      <c r="AO911" s="23"/>
      <c r="AP911" s="23"/>
      <c r="AQ911" s="81"/>
      <c r="AR911" s="83">
        <v>1</v>
      </c>
      <c r="AS911" s="83">
        <v>1</v>
      </c>
      <c r="AT911" s="81"/>
      <c r="AU911" s="12" t="s">
        <v>1936</v>
      </c>
      <c r="AV911" s="13"/>
      <c r="AW911" s="39">
        <v>6</v>
      </c>
      <c r="AX911" s="12">
        <f>VLOOKUP(AW911,색인!$N$14:$O$19,2,FALSE)</f>
        <v>4</v>
      </c>
      <c r="AY911" s="32" t="str">
        <f>"T"&amp;O911&amp;"_"&amp;AX911&amp;"옵션_"&amp;VLOOKUP(E911,색인!$J$25:$K$29,2,FALSE)</f>
        <v>T3_4옵션_장신구</v>
      </c>
      <c r="AZ911" s="32">
        <f>VLOOKUP(G911,색인!$J$32:$K$45,2,FALSE)</f>
        <v>2</v>
      </c>
      <c r="BA911" s="32" t="str">
        <f>_xlfn.IFNA(VLOOKUP(AY911,표1[[검색용]:[OptionGroupIndex'[']22]],EquipItemTable!AZ911,FALSE),"옵션고정안함")</f>
        <v>옵션고정안함</v>
      </c>
    </row>
    <row r="912" spans="1:53" ht="12" customHeight="1" x14ac:dyDescent="0.2">
      <c r="A912" s="13" t="s">
        <v>165</v>
      </c>
      <c r="B912" s="39">
        <v>55013</v>
      </c>
      <c r="C912" s="42" t="s">
        <v>3605</v>
      </c>
      <c r="D912" s="10" t="s">
        <v>81</v>
      </c>
      <c r="E912" s="10" t="s">
        <v>0</v>
      </c>
      <c r="F912" s="1" t="s">
        <v>93</v>
      </c>
      <c r="G912" s="1" t="s">
        <v>1310</v>
      </c>
      <c r="H912" s="1"/>
      <c r="I912" s="1"/>
      <c r="J912" s="1"/>
      <c r="K912" s="1"/>
      <c r="L912" s="1"/>
      <c r="M912" s="1"/>
      <c r="N912" s="81"/>
      <c r="O912" s="12" t="s">
        <v>97</v>
      </c>
      <c r="P912" s="1">
        <v>41</v>
      </c>
      <c r="Q912" s="13"/>
      <c r="R912" s="13"/>
      <c r="S912" s="13"/>
      <c r="T912" s="13"/>
      <c r="U912" s="13"/>
      <c r="V912" s="1"/>
      <c r="W912" s="1">
        <v>1096</v>
      </c>
      <c r="X912" s="1">
        <f t="shared" si="110"/>
        <v>1096</v>
      </c>
      <c r="Y912" s="13"/>
      <c r="Z912" s="13"/>
      <c r="AA912" s="13"/>
      <c r="AB912" s="13"/>
      <c r="AC912" s="82"/>
      <c r="AD912" s="23" t="s">
        <v>52</v>
      </c>
      <c r="AE912" s="23">
        <v>4</v>
      </c>
      <c r="AF912" s="23"/>
      <c r="AI912" s="23"/>
      <c r="AJ912" s="23"/>
      <c r="AK912" s="23"/>
      <c r="AL912" s="23"/>
      <c r="AM912" s="23"/>
      <c r="AN912" s="23"/>
      <c r="AO912" s="23"/>
      <c r="AP912" s="23"/>
      <c r="AQ912" s="81"/>
      <c r="AR912" s="83"/>
      <c r="AS912" s="83"/>
      <c r="AT912" s="81"/>
      <c r="AU912" s="12" t="s">
        <v>1932</v>
      </c>
      <c r="AV912" s="13"/>
      <c r="AW912" s="39">
        <v>1</v>
      </c>
      <c r="AY912" s="32"/>
      <c r="AZ912" s="32"/>
      <c r="BA912" s="32"/>
    </row>
    <row r="913" spans="1:53" ht="12" customHeight="1" x14ac:dyDescent="0.2">
      <c r="A913" s="13" t="s">
        <v>166</v>
      </c>
      <c r="B913" s="39">
        <v>55014</v>
      </c>
      <c r="C913" s="42" t="s">
        <v>3606</v>
      </c>
      <c r="D913" s="10" t="s">
        <v>81</v>
      </c>
      <c r="E913" s="10" t="s">
        <v>0</v>
      </c>
      <c r="F913" s="1" t="s">
        <v>93</v>
      </c>
      <c r="G913" s="1" t="s">
        <v>1310</v>
      </c>
      <c r="H913" s="1"/>
      <c r="I913" s="1"/>
      <c r="J913" s="1"/>
      <c r="K913" s="1"/>
      <c r="L913" s="1"/>
      <c r="M913" s="1"/>
      <c r="N913" s="81"/>
      <c r="O913" s="12" t="s">
        <v>97</v>
      </c>
      <c r="P913" s="1">
        <v>41</v>
      </c>
      <c r="Q913" s="13"/>
      <c r="R913" s="13"/>
      <c r="S913" s="13"/>
      <c r="T913" s="13"/>
      <c r="U913" s="13"/>
      <c r="V913" s="1"/>
      <c r="W913" s="1">
        <v>1355</v>
      </c>
      <c r="X913" s="1">
        <f t="shared" si="110"/>
        <v>1355</v>
      </c>
      <c r="Y913" s="13"/>
      <c r="Z913" s="13"/>
      <c r="AA913" s="13"/>
      <c r="AB913" s="13"/>
      <c r="AC913" s="82"/>
      <c r="AD913" s="23" t="s">
        <v>52</v>
      </c>
      <c r="AE913" s="90" t="str">
        <f t="shared" ref="AE913:AE915" si="115">BA913</f>
        <v>4131</v>
      </c>
      <c r="AF913" s="23"/>
      <c r="AI913" s="23"/>
      <c r="AJ913" s="23"/>
      <c r="AK913" s="23"/>
      <c r="AL913" s="23"/>
      <c r="AM913" s="23"/>
      <c r="AN913" s="23"/>
      <c r="AO913" s="23"/>
      <c r="AP913" s="23"/>
      <c r="AQ913" s="81"/>
      <c r="AR913" s="83"/>
      <c r="AS913" s="83"/>
      <c r="AT913" s="81"/>
      <c r="AU913" s="12" t="s">
        <v>1933</v>
      </c>
      <c r="AV913" s="13"/>
      <c r="AW913" s="39">
        <v>2</v>
      </c>
      <c r="AX913" s="12">
        <f>VLOOKUP(AW913,색인!$N$14:$O$19,2,FALSE)</f>
        <v>1</v>
      </c>
      <c r="AY913" s="39" t="str">
        <f>"T"&amp;O913&amp;"_"&amp;AX913&amp;"옵션_"&amp;VLOOKUP(E913,색인!$J$25:$K$29,2,FALSE)</f>
        <v>T4_1옵션_장신구</v>
      </c>
      <c r="AZ913" s="39">
        <f>VLOOKUP(G913,색인!$J$32:$K$45,2,FALSE)</f>
        <v>2</v>
      </c>
      <c r="BA913" s="39" t="str">
        <f>_xlfn.IFNA(VLOOKUP(AY913,표1[[검색용]:[OptionGroupIndex'[']22]],EquipItemTable!AZ913,FALSE),"옵션고정안함")</f>
        <v>4131</v>
      </c>
    </row>
    <row r="914" spans="1:53" ht="12" customHeight="1" x14ac:dyDescent="0.2">
      <c r="A914" s="13" t="s">
        <v>167</v>
      </c>
      <c r="B914" s="39">
        <v>55015</v>
      </c>
      <c r="C914" s="42" t="s">
        <v>30</v>
      </c>
      <c r="D914" s="10" t="s">
        <v>81</v>
      </c>
      <c r="E914" s="10" t="s">
        <v>0</v>
      </c>
      <c r="F914" s="1" t="s">
        <v>93</v>
      </c>
      <c r="G914" s="1" t="s">
        <v>1310</v>
      </c>
      <c r="H914" s="1"/>
      <c r="I914" s="1"/>
      <c r="J914" s="1"/>
      <c r="K914" s="1"/>
      <c r="L914" s="1"/>
      <c r="M914" s="1"/>
      <c r="N914" s="81"/>
      <c r="O914" s="12" t="s">
        <v>97</v>
      </c>
      <c r="P914" s="1">
        <v>41</v>
      </c>
      <c r="Q914" s="13"/>
      <c r="R914" s="13"/>
      <c r="S914" s="13"/>
      <c r="T914" s="13"/>
      <c r="U914" s="13"/>
      <c r="V914" s="1"/>
      <c r="W914" s="1">
        <v>1590</v>
      </c>
      <c r="X914" s="1">
        <f t="shared" si="110"/>
        <v>1590</v>
      </c>
      <c r="Y914" s="13"/>
      <c r="Z914" s="13"/>
      <c r="AA914" s="13"/>
      <c r="AB914" s="13"/>
      <c r="AC914" s="82"/>
      <c r="AD914" s="23" t="s">
        <v>52</v>
      </c>
      <c r="AE914" s="90" t="str">
        <f t="shared" si="115"/>
        <v>4231</v>
      </c>
      <c r="AF914" s="23"/>
      <c r="AI914" s="23"/>
      <c r="AJ914" s="23"/>
      <c r="AK914" s="23"/>
      <c r="AL914" s="23"/>
      <c r="AM914" s="23"/>
      <c r="AN914" s="23"/>
      <c r="AO914" s="23"/>
      <c r="AP914" s="23"/>
      <c r="AQ914" s="81"/>
      <c r="AR914" s="83">
        <v>1</v>
      </c>
      <c r="AS914" s="83">
        <v>1</v>
      </c>
      <c r="AT914" s="81"/>
      <c r="AU914" s="12" t="s">
        <v>1934</v>
      </c>
      <c r="AV914" s="13" t="s">
        <v>31</v>
      </c>
      <c r="AW914" s="39">
        <v>3</v>
      </c>
      <c r="AX914" s="12">
        <f>VLOOKUP(AW914,색인!$N$14:$O$19,2,FALSE)</f>
        <v>2</v>
      </c>
      <c r="AY914" s="39" t="str">
        <f>"T"&amp;O914&amp;"_"&amp;AX914&amp;"옵션_"&amp;VLOOKUP(E914,색인!$J$25:$K$29,2,FALSE)</f>
        <v>T4_2옵션_장신구</v>
      </c>
      <c r="AZ914" s="39">
        <f>VLOOKUP(G914,색인!$J$32:$K$45,2,FALSE)</f>
        <v>2</v>
      </c>
      <c r="BA914" s="39" t="str">
        <f>_xlfn.IFNA(VLOOKUP(AY914,표1[[검색용]:[OptionGroupIndex'[']22]],EquipItemTable!AZ914,FALSE),"옵션고정안함")</f>
        <v>4231</v>
      </c>
    </row>
    <row r="915" spans="1:53" ht="12" customHeight="1" x14ac:dyDescent="0.2">
      <c r="A915" s="13" t="s">
        <v>168</v>
      </c>
      <c r="B915" s="39">
        <v>55016</v>
      </c>
      <c r="C915" s="42" t="s">
        <v>3607</v>
      </c>
      <c r="D915" s="10" t="s">
        <v>81</v>
      </c>
      <c r="E915" s="10" t="s">
        <v>0</v>
      </c>
      <c r="F915" s="1" t="s">
        <v>93</v>
      </c>
      <c r="G915" s="1" t="s">
        <v>1310</v>
      </c>
      <c r="H915" s="1"/>
      <c r="I915" s="1"/>
      <c r="J915" s="1"/>
      <c r="K915" s="1"/>
      <c r="L915" s="1"/>
      <c r="M915" s="1"/>
      <c r="O915" s="12" t="s">
        <v>97</v>
      </c>
      <c r="P915" s="1">
        <v>41</v>
      </c>
      <c r="Q915" s="1"/>
      <c r="R915" s="1"/>
      <c r="S915" s="1"/>
      <c r="T915" s="1"/>
      <c r="U915" s="1"/>
      <c r="V915" s="1"/>
      <c r="W915" s="1">
        <v>1862</v>
      </c>
      <c r="X915" s="1">
        <f t="shared" si="110"/>
        <v>1862</v>
      </c>
      <c r="Y915" s="1"/>
      <c r="Z915" s="1"/>
      <c r="AA915" s="1"/>
      <c r="AB915" s="11"/>
      <c r="AC915" s="82"/>
      <c r="AD915" s="12" t="s">
        <v>52</v>
      </c>
      <c r="AE915" s="39" t="str">
        <f t="shared" si="115"/>
        <v>4331</v>
      </c>
      <c r="AN915" s="12"/>
      <c r="AR915" s="34" t="s">
        <v>94</v>
      </c>
      <c r="AS915" s="34" t="s">
        <v>94</v>
      </c>
      <c r="AU915" s="12" t="s">
        <v>1935</v>
      </c>
      <c r="AV915" s="13" t="s">
        <v>32</v>
      </c>
      <c r="AW915" s="39">
        <v>4</v>
      </c>
      <c r="AX915" s="12">
        <f>VLOOKUP(AW915,색인!$N$14:$O$19,2,FALSE)</f>
        <v>3</v>
      </c>
      <c r="AY915" s="39" t="str">
        <f>"T"&amp;O915&amp;"_"&amp;AX915&amp;"옵션_"&amp;VLOOKUP(E915,색인!$J$25:$K$29,2,FALSE)</f>
        <v>T4_3옵션_장신구</v>
      </c>
      <c r="AZ915" s="39">
        <f>VLOOKUP(G915,색인!$J$32:$K$45,2,FALSE)</f>
        <v>2</v>
      </c>
      <c r="BA915" s="39" t="str">
        <f>_xlfn.IFNA(VLOOKUP(AY915,표1[[검색용]:[OptionGroupIndex'[']22]],EquipItemTable!AZ915,FALSE),"옵션고정안함")</f>
        <v>4331</v>
      </c>
    </row>
    <row r="916" spans="1:53" ht="14.1" customHeight="1" x14ac:dyDescent="0.2">
      <c r="A916" s="13" t="s">
        <v>572</v>
      </c>
      <c r="B916" s="39">
        <v>55034</v>
      </c>
      <c r="C916" s="42" t="s">
        <v>3601</v>
      </c>
      <c r="D916" s="10" t="s">
        <v>81</v>
      </c>
      <c r="E916" s="10" t="s">
        <v>0</v>
      </c>
      <c r="F916" s="1" t="s">
        <v>93</v>
      </c>
      <c r="G916" s="1" t="s">
        <v>1310</v>
      </c>
      <c r="H916" s="1"/>
      <c r="I916" s="1"/>
      <c r="J916" s="1"/>
      <c r="K916" s="1"/>
      <c r="L916" s="1"/>
      <c r="M916" s="1"/>
      <c r="O916" s="12" t="s">
        <v>97</v>
      </c>
      <c r="P916" s="1">
        <v>41</v>
      </c>
      <c r="Q916" s="1"/>
      <c r="R916" s="1"/>
      <c r="S916" s="1"/>
      <c r="T916" s="1"/>
      <c r="U916" s="1"/>
      <c r="V916" s="1"/>
      <c r="W916" s="1">
        <v>2170</v>
      </c>
      <c r="X916" s="1">
        <f t="shared" si="110"/>
        <v>2170</v>
      </c>
      <c r="Y916" s="1"/>
      <c r="Z916" s="1"/>
      <c r="AA916" s="1"/>
      <c r="AB916" s="11"/>
      <c r="AC916" s="82"/>
      <c r="AD916" s="12" t="s">
        <v>52</v>
      </c>
      <c r="AE916" s="12" t="s">
        <v>551</v>
      </c>
      <c r="AN916" s="12" t="s">
        <v>554</v>
      </c>
      <c r="AR916" s="34" t="s">
        <v>94</v>
      </c>
      <c r="AS916" s="34" t="s">
        <v>94</v>
      </c>
      <c r="AU916" s="12" t="s">
        <v>1936</v>
      </c>
      <c r="AV916" s="13" t="s">
        <v>32</v>
      </c>
      <c r="AW916" s="39">
        <v>6</v>
      </c>
      <c r="AX916" s="12">
        <f>VLOOKUP(AW916,색인!$N$14:$O$19,2,FALSE)</f>
        <v>4</v>
      </c>
      <c r="AY916" s="32" t="str">
        <f>"T"&amp;O916&amp;"_"&amp;AX916&amp;"옵션_"&amp;VLOOKUP(E916,색인!$J$25:$K$29,2,FALSE)</f>
        <v>T4_4옵션_장신구</v>
      </c>
      <c r="AZ916" s="32">
        <f>VLOOKUP(G916,색인!$J$32:$K$45,2,FALSE)</f>
        <v>2</v>
      </c>
      <c r="BA916" s="32" t="str">
        <f>_xlfn.IFNA(VLOOKUP(AY916,표1[[검색용]:[OptionGroupIndex'[']22]],EquipItemTable!AZ916,FALSE),"옵션고정안함")</f>
        <v>옵션고정안함</v>
      </c>
    </row>
    <row r="917" spans="1:53" ht="14.1" customHeight="1" x14ac:dyDescent="0.2">
      <c r="A917" s="13" t="s">
        <v>1033</v>
      </c>
      <c r="B917" s="39">
        <v>55032</v>
      </c>
      <c r="C917" s="42" t="s">
        <v>3602</v>
      </c>
      <c r="D917" s="10" t="s">
        <v>81</v>
      </c>
      <c r="E917" s="10" t="s">
        <v>0</v>
      </c>
      <c r="F917" s="1" t="s">
        <v>93</v>
      </c>
      <c r="G917" s="1" t="s">
        <v>1310</v>
      </c>
      <c r="H917" s="1"/>
      <c r="I917" s="1"/>
      <c r="J917" s="1"/>
      <c r="K917" s="1"/>
      <c r="L917" s="1"/>
      <c r="M917" s="1"/>
      <c r="O917" s="12" t="s">
        <v>97</v>
      </c>
      <c r="P917" s="1">
        <v>41</v>
      </c>
      <c r="Q917" s="1"/>
      <c r="R917" s="1"/>
      <c r="S917" s="1"/>
      <c r="T917" s="1"/>
      <c r="U917" s="1"/>
      <c r="V917" s="1"/>
      <c r="W917" s="1">
        <v>2170</v>
      </c>
      <c r="X917" s="1">
        <f t="shared" ref="X917:X919" si="116">W917</f>
        <v>2170</v>
      </c>
      <c r="Y917" s="1"/>
      <c r="Z917" s="1"/>
      <c r="AA917" s="1"/>
      <c r="AB917" s="11"/>
      <c r="AC917" s="82"/>
      <c r="AD917" s="12" t="s">
        <v>52</v>
      </c>
      <c r="AE917" s="12" t="s">
        <v>97</v>
      </c>
      <c r="AN917" s="12" t="s">
        <v>1192</v>
      </c>
      <c r="AR917" s="34" t="s">
        <v>94</v>
      </c>
      <c r="AS917" s="34" t="s">
        <v>94</v>
      </c>
      <c r="AU917" s="12" t="s">
        <v>1936</v>
      </c>
      <c r="AV917" s="13" t="s">
        <v>32</v>
      </c>
      <c r="AW917" s="39">
        <v>6</v>
      </c>
      <c r="AX917" s="12">
        <f>VLOOKUP(AW917,색인!$N$14:$O$19,2,FALSE)</f>
        <v>4</v>
      </c>
      <c r="AY917" s="32" t="str">
        <f>"T"&amp;O917&amp;"_"&amp;AX917&amp;"옵션_"&amp;VLOOKUP(E917,색인!$J$25:$K$29,2,FALSE)</f>
        <v>T4_4옵션_장신구</v>
      </c>
      <c r="AZ917" s="32">
        <f>VLOOKUP(G917,색인!$J$32:$K$45,2,FALSE)</f>
        <v>2</v>
      </c>
      <c r="BA917" s="32" t="str">
        <f>_xlfn.IFNA(VLOOKUP(AY917,표1[[검색용]:[OptionGroupIndex'[']22]],EquipItemTable!AZ917,FALSE),"옵션고정안함")</f>
        <v>옵션고정안함</v>
      </c>
    </row>
    <row r="918" spans="1:53" ht="14.1" customHeight="1" x14ac:dyDescent="0.2">
      <c r="A918" s="13" t="s">
        <v>1034</v>
      </c>
      <c r="B918" s="39">
        <v>55033</v>
      </c>
      <c r="C918" s="42" t="s">
        <v>3603</v>
      </c>
      <c r="D918" s="10" t="s">
        <v>81</v>
      </c>
      <c r="E918" s="10" t="s">
        <v>0</v>
      </c>
      <c r="F918" s="1" t="s">
        <v>93</v>
      </c>
      <c r="G918" s="1" t="s">
        <v>1310</v>
      </c>
      <c r="H918" s="1"/>
      <c r="I918" s="1"/>
      <c r="J918" s="1"/>
      <c r="K918" s="1"/>
      <c r="L918" s="1"/>
      <c r="M918" s="1"/>
      <c r="O918" s="12" t="s">
        <v>97</v>
      </c>
      <c r="P918" s="1">
        <v>41</v>
      </c>
      <c r="Q918" s="1"/>
      <c r="R918" s="1"/>
      <c r="S918" s="1"/>
      <c r="T918" s="1"/>
      <c r="U918" s="1"/>
      <c r="V918" s="1"/>
      <c r="W918" s="1">
        <v>2170</v>
      </c>
      <c r="X918" s="1">
        <f t="shared" si="116"/>
        <v>2170</v>
      </c>
      <c r="Y918" s="1"/>
      <c r="Z918" s="1"/>
      <c r="AA918" s="1"/>
      <c r="AB918" s="11"/>
      <c r="AC918" s="82"/>
      <c r="AD918" s="12" t="s">
        <v>52</v>
      </c>
      <c r="AE918" s="12" t="s">
        <v>97</v>
      </c>
      <c r="AN918" s="12" t="s">
        <v>369</v>
      </c>
      <c r="AR918" s="34" t="s">
        <v>94</v>
      </c>
      <c r="AS918" s="34" t="s">
        <v>94</v>
      </c>
      <c r="AU918" s="12" t="s">
        <v>1936</v>
      </c>
      <c r="AV918" s="13" t="s">
        <v>32</v>
      </c>
      <c r="AW918" s="39">
        <v>6</v>
      </c>
      <c r="AX918" s="12">
        <f>VLOOKUP(AW918,색인!$N$14:$O$19,2,FALSE)</f>
        <v>4</v>
      </c>
      <c r="AY918" s="32" t="str">
        <f>"T"&amp;O918&amp;"_"&amp;AX918&amp;"옵션_"&amp;VLOOKUP(E918,색인!$J$25:$K$29,2,FALSE)</f>
        <v>T4_4옵션_장신구</v>
      </c>
      <c r="AZ918" s="32">
        <f>VLOOKUP(G918,색인!$J$32:$K$45,2,FALSE)</f>
        <v>2</v>
      </c>
      <c r="BA918" s="32" t="str">
        <f>_xlfn.IFNA(VLOOKUP(AY918,표1[[검색용]:[OptionGroupIndex'[']22]],EquipItemTable!AZ918,FALSE),"옵션고정안함")</f>
        <v>옵션고정안함</v>
      </c>
    </row>
    <row r="919" spans="1:53" ht="14.1" customHeight="1" x14ac:dyDescent="0.2">
      <c r="A919" s="13" t="s">
        <v>1035</v>
      </c>
      <c r="B919" s="39">
        <v>55022</v>
      </c>
      <c r="C919" s="42" t="s">
        <v>3604</v>
      </c>
      <c r="D919" s="10" t="s">
        <v>81</v>
      </c>
      <c r="E919" s="10" t="s">
        <v>0</v>
      </c>
      <c r="F919" s="1" t="s">
        <v>93</v>
      </c>
      <c r="G919" s="1" t="s">
        <v>1310</v>
      </c>
      <c r="H919" s="1"/>
      <c r="I919" s="1"/>
      <c r="J919" s="1"/>
      <c r="K919" s="1"/>
      <c r="L919" s="1"/>
      <c r="M919" s="1"/>
      <c r="O919" s="12" t="s">
        <v>97</v>
      </c>
      <c r="P919" s="1">
        <v>41</v>
      </c>
      <c r="Q919" s="1"/>
      <c r="R919" s="1"/>
      <c r="S919" s="1"/>
      <c r="T919" s="1"/>
      <c r="U919" s="1"/>
      <c r="V919" s="1"/>
      <c r="W919" s="1">
        <v>2170</v>
      </c>
      <c r="X919" s="1">
        <f t="shared" si="116"/>
        <v>2170</v>
      </c>
      <c r="Y919" s="1"/>
      <c r="Z919" s="1"/>
      <c r="AA919" s="1"/>
      <c r="AB919" s="11"/>
      <c r="AC919" s="82"/>
      <c r="AD919" s="12" t="s">
        <v>52</v>
      </c>
      <c r="AE919" s="12" t="s">
        <v>97</v>
      </c>
      <c r="AN919" s="12" t="s">
        <v>1194</v>
      </c>
      <c r="AR919" s="34" t="s">
        <v>94</v>
      </c>
      <c r="AS919" s="34" t="s">
        <v>94</v>
      </c>
      <c r="AU919" s="12" t="s">
        <v>1936</v>
      </c>
      <c r="AV919" s="13" t="s">
        <v>32</v>
      </c>
      <c r="AW919" s="39">
        <v>6</v>
      </c>
      <c r="AX919" s="12">
        <f>VLOOKUP(AW919,색인!$N$14:$O$19,2,FALSE)</f>
        <v>4</v>
      </c>
      <c r="AY919" s="32" t="str">
        <f>"T"&amp;O919&amp;"_"&amp;AX919&amp;"옵션_"&amp;VLOOKUP(E919,색인!$J$25:$K$29,2,FALSE)</f>
        <v>T4_4옵션_장신구</v>
      </c>
      <c r="AZ919" s="32">
        <f>VLOOKUP(G919,색인!$J$32:$K$45,2,FALSE)</f>
        <v>2</v>
      </c>
      <c r="BA919" s="32" t="str">
        <f>_xlfn.IFNA(VLOOKUP(AY919,표1[[검색용]:[OptionGroupIndex'[']22]],EquipItemTable!AZ919,FALSE),"옵션고정안함")</f>
        <v>옵션고정안함</v>
      </c>
    </row>
    <row r="920" spans="1:53" ht="12" customHeight="1" x14ac:dyDescent="0.2">
      <c r="A920" s="13" t="s">
        <v>467</v>
      </c>
      <c r="B920" s="39">
        <v>55017</v>
      </c>
      <c r="C920" s="42" t="s">
        <v>3608</v>
      </c>
      <c r="D920" s="10" t="s">
        <v>81</v>
      </c>
      <c r="E920" s="10" t="s">
        <v>0</v>
      </c>
      <c r="F920" s="1" t="s">
        <v>471</v>
      </c>
      <c r="G920" s="1" t="s">
        <v>1310</v>
      </c>
      <c r="H920" s="1"/>
      <c r="I920" s="1"/>
      <c r="J920" s="1"/>
      <c r="K920" s="1"/>
      <c r="L920" s="1"/>
      <c r="M920" s="1"/>
      <c r="O920" s="12" t="s">
        <v>430</v>
      </c>
      <c r="P920" s="1">
        <v>51</v>
      </c>
      <c r="Q920" s="1"/>
      <c r="R920" s="1"/>
      <c r="S920" s="1"/>
      <c r="T920" s="1"/>
      <c r="U920" s="1"/>
      <c r="V920" s="1"/>
      <c r="W920" s="1">
        <v>2138</v>
      </c>
      <c r="X920" s="1">
        <f t="shared" si="110"/>
        <v>2138</v>
      </c>
      <c r="Y920" s="1"/>
      <c r="Z920" s="1"/>
      <c r="AA920" s="1"/>
      <c r="AB920" s="11"/>
      <c r="AC920" s="82"/>
      <c r="AD920" s="12" t="s">
        <v>542</v>
      </c>
      <c r="AE920" s="12" t="s">
        <v>552</v>
      </c>
      <c r="AN920" s="12"/>
      <c r="AU920" s="12" t="s">
        <v>1932</v>
      </c>
      <c r="AV920" s="13"/>
      <c r="AW920" s="39">
        <v>1</v>
      </c>
      <c r="AY920" s="32"/>
      <c r="AZ920" s="32"/>
      <c r="BA920" s="32"/>
    </row>
    <row r="921" spans="1:53" ht="12" customHeight="1" x14ac:dyDescent="0.2">
      <c r="A921" s="13" t="s">
        <v>468</v>
      </c>
      <c r="B921" s="39">
        <v>55018</v>
      </c>
      <c r="C921" s="42" t="s">
        <v>3609</v>
      </c>
      <c r="D921" s="10" t="s">
        <v>81</v>
      </c>
      <c r="E921" s="10" t="s">
        <v>0</v>
      </c>
      <c r="F921" s="1" t="s">
        <v>471</v>
      </c>
      <c r="G921" s="1" t="s">
        <v>1310</v>
      </c>
      <c r="H921" s="1"/>
      <c r="I921" s="1"/>
      <c r="J921" s="1"/>
      <c r="K921" s="1"/>
      <c r="L921" s="1"/>
      <c r="M921" s="1"/>
      <c r="O921" s="12" t="s">
        <v>430</v>
      </c>
      <c r="P921" s="1">
        <v>51</v>
      </c>
      <c r="Q921" s="1"/>
      <c r="R921" s="1"/>
      <c r="S921" s="1"/>
      <c r="T921" s="1"/>
      <c r="U921" s="1"/>
      <c r="V921" s="1"/>
      <c r="W921" s="1">
        <v>2610</v>
      </c>
      <c r="X921" s="1">
        <f t="shared" si="110"/>
        <v>2610</v>
      </c>
      <c r="Y921" s="1"/>
      <c r="Z921" s="1"/>
      <c r="AA921" s="1"/>
      <c r="AB921" s="11"/>
      <c r="AC921" s="82"/>
      <c r="AD921" s="12" t="s">
        <v>542</v>
      </c>
      <c r="AE921" s="39" t="str">
        <f t="shared" ref="AE921:AE923" si="117">BA921</f>
        <v>5131</v>
      </c>
      <c r="AN921" s="12"/>
      <c r="AU921" s="12" t="s">
        <v>1933</v>
      </c>
      <c r="AV921" s="13"/>
      <c r="AW921" s="39">
        <v>2</v>
      </c>
      <c r="AX921" s="12">
        <f>VLOOKUP(AW921,색인!$N$14:$O$19,2,FALSE)</f>
        <v>1</v>
      </c>
      <c r="AY921" s="39" t="str">
        <f>"T"&amp;O921&amp;"_"&amp;AX921&amp;"옵션_"&amp;VLOOKUP(E921,색인!$J$25:$K$29,2,FALSE)</f>
        <v>T5_1옵션_장신구</v>
      </c>
      <c r="AZ921" s="39">
        <f>VLOOKUP(G921,색인!$J$32:$K$45,2,FALSE)</f>
        <v>2</v>
      </c>
      <c r="BA921" s="39" t="str">
        <f>_xlfn.IFNA(VLOOKUP(AY921,표1[[검색용]:[OptionGroupIndex'[']22]],EquipItemTable!AZ921,FALSE),"옵션고정안함")</f>
        <v>5131</v>
      </c>
    </row>
    <row r="922" spans="1:53" ht="12" customHeight="1" x14ac:dyDescent="0.2">
      <c r="A922" s="13" t="s">
        <v>469</v>
      </c>
      <c r="B922" s="39">
        <v>55019</v>
      </c>
      <c r="C922" s="42" t="s">
        <v>3610</v>
      </c>
      <c r="D922" s="10" t="s">
        <v>81</v>
      </c>
      <c r="E922" s="10" t="s">
        <v>0</v>
      </c>
      <c r="F922" s="1" t="s">
        <v>471</v>
      </c>
      <c r="G922" s="1" t="s">
        <v>1310</v>
      </c>
      <c r="H922" s="1"/>
      <c r="I922" s="1"/>
      <c r="J922" s="1"/>
      <c r="K922" s="1"/>
      <c r="L922" s="1"/>
      <c r="M922" s="1"/>
      <c r="O922" s="12" t="s">
        <v>430</v>
      </c>
      <c r="P922" s="1">
        <v>51</v>
      </c>
      <c r="Q922" s="1"/>
      <c r="R922" s="1"/>
      <c r="S922" s="1"/>
      <c r="T922" s="1"/>
      <c r="U922" s="1"/>
      <c r="V922" s="1"/>
      <c r="W922" s="1">
        <v>3031</v>
      </c>
      <c r="X922" s="1">
        <f t="shared" si="110"/>
        <v>3031</v>
      </c>
      <c r="Y922" s="1"/>
      <c r="Z922" s="1"/>
      <c r="AA922" s="1"/>
      <c r="AB922" s="11"/>
      <c r="AC922" s="82"/>
      <c r="AD922" s="12" t="s">
        <v>542</v>
      </c>
      <c r="AE922" s="39" t="str">
        <f t="shared" si="117"/>
        <v>5231</v>
      </c>
      <c r="AN922" s="12"/>
      <c r="AR922" s="34" t="s">
        <v>543</v>
      </c>
      <c r="AS922" s="34" t="s">
        <v>543</v>
      </c>
      <c r="AU922" s="12" t="s">
        <v>1934</v>
      </c>
      <c r="AV922" s="13"/>
      <c r="AW922" s="39">
        <v>3</v>
      </c>
      <c r="AX922" s="12">
        <f>VLOOKUP(AW922,색인!$N$14:$O$19,2,FALSE)</f>
        <v>2</v>
      </c>
      <c r="AY922" s="39" t="str">
        <f>"T"&amp;O922&amp;"_"&amp;AX922&amp;"옵션_"&amp;VLOOKUP(E922,색인!$J$25:$K$29,2,FALSE)</f>
        <v>T5_2옵션_장신구</v>
      </c>
      <c r="AZ922" s="39">
        <f>VLOOKUP(G922,색인!$J$32:$K$45,2,FALSE)</f>
        <v>2</v>
      </c>
      <c r="BA922" s="39" t="str">
        <f>_xlfn.IFNA(VLOOKUP(AY922,표1[[검색용]:[OptionGroupIndex'[']22]],EquipItemTable!AZ922,FALSE),"옵션고정안함")</f>
        <v>5231</v>
      </c>
    </row>
    <row r="923" spans="1:53" ht="12" customHeight="1" x14ac:dyDescent="0.2">
      <c r="A923" s="13" t="s">
        <v>470</v>
      </c>
      <c r="B923" s="39">
        <v>55020</v>
      </c>
      <c r="C923" s="42" t="s">
        <v>3611</v>
      </c>
      <c r="D923" s="10" t="s">
        <v>81</v>
      </c>
      <c r="E923" s="10" t="s">
        <v>0</v>
      </c>
      <c r="F923" s="1" t="s">
        <v>471</v>
      </c>
      <c r="G923" s="1" t="s">
        <v>1310</v>
      </c>
      <c r="H923" s="1"/>
      <c r="I923" s="1"/>
      <c r="J923" s="1"/>
      <c r="K923" s="1"/>
      <c r="L923" s="1"/>
      <c r="M923" s="1"/>
      <c r="O923" s="12" t="s">
        <v>430</v>
      </c>
      <c r="P923" s="1">
        <v>51</v>
      </c>
      <c r="Q923" s="1"/>
      <c r="R923" s="1"/>
      <c r="S923" s="1"/>
      <c r="T923" s="1"/>
      <c r="U923" s="1"/>
      <c r="V923" s="1"/>
      <c r="W923" s="1">
        <v>3508</v>
      </c>
      <c r="X923" s="1">
        <f t="shared" si="110"/>
        <v>3508</v>
      </c>
      <c r="Y923" s="1"/>
      <c r="Z923" s="1"/>
      <c r="AA923" s="1"/>
      <c r="AB923" s="11"/>
      <c r="AC923" s="82"/>
      <c r="AD923" s="12" t="s">
        <v>542</v>
      </c>
      <c r="AE923" s="39" t="str">
        <f t="shared" si="117"/>
        <v>5331</v>
      </c>
      <c r="AN923" s="12"/>
      <c r="AR923" s="34" t="s">
        <v>543</v>
      </c>
      <c r="AS923" s="34" t="s">
        <v>543</v>
      </c>
      <c r="AU923" s="12" t="s">
        <v>1935</v>
      </c>
      <c r="AV923" s="13"/>
      <c r="AW923" s="39">
        <v>4</v>
      </c>
      <c r="AX923" s="12">
        <f>VLOOKUP(AW923,색인!$N$14:$O$19,2,FALSE)</f>
        <v>3</v>
      </c>
      <c r="AY923" s="39" t="str">
        <f>"T"&amp;O923&amp;"_"&amp;AX923&amp;"옵션_"&amp;VLOOKUP(E923,색인!$J$25:$K$29,2,FALSE)</f>
        <v>T5_3옵션_장신구</v>
      </c>
      <c r="AZ923" s="39">
        <f>VLOOKUP(G923,색인!$J$32:$K$45,2,FALSE)</f>
        <v>2</v>
      </c>
      <c r="BA923" s="39" t="str">
        <f>_xlfn.IFNA(VLOOKUP(AY923,표1[[검색용]:[OptionGroupIndex'[']22]],EquipItemTable!AZ923,FALSE),"옵션고정안함")</f>
        <v>5331</v>
      </c>
    </row>
    <row r="924" spans="1:53" ht="14.1" customHeight="1" x14ac:dyDescent="0.2">
      <c r="A924" s="13" t="s">
        <v>573</v>
      </c>
      <c r="B924" s="39">
        <v>55037</v>
      </c>
      <c r="C924" s="42" t="s">
        <v>3601</v>
      </c>
      <c r="D924" s="10" t="s">
        <v>81</v>
      </c>
      <c r="E924" s="10" t="s">
        <v>0</v>
      </c>
      <c r="F924" s="1" t="s">
        <v>471</v>
      </c>
      <c r="G924" s="1" t="s">
        <v>1310</v>
      </c>
      <c r="H924" s="1"/>
      <c r="I924" s="1"/>
      <c r="J924" s="1"/>
      <c r="K924" s="1"/>
      <c r="L924" s="1"/>
      <c r="M924" s="1"/>
      <c r="O924" s="12" t="s">
        <v>430</v>
      </c>
      <c r="P924" s="1">
        <v>51</v>
      </c>
      <c r="Q924" s="1"/>
      <c r="R924" s="1"/>
      <c r="S924" s="1"/>
      <c r="T924" s="1"/>
      <c r="U924" s="1"/>
      <c r="V924" s="1"/>
      <c r="W924" s="1">
        <v>4050</v>
      </c>
      <c r="X924" s="1">
        <f t="shared" si="110"/>
        <v>4050</v>
      </c>
      <c r="Y924" s="1"/>
      <c r="Z924" s="1"/>
      <c r="AA924" s="1"/>
      <c r="AB924" s="11"/>
      <c r="AC924" s="82"/>
      <c r="AD924" s="12" t="s">
        <v>336</v>
      </c>
      <c r="AE924" s="12" t="s">
        <v>529</v>
      </c>
      <c r="AN924" s="12" t="s">
        <v>554</v>
      </c>
      <c r="AR924" s="34" t="s">
        <v>543</v>
      </c>
      <c r="AS924" s="34" t="s">
        <v>543</v>
      </c>
      <c r="AU924" s="12" t="s">
        <v>1936</v>
      </c>
      <c r="AV924" s="13"/>
      <c r="AW924" s="39">
        <v>6</v>
      </c>
      <c r="AX924" s="12">
        <f>VLOOKUP(AW924,색인!$N$14:$O$19,2,FALSE)</f>
        <v>4</v>
      </c>
      <c r="AY924" s="32" t="str">
        <f>"T"&amp;O924&amp;"_"&amp;AX924&amp;"옵션_"&amp;VLOOKUP(E924,색인!$J$25:$K$29,2,FALSE)</f>
        <v>T5_4옵션_장신구</v>
      </c>
      <c r="AZ924" s="32">
        <f>VLOOKUP(G924,색인!$J$32:$K$45,2,FALSE)</f>
        <v>2</v>
      </c>
      <c r="BA924" s="32" t="str">
        <f>_xlfn.IFNA(VLOOKUP(AY924,표1[[검색용]:[OptionGroupIndex'[']22]],EquipItemTable!AZ924,FALSE),"옵션고정안함")</f>
        <v>옵션고정안함</v>
      </c>
    </row>
    <row r="925" spans="1:53" ht="14.1" customHeight="1" x14ac:dyDescent="0.2">
      <c r="A925" s="13" t="s">
        <v>1036</v>
      </c>
      <c r="B925" s="39">
        <v>55035</v>
      </c>
      <c r="C925" s="42" t="s">
        <v>3602</v>
      </c>
      <c r="D925" s="10" t="s">
        <v>81</v>
      </c>
      <c r="E925" s="10" t="s">
        <v>0</v>
      </c>
      <c r="F925" s="1" t="s">
        <v>471</v>
      </c>
      <c r="G925" s="1" t="s">
        <v>1310</v>
      </c>
      <c r="H925" s="1"/>
      <c r="I925" s="1"/>
      <c r="J925" s="1"/>
      <c r="K925" s="1"/>
      <c r="L925" s="1"/>
      <c r="M925" s="1"/>
      <c r="O925" s="12" t="s">
        <v>430</v>
      </c>
      <c r="P925" s="1">
        <v>51</v>
      </c>
      <c r="Q925" s="1"/>
      <c r="R925" s="1"/>
      <c r="S925" s="1"/>
      <c r="T925" s="1"/>
      <c r="U925" s="1"/>
      <c r="V925" s="1"/>
      <c r="W925" s="1">
        <v>4050</v>
      </c>
      <c r="X925" s="1">
        <f t="shared" ref="X925:X927" si="118">W925</f>
        <v>4050</v>
      </c>
      <c r="Y925" s="1"/>
      <c r="Z925" s="1"/>
      <c r="AA925" s="1"/>
      <c r="AB925" s="11"/>
      <c r="AC925" s="82"/>
      <c r="AD925" s="12" t="s">
        <v>336</v>
      </c>
      <c r="AE925" s="12" t="s">
        <v>430</v>
      </c>
      <c r="AN925" s="12" t="s">
        <v>1192</v>
      </c>
      <c r="AR925" s="34" t="s">
        <v>428</v>
      </c>
      <c r="AS925" s="34" t="s">
        <v>428</v>
      </c>
      <c r="AU925" s="12" t="s">
        <v>1936</v>
      </c>
      <c r="AV925" s="13"/>
      <c r="AW925" s="39">
        <v>6</v>
      </c>
      <c r="AX925" s="12">
        <f>VLOOKUP(AW925,색인!$N$14:$O$19,2,FALSE)</f>
        <v>4</v>
      </c>
      <c r="AY925" s="32" t="str">
        <f>"T"&amp;O925&amp;"_"&amp;AX925&amp;"옵션_"&amp;VLOOKUP(E925,색인!$J$25:$K$29,2,FALSE)</f>
        <v>T5_4옵션_장신구</v>
      </c>
      <c r="AZ925" s="32">
        <f>VLOOKUP(G925,색인!$J$32:$K$45,2,FALSE)</f>
        <v>2</v>
      </c>
      <c r="BA925" s="32" t="str">
        <f>_xlfn.IFNA(VLOOKUP(AY925,표1[[검색용]:[OptionGroupIndex'[']22]],EquipItemTable!AZ925,FALSE),"옵션고정안함")</f>
        <v>옵션고정안함</v>
      </c>
    </row>
    <row r="926" spans="1:53" ht="14.1" customHeight="1" x14ac:dyDescent="0.2">
      <c r="A926" s="13" t="s">
        <v>1037</v>
      </c>
      <c r="B926" s="39">
        <v>55036</v>
      </c>
      <c r="C926" s="42" t="s">
        <v>3603</v>
      </c>
      <c r="D926" s="10" t="s">
        <v>81</v>
      </c>
      <c r="E926" s="10" t="s">
        <v>0</v>
      </c>
      <c r="F926" s="1" t="s">
        <v>471</v>
      </c>
      <c r="G926" s="1" t="s">
        <v>1310</v>
      </c>
      <c r="H926" s="1"/>
      <c r="I926" s="1"/>
      <c r="J926" s="1"/>
      <c r="K926" s="1"/>
      <c r="L926" s="1"/>
      <c r="M926" s="1"/>
      <c r="O926" s="12" t="s">
        <v>430</v>
      </c>
      <c r="P926" s="1">
        <v>51</v>
      </c>
      <c r="Q926" s="1"/>
      <c r="R926" s="1"/>
      <c r="S926" s="1"/>
      <c r="T926" s="1"/>
      <c r="U926" s="1"/>
      <c r="V926" s="1"/>
      <c r="W926" s="1">
        <v>4050</v>
      </c>
      <c r="X926" s="1">
        <f t="shared" si="118"/>
        <v>4050</v>
      </c>
      <c r="Y926" s="1"/>
      <c r="Z926" s="1"/>
      <c r="AA926" s="1"/>
      <c r="AB926" s="11"/>
      <c r="AC926" s="82"/>
      <c r="AD926" s="12" t="s">
        <v>336</v>
      </c>
      <c r="AE926" s="12" t="s">
        <v>430</v>
      </c>
      <c r="AN926" s="12" t="s">
        <v>369</v>
      </c>
      <c r="AR926" s="34" t="s">
        <v>428</v>
      </c>
      <c r="AS926" s="34" t="s">
        <v>428</v>
      </c>
      <c r="AU926" s="12" t="s">
        <v>1936</v>
      </c>
      <c r="AV926" s="13"/>
      <c r="AW926" s="39">
        <v>6</v>
      </c>
      <c r="AX926" s="12">
        <f>VLOOKUP(AW926,색인!$N$14:$O$19,2,FALSE)</f>
        <v>4</v>
      </c>
      <c r="AY926" s="32" t="str">
        <f>"T"&amp;O926&amp;"_"&amp;AX926&amp;"옵션_"&amp;VLOOKUP(E926,색인!$J$25:$K$29,2,FALSE)</f>
        <v>T5_4옵션_장신구</v>
      </c>
      <c r="AZ926" s="32">
        <f>VLOOKUP(G926,색인!$J$32:$K$45,2,FALSE)</f>
        <v>2</v>
      </c>
      <c r="BA926" s="32" t="str">
        <f>_xlfn.IFNA(VLOOKUP(AY926,표1[[검색용]:[OptionGroupIndex'[']22]],EquipItemTable!AZ926,FALSE),"옵션고정안함")</f>
        <v>옵션고정안함</v>
      </c>
    </row>
    <row r="927" spans="1:53" ht="14.1" customHeight="1" x14ac:dyDescent="0.2">
      <c r="A927" s="13" t="s">
        <v>1038</v>
      </c>
      <c r="B927" s="39">
        <v>55023</v>
      </c>
      <c r="C927" s="42" t="s">
        <v>3604</v>
      </c>
      <c r="D927" s="10" t="s">
        <v>81</v>
      </c>
      <c r="E927" s="10" t="s">
        <v>0</v>
      </c>
      <c r="F927" s="1" t="s">
        <v>471</v>
      </c>
      <c r="G927" s="1" t="s">
        <v>1310</v>
      </c>
      <c r="H927" s="1"/>
      <c r="I927" s="1"/>
      <c r="J927" s="1"/>
      <c r="K927" s="1"/>
      <c r="L927" s="1"/>
      <c r="M927" s="1"/>
      <c r="O927" s="12" t="s">
        <v>430</v>
      </c>
      <c r="P927" s="1">
        <v>51</v>
      </c>
      <c r="Q927" s="1"/>
      <c r="R927" s="1"/>
      <c r="S927" s="1"/>
      <c r="T927" s="1"/>
      <c r="U927" s="1"/>
      <c r="V927" s="1"/>
      <c r="W927" s="1">
        <v>4050</v>
      </c>
      <c r="X927" s="1">
        <f t="shared" si="118"/>
        <v>4050</v>
      </c>
      <c r="Y927" s="1"/>
      <c r="Z927" s="1"/>
      <c r="AA927" s="1"/>
      <c r="AB927" s="11"/>
      <c r="AC927" s="82"/>
      <c r="AD927" s="12" t="s">
        <v>336</v>
      </c>
      <c r="AE927" s="12" t="s">
        <v>430</v>
      </c>
      <c r="AN927" s="12" t="s">
        <v>1194</v>
      </c>
      <c r="AR927" s="34" t="s">
        <v>428</v>
      </c>
      <c r="AS927" s="34" t="s">
        <v>428</v>
      </c>
      <c r="AU927" s="12" t="s">
        <v>1936</v>
      </c>
      <c r="AV927" s="13"/>
      <c r="AW927" s="39">
        <v>6</v>
      </c>
      <c r="AX927" s="12">
        <f>VLOOKUP(AW927,색인!$N$14:$O$19,2,FALSE)</f>
        <v>4</v>
      </c>
      <c r="AY927" s="32" t="str">
        <f>"T"&amp;O927&amp;"_"&amp;AX927&amp;"옵션_"&amp;VLOOKUP(E927,색인!$J$25:$K$29,2,FALSE)</f>
        <v>T5_4옵션_장신구</v>
      </c>
      <c r="AZ927" s="32">
        <f>VLOOKUP(G927,색인!$J$32:$K$45,2,FALSE)</f>
        <v>2</v>
      </c>
      <c r="BA927" s="32" t="str">
        <f>_xlfn.IFNA(VLOOKUP(AY927,표1[[검색용]:[OptionGroupIndex'[']22]],EquipItemTable!AZ927,FALSE),"옵션고정안함")</f>
        <v>옵션고정안함</v>
      </c>
    </row>
    <row r="928" spans="1:53" s="1" customFormat="1" ht="12" x14ac:dyDescent="0.2">
      <c r="A928" s="31" t="s">
        <v>787</v>
      </c>
      <c r="B928" s="39">
        <v>55024</v>
      </c>
      <c r="C928" s="42" t="s">
        <v>3612</v>
      </c>
      <c r="D928" s="10" t="s">
        <v>81</v>
      </c>
      <c r="E928" s="10" t="s">
        <v>0</v>
      </c>
      <c r="F928" s="1" t="s">
        <v>471</v>
      </c>
      <c r="G928" s="1" t="s">
        <v>1310</v>
      </c>
      <c r="N928" s="8"/>
      <c r="O928" s="12" t="s">
        <v>755</v>
      </c>
      <c r="P928" s="1">
        <v>61</v>
      </c>
      <c r="W928" s="1">
        <v>3731</v>
      </c>
      <c r="X928" s="1">
        <f t="shared" ref="X928:X932" si="119">W928</f>
        <v>3731</v>
      </c>
      <c r="AB928" s="11"/>
      <c r="AC928" s="82"/>
      <c r="AD928" s="12" t="s">
        <v>756</v>
      </c>
      <c r="AE928" s="12" t="s">
        <v>529</v>
      </c>
      <c r="AF928" s="12"/>
      <c r="AG928" s="23"/>
      <c r="AH928" s="23"/>
      <c r="AI928" s="12"/>
      <c r="AJ928" s="12"/>
      <c r="AK928" s="12"/>
      <c r="AL928" s="12"/>
      <c r="AM928" s="12"/>
      <c r="AN928" s="12"/>
      <c r="AO928" s="12"/>
      <c r="AP928" s="12"/>
      <c r="AQ928" s="8"/>
      <c r="AR928" s="34"/>
      <c r="AS928" s="34"/>
      <c r="AT928" s="85"/>
      <c r="AU928" s="12" t="s">
        <v>1932</v>
      </c>
      <c r="AW928" s="90">
        <v>1</v>
      </c>
      <c r="AX928" s="23"/>
      <c r="AY928" s="23"/>
      <c r="AZ928" s="23"/>
      <c r="BA928" s="23"/>
    </row>
    <row r="929" spans="1:53" s="1" customFormat="1" ht="12" x14ac:dyDescent="0.2">
      <c r="A929" s="31" t="s">
        <v>788</v>
      </c>
      <c r="B929" s="39">
        <v>55025</v>
      </c>
      <c r="C929" s="42" t="s">
        <v>3613</v>
      </c>
      <c r="D929" s="10" t="s">
        <v>81</v>
      </c>
      <c r="E929" s="10" t="s">
        <v>0</v>
      </c>
      <c r="F929" s="1" t="s">
        <v>471</v>
      </c>
      <c r="G929" s="1" t="s">
        <v>1310</v>
      </c>
      <c r="N929" s="8"/>
      <c r="O929" s="12" t="s">
        <v>755</v>
      </c>
      <c r="P929" s="1">
        <v>61</v>
      </c>
      <c r="W929" s="1">
        <v>4221</v>
      </c>
      <c r="X929" s="1">
        <f t="shared" si="119"/>
        <v>4221</v>
      </c>
      <c r="AB929" s="11"/>
      <c r="AC929" s="82"/>
      <c r="AD929" s="12" t="s">
        <v>756</v>
      </c>
      <c r="AE929" s="39" t="str">
        <f t="shared" ref="AE929:AE931" si="120">BA929</f>
        <v>6131</v>
      </c>
      <c r="AF929" s="12"/>
      <c r="AG929" s="12"/>
      <c r="AH929" s="12"/>
      <c r="AI929" s="12"/>
      <c r="AJ929" s="12"/>
      <c r="AK929" s="12"/>
      <c r="AL929" s="12"/>
      <c r="AM929" s="12"/>
      <c r="AN929" s="12"/>
      <c r="AO929" s="12"/>
      <c r="AP929" s="12"/>
      <c r="AQ929" s="8"/>
      <c r="AR929" s="34"/>
      <c r="AS929" s="34"/>
      <c r="AT929" s="85"/>
      <c r="AU929" s="12" t="s">
        <v>1933</v>
      </c>
      <c r="AW929" s="90">
        <v>2</v>
      </c>
      <c r="AX929" s="23">
        <f>VLOOKUP(AW929,색인!$N$14:$O$19,2,FALSE)</f>
        <v>1</v>
      </c>
      <c r="AY929" s="90" t="str">
        <f>"T"&amp;O929&amp;"_"&amp;AX929&amp;"옵션_"&amp;VLOOKUP(E929,색인!$J$25:$K$29,2,FALSE)</f>
        <v>T6_1옵션_장신구</v>
      </c>
      <c r="AZ929" s="90">
        <f>VLOOKUP(G929,색인!$J$32:$K$45,2,FALSE)</f>
        <v>2</v>
      </c>
      <c r="BA929" s="90" t="str">
        <f>_xlfn.IFNA(VLOOKUP(AY929,표1[[검색용]:[OptionGroupIndex'[']22]],EquipItemTable!AZ929,FALSE),"옵션고정안함")</f>
        <v>6131</v>
      </c>
    </row>
    <row r="930" spans="1:53" s="1" customFormat="1" ht="12" x14ac:dyDescent="0.2">
      <c r="A930" s="31" t="s">
        <v>789</v>
      </c>
      <c r="B930" s="39">
        <v>55026</v>
      </c>
      <c r="C930" s="42" t="s">
        <v>3614</v>
      </c>
      <c r="D930" s="10" t="s">
        <v>81</v>
      </c>
      <c r="E930" s="10" t="s">
        <v>0</v>
      </c>
      <c r="F930" s="1" t="s">
        <v>471</v>
      </c>
      <c r="G930" s="1" t="s">
        <v>1310</v>
      </c>
      <c r="N930" s="8"/>
      <c r="O930" s="12" t="s">
        <v>755</v>
      </c>
      <c r="P930" s="1">
        <v>61</v>
      </c>
      <c r="W930" s="1">
        <v>4653</v>
      </c>
      <c r="X930" s="1">
        <f t="shared" si="119"/>
        <v>4653</v>
      </c>
      <c r="AB930" s="11"/>
      <c r="AC930" s="82"/>
      <c r="AD930" s="12" t="s">
        <v>756</v>
      </c>
      <c r="AE930" s="39" t="str">
        <f t="shared" si="120"/>
        <v>6231</v>
      </c>
      <c r="AF930" s="12"/>
      <c r="AG930" s="12"/>
      <c r="AH930" s="12"/>
      <c r="AI930" s="12"/>
      <c r="AJ930" s="12"/>
      <c r="AK930" s="12"/>
      <c r="AL930" s="12"/>
      <c r="AM930" s="12"/>
      <c r="AN930" s="12"/>
      <c r="AO930" s="12"/>
      <c r="AP930" s="12"/>
      <c r="AQ930" s="8"/>
      <c r="AR930" s="34" t="s">
        <v>94</v>
      </c>
      <c r="AS930" s="34" t="s">
        <v>94</v>
      </c>
      <c r="AT930" s="85"/>
      <c r="AU930" s="12" t="s">
        <v>1934</v>
      </c>
      <c r="AW930" s="90">
        <v>3</v>
      </c>
      <c r="AX930" s="23">
        <f>VLOOKUP(AW930,색인!$N$14:$O$19,2,FALSE)</f>
        <v>2</v>
      </c>
      <c r="AY930" s="90" t="str">
        <f>"T"&amp;O930&amp;"_"&amp;AX930&amp;"옵션_"&amp;VLOOKUP(E930,색인!$J$25:$K$29,2,FALSE)</f>
        <v>T6_2옵션_장신구</v>
      </c>
      <c r="AZ930" s="90">
        <f>VLOOKUP(G930,색인!$J$32:$K$45,2,FALSE)</f>
        <v>2</v>
      </c>
      <c r="BA930" s="90" t="str">
        <f>_xlfn.IFNA(VLOOKUP(AY930,표1[[검색용]:[OptionGroupIndex'[']22]],EquipItemTable!AZ930,FALSE),"옵션고정안함")</f>
        <v>6231</v>
      </c>
    </row>
    <row r="931" spans="1:53" s="1" customFormat="1" ht="12" x14ac:dyDescent="0.2">
      <c r="A931" s="31" t="s">
        <v>790</v>
      </c>
      <c r="B931" s="39">
        <v>55027</v>
      </c>
      <c r="C931" s="42" t="s">
        <v>3615</v>
      </c>
      <c r="D931" s="10" t="s">
        <v>81</v>
      </c>
      <c r="E931" s="10" t="s">
        <v>0</v>
      </c>
      <c r="F931" s="1" t="s">
        <v>471</v>
      </c>
      <c r="G931" s="1" t="s">
        <v>1310</v>
      </c>
      <c r="N931" s="8"/>
      <c r="O931" s="12" t="s">
        <v>755</v>
      </c>
      <c r="P931" s="1">
        <v>61</v>
      </c>
      <c r="W931" s="1">
        <v>5117</v>
      </c>
      <c r="X931" s="1">
        <f t="shared" si="119"/>
        <v>5117</v>
      </c>
      <c r="AB931" s="11"/>
      <c r="AC931" s="82"/>
      <c r="AD931" s="12" t="s">
        <v>756</v>
      </c>
      <c r="AE931" s="39" t="str">
        <f t="shared" si="120"/>
        <v>6331</v>
      </c>
      <c r="AF931" s="12"/>
      <c r="AG931" s="12"/>
      <c r="AH931" s="12"/>
      <c r="AI931" s="12"/>
      <c r="AJ931" s="12"/>
      <c r="AK931" s="12"/>
      <c r="AL931" s="12"/>
      <c r="AM931" s="12"/>
      <c r="AN931" s="12"/>
      <c r="AO931" s="12"/>
      <c r="AP931" s="12"/>
      <c r="AQ931" s="8"/>
      <c r="AR931" s="34" t="s">
        <v>94</v>
      </c>
      <c r="AS931" s="34" t="s">
        <v>94</v>
      </c>
      <c r="AT931" s="85"/>
      <c r="AU931" s="12" t="s">
        <v>1935</v>
      </c>
      <c r="AW931" s="90">
        <v>4</v>
      </c>
      <c r="AX931" s="23">
        <f>VLOOKUP(AW931,색인!$N$14:$O$19,2,FALSE)</f>
        <v>3</v>
      </c>
      <c r="AY931" s="90" t="str">
        <f>"T"&amp;O931&amp;"_"&amp;AX931&amp;"옵션_"&amp;VLOOKUP(E931,색인!$J$25:$K$29,2,FALSE)</f>
        <v>T6_3옵션_장신구</v>
      </c>
      <c r="AZ931" s="90">
        <f>VLOOKUP(G931,색인!$J$32:$K$45,2,FALSE)</f>
        <v>2</v>
      </c>
      <c r="BA931" s="90" t="str">
        <f>_xlfn.IFNA(VLOOKUP(AY931,표1[[검색용]:[OptionGroupIndex'[']22]],EquipItemTable!AZ931,FALSE),"옵션고정안함")</f>
        <v>6331</v>
      </c>
    </row>
    <row r="932" spans="1:53" s="1" customFormat="1" ht="12" x14ac:dyDescent="0.2">
      <c r="A932" s="31" t="s">
        <v>791</v>
      </c>
      <c r="B932" s="39">
        <v>55040</v>
      </c>
      <c r="C932" s="42" t="s">
        <v>3601</v>
      </c>
      <c r="D932" s="10" t="s">
        <v>81</v>
      </c>
      <c r="E932" s="10" t="s">
        <v>0</v>
      </c>
      <c r="F932" s="1" t="s">
        <v>471</v>
      </c>
      <c r="G932" s="1" t="s">
        <v>1310</v>
      </c>
      <c r="N932" s="8"/>
      <c r="O932" s="12" t="s">
        <v>755</v>
      </c>
      <c r="P932" s="1">
        <v>61</v>
      </c>
      <c r="W932" s="1">
        <v>5613</v>
      </c>
      <c r="X932" s="1">
        <f t="shared" si="119"/>
        <v>5613</v>
      </c>
      <c r="AB932" s="11"/>
      <c r="AC932" s="82"/>
      <c r="AD932" s="12" t="s">
        <v>756</v>
      </c>
      <c r="AE932" s="39" t="str">
        <f>BA932</f>
        <v>6431</v>
      </c>
      <c r="AF932" s="12"/>
      <c r="AG932" s="12"/>
      <c r="AH932" s="12"/>
      <c r="AI932" s="12"/>
      <c r="AJ932" s="12"/>
      <c r="AK932" s="12"/>
      <c r="AL932" s="12"/>
      <c r="AM932" s="12"/>
      <c r="AN932" s="12" t="s">
        <v>554</v>
      </c>
      <c r="AO932" s="12"/>
      <c r="AP932" s="12"/>
      <c r="AQ932" s="8"/>
      <c r="AR932" s="34" t="s">
        <v>94</v>
      </c>
      <c r="AS932" s="34" t="s">
        <v>94</v>
      </c>
      <c r="AT932" s="85"/>
      <c r="AU932" s="12" t="s">
        <v>1936</v>
      </c>
      <c r="AW932" s="90">
        <v>6</v>
      </c>
      <c r="AX932" s="23">
        <f>VLOOKUP(AW932,색인!$N$14:$O$19,2,FALSE)</f>
        <v>4</v>
      </c>
      <c r="AY932" s="23" t="str">
        <f>"T"&amp;O932&amp;"_"&amp;AX932&amp;"옵션_"&amp;VLOOKUP(E932,색인!$J$25:$K$29,2,FALSE)</f>
        <v>T6_4옵션_장신구</v>
      </c>
      <c r="AZ932" s="23">
        <f>VLOOKUP(G932,색인!$J$32:$K$45,2,FALSE)</f>
        <v>2</v>
      </c>
      <c r="BA932" s="23" t="str">
        <f>_xlfn.IFNA(VLOOKUP(AY932,표1[[검색용]:[OptionGroupIndex'[']22]],EquipItemTable!AZ932,FALSE),"옵션고정안함")</f>
        <v>6431</v>
      </c>
    </row>
    <row r="933" spans="1:53" s="1" customFormat="1" ht="12" x14ac:dyDescent="0.2">
      <c r="A933" s="31" t="s">
        <v>1039</v>
      </c>
      <c r="B933" s="39">
        <v>55038</v>
      </c>
      <c r="C933" s="42" t="s">
        <v>3602</v>
      </c>
      <c r="D933" s="10" t="s">
        <v>81</v>
      </c>
      <c r="E933" s="10" t="s">
        <v>0</v>
      </c>
      <c r="F933" s="1" t="s">
        <v>471</v>
      </c>
      <c r="G933" s="1" t="s">
        <v>1310</v>
      </c>
      <c r="N933" s="8"/>
      <c r="O933" s="12" t="s">
        <v>747</v>
      </c>
      <c r="P933" s="1">
        <v>61</v>
      </c>
      <c r="W933" s="1">
        <v>5613</v>
      </c>
      <c r="X933" s="1">
        <f t="shared" ref="X933:X935" si="121">W933</f>
        <v>5613</v>
      </c>
      <c r="AB933" s="11"/>
      <c r="AC933" s="82"/>
      <c r="AD933" s="12" t="s">
        <v>336</v>
      </c>
      <c r="AE933" s="39" t="str">
        <f>BA933</f>
        <v>6431</v>
      </c>
      <c r="AF933" s="12"/>
      <c r="AG933" s="12"/>
      <c r="AH933" s="12"/>
      <c r="AI933" s="12"/>
      <c r="AJ933" s="12"/>
      <c r="AK933" s="12"/>
      <c r="AL933" s="12"/>
      <c r="AM933" s="12"/>
      <c r="AN933" s="12" t="s">
        <v>1192</v>
      </c>
      <c r="AO933" s="12"/>
      <c r="AP933" s="12"/>
      <c r="AQ933" s="8"/>
      <c r="AR933" s="34" t="s">
        <v>94</v>
      </c>
      <c r="AS933" s="34" t="s">
        <v>94</v>
      </c>
      <c r="AT933" s="85"/>
      <c r="AU933" s="12" t="s">
        <v>1936</v>
      </c>
      <c r="AW933" s="90">
        <v>6</v>
      </c>
      <c r="AX933" s="23">
        <f>VLOOKUP(AW933,색인!$N$14:$O$19,2,FALSE)</f>
        <v>4</v>
      </c>
      <c r="AY933" s="23" t="str">
        <f>"T"&amp;O933&amp;"_"&amp;AX933&amp;"옵션_"&amp;VLOOKUP(E933,색인!$J$25:$K$29,2,FALSE)</f>
        <v>T6_4옵션_장신구</v>
      </c>
      <c r="AZ933" s="23">
        <f>VLOOKUP(G933,색인!$J$32:$K$45,2,FALSE)</f>
        <v>2</v>
      </c>
      <c r="BA933" s="23" t="str">
        <f>_xlfn.IFNA(VLOOKUP(AY933,표1[[검색용]:[OptionGroupIndex'[']22]],EquipItemTable!AZ933,FALSE),"옵션고정안함")</f>
        <v>6431</v>
      </c>
    </row>
    <row r="934" spans="1:53" s="1" customFormat="1" ht="12" x14ac:dyDescent="0.2">
      <c r="A934" s="31" t="s">
        <v>1040</v>
      </c>
      <c r="B934" s="39">
        <v>55039</v>
      </c>
      <c r="C934" s="42" t="s">
        <v>3603</v>
      </c>
      <c r="D934" s="10" t="s">
        <v>81</v>
      </c>
      <c r="E934" s="10" t="s">
        <v>0</v>
      </c>
      <c r="F934" s="1" t="s">
        <v>471</v>
      </c>
      <c r="G934" s="1" t="s">
        <v>1310</v>
      </c>
      <c r="N934" s="8"/>
      <c r="O934" s="12" t="s">
        <v>747</v>
      </c>
      <c r="P934" s="1">
        <v>61</v>
      </c>
      <c r="W934" s="1">
        <v>5613</v>
      </c>
      <c r="X934" s="1">
        <f t="shared" si="121"/>
        <v>5613</v>
      </c>
      <c r="AB934" s="11"/>
      <c r="AC934" s="82"/>
      <c r="AD934" s="12" t="s">
        <v>336</v>
      </c>
      <c r="AE934" s="39" t="str">
        <f>BA934</f>
        <v>6431</v>
      </c>
      <c r="AF934" s="12"/>
      <c r="AG934" s="12"/>
      <c r="AH934" s="12"/>
      <c r="AI934" s="12"/>
      <c r="AJ934" s="12"/>
      <c r="AK934" s="12"/>
      <c r="AL934" s="12"/>
      <c r="AM934" s="12"/>
      <c r="AN934" s="12" t="s">
        <v>369</v>
      </c>
      <c r="AO934" s="12"/>
      <c r="AP934" s="12"/>
      <c r="AQ934" s="8"/>
      <c r="AR934" s="34" t="s">
        <v>94</v>
      </c>
      <c r="AS934" s="34" t="s">
        <v>94</v>
      </c>
      <c r="AT934" s="85"/>
      <c r="AU934" s="12" t="s">
        <v>1936</v>
      </c>
      <c r="AW934" s="90">
        <v>6</v>
      </c>
      <c r="AX934" s="23">
        <f>VLOOKUP(AW934,색인!$N$14:$O$19,2,FALSE)</f>
        <v>4</v>
      </c>
      <c r="AY934" s="23" t="str">
        <f>"T"&amp;O934&amp;"_"&amp;AX934&amp;"옵션_"&amp;VLOOKUP(E934,색인!$J$25:$K$29,2,FALSE)</f>
        <v>T6_4옵션_장신구</v>
      </c>
      <c r="AZ934" s="23">
        <f>VLOOKUP(G934,색인!$J$32:$K$45,2,FALSE)</f>
        <v>2</v>
      </c>
      <c r="BA934" s="23" t="str">
        <f>_xlfn.IFNA(VLOOKUP(AY934,표1[[검색용]:[OptionGroupIndex'[']22]],EquipItemTable!AZ934,FALSE),"옵션고정안함")</f>
        <v>6431</v>
      </c>
    </row>
    <row r="935" spans="1:53" s="1" customFormat="1" ht="12" x14ac:dyDescent="0.2">
      <c r="A935" s="31" t="s">
        <v>1041</v>
      </c>
      <c r="B935" s="39">
        <v>55028</v>
      </c>
      <c r="C935" s="42" t="s">
        <v>3604</v>
      </c>
      <c r="D935" s="10" t="s">
        <v>81</v>
      </c>
      <c r="E935" s="10" t="s">
        <v>0</v>
      </c>
      <c r="F935" s="1" t="s">
        <v>471</v>
      </c>
      <c r="G935" s="1" t="s">
        <v>1310</v>
      </c>
      <c r="N935" s="8"/>
      <c r="O935" s="12" t="s">
        <v>747</v>
      </c>
      <c r="P935" s="1">
        <v>61</v>
      </c>
      <c r="W935" s="1">
        <v>5613</v>
      </c>
      <c r="X935" s="1">
        <f t="shared" si="121"/>
        <v>5613</v>
      </c>
      <c r="AB935" s="11"/>
      <c r="AC935" s="82"/>
      <c r="AD935" s="12" t="s">
        <v>336</v>
      </c>
      <c r="AE935" s="39" t="str">
        <f>BA935</f>
        <v>6431</v>
      </c>
      <c r="AF935" s="12"/>
      <c r="AG935" s="12"/>
      <c r="AH935" s="12"/>
      <c r="AI935" s="12"/>
      <c r="AJ935" s="12"/>
      <c r="AK935" s="12"/>
      <c r="AL935" s="12"/>
      <c r="AM935" s="12"/>
      <c r="AN935" s="12" t="s">
        <v>1194</v>
      </c>
      <c r="AO935" s="12"/>
      <c r="AP935" s="12"/>
      <c r="AQ935" s="8"/>
      <c r="AR935" s="34" t="s">
        <v>94</v>
      </c>
      <c r="AS935" s="34" t="s">
        <v>94</v>
      </c>
      <c r="AT935" s="85"/>
      <c r="AU935" s="12" t="s">
        <v>1936</v>
      </c>
      <c r="AW935" s="90">
        <v>6</v>
      </c>
      <c r="AX935" s="23">
        <f>VLOOKUP(AW935,색인!$N$14:$O$19,2,FALSE)</f>
        <v>4</v>
      </c>
      <c r="AY935" s="23" t="str">
        <f>"T"&amp;O935&amp;"_"&amp;AX935&amp;"옵션_"&amp;VLOOKUP(E935,색인!$J$25:$K$29,2,FALSE)</f>
        <v>T6_4옵션_장신구</v>
      </c>
      <c r="AZ935" s="23">
        <f>VLOOKUP(G935,색인!$J$32:$K$45,2,FALSE)</f>
        <v>2</v>
      </c>
      <c r="BA935" s="23" t="str">
        <f>_xlfn.IFNA(VLOOKUP(AY935,표1[[검색용]:[OptionGroupIndex'[']22]],EquipItemTable!AZ935,FALSE),"옵션고정안함")</f>
        <v>6431</v>
      </c>
    </row>
    <row r="936" spans="1:53" ht="12" customHeight="1" x14ac:dyDescent="0.2">
      <c r="A936" s="13" t="s">
        <v>669</v>
      </c>
      <c r="B936" s="39">
        <v>55401</v>
      </c>
      <c r="C936" s="42" t="s">
        <v>3616</v>
      </c>
      <c r="D936" s="10" t="s">
        <v>81</v>
      </c>
      <c r="E936" s="10" t="s">
        <v>0</v>
      </c>
      <c r="F936" s="1" t="s">
        <v>471</v>
      </c>
      <c r="G936" s="1" t="s">
        <v>1310</v>
      </c>
      <c r="H936" s="1"/>
      <c r="I936" s="1"/>
      <c r="J936" s="1"/>
      <c r="K936" s="1"/>
      <c r="L936" s="1"/>
      <c r="M936" s="1"/>
      <c r="O936" s="12" t="s">
        <v>94</v>
      </c>
      <c r="P936" s="1">
        <v>1</v>
      </c>
      <c r="Q936" s="1"/>
      <c r="R936" s="1"/>
      <c r="S936" s="1"/>
      <c r="T936" s="1"/>
      <c r="U936" s="1"/>
      <c r="V936" s="1"/>
      <c r="W936" s="1">
        <f>ROUNDDOWN(W899*1.1,0)</f>
        <v>224</v>
      </c>
      <c r="X936" s="1">
        <f t="shared" ref="X936:X950" si="122">W936</f>
        <v>224</v>
      </c>
      <c r="Y936" s="1"/>
      <c r="Z936" s="1"/>
      <c r="AA936" s="1"/>
      <c r="AB936" s="11"/>
      <c r="AC936" s="82"/>
      <c r="AD936" s="12" t="s">
        <v>868</v>
      </c>
      <c r="AE936" s="39" t="str">
        <f t="shared" ref="AE936:AE946" si="123">BA936</f>
        <v>1331</v>
      </c>
      <c r="AN936" s="12" t="s">
        <v>2833</v>
      </c>
      <c r="AR936" s="34" t="s">
        <v>94</v>
      </c>
      <c r="AS936" s="34" t="s">
        <v>94</v>
      </c>
      <c r="AU936" s="12" t="s">
        <v>1937</v>
      </c>
      <c r="AV936" s="13"/>
      <c r="AW936" s="39">
        <v>5</v>
      </c>
      <c r="AX936" s="12">
        <f>VLOOKUP(AW936,색인!$N$14:$O$19,2,FALSE)</f>
        <v>3</v>
      </c>
      <c r="AY936" s="39" t="str">
        <f>"T"&amp;O936&amp;"_"&amp;AX936&amp;"옵션_"&amp;VLOOKUP(E936,색인!$J$25:$K$29,2,FALSE)</f>
        <v>T1_3옵션_장신구</v>
      </c>
      <c r="AZ936" s="39">
        <f>VLOOKUP(G936,색인!$J$32:$K$45,2,FALSE)</f>
        <v>2</v>
      </c>
      <c r="BA936" s="39" t="str">
        <f>_xlfn.IFNA(VLOOKUP(AY936,표1[[검색용]:[OptionGroupIndex'[']22]],EquipItemTable!AZ936,FALSE),"옵션고정안함")</f>
        <v>1331</v>
      </c>
    </row>
    <row r="937" spans="1:53" ht="12" customHeight="1" x14ac:dyDescent="0.2">
      <c r="A937" s="13" t="s">
        <v>670</v>
      </c>
      <c r="B937" s="39">
        <v>55402</v>
      </c>
      <c r="C937" s="42" t="s">
        <v>3616</v>
      </c>
      <c r="D937" s="10" t="s">
        <v>81</v>
      </c>
      <c r="E937" s="10" t="s">
        <v>0</v>
      </c>
      <c r="F937" s="1" t="s">
        <v>471</v>
      </c>
      <c r="G937" s="1" t="s">
        <v>1310</v>
      </c>
      <c r="H937" s="1"/>
      <c r="I937" s="1"/>
      <c r="J937" s="1"/>
      <c r="K937" s="1"/>
      <c r="L937" s="1"/>
      <c r="M937" s="1"/>
      <c r="O937" s="12" t="s">
        <v>95</v>
      </c>
      <c r="P937" s="1">
        <v>21</v>
      </c>
      <c r="Q937" s="1"/>
      <c r="R937" s="1"/>
      <c r="S937" s="1"/>
      <c r="T937" s="1"/>
      <c r="U937" s="1"/>
      <c r="V937" s="1"/>
      <c r="W937" s="1">
        <f>ROUNDDOWN(W903*1.1,0)</f>
        <v>509</v>
      </c>
      <c r="X937" s="1">
        <f t="shared" si="122"/>
        <v>509</v>
      </c>
      <c r="Y937" s="1"/>
      <c r="Z937" s="1"/>
      <c r="AA937" s="1"/>
      <c r="AB937" s="11"/>
      <c r="AC937" s="82"/>
      <c r="AD937" s="12" t="s">
        <v>868</v>
      </c>
      <c r="AE937" s="39" t="str">
        <f t="shared" si="123"/>
        <v>2331</v>
      </c>
      <c r="AN937" s="12" t="s">
        <v>2833</v>
      </c>
      <c r="AR937" s="34" t="s">
        <v>94</v>
      </c>
      <c r="AS937" s="34" t="s">
        <v>94</v>
      </c>
      <c r="AU937" s="12" t="s">
        <v>1937</v>
      </c>
      <c r="AV937" s="13"/>
      <c r="AW937" s="39">
        <v>5</v>
      </c>
      <c r="AX937" s="12">
        <f>VLOOKUP(AW937,색인!$N$14:$O$19,2,FALSE)</f>
        <v>3</v>
      </c>
      <c r="AY937" s="39" t="str">
        <f>"T"&amp;O937&amp;"_"&amp;AX937&amp;"옵션_"&amp;VLOOKUP(E937,색인!$J$25:$K$29,2,FALSE)</f>
        <v>T2_3옵션_장신구</v>
      </c>
      <c r="AZ937" s="39">
        <f>VLOOKUP(G937,색인!$J$32:$K$45,2,FALSE)</f>
        <v>2</v>
      </c>
      <c r="BA937" s="39" t="str">
        <f>_xlfn.IFNA(VLOOKUP(AY937,표1[[검색용]:[OptionGroupIndex'[']22]],EquipItemTable!AZ937,FALSE),"옵션고정안함")</f>
        <v>2331</v>
      </c>
    </row>
    <row r="938" spans="1:53" ht="12" customHeight="1" x14ac:dyDescent="0.2">
      <c r="A938" s="13" t="s">
        <v>671</v>
      </c>
      <c r="B938" s="39">
        <v>55403</v>
      </c>
      <c r="C938" s="42" t="s">
        <v>3616</v>
      </c>
      <c r="D938" s="10" t="s">
        <v>81</v>
      </c>
      <c r="E938" s="10" t="s">
        <v>0</v>
      </c>
      <c r="F938" s="1" t="s">
        <v>93</v>
      </c>
      <c r="G938" s="1" t="s">
        <v>1310</v>
      </c>
      <c r="H938" s="1"/>
      <c r="I938" s="1"/>
      <c r="J938" s="1"/>
      <c r="K938" s="1"/>
      <c r="L938" s="1"/>
      <c r="M938" s="1"/>
      <c r="N938" s="81"/>
      <c r="O938" s="12" t="s">
        <v>96</v>
      </c>
      <c r="P938" s="1">
        <v>31</v>
      </c>
      <c r="Q938" s="13"/>
      <c r="R938" s="13"/>
      <c r="S938" s="13"/>
      <c r="T938" s="13"/>
      <c r="U938" s="13"/>
      <c r="V938" s="1"/>
      <c r="W938" s="1">
        <f>ROUNDDOWN(W907*1.1,0)</f>
        <v>1048</v>
      </c>
      <c r="X938" s="1">
        <f t="shared" si="122"/>
        <v>1048</v>
      </c>
      <c r="Y938" s="13"/>
      <c r="Z938" s="13"/>
      <c r="AA938" s="13"/>
      <c r="AB938" s="13"/>
      <c r="AC938" s="82"/>
      <c r="AD938" s="23" t="s">
        <v>52</v>
      </c>
      <c r="AE938" s="90" t="str">
        <f t="shared" si="123"/>
        <v>3331</v>
      </c>
      <c r="AF938" s="23"/>
      <c r="AI938" s="23"/>
      <c r="AJ938" s="23"/>
      <c r="AK938" s="23"/>
      <c r="AL938" s="23"/>
      <c r="AM938" s="23"/>
      <c r="AN938" s="12" t="s">
        <v>2833</v>
      </c>
      <c r="AO938" s="23"/>
      <c r="AP938" s="23"/>
      <c r="AQ938" s="81"/>
      <c r="AR938" s="83">
        <v>1</v>
      </c>
      <c r="AS938" s="83">
        <v>1</v>
      </c>
      <c r="AT938" s="81"/>
      <c r="AU938" s="12" t="s">
        <v>1937</v>
      </c>
      <c r="AV938" s="13"/>
      <c r="AW938" s="39">
        <v>5</v>
      </c>
      <c r="AX938" s="12">
        <f>VLOOKUP(AW938,색인!$N$14:$O$19,2,FALSE)</f>
        <v>3</v>
      </c>
      <c r="AY938" s="39" t="str">
        <f>"T"&amp;O938&amp;"_"&amp;AX938&amp;"옵션_"&amp;VLOOKUP(E938,색인!$J$25:$K$29,2,FALSE)</f>
        <v>T3_3옵션_장신구</v>
      </c>
      <c r="AZ938" s="39">
        <f>VLOOKUP(G938,색인!$J$32:$K$45,2,FALSE)</f>
        <v>2</v>
      </c>
      <c r="BA938" s="39" t="str">
        <f>_xlfn.IFNA(VLOOKUP(AY938,표1[[검색용]:[OptionGroupIndex'[']22]],EquipItemTable!AZ938,FALSE),"옵션고정안함")</f>
        <v>3331</v>
      </c>
    </row>
    <row r="939" spans="1:53" ht="12" customHeight="1" x14ac:dyDescent="0.2">
      <c r="A939" s="13" t="s">
        <v>672</v>
      </c>
      <c r="B939" s="39">
        <v>55404</v>
      </c>
      <c r="C939" s="42" t="s">
        <v>3616</v>
      </c>
      <c r="D939" s="10" t="s">
        <v>81</v>
      </c>
      <c r="E939" s="10" t="s">
        <v>0</v>
      </c>
      <c r="F939" s="1" t="s">
        <v>93</v>
      </c>
      <c r="G939" s="1" t="s">
        <v>1310</v>
      </c>
      <c r="H939" s="1"/>
      <c r="I939" s="1"/>
      <c r="J939" s="1"/>
      <c r="K939" s="1"/>
      <c r="L939" s="1"/>
      <c r="M939" s="1"/>
      <c r="O939" s="12" t="s">
        <v>97</v>
      </c>
      <c r="P939" s="1">
        <v>41</v>
      </c>
      <c r="Q939" s="1"/>
      <c r="R939" s="1"/>
      <c r="S939" s="1"/>
      <c r="T939" s="1"/>
      <c r="U939" s="1"/>
      <c r="V939" s="1"/>
      <c r="W939" s="1">
        <f>ROUNDDOWN(W915*1.1,0)</f>
        <v>2048</v>
      </c>
      <c r="X939" s="1">
        <f t="shared" si="122"/>
        <v>2048</v>
      </c>
      <c r="Y939" s="1"/>
      <c r="Z939" s="1"/>
      <c r="AA939" s="1"/>
      <c r="AB939" s="11"/>
      <c r="AC939" s="82"/>
      <c r="AD939" s="12" t="s">
        <v>52</v>
      </c>
      <c r="AE939" s="39" t="str">
        <f t="shared" si="123"/>
        <v>4331</v>
      </c>
      <c r="AN939" s="12" t="s">
        <v>2833</v>
      </c>
      <c r="AR939" s="34" t="s">
        <v>94</v>
      </c>
      <c r="AS939" s="34" t="s">
        <v>94</v>
      </c>
      <c r="AU939" s="12" t="s">
        <v>1937</v>
      </c>
      <c r="AV939" s="13" t="s">
        <v>32</v>
      </c>
      <c r="AW939" s="39">
        <v>5</v>
      </c>
      <c r="AX939" s="12">
        <f>VLOOKUP(AW939,색인!$N$14:$O$19,2,FALSE)</f>
        <v>3</v>
      </c>
      <c r="AY939" s="39" t="str">
        <f>"T"&amp;O939&amp;"_"&amp;AX939&amp;"옵션_"&amp;VLOOKUP(E939,색인!$J$25:$K$29,2,FALSE)</f>
        <v>T4_3옵션_장신구</v>
      </c>
      <c r="AZ939" s="39">
        <f>VLOOKUP(G939,색인!$J$32:$K$45,2,FALSE)</f>
        <v>2</v>
      </c>
      <c r="BA939" s="39" t="str">
        <f>_xlfn.IFNA(VLOOKUP(AY939,표1[[검색용]:[OptionGroupIndex'[']22]],EquipItemTable!AZ939,FALSE),"옵션고정안함")</f>
        <v>4331</v>
      </c>
    </row>
    <row r="940" spans="1:53" ht="12" customHeight="1" x14ac:dyDescent="0.2">
      <c r="A940" s="13" t="s">
        <v>673</v>
      </c>
      <c r="B940" s="39">
        <v>55405</v>
      </c>
      <c r="C940" s="42" t="s">
        <v>3616</v>
      </c>
      <c r="D940" s="10" t="s">
        <v>81</v>
      </c>
      <c r="E940" s="10" t="s">
        <v>0</v>
      </c>
      <c r="F940" s="1" t="s">
        <v>471</v>
      </c>
      <c r="G940" s="1" t="s">
        <v>1310</v>
      </c>
      <c r="H940" s="1"/>
      <c r="I940" s="1"/>
      <c r="J940" s="1"/>
      <c r="K940" s="1"/>
      <c r="L940" s="1"/>
      <c r="M940" s="1"/>
      <c r="O940" s="12" t="s">
        <v>430</v>
      </c>
      <c r="P940" s="1">
        <v>51</v>
      </c>
      <c r="Q940" s="1"/>
      <c r="R940" s="1"/>
      <c r="S940" s="1"/>
      <c r="T940" s="1"/>
      <c r="U940" s="1"/>
      <c r="V940" s="1"/>
      <c r="W940" s="1">
        <f>ROUNDDOWN(W923*1.1,0)</f>
        <v>3858</v>
      </c>
      <c r="X940" s="1">
        <f t="shared" si="122"/>
        <v>3858</v>
      </c>
      <c r="Y940" s="1"/>
      <c r="Z940" s="1"/>
      <c r="AA940" s="1"/>
      <c r="AB940" s="11"/>
      <c r="AC940" s="82"/>
      <c r="AD940" s="12" t="s">
        <v>98</v>
      </c>
      <c r="AE940" s="39" t="str">
        <f t="shared" si="123"/>
        <v>5331</v>
      </c>
      <c r="AN940" s="12" t="s">
        <v>2833</v>
      </c>
      <c r="AR940" s="34" t="s">
        <v>94</v>
      </c>
      <c r="AS940" s="34" t="s">
        <v>94</v>
      </c>
      <c r="AU940" s="12" t="s">
        <v>1937</v>
      </c>
      <c r="AV940" s="13"/>
      <c r="AW940" s="39">
        <v>5</v>
      </c>
      <c r="AX940" s="12">
        <f>VLOOKUP(AW940,색인!$N$14:$O$19,2,FALSE)</f>
        <v>3</v>
      </c>
      <c r="AY940" s="39" t="str">
        <f>"T"&amp;O940&amp;"_"&amp;AX940&amp;"옵션_"&amp;VLOOKUP(E940,색인!$J$25:$K$29,2,FALSE)</f>
        <v>T5_3옵션_장신구</v>
      </c>
      <c r="AZ940" s="39">
        <f>VLOOKUP(G940,색인!$J$32:$K$45,2,FALSE)</f>
        <v>2</v>
      </c>
      <c r="BA940" s="39" t="str">
        <f>_xlfn.IFNA(VLOOKUP(AY940,표1[[검색용]:[OptionGroupIndex'[']22]],EquipItemTable!AZ940,FALSE),"옵션고정안함")</f>
        <v>5331</v>
      </c>
    </row>
    <row r="941" spans="1:53" s="1" customFormat="1" ht="12" x14ac:dyDescent="0.2">
      <c r="A941" s="31" t="s">
        <v>792</v>
      </c>
      <c r="B941" s="39">
        <v>55406</v>
      </c>
      <c r="C941" s="42" t="s">
        <v>3616</v>
      </c>
      <c r="D941" s="10" t="s">
        <v>81</v>
      </c>
      <c r="E941" s="10" t="s">
        <v>0</v>
      </c>
      <c r="F941" s="1" t="s">
        <v>471</v>
      </c>
      <c r="G941" s="1" t="s">
        <v>1310</v>
      </c>
      <c r="N941" s="8"/>
      <c r="O941" s="12" t="s">
        <v>755</v>
      </c>
      <c r="P941" s="1">
        <v>61</v>
      </c>
      <c r="W941" s="1">
        <v>5628</v>
      </c>
      <c r="X941" s="1">
        <f t="shared" si="122"/>
        <v>5628</v>
      </c>
      <c r="AB941" s="11"/>
      <c r="AC941" s="82"/>
      <c r="AD941" s="12" t="s">
        <v>864</v>
      </c>
      <c r="AE941" s="39" t="str">
        <f t="shared" si="123"/>
        <v>6331</v>
      </c>
      <c r="AF941" s="12"/>
      <c r="AG941" s="12"/>
      <c r="AH941" s="12"/>
      <c r="AI941" s="12"/>
      <c r="AJ941" s="12"/>
      <c r="AK941" s="12"/>
      <c r="AL941" s="12"/>
      <c r="AM941" s="12"/>
      <c r="AN941" s="12" t="s">
        <v>2833</v>
      </c>
      <c r="AO941" s="12"/>
      <c r="AP941" s="12"/>
      <c r="AQ941" s="8"/>
      <c r="AR941" s="34" t="s">
        <v>865</v>
      </c>
      <c r="AS941" s="34" t="s">
        <v>865</v>
      </c>
      <c r="AT941" s="85"/>
      <c r="AU941" s="12" t="s">
        <v>1937</v>
      </c>
      <c r="AW941" s="90">
        <v>5</v>
      </c>
      <c r="AX941" s="23">
        <f>VLOOKUP(AW941,색인!$N$14:$O$19,2,FALSE)</f>
        <v>3</v>
      </c>
      <c r="AY941" s="90" t="str">
        <f>"T"&amp;O941&amp;"_"&amp;AX941&amp;"옵션_"&amp;VLOOKUP(E941,색인!$J$25:$K$29,2,FALSE)</f>
        <v>T6_3옵션_장신구</v>
      </c>
      <c r="AZ941" s="90">
        <f>VLOOKUP(G941,색인!$J$32:$K$45,2,FALSE)</f>
        <v>2</v>
      </c>
      <c r="BA941" s="90" t="str">
        <f>_xlfn.IFNA(VLOOKUP(AY941,표1[[검색용]:[OptionGroupIndex'[']22]],EquipItemTable!AZ941,FALSE),"옵션고정안함")</f>
        <v>6331</v>
      </c>
    </row>
    <row r="942" spans="1:53" s="1" customFormat="1" ht="12" x14ac:dyDescent="0.2">
      <c r="A942" s="31" t="s">
        <v>1234</v>
      </c>
      <c r="B942" s="39">
        <v>55407</v>
      </c>
      <c r="C942" s="42" t="s">
        <v>3617</v>
      </c>
      <c r="D942" s="10" t="s">
        <v>81</v>
      </c>
      <c r="E942" s="10" t="s">
        <v>0</v>
      </c>
      <c r="F942" s="1" t="s">
        <v>471</v>
      </c>
      <c r="G942" s="1" t="s">
        <v>1310</v>
      </c>
      <c r="N942" s="8"/>
      <c r="O942" s="12" t="s">
        <v>747</v>
      </c>
      <c r="P942" s="1">
        <v>61</v>
      </c>
      <c r="W942" s="1">
        <v>5628</v>
      </c>
      <c r="X942" s="1">
        <f t="shared" ref="X942:X946" si="124">W942</f>
        <v>5628</v>
      </c>
      <c r="AB942" s="11"/>
      <c r="AC942" s="82"/>
      <c r="AD942" s="12" t="s">
        <v>864</v>
      </c>
      <c r="AE942" s="39" t="str">
        <f t="shared" si="123"/>
        <v>6331</v>
      </c>
      <c r="AF942" s="12"/>
      <c r="AG942" s="12"/>
      <c r="AH942" s="12"/>
      <c r="AI942" s="12"/>
      <c r="AJ942" s="12"/>
      <c r="AK942" s="12"/>
      <c r="AL942" s="12"/>
      <c r="AM942" s="12"/>
      <c r="AN942" s="12" t="s">
        <v>1228</v>
      </c>
      <c r="AO942" s="12"/>
      <c r="AP942" s="12"/>
      <c r="AQ942" s="8"/>
      <c r="AR942" s="34" t="s">
        <v>865</v>
      </c>
      <c r="AS942" s="34" t="s">
        <v>865</v>
      </c>
      <c r="AT942" s="85"/>
      <c r="AU942" s="12" t="s">
        <v>1937</v>
      </c>
      <c r="AW942" s="90">
        <v>5</v>
      </c>
      <c r="AX942" s="23">
        <f>VLOOKUP(AW942,색인!$N$14:$O$19,2,FALSE)</f>
        <v>3</v>
      </c>
      <c r="AY942" s="90" t="str">
        <f>"T"&amp;O942&amp;"_"&amp;AX942&amp;"옵션_"&amp;VLOOKUP(E942,색인!$J$25:$K$29,2,FALSE)</f>
        <v>T6_3옵션_장신구</v>
      </c>
      <c r="AZ942" s="90">
        <f>VLOOKUP(G942,색인!$J$32:$K$45,2,FALSE)</f>
        <v>2</v>
      </c>
      <c r="BA942" s="90" t="str">
        <f>_xlfn.IFNA(VLOOKUP(AY942,표1[[검색용]:[OptionGroupIndex'[']22]],EquipItemTable!AZ942,FALSE),"옵션고정안함")</f>
        <v>6331</v>
      </c>
    </row>
    <row r="943" spans="1:53" s="1" customFormat="1" ht="12" x14ac:dyDescent="0.2">
      <c r="A943" s="31" t="s">
        <v>1235</v>
      </c>
      <c r="B943" s="39">
        <v>55408</v>
      </c>
      <c r="C943" s="42" t="s">
        <v>3618</v>
      </c>
      <c r="D943" s="10" t="s">
        <v>81</v>
      </c>
      <c r="E943" s="10" t="s">
        <v>0</v>
      </c>
      <c r="F943" s="1" t="s">
        <v>471</v>
      </c>
      <c r="G943" s="1" t="s">
        <v>1310</v>
      </c>
      <c r="J943" s="27"/>
      <c r="K943" s="27"/>
      <c r="L943" s="27"/>
      <c r="M943" s="27"/>
      <c r="N943" s="8"/>
      <c r="O943" s="12" t="s">
        <v>747</v>
      </c>
      <c r="P943" s="1">
        <v>61</v>
      </c>
      <c r="W943" s="1">
        <v>5628</v>
      </c>
      <c r="X943" s="1">
        <f t="shared" si="124"/>
        <v>5628</v>
      </c>
      <c r="AB943" s="11"/>
      <c r="AC943" s="82"/>
      <c r="AD943" s="12" t="s">
        <v>864</v>
      </c>
      <c r="AE943" s="39" t="str">
        <f t="shared" si="123"/>
        <v>6331</v>
      </c>
      <c r="AF943" s="12"/>
      <c r="AG943" s="29"/>
      <c r="AH943" s="29"/>
      <c r="AI943" s="12"/>
      <c r="AJ943" s="12"/>
      <c r="AK943" s="12"/>
      <c r="AL943" s="12"/>
      <c r="AM943" s="12"/>
      <c r="AN943" s="12" t="s">
        <v>1213</v>
      </c>
      <c r="AO943" s="12"/>
      <c r="AP943" s="12"/>
      <c r="AQ943" s="8"/>
      <c r="AR943" s="34" t="s">
        <v>865</v>
      </c>
      <c r="AS943" s="34" t="s">
        <v>865</v>
      </c>
      <c r="AT943" s="85"/>
      <c r="AU943" s="12" t="s">
        <v>1937</v>
      </c>
      <c r="AW943" s="90">
        <v>5</v>
      </c>
      <c r="AX943" s="23">
        <f>VLOOKUP(AW943,색인!$N$14:$O$19,2,FALSE)</f>
        <v>3</v>
      </c>
      <c r="AY943" s="90" t="str">
        <f>"T"&amp;O943&amp;"_"&amp;AX943&amp;"옵션_"&amp;VLOOKUP(E943,색인!$J$25:$K$29,2,FALSE)</f>
        <v>T6_3옵션_장신구</v>
      </c>
      <c r="AZ943" s="90">
        <f>VLOOKUP(G943,색인!$J$32:$K$45,2,FALSE)</f>
        <v>2</v>
      </c>
      <c r="BA943" s="90" t="str">
        <f>_xlfn.IFNA(VLOOKUP(AY943,표1[[검색용]:[OptionGroupIndex'[']22]],EquipItemTable!AZ943,FALSE),"옵션고정안함")</f>
        <v>6331</v>
      </c>
    </row>
    <row r="944" spans="1:53" s="1" customFormat="1" ht="12" x14ac:dyDescent="0.2">
      <c r="A944" s="31" t="s">
        <v>1236</v>
      </c>
      <c r="B944" s="39">
        <v>55409</v>
      </c>
      <c r="C944" s="42" t="s">
        <v>3619</v>
      </c>
      <c r="D944" s="10" t="s">
        <v>81</v>
      </c>
      <c r="E944" s="10" t="s">
        <v>0</v>
      </c>
      <c r="F944" s="1" t="s">
        <v>471</v>
      </c>
      <c r="G944" s="1" t="s">
        <v>1310</v>
      </c>
      <c r="J944" s="27"/>
      <c r="K944" s="27"/>
      <c r="L944" s="27"/>
      <c r="M944" s="27"/>
      <c r="N944" s="8"/>
      <c r="O944" s="12" t="s">
        <v>747</v>
      </c>
      <c r="P944" s="1">
        <v>61</v>
      </c>
      <c r="W944" s="1">
        <v>5628</v>
      </c>
      <c r="X944" s="1">
        <f t="shared" si="124"/>
        <v>5628</v>
      </c>
      <c r="AB944" s="11"/>
      <c r="AC944" s="82"/>
      <c r="AD944" s="12" t="s">
        <v>864</v>
      </c>
      <c r="AE944" s="39" t="str">
        <f t="shared" si="123"/>
        <v>6331</v>
      </c>
      <c r="AF944" s="12"/>
      <c r="AG944" s="29"/>
      <c r="AH944" s="29"/>
      <c r="AI944" s="12"/>
      <c r="AJ944" s="12"/>
      <c r="AK944" s="12"/>
      <c r="AL944" s="12"/>
      <c r="AM944" s="12"/>
      <c r="AN944" s="12" t="s">
        <v>1214</v>
      </c>
      <c r="AO944" s="12"/>
      <c r="AP944" s="12"/>
      <c r="AQ944" s="8"/>
      <c r="AR944" s="34" t="s">
        <v>865</v>
      </c>
      <c r="AS944" s="34" t="s">
        <v>865</v>
      </c>
      <c r="AT944" s="85"/>
      <c r="AU944" s="12" t="s">
        <v>1937</v>
      </c>
      <c r="AW944" s="90">
        <v>5</v>
      </c>
      <c r="AX944" s="23">
        <f>VLOOKUP(AW944,색인!$N$14:$O$19,2,FALSE)</f>
        <v>3</v>
      </c>
      <c r="AY944" s="90" t="str">
        <f>"T"&amp;O944&amp;"_"&amp;AX944&amp;"옵션_"&amp;VLOOKUP(E944,색인!$J$25:$K$29,2,FALSE)</f>
        <v>T6_3옵션_장신구</v>
      </c>
      <c r="AZ944" s="90">
        <f>VLOOKUP(G944,색인!$J$32:$K$45,2,FALSE)</f>
        <v>2</v>
      </c>
      <c r="BA944" s="90" t="str">
        <f>_xlfn.IFNA(VLOOKUP(AY944,표1[[검색용]:[OptionGroupIndex'[']22]],EquipItemTable!AZ944,FALSE),"옵션고정안함")</f>
        <v>6331</v>
      </c>
    </row>
    <row r="945" spans="1:53" s="1" customFormat="1" ht="12" x14ac:dyDescent="0.2">
      <c r="A945" s="31" t="s">
        <v>1237</v>
      </c>
      <c r="B945" s="39">
        <v>55410</v>
      </c>
      <c r="C945" s="42" t="s">
        <v>3620</v>
      </c>
      <c r="D945" s="10" t="s">
        <v>81</v>
      </c>
      <c r="E945" s="10" t="s">
        <v>0</v>
      </c>
      <c r="F945" s="1" t="s">
        <v>471</v>
      </c>
      <c r="G945" s="1" t="s">
        <v>1310</v>
      </c>
      <c r="J945" s="27"/>
      <c r="K945" s="27"/>
      <c r="L945" s="27"/>
      <c r="M945" s="27"/>
      <c r="N945" s="8"/>
      <c r="O945" s="12" t="s">
        <v>747</v>
      </c>
      <c r="P945" s="1">
        <v>61</v>
      </c>
      <c r="W945" s="1">
        <v>5628</v>
      </c>
      <c r="X945" s="1">
        <f t="shared" si="124"/>
        <v>5628</v>
      </c>
      <c r="AB945" s="11"/>
      <c r="AC945" s="82"/>
      <c r="AD945" s="12" t="s">
        <v>864</v>
      </c>
      <c r="AE945" s="39" t="str">
        <f t="shared" si="123"/>
        <v>6331</v>
      </c>
      <c r="AF945" s="12"/>
      <c r="AG945" s="29"/>
      <c r="AH945" s="29"/>
      <c r="AI945" s="12"/>
      <c r="AJ945" s="12"/>
      <c r="AK945" s="12"/>
      <c r="AL945" s="12"/>
      <c r="AM945" s="12"/>
      <c r="AN945" s="12" t="s">
        <v>1215</v>
      </c>
      <c r="AO945" s="12"/>
      <c r="AP945" s="12"/>
      <c r="AQ945" s="8"/>
      <c r="AR945" s="34" t="s">
        <v>865</v>
      </c>
      <c r="AS945" s="34" t="s">
        <v>865</v>
      </c>
      <c r="AT945" s="85"/>
      <c r="AU945" s="12" t="s">
        <v>1937</v>
      </c>
      <c r="AW945" s="90">
        <v>5</v>
      </c>
      <c r="AX945" s="23">
        <f>VLOOKUP(AW945,색인!$N$14:$O$19,2,FALSE)</f>
        <v>3</v>
      </c>
      <c r="AY945" s="90" t="str">
        <f>"T"&amp;O945&amp;"_"&amp;AX945&amp;"옵션_"&amp;VLOOKUP(E945,색인!$J$25:$K$29,2,FALSE)</f>
        <v>T6_3옵션_장신구</v>
      </c>
      <c r="AZ945" s="90">
        <f>VLOOKUP(G945,색인!$J$32:$K$45,2,FALSE)</f>
        <v>2</v>
      </c>
      <c r="BA945" s="90" t="str">
        <f>_xlfn.IFNA(VLOOKUP(AY945,표1[[검색용]:[OptionGroupIndex'[']22]],EquipItemTable!AZ945,FALSE),"옵션고정안함")</f>
        <v>6331</v>
      </c>
    </row>
    <row r="946" spans="1:53" s="1" customFormat="1" ht="12" x14ac:dyDescent="0.2">
      <c r="A946" s="31" t="s">
        <v>1238</v>
      </c>
      <c r="B946" s="39">
        <v>55411</v>
      </c>
      <c r="C946" s="42" t="s">
        <v>3621</v>
      </c>
      <c r="D946" s="10" t="s">
        <v>81</v>
      </c>
      <c r="E946" s="10" t="s">
        <v>0</v>
      </c>
      <c r="F946" s="1" t="s">
        <v>471</v>
      </c>
      <c r="G946" s="1" t="s">
        <v>1310</v>
      </c>
      <c r="J946" s="27"/>
      <c r="K946" s="27"/>
      <c r="L946" s="27"/>
      <c r="M946" s="27"/>
      <c r="N946" s="8"/>
      <c r="O946" s="12" t="s">
        <v>747</v>
      </c>
      <c r="P946" s="1">
        <v>61</v>
      </c>
      <c r="W946" s="1">
        <v>5628</v>
      </c>
      <c r="X946" s="1">
        <f t="shared" si="124"/>
        <v>5628</v>
      </c>
      <c r="AB946" s="11"/>
      <c r="AC946" s="82"/>
      <c r="AD946" s="12" t="s">
        <v>864</v>
      </c>
      <c r="AE946" s="39" t="str">
        <f t="shared" si="123"/>
        <v>6331</v>
      </c>
      <c r="AF946" s="12"/>
      <c r="AG946" s="29"/>
      <c r="AH946" s="29"/>
      <c r="AI946" s="12"/>
      <c r="AJ946" s="12"/>
      <c r="AK946" s="12"/>
      <c r="AL946" s="12"/>
      <c r="AM946" s="12"/>
      <c r="AN946" s="12" t="s">
        <v>1216</v>
      </c>
      <c r="AO946" s="12"/>
      <c r="AP946" s="12"/>
      <c r="AQ946" s="8"/>
      <c r="AR946" s="34" t="s">
        <v>865</v>
      </c>
      <c r="AS946" s="34" t="s">
        <v>865</v>
      </c>
      <c r="AT946" s="85"/>
      <c r="AU946" s="12" t="s">
        <v>1937</v>
      </c>
      <c r="AW946" s="90">
        <v>5</v>
      </c>
      <c r="AX946" s="23">
        <f>VLOOKUP(AW946,색인!$N$14:$O$19,2,FALSE)</f>
        <v>3</v>
      </c>
      <c r="AY946" s="90" t="str">
        <f>"T"&amp;O946&amp;"_"&amp;AX946&amp;"옵션_"&amp;VLOOKUP(E946,색인!$J$25:$K$29,2,FALSE)</f>
        <v>T6_3옵션_장신구</v>
      </c>
      <c r="AZ946" s="90">
        <f>VLOOKUP(G946,색인!$J$32:$K$45,2,FALSE)</f>
        <v>2</v>
      </c>
      <c r="BA946" s="90" t="str">
        <f>_xlfn.IFNA(VLOOKUP(AY946,표1[[검색용]:[OptionGroupIndex'[']22]],EquipItemTable!AZ946,FALSE),"옵션고정안함")</f>
        <v>6331</v>
      </c>
    </row>
    <row r="947" spans="1:53" s="1" customFormat="1" ht="12" x14ac:dyDescent="0.2">
      <c r="A947" s="24" t="s">
        <v>923</v>
      </c>
      <c r="B947" s="39">
        <v>55601</v>
      </c>
      <c r="C947" s="42" t="e">
        <v>#N/A</v>
      </c>
      <c r="D947" s="10" t="s">
        <v>81</v>
      </c>
      <c r="E947" s="10" t="s">
        <v>0</v>
      </c>
      <c r="F947" s="1" t="s">
        <v>471</v>
      </c>
      <c r="G947" s="1" t="s">
        <v>1310</v>
      </c>
      <c r="J947" s="27"/>
      <c r="K947" s="27"/>
      <c r="L947" s="27"/>
      <c r="M947" s="27"/>
      <c r="N947" s="8"/>
      <c r="O947" s="12" t="s">
        <v>881</v>
      </c>
      <c r="P947" s="1">
        <v>31</v>
      </c>
      <c r="W947" s="1">
        <v>1294</v>
      </c>
      <c r="X947" s="1">
        <f t="shared" si="122"/>
        <v>1294</v>
      </c>
      <c r="AB947" s="11"/>
      <c r="AC947" s="82"/>
      <c r="AD947" s="12" t="s">
        <v>99</v>
      </c>
      <c r="AE947" s="12" t="s">
        <v>881</v>
      </c>
      <c r="AF947" s="12"/>
      <c r="AG947" s="29"/>
      <c r="AH947" s="29"/>
      <c r="AQ947" s="85"/>
      <c r="AR947" s="1">
        <v>1</v>
      </c>
      <c r="AS947" s="1">
        <v>1</v>
      </c>
      <c r="AT947" s="85"/>
      <c r="AU947" s="12" t="s">
        <v>1938</v>
      </c>
      <c r="AW947" s="90">
        <v>7</v>
      </c>
      <c r="AX947" s="23"/>
      <c r="AY947" s="23"/>
      <c r="AZ947" s="23"/>
      <c r="BA947" s="23"/>
    </row>
    <row r="948" spans="1:53" s="1" customFormat="1" ht="12" x14ac:dyDescent="0.2">
      <c r="A948" s="24" t="s">
        <v>924</v>
      </c>
      <c r="B948" s="39">
        <v>55602</v>
      </c>
      <c r="C948" s="42" t="e">
        <v>#N/A</v>
      </c>
      <c r="D948" s="10" t="s">
        <v>81</v>
      </c>
      <c r="E948" s="10" t="s">
        <v>0</v>
      </c>
      <c r="F948" s="1" t="s">
        <v>471</v>
      </c>
      <c r="G948" s="1" t="s">
        <v>1310</v>
      </c>
      <c r="J948" s="27"/>
      <c r="K948" s="27"/>
      <c r="L948" s="27"/>
      <c r="M948" s="27"/>
      <c r="N948" s="8"/>
      <c r="O948" s="12" t="s">
        <v>882</v>
      </c>
      <c r="P948" s="1">
        <v>41</v>
      </c>
      <c r="W948" s="1">
        <v>2495</v>
      </c>
      <c r="X948" s="1">
        <f t="shared" si="122"/>
        <v>2495</v>
      </c>
      <c r="AB948" s="11"/>
      <c r="AC948" s="82"/>
      <c r="AD948" s="12" t="s">
        <v>99</v>
      </c>
      <c r="AE948" s="12" t="s">
        <v>551</v>
      </c>
      <c r="AF948" s="12"/>
      <c r="AG948" s="29"/>
      <c r="AH948" s="29"/>
      <c r="AQ948" s="85"/>
      <c r="AR948" s="1">
        <v>1</v>
      </c>
      <c r="AS948" s="1">
        <v>1</v>
      </c>
      <c r="AT948" s="85"/>
      <c r="AU948" s="12" t="s">
        <v>1938</v>
      </c>
      <c r="AW948" s="90">
        <v>7</v>
      </c>
      <c r="AX948" s="23"/>
      <c r="AY948" s="23"/>
      <c r="AZ948" s="23"/>
      <c r="BA948" s="23"/>
    </row>
    <row r="949" spans="1:53" s="1" customFormat="1" ht="12" x14ac:dyDescent="0.2">
      <c r="A949" s="24" t="s">
        <v>925</v>
      </c>
      <c r="B949" s="39">
        <v>55603</v>
      </c>
      <c r="C949" s="42" t="e">
        <v>#N/A</v>
      </c>
      <c r="D949" s="10" t="s">
        <v>81</v>
      </c>
      <c r="E949" s="10" t="s">
        <v>0</v>
      </c>
      <c r="F949" s="1" t="s">
        <v>471</v>
      </c>
      <c r="G949" s="1" t="s">
        <v>1310</v>
      </c>
      <c r="J949" s="27"/>
      <c r="K949" s="27"/>
      <c r="L949" s="27"/>
      <c r="M949" s="27"/>
      <c r="N949" s="8"/>
      <c r="O949" s="12" t="s">
        <v>430</v>
      </c>
      <c r="P949" s="1">
        <v>51</v>
      </c>
      <c r="W949" s="1">
        <v>4657</v>
      </c>
      <c r="X949" s="1">
        <f t="shared" si="122"/>
        <v>4657</v>
      </c>
      <c r="AB949" s="11"/>
      <c r="AC949" s="82"/>
      <c r="AD949" s="12" t="s">
        <v>99</v>
      </c>
      <c r="AE949" s="12" t="s">
        <v>430</v>
      </c>
      <c r="AF949" s="12"/>
      <c r="AG949" s="29"/>
      <c r="AH949" s="29"/>
      <c r="AQ949" s="85"/>
      <c r="AR949" s="1">
        <v>1</v>
      </c>
      <c r="AS949" s="1">
        <v>1</v>
      </c>
      <c r="AT949" s="85"/>
      <c r="AU949" s="12" t="s">
        <v>1938</v>
      </c>
      <c r="AW949" s="90">
        <v>7</v>
      </c>
      <c r="AX949" s="23"/>
      <c r="AY949" s="23"/>
      <c r="AZ949" s="23"/>
      <c r="BA949" s="23"/>
    </row>
    <row r="950" spans="1:53" s="1" customFormat="1" ht="12" x14ac:dyDescent="0.2">
      <c r="A950" s="24" t="s">
        <v>926</v>
      </c>
      <c r="B950" s="39">
        <v>55604</v>
      </c>
      <c r="C950" s="42" t="e">
        <v>#N/A</v>
      </c>
      <c r="D950" s="10" t="s">
        <v>81</v>
      </c>
      <c r="E950" s="10" t="s">
        <v>0</v>
      </c>
      <c r="F950" s="1" t="s">
        <v>471</v>
      </c>
      <c r="G950" s="1" t="s">
        <v>1310</v>
      </c>
      <c r="J950" s="27"/>
      <c r="K950" s="27"/>
      <c r="L950" s="27"/>
      <c r="M950" s="27"/>
      <c r="N950" s="8"/>
      <c r="O950" s="12" t="s">
        <v>747</v>
      </c>
      <c r="P950" s="1">
        <v>61</v>
      </c>
      <c r="W950" s="1">
        <v>6454</v>
      </c>
      <c r="X950" s="1">
        <f t="shared" si="122"/>
        <v>6454</v>
      </c>
      <c r="AB950" s="11"/>
      <c r="AC950" s="82"/>
      <c r="AD950" s="12" t="s">
        <v>99</v>
      </c>
      <c r="AE950" s="12" t="s">
        <v>430</v>
      </c>
      <c r="AF950" s="12"/>
      <c r="AG950" s="29"/>
      <c r="AH950" s="29"/>
      <c r="AQ950" s="85"/>
      <c r="AR950" s="1">
        <v>1</v>
      </c>
      <c r="AS950" s="1">
        <v>1</v>
      </c>
      <c r="AT950" s="85"/>
      <c r="AU950" s="12" t="s">
        <v>1938</v>
      </c>
      <c r="AW950" s="90">
        <v>7</v>
      </c>
      <c r="AX950" s="23"/>
      <c r="AY950" s="23"/>
      <c r="AZ950" s="23"/>
      <c r="BA950" s="23"/>
    </row>
    <row r="951" spans="1:53" s="1" customFormat="1" ht="12" x14ac:dyDescent="0.2">
      <c r="A951" s="31" t="s">
        <v>1177</v>
      </c>
      <c r="B951" s="39">
        <v>355001</v>
      </c>
      <c r="C951" s="42" t="s">
        <v>3622</v>
      </c>
      <c r="D951" s="10" t="s">
        <v>81</v>
      </c>
      <c r="E951" s="10" t="s">
        <v>0</v>
      </c>
      <c r="F951" s="1" t="s">
        <v>471</v>
      </c>
      <c r="G951" s="1" t="s">
        <v>1310</v>
      </c>
      <c r="J951" s="27"/>
      <c r="K951" s="27"/>
      <c r="L951" s="27"/>
      <c r="M951" s="27"/>
      <c r="N951" s="8"/>
      <c r="O951" s="12" t="s">
        <v>755</v>
      </c>
      <c r="P951" s="1">
        <v>61</v>
      </c>
      <c r="W951" s="1">
        <v>5628</v>
      </c>
      <c r="X951" s="1">
        <f t="shared" ref="X951:X952" si="125">W951</f>
        <v>5628</v>
      </c>
      <c r="AB951" s="11"/>
      <c r="AC951" s="82"/>
      <c r="AD951" s="12" t="s">
        <v>864</v>
      </c>
      <c r="AE951" s="39" t="str">
        <f>BA951</f>
        <v>6331</v>
      </c>
      <c r="AF951" s="12"/>
      <c r="AG951" s="29"/>
      <c r="AH951" s="29"/>
      <c r="AI951" s="12"/>
      <c r="AJ951" s="12"/>
      <c r="AK951" s="12"/>
      <c r="AL951" s="12"/>
      <c r="AM951" s="12"/>
      <c r="AN951" s="12" t="s">
        <v>1199</v>
      </c>
      <c r="AO951" s="12"/>
      <c r="AP951" s="12"/>
      <c r="AQ951" s="8"/>
      <c r="AR951" s="34" t="s">
        <v>543</v>
      </c>
      <c r="AS951" s="34" t="s">
        <v>543</v>
      </c>
      <c r="AT951" s="85"/>
      <c r="AU951" s="12" t="s">
        <v>1937</v>
      </c>
      <c r="AW951" s="90">
        <v>5</v>
      </c>
      <c r="AX951" s="23">
        <f>VLOOKUP(AW951,색인!$N$14:$O$19,2,FALSE)</f>
        <v>3</v>
      </c>
      <c r="AY951" s="90" t="str">
        <f>"T"&amp;O951&amp;"_"&amp;AX951&amp;"옵션_"&amp;VLOOKUP(E951,색인!$J$25:$K$29,2,FALSE)</f>
        <v>T6_3옵션_장신구</v>
      </c>
      <c r="AZ951" s="90">
        <f>VLOOKUP(G951,색인!$J$32:$K$45,2,FALSE)</f>
        <v>2</v>
      </c>
      <c r="BA951" s="90" t="str">
        <f>_xlfn.IFNA(VLOOKUP(AY951,표1[[검색용]:[OptionGroupIndex'[']22]],EquipItemTable!AZ951,FALSE),"옵션고정안함")</f>
        <v>6331</v>
      </c>
    </row>
    <row r="952" spans="1:53" s="1" customFormat="1" ht="12" x14ac:dyDescent="0.2">
      <c r="A952" s="31" t="s">
        <v>1178</v>
      </c>
      <c r="B952" s="39">
        <v>355002</v>
      </c>
      <c r="C952" s="42" t="s">
        <v>3623</v>
      </c>
      <c r="D952" s="10" t="s">
        <v>81</v>
      </c>
      <c r="E952" s="10" t="s">
        <v>0</v>
      </c>
      <c r="F952" s="1" t="s">
        <v>471</v>
      </c>
      <c r="G952" s="1" t="s">
        <v>1310</v>
      </c>
      <c r="J952" s="27"/>
      <c r="K952" s="27"/>
      <c r="L952" s="27"/>
      <c r="M952" s="27"/>
      <c r="N952" s="8"/>
      <c r="O952" s="12" t="s">
        <v>755</v>
      </c>
      <c r="P952" s="1">
        <v>61</v>
      </c>
      <c r="W952" s="1">
        <v>5613</v>
      </c>
      <c r="X952" s="1">
        <f t="shared" si="125"/>
        <v>5613</v>
      </c>
      <c r="AB952" s="11"/>
      <c r="AC952" s="82"/>
      <c r="AD952" s="12" t="s">
        <v>98</v>
      </c>
      <c r="AE952" s="39" t="s">
        <v>430</v>
      </c>
      <c r="AF952" s="12"/>
      <c r="AG952" s="29"/>
      <c r="AH952" s="29"/>
      <c r="AI952" s="12"/>
      <c r="AJ952" s="12"/>
      <c r="AK952" s="12"/>
      <c r="AL952" s="12"/>
      <c r="AM952" s="12"/>
      <c r="AN952" s="12" t="s">
        <v>1296</v>
      </c>
      <c r="AO952" s="12"/>
      <c r="AP952" s="12"/>
      <c r="AQ952" s="8"/>
      <c r="AR952" s="34" t="s">
        <v>94</v>
      </c>
      <c r="AS952" s="34" t="s">
        <v>94</v>
      </c>
      <c r="AT952" s="85"/>
      <c r="AU952" s="12" t="s">
        <v>1936</v>
      </c>
      <c r="AW952" s="90">
        <v>6</v>
      </c>
      <c r="AX952" s="23">
        <f>VLOOKUP(AW952,색인!$N$14:$O$19,2,FALSE)</f>
        <v>4</v>
      </c>
      <c r="AY952" s="23" t="str">
        <f>"T"&amp;O952&amp;"_"&amp;AX952&amp;"옵션_"&amp;VLOOKUP(E952,색인!$J$25:$K$29,2,FALSE)</f>
        <v>T6_4옵션_장신구</v>
      </c>
      <c r="AZ952" s="23">
        <f>VLOOKUP(G952,색인!$J$32:$K$45,2,FALSE)</f>
        <v>2</v>
      </c>
      <c r="BA952" s="23" t="str">
        <f>_xlfn.IFNA(VLOOKUP(AY952,표1[[검색용]:[OptionGroupIndex'[']22]],EquipItemTable!AZ952,FALSE),"옵션고정안함")</f>
        <v>6431</v>
      </c>
    </row>
    <row r="953" spans="1:53" s="27" customFormat="1" ht="12" x14ac:dyDescent="0.2">
      <c r="A953" s="25" t="s">
        <v>1416</v>
      </c>
      <c r="B953" s="39">
        <v>55412</v>
      </c>
      <c r="C953" s="42" t="s">
        <v>3624</v>
      </c>
      <c r="D953" s="26" t="s">
        <v>81</v>
      </c>
      <c r="E953" s="26" t="s">
        <v>0</v>
      </c>
      <c r="F953" s="27" t="s">
        <v>471</v>
      </c>
      <c r="G953" s="27" t="s">
        <v>1434</v>
      </c>
      <c r="N953" s="8"/>
      <c r="O953" s="29" t="s">
        <v>1631</v>
      </c>
      <c r="P953" s="27">
        <v>71</v>
      </c>
      <c r="W953" s="27">
        <v>5484</v>
      </c>
      <c r="X953" s="27">
        <v>5484</v>
      </c>
      <c r="AB953" s="28"/>
      <c r="AC953" s="82"/>
      <c r="AD953" s="29" t="s">
        <v>1377</v>
      </c>
      <c r="AE953" s="29" t="s">
        <v>1337</v>
      </c>
      <c r="AF953" s="29"/>
      <c r="AG953" s="29"/>
      <c r="AH953" s="29"/>
      <c r="AQ953" s="85"/>
      <c r="AR953" s="27">
        <v>1</v>
      </c>
      <c r="AS953" s="27">
        <v>1</v>
      </c>
      <c r="AT953" s="85"/>
      <c r="AU953" s="29">
        <v>1001</v>
      </c>
      <c r="AW953" s="91">
        <v>1</v>
      </c>
      <c r="AX953" s="93"/>
      <c r="AY953" s="93"/>
      <c r="AZ953" s="93"/>
      <c r="BA953" s="93"/>
    </row>
    <row r="954" spans="1:53" s="27" customFormat="1" ht="12" x14ac:dyDescent="0.2">
      <c r="A954" s="25" t="s">
        <v>1417</v>
      </c>
      <c r="B954" s="39">
        <v>55413</v>
      </c>
      <c r="C954" s="42" t="s">
        <v>3625</v>
      </c>
      <c r="D954" s="26" t="s">
        <v>81</v>
      </c>
      <c r="E954" s="26" t="s">
        <v>0</v>
      </c>
      <c r="F954" s="27" t="s">
        <v>471</v>
      </c>
      <c r="G954" s="27" t="s">
        <v>1434</v>
      </c>
      <c r="N954" s="8"/>
      <c r="O954" s="29" t="s">
        <v>1631</v>
      </c>
      <c r="P954" s="27">
        <v>71</v>
      </c>
      <c r="W954" s="27">
        <v>6379</v>
      </c>
      <c r="X954" s="27">
        <v>6379</v>
      </c>
      <c r="AB954" s="28"/>
      <c r="AC954" s="82"/>
      <c r="AD954" s="29" t="s">
        <v>1377</v>
      </c>
      <c r="AE954" s="92" t="str">
        <f t="shared" ref="AE954:AE963" si="126">BA954</f>
        <v>7131</v>
      </c>
      <c r="AF954" s="29"/>
      <c r="AG954" s="29"/>
      <c r="AH954" s="29"/>
      <c r="AQ954" s="85"/>
      <c r="AR954" s="27">
        <v>1</v>
      </c>
      <c r="AS954" s="27">
        <v>1</v>
      </c>
      <c r="AT954" s="85"/>
      <c r="AU954" s="29" t="s">
        <v>1939</v>
      </c>
      <c r="AW954" s="91">
        <v>2</v>
      </c>
      <c r="AX954" s="93">
        <f>VLOOKUP(AW954,색인!$N$14:$O$19,2,FALSE)</f>
        <v>1</v>
      </c>
      <c r="AY954" s="91" t="str">
        <f>"T"&amp;O954&amp;"_"&amp;AX954&amp;"옵션_"&amp;VLOOKUP(E954,색인!$J$25:$K$29,2,FALSE)</f>
        <v>T7_1옵션_장신구</v>
      </c>
      <c r="AZ954" s="91">
        <f>VLOOKUP(G954,색인!$J$32:$K$45,2,FALSE)</f>
        <v>2</v>
      </c>
      <c r="BA954" s="91" t="str">
        <f>_xlfn.IFNA(VLOOKUP(AY954,표1[[검색용]:[OptionGroupIndex'[']22]],EquipItemTable!AZ954,FALSE),"옵션고정안함")</f>
        <v>7131</v>
      </c>
    </row>
    <row r="955" spans="1:53" s="27" customFormat="1" ht="12" x14ac:dyDescent="0.2">
      <c r="A955" s="25" t="s">
        <v>1418</v>
      </c>
      <c r="B955" s="39">
        <v>55414</v>
      </c>
      <c r="C955" s="42" t="s">
        <v>3626</v>
      </c>
      <c r="D955" s="26" t="s">
        <v>81</v>
      </c>
      <c r="E955" s="26" t="s">
        <v>0</v>
      </c>
      <c r="F955" s="27" t="s">
        <v>471</v>
      </c>
      <c r="G955" s="27" t="s">
        <v>1434</v>
      </c>
      <c r="N955" s="8"/>
      <c r="O955" s="29" t="s">
        <v>1631</v>
      </c>
      <c r="P955" s="27">
        <v>71</v>
      </c>
      <c r="W955" s="27">
        <v>6739</v>
      </c>
      <c r="X955" s="27">
        <v>6739</v>
      </c>
      <c r="AB955" s="28"/>
      <c r="AC955" s="82"/>
      <c r="AD955" s="29" t="s">
        <v>1377</v>
      </c>
      <c r="AE955" s="92" t="str">
        <f t="shared" si="126"/>
        <v>7231</v>
      </c>
      <c r="AF955" s="29"/>
      <c r="AG955" s="29"/>
      <c r="AH955" s="29"/>
      <c r="AQ955" s="85"/>
      <c r="AR955" s="27">
        <v>1</v>
      </c>
      <c r="AS955" s="27">
        <v>1</v>
      </c>
      <c r="AT955" s="85"/>
      <c r="AU955" s="29" t="s">
        <v>1940</v>
      </c>
      <c r="AW955" s="91">
        <v>3</v>
      </c>
      <c r="AX955" s="93">
        <f>VLOOKUP(AW955,색인!$N$14:$O$19,2,FALSE)</f>
        <v>2</v>
      </c>
      <c r="AY955" s="91" t="str">
        <f>"T"&amp;O955&amp;"_"&amp;AX955&amp;"옵션_"&amp;VLOOKUP(E955,색인!$J$25:$K$29,2,FALSE)</f>
        <v>T7_2옵션_장신구</v>
      </c>
      <c r="AZ955" s="91">
        <f>VLOOKUP(G955,색인!$J$32:$K$45,2,FALSE)</f>
        <v>2</v>
      </c>
      <c r="BA955" s="91" t="str">
        <f>_xlfn.IFNA(VLOOKUP(AY955,표1[[검색용]:[OptionGroupIndex'[']22]],EquipItemTable!AZ955,FALSE),"옵션고정안함")</f>
        <v>7231</v>
      </c>
    </row>
    <row r="956" spans="1:53" s="27" customFormat="1" ht="12" x14ac:dyDescent="0.2">
      <c r="A956" s="25" t="s">
        <v>1419</v>
      </c>
      <c r="B956" s="39">
        <v>55415</v>
      </c>
      <c r="C956" s="42" t="s">
        <v>3627</v>
      </c>
      <c r="D956" s="26" t="s">
        <v>81</v>
      </c>
      <c r="E956" s="26" t="s">
        <v>0</v>
      </c>
      <c r="F956" s="27" t="s">
        <v>471</v>
      </c>
      <c r="G956" s="27" t="s">
        <v>1434</v>
      </c>
      <c r="N956" s="8"/>
      <c r="O956" s="29" t="s">
        <v>1631</v>
      </c>
      <c r="P956" s="27">
        <v>71</v>
      </c>
      <c r="W956" s="27">
        <v>7365</v>
      </c>
      <c r="X956" s="27">
        <v>7365</v>
      </c>
      <c r="AB956" s="28"/>
      <c r="AC956" s="82"/>
      <c r="AD956" s="29" t="s">
        <v>1377</v>
      </c>
      <c r="AE956" s="92" t="str">
        <f t="shared" si="126"/>
        <v>7331</v>
      </c>
      <c r="AF956" s="29"/>
      <c r="AG956" s="29"/>
      <c r="AH956" s="29"/>
      <c r="AQ956" s="85"/>
      <c r="AR956" s="27">
        <v>1</v>
      </c>
      <c r="AS956" s="27">
        <v>1</v>
      </c>
      <c r="AT956" s="85"/>
      <c r="AU956" s="29" t="s">
        <v>1941</v>
      </c>
      <c r="AW956" s="91">
        <v>4</v>
      </c>
      <c r="AX956" s="93">
        <f>VLOOKUP(AW956,색인!$N$14:$O$19,2,FALSE)</f>
        <v>3</v>
      </c>
      <c r="AY956" s="91" t="str">
        <f>"T"&amp;O956&amp;"_"&amp;AX956&amp;"옵션_"&amp;VLOOKUP(E956,색인!$J$25:$K$29,2,FALSE)</f>
        <v>T7_3옵션_장신구</v>
      </c>
      <c r="AZ956" s="91">
        <f>VLOOKUP(G956,색인!$J$32:$K$45,2,FALSE)</f>
        <v>2</v>
      </c>
      <c r="BA956" s="91" t="str">
        <f>_xlfn.IFNA(VLOOKUP(AY956,표1[[검색용]:[OptionGroupIndex'[']22]],EquipItemTable!AZ956,FALSE),"옵션고정안함")</f>
        <v>7331</v>
      </c>
    </row>
    <row r="957" spans="1:53" s="27" customFormat="1" ht="12" x14ac:dyDescent="0.2">
      <c r="A957" s="25" t="s">
        <v>1420</v>
      </c>
      <c r="B957" s="39">
        <v>55416</v>
      </c>
      <c r="C957" s="42" t="s">
        <v>3616</v>
      </c>
      <c r="D957" s="26" t="s">
        <v>81</v>
      </c>
      <c r="E957" s="26" t="s">
        <v>0</v>
      </c>
      <c r="F957" s="27" t="s">
        <v>471</v>
      </c>
      <c r="G957" s="27" t="s">
        <v>1434</v>
      </c>
      <c r="N957" s="8"/>
      <c r="O957" s="29" t="s">
        <v>1631</v>
      </c>
      <c r="P957" s="27">
        <v>71</v>
      </c>
      <c r="W957" s="27">
        <v>8101</v>
      </c>
      <c r="X957" s="27">
        <v>8101</v>
      </c>
      <c r="AB957" s="28"/>
      <c r="AC957" s="82"/>
      <c r="AD957" s="29" t="s">
        <v>1377</v>
      </c>
      <c r="AE957" s="92" t="str">
        <f t="shared" si="126"/>
        <v>7331</v>
      </c>
      <c r="AF957" s="29"/>
      <c r="AG957" s="29"/>
      <c r="AH957" s="29"/>
      <c r="AN957" s="27">
        <v>103</v>
      </c>
      <c r="AQ957" s="85"/>
      <c r="AR957" s="27">
        <v>1</v>
      </c>
      <c r="AS957" s="27">
        <v>1</v>
      </c>
      <c r="AT957" s="85"/>
      <c r="AU957" s="29" t="s">
        <v>1942</v>
      </c>
      <c r="AW957" s="91">
        <v>5</v>
      </c>
      <c r="AX957" s="93">
        <f>VLOOKUP(AW957,색인!$N$14:$O$19,2,FALSE)</f>
        <v>3</v>
      </c>
      <c r="AY957" s="91" t="str">
        <f>"T"&amp;O957&amp;"_"&amp;AX957&amp;"옵션_"&amp;VLOOKUP(E957,색인!$J$25:$K$29,2,FALSE)</f>
        <v>T7_3옵션_장신구</v>
      </c>
      <c r="AZ957" s="91">
        <f>VLOOKUP(G957,색인!$J$32:$K$45,2,FALSE)</f>
        <v>2</v>
      </c>
      <c r="BA957" s="91" t="str">
        <f>_xlfn.IFNA(VLOOKUP(AY957,표1[[검색용]:[OptionGroupIndex'[']22]],EquipItemTable!AZ957,FALSE),"옵션고정안함")</f>
        <v>7331</v>
      </c>
    </row>
    <row r="958" spans="1:53" s="27" customFormat="1" ht="12" x14ac:dyDescent="0.2">
      <c r="A958" s="25" t="s">
        <v>1421</v>
      </c>
      <c r="B958" s="39">
        <v>55417</v>
      </c>
      <c r="C958" s="42" t="s">
        <v>3618</v>
      </c>
      <c r="D958" s="26" t="s">
        <v>81</v>
      </c>
      <c r="E958" s="26" t="s">
        <v>0</v>
      </c>
      <c r="F958" s="27" t="s">
        <v>471</v>
      </c>
      <c r="G958" s="27" t="s">
        <v>1434</v>
      </c>
      <c r="N958" s="8"/>
      <c r="O958" s="29" t="s">
        <v>1631</v>
      </c>
      <c r="P958" s="27">
        <v>71</v>
      </c>
      <c r="W958" s="27">
        <v>8101</v>
      </c>
      <c r="X958" s="27">
        <v>8101</v>
      </c>
      <c r="AB958" s="28"/>
      <c r="AC958" s="82"/>
      <c r="AD958" s="29" t="s">
        <v>1377</v>
      </c>
      <c r="AE958" s="92" t="str">
        <f t="shared" si="126"/>
        <v>7331</v>
      </c>
      <c r="AF958" s="29"/>
      <c r="AG958" s="29"/>
      <c r="AH958" s="29"/>
      <c r="AN958" s="27">
        <v>202</v>
      </c>
      <c r="AQ958" s="85"/>
      <c r="AR958" s="27">
        <v>1</v>
      </c>
      <c r="AS958" s="27">
        <v>1</v>
      </c>
      <c r="AT958" s="85"/>
      <c r="AU958" s="29" t="s">
        <v>1942</v>
      </c>
      <c r="AW958" s="91">
        <v>5</v>
      </c>
      <c r="AX958" s="93">
        <f>VLOOKUP(AW958,색인!$N$14:$O$19,2,FALSE)</f>
        <v>3</v>
      </c>
      <c r="AY958" s="91" t="str">
        <f>"T"&amp;O958&amp;"_"&amp;AX958&amp;"옵션_"&amp;VLOOKUP(E958,색인!$J$25:$K$29,2,FALSE)</f>
        <v>T7_3옵션_장신구</v>
      </c>
      <c r="AZ958" s="91">
        <f>VLOOKUP(G958,색인!$J$32:$K$45,2,FALSE)</f>
        <v>2</v>
      </c>
      <c r="BA958" s="91" t="str">
        <f>_xlfn.IFNA(VLOOKUP(AY958,표1[[검색용]:[OptionGroupIndex'[']22]],EquipItemTable!AZ958,FALSE),"옵션고정안함")</f>
        <v>7331</v>
      </c>
    </row>
    <row r="959" spans="1:53" s="27" customFormat="1" ht="12" x14ac:dyDescent="0.2">
      <c r="A959" s="25" t="s">
        <v>1422</v>
      </c>
      <c r="B959" s="39">
        <v>55418</v>
      </c>
      <c r="C959" s="42" t="s">
        <v>3619</v>
      </c>
      <c r="D959" s="26" t="s">
        <v>81</v>
      </c>
      <c r="E959" s="26" t="s">
        <v>0</v>
      </c>
      <c r="F959" s="27" t="s">
        <v>471</v>
      </c>
      <c r="G959" s="27" t="s">
        <v>1434</v>
      </c>
      <c r="N959" s="8"/>
      <c r="O959" s="29" t="s">
        <v>1631</v>
      </c>
      <c r="P959" s="27">
        <v>71</v>
      </c>
      <c r="W959" s="27">
        <v>8101</v>
      </c>
      <c r="X959" s="27">
        <v>8101</v>
      </c>
      <c r="AB959" s="28"/>
      <c r="AC959" s="82"/>
      <c r="AD959" s="29" t="s">
        <v>1377</v>
      </c>
      <c r="AE959" s="92" t="str">
        <f t="shared" si="126"/>
        <v>7331</v>
      </c>
      <c r="AF959" s="29"/>
      <c r="AG959" s="29"/>
      <c r="AH959" s="29"/>
      <c r="AN959" s="27">
        <v>203</v>
      </c>
      <c r="AQ959" s="85"/>
      <c r="AR959" s="27">
        <v>1</v>
      </c>
      <c r="AS959" s="27">
        <v>1</v>
      </c>
      <c r="AT959" s="85"/>
      <c r="AU959" s="29" t="s">
        <v>1942</v>
      </c>
      <c r="AW959" s="91">
        <v>5</v>
      </c>
      <c r="AX959" s="93">
        <f>VLOOKUP(AW959,색인!$N$14:$O$19,2,FALSE)</f>
        <v>3</v>
      </c>
      <c r="AY959" s="91" t="str">
        <f>"T"&amp;O959&amp;"_"&amp;AX959&amp;"옵션_"&amp;VLOOKUP(E959,색인!$J$25:$K$29,2,FALSE)</f>
        <v>T7_3옵션_장신구</v>
      </c>
      <c r="AZ959" s="91">
        <f>VLOOKUP(G959,색인!$J$32:$K$45,2,FALSE)</f>
        <v>2</v>
      </c>
      <c r="BA959" s="91" t="str">
        <f>_xlfn.IFNA(VLOOKUP(AY959,표1[[검색용]:[OptionGroupIndex'[']22]],EquipItemTable!AZ959,FALSE),"옵션고정안함")</f>
        <v>7331</v>
      </c>
    </row>
    <row r="960" spans="1:53" s="27" customFormat="1" ht="12" x14ac:dyDescent="0.2">
      <c r="A960" s="25" t="s">
        <v>1423</v>
      </c>
      <c r="B960" s="39">
        <v>55419</v>
      </c>
      <c r="C960" s="42" t="s">
        <v>3620</v>
      </c>
      <c r="D960" s="26" t="s">
        <v>81</v>
      </c>
      <c r="E960" s="26" t="s">
        <v>0</v>
      </c>
      <c r="F960" s="27" t="s">
        <v>471</v>
      </c>
      <c r="G960" s="27" t="s">
        <v>1434</v>
      </c>
      <c r="N960" s="8"/>
      <c r="O960" s="29" t="s">
        <v>1631</v>
      </c>
      <c r="P960" s="27">
        <v>71</v>
      </c>
      <c r="W960" s="27">
        <v>8101</v>
      </c>
      <c r="X960" s="27">
        <v>8101</v>
      </c>
      <c r="AB960" s="28"/>
      <c r="AC960" s="82"/>
      <c r="AD960" s="29" t="s">
        <v>1377</v>
      </c>
      <c r="AE960" s="92" t="str">
        <f t="shared" si="126"/>
        <v>7331</v>
      </c>
      <c r="AF960" s="29"/>
      <c r="AG960" s="29"/>
      <c r="AH960" s="29"/>
      <c r="AN960" s="27">
        <v>204</v>
      </c>
      <c r="AQ960" s="85"/>
      <c r="AR960" s="27">
        <v>1</v>
      </c>
      <c r="AS960" s="27">
        <v>1</v>
      </c>
      <c r="AT960" s="85"/>
      <c r="AU960" s="29" t="s">
        <v>1942</v>
      </c>
      <c r="AW960" s="91">
        <v>5</v>
      </c>
      <c r="AX960" s="93">
        <f>VLOOKUP(AW960,색인!$N$14:$O$19,2,FALSE)</f>
        <v>3</v>
      </c>
      <c r="AY960" s="91" t="str">
        <f>"T"&amp;O960&amp;"_"&amp;AX960&amp;"옵션_"&amp;VLOOKUP(E960,색인!$J$25:$K$29,2,FALSE)</f>
        <v>T7_3옵션_장신구</v>
      </c>
      <c r="AZ960" s="91">
        <f>VLOOKUP(G960,색인!$J$32:$K$45,2,FALSE)</f>
        <v>2</v>
      </c>
      <c r="BA960" s="91" t="str">
        <f>_xlfn.IFNA(VLOOKUP(AY960,표1[[검색용]:[OptionGroupIndex'[']22]],EquipItemTable!AZ960,FALSE),"옵션고정안함")</f>
        <v>7331</v>
      </c>
    </row>
    <row r="961" spans="1:53" s="27" customFormat="1" ht="12" x14ac:dyDescent="0.2">
      <c r="A961" s="25" t="s">
        <v>1424</v>
      </c>
      <c r="B961" s="39">
        <v>55420</v>
      </c>
      <c r="C961" s="42" t="s">
        <v>3621</v>
      </c>
      <c r="D961" s="26" t="s">
        <v>81</v>
      </c>
      <c r="E961" s="26" t="s">
        <v>0</v>
      </c>
      <c r="F961" s="27" t="s">
        <v>471</v>
      </c>
      <c r="G961" s="27" t="s">
        <v>1434</v>
      </c>
      <c r="J961" s="1"/>
      <c r="K961" s="1"/>
      <c r="L961" s="1"/>
      <c r="M961" s="1"/>
      <c r="N961" s="8"/>
      <c r="O961" s="29" t="s">
        <v>1631</v>
      </c>
      <c r="P961" s="27">
        <v>71</v>
      </c>
      <c r="W961" s="27">
        <v>8101</v>
      </c>
      <c r="X961" s="27">
        <v>8101</v>
      </c>
      <c r="AB961" s="28"/>
      <c r="AC961" s="82"/>
      <c r="AD961" s="29" t="s">
        <v>1377</v>
      </c>
      <c r="AE961" s="92" t="str">
        <f t="shared" si="126"/>
        <v>7331</v>
      </c>
      <c r="AF961" s="29"/>
      <c r="AG961" s="12"/>
      <c r="AH961" s="12"/>
      <c r="AN961" s="27">
        <v>205</v>
      </c>
      <c r="AQ961" s="85"/>
      <c r="AR961" s="27">
        <v>1</v>
      </c>
      <c r="AS961" s="27">
        <v>1</v>
      </c>
      <c r="AT961" s="85"/>
      <c r="AU961" s="29" t="s">
        <v>1942</v>
      </c>
      <c r="AW961" s="91">
        <v>5</v>
      </c>
      <c r="AX961" s="93">
        <f>VLOOKUP(AW961,색인!$N$14:$O$19,2,FALSE)</f>
        <v>3</v>
      </c>
      <c r="AY961" s="91" t="str">
        <f>"T"&amp;O961&amp;"_"&amp;AX961&amp;"옵션_"&amp;VLOOKUP(E961,색인!$J$25:$K$29,2,FALSE)</f>
        <v>T7_3옵션_장신구</v>
      </c>
      <c r="AZ961" s="91">
        <f>VLOOKUP(G961,색인!$J$32:$K$45,2,FALSE)</f>
        <v>2</v>
      </c>
      <c r="BA961" s="91" t="str">
        <f>_xlfn.IFNA(VLOOKUP(AY961,표1[[검색용]:[OptionGroupIndex'[']22]],EquipItemTable!AZ961,FALSE),"옵션고정안함")</f>
        <v>7331</v>
      </c>
    </row>
    <row r="962" spans="1:53" s="27" customFormat="1" ht="12" x14ac:dyDescent="0.2">
      <c r="A962" s="25" t="s">
        <v>1425</v>
      </c>
      <c r="B962" s="39">
        <v>55421</v>
      </c>
      <c r="C962" s="42" t="s">
        <v>3628</v>
      </c>
      <c r="D962" s="26" t="s">
        <v>81</v>
      </c>
      <c r="E962" s="26" t="s">
        <v>0</v>
      </c>
      <c r="F962" s="27" t="s">
        <v>471</v>
      </c>
      <c r="G962" s="27" t="s">
        <v>1434</v>
      </c>
      <c r="J962" s="1"/>
      <c r="K962" s="1"/>
      <c r="L962" s="1"/>
      <c r="M962" s="1"/>
      <c r="N962" s="8"/>
      <c r="O962" s="29" t="s">
        <v>1631</v>
      </c>
      <c r="P962" s="27">
        <v>71</v>
      </c>
      <c r="W962" s="27">
        <v>8101</v>
      </c>
      <c r="X962" s="27">
        <v>8101</v>
      </c>
      <c r="AB962" s="28"/>
      <c r="AC962" s="82"/>
      <c r="AD962" s="29" t="s">
        <v>1377</v>
      </c>
      <c r="AE962" s="92" t="str">
        <f t="shared" si="126"/>
        <v>7331</v>
      </c>
      <c r="AF962" s="29"/>
      <c r="AG962" s="12"/>
      <c r="AH962" s="12"/>
      <c r="AN962" s="27">
        <v>206</v>
      </c>
      <c r="AQ962" s="85"/>
      <c r="AR962" s="27">
        <v>1</v>
      </c>
      <c r="AS962" s="27">
        <v>1</v>
      </c>
      <c r="AT962" s="85"/>
      <c r="AU962" s="29" t="s">
        <v>1942</v>
      </c>
      <c r="AW962" s="91">
        <v>5</v>
      </c>
      <c r="AX962" s="93">
        <f>VLOOKUP(AW962,색인!$N$14:$O$19,2,FALSE)</f>
        <v>3</v>
      </c>
      <c r="AY962" s="91" t="str">
        <f>"T"&amp;O962&amp;"_"&amp;AX962&amp;"옵션_"&amp;VLOOKUP(E962,색인!$J$25:$K$29,2,FALSE)</f>
        <v>T7_3옵션_장신구</v>
      </c>
      <c r="AZ962" s="91">
        <f>VLOOKUP(G962,색인!$J$32:$K$45,2,FALSE)</f>
        <v>2</v>
      </c>
      <c r="BA962" s="91" t="str">
        <f>_xlfn.IFNA(VLOOKUP(AY962,표1[[검색용]:[OptionGroupIndex'[']22]],EquipItemTable!AZ962,FALSE),"옵션고정안함")</f>
        <v>7331</v>
      </c>
    </row>
    <row r="963" spans="1:53" s="27" customFormat="1" ht="12" x14ac:dyDescent="0.2">
      <c r="A963" s="25" t="s">
        <v>1426</v>
      </c>
      <c r="B963" s="39">
        <v>55422</v>
      </c>
      <c r="C963" s="42" t="s">
        <v>3629</v>
      </c>
      <c r="D963" s="26" t="s">
        <v>81</v>
      </c>
      <c r="E963" s="26" t="s">
        <v>0</v>
      </c>
      <c r="F963" s="27" t="s">
        <v>471</v>
      </c>
      <c r="G963" s="27" t="s">
        <v>1434</v>
      </c>
      <c r="J963" s="1"/>
      <c r="K963" s="1"/>
      <c r="L963" s="1"/>
      <c r="M963" s="1"/>
      <c r="N963" s="8"/>
      <c r="O963" s="29" t="s">
        <v>1631</v>
      </c>
      <c r="P963" s="27">
        <v>71</v>
      </c>
      <c r="W963" s="27">
        <v>8101</v>
      </c>
      <c r="X963" s="27">
        <v>8101</v>
      </c>
      <c r="AB963" s="28"/>
      <c r="AC963" s="82"/>
      <c r="AD963" s="29" t="s">
        <v>1377</v>
      </c>
      <c r="AE963" s="92" t="str">
        <f t="shared" si="126"/>
        <v>7331</v>
      </c>
      <c r="AF963" s="29"/>
      <c r="AG963" s="12"/>
      <c r="AH963" s="12"/>
      <c r="AN963" s="27">
        <v>207</v>
      </c>
      <c r="AQ963" s="85"/>
      <c r="AR963" s="27">
        <v>1</v>
      </c>
      <c r="AS963" s="27">
        <v>1</v>
      </c>
      <c r="AT963" s="85"/>
      <c r="AU963" s="29" t="s">
        <v>1942</v>
      </c>
      <c r="AW963" s="91">
        <v>5</v>
      </c>
      <c r="AX963" s="93">
        <f>VLOOKUP(AW963,색인!$N$14:$O$19,2,FALSE)</f>
        <v>3</v>
      </c>
      <c r="AY963" s="91" t="str">
        <f>"T"&amp;O963&amp;"_"&amp;AX963&amp;"옵션_"&amp;VLOOKUP(E963,색인!$J$25:$K$29,2,FALSE)</f>
        <v>T7_3옵션_장신구</v>
      </c>
      <c r="AZ963" s="91">
        <f>VLOOKUP(G963,색인!$J$32:$K$45,2,FALSE)</f>
        <v>2</v>
      </c>
      <c r="BA963" s="91" t="str">
        <f>_xlfn.IFNA(VLOOKUP(AY963,표1[[검색용]:[OptionGroupIndex'[']22]],EquipItemTable!AZ963,FALSE),"옵션고정안함")</f>
        <v>7331</v>
      </c>
    </row>
    <row r="964" spans="1:53" s="27" customFormat="1" ht="12" x14ac:dyDescent="0.2">
      <c r="A964" s="25" t="s">
        <v>1427</v>
      </c>
      <c r="B964" s="39">
        <v>55423</v>
      </c>
      <c r="C964" s="42" t="s">
        <v>3601</v>
      </c>
      <c r="D964" s="26" t="s">
        <v>81</v>
      </c>
      <c r="E964" s="26" t="s">
        <v>0</v>
      </c>
      <c r="F964" s="27" t="s">
        <v>471</v>
      </c>
      <c r="G964" s="27" t="s">
        <v>1434</v>
      </c>
      <c r="J964" s="1"/>
      <c r="K964" s="1"/>
      <c r="L964" s="1"/>
      <c r="M964" s="1"/>
      <c r="N964" s="8"/>
      <c r="O964" s="29" t="s">
        <v>1631</v>
      </c>
      <c r="P964" s="27">
        <v>71</v>
      </c>
      <c r="W964" s="27">
        <v>8356</v>
      </c>
      <c r="X964" s="27">
        <v>8356</v>
      </c>
      <c r="AB964" s="28"/>
      <c r="AC964" s="82"/>
      <c r="AD964" s="29" t="s">
        <v>1377</v>
      </c>
      <c r="AE964" s="92" t="str">
        <f>BA964</f>
        <v>7431</v>
      </c>
      <c r="AF964" s="29" t="s">
        <v>2185</v>
      </c>
      <c r="AG964" s="12"/>
      <c r="AH964" s="12"/>
      <c r="AN964" s="27">
        <v>1</v>
      </c>
      <c r="AQ964" s="85"/>
      <c r="AR964" s="27">
        <v>1</v>
      </c>
      <c r="AS964" s="27">
        <v>1</v>
      </c>
      <c r="AT964" s="85"/>
      <c r="AU964" s="12" t="s">
        <v>1936</v>
      </c>
      <c r="AW964" s="91">
        <v>6</v>
      </c>
      <c r="AX964" s="93">
        <f>VLOOKUP(AW964,색인!$N$14:$O$19,2,FALSE)</f>
        <v>4</v>
      </c>
      <c r="AY964" s="93" t="str">
        <f>"T"&amp;O964&amp;"_"&amp;AX964&amp;"옵션_"&amp;VLOOKUP(E964,색인!$J$25:$K$29,2,FALSE)</f>
        <v>T7_4옵션_장신구</v>
      </c>
      <c r="AZ964" s="93">
        <f>VLOOKUP(G964,색인!$J$32:$K$45,2,FALSE)</f>
        <v>2</v>
      </c>
      <c r="BA964" s="93" t="str">
        <f>_xlfn.IFNA(VLOOKUP(AY964,표1[[검색용]:[OptionGroupIndex'[']22]],EquipItemTable!AZ964,FALSE),"옵션고정안함")</f>
        <v>7431</v>
      </c>
    </row>
    <row r="965" spans="1:53" s="27" customFormat="1" ht="12" x14ac:dyDescent="0.2">
      <c r="A965" s="25" t="s">
        <v>1428</v>
      </c>
      <c r="B965" s="39">
        <v>55424</v>
      </c>
      <c r="C965" s="42" t="s">
        <v>3602</v>
      </c>
      <c r="D965" s="26" t="s">
        <v>81</v>
      </c>
      <c r="E965" s="26" t="s">
        <v>0</v>
      </c>
      <c r="F965" s="27" t="s">
        <v>471</v>
      </c>
      <c r="G965" s="27" t="s">
        <v>1434</v>
      </c>
      <c r="J965" s="1"/>
      <c r="K965" s="1"/>
      <c r="L965" s="1"/>
      <c r="M965" s="1"/>
      <c r="N965" s="8"/>
      <c r="O965" s="29" t="s">
        <v>1631</v>
      </c>
      <c r="P965" s="27">
        <v>71</v>
      </c>
      <c r="W965" s="27">
        <v>8356</v>
      </c>
      <c r="X965" s="27">
        <v>8356</v>
      </c>
      <c r="AB965" s="28"/>
      <c r="AC965" s="82"/>
      <c r="AD965" s="29" t="s">
        <v>1377</v>
      </c>
      <c r="AE965" s="92" t="str">
        <f>BA965</f>
        <v>7431</v>
      </c>
      <c r="AF965" s="29" t="s">
        <v>2185</v>
      </c>
      <c r="AG965" s="12"/>
      <c r="AH965" s="12"/>
      <c r="AN965" s="27">
        <v>2</v>
      </c>
      <c r="AQ965" s="85"/>
      <c r="AR965" s="27">
        <v>1</v>
      </c>
      <c r="AS965" s="27">
        <v>1</v>
      </c>
      <c r="AT965" s="85"/>
      <c r="AU965" s="12" t="s">
        <v>1936</v>
      </c>
      <c r="AW965" s="91">
        <v>6</v>
      </c>
      <c r="AX965" s="93">
        <f>VLOOKUP(AW965,색인!$N$14:$O$19,2,FALSE)</f>
        <v>4</v>
      </c>
      <c r="AY965" s="93" t="str">
        <f>"T"&amp;O965&amp;"_"&amp;AX965&amp;"옵션_"&amp;VLOOKUP(E965,색인!$J$25:$K$29,2,FALSE)</f>
        <v>T7_4옵션_장신구</v>
      </c>
      <c r="AZ965" s="93">
        <f>VLOOKUP(G965,색인!$J$32:$K$45,2,FALSE)</f>
        <v>2</v>
      </c>
      <c r="BA965" s="93" t="str">
        <f>_xlfn.IFNA(VLOOKUP(AY965,표1[[검색용]:[OptionGroupIndex'[']22]],EquipItemTable!AZ965,FALSE),"옵션고정안함")</f>
        <v>7431</v>
      </c>
    </row>
    <row r="966" spans="1:53" s="27" customFormat="1" ht="12" x14ac:dyDescent="0.2">
      <c r="A966" s="25" t="s">
        <v>1429</v>
      </c>
      <c r="B966" s="39">
        <v>55425</v>
      </c>
      <c r="C966" s="42" t="s">
        <v>3603</v>
      </c>
      <c r="D966" s="26" t="s">
        <v>81</v>
      </c>
      <c r="E966" s="26" t="s">
        <v>0</v>
      </c>
      <c r="F966" s="27" t="s">
        <v>471</v>
      </c>
      <c r="G966" s="27" t="s">
        <v>1434</v>
      </c>
      <c r="J966" s="1"/>
      <c r="K966" s="1"/>
      <c r="L966" s="1"/>
      <c r="M966" s="1"/>
      <c r="N966" s="8"/>
      <c r="O966" s="29" t="s">
        <v>1631</v>
      </c>
      <c r="P966" s="27">
        <v>71</v>
      </c>
      <c r="W966" s="27">
        <v>8356</v>
      </c>
      <c r="X966" s="27">
        <v>8356</v>
      </c>
      <c r="AB966" s="28"/>
      <c r="AC966" s="82"/>
      <c r="AD966" s="29" t="s">
        <v>1377</v>
      </c>
      <c r="AE966" s="92" t="str">
        <f>BA966</f>
        <v>7431</v>
      </c>
      <c r="AF966" s="29" t="s">
        <v>2185</v>
      </c>
      <c r="AG966" s="12"/>
      <c r="AH966" s="12"/>
      <c r="AN966" s="27">
        <v>3</v>
      </c>
      <c r="AQ966" s="85"/>
      <c r="AR966" s="27">
        <v>1</v>
      </c>
      <c r="AS966" s="27">
        <v>1</v>
      </c>
      <c r="AT966" s="85"/>
      <c r="AU966" s="12" t="s">
        <v>1936</v>
      </c>
      <c r="AW966" s="91">
        <v>6</v>
      </c>
      <c r="AX966" s="93">
        <f>VLOOKUP(AW966,색인!$N$14:$O$19,2,FALSE)</f>
        <v>4</v>
      </c>
      <c r="AY966" s="93" t="str">
        <f>"T"&amp;O966&amp;"_"&amp;AX966&amp;"옵션_"&amp;VLOOKUP(E966,색인!$J$25:$K$29,2,FALSE)</f>
        <v>T7_4옵션_장신구</v>
      </c>
      <c r="AZ966" s="93">
        <f>VLOOKUP(G966,색인!$J$32:$K$45,2,FALSE)</f>
        <v>2</v>
      </c>
      <c r="BA966" s="93" t="str">
        <f>_xlfn.IFNA(VLOOKUP(AY966,표1[[검색용]:[OptionGroupIndex'[']22]],EquipItemTable!AZ966,FALSE),"옵션고정안함")</f>
        <v>7431</v>
      </c>
    </row>
    <row r="967" spans="1:53" s="27" customFormat="1" ht="12" x14ac:dyDescent="0.2">
      <c r="A967" s="25" t="s">
        <v>1430</v>
      </c>
      <c r="B967" s="39">
        <v>55426</v>
      </c>
      <c r="C967" s="42" t="s">
        <v>3604</v>
      </c>
      <c r="D967" s="26" t="s">
        <v>81</v>
      </c>
      <c r="E967" s="26" t="s">
        <v>0</v>
      </c>
      <c r="F967" s="27" t="s">
        <v>471</v>
      </c>
      <c r="G967" s="27" t="s">
        <v>1434</v>
      </c>
      <c r="J967" s="1"/>
      <c r="K967" s="1"/>
      <c r="L967" s="1"/>
      <c r="M967" s="1"/>
      <c r="N967" s="8"/>
      <c r="O967" s="29" t="s">
        <v>1631</v>
      </c>
      <c r="P967" s="27">
        <v>71</v>
      </c>
      <c r="W967" s="27">
        <v>8356</v>
      </c>
      <c r="X967" s="27">
        <v>8356</v>
      </c>
      <c r="AB967" s="28"/>
      <c r="AC967" s="82"/>
      <c r="AD967" s="29" t="s">
        <v>1377</v>
      </c>
      <c r="AE967" s="92" t="str">
        <f>BA967</f>
        <v>7431</v>
      </c>
      <c r="AF967" s="29" t="s">
        <v>2185</v>
      </c>
      <c r="AG967" s="12"/>
      <c r="AH967" s="12"/>
      <c r="AN967" s="27">
        <v>4</v>
      </c>
      <c r="AQ967" s="85"/>
      <c r="AR967" s="27">
        <v>1</v>
      </c>
      <c r="AS967" s="27">
        <v>1</v>
      </c>
      <c r="AT967" s="85"/>
      <c r="AU967" s="12" t="s">
        <v>1936</v>
      </c>
      <c r="AW967" s="91">
        <v>6</v>
      </c>
      <c r="AX967" s="93">
        <f>VLOOKUP(AW967,색인!$N$14:$O$19,2,FALSE)</f>
        <v>4</v>
      </c>
      <c r="AY967" s="93" t="str">
        <f>"T"&amp;O967&amp;"_"&amp;AX967&amp;"옵션_"&amp;VLOOKUP(E967,색인!$J$25:$K$29,2,FALSE)</f>
        <v>T7_4옵션_장신구</v>
      </c>
      <c r="AZ967" s="93">
        <f>VLOOKUP(G967,색인!$J$32:$K$45,2,FALSE)</f>
        <v>2</v>
      </c>
      <c r="BA967" s="93" t="str">
        <f>_xlfn.IFNA(VLOOKUP(AY967,표1[[검색용]:[OptionGroupIndex'[']22]],EquipItemTable!AZ967,FALSE),"옵션고정안함")</f>
        <v>7431</v>
      </c>
    </row>
    <row r="968" spans="1:53" s="27" customFormat="1" ht="12" x14ac:dyDescent="0.2">
      <c r="A968" s="30" t="s">
        <v>1431</v>
      </c>
      <c r="B968" s="39">
        <v>55605</v>
      </c>
      <c r="C968" s="42" t="e">
        <v>#N/A</v>
      </c>
      <c r="D968" s="26" t="s">
        <v>81</v>
      </c>
      <c r="E968" s="26" t="s">
        <v>0</v>
      </c>
      <c r="F968" s="27" t="s">
        <v>471</v>
      </c>
      <c r="G968" s="27" t="s">
        <v>1434</v>
      </c>
      <c r="J968" s="1"/>
      <c r="K968" s="1"/>
      <c r="L968" s="1"/>
      <c r="M968" s="1"/>
      <c r="N968" s="8"/>
      <c r="O968" s="29" t="s">
        <v>1631</v>
      </c>
      <c r="P968" s="27">
        <v>71</v>
      </c>
      <c r="W968" s="27">
        <v>8356</v>
      </c>
      <c r="X968" s="27">
        <v>8356</v>
      </c>
      <c r="AB968" s="28"/>
      <c r="AC968" s="82"/>
      <c r="AD968" s="29" t="s">
        <v>1377</v>
      </c>
      <c r="AE968" s="29" t="s">
        <v>1337</v>
      </c>
      <c r="AF968" s="29"/>
      <c r="AG968" s="12"/>
      <c r="AH968" s="12"/>
      <c r="AQ968" s="85"/>
      <c r="AR968" s="27">
        <v>1</v>
      </c>
      <c r="AS968" s="27">
        <v>1</v>
      </c>
      <c r="AT968" s="85"/>
      <c r="AU968" s="29" t="s">
        <v>1944</v>
      </c>
      <c r="AW968" s="91">
        <v>7</v>
      </c>
      <c r="AX968" s="93"/>
      <c r="AY968" s="93"/>
      <c r="AZ968" s="93"/>
      <c r="BA968" s="93"/>
    </row>
    <row r="969" spans="1:53" s="27" customFormat="1" ht="12" x14ac:dyDescent="0.2">
      <c r="A969" s="25" t="s">
        <v>1432</v>
      </c>
      <c r="B969" s="39">
        <v>355003</v>
      </c>
      <c r="C969" s="42" t="s">
        <v>3622</v>
      </c>
      <c r="D969" s="26" t="s">
        <v>81</v>
      </c>
      <c r="E969" s="26" t="s">
        <v>0</v>
      </c>
      <c r="F969" s="27" t="s">
        <v>471</v>
      </c>
      <c r="G969" s="27" t="s">
        <v>1434</v>
      </c>
      <c r="J969" s="1"/>
      <c r="K969" s="1"/>
      <c r="L969" s="1"/>
      <c r="M969" s="1"/>
      <c r="N969" s="8"/>
      <c r="O969" s="29" t="s">
        <v>1631</v>
      </c>
      <c r="P969" s="27">
        <v>71</v>
      </c>
      <c r="W969" s="27">
        <v>8101</v>
      </c>
      <c r="X969" s="27">
        <v>8101</v>
      </c>
      <c r="AB969" s="28"/>
      <c r="AC969" s="82"/>
      <c r="AD969" s="29" t="s">
        <v>1377</v>
      </c>
      <c r="AE969" s="92" t="str">
        <f>BA969</f>
        <v>7331</v>
      </c>
      <c r="AF969" s="29"/>
      <c r="AG969" s="23"/>
      <c r="AH969" s="23"/>
      <c r="AN969" s="27">
        <v>101</v>
      </c>
      <c r="AQ969" s="85"/>
      <c r="AR969" s="27">
        <v>1</v>
      </c>
      <c r="AS969" s="27">
        <v>1</v>
      </c>
      <c r="AT969" s="85"/>
      <c r="AU969" s="29" t="s">
        <v>1942</v>
      </c>
      <c r="AW969" s="91">
        <v>5</v>
      </c>
      <c r="AX969" s="93">
        <f>VLOOKUP(AW969,색인!$N$14:$O$19,2,FALSE)</f>
        <v>3</v>
      </c>
      <c r="AY969" s="91" t="str">
        <f>"T"&amp;O969&amp;"_"&amp;AX969&amp;"옵션_"&amp;VLOOKUP(E969,색인!$J$25:$K$29,2,FALSE)</f>
        <v>T7_3옵션_장신구</v>
      </c>
      <c r="AZ969" s="91">
        <f>VLOOKUP(G969,색인!$J$32:$K$45,2,FALSE)</f>
        <v>2</v>
      </c>
      <c r="BA969" s="91" t="str">
        <f>_xlfn.IFNA(VLOOKUP(AY969,표1[[검색용]:[OptionGroupIndex'[']22]],EquipItemTable!AZ969,FALSE),"옵션고정안함")</f>
        <v>7331</v>
      </c>
    </row>
    <row r="970" spans="1:53" s="27" customFormat="1" ht="12" x14ac:dyDescent="0.2">
      <c r="A970" s="25" t="s">
        <v>1433</v>
      </c>
      <c r="B970" s="39">
        <v>355004</v>
      </c>
      <c r="C970" s="42" t="s">
        <v>3623</v>
      </c>
      <c r="D970" s="26" t="s">
        <v>81</v>
      </c>
      <c r="E970" s="26" t="s">
        <v>0</v>
      </c>
      <c r="F970" s="27" t="s">
        <v>471</v>
      </c>
      <c r="G970" s="27" t="s">
        <v>1434</v>
      </c>
      <c r="J970" s="1"/>
      <c r="K970" s="1"/>
      <c r="L970" s="1"/>
      <c r="M970" s="1"/>
      <c r="N970" s="8"/>
      <c r="O970" s="29" t="s">
        <v>1631</v>
      </c>
      <c r="P970" s="27">
        <v>71</v>
      </c>
      <c r="W970" s="27">
        <v>8356</v>
      </c>
      <c r="X970" s="27">
        <v>8356</v>
      </c>
      <c r="AB970" s="28"/>
      <c r="AC970" s="82"/>
      <c r="AD970" s="29" t="s">
        <v>1377</v>
      </c>
      <c r="AE970" s="92" t="s">
        <v>2189</v>
      </c>
      <c r="AF970" s="29" t="s">
        <v>2185</v>
      </c>
      <c r="AG970" s="23"/>
      <c r="AH970" s="23"/>
      <c r="AN970" s="27">
        <v>102</v>
      </c>
      <c r="AQ970" s="85"/>
      <c r="AR970" s="27">
        <v>1</v>
      </c>
      <c r="AS970" s="27">
        <v>1</v>
      </c>
      <c r="AT970" s="85"/>
      <c r="AU970" s="29" t="s">
        <v>1943</v>
      </c>
      <c r="AW970" s="91">
        <v>6</v>
      </c>
      <c r="AX970" s="93">
        <f>VLOOKUP(AW970,색인!$N$14:$O$19,2,FALSE)</f>
        <v>4</v>
      </c>
      <c r="AY970" s="93" t="str">
        <f>"T"&amp;O970&amp;"_"&amp;AX970&amp;"옵션_"&amp;VLOOKUP(E970,색인!$J$25:$K$29,2,FALSE)</f>
        <v>T7_4옵션_장신구</v>
      </c>
      <c r="AZ970" s="93">
        <f>VLOOKUP(G970,색인!$J$32:$K$45,2,FALSE)</f>
        <v>2</v>
      </c>
      <c r="BA970" s="93" t="str">
        <f>_xlfn.IFNA(VLOOKUP(AY970,표1[[검색용]:[OptionGroupIndex'[']22]],EquipItemTable!AZ970,FALSE),"옵션고정안함")</f>
        <v>7431</v>
      </c>
    </row>
    <row r="971" spans="1:53" ht="12" customHeight="1" x14ac:dyDescent="0.2">
      <c r="A971" s="13" t="s">
        <v>169</v>
      </c>
      <c r="B971" s="39">
        <v>60001</v>
      </c>
      <c r="C971" s="42" t="s">
        <v>7</v>
      </c>
      <c r="D971" s="10" t="s">
        <v>2963</v>
      </c>
      <c r="E971" s="10" t="s">
        <v>479</v>
      </c>
      <c r="F971" s="1" t="s">
        <v>481</v>
      </c>
      <c r="G971" s="1" t="s">
        <v>1311</v>
      </c>
      <c r="H971" s="1"/>
      <c r="I971" s="1"/>
      <c r="J971" s="1"/>
      <c r="K971" s="1"/>
      <c r="L971" s="1"/>
      <c r="M971" s="1"/>
      <c r="O971" s="12" t="s">
        <v>94</v>
      </c>
      <c r="P971" s="1">
        <v>1</v>
      </c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>
        <v>43</v>
      </c>
      <c r="AB971" s="11"/>
      <c r="AC971" s="82"/>
      <c r="AD971" s="12" t="s">
        <v>52</v>
      </c>
      <c r="AE971" s="12" t="s">
        <v>94</v>
      </c>
      <c r="AG971" s="23"/>
      <c r="AH971" s="23"/>
      <c r="AN971" s="12"/>
      <c r="AU971" s="12" t="s">
        <v>1932</v>
      </c>
      <c r="AV971" s="13" t="s">
        <v>7</v>
      </c>
      <c r="AW971" s="39">
        <v>1</v>
      </c>
      <c r="AY971" s="32"/>
      <c r="AZ971" s="32"/>
      <c r="BA971" s="32"/>
    </row>
    <row r="972" spans="1:53" ht="12" customHeight="1" x14ac:dyDescent="0.2">
      <c r="A972" s="13" t="s">
        <v>170</v>
      </c>
      <c r="B972" s="39">
        <v>60002</v>
      </c>
      <c r="C972" s="42" t="s">
        <v>8</v>
      </c>
      <c r="D972" s="10" t="s">
        <v>82</v>
      </c>
      <c r="E972" s="10" t="s">
        <v>1</v>
      </c>
      <c r="F972" s="1" t="s">
        <v>92</v>
      </c>
      <c r="G972" s="1" t="s">
        <v>1311</v>
      </c>
      <c r="H972" s="1"/>
      <c r="I972" s="1"/>
      <c r="J972" s="1"/>
      <c r="K972" s="1"/>
      <c r="L972" s="1"/>
      <c r="M972" s="1"/>
      <c r="O972" s="12" t="s">
        <v>94</v>
      </c>
      <c r="P972" s="1">
        <v>1</v>
      </c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>
        <v>63</v>
      </c>
      <c r="AB972" s="11"/>
      <c r="AC972" s="82"/>
      <c r="AD972" s="12" t="s">
        <v>52</v>
      </c>
      <c r="AE972" s="39" t="str">
        <f t="shared" ref="AE972:AE974" si="127">BA972</f>
        <v>1111,1112</v>
      </c>
      <c r="AG972" s="23"/>
      <c r="AH972" s="23"/>
      <c r="AN972" s="12"/>
      <c r="AU972" s="12" t="s">
        <v>1933</v>
      </c>
      <c r="AV972" s="13" t="s">
        <v>8</v>
      </c>
      <c r="AW972" s="39">
        <v>2</v>
      </c>
      <c r="AX972" s="12">
        <f>VLOOKUP(AW972,색인!$N$14:$O$19,2,FALSE)</f>
        <v>1</v>
      </c>
      <c r="AY972" s="39" t="str">
        <f>"T"&amp;O972&amp;"_"&amp;AX972&amp;"옵션_"&amp;VLOOKUP(E972,색인!$J$25:$K$29,2,FALSE)</f>
        <v>T1_1옵션_방어구</v>
      </c>
      <c r="AZ972" s="39">
        <f>VLOOKUP(G972,색인!$J$32:$K$45,2,FALSE)</f>
        <v>4</v>
      </c>
      <c r="BA972" s="39" t="str">
        <f>_xlfn.IFNA(VLOOKUP(AY972,표1[[검색용]:[OptionGroupIndex'[']22]],EquipItemTable!AZ972,FALSE),"옵션고정안함")</f>
        <v>1111,1112</v>
      </c>
    </row>
    <row r="973" spans="1:53" ht="12" customHeight="1" x14ac:dyDescent="0.2">
      <c r="A973" s="13" t="s">
        <v>547</v>
      </c>
      <c r="B973" s="39">
        <v>60003</v>
      </c>
      <c r="C973" s="42" t="s">
        <v>3630</v>
      </c>
      <c r="D973" s="10" t="s">
        <v>82</v>
      </c>
      <c r="E973" s="10" t="s">
        <v>1</v>
      </c>
      <c r="F973" s="1" t="s">
        <v>92</v>
      </c>
      <c r="G973" s="1" t="s">
        <v>1311</v>
      </c>
      <c r="H973" s="1"/>
      <c r="I973" s="1"/>
      <c r="J973" s="1"/>
      <c r="K973" s="1"/>
      <c r="L973" s="1"/>
      <c r="M973" s="1"/>
      <c r="O973" s="12" t="s">
        <v>94</v>
      </c>
      <c r="P973" s="1">
        <v>1</v>
      </c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>
        <v>81</v>
      </c>
      <c r="AB973" s="11"/>
      <c r="AC973" s="82"/>
      <c r="AD973" s="12" t="s">
        <v>52</v>
      </c>
      <c r="AE973" s="39" t="str">
        <f t="shared" si="127"/>
        <v>1211,1212</v>
      </c>
      <c r="AG973" s="23"/>
      <c r="AH973" s="23"/>
      <c r="AN973" s="12"/>
      <c r="AR973" s="34" t="s">
        <v>94</v>
      </c>
      <c r="AS973" s="34" t="s">
        <v>94</v>
      </c>
      <c r="AU973" s="12" t="s">
        <v>1934</v>
      </c>
      <c r="AV973" s="13" t="s">
        <v>9</v>
      </c>
      <c r="AW973" s="39">
        <v>3</v>
      </c>
      <c r="AX973" s="12">
        <f>VLOOKUP(AW973,색인!$N$14:$O$19,2,FALSE)</f>
        <v>2</v>
      </c>
      <c r="AY973" s="39" t="str">
        <f>"T"&amp;O973&amp;"_"&amp;AX973&amp;"옵션_"&amp;VLOOKUP(E973,색인!$J$25:$K$29,2,FALSE)</f>
        <v>T1_2옵션_방어구</v>
      </c>
      <c r="AZ973" s="39">
        <f>VLOOKUP(G973,색인!$J$32:$K$45,2,FALSE)</f>
        <v>4</v>
      </c>
      <c r="BA973" s="39" t="str">
        <f>_xlfn.IFNA(VLOOKUP(AY973,표1[[검색용]:[OptionGroupIndex'[']22]],EquipItemTable!AZ973,FALSE),"옵션고정안함")</f>
        <v>1211,1212</v>
      </c>
    </row>
    <row r="974" spans="1:53" ht="12" customHeight="1" x14ac:dyDescent="0.2">
      <c r="A974" s="13" t="s">
        <v>473</v>
      </c>
      <c r="B974" s="39">
        <v>60004</v>
      </c>
      <c r="C974" s="42" t="s">
        <v>3631</v>
      </c>
      <c r="D974" s="10" t="s">
        <v>82</v>
      </c>
      <c r="E974" s="10" t="s">
        <v>1</v>
      </c>
      <c r="F974" s="1" t="s">
        <v>480</v>
      </c>
      <c r="G974" s="1" t="s">
        <v>1311</v>
      </c>
      <c r="H974" s="1"/>
      <c r="I974" s="1"/>
      <c r="J974" s="1"/>
      <c r="K974" s="1"/>
      <c r="L974" s="1"/>
      <c r="M974" s="1"/>
      <c r="O974" s="12" t="s">
        <v>428</v>
      </c>
      <c r="P974" s="1">
        <v>1</v>
      </c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>
        <v>105</v>
      </c>
      <c r="AB974" s="11"/>
      <c r="AC974" s="82"/>
      <c r="AE974" s="39" t="str">
        <f t="shared" si="127"/>
        <v>1311,1312</v>
      </c>
      <c r="AG974" s="23"/>
      <c r="AH974" s="23"/>
      <c r="AN974" s="12"/>
      <c r="AR974" s="34" t="s">
        <v>543</v>
      </c>
      <c r="AS974" s="34" t="s">
        <v>543</v>
      </c>
      <c r="AU974" s="12" t="s">
        <v>1935</v>
      </c>
      <c r="AV974" s="13"/>
      <c r="AW974" s="39">
        <v>4</v>
      </c>
      <c r="AX974" s="12">
        <f>VLOOKUP(AW974,색인!$N$14:$O$19,2,FALSE)</f>
        <v>3</v>
      </c>
      <c r="AY974" s="39" t="str">
        <f>"T"&amp;O974&amp;"_"&amp;AX974&amp;"옵션_"&amp;VLOOKUP(E974,색인!$J$25:$K$29,2,FALSE)</f>
        <v>T1_3옵션_방어구</v>
      </c>
      <c r="AZ974" s="39">
        <f>VLOOKUP(G974,색인!$J$32:$K$45,2,FALSE)</f>
        <v>4</v>
      </c>
      <c r="BA974" s="39" t="str">
        <f>_xlfn.IFNA(VLOOKUP(AY974,표1[[검색용]:[OptionGroupIndex'[']22]],EquipItemTable!AZ974,FALSE),"옵션고정안함")</f>
        <v>1311,1312</v>
      </c>
    </row>
    <row r="975" spans="1:53" ht="12" customHeight="1" x14ac:dyDescent="0.2">
      <c r="A975" s="13" t="s">
        <v>171</v>
      </c>
      <c r="B975" s="39">
        <v>60005</v>
      </c>
      <c r="C975" s="42" t="s">
        <v>3632</v>
      </c>
      <c r="D975" s="10" t="s">
        <v>82</v>
      </c>
      <c r="E975" s="10" t="s">
        <v>1</v>
      </c>
      <c r="F975" s="1" t="s">
        <v>92</v>
      </c>
      <c r="G975" s="1" t="s">
        <v>1311</v>
      </c>
      <c r="H975" s="1"/>
      <c r="I975" s="1"/>
      <c r="J975" s="1"/>
      <c r="K975" s="1"/>
      <c r="L975" s="1"/>
      <c r="M975" s="1"/>
      <c r="O975" s="12" t="s">
        <v>95</v>
      </c>
      <c r="P975" s="1">
        <v>21</v>
      </c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>
        <v>120</v>
      </c>
      <c r="AB975" s="11"/>
      <c r="AC975" s="82"/>
      <c r="AD975" s="12" t="s">
        <v>52</v>
      </c>
      <c r="AE975" s="12" t="s">
        <v>550</v>
      </c>
      <c r="AG975" s="23"/>
      <c r="AH975" s="23"/>
      <c r="AN975" s="12"/>
      <c r="AU975" s="12" t="s">
        <v>1932</v>
      </c>
      <c r="AV975" s="13"/>
      <c r="AW975" s="39">
        <v>1</v>
      </c>
      <c r="AY975" s="32"/>
      <c r="AZ975" s="32"/>
      <c r="BA975" s="32"/>
    </row>
    <row r="976" spans="1:53" ht="12" customHeight="1" x14ac:dyDescent="0.2">
      <c r="A976" s="13" t="s">
        <v>172</v>
      </c>
      <c r="B976" s="39">
        <v>60006</v>
      </c>
      <c r="C976" s="42" t="s">
        <v>3633</v>
      </c>
      <c r="D976" s="10" t="s">
        <v>82</v>
      </c>
      <c r="E976" s="10" t="s">
        <v>1</v>
      </c>
      <c r="F976" s="1" t="s">
        <v>92</v>
      </c>
      <c r="G976" s="1" t="s">
        <v>1311</v>
      </c>
      <c r="H976" s="1"/>
      <c r="I976" s="1"/>
      <c r="J976" s="1"/>
      <c r="K976" s="1"/>
      <c r="L976" s="1"/>
      <c r="M976" s="1"/>
      <c r="O976" s="12" t="s">
        <v>95</v>
      </c>
      <c r="P976" s="1">
        <v>21</v>
      </c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>
        <v>157</v>
      </c>
      <c r="AB976" s="11"/>
      <c r="AC976" s="82"/>
      <c r="AD976" s="12" t="s">
        <v>52</v>
      </c>
      <c r="AE976" s="39" t="str">
        <f t="shared" ref="AE976:AE978" si="128">BA976</f>
        <v>2111,2112</v>
      </c>
      <c r="AG976" s="23"/>
      <c r="AH976" s="23"/>
      <c r="AN976" s="12"/>
      <c r="AU976" s="12" t="s">
        <v>1933</v>
      </c>
      <c r="AV976" s="13"/>
      <c r="AW976" s="39">
        <v>2</v>
      </c>
      <c r="AX976" s="12">
        <f>VLOOKUP(AW976,색인!$N$14:$O$19,2,FALSE)</f>
        <v>1</v>
      </c>
      <c r="AY976" s="39" t="str">
        <f>"T"&amp;O976&amp;"_"&amp;AX976&amp;"옵션_"&amp;VLOOKUP(E976,색인!$J$25:$K$29,2,FALSE)</f>
        <v>T2_1옵션_방어구</v>
      </c>
      <c r="AZ976" s="39">
        <f>VLOOKUP(G976,색인!$J$32:$K$45,2,FALSE)</f>
        <v>4</v>
      </c>
      <c r="BA976" s="39" t="str">
        <f>_xlfn.IFNA(VLOOKUP(AY976,표1[[검색용]:[OptionGroupIndex'[']22]],EquipItemTable!AZ976,FALSE),"옵션고정안함")</f>
        <v>2111,2112</v>
      </c>
    </row>
    <row r="977" spans="1:53" ht="12" customHeight="1" x14ac:dyDescent="0.2">
      <c r="A977" s="13" t="s">
        <v>173</v>
      </c>
      <c r="B977" s="39">
        <v>60007</v>
      </c>
      <c r="C977" s="42" t="s">
        <v>3634</v>
      </c>
      <c r="D977" s="10" t="s">
        <v>82</v>
      </c>
      <c r="E977" s="10" t="s">
        <v>1</v>
      </c>
      <c r="F977" s="1" t="s">
        <v>92</v>
      </c>
      <c r="G977" s="1" t="s">
        <v>1311</v>
      </c>
      <c r="H977" s="1"/>
      <c r="I977" s="1"/>
      <c r="J977" s="1"/>
      <c r="K977" s="1"/>
      <c r="L977" s="1"/>
      <c r="M977" s="1"/>
      <c r="O977" s="12" t="s">
        <v>95</v>
      </c>
      <c r="P977" s="1">
        <v>21</v>
      </c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>
        <v>195</v>
      </c>
      <c r="AB977" s="11"/>
      <c r="AC977" s="82"/>
      <c r="AD977" s="12" t="s">
        <v>52</v>
      </c>
      <c r="AE977" s="39" t="str">
        <f t="shared" si="128"/>
        <v>2211,2212</v>
      </c>
      <c r="AG977" s="23"/>
      <c r="AH977" s="23"/>
      <c r="AN977" s="12"/>
      <c r="AR977" s="34" t="s">
        <v>94</v>
      </c>
      <c r="AS977" s="34" t="s">
        <v>94</v>
      </c>
      <c r="AU977" s="12" t="s">
        <v>1934</v>
      </c>
      <c r="AV977" s="13"/>
      <c r="AW977" s="39">
        <v>3</v>
      </c>
      <c r="AX977" s="12">
        <f>VLOOKUP(AW977,색인!$N$14:$O$19,2,FALSE)</f>
        <v>2</v>
      </c>
      <c r="AY977" s="39" t="str">
        <f>"T"&amp;O977&amp;"_"&amp;AX977&amp;"옵션_"&amp;VLOOKUP(E977,색인!$J$25:$K$29,2,FALSE)</f>
        <v>T2_2옵션_방어구</v>
      </c>
      <c r="AZ977" s="39">
        <f>VLOOKUP(G977,색인!$J$32:$K$45,2,FALSE)</f>
        <v>4</v>
      </c>
      <c r="BA977" s="39" t="str">
        <f>_xlfn.IFNA(VLOOKUP(AY977,표1[[검색용]:[OptionGroupIndex'[']22]],EquipItemTable!AZ977,FALSE),"옵션고정안함")</f>
        <v>2211,2212</v>
      </c>
    </row>
    <row r="978" spans="1:53" ht="12" customHeight="1" x14ac:dyDescent="0.2">
      <c r="A978" s="13" t="s">
        <v>474</v>
      </c>
      <c r="B978" s="39">
        <v>60008</v>
      </c>
      <c r="C978" s="42" t="s">
        <v>3635</v>
      </c>
      <c r="D978" s="10" t="s">
        <v>82</v>
      </c>
      <c r="E978" s="10" t="s">
        <v>1</v>
      </c>
      <c r="F978" s="1" t="s">
        <v>480</v>
      </c>
      <c r="G978" s="1" t="s">
        <v>1311</v>
      </c>
      <c r="H978" s="1"/>
      <c r="I978" s="1"/>
      <c r="J978" s="1"/>
      <c r="K978" s="1"/>
      <c r="L978" s="1"/>
      <c r="M978" s="1"/>
      <c r="O978" s="12" t="s">
        <v>429</v>
      </c>
      <c r="P978" s="1">
        <v>21</v>
      </c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>
        <v>237</v>
      </c>
      <c r="AB978" s="11"/>
      <c r="AC978" s="82"/>
      <c r="AE978" s="39" t="str">
        <f t="shared" si="128"/>
        <v>2311,2312</v>
      </c>
      <c r="AG978" s="23"/>
      <c r="AH978" s="23"/>
      <c r="AN978" s="12"/>
      <c r="AR978" s="34" t="s">
        <v>543</v>
      </c>
      <c r="AS978" s="34" t="s">
        <v>543</v>
      </c>
      <c r="AU978" s="12" t="s">
        <v>1935</v>
      </c>
      <c r="AV978" s="13"/>
      <c r="AW978" s="39">
        <v>4</v>
      </c>
      <c r="AX978" s="12">
        <f>VLOOKUP(AW978,색인!$N$14:$O$19,2,FALSE)</f>
        <v>3</v>
      </c>
      <c r="AY978" s="39" t="str">
        <f>"T"&amp;O978&amp;"_"&amp;AX978&amp;"옵션_"&amp;VLOOKUP(E978,색인!$J$25:$K$29,2,FALSE)</f>
        <v>T2_3옵션_방어구</v>
      </c>
      <c r="AZ978" s="39">
        <f>VLOOKUP(G978,색인!$J$32:$K$45,2,FALSE)</f>
        <v>4</v>
      </c>
      <c r="BA978" s="39" t="str">
        <f>_xlfn.IFNA(VLOOKUP(AY978,표1[[검색용]:[OptionGroupIndex'[']22]],EquipItemTable!AZ978,FALSE),"옵션고정안함")</f>
        <v>2311,2312</v>
      </c>
    </row>
    <row r="979" spans="1:53" ht="12" customHeight="1" x14ac:dyDescent="0.2">
      <c r="A979" s="13" t="s">
        <v>174</v>
      </c>
      <c r="B979" s="39">
        <v>60009</v>
      </c>
      <c r="C979" s="42" t="s">
        <v>9</v>
      </c>
      <c r="D979" s="10" t="s">
        <v>82</v>
      </c>
      <c r="E979" s="10" t="s">
        <v>1</v>
      </c>
      <c r="F979" s="1" t="s">
        <v>92</v>
      </c>
      <c r="G979" s="1" t="s">
        <v>1311</v>
      </c>
      <c r="H979" s="1"/>
      <c r="I979" s="1"/>
      <c r="J979" s="1"/>
      <c r="K979" s="1"/>
      <c r="L979" s="1"/>
      <c r="M979" s="1"/>
      <c r="N979" s="81"/>
      <c r="O979" s="12" t="s">
        <v>96</v>
      </c>
      <c r="P979" s="1">
        <v>31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>
        <v>270</v>
      </c>
      <c r="AB979" s="13"/>
      <c r="AC979" s="82"/>
      <c r="AD979" s="23" t="s">
        <v>52</v>
      </c>
      <c r="AE979" s="23">
        <v>3</v>
      </c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81"/>
      <c r="AR979" s="83"/>
      <c r="AS979" s="83"/>
      <c r="AT979" s="81"/>
      <c r="AU979" s="12" t="s">
        <v>1932</v>
      </c>
      <c r="AV979" s="13" t="s">
        <v>10</v>
      </c>
      <c r="AW979" s="39">
        <v>1</v>
      </c>
      <c r="AY979" s="32"/>
      <c r="AZ979" s="32"/>
      <c r="BA979" s="32"/>
    </row>
    <row r="980" spans="1:53" ht="12" customHeight="1" x14ac:dyDescent="0.2">
      <c r="A980" s="13" t="s">
        <v>175</v>
      </c>
      <c r="B980" s="39">
        <v>60010</v>
      </c>
      <c r="C980" s="42" t="s">
        <v>3636</v>
      </c>
      <c r="D980" s="10" t="s">
        <v>82</v>
      </c>
      <c r="E980" s="10" t="s">
        <v>1</v>
      </c>
      <c r="F980" s="1" t="s">
        <v>92</v>
      </c>
      <c r="G980" s="1" t="s">
        <v>1311</v>
      </c>
      <c r="H980" s="1"/>
      <c r="I980" s="1"/>
      <c r="J980" s="1"/>
      <c r="K980" s="1"/>
      <c r="L980" s="1"/>
      <c r="M980" s="1"/>
      <c r="N980" s="81"/>
      <c r="O980" s="12" t="s">
        <v>96</v>
      </c>
      <c r="P980" s="1">
        <v>31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>
        <v>343</v>
      </c>
      <c r="AB980" s="13"/>
      <c r="AC980" s="82"/>
      <c r="AD980" s="23" t="s">
        <v>52</v>
      </c>
      <c r="AE980" s="90" t="str">
        <f t="shared" ref="AE980:AE982" si="129">BA980</f>
        <v>3111,3112</v>
      </c>
      <c r="AF980" s="23"/>
      <c r="AI980" s="23"/>
      <c r="AJ980" s="23"/>
      <c r="AK980" s="23"/>
      <c r="AL980" s="23"/>
      <c r="AM980" s="23"/>
      <c r="AN980" s="23"/>
      <c r="AO980" s="23"/>
      <c r="AP980" s="23"/>
      <c r="AQ980" s="81"/>
      <c r="AR980" s="83"/>
      <c r="AS980" s="83"/>
      <c r="AT980" s="81"/>
      <c r="AU980" s="12" t="s">
        <v>1933</v>
      </c>
      <c r="AV980" s="13"/>
      <c r="AW980" s="39">
        <v>2</v>
      </c>
      <c r="AX980" s="12">
        <f>VLOOKUP(AW980,색인!$N$14:$O$19,2,FALSE)</f>
        <v>1</v>
      </c>
      <c r="AY980" s="39" t="str">
        <f>"T"&amp;O980&amp;"_"&amp;AX980&amp;"옵션_"&amp;VLOOKUP(E980,색인!$J$25:$K$29,2,FALSE)</f>
        <v>T3_1옵션_방어구</v>
      </c>
      <c r="AZ980" s="39">
        <f>VLOOKUP(G980,색인!$J$32:$K$45,2,FALSE)</f>
        <v>4</v>
      </c>
      <c r="BA980" s="39" t="str">
        <f>_xlfn.IFNA(VLOOKUP(AY980,표1[[검색용]:[OptionGroupIndex'[']22]],EquipItemTable!AZ980,FALSE),"옵션고정안함")</f>
        <v>3111,3112</v>
      </c>
    </row>
    <row r="981" spans="1:53" ht="12" customHeight="1" x14ac:dyDescent="0.2">
      <c r="A981" s="13" t="s">
        <v>176</v>
      </c>
      <c r="B981" s="39">
        <v>60011</v>
      </c>
      <c r="C981" s="42" t="s">
        <v>3637</v>
      </c>
      <c r="D981" s="10" t="s">
        <v>82</v>
      </c>
      <c r="E981" s="10" t="s">
        <v>1</v>
      </c>
      <c r="F981" s="1" t="s">
        <v>92</v>
      </c>
      <c r="G981" s="1" t="s">
        <v>1311</v>
      </c>
      <c r="H981" s="1"/>
      <c r="I981" s="1"/>
      <c r="J981" s="1"/>
      <c r="K981" s="1"/>
      <c r="L981" s="1"/>
      <c r="M981" s="1"/>
      <c r="N981" s="81"/>
      <c r="O981" s="12" t="s">
        <v>96</v>
      </c>
      <c r="P981" s="1">
        <v>31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>
        <v>409</v>
      </c>
      <c r="AB981" s="13"/>
      <c r="AC981" s="82"/>
      <c r="AD981" s="23" t="s">
        <v>52</v>
      </c>
      <c r="AE981" s="90" t="str">
        <f t="shared" si="129"/>
        <v>3211,3212</v>
      </c>
      <c r="AF981" s="23"/>
      <c r="AI981" s="23"/>
      <c r="AJ981" s="23"/>
      <c r="AK981" s="23"/>
      <c r="AL981" s="23"/>
      <c r="AM981" s="23"/>
      <c r="AN981" s="23"/>
      <c r="AO981" s="23"/>
      <c r="AP981" s="23"/>
      <c r="AQ981" s="81"/>
      <c r="AR981" s="83">
        <v>1</v>
      </c>
      <c r="AS981" s="83">
        <v>1</v>
      </c>
      <c r="AT981" s="81"/>
      <c r="AU981" s="12" t="s">
        <v>1934</v>
      </c>
      <c r="AV981" s="13"/>
      <c r="AW981" s="39">
        <v>3</v>
      </c>
      <c r="AX981" s="12">
        <f>VLOOKUP(AW981,색인!$N$14:$O$19,2,FALSE)</f>
        <v>2</v>
      </c>
      <c r="AY981" s="39" t="str">
        <f>"T"&amp;O981&amp;"_"&amp;AX981&amp;"옵션_"&amp;VLOOKUP(E981,색인!$J$25:$K$29,2,FALSE)</f>
        <v>T3_2옵션_방어구</v>
      </c>
      <c r="AZ981" s="39">
        <f>VLOOKUP(G981,색인!$J$32:$K$45,2,FALSE)</f>
        <v>4</v>
      </c>
      <c r="BA981" s="39" t="str">
        <f>_xlfn.IFNA(VLOOKUP(AY981,표1[[검색용]:[OptionGroupIndex'[']22]],EquipItemTable!AZ981,FALSE),"옵션고정안함")</f>
        <v>3211,3212</v>
      </c>
    </row>
    <row r="982" spans="1:53" ht="12" customHeight="1" x14ac:dyDescent="0.2">
      <c r="A982" s="13" t="s">
        <v>177</v>
      </c>
      <c r="B982" s="39">
        <v>60012</v>
      </c>
      <c r="C982" s="42" t="s">
        <v>3638</v>
      </c>
      <c r="D982" s="10" t="s">
        <v>82</v>
      </c>
      <c r="E982" s="10" t="s">
        <v>1</v>
      </c>
      <c r="F982" s="1" t="s">
        <v>92</v>
      </c>
      <c r="G982" s="1" t="s">
        <v>1311</v>
      </c>
      <c r="H982" s="1"/>
      <c r="I982" s="1"/>
      <c r="J982" s="1"/>
      <c r="K982" s="1"/>
      <c r="L982" s="1"/>
      <c r="M982" s="1"/>
      <c r="N982" s="81"/>
      <c r="O982" s="12" t="s">
        <v>96</v>
      </c>
      <c r="P982" s="1">
        <v>31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>
        <v>486</v>
      </c>
      <c r="AB982" s="13"/>
      <c r="AC982" s="82"/>
      <c r="AD982" s="23" t="s">
        <v>52</v>
      </c>
      <c r="AE982" s="90" t="str">
        <f t="shared" si="129"/>
        <v>3311,3312</v>
      </c>
      <c r="AF982" s="23"/>
      <c r="AI982" s="23"/>
      <c r="AJ982" s="23"/>
      <c r="AK982" s="23"/>
      <c r="AL982" s="23"/>
      <c r="AM982" s="23"/>
      <c r="AN982" s="23"/>
      <c r="AO982" s="23"/>
      <c r="AP982" s="23"/>
      <c r="AQ982" s="81"/>
      <c r="AR982" s="83">
        <v>1</v>
      </c>
      <c r="AS982" s="83">
        <v>1</v>
      </c>
      <c r="AT982" s="81"/>
      <c r="AU982" s="12" t="s">
        <v>1935</v>
      </c>
      <c r="AV982" s="13"/>
      <c r="AW982" s="39">
        <v>4</v>
      </c>
      <c r="AX982" s="12">
        <f>VLOOKUP(AW982,색인!$N$14:$O$19,2,FALSE)</f>
        <v>3</v>
      </c>
      <c r="AY982" s="39" t="str">
        <f>"T"&amp;O982&amp;"_"&amp;AX982&amp;"옵션_"&amp;VLOOKUP(E982,색인!$J$25:$K$29,2,FALSE)</f>
        <v>T3_3옵션_방어구</v>
      </c>
      <c r="AZ982" s="39">
        <f>VLOOKUP(G982,색인!$J$32:$K$45,2,FALSE)</f>
        <v>4</v>
      </c>
      <c r="BA982" s="39" t="str">
        <f>_xlfn.IFNA(VLOOKUP(AY982,표1[[검색용]:[OptionGroupIndex'[']22]],EquipItemTable!AZ982,FALSE),"옵션고정안함")</f>
        <v>3311,3312</v>
      </c>
    </row>
    <row r="983" spans="1:53" ht="14.1" customHeight="1" x14ac:dyDescent="0.2">
      <c r="A983" s="13" t="s">
        <v>574</v>
      </c>
      <c r="B983" s="39">
        <v>60029</v>
      </c>
      <c r="C983" s="42" t="s">
        <v>3639</v>
      </c>
      <c r="D983" s="10" t="s">
        <v>82</v>
      </c>
      <c r="E983" s="10" t="s">
        <v>1</v>
      </c>
      <c r="F983" s="1" t="s">
        <v>92</v>
      </c>
      <c r="G983" s="1" t="s">
        <v>1311</v>
      </c>
      <c r="H983" s="1"/>
      <c r="I983" s="1"/>
      <c r="J983" s="1"/>
      <c r="K983" s="1"/>
      <c r="L983" s="1"/>
      <c r="M983" s="1"/>
      <c r="N983" s="81"/>
      <c r="O983" s="12" t="s">
        <v>96</v>
      </c>
      <c r="P983" s="1">
        <v>31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>
        <v>576</v>
      </c>
      <c r="AB983" s="13"/>
      <c r="AC983" s="82"/>
      <c r="AD983" s="23" t="s">
        <v>52</v>
      </c>
      <c r="AE983" s="23">
        <v>3</v>
      </c>
      <c r="AF983" s="23"/>
      <c r="AI983" s="23"/>
      <c r="AJ983" s="23"/>
      <c r="AK983" s="23"/>
      <c r="AL983" s="23"/>
      <c r="AM983" s="23"/>
      <c r="AN983" s="23">
        <v>1</v>
      </c>
      <c r="AO983" s="23"/>
      <c r="AP983" s="23"/>
      <c r="AQ983" s="81"/>
      <c r="AR983" s="83">
        <v>1</v>
      </c>
      <c r="AS983" s="83">
        <v>1</v>
      </c>
      <c r="AT983" s="81"/>
      <c r="AU983" s="12" t="s">
        <v>1936</v>
      </c>
      <c r="AV983" s="13"/>
      <c r="AW983" s="39">
        <v>6</v>
      </c>
      <c r="AX983" s="12">
        <f>VLOOKUP(AW983,색인!$N$14:$O$19,2,FALSE)</f>
        <v>4</v>
      </c>
      <c r="AY983" s="32" t="str">
        <f>"T"&amp;O983&amp;"_"&amp;AX983&amp;"옵션_"&amp;VLOOKUP(E983,색인!$J$25:$K$29,2,FALSE)</f>
        <v>T3_4옵션_방어구</v>
      </c>
      <c r="AZ983" s="32">
        <f>VLOOKUP(G983,색인!$J$32:$K$45,2,FALSE)</f>
        <v>4</v>
      </c>
      <c r="BA983" s="32" t="str">
        <f>_xlfn.IFNA(VLOOKUP(AY983,표1[[검색용]:[OptionGroupIndex'[']22]],EquipItemTable!AZ983,FALSE),"옵션고정안함")</f>
        <v>옵션고정안함</v>
      </c>
    </row>
    <row r="984" spans="1:53" ht="14.1" customHeight="1" x14ac:dyDescent="0.2">
      <c r="A984" s="13" t="s">
        <v>1042</v>
      </c>
      <c r="B984" s="39">
        <v>60030</v>
      </c>
      <c r="C984" s="42" t="s">
        <v>3640</v>
      </c>
      <c r="D984" s="10" t="s">
        <v>82</v>
      </c>
      <c r="E984" s="10" t="s">
        <v>1</v>
      </c>
      <c r="F984" s="1" t="s">
        <v>92</v>
      </c>
      <c r="G984" s="1" t="s">
        <v>1311</v>
      </c>
      <c r="H984" s="1"/>
      <c r="I984" s="1"/>
      <c r="J984" s="1"/>
      <c r="K984" s="1"/>
      <c r="L984" s="1"/>
      <c r="M984" s="1"/>
      <c r="N984" s="81"/>
      <c r="O984" s="12" t="s">
        <v>96</v>
      </c>
      <c r="P984" s="1">
        <v>31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>
        <v>576</v>
      </c>
      <c r="AB984" s="13"/>
      <c r="AC984" s="82"/>
      <c r="AD984" s="23" t="s">
        <v>52</v>
      </c>
      <c r="AE984" s="23">
        <v>3</v>
      </c>
      <c r="AF984" s="23"/>
      <c r="AI984" s="23"/>
      <c r="AJ984" s="23"/>
      <c r="AK984" s="23"/>
      <c r="AL984" s="23"/>
      <c r="AM984" s="23"/>
      <c r="AN984" s="23">
        <v>2</v>
      </c>
      <c r="AO984" s="23"/>
      <c r="AP984" s="23"/>
      <c r="AQ984" s="81"/>
      <c r="AR984" s="83">
        <v>1</v>
      </c>
      <c r="AS984" s="83">
        <v>1</v>
      </c>
      <c r="AT984" s="81"/>
      <c r="AU984" s="12" t="s">
        <v>1936</v>
      </c>
      <c r="AV984" s="13"/>
      <c r="AW984" s="39">
        <v>6</v>
      </c>
      <c r="AX984" s="12">
        <f>VLOOKUP(AW984,색인!$N$14:$O$19,2,FALSE)</f>
        <v>4</v>
      </c>
      <c r="AY984" s="32" t="str">
        <f>"T"&amp;O984&amp;"_"&amp;AX984&amp;"옵션_"&amp;VLOOKUP(E984,색인!$J$25:$K$29,2,FALSE)</f>
        <v>T3_4옵션_방어구</v>
      </c>
      <c r="AZ984" s="32">
        <f>VLOOKUP(G984,색인!$J$32:$K$45,2,FALSE)</f>
        <v>4</v>
      </c>
      <c r="BA984" s="32" t="str">
        <f>_xlfn.IFNA(VLOOKUP(AY984,표1[[검색용]:[OptionGroupIndex'[']22]],EquipItemTable!AZ984,FALSE),"옵션고정안함")</f>
        <v>옵션고정안함</v>
      </c>
    </row>
    <row r="985" spans="1:53" ht="14.1" customHeight="1" x14ac:dyDescent="0.2">
      <c r="A985" s="13" t="s">
        <v>1043</v>
      </c>
      <c r="B985" s="39">
        <v>60031</v>
      </c>
      <c r="C985" s="42" t="s">
        <v>3641</v>
      </c>
      <c r="D985" s="10" t="s">
        <v>82</v>
      </c>
      <c r="E985" s="10" t="s">
        <v>1</v>
      </c>
      <c r="F985" s="1" t="s">
        <v>92</v>
      </c>
      <c r="G985" s="1" t="s">
        <v>1311</v>
      </c>
      <c r="H985" s="1"/>
      <c r="I985" s="1"/>
      <c r="J985" s="1"/>
      <c r="K985" s="1"/>
      <c r="L985" s="1"/>
      <c r="M985" s="1"/>
      <c r="N985" s="81"/>
      <c r="O985" s="12" t="s">
        <v>96</v>
      </c>
      <c r="P985" s="1">
        <v>31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>
        <v>576</v>
      </c>
      <c r="AB985" s="13"/>
      <c r="AC985" s="82"/>
      <c r="AD985" s="23" t="s">
        <v>52</v>
      </c>
      <c r="AE985" s="23">
        <v>3</v>
      </c>
      <c r="AF985" s="23"/>
      <c r="AI985" s="23"/>
      <c r="AJ985" s="23"/>
      <c r="AK985" s="23"/>
      <c r="AL985" s="23"/>
      <c r="AM985" s="23"/>
      <c r="AN985" s="23">
        <v>3</v>
      </c>
      <c r="AO985" s="23"/>
      <c r="AP985" s="23"/>
      <c r="AQ985" s="81"/>
      <c r="AR985" s="83">
        <v>1</v>
      </c>
      <c r="AS985" s="83">
        <v>1</v>
      </c>
      <c r="AT985" s="81"/>
      <c r="AU985" s="12" t="s">
        <v>1936</v>
      </c>
      <c r="AV985" s="13"/>
      <c r="AW985" s="39">
        <v>6</v>
      </c>
      <c r="AX985" s="12">
        <f>VLOOKUP(AW985,색인!$N$14:$O$19,2,FALSE)</f>
        <v>4</v>
      </c>
      <c r="AY985" s="32" t="str">
        <f>"T"&amp;O985&amp;"_"&amp;AX985&amp;"옵션_"&amp;VLOOKUP(E985,색인!$J$25:$K$29,2,FALSE)</f>
        <v>T3_4옵션_방어구</v>
      </c>
      <c r="AZ985" s="32">
        <f>VLOOKUP(G985,색인!$J$32:$K$45,2,FALSE)</f>
        <v>4</v>
      </c>
      <c r="BA985" s="32" t="str">
        <f>_xlfn.IFNA(VLOOKUP(AY985,표1[[검색용]:[OptionGroupIndex'[']22]],EquipItemTable!AZ985,FALSE),"옵션고정안함")</f>
        <v>옵션고정안함</v>
      </c>
    </row>
    <row r="986" spans="1:53" ht="14.1" customHeight="1" x14ac:dyDescent="0.2">
      <c r="A986" s="13" t="s">
        <v>1044</v>
      </c>
      <c r="B986" s="39">
        <v>60021</v>
      </c>
      <c r="C986" s="42" t="s">
        <v>3642</v>
      </c>
      <c r="D986" s="10" t="s">
        <v>82</v>
      </c>
      <c r="E986" s="10" t="s">
        <v>1</v>
      </c>
      <c r="F986" s="1" t="s">
        <v>92</v>
      </c>
      <c r="G986" s="1" t="s">
        <v>1311</v>
      </c>
      <c r="H986" s="1"/>
      <c r="I986" s="1"/>
      <c r="J986" s="1"/>
      <c r="K986" s="1"/>
      <c r="L986" s="1"/>
      <c r="M986" s="1"/>
      <c r="N986" s="81"/>
      <c r="O986" s="12" t="s">
        <v>96</v>
      </c>
      <c r="P986" s="1">
        <v>31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>
        <v>576</v>
      </c>
      <c r="AB986" s="13"/>
      <c r="AC986" s="82"/>
      <c r="AD986" s="23" t="s">
        <v>52</v>
      </c>
      <c r="AE986" s="23">
        <v>3</v>
      </c>
      <c r="AF986" s="23"/>
      <c r="AI986" s="23"/>
      <c r="AJ986" s="23"/>
      <c r="AK986" s="23"/>
      <c r="AL986" s="23"/>
      <c r="AM986" s="23"/>
      <c r="AN986" s="23">
        <v>4</v>
      </c>
      <c r="AO986" s="23"/>
      <c r="AP986" s="23"/>
      <c r="AQ986" s="81"/>
      <c r="AR986" s="83">
        <v>1</v>
      </c>
      <c r="AS986" s="83">
        <v>1</v>
      </c>
      <c r="AT986" s="81"/>
      <c r="AU986" s="12" t="s">
        <v>1936</v>
      </c>
      <c r="AV986" s="13"/>
      <c r="AW986" s="39">
        <v>6</v>
      </c>
      <c r="AX986" s="12">
        <f>VLOOKUP(AW986,색인!$N$14:$O$19,2,FALSE)</f>
        <v>4</v>
      </c>
      <c r="AY986" s="32" t="str">
        <f>"T"&amp;O986&amp;"_"&amp;AX986&amp;"옵션_"&amp;VLOOKUP(E986,색인!$J$25:$K$29,2,FALSE)</f>
        <v>T3_4옵션_방어구</v>
      </c>
      <c r="AZ986" s="32">
        <f>VLOOKUP(G986,색인!$J$32:$K$45,2,FALSE)</f>
        <v>4</v>
      </c>
      <c r="BA986" s="32" t="str">
        <f>_xlfn.IFNA(VLOOKUP(AY986,표1[[검색용]:[OptionGroupIndex'[']22]],EquipItemTable!AZ986,FALSE),"옵션고정안함")</f>
        <v>옵션고정안함</v>
      </c>
    </row>
    <row r="987" spans="1:53" ht="12" customHeight="1" x14ac:dyDescent="0.2">
      <c r="A987" s="13" t="s">
        <v>178</v>
      </c>
      <c r="B987" s="39">
        <v>60013</v>
      </c>
      <c r="C987" s="42" t="s">
        <v>3643</v>
      </c>
      <c r="D987" s="10" t="s">
        <v>82</v>
      </c>
      <c r="E987" s="10" t="s">
        <v>1</v>
      </c>
      <c r="F987" s="1" t="s">
        <v>92</v>
      </c>
      <c r="G987" s="1" t="s">
        <v>1311</v>
      </c>
      <c r="H987" s="1"/>
      <c r="I987" s="1"/>
      <c r="J987" s="1"/>
      <c r="K987" s="1"/>
      <c r="L987" s="1"/>
      <c r="M987" s="1"/>
      <c r="N987" s="81"/>
      <c r="O987" s="12" t="s">
        <v>97</v>
      </c>
      <c r="P987" s="1">
        <v>41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>
        <v>559</v>
      </c>
      <c r="AB987" s="13"/>
      <c r="AC987" s="82"/>
      <c r="AD987" s="23" t="s">
        <v>52</v>
      </c>
      <c r="AE987" s="23">
        <v>4</v>
      </c>
      <c r="AF987" s="23"/>
      <c r="AI987" s="23"/>
      <c r="AJ987" s="23"/>
      <c r="AK987" s="23"/>
      <c r="AL987" s="23"/>
      <c r="AM987" s="23"/>
      <c r="AN987" s="23"/>
      <c r="AO987" s="23"/>
      <c r="AP987" s="23"/>
      <c r="AQ987" s="81"/>
      <c r="AR987" s="83"/>
      <c r="AS987" s="83"/>
      <c r="AT987" s="81"/>
      <c r="AU987" s="12" t="s">
        <v>1932</v>
      </c>
      <c r="AV987" s="13"/>
      <c r="AW987" s="39">
        <v>1</v>
      </c>
      <c r="AY987" s="32"/>
      <c r="AZ987" s="32"/>
      <c r="BA987" s="32"/>
    </row>
    <row r="988" spans="1:53" ht="12" customHeight="1" x14ac:dyDescent="0.2">
      <c r="A988" s="13" t="s">
        <v>179</v>
      </c>
      <c r="B988" s="39">
        <v>60014</v>
      </c>
      <c r="C988" s="42" t="s">
        <v>3644</v>
      </c>
      <c r="D988" s="10" t="s">
        <v>82</v>
      </c>
      <c r="E988" s="10" t="s">
        <v>1</v>
      </c>
      <c r="F988" s="1" t="s">
        <v>92</v>
      </c>
      <c r="G988" s="1" t="s">
        <v>1311</v>
      </c>
      <c r="H988" s="1"/>
      <c r="I988" s="1"/>
      <c r="J988" s="1"/>
      <c r="K988" s="1"/>
      <c r="L988" s="1"/>
      <c r="M988" s="1"/>
      <c r="N988" s="81"/>
      <c r="O988" s="12" t="s">
        <v>97</v>
      </c>
      <c r="P988" s="1">
        <v>41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>
        <v>691</v>
      </c>
      <c r="AB988" s="13"/>
      <c r="AC988" s="82"/>
      <c r="AD988" s="23" t="s">
        <v>52</v>
      </c>
      <c r="AE988" s="90" t="str">
        <f t="shared" ref="AE988:AE990" si="130">BA988</f>
        <v>4111,4112</v>
      </c>
      <c r="AF988" s="23"/>
      <c r="AI988" s="23"/>
      <c r="AJ988" s="23"/>
      <c r="AK988" s="23"/>
      <c r="AL988" s="23"/>
      <c r="AM988" s="23"/>
      <c r="AN988" s="23"/>
      <c r="AO988" s="23"/>
      <c r="AP988" s="23"/>
      <c r="AQ988" s="81"/>
      <c r="AR988" s="83"/>
      <c r="AS988" s="83"/>
      <c r="AT988" s="81"/>
      <c r="AU988" s="12" t="s">
        <v>1933</v>
      </c>
      <c r="AV988" s="13"/>
      <c r="AW988" s="39">
        <v>2</v>
      </c>
      <c r="AX988" s="12">
        <f>VLOOKUP(AW988,색인!$N$14:$O$19,2,FALSE)</f>
        <v>1</v>
      </c>
      <c r="AY988" s="39" t="str">
        <f>"T"&amp;O988&amp;"_"&amp;AX988&amp;"옵션_"&amp;VLOOKUP(E988,색인!$J$25:$K$29,2,FALSE)</f>
        <v>T4_1옵션_방어구</v>
      </c>
      <c r="AZ988" s="39">
        <f>VLOOKUP(G988,색인!$J$32:$K$45,2,FALSE)</f>
        <v>4</v>
      </c>
      <c r="BA988" s="39" t="str">
        <f>_xlfn.IFNA(VLOOKUP(AY988,표1[[검색용]:[OptionGroupIndex'[']22]],EquipItemTable!AZ988,FALSE),"옵션고정안함")</f>
        <v>4111,4112</v>
      </c>
    </row>
    <row r="989" spans="1:53" ht="12" customHeight="1" x14ac:dyDescent="0.2">
      <c r="A989" s="13" t="s">
        <v>180</v>
      </c>
      <c r="B989" s="39">
        <v>60015</v>
      </c>
      <c r="C989" s="42" t="s">
        <v>3645</v>
      </c>
      <c r="D989" s="10" t="s">
        <v>82</v>
      </c>
      <c r="E989" s="10" t="s">
        <v>1</v>
      </c>
      <c r="F989" s="1" t="s">
        <v>92</v>
      </c>
      <c r="G989" s="1" t="s">
        <v>1311</v>
      </c>
      <c r="H989" s="1"/>
      <c r="I989" s="1"/>
      <c r="J989" s="1"/>
      <c r="K989" s="1"/>
      <c r="L989" s="1"/>
      <c r="M989" s="1"/>
      <c r="N989" s="81"/>
      <c r="O989" s="12" t="s">
        <v>97</v>
      </c>
      <c r="P989" s="1">
        <v>41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>
        <v>810</v>
      </c>
      <c r="AB989" s="13"/>
      <c r="AC989" s="82"/>
      <c r="AD989" s="23" t="s">
        <v>52</v>
      </c>
      <c r="AE989" s="90" t="str">
        <f t="shared" si="130"/>
        <v>4211,4212</v>
      </c>
      <c r="AF989" s="23"/>
      <c r="AI989" s="23"/>
      <c r="AJ989" s="23"/>
      <c r="AK989" s="23"/>
      <c r="AL989" s="23"/>
      <c r="AM989" s="23"/>
      <c r="AN989" s="23"/>
      <c r="AO989" s="23"/>
      <c r="AP989" s="23"/>
      <c r="AQ989" s="81"/>
      <c r="AR989" s="83">
        <v>1</v>
      </c>
      <c r="AS989" s="83">
        <v>1</v>
      </c>
      <c r="AT989" s="81"/>
      <c r="AU989" s="12" t="s">
        <v>1934</v>
      </c>
      <c r="AV989" s="13"/>
      <c r="AW989" s="39">
        <v>3</v>
      </c>
      <c r="AX989" s="12">
        <f>VLOOKUP(AW989,색인!$N$14:$O$19,2,FALSE)</f>
        <v>2</v>
      </c>
      <c r="AY989" s="39" t="str">
        <f>"T"&amp;O989&amp;"_"&amp;AX989&amp;"옵션_"&amp;VLOOKUP(E989,색인!$J$25:$K$29,2,FALSE)</f>
        <v>T4_2옵션_방어구</v>
      </c>
      <c r="AZ989" s="39">
        <f>VLOOKUP(G989,색인!$J$32:$K$45,2,FALSE)</f>
        <v>4</v>
      </c>
      <c r="BA989" s="39" t="str">
        <f>_xlfn.IFNA(VLOOKUP(AY989,표1[[검색용]:[OptionGroupIndex'[']22]],EquipItemTable!AZ989,FALSE),"옵션고정안함")</f>
        <v>4211,4212</v>
      </c>
    </row>
    <row r="990" spans="1:53" ht="12" customHeight="1" x14ac:dyDescent="0.2">
      <c r="A990" s="13" t="s">
        <v>181</v>
      </c>
      <c r="B990" s="39">
        <v>60016</v>
      </c>
      <c r="C990" s="42" t="s">
        <v>3646</v>
      </c>
      <c r="D990" s="10" t="s">
        <v>82</v>
      </c>
      <c r="E990" s="10" t="s">
        <v>1</v>
      </c>
      <c r="F990" s="1" t="s">
        <v>92</v>
      </c>
      <c r="G990" s="1" t="s">
        <v>1311</v>
      </c>
      <c r="H990" s="1"/>
      <c r="I990" s="1"/>
      <c r="J990" s="1"/>
      <c r="K990" s="1"/>
      <c r="L990" s="1"/>
      <c r="M990" s="1"/>
      <c r="O990" s="12" t="s">
        <v>97</v>
      </c>
      <c r="P990" s="1">
        <v>41</v>
      </c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>
        <v>948</v>
      </c>
      <c r="AB990" s="11"/>
      <c r="AC990" s="82"/>
      <c r="AD990" s="12" t="s">
        <v>52</v>
      </c>
      <c r="AE990" s="39" t="str">
        <f t="shared" si="130"/>
        <v>4311,4312</v>
      </c>
      <c r="AN990" s="12"/>
      <c r="AR990" s="34" t="s">
        <v>94</v>
      </c>
      <c r="AS990" s="34" t="s">
        <v>94</v>
      </c>
      <c r="AU990" s="12" t="s">
        <v>1935</v>
      </c>
      <c r="AV990" s="13"/>
      <c r="AW990" s="39">
        <v>4</v>
      </c>
      <c r="AX990" s="12">
        <f>VLOOKUP(AW990,색인!$N$14:$O$19,2,FALSE)</f>
        <v>3</v>
      </c>
      <c r="AY990" s="39" t="str">
        <f>"T"&amp;O990&amp;"_"&amp;AX990&amp;"옵션_"&amp;VLOOKUP(E990,색인!$J$25:$K$29,2,FALSE)</f>
        <v>T4_3옵션_방어구</v>
      </c>
      <c r="AZ990" s="39">
        <f>VLOOKUP(G990,색인!$J$32:$K$45,2,FALSE)</f>
        <v>4</v>
      </c>
      <c r="BA990" s="39" t="str">
        <f>_xlfn.IFNA(VLOOKUP(AY990,표1[[검색용]:[OptionGroupIndex'[']22]],EquipItemTable!AZ990,FALSE),"옵션고정안함")</f>
        <v>4311,4312</v>
      </c>
    </row>
    <row r="991" spans="1:53" ht="14.1" customHeight="1" x14ac:dyDescent="0.2">
      <c r="A991" s="13" t="s">
        <v>575</v>
      </c>
      <c r="B991" s="39">
        <v>60032</v>
      </c>
      <c r="C991" s="42" t="s">
        <v>3639</v>
      </c>
      <c r="D991" s="10" t="s">
        <v>82</v>
      </c>
      <c r="E991" s="10" t="s">
        <v>1</v>
      </c>
      <c r="F991" s="1" t="s">
        <v>92</v>
      </c>
      <c r="G991" s="1" t="s">
        <v>1311</v>
      </c>
      <c r="H991" s="1"/>
      <c r="I991" s="1"/>
      <c r="J991" s="1"/>
      <c r="K991" s="1"/>
      <c r="L991" s="1"/>
      <c r="M991" s="1"/>
      <c r="O991" s="12" t="s">
        <v>97</v>
      </c>
      <c r="P991" s="1">
        <v>41</v>
      </c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>
        <v>1107</v>
      </c>
      <c r="AB991" s="11"/>
      <c r="AC991" s="82"/>
      <c r="AD991" s="12" t="s">
        <v>52</v>
      </c>
      <c r="AE991" s="12" t="s">
        <v>551</v>
      </c>
      <c r="AN991" s="12" t="s">
        <v>554</v>
      </c>
      <c r="AR991" s="34" t="s">
        <v>94</v>
      </c>
      <c r="AS991" s="34" t="s">
        <v>94</v>
      </c>
      <c r="AU991" s="12" t="s">
        <v>1936</v>
      </c>
      <c r="AV991" s="13"/>
      <c r="AW991" s="39">
        <v>6</v>
      </c>
      <c r="AX991" s="12">
        <f>VLOOKUP(AW991,색인!$N$14:$O$19,2,FALSE)</f>
        <v>4</v>
      </c>
      <c r="AY991" s="32" t="str">
        <f>"T"&amp;O991&amp;"_"&amp;AX991&amp;"옵션_"&amp;VLOOKUP(E991,색인!$J$25:$K$29,2,FALSE)</f>
        <v>T4_4옵션_방어구</v>
      </c>
      <c r="AZ991" s="32">
        <f>VLOOKUP(G991,색인!$J$32:$K$45,2,FALSE)</f>
        <v>4</v>
      </c>
      <c r="BA991" s="32" t="str">
        <f>_xlfn.IFNA(VLOOKUP(AY991,표1[[검색용]:[OptionGroupIndex'[']22]],EquipItemTable!AZ991,FALSE),"옵션고정안함")</f>
        <v>옵션고정안함</v>
      </c>
    </row>
    <row r="992" spans="1:53" ht="14.1" customHeight="1" x14ac:dyDescent="0.2">
      <c r="A992" s="13" t="s">
        <v>1045</v>
      </c>
      <c r="B992" s="39">
        <v>60033</v>
      </c>
      <c r="C992" s="42" t="s">
        <v>3640</v>
      </c>
      <c r="D992" s="10" t="s">
        <v>82</v>
      </c>
      <c r="E992" s="10" t="s">
        <v>1</v>
      </c>
      <c r="F992" s="1" t="s">
        <v>92</v>
      </c>
      <c r="G992" s="1" t="s">
        <v>1311</v>
      </c>
      <c r="H992" s="1"/>
      <c r="I992" s="1"/>
      <c r="J992" s="1"/>
      <c r="K992" s="1"/>
      <c r="L992" s="1"/>
      <c r="M992" s="1"/>
      <c r="O992" s="12" t="s">
        <v>97</v>
      </c>
      <c r="P992" s="1">
        <v>41</v>
      </c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>
        <v>1107</v>
      </c>
      <c r="AB992" s="11"/>
      <c r="AC992" s="82"/>
      <c r="AD992" s="12" t="s">
        <v>52</v>
      </c>
      <c r="AE992" s="12" t="s">
        <v>97</v>
      </c>
      <c r="AN992" s="12" t="s">
        <v>1192</v>
      </c>
      <c r="AR992" s="34" t="s">
        <v>94</v>
      </c>
      <c r="AS992" s="34" t="s">
        <v>94</v>
      </c>
      <c r="AU992" s="12" t="s">
        <v>1936</v>
      </c>
      <c r="AV992" s="13"/>
      <c r="AW992" s="39">
        <v>6</v>
      </c>
      <c r="AX992" s="12">
        <f>VLOOKUP(AW992,색인!$N$14:$O$19,2,FALSE)</f>
        <v>4</v>
      </c>
      <c r="AY992" s="32" t="str">
        <f>"T"&amp;O992&amp;"_"&amp;AX992&amp;"옵션_"&amp;VLOOKUP(E992,색인!$J$25:$K$29,2,FALSE)</f>
        <v>T4_4옵션_방어구</v>
      </c>
      <c r="AZ992" s="32">
        <f>VLOOKUP(G992,색인!$J$32:$K$45,2,FALSE)</f>
        <v>4</v>
      </c>
      <c r="BA992" s="32" t="str">
        <f>_xlfn.IFNA(VLOOKUP(AY992,표1[[검색용]:[OptionGroupIndex'[']22]],EquipItemTable!AZ992,FALSE),"옵션고정안함")</f>
        <v>옵션고정안함</v>
      </c>
    </row>
    <row r="993" spans="1:53" ht="14.1" customHeight="1" x14ac:dyDescent="0.2">
      <c r="A993" s="13" t="s">
        <v>1046</v>
      </c>
      <c r="B993" s="39">
        <v>60034</v>
      </c>
      <c r="C993" s="42" t="s">
        <v>3641</v>
      </c>
      <c r="D993" s="10" t="s">
        <v>82</v>
      </c>
      <c r="E993" s="10" t="s">
        <v>1</v>
      </c>
      <c r="F993" s="1" t="s">
        <v>92</v>
      </c>
      <c r="G993" s="1" t="s">
        <v>1311</v>
      </c>
      <c r="H993" s="1"/>
      <c r="I993" s="1"/>
      <c r="J993" s="1"/>
      <c r="K993" s="1"/>
      <c r="L993" s="1"/>
      <c r="M993" s="1"/>
      <c r="O993" s="12" t="s">
        <v>97</v>
      </c>
      <c r="P993" s="1">
        <v>41</v>
      </c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>
        <v>1107</v>
      </c>
      <c r="AB993" s="11"/>
      <c r="AC993" s="82"/>
      <c r="AD993" s="12" t="s">
        <v>52</v>
      </c>
      <c r="AE993" s="12" t="s">
        <v>97</v>
      </c>
      <c r="AN993" s="12" t="s">
        <v>369</v>
      </c>
      <c r="AR993" s="34" t="s">
        <v>94</v>
      </c>
      <c r="AS993" s="34" t="s">
        <v>94</v>
      </c>
      <c r="AU993" s="12" t="s">
        <v>1936</v>
      </c>
      <c r="AV993" s="13"/>
      <c r="AW993" s="39">
        <v>6</v>
      </c>
      <c r="AX993" s="12">
        <f>VLOOKUP(AW993,색인!$N$14:$O$19,2,FALSE)</f>
        <v>4</v>
      </c>
      <c r="AY993" s="32" t="str">
        <f>"T"&amp;O993&amp;"_"&amp;AX993&amp;"옵션_"&amp;VLOOKUP(E993,색인!$J$25:$K$29,2,FALSE)</f>
        <v>T4_4옵션_방어구</v>
      </c>
      <c r="AZ993" s="32">
        <f>VLOOKUP(G993,색인!$J$32:$K$45,2,FALSE)</f>
        <v>4</v>
      </c>
      <c r="BA993" s="32" t="str">
        <f>_xlfn.IFNA(VLOOKUP(AY993,표1[[검색용]:[OptionGroupIndex'[']22]],EquipItemTable!AZ993,FALSE),"옵션고정안함")</f>
        <v>옵션고정안함</v>
      </c>
    </row>
    <row r="994" spans="1:53" ht="14.1" customHeight="1" x14ac:dyDescent="0.2">
      <c r="A994" s="13" t="s">
        <v>1047</v>
      </c>
      <c r="B994" s="39">
        <v>60022</v>
      </c>
      <c r="C994" s="42" t="s">
        <v>3642</v>
      </c>
      <c r="D994" s="10" t="s">
        <v>82</v>
      </c>
      <c r="E994" s="10" t="s">
        <v>1</v>
      </c>
      <c r="F994" s="1" t="s">
        <v>92</v>
      </c>
      <c r="G994" s="1" t="s">
        <v>1311</v>
      </c>
      <c r="H994" s="1"/>
      <c r="I994" s="1"/>
      <c r="J994" s="1"/>
      <c r="K994" s="1"/>
      <c r="L994" s="1"/>
      <c r="M994" s="1"/>
      <c r="O994" s="12" t="s">
        <v>97</v>
      </c>
      <c r="P994" s="1">
        <v>41</v>
      </c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>
        <v>1107</v>
      </c>
      <c r="AB994" s="11"/>
      <c r="AC994" s="82"/>
      <c r="AD994" s="12" t="s">
        <v>52</v>
      </c>
      <c r="AE994" s="12" t="s">
        <v>97</v>
      </c>
      <c r="AN994" s="12" t="s">
        <v>1194</v>
      </c>
      <c r="AR994" s="34" t="s">
        <v>94</v>
      </c>
      <c r="AS994" s="34" t="s">
        <v>94</v>
      </c>
      <c r="AU994" s="12" t="s">
        <v>1936</v>
      </c>
      <c r="AV994" s="13"/>
      <c r="AW994" s="39">
        <v>6</v>
      </c>
      <c r="AX994" s="12">
        <f>VLOOKUP(AW994,색인!$N$14:$O$19,2,FALSE)</f>
        <v>4</v>
      </c>
      <c r="AY994" s="32" t="str">
        <f>"T"&amp;O994&amp;"_"&amp;AX994&amp;"옵션_"&amp;VLOOKUP(E994,색인!$J$25:$K$29,2,FALSE)</f>
        <v>T4_4옵션_방어구</v>
      </c>
      <c r="AZ994" s="32">
        <f>VLOOKUP(G994,색인!$J$32:$K$45,2,FALSE)</f>
        <v>4</v>
      </c>
      <c r="BA994" s="32" t="str">
        <f>_xlfn.IFNA(VLOOKUP(AY994,표1[[검색용]:[OptionGroupIndex'[']22]],EquipItemTable!AZ994,FALSE),"옵션고정안함")</f>
        <v>옵션고정안함</v>
      </c>
    </row>
    <row r="995" spans="1:53" ht="12" customHeight="1" x14ac:dyDescent="0.2">
      <c r="A995" s="13" t="s">
        <v>475</v>
      </c>
      <c r="B995" s="39">
        <v>60017</v>
      </c>
      <c r="C995" s="42" t="s">
        <v>3647</v>
      </c>
      <c r="D995" s="10" t="s">
        <v>82</v>
      </c>
      <c r="E995" s="10" t="s">
        <v>1</v>
      </c>
      <c r="F995" s="1" t="s">
        <v>480</v>
      </c>
      <c r="G995" s="1" t="s">
        <v>1311</v>
      </c>
      <c r="H995" s="1"/>
      <c r="I995" s="1"/>
      <c r="J995" s="1"/>
      <c r="K995" s="1"/>
      <c r="L995" s="1"/>
      <c r="M995" s="1"/>
      <c r="O995" s="12" t="s">
        <v>430</v>
      </c>
      <c r="P995" s="1">
        <v>51</v>
      </c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>
        <v>1089</v>
      </c>
      <c r="AB995" s="11"/>
      <c r="AC995" s="82"/>
      <c r="AD995" s="12" t="s">
        <v>542</v>
      </c>
      <c r="AE995" s="12" t="s">
        <v>552</v>
      </c>
      <c r="AN995" s="12"/>
      <c r="AU995" s="12" t="s">
        <v>1932</v>
      </c>
      <c r="AV995" s="13"/>
      <c r="AW995" s="39">
        <v>1</v>
      </c>
      <c r="AY995" s="32"/>
      <c r="AZ995" s="32"/>
      <c r="BA995" s="32"/>
    </row>
    <row r="996" spans="1:53" ht="12" customHeight="1" x14ac:dyDescent="0.2">
      <c r="A996" s="13" t="s">
        <v>476</v>
      </c>
      <c r="B996" s="39">
        <v>60018</v>
      </c>
      <c r="C996" s="42" t="s">
        <v>3648</v>
      </c>
      <c r="D996" s="10" t="s">
        <v>82</v>
      </c>
      <c r="E996" s="10" t="s">
        <v>1</v>
      </c>
      <c r="F996" s="1" t="s">
        <v>480</v>
      </c>
      <c r="G996" s="1" t="s">
        <v>1311</v>
      </c>
      <c r="H996" s="1"/>
      <c r="I996" s="1"/>
      <c r="J996" s="1"/>
      <c r="K996" s="1"/>
      <c r="L996" s="1"/>
      <c r="M996" s="1"/>
      <c r="O996" s="12" t="s">
        <v>430</v>
      </c>
      <c r="P996" s="1">
        <v>51</v>
      </c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>
        <v>1330</v>
      </c>
      <c r="AB996" s="11"/>
      <c r="AC996" s="82"/>
      <c r="AD996" s="12" t="s">
        <v>542</v>
      </c>
      <c r="AE996" s="39" t="str">
        <f t="shared" ref="AE996:AE998" si="131">BA996</f>
        <v>5111,5112</v>
      </c>
      <c r="AN996" s="12"/>
      <c r="AU996" s="12" t="s">
        <v>1933</v>
      </c>
      <c r="AV996" s="13"/>
      <c r="AW996" s="39">
        <v>2</v>
      </c>
      <c r="AX996" s="12">
        <f>VLOOKUP(AW996,색인!$N$14:$O$19,2,FALSE)</f>
        <v>1</v>
      </c>
      <c r="AY996" s="39" t="str">
        <f>"T"&amp;O996&amp;"_"&amp;AX996&amp;"옵션_"&amp;VLOOKUP(E996,색인!$J$25:$K$29,2,FALSE)</f>
        <v>T5_1옵션_방어구</v>
      </c>
      <c r="AZ996" s="39">
        <f>VLOOKUP(G996,색인!$J$32:$K$45,2,FALSE)</f>
        <v>4</v>
      </c>
      <c r="BA996" s="39" t="str">
        <f>_xlfn.IFNA(VLOOKUP(AY996,표1[[검색용]:[OptionGroupIndex'[']22]],EquipItemTable!AZ996,FALSE),"옵션고정안함")</f>
        <v>5111,5112</v>
      </c>
    </row>
    <row r="997" spans="1:53" ht="12" customHeight="1" x14ac:dyDescent="0.2">
      <c r="A997" s="13" t="s">
        <v>477</v>
      </c>
      <c r="B997" s="39">
        <v>60019</v>
      </c>
      <c r="C997" s="42" t="s">
        <v>3649</v>
      </c>
      <c r="D997" s="10" t="s">
        <v>82</v>
      </c>
      <c r="E997" s="10" t="s">
        <v>1</v>
      </c>
      <c r="F997" s="1" t="s">
        <v>480</v>
      </c>
      <c r="G997" s="1" t="s">
        <v>1311</v>
      </c>
      <c r="H997" s="1"/>
      <c r="I997" s="1"/>
      <c r="J997" s="1"/>
      <c r="K997" s="1"/>
      <c r="L997" s="1"/>
      <c r="M997" s="1"/>
      <c r="O997" s="12" t="s">
        <v>430</v>
      </c>
      <c r="P997" s="1">
        <v>51</v>
      </c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>
        <v>1546</v>
      </c>
      <c r="AB997" s="11"/>
      <c r="AC997" s="82"/>
      <c r="AD997" s="12" t="s">
        <v>542</v>
      </c>
      <c r="AE997" s="39" t="str">
        <f t="shared" si="131"/>
        <v>5211,5212</v>
      </c>
      <c r="AN997" s="12"/>
      <c r="AR997" s="34" t="s">
        <v>543</v>
      </c>
      <c r="AS997" s="34" t="s">
        <v>543</v>
      </c>
      <c r="AU997" s="12" t="s">
        <v>1934</v>
      </c>
      <c r="AV997" s="13"/>
      <c r="AW997" s="39">
        <v>3</v>
      </c>
      <c r="AX997" s="12">
        <f>VLOOKUP(AW997,색인!$N$14:$O$19,2,FALSE)</f>
        <v>2</v>
      </c>
      <c r="AY997" s="39" t="str">
        <f>"T"&amp;O997&amp;"_"&amp;AX997&amp;"옵션_"&amp;VLOOKUP(E997,색인!$J$25:$K$29,2,FALSE)</f>
        <v>T5_2옵션_방어구</v>
      </c>
      <c r="AZ997" s="39">
        <f>VLOOKUP(G997,색인!$J$32:$K$45,2,FALSE)</f>
        <v>4</v>
      </c>
      <c r="BA997" s="39" t="str">
        <f>_xlfn.IFNA(VLOOKUP(AY997,표1[[검색용]:[OptionGroupIndex'[']22]],EquipItemTable!AZ997,FALSE),"옵션고정안함")</f>
        <v>5211,5212</v>
      </c>
    </row>
    <row r="998" spans="1:53" ht="12" customHeight="1" x14ac:dyDescent="0.2">
      <c r="A998" s="13" t="s">
        <v>478</v>
      </c>
      <c r="B998" s="39">
        <v>60020</v>
      </c>
      <c r="C998" s="42" t="s">
        <v>3650</v>
      </c>
      <c r="D998" s="10" t="s">
        <v>82</v>
      </c>
      <c r="E998" s="10" t="s">
        <v>1</v>
      </c>
      <c r="F998" s="1" t="s">
        <v>480</v>
      </c>
      <c r="G998" s="1" t="s">
        <v>1311</v>
      </c>
      <c r="H998" s="1"/>
      <c r="I998" s="1"/>
      <c r="J998" s="1"/>
      <c r="K998" s="1"/>
      <c r="L998" s="1"/>
      <c r="M998" s="1"/>
      <c r="O998" s="12" t="s">
        <v>430</v>
      </c>
      <c r="P998" s="1">
        <v>51</v>
      </c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>
        <v>1789</v>
      </c>
      <c r="AB998" s="11"/>
      <c r="AC998" s="82"/>
      <c r="AD998" s="12" t="s">
        <v>542</v>
      </c>
      <c r="AE998" s="39" t="str">
        <f t="shared" si="131"/>
        <v>5311,5312</v>
      </c>
      <c r="AN998" s="12"/>
      <c r="AR998" s="34" t="s">
        <v>543</v>
      </c>
      <c r="AS998" s="34" t="s">
        <v>543</v>
      </c>
      <c r="AU998" s="12" t="s">
        <v>1935</v>
      </c>
      <c r="AV998" s="13"/>
      <c r="AW998" s="39">
        <v>4</v>
      </c>
      <c r="AX998" s="12">
        <f>VLOOKUP(AW998,색인!$N$14:$O$19,2,FALSE)</f>
        <v>3</v>
      </c>
      <c r="AY998" s="39" t="str">
        <f>"T"&amp;O998&amp;"_"&amp;AX998&amp;"옵션_"&amp;VLOOKUP(E998,색인!$J$25:$K$29,2,FALSE)</f>
        <v>T5_3옵션_방어구</v>
      </c>
      <c r="AZ998" s="39">
        <f>VLOOKUP(G998,색인!$J$32:$K$45,2,FALSE)</f>
        <v>4</v>
      </c>
      <c r="BA998" s="39" t="str">
        <f>_xlfn.IFNA(VLOOKUP(AY998,표1[[검색용]:[OptionGroupIndex'[']22]],EquipItemTable!AZ998,FALSE),"옵션고정안함")</f>
        <v>5311,5312</v>
      </c>
    </row>
    <row r="999" spans="1:53" ht="14.1" customHeight="1" x14ac:dyDescent="0.2">
      <c r="A999" s="13" t="s">
        <v>576</v>
      </c>
      <c r="B999" s="39">
        <v>60035</v>
      </c>
      <c r="C999" s="42" t="s">
        <v>3639</v>
      </c>
      <c r="D999" s="10" t="s">
        <v>82</v>
      </c>
      <c r="E999" s="10" t="s">
        <v>1</v>
      </c>
      <c r="F999" s="1" t="s">
        <v>480</v>
      </c>
      <c r="G999" s="1" t="s">
        <v>1311</v>
      </c>
      <c r="H999" s="1"/>
      <c r="I999" s="1"/>
      <c r="J999" s="1"/>
      <c r="K999" s="1"/>
      <c r="L999" s="1"/>
      <c r="M999" s="1"/>
      <c r="O999" s="12" t="s">
        <v>430</v>
      </c>
      <c r="P999" s="1">
        <v>51</v>
      </c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>
        <v>2062</v>
      </c>
      <c r="AB999" s="11"/>
      <c r="AC999" s="82"/>
      <c r="AD999" s="12" t="s">
        <v>336</v>
      </c>
      <c r="AE999" s="12" t="s">
        <v>529</v>
      </c>
      <c r="AN999" s="12" t="s">
        <v>554</v>
      </c>
      <c r="AR999" s="34" t="s">
        <v>543</v>
      </c>
      <c r="AS999" s="34" t="s">
        <v>543</v>
      </c>
      <c r="AU999" s="12" t="s">
        <v>1936</v>
      </c>
      <c r="AV999" s="13"/>
      <c r="AW999" s="39">
        <v>6</v>
      </c>
      <c r="AX999" s="12">
        <f>VLOOKUP(AW999,색인!$N$14:$O$19,2,FALSE)</f>
        <v>4</v>
      </c>
      <c r="AY999" s="32" t="str">
        <f>"T"&amp;O999&amp;"_"&amp;AX999&amp;"옵션_"&amp;VLOOKUP(E999,색인!$J$25:$K$29,2,FALSE)</f>
        <v>T5_4옵션_방어구</v>
      </c>
      <c r="AZ999" s="32">
        <f>VLOOKUP(G999,색인!$J$32:$K$45,2,FALSE)</f>
        <v>4</v>
      </c>
      <c r="BA999" s="32" t="str">
        <f>_xlfn.IFNA(VLOOKUP(AY999,표1[[검색용]:[OptionGroupIndex'[']22]],EquipItemTable!AZ999,FALSE),"옵션고정안함")</f>
        <v>옵션고정안함</v>
      </c>
    </row>
    <row r="1000" spans="1:53" ht="14.1" customHeight="1" x14ac:dyDescent="0.2">
      <c r="A1000" s="13" t="s">
        <v>1048</v>
      </c>
      <c r="B1000" s="39">
        <v>60036</v>
      </c>
      <c r="C1000" s="42" t="s">
        <v>3640</v>
      </c>
      <c r="D1000" s="10" t="s">
        <v>82</v>
      </c>
      <c r="E1000" s="10" t="s">
        <v>1</v>
      </c>
      <c r="F1000" s="1" t="s">
        <v>480</v>
      </c>
      <c r="G1000" s="1" t="s">
        <v>1311</v>
      </c>
      <c r="H1000" s="1"/>
      <c r="I1000" s="1"/>
      <c r="J1000" s="1"/>
      <c r="K1000" s="1"/>
      <c r="L1000" s="1"/>
      <c r="M1000" s="1"/>
      <c r="O1000" s="12" t="s">
        <v>430</v>
      </c>
      <c r="P1000" s="1">
        <v>51</v>
      </c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>
        <v>2062</v>
      </c>
      <c r="AB1000" s="11"/>
      <c r="AC1000" s="82"/>
      <c r="AD1000" s="12" t="s">
        <v>336</v>
      </c>
      <c r="AE1000" s="12" t="s">
        <v>430</v>
      </c>
      <c r="AN1000" s="12" t="s">
        <v>1192</v>
      </c>
      <c r="AR1000" s="34" t="s">
        <v>428</v>
      </c>
      <c r="AS1000" s="34" t="s">
        <v>428</v>
      </c>
      <c r="AU1000" s="12" t="s">
        <v>1936</v>
      </c>
      <c r="AV1000" s="13"/>
      <c r="AW1000" s="39">
        <v>6</v>
      </c>
      <c r="AX1000" s="12">
        <f>VLOOKUP(AW1000,색인!$N$14:$O$19,2,FALSE)</f>
        <v>4</v>
      </c>
      <c r="AY1000" s="32" t="str">
        <f>"T"&amp;O1000&amp;"_"&amp;AX1000&amp;"옵션_"&amp;VLOOKUP(E1000,색인!$J$25:$K$29,2,FALSE)</f>
        <v>T5_4옵션_방어구</v>
      </c>
      <c r="AZ1000" s="32">
        <f>VLOOKUP(G1000,색인!$J$32:$K$45,2,FALSE)</f>
        <v>4</v>
      </c>
      <c r="BA1000" s="32" t="str">
        <f>_xlfn.IFNA(VLOOKUP(AY1000,표1[[검색용]:[OptionGroupIndex'[']22]],EquipItemTable!AZ1000,FALSE),"옵션고정안함")</f>
        <v>옵션고정안함</v>
      </c>
    </row>
    <row r="1001" spans="1:53" ht="14.1" customHeight="1" x14ac:dyDescent="0.2">
      <c r="A1001" s="13" t="s">
        <v>1049</v>
      </c>
      <c r="B1001" s="39">
        <v>60037</v>
      </c>
      <c r="C1001" s="42" t="s">
        <v>3641</v>
      </c>
      <c r="D1001" s="10" t="s">
        <v>82</v>
      </c>
      <c r="E1001" s="10" t="s">
        <v>1</v>
      </c>
      <c r="F1001" s="1" t="s">
        <v>480</v>
      </c>
      <c r="G1001" s="1" t="s">
        <v>1311</v>
      </c>
      <c r="H1001" s="1"/>
      <c r="I1001" s="1"/>
      <c r="J1001" s="1"/>
      <c r="K1001" s="1"/>
      <c r="L1001" s="1"/>
      <c r="M1001" s="1"/>
      <c r="O1001" s="12" t="s">
        <v>430</v>
      </c>
      <c r="P1001" s="1">
        <v>51</v>
      </c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>
        <v>2062</v>
      </c>
      <c r="AB1001" s="11"/>
      <c r="AC1001" s="82"/>
      <c r="AD1001" s="12" t="s">
        <v>336</v>
      </c>
      <c r="AE1001" s="12" t="s">
        <v>430</v>
      </c>
      <c r="AN1001" s="12" t="s">
        <v>369</v>
      </c>
      <c r="AR1001" s="34" t="s">
        <v>428</v>
      </c>
      <c r="AS1001" s="34" t="s">
        <v>428</v>
      </c>
      <c r="AU1001" s="12" t="s">
        <v>1936</v>
      </c>
      <c r="AV1001" s="13"/>
      <c r="AW1001" s="39">
        <v>6</v>
      </c>
      <c r="AX1001" s="12">
        <f>VLOOKUP(AW1001,색인!$N$14:$O$19,2,FALSE)</f>
        <v>4</v>
      </c>
      <c r="AY1001" s="32" t="str">
        <f>"T"&amp;O1001&amp;"_"&amp;AX1001&amp;"옵션_"&amp;VLOOKUP(E1001,색인!$J$25:$K$29,2,FALSE)</f>
        <v>T5_4옵션_방어구</v>
      </c>
      <c r="AZ1001" s="32">
        <f>VLOOKUP(G1001,색인!$J$32:$K$45,2,FALSE)</f>
        <v>4</v>
      </c>
      <c r="BA1001" s="32" t="str">
        <f>_xlfn.IFNA(VLOOKUP(AY1001,표1[[검색용]:[OptionGroupIndex'[']22]],EquipItemTable!AZ1001,FALSE),"옵션고정안함")</f>
        <v>옵션고정안함</v>
      </c>
    </row>
    <row r="1002" spans="1:53" ht="14.1" customHeight="1" x14ac:dyDescent="0.2">
      <c r="A1002" s="13" t="s">
        <v>1050</v>
      </c>
      <c r="B1002" s="39">
        <v>60023</v>
      </c>
      <c r="C1002" s="42" t="s">
        <v>3642</v>
      </c>
      <c r="D1002" s="10" t="s">
        <v>82</v>
      </c>
      <c r="E1002" s="10" t="s">
        <v>1</v>
      </c>
      <c r="F1002" s="1" t="s">
        <v>480</v>
      </c>
      <c r="G1002" s="1" t="s">
        <v>1311</v>
      </c>
      <c r="H1002" s="1"/>
      <c r="I1002" s="1"/>
      <c r="J1002" s="1"/>
      <c r="K1002" s="1"/>
      <c r="L1002" s="1"/>
      <c r="M1002" s="1"/>
      <c r="O1002" s="12" t="s">
        <v>430</v>
      </c>
      <c r="P1002" s="1">
        <v>51</v>
      </c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>
        <v>2062</v>
      </c>
      <c r="AB1002" s="11"/>
      <c r="AC1002" s="82"/>
      <c r="AD1002" s="12" t="s">
        <v>336</v>
      </c>
      <c r="AE1002" s="12" t="s">
        <v>430</v>
      </c>
      <c r="AN1002" s="12" t="s">
        <v>1194</v>
      </c>
      <c r="AR1002" s="34" t="s">
        <v>428</v>
      </c>
      <c r="AS1002" s="34" t="s">
        <v>428</v>
      </c>
      <c r="AU1002" s="12" t="s">
        <v>1936</v>
      </c>
      <c r="AV1002" s="13"/>
      <c r="AW1002" s="39">
        <v>6</v>
      </c>
      <c r="AX1002" s="12">
        <f>VLOOKUP(AW1002,색인!$N$14:$O$19,2,FALSE)</f>
        <v>4</v>
      </c>
      <c r="AY1002" s="32" t="str">
        <f>"T"&amp;O1002&amp;"_"&amp;AX1002&amp;"옵션_"&amp;VLOOKUP(E1002,색인!$J$25:$K$29,2,FALSE)</f>
        <v>T5_4옵션_방어구</v>
      </c>
      <c r="AZ1002" s="32">
        <f>VLOOKUP(G1002,색인!$J$32:$K$45,2,FALSE)</f>
        <v>4</v>
      </c>
      <c r="BA1002" s="32" t="str">
        <f>_xlfn.IFNA(VLOOKUP(AY1002,표1[[검색용]:[OptionGroupIndex'[']22]],EquipItemTable!AZ1002,FALSE),"옵션고정안함")</f>
        <v>옵션고정안함</v>
      </c>
    </row>
    <row r="1003" spans="1:53" s="1" customFormat="1" ht="12" x14ac:dyDescent="0.2">
      <c r="A1003" s="31" t="s">
        <v>793</v>
      </c>
      <c r="B1003" s="39">
        <v>60024</v>
      </c>
      <c r="C1003" s="42" t="s">
        <v>3651</v>
      </c>
      <c r="D1003" s="10" t="s">
        <v>82</v>
      </c>
      <c r="E1003" s="10" t="s">
        <v>1</v>
      </c>
      <c r="F1003" s="1" t="s">
        <v>480</v>
      </c>
      <c r="G1003" s="1" t="s">
        <v>1311</v>
      </c>
      <c r="N1003" s="8"/>
      <c r="O1003" s="12" t="s">
        <v>755</v>
      </c>
      <c r="P1003" s="1">
        <v>61</v>
      </c>
      <c r="AA1003" s="1">
        <v>1900</v>
      </c>
      <c r="AB1003" s="11"/>
      <c r="AC1003" s="82"/>
      <c r="AD1003" s="12" t="s">
        <v>756</v>
      </c>
      <c r="AE1003" s="12" t="s">
        <v>529</v>
      </c>
      <c r="AF1003" s="12"/>
      <c r="AG1003" s="23"/>
      <c r="AH1003" s="23"/>
      <c r="AI1003" s="12"/>
      <c r="AJ1003" s="12"/>
      <c r="AK1003" s="12"/>
      <c r="AL1003" s="12"/>
      <c r="AM1003" s="12"/>
      <c r="AN1003" s="12"/>
      <c r="AO1003" s="12"/>
      <c r="AP1003" s="12"/>
      <c r="AQ1003" s="8"/>
      <c r="AR1003" s="34"/>
      <c r="AS1003" s="34"/>
      <c r="AT1003" s="85"/>
      <c r="AU1003" s="12" t="s">
        <v>1932</v>
      </c>
      <c r="AW1003" s="90">
        <v>1</v>
      </c>
      <c r="AX1003" s="23"/>
      <c r="AY1003" s="23"/>
      <c r="AZ1003" s="23"/>
      <c r="BA1003" s="23"/>
    </row>
    <row r="1004" spans="1:53" s="1" customFormat="1" ht="12" x14ac:dyDescent="0.2">
      <c r="A1004" s="31" t="s">
        <v>794</v>
      </c>
      <c r="B1004" s="39">
        <v>60025</v>
      </c>
      <c r="C1004" s="42" t="s">
        <v>3652</v>
      </c>
      <c r="D1004" s="10" t="s">
        <v>82</v>
      </c>
      <c r="E1004" s="10" t="s">
        <v>1</v>
      </c>
      <c r="F1004" s="1" t="s">
        <v>480</v>
      </c>
      <c r="G1004" s="1" t="s">
        <v>1311</v>
      </c>
      <c r="N1004" s="8"/>
      <c r="O1004" s="12" t="s">
        <v>747</v>
      </c>
      <c r="P1004" s="1">
        <v>61</v>
      </c>
      <c r="AA1004" s="1">
        <v>2152</v>
      </c>
      <c r="AB1004" s="11"/>
      <c r="AC1004" s="82"/>
      <c r="AD1004" s="12" t="s">
        <v>748</v>
      </c>
      <c r="AE1004" s="39" t="str">
        <f t="shared" ref="AE1004:AE1006" si="132">BA1004</f>
        <v>6111,6112</v>
      </c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8"/>
      <c r="AR1004" s="34"/>
      <c r="AS1004" s="34"/>
      <c r="AT1004" s="85"/>
      <c r="AU1004" s="12" t="s">
        <v>1933</v>
      </c>
      <c r="AW1004" s="90">
        <v>2</v>
      </c>
      <c r="AX1004" s="23">
        <f>VLOOKUP(AW1004,색인!$N$14:$O$19,2,FALSE)</f>
        <v>1</v>
      </c>
      <c r="AY1004" s="90" t="str">
        <f>"T"&amp;O1004&amp;"_"&amp;AX1004&amp;"옵션_"&amp;VLOOKUP(E1004,색인!$J$25:$K$29,2,FALSE)</f>
        <v>T6_1옵션_방어구</v>
      </c>
      <c r="AZ1004" s="90">
        <f>VLOOKUP(G1004,색인!$J$32:$K$45,2,FALSE)</f>
        <v>4</v>
      </c>
      <c r="BA1004" s="90" t="str">
        <f>_xlfn.IFNA(VLOOKUP(AY1004,표1[[검색용]:[OptionGroupIndex'[']22]],EquipItemTable!AZ1004,FALSE),"옵션고정안함")</f>
        <v>6111,6112</v>
      </c>
    </row>
    <row r="1005" spans="1:53" s="1" customFormat="1" ht="12" x14ac:dyDescent="0.2">
      <c r="A1005" s="31" t="s">
        <v>795</v>
      </c>
      <c r="B1005" s="39">
        <v>60026</v>
      </c>
      <c r="C1005" s="42" t="s">
        <v>3653</v>
      </c>
      <c r="D1005" s="10" t="s">
        <v>82</v>
      </c>
      <c r="E1005" s="10" t="s">
        <v>1</v>
      </c>
      <c r="F1005" s="1" t="s">
        <v>480</v>
      </c>
      <c r="G1005" s="1" t="s">
        <v>1311</v>
      </c>
      <c r="N1005" s="8"/>
      <c r="O1005" s="12" t="s">
        <v>747</v>
      </c>
      <c r="P1005" s="1">
        <v>61</v>
      </c>
      <c r="AA1005" s="1">
        <v>2370</v>
      </c>
      <c r="AB1005" s="11"/>
      <c r="AC1005" s="82"/>
      <c r="AD1005" s="12" t="s">
        <v>748</v>
      </c>
      <c r="AE1005" s="39" t="str">
        <f t="shared" si="132"/>
        <v>6211,6212</v>
      </c>
      <c r="AF1005" s="12"/>
      <c r="AG1005" s="12"/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8"/>
      <c r="AR1005" s="34" t="s">
        <v>94</v>
      </c>
      <c r="AS1005" s="34" t="s">
        <v>94</v>
      </c>
      <c r="AT1005" s="85"/>
      <c r="AU1005" s="12" t="s">
        <v>1934</v>
      </c>
      <c r="AW1005" s="90">
        <v>3</v>
      </c>
      <c r="AX1005" s="23">
        <f>VLOOKUP(AW1005,색인!$N$14:$O$19,2,FALSE)</f>
        <v>2</v>
      </c>
      <c r="AY1005" s="90" t="str">
        <f>"T"&amp;O1005&amp;"_"&amp;AX1005&amp;"옵션_"&amp;VLOOKUP(E1005,색인!$J$25:$K$29,2,FALSE)</f>
        <v>T6_2옵션_방어구</v>
      </c>
      <c r="AZ1005" s="90">
        <f>VLOOKUP(G1005,색인!$J$32:$K$45,2,FALSE)</f>
        <v>4</v>
      </c>
      <c r="BA1005" s="90" t="str">
        <f>_xlfn.IFNA(VLOOKUP(AY1005,표1[[검색용]:[OptionGroupIndex'[']22]],EquipItemTable!AZ1005,FALSE),"옵션고정안함")</f>
        <v>6211,6212</v>
      </c>
    </row>
    <row r="1006" spans="1:53" s="1" customFormat="1" ht="12" x14ac:dyDescent="0.2">
      <c r="A1006" s="31" t="s">
        <v>796</v>
      </c>
      <c r="B1006" s="39">
        <v>60027</v>
      </c>
      <c r="C1006" s="42" t="s">
        <v>3654</v>
      </c>
      <c r="D1006" s="10" t="s">
        <v>82</v>
      </c>
      <c r="E1006" s="10" t="s">
        <v>1</v>
      </c>
      <c r="F1006" s="1" t="s">
        <v>480</v>
      </c>
      <c r="G1006" s="1" t="s">
        <v>1311</v>
      </c>
      <c r="N1006" s="8"/>
      <c r="O1006" s="12" t="s">
        <v>747</v>
      </c>
      <c r="P1006" s="1">
        <v>61</v>
      </c>
      <c r="AA1006" s="1">
        <v>2607</v>
      </c>
      <c r="AB1006" s="11"/>
      <c r="AC1006" s="82"/>
      <c r="AD1006" s="12" t="s">
        <v>748</v>
      </c>
      <c r="AE1006" s="39" t="str">
        <f t="shared" si="132"/>
        <v>6311,6312</v>
      </c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8"/>
      <c r="AR1006" s="34" t="s">
        <v>94</v>
      </c>
      <c r="AS1006" s="34" t="s">
        <v>94</v>
      </c>
      <c r="AT1006" s="85"/>
      <c r="AU1006" s="12" t="s">
        <v>1935</v>
      </c>
      <c r="AW1006" s="90">
        <v>4</v>
      </c>
      <c r="AX1006" s="23">
        <f>VLOOKUP(AW1006,색인!$N$14:$O$19,2,FALSE)</f>
        <v>3</v>
      </c>
      <c r="AY1006" s="90" t="str">
        <f>"T"&amp;O1006&amp;"_"&amp;AX1006&amp;"옵션_"&amp;VLOOKUP(E1006,색인!$J$25:$K$29,2,FALSE)</f>
        <v>T6_3옵션_방어구</v>
      </c>
      <c r="AZ1006" s="90">
        <f>VLOOKUP(G1006,색인!$J$32:$K$45,2,FALSE)</f>
        <v>4</v>
      </c>
      <c r="BA1006" s="90" t="str">
        <f>_xlfn.IFNA(VLOOKUP(AY1006,표1[[검색용]:[OptionGroupIndex'[']22]],EquipItemTable!AZ1006,FALSE),"옵션고정안함")</f>
        <v>6311,6312</v>
      </c>
    </row>
    <row r="1007" spans="1:53" s="1" customFormat="1" ht="12" x14ac:dyDescent="0.2">
      <c r="A1007" s="31" t="s">
        <v>797</v>
      </c>
      <c r="B1007" s="39">
        <v>60038</v>
      </c>
      <c r="C1007" s="42" t="s">
        <v>3639</v>
      </c>
      <c r="D1007" s="10" t="s">
        <v>82</v>
      </c>
      <c r="E1007" s="10" t="s">
        <v>1</v>
      </c>
      <c r="F1007" s="1" t="s">
        <v>480</v>
      </c>
      <c r="G1007" s="1" t="s">
        <v>1311</v>
      </c>
      <c r="N1007" s="8"/>
      <c r="O1007" s="12" t="s">
        <v>747</v>
      </c>
      <c r="P1007" s="1">
        <v>61</v>
      </c>
      <c r="AA1007" s="1">
        <v>2859</v>
      </c>
      <c r="AB1007" s="11"/>
      <c r="AC1007" s="82"/>
      <c r="AD1007" s="12" t="s">
        <v>748</v>
      </c>
      <c r="AE1007" s="39" t="str">
        <f>BA1007</f>
        <v>6411,6412</v>
      </c>
      <c r="AF1007" s="12"/>
      <c r="AG1007" s="12"/>
      <c r="AH1007" s="12"/>
      <c r="AI1007" s="12"/>
      <c r="AJ1007" s="12"/>
      <c r="AK1007" s="12"/>
      <c r="AL1007" s="12"/>
      <c r="AM1007" s="12"/>
      <c r="AN1007" s="12" t="s">
        <v>554</v>
      </c>
      <c r="AO1007" s="12"/>
      <c r="AP1007" s="12"/>
      <c r="AQ1007" s="8"/>
      <c r="AR1007" s="34" t="s">
        <v>94</v>
      </c>
      <c r="AS1007" s="34" t="s">
        <v>94</v>
      </c>
      <c r="AT1007" s="85"/>
      <c r="AU1007" s="12" t="s">
        <v>1936</v>
      </c>
      <c r="AW1007" s="90">
        <v>6</v>
      </c>
      <c r="AX1007" s="23">
        <f>VLOOKUP(AW1007,색인!$N$14:$O$19,2,FALSE)</f>
        <v>4</v>
      </c>
      <c r="AY1007" s="23" t="str">
        <f>"T"&amp;O1007&amp;"_"&amp;AX1007&amp;"옵션_"&amp;VLOOKUP(E1007,색인!$J$25:$K$29,2,FALSE)</f>
        <v>T6_4옵션_방어구</v>
      </c>
      <c r="AZ1007" s="23">
        <f>VLOOKUP(G1007,색인!$J$32:$K$45,2,FALSE)</f>
        <v>4</v>
      </c>
      <c r="BA1007" s="23" t="str">
        <f>_xlfn.IFNA(VLOOKUP(AY1007,표1[[검색용]:[OptionGroupIndex'[']22]],EquipItemTable!AZ1007,FALSE),"옵션고정안함")</f>
        <v>6411,6412</v>
      </c>
    </row>
    <row r="1008" spans="1:53" s="1" customFormat="1" ht="12" x14ac:dyDescent="0.2">
      <c r="A1008" s="31" t="s">
        <v>1051</v>
      </c>
      <c r="B1008" s="39">
        <v>60039</v>
      </c>
      <c r="C1008" s="42" t="s">
        <v>3640</v>
      </c>
      <c r="D1008" s="10" t="s">
        <v>82</v>
      </c>
      <c r="E1008" s="10" t="s">
        <v>1</v>
      </c>
      <c r="F1008" s="1" t="s">
        <v>480</v>
      </c>
      <c r="G1008" s="1" t="s">
        <v>1311</v>
      </c>
      <c r="N1008" s="8"/>
      <c r="O1008" s="12" t="s">
        <v>747</v>
      </c>
      <c r="P1008" s="1">
        <v>61</v>
      </c>
      <c r="AA1008" s="1">
        <v>2859</v>
      </c>
      <c r="AB1008" s="11"/>
      <c r="AC1008" s="82"/>
      <c r="AD1008" s="12" t="s">
        <v>336</v>
      </c>
      <c r="AE1008" s="39" t="str">
        <f>BA1008</f>
        <v>6411,6412</v>
      </c>
      <c r="AF1008" s="12"/>
      <c r="AG1008" s="12"/>
      <c r="AH1008" s="12"/>
      <c r="AI1008" s="12"/>
      <c r="AJ1008" s="12"/>
      <c r="AK1008" s="12"/>
      <c r="AL1008" s="12"/>
      <c r="AM1008" s="12"/>
      <c r="AN1008" s="12" t="s">
        <v>1192</v>
      </c>
      <c r="AO1008" s="12"/>
      <c r="AP1008" s="12"/>
      <c r="AQ1008" s="8"/>
      <c r="AR1008" s="34" t="s">
        <v>94</v>
      </c>
      <c r="AS1008" s="34" t="s">
        <v>94</v>
      </c>
      <c r="AT1008" s="85"/>
      <c r="AU1008" s="12" t="s">
        <v>1936</v>
      </c>
      <c r="AW1008" s="90">
        <v>6</v>
      </c>
      <c r="AX1008" s="23">
        <f>VLOOKUP(AW1008,색인!$N$14:$O$19,2,FALSE)</f>
        <v>4</v>
      </c>
      <c r="AY1008" s="23" t="str">
        <f>"T"&amp;O1008&amp;"_"&amp;AX1008&amp;"옵션_"&amp;VLOOKUP(E1008,색인!$J$25:$K$29,2,FALSE)</f>
        <v>T6_4옵션_방어구</v>
      </c>
      <c r="AZ1008" s="23">
        <f>VLOOKUP(G1008,색인!$J$32:$K$45,2,FALSE)</f>
        <v>4</v>
      </c>
      <c r="BA1008" s="23" t="str">
        <f>_xlfn.IFNA(VLOOKUP(AY1008,표1[[검색용]:[OptionGroupIndex'[']22]],EquipItemTable!AZ1008,FALSE),"옵션고정안함")</f>
        <v>6411,6412</v>
      </c>
    </row>
    <row r="1009" spans="1:53" s="1" customFormat="1" ht="12" x14ac:dyDescent="0.2">
      <c r="A1009" s="31" t="s">
        <v>1052</v>
      </c>
      <c r="B1009" s="39">
        <v>60040</v>
      </c>
      <c r="C1009" s="42" t="s">
        <v>3641</v>
      </c>
      <c r="D1009" s="10" t="s">
        <v>82</v>
      </c>
      <c r="E1009" s="10" t="s">
        <v>1</v>
      </c>
      <c r="F1009" s="1" t="s">
        <v>480</v>
      </c>
      <c r="G1009" s="1" t="s">
        <v>1311</v>
      </c>
      <c r="N1009" s="8"/>
      <c r="O1009" s="12" t="s">
        <v>747</v>
      </c>
      <c r="P1009" s="1">
        <v>61</v>
      </c>
      <c r="AA1009" s="1">
        <v>2859</v>
      </c>
      <c r="AB1009" s="11"/>
      <c r="AC1009" s="82"/>
      <c r="AD1009" s="12" t="s">
        <v>336</v>
      </c>
      <c r="AE1009" s="39" t="str">
        <f>BA1009</f>
        <v>6411,6412</v>
      </c>
      <c r="AF1009" s="12"/>
      <c r="AG1009" s="12"/>
      <c r="AH1009" s="12"/>
      <c r="AI1009" s="12"/>
      <c r="AJ1009" s="12"/>
      <c r="AK1009" s="12"/>
      <c r="AL1009" s="12"/>
      <c r="AM1009" s="12"/>
      <c r="AN1009" s="12" t="s">
        <v>369</v>
      </c>
      <c r="AO1009" s="12"/>
      <c r="AP1009" s="12"/>
      <c r="AQ1009" s="8"/>
      <c r="AR1009" s="34" t="s">
        <v>94</v>
      </c>
      <c r="AS1009" s="34" t="s">
        <v>94</v>
      </c>
      <c r="AT1009" s="85"/>
      <c r="AU1009" s="12" t="s">
        <v>1936</v>
      </c>
      <c r="AW1009" s="90">
        <v>6</v>
      </c>
      <c r="AX1009" s="23">
        <f>VLOOKUP(AW1009,색인!$N$14:$O$19,2,FALSE)</f>
        <v>4</v>
      </c>
      <c r="AY1009" s="23" t="str">
        <f>"T"&amp;O1009&amp;"_"&amp;AX1009&amp;"옵션_"&amp;VLOOKUP(E1009,색인!$J$25:$K$29,2,FALSE)</f>
        <v>T6_4옵션_방어구</v>
      </c>
      <c r="AZ1009" s="23">
        <f>VLOOKUP(G1009,색인!$J$32:$K$45,2,FALSE)</f>
        <v>4</v>
      </c>
      <c r="BA1009" s="23" t="str">
        <f>_xlfn.IFNA(VLOOKUP(AY1009,표1[[검색용]:[OptionGroupIndex'[']22]],EquipItemTable!AZ1009,FALSE),"옵션고정안함")</f>
        <v>6411,6412</v>
      </c>
    </row>
    <row r="1010" spans="1:53" s="1" customFormat="1" ht="12" x14ac:dyDescent="0.2">
      <c r="A1010" s="31" t="s">
        <v>1053</v>
      </c>
      <c r="B1010" s="39">
        <v>60028</v>
      </c>
      <c r="C1010" s="42" t="s">
        <v>3642</v>
      </c>
      <c r="D1010" s="10" t="s">
        <v>82</v>
      </c>
      <c r="E1010" s="10" t="s">
        <v>1</v>
      </c>
      <c r="F1010" s="1" t="s">
        <v>480</v>
      </c>
      <c r="G1010" s="1" t="s">
        <v>1311</v>
      </c>
      <c r="N1010" s="8"/>
      <c r="O1010" s="12" t="s">
        <v>747</v>
      </c>
      <c r="P1010" s="1">
        <v>61</v>
      </c>
      <c r="AA1010" s="1">
        <v>2859</v>
      </c>
      <c r="AB1010" s="11"/>
      <c r="AC1010" s="82"/>
      <c r="AD1010" s="12" t="s">
        <v>336</v>
      </c>
      <c r="AE1010" s="39" t="str">
        <f>BA1010</f>
        <v>6411,6412</v>
      </c>
      <c r="AF1010" s="12"/>
      <c r="AG1010" s="12"/>
      <c r="AH1010" s="12"/>
      <c r="AI1010" s="12"/>
      <c r="AJ1010" s="12"/>
      <c r="AK1010" s="12"/>
      <c r="AL1010" s="12"/>
      <c r="AM1010" s="12"/>
      <c r="AN1010" s="12" t="s">
        <v>1194</v>
      </c>
      <c r="AO1010" s="12"/>
      <c r="AP1010" s="12"/>
      <c r="AQ1010" s="8"/>
      <c r="AR1010" s="34" t="s">
        <v>94</v>
      </c>
      <c r="AS1010" s="34" t="s">
        <v>94</v>
      </c>
      <c r="AT1010" s="85"/>
      <c r="AU1010" s="12" t="s">
        <v>1936</v>
      </c>
      <c r="AW1010" s="90">
        <v>6</v>
      </c>
      <c r="AX1010" s="23">
        <f>VLOOKUP(AW1010,색인!$N$14:$O$19,2,FALSE)</f>
        <v>4</v>
      </c>
      <c r="AY1010" s="23" t="str">
        <f>"T"&amp;O1010&amp;"_"&amp;AX1010&amp;"옵션_"&amp;VLOOKUP(E1010,색인!$J$25:$K$29,2,FALSE)</f>
        <v>T6_4옵션_방어구</v>
      </c>
      <c r="AZ1010" s="23">
        <f>VLOOKUP(G1010,색인!$J$32:$K$45,2,FALSE)</f>
        <v>4</v>
      </c>
      <c r="BA1010" s="23" t="str">
        <f>_xlfn.IFNA(VLOOKUP(AY1010,표1[[검색용]:[OptionGroupIndex'[']22]],EquipItemTable!AZ1010,FALSE),"옵션고정안함")</f>
        <v>6411,6412</v>
      </c>
    </row>
    <row r="1011" spans="1:53" ht="12" customHeight="1" x14ac:dyDescent="0.2">
      <c r="A1011" s="13" t="s">
        <v>674</v>
      </c>
      <c r="B1011" s="39">
        <v>60401</v>
      </c>
      <c r="C1011" s="42" t="s">
        <v>3655</v>
      </c>
      <c r="D1011" s="10" t="s">
        <v>82</v>
      </c>
      <c r="E1011" s="10" t="s">
        <v>1</v>
      </c>
      <c r="F1011" s="1" t="s">
        <v>480</v>
      </c>
      <c r="G1011" s="1" t="s">
        <v>1311</v>
      </c>
      <c r="H1011" s="1"/>
      <c r="I1011" s="1"/>
      <c r="J1011" s="1"/>
      <c r="K1011" s="1"/>
      <c r="L1011" s="1"/>
      <c r="M1011" s="1"/>
      <c r="O1011" s="12" t="s">
        <v>94</v>
      </c>
      <c r="P1011" s="1">
        <v>1</v>
      </c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>
        <v>115</v>
      </c>
      <c r="AB1011" s="11"/>
      <c r="AC1011" s="82"/>
      <c r="AD1011" s="12" t="s">
        <v>868</v>
      </c>
      <c r="AE1011" s="39" t="str">
        <f t="shared" ref="AE1011:AE1021" si="133">BA1011</f>
        <v>1311,1312</v>
      </c>
      <c r="AN1011" s="12" t="s">
        <v>2833</v>
      </c>
      <c r="AR1011" s="34" t="s">
        <v>94</v>
      </c>
      <c r="AS1011" s="34" t="s">
        <v>94</v>
      </c>
      <c r="AU1011" s="12" t="s">
        <v>1937</v>
      </c>
      <c r="AV1011" s="13"/>
      <c r="AW1011" s="39">
        <v>5</v>
      </c>
      <c r="AX1011" s="12">
        <f>VLOOKUP(AW1011,색인!$N$14:$O$19,2,FALSE)</f>
        <v>3</v>
      </c>
      <c r="AY1011" s="39" t="str">
        <f>"T"&amp;O1011&amp;"_"&amp;AX1011&amp;"옵션_"&amp;VLOOKUP(E1011,색인!$J$25:$K$29,2,FALSE)</f>
        <v>T1_3옵션_방어구</v>
      </c>
      <c r="AZ1011" s="39">
        <f>VLOOKUP(G1011,색인!$J$32:$K$45,2,FALSE)</f>
        <v>4</v>
      </c>
      <c r="BA1011" s="39" t="str">
        <f>_xlfn.IFNA(VLOOKUP(AY1011,표1[[검색용]:[OptionGroupIndex'[']22]],EquipItemTable!AZ1011,FALSE),"옵션고정안함")</f>
        <v>1311,1312</v>
      </c>
    </row>
    <row r="1012" spans="1:53" ht="12" customHeight="1" x14ac:dyDescent="0.2">
      <c r="A1012" s="13" t="s">
        <v>675</v>
      </c>
      <c r="B1012" s="39">
        <v>60402</v>
      </c>
      <c r="C1012" s="42" t="s">
        <v>3655</v>
      </c>
      <c r="D1012" s="10" t="s">
        <v>82</v>
      </c>
      <c r="E1012" s="10" t="s">
        <v>1</v>
      </c>
      <c r="F1012" s="1" t="s">
        <v>480</v>
      </c>
      <c r="G1012" s="1" t="s">
        <v>1311</v>
      </c>
      <c r="H1012" s="1"/>
      <c r="I1012" s="1"/>
      <c r="J1012" s="1"/>
      <c r="K1012" s="1"/>
      <c r="L1012" s="1"/>
      <c r="M1012" s="1"/>
      <c r="O1012" s="12" t="s">
        <v>95</v>
      </c>
      <c r="P1012" s="1">
        <v>21</v>
      </c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>
        <v>259</v>
      </c>
      <c r="AB1012" s="11"/>
      <c r="AC1012" s="82"/>
      <c r="AD1012" s="12" t="s">
        <v>868</v>
      </c>
      <c r="AE1012" s="39" t="str">
        <f t="shared" si="133"/>
        <v>2311,2312</v>
      </c>
      <c r="AN1012" s="12" t="s">
        <v>2833</v>
      </c>
      <c r="AR1012" s="34" t="s">
        <v>94</v>
      </c>
      <c r="AS1012" s="34" t="s">
        <v>94</v>
      </c>
      <c r="AU1012" s="12" t="s">
        <v>1937</v>
      </c>
      <c r="AV1012" s="13"/>
      <c r="AW1012" s="39">
        <v>5</v>
      </c>
      <c r="AX1012" s="12">
        <f>VLOOKUP(AW1012,색인!$N$14:$O$19,2,FALSE)</f>
        <v>3</v>
      </c>
      <c r="AY1012" s="39" t="str">
        <f>"T"&amp;O1012&amp;"_"&amp;AX1012&amp;"옵션_"&amp;VLOOKUP(E1012,색인!$J$25:$K$29,2,FALSE)</f>
        <v>T2_3옵션_방어구</v>
      </c>
      <c r="AZ1012" s="39">
        <f>VLOOKUP(G1012,색인!$J$32:$K$45,2,FALSE)</f>
        <v>4</v>
      </c>
      <c r="BA1012" s="39" t="str">
        <f>_xlfn.IFNA(VLOOKUP(AY1012,표1[[검색용]:[OptionGroupIndex'[']22]],EquipItemTable!AZ1012,FALSE),"옵션고정안함")</f>
        <v>2311,2312</v>
      </c>
    </row>
    <row r="1013" spans="1:53" ht="12" customHeight="1" x14ac:dyDescent="0.2">
      <c r="A1013" s="13" t="s">
        <v>676</v>
      </c>
      <c r="B1013" s="39">
        <v>60403</v>
      </c>
      <c r="C1013" s="42" t="s">
        <v>3655</v>
      </c>
      <c r="D1013" s="10" t="s">
        <v>82</v>
      </c>
      <c r="E1013" s="10" t="s">
        <v>1</v>
      </c>
      <c r="F1013" s="1" t="s">
        <v>92</v>
      </c>
      <c r="G1013" s="1" t="s">
        <v>1311</v>
      </c>
      <c r="H1013" s="1"/>
      <c r="I1013" s="1"/>
      <c r="J1013" s="1"/>
      <c r="K1013" s="1"/>
      <c r="L1013" s="1"/>
      <c r="M1013" s="1"/>
      <c r="N1013" s="81"/>
      <c r="O1013" s="12" t="s">
        <v>96</v>
      </c>
      <c r="P1013" s="1">
        <v>31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">
        <v>534</v>
      </c>
      <c r="AB1013" s="13"/>
      <c r="AC1013" s="82"/>
      <c r="AD1013" s="23" t="s">
        <v>52</v>
      </c>
      <c r="AE1013" s="90" t="str">
        <f t="shared" si="133"/>
        <v>3311,3312</v>
      </c>
      <c r="AF1013" s="23"/>
      <c r="AI1013" s="23"/>
      <c r="AJ1013" s="23"/>
      <c r="AK1013" s="23"/>
      <c r="AL1013" s="23"/>
      <c r="AM1013" s="23"/>
      <c r="AN1013" s="12" t="s">
        <v>2833</v>
      </c>
      <c r="AO1013" s="23"/>
      <c r="AP1013" s="23"/>
      <c r="AQ1013" s="81"/>
      <c r="AR1013" s="83">
        <v>1</v>
      </c>
      <c r="AS1013" s="83">
        <v>1</v>
      </c>
      <c r="AT1013" s="81"/>
      <c r="AU1013" s="12" t="s">
        <v>1937</v>
      </c>
      <c r="AV1013" s="13"/>
      <c r="AW1013" s="39">
        <v>5</v>
      </c>
      <c r="AX1013" s="12">
        <f>VLOOKUP(AW1013,색인!$N$14:$O$19,2,FALSE)</f>
        <v>3</v>
      </c>
      <c r="AY1013" s="39" t="str">
        <f>"T"&amp;O1013&amp;"_"&amp;AX1013&amp;"옵션_"&amp;VLOOKUP(E1013,색인!$J$25:$K$29,2,FALSE)</f>
        <v>T3_3옵션_방어구</v>
      </c>
      <c r="AZ1013" s="39">
        <f>VLOOKUP(G1013,색인!$J$32:$K$45,2,FALSE)</f>
        <v>4</v>
      </c>
      <c r="BA1013" s="39" t="str">
        <f>_xlfn.IFNA(VLOOKUP(AY1013,표1[[검색용]:[OptionGroupIndex'[']22]],EquipItemTable!AZ1013,FALSE),"옵션고정안함")</f>
        <v>3311,3312</v>
      </c>
    </row>
    <row r="1014" spans="1:53" ht="12" customHeight="1" x14ac:dyDescent="0.2">
      <c r="A1014" s="13" t="s">
        <v>677</v>
      </c>
      <c r="B1014" s="39">
        <v>60404</v>
      </c>
      <c r="C1014" s="42" t="s">
        <v>3655</v>
      </c>
      <c r="D1014" s="10" t="s">
        <v>82</v>
      </c>
      <c r="E1014" s="10" t="s">
        <v>1</v>
      </c>
      <c r="F1014" s="1" t="s">
        <v>92</v>
      </c>
      <c r="G1014" s="1" t="s">
        <v>1311</v>
      </c>
      <c r="H1014" s="1"/>
      <c r="I1014" s="1"/>
      <c r="J1014" s="1"/>
      <c r="K1014" s="1"/>
      <c r="L1014" s="1"/>
      <c r="M1014" s="1"/>
      <c r="O1014" s="12" t="s">
        <v>97</v>
      </c>
      <c r="P1014" s="1">
        <v>41</v>
      </c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>
        <v>1042</v>
      </c>
      <c r="AB1014" s="11"/>
      <c r="AC1014" s="82"/>
      <c r="AD1014" s="12" t="s">
        <v>52</v>
      </c>
      <c r="AE1014" s="39" t="str">
        <f t="shared" si="133"/>
        <v>4311,4312</v>
      </c>
      <c r="AN1014" s="12" t="s">
        <v>2833</v>
      </c>
      <c r="AR1014" s="34" t="s">
        <v>94</v>
      </c>
      <c r="AS1014" s="34" t="s">
        <v>94</v>
      </c>
      <c r="AU1014" s="12" t="s">
        <v>1937</v>
      </c>
      <c r="AV1014" s="13"/>
      <c r="AW1014" s="39">
        <v>5</v>
      </c>
      <c r="AX1014" s="12">
        <f>VLOOKUP(AW1014,색인!$N$14:$O$19,2,FALSE)</f>
        <v>3</v>
      </c>
      <c r="AY1014" s="39" t="str">
        <f>"T"&amp;O1014&amp;"_"&amp;AX1014&amp;"옵션_"&amp;VLOOKUP(E1014,색인!$J$25:$K$29,2,FALSE)</f>
        <v>T4_3옵션_방어구</v>
      </c>
      <c r="AZ1014" s="39">
        <f>VLOOKUP(G1014,색인!$J$32:$K$45,2,FALSE)</f>
        <v>4</v>
      </c>
      <c r="BA1014" s="39" t="str">
        <f>_xlfn.IFNA(VLOOKUP(AY1014,표1[[검색용]:[OptionGroupIndex'[']22]],EquipItemTable!AZ1014,FALSE),"옵션고정안함")</f>
        <v>4311,4312</v>
      </c>
    </row>
    <row r="1015" spans="1:53" ht="12" customHeight="1" x14ac:dyDescent="0.2">
      <c r="A1015" s="13" t="s">
        <v>678</v>
      </c>
      <c r="B1015" s="39">
        <v>60405</v>
      </c>
      <c r="C1015" s="42" t="s">
        <v>3655</v>
      </c>
      <c r="D1015" s="10" t="s">
        <v>82</v>
      </c>
      <c r="E1015" s="10" t="s">
        <v>1</v>
      </c>
      <c r="F1015" s="1" t="s">
        <v>480</v>
      </c>
      <c r="G1015" s="1" t="s">
        <v>1311</v>
      </c>
      <c r="H1015" s="1"/>
      <c r="I1015" s="1"/>
      <c r="J1015" s="1"/>
      <c r="K1015" s="1"/>
      <c r="L1015" s="1"/>
      <c r="M1015" s="1"/>
      <c r="O1015" s="12" t="s">
        <v>430</v>
      </c>
      <c r="P1015" s="1">
        <v>51</v>
      </c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>
        <v>1968</v>
      </c>
      <c r="AB1015" s="11"/>
      <c r="AC1015" s="82"/>
      <c r="AD1015" s="12" t="s">
        <v>98</v>
      </c>
      <c r="AE1015" s="39" t="str">
        <f t="shared" si="133"/>
        <v>5311,5312</v>
      </c>
      <c r="AN1015" s="12" t="s">
        <v>2833</v>
      </c>
      <c r="AR1015" s="34" t="s">
        <v>94</v>
      </c>
      <c r="AS1015" s="34" t="s">
        <v>94</v>
      </c>
      <c r="AU1015" s="12" t="s">
        <v>1937</v>
      </c>
      <c r="AV1015" s="13"/>
      <c r="AW1015" s="39">
        <v>5</v>
      </c>
      <c r="AX1015" s="12">
        <f>VLOOKUP(AW1015,색인!$N$14:$O$19,2,FALSE)</f>
        <v>3</v>
      </c>
      <c r="AY1015" s="39" t="str">
        <f>"T"&amp;O1015&amp;"_"&amp;AX1015&amp;"옵션_"&amp;VLOOKUP(E1015,색인!$J$25:$K$29,2,FALSE)</f>
        <v>T5_3옵션_방어구</v>
      </c>
      <c r="AZ1015" s="39">
        <f>VLOOKUP(G1015,색인!$J$32:$K$45,2,FALSE)</f>
        <v>4</v>
      </c>
      <c r="BA1015" s="39" t="str">
        <f>_xlfn.IFNA(VLOOKUP(AY1015,표1[[검색용]:[OptionGroupIndex'[']22]],EquipItemTable!AZ1015,FALSE),"옵션고정안함")</f>
        <v>5311,5312</v>
      </c>
    </row>
    <row r="1016" spans="1:53" s="1" customFormat="1" ht="12" x14ac:dyDescent="0.2">
      <c r="A1016" s="31" t="s">
        <v>798</v>
      </c>
      <c r="B1016" s="39">
        <v>60406</v>
      </c>
      <c r="C1016" s="42" t="s">
        <v>3655</v>
      </c>
      <c r="D1016" s="10" t="s">
        <v>82</v>
      </c>
      <c r="E1016" s="10" t="s">
        <v>1</v>
      </c>
      <c r="F1016" s="1" t="s">
        <v>480</v>
      </c>
      <c r="G1016" s="1" t="s">
        <v>1311</v>
      </c>
      <c r="N1016" s="8"/>
      <c r="O1016" s="12" t="s">
        <v>755</v>
      </c>
      <c r="P1016" s="1">
        <v>61</v>
      </c>
      <c r="AA1016" s="1">
        <v>2866</v>
      </c>
      <c r="AB1016" s="11"/>
      <c r="AC1016" s="82"/>
      <c r="AD1016" s="12" t="s">
        <v>864</v>
      </c>
      <c r="AE1016" s="39" t="str">
        <f t="shared" si="133"/>
        <v>6311,6312</v>
      </c>
      <c r="AF1016" s="12"/>
      <c r="AG1016" s="12"/>
      <c r="AH1016" s="12"/>
      <c r="AI1016" s="12"/>
      <c r="AJ1016" s="12"/>
      <c r="AK1016" s="12"/>
      <c r="AL1016" s="12"/>
      <c r="AM1016" s="12"/>
      <c r="AN1016" s="12" t="s">
        <v>2833</v>
      </c>
      <c r="AO1016" s="12"/>
      <c r="AP1016" s="12"/>
      <c r="AQ1016" s="8"/>
      <c r="AR1016" s="34" t="s">
        <v>865</v>
      </c>
      <c r="AS1016" s="34" t="s">
        <v>865</v>
      </c>
      <c r="AT1016" s="85"/>
      <c r="AU1016" s="12" t="s">
        <v>1937</v>
      </c>
      <c r="AW1016" s="90">
        <v>5</v>
      </c>
      <c r="AX1016" s="23">
        <f>VLOOKUP(AW1016,색인!$N$14:$O$19,2,FALSE)</f>
        <v>3</v>
      </c>
      <c r="AY1016" s="90" t="str">
        <f>"T"&amp;O1016&amp;"_"&amp;AX1016&amp;"옵션_"&amp;VLOOKUP(E1016,색인!$J$25:$K$29,2,FALSE)</f>
        <v>T6_3옵션_방어구</v>
      </c>
      <c r="AZ1016" s="90">
        <f>VLOOKUP(G1016,색인!$J$32:$K$45,2,FALSE)</f>
        <v>4</v>
      </c>
      <c r="BA1016" s="90" t="str">
        <f>_xlfn.IFNA(VLOOKUP(AY1016,표1[[검색용]:[OptionGroupIndex'[']22]],EquipItemTable!AZ1016,FALSE),"옵션고정안함")</f>
        <v>6311,6312</v>
      </c>
    </row>
    <row r="1017" spans="1:53" s="1" customFormat="1" ht="12" x14ac:dyDescent="0.2">
      <c r="A1017" s="31" t="s">
        <v>1239</v>
      </c>
      <c r="B1017" s="39">
        <v>60407</v>
      </c>
      <c r="C1017" s="42" t="s">
        <v>3656</v>
      </c>
      <c r="D1017" s="10" t="s">
        <v>82</v>
      </c>
      <c r="E1017" s="10" t="s">
        <v>1</v>
      </c>
      <c r="F1017" s="1" t="s">
        <v>480</v>
      </c>
      <c r="G1017" s="1" t="s">
        <v>1311</v>
      </c>
      <c r="N1017" s="8"/>
      <c r="O1017" s="12" t="s">
        <v>747</v>
      </c>
      <c r="P1017" s="1">
        <v>61</v>
      </c>
      <c r="AA1017" s="1">
        <v>2866</v>
      </c>
      <c r="AB1017" s="11"/>
      <c r="AC1017" s="82"/>
      <c r="AD1017" s="12" t="s">
        <v>864</v>
      </c>
      <c r="AE1017" s="39" t="str">
        <f t="shared" si="133"/>
        <v>6311,6312</v>
      </c>
      <c r="AF1017" s="12"/>
      <c r="AG1017" s="12"/>
      <c r="AH1017" s="12"/>
      <c r="AI1017" s="12"/>
      <c r="AJ1017" s="12"/>
      <c r="AK1017" s="12"/>
      <c r="AL1017" s="12"/>
      <c r="AM1017" s="12"/>
      <c r="AN1017" s="12" t="s">
        <v>1228</v>
      </c>
      <c r="AO1017" s="12"/>
      <c r="AP1017" s="12"/>
      <c r="AQ1017" s="8"/>
      <c r="AR1017" s="34" t="s">
        <v>865</v>
      </c>
      <c r="AS1017" s="34" t="s">
        <v>865</v>
      </c>
      <c r="AT1017" s="85"/>
      <c r="AU1017" s="12" t="s">
        <v>1937</v>
      </c>
      <c r="AW1017" s="90">
        <v>5</v>
      </c>
      <c r="AX1017" s="23">
        <f>VLOOKUP(AW1017,색인!$N$14:$O$19,2,FALSE)</f>
        <v>3</v>
      </c>
      <c r="AY1017" s="90" t="str">
        <f>"T"&amp;O1017&amp;"_"&amp;AX1017&amp;"옵션_"&amp;VLOOKUP(E1017,색인!$J$25:$K$29,2,FALSE)</f>
        <v>T6_3옵션_방어구</v>
      </c>
      <c r="AZ1017" s="90">
        <f>VLOOKUP(G1017,색인!$J$32:$K$45,2,FALSE)</f>
        <v>4</v>
      </c>
      <c r="BA1017" s="90" t="str">
        <f>_xlfn.IFNA(VLOOKUP(AY1017,표1[[검색용]:[OptionGroupIndex'[']22]],EquipItemTable!AZ1017,FALSE),"옵션고정안함")</f>
        <v>6311,6312</v>
      </c>
    </row>
    <row r="1018" spans="1:53" s="1" customFormat="1" ht="12" x14ac:dyDescent="0.2">
      <c r="A1018" s="31" t="s">
        <v>1240</v>
      </c>
      <c r="B1018" s="39">
        <v>60408</v>
      </c>
      <c r="C1018" s="42" t="s">
        <v>3657</v>
      </c>
      <c r="D1018" s="10" t="s">
        <v>82</v>
      </c>
      <c r="E1018" s="10" t="s">
        <v>1</v>
      </c>
      <c r="F1018" s="1" t="s">
        <v>480</v>
      </c>
      <c r="G1018" s="1" t="s">
        <v>1311</v>
      </c>
      <c r="J1018" s="27"/>
      <c r="K1018" s="27"/>
      <c r="L1018" s="27"/>
      <c r="M1018" s="27"/>
      <c r="N1018" s="8"/>
      <c r="O1018" s="12" t="s">
        <v>747</v>
      </c>
      <c r="P1018" s="1">
        <v>61</v>
      </c>
      <c r="AA1018" s="1">
        <v>2866</v>
      </c>
      <c r="AB1018" s="11"/>
      <c r="AC1018" s="82"/>
      <c r="AD1018" s="12" t="s">
        <v>864</v>
      </c>
      <c r="AE1018" s="39" t="str">
        <f t="shared" si="133"/>
        <v>6311,6312</v>
      </c>
      <c r="AF1018" s="12"/>
      <c r="AG1018" s="29"/>
      <c r="AH1018" s="29"/>
      <c r="AI1018" s="12"/>
      <c r="AJ1018" s="12"/>
      <c r="AK1018" s="12"/>
      <c r="AL1018" s="12"/>
      <c r="AM1018" s="12"/>
      <c r="AN1018" s="12" t="s">
        <v>1213</v>
      </c>
      <c r="AO1018" s="12"/>
      <c r="AP1018" s="12"/>
      <c r="AQ1018" s="8"/>
      <c r="AR1018" s="34" t="s">
        <v>865</v>
      </c>
      <c r="AS1018" s="34" t="s">
        <v>865</v>
      </c>
      <c r="AT1018" s="85"/>
      <c r="AU1018" s="12" t="s">
        <v>1937</v>
      </c>
      <c r="AW1018" s="90">
        <v>5</v>
      </c>
      <c r="AX1018" s="23">
        <f>VLOOKUP(AW1018,색인!$N$14:$O$19,2,FALSE)</f>
        <v>3</v>
      </c>
      <c r="AY1018" s="90" t="str">
        <f>"T"&amp;O1018&amp;"_"&amp;AX1018&amp;"옵션_"&amp;VLOOKUP(E1018,색인!$J$25:$K$29,2,FALSE)</f>
        <v>T6_3옵션_방어구</v>
      </c>
      <c r="AZ1018" s="90">
        <f>VLOOKUP(G1018,색인!$J$32:$K$45,2,FALSE)</f>
        <v>4</v>
      </c>
      <c r="BA1018" s="90" t="str">
        <f>_xlfn.IFNA(VLOOKUP(AY1018,표1[[검색용]:[OptionGroupIndex'[']22]],EquipItemTable!AZ1018,FALSE),"옵션고정안함")</f>
        <v>6311,6312</v>
      </c>
    </row>
    <row r="1019" spans="1:53" s="1" customFormat="1" ht="12" x14ac:dyDescent="0.2">
      <c r="A1019" s="31" t="s">
        <v>1241</v>
      </c>
      <c r="B1019" s="39">
        <v>60409</v>
      </c>
      <c r="C1019" s="42" t="s">
        <v>3658</v>
      </c>
      <c r="D1019" s="10" t="s">
        <v>82</v>
      </c>
      <c r="E1019" s="10" t="s">
        <v>1</v>
      </c>
      <c r="F1019" s="1" t="s">
        <v>480</v>
      </c>
      <c r="G1019" s="1" t="s">
        <v>1311</v>
      </c>
      <c r="J1019" s="27"/>
      <c r="K1019" s="27"/>
      <c r="L1019" s="27"/>
      <c r="M1019" s="27"/>
      <c r="N1019" s="8"/>
      <c r="O1019" s="12" t="s">
        <v>747</v>
      </c>
      <c r="P1019" s="1">
        <v>61</v>
      </c>
      <c r="AA1019" s="1">
        <v>2866</v>
      </c>
      <c r="AB1019" s="11"/>
      <c r="AC1019" s="82"/>
      <c r="AD1019" s="12" t="s">
        <v>864</v>
      </c>
      <c r="AE1019" s="39" t="str">
        <f t="shared" si="133"/>
        <v>6311,6312</v>
      </c>
      <c r="AF1019" s="12"/>
      <c r="AG1019" s="29"/>
      <c r="AH1019" s="29"/>
      <c r="AI1019" s="12"/>
      <c r="AJ1019" s="12"/>
      <c r="AK1019" s="12"/>
      <c r="AL1019" s="12"/>
      <c r="AM1019" s="12"/>
      <c r="AN1019" s="12" t="s">
        <v>1214</v>
      </c>
      <c r="AO1019" s="12"/>
      <c r="AP1019" s="12"/>
      <c r="AQ1019" s="8"/>
      <c r="AR1019" s="34" t="s">
        <v>865</v>
      </c>
      <c r="AS1019" s="34" t="s">
        <v>865</v>
      </c>
      <c r="AT1019" s="85"/>
      <c r="AU1019" s="12" t="s">
        <v>1937</v>
      </c>
      <c r="AW1019" s="90">
        <v>5</v>
      </c>
      <c r="AX1019" s="23">
        <f>VLOOKUP(AW1019,색인!$N$14:$O$19,2,FALSE)</f>
        <v>3</v>
      </c>
      <c r="AY1019" s="90" t="str">
        <f>"T"&amp;O1019&amp;"_"&amp;AX1019&amp;"옵션_"&amp;VLOOKUP(E1019,색인!$J$25:$K$29,2,FALSE)</f>
        <v>T6_3옵션_방어구</v>
      </c>
      <c r="AZ1019" s="90">
        <f>VLOOKUP(G1019,색인!$J$32:$K$45,2,FALSE)</f>
        <v>4</v>
      </c>
      <c r="BA1019" s="90" t="str">
        <f>_xlfn.IFNA(VLOOKUP(AY1019,표1[[검색용]:[OptionGroupIndex'[']22]],EquipItemTable!AZ1019,FALSE),"옵션고정안함")</f>
        <v>6311,6312</v>
      </c>
    </row>
    <row r="1020" spans="1:53" s="1" customFormat="1" ht="12" x14ac:dyDescent="0.2">
      <c r="A1020" s="31" t="s">
        <v>1242</v>
      </c>
      <c r="B1020" s="39">
        <v>60410</v>
      </c>
      <c r="C1020" s="42" t="s">
        <v>3659</v>
      </c>
      <c r="D1020" s="10" t="s">
        <v>82</v>
      </c>
      <c r="E1020" s="10" t="s">
        <v>1</v>
      </c>
      <c r="F1020" s="1" t="s">
        <v>480</v>
      </c>
      <c r="G1020" s="1" t="s">
        <v>1311</v>
      </c>
      <c r="J1020" s="27"/>
      <c r="K1020" s="27"/>
      <c r="L1020" s="27"/>
      <c r="M1020" s="27"/>
      <c r="N1020" s="8"/>
      <c r="O1020" s="12" t="s">
        <v>747</v>
      </c>
      <c r="P1020" s="1">
        <v>61</v>
      </c>
      <c r="AA1020" s="1">
        <v>2866</v>
      </c>
      <c r="AB1020" s="11"/>
      <c r="AC1020" s="82"/>
      <c r="AD1020" s="12" t="s">
        <v>864</v>
      </c>
      <c r="AE1020" s="39" t="str">
        <f t="shared" si="133"/>
        <v>6311,6312</v>
      </c>
      <c r="AF1020" s="12"/>
      <c r="AG1020" s="29"/>
      <c r="AH1020" s="29"/>
      <c r="AI1020" s="12"/>
      <c r="AJ1020" s="12"/>
      <c r="AK1020" s="12"/>
      <c r="AL1020" s="12"/>
      <c r="AM1020" s="12"/>
      <c r="AN1020" s="12" t="s">
        <v>1215</v>
      </c>
      <c r="AO1020" s="12"/>
      <c r="AP1020" s="12"/>
      <c r="AQ1020" s="8"/>
      <c r="AR1020" s="34" t="s">
        <v>865</v>
      </c>
      <c r="AS1020" s="34" t="s">
        <v>865</v>
      </c>
      <c r="AT1020" s="85"/>
      <c r="AU1020" s="12" t="s">
        <v>1937</v>
      </c>
      <c r="AW1020" s="90">
        <v>5</v>
      </c>
      <c r="AX1020" s="23">
        <f>VLOOKUP(AW1020,색인!$N$14:$O$19,2,FALSE)</f>
        <v>3</v>
      </c>
      <c r="AY1020" s="90" t="str">
        <f>"T"&amp;O1020&amp;"_"&amp;AX1020&amp;"옵션_"&amp;VLOOKUP(E1020,색인!$J$25:$K$29,2,FALSE)</f>
        <v>T6_3옵션_방어구</v>
      </c>
      <c r="AZ1020" s="90">
        <f>VLOOKUP(G1020,색인!$J$32:$K$45,2,FALSE)</f>
        <v>4</v>
      </c>
      <c r="BA1020" s="90" t="str">
        <f>_xlfn.IFNA(VLOOKUP(AY1020,표1[[검색용]:[OptionGroupIndex'[']22]],EquipItemTable!AZ1020,FALSE),"옵션고정안함")</f>
        <v>6311,6312</v>
      </c>
    </row>
    <row r="1021" spans="1:53" s="1" customFormat="1" ht="12" x14ac:dyDescent="0.2">
      <c r="A1021" s="31" t="s">
        <v>1243</v>
      </c>
      <c r="B1021" s="39">
        <v>60411</v>
      </c>
      <c r="C1021" s="42" t="s">
        <v>3660</v>
      </c>
      <c r="D1021" s="10" t="s">
        <v>82</v>
      </c>
      <c r="E1021" s="10" t="s">
        <v>1</v>
      </c>
      <c r="F1021" s="1" t="s">
        <v>480</v>
      </c>
      <c r="G1021" s="1" t="s">
        <v>1311</v>
      </c>
      <c r="J1021" s="27"/>
      <c r="K1021" s="27"/>
      <c r="L1021" s="27"/>
      <c r="M1021" s="27"/>
      <c r="N1021" s="8"/>
      <c r="O1021" s="12" t="s">
        <v>747</v>
      </c>
      <c r="P1021" s="1">
        <v>61</v>
      </c>
      <c r="AA1021" s="1">
        <v>2866</v>
      </c>
      <c r="AB1021" s="11"/>
      <c r="AC1021" s="82"/>
      <c r="AD1021" s="12" t="s">
        <v>864</v>
      </c>
      <c r="AE1021" s="39" t="str">
        <f t="shared" si="133"/>
        <v>6311,6312</v>
      </c>
      <c r="AF1021" s="12"/>
      <c r="AG1021" s="29"/>
      <c r="AH1021" s="29"/>
      <c r="AI1021" s="12"/>
      <c r="AJ1021" s="12"/>
      <c r="AK1021" s="12"/>
      <c r="AL1021" s="12"/>
      <c r="AM1021" s="12"/>
      <c r="AN1021" s="12" t="s">
        <v>1216</v>
      </c>
      <c r="AO1021" s="12"/>
      <c r="AP1021" s="12"/>
      <c r="AQ1021" s="8"/>
      <c r="AR1021" s="34" t="s">
        <v>865</v>
      </c>
      <c r="AS1021" s="34" t="s">
        <v>865</v>
      </c>
      <c r="AT1021" s="85"/>
      <c r="AU1021" s="12" t="s">
        <v>1937</v>
      </c>
      <c r="AW1021" s="90">
        <v>5</v>
      </c>
      <c r="AX1021" s="23">
        <f>VLOOKUP(AW1021,색인!$N$14:$O$19,2,FALSE)</f>
        <v>3</v>
      </c>
      <c r="AY1021" s="90" t="str">
        <f>"T"&amp;O1021&amp;"_"&amp;AX1021&amp;"옵션_"&amp;VLOOKUP(E1021,색인!$J$25:$K$29,2,FALSE)</f>
        <v>T6_3옵션_방어구</v>
      </c>
      <c r="AZ1021" s="90">
        <f>VLOOKUP(G1021,색인!$J$32:$K$45,2,FALSE)</f>
        <v>4</v>
      </c>
      <c r="BA1021" s="90" t="str">
        <f>_xlfn.IFNA(VLOOKUP(AY1021,표1[[검색용]:[OptionGroupIndex'[']22]],EquipItemTable!AZ1021,FALSE),"옵션고정안함")</f>
        <v>6311,6312</v>
      </c>
    </row>
    <row r="1022" spans="1:53" s="1" customFormat="1" ht="12" x14ac:dyDescent="0.2">
      <c r="A1022" s="24" t="s">
        <v>919</v>
      </c>
      <c r="B1022" s="39">
        <v>60601</v>
      </c>
      <c r="C1022" s="42" t="e">
        <v>#N/A</v>
      </c>
      <c r="D1022" s="10" t="s">
        <v>82</v>
      </c>
      <c r="E1022" s="10" t="s">
        <v>1</v>
      </c>
      <c r="F1022" s="1" t="s">
        <v>480</v>
      </c>
      <c r="G1022" s="1" t="s">
        <v>1311</v>
      </c>
      <c r="J1022" s="27"/>
      <c r="K1022" s="27"/>
      <c r="L1022" s="27"/>
      <c r="M1022" s="27"/>
      <c r="N1022" s="8"/>
      <c r="O1022" s="12" t="s">
        <v>881</v>
      </c>
      <c r="P1022" s="1">
        <v>31</v>
      </c>
      <c r="AA1022" s="1">
        <v>661</v>
      </c>
      <c r="AB1022" s="11"/>
      <c r="AC1022" s="82"/>
      <c r="AD1022" s="12" t="s">
        <v>99</v>
      </c>
      <c r="AE1022" s="12" t="s">
        <v>881</v>
      </c>
      <c r="AF1022" s="12"/>
      <c r="AG1022" s="29"/>
      <c r="AH1022" s="29"/>
      <c r="AQ1022" s="85"/>
      <c r="AR1022" s="1">
        <v>1</v>
      </c>
      <c r="AS1022" s="1">
        <v>1</v>
      </c>
      <c r="AT1022" s="85"/>
      <c r="AU1022" s="12" t="s">
        <v>1938</v>
      </c>
      <c r="AW1022" s="90">
        <v>7</v>
      </c>
      <c r="AX1022" s="23"/>
      <c r="AY1022" s="23"/>
      <c r="AZ1022" s="23"/>
      <c r="BA1022" s="23"/>
    </row>
    <row r="1023" spans="1:53" s="1" customFormat="1" ht="12" x14ac:dyDescent="0.2">
      <c r="A1023" s="24" t="s">
        <v>920</v>
      </c>
      <c r="B1023" s="39">
        <v>60602</v>
      </c>
      <c r="C1023" s="42" t="e">
        <v>#N/A</v>
      </c>
      <c r="D1023" s="10" t="s">
        <v>82</v>
      </c>
      <c r="E1023" s="10" t="s">
        <v>1</v>
      </c>
      <c r="F1023" s="1" t="s">
        <v>480</v>
      </c>
      <c r="G1023" s="1" t="s">
        <v>1311</v>
      </c>
      <c r="J1023" s="27"/>
      <c r="K1023" s="27"/>
      <c r="L1023" s="27"/>
      <c r="M1023" s="27"/>
      <c r="N1023" s="8"/>
      <c r="O1023" s="12" t="s">
        <v>882</v>
      </c>
      <c r="P1023" s="1">
        <v>41</v>
      </c>
      <c r="AA1023" s="1">
        <v>1272</v>
      </c>
      <c r="AB1023" s="11"/>
      <c r="AC1023" s="82"/>
      <c r="AD1023" s="12" t="s">
        <v>99</v>
      </c>
      <c r="AE1023" s="12" t="s">
        <v>551</v>
      </c>
      <c r="AF1023" s="12"/>
      <c r="AG1023" s="29"/>
      <c r="AH1023" s="29"/>
      <c r="AQ1023" s="85"/>
      <c r="AR1023" s="1">
        <v>1</v>
      </c>
      <c r="AS1023" s="1">
        <v>1</v>
      </c>
      <c r="AT1023" s="85"/>
      <c r="AU1023" s="12" t="s">
        <v>1938</v>
      </c>
      <c r="AW1023" s="90">
        <v>7</v>
      </c>
      <c r="AX1023" s="23"/>
      <c r="AY1023" s="23"/>
      <c r="AZ1023" s="23"/>
      <c r="BA1023" s="23"/>
    </row>
    <row r="1024" spans="1:53" s="1" customFormat="1" ht="12" x14ac:dyDescent="0.2">
      <c r="A1024" s="24" t="s">
        <v>921</v>
      </c>
      <c r="B1024" s="39">
        <v>60603</v>
      </c>
      <c r="C1024" s="42" t="e">
        <v>#N/A</v>
      </c>
      <c r="D1024" s="10" t="s">
        <v>82</v>
      </c>
      <c r="E1024" s="10" t="s">
        <v>1</v>
      </c>
      <c r="F1024" s="1" t="s">
        <v>480</v>
      </c>
      <c r="G1024" s="1" t="s">
        <v>1311</v>
      </c>
      <c r="J1024" s="27"/>
      <c r="K1024" s="27"/>
      <c r="L1024" s="27"/>
      <c r="M1024" s="27"/>
      <c r="N1024" s="8"/>
      <c r="O1024" s="12" t="s">
        <v>430</v>
      </c>
      <c r="P1024" s="1">
        <v>51</v>
      </c>
      <c r="AA1024" s="1">
        <v>2371</v>
      </c>
      <c r="AB1024" s="11"/>
      <c r="AC1024" s="82"/>
      <c r="AD1024" s="12" t="s">
        <v>99</v>
      </c>
      <c r="AE1024" s="12" t="s">
        <v>430</v>
      </c>
      <c r="AF1024" s="12"/>
      <c r="AG1024" s="29"/>
      <c r="AH1024" s="29"/>
      <c r="AQ1024" s="85"/>
      <c r="AR1024" s="1">
        <v>1</v>
      </c>
      <c r="AS1024" s="1">
        <v>1</v>
      </c>
      <c r="AT1024" s="85"/>
      <c r="AU1024" s="12" t="s">
        <v>1938</v>
      </c>
      <c r="AW1024" s="90">
        <v>7</v>
      </c>
      <c r="AX1024" s="23"/>
      <c r="AY1024" s="23"/>
      <c r="AZ1024" s="23"/>
      <c r="BA1024" s="23"/>
    </row>
    <row r="1025" spans="1:53" s="1" customFormat="1" ht="12" x14ac:dyDescent="0.2">
      <c r="A1025" s="24" t="s">
        <v>922</v>
      </c>
      <c r="B1025" s="39">
        <v>60604</v>
      </c>
      <c r="C1025" s="42" t="e">
        <v>#N/A</v>
      </c>
      <c r="D1025" s="10" t="s">
        <v>82</v>
      </c>
      <c r="E1025" s="10" t="s">
        <v>1</v>
      </c>
      <c r="F1025" s="1" t="s">
        <v>480</v>
      </c>
      <c r="G1025" s="1" t="s">
        <v>1311</v>
      </c>
      <c r="J1025" s="27"/>
      <c r="K1025" s="27"/>
      <c r="L1025" s="27"/>
      <c r="M1025" s="27"/>
      <c r="N1025" s="8"/>
      <c r="O1025" s="12" t="s">
        <v>747</v>
      </c>
      <c r="P1025" s="1">
        <v>61</v>
      </c>
      <c r="AA1025" s="1">
        <v>3286</v>
      </c>
      <c r="AB1025" s="11"/>
      <c r="AC1025" s="82"/>
      <c r="AD1025" s="12" t="s">
        <v>99</v>
      </c>
      <c r="AE1025" s="12" t="s">
        <v>430</v>
      </c>
      <c r="AF1025" s="12"/>
      <c r="AG1025" s="29"/>
      <c r="AH1025" s="29"/>
      <c r="AQ1025" s="85"/>
      <c r="AR1025" s="1">
        <v>1</v>
      </c>
      <c r="AS1025" s="1">
        <v>1</v>
      </c>
      <c r="AT1025" s="85"/>
      <c r="AU1025" s="12" t="s">
        <v>1938</v>
      </c>
      <c r="AW1025" s="90">
        <v>7</v>
      </c>
      <c r="AX1025" s="23"/>
      <c r="AY1025" s="23"/>
      <c r="AZ1025" s="23"/>
      <c r="BA1025" s="23"/>
    </row>
    <row r="1026" spans="1:53" s="1" customFormat="1" ht="12" x14ac:dyDescent="0.2">
      <c r="A1026" s="31" t="s">
        <v>1179</v>
      </c>
      <c r="B1026" s="39">
        <v>360001</v>
      </c>
      <c r="C1026" s="42" t="s">
        <v>3661</v>
      </c>
      <c r="D1026" s="10" t="s">
        <v>82</v>
      </c>
      <c r="E1026" s="10" t="s">
        <v>1</v>
      </c>
      <c r="F1026" s="1" t="s">
        <v>480</v>
      </c>
      <c r="G1026" s="1" t="s">
        <v>1311</v>
      </c>
      <c r="J1026" s="27"/>
      <c r="K1026" s="27"/>
      <c r="L1026" s="27"/>
      <c r="M1026" s="27"/>
      <c r="N1026" s="8"/>
      <c r="O1026" s="12" t="s">
        <v>755</v>
      </c>
      <c r="P1026" s="1">
        <v>61</v>
      </c>
      <c r="AA1026" s="1">
        <v>2866</v>
      </c>
      <c r="AB1026" s="11"/>
      <c r="AC1026" s="82"/>
      <c r="AD1026" s="12" t="s">
        <v>864</v>
      </c>
      <c r="AE1026" s="39" t="str">
        <f>BA1026</f>
        <v>6311,6312</v>
      </c>
      <c r="AF1026" s="12"/>
      <c r="AG1026" s="29"/>
      <c r="AH1026" s="29"/>
      <c r="AI1026" s="12"/>
      <c r="AJ1026" s="12"/>
      <c r="AK1026" s="12"/>
      <c r="AL1026" s="12"/>
      <c r="AM1026" s="12"/>
      <c r="AN1026" s="12" t="s">
        <v>1199</v>
      </c>
      <c r="AO1026" s="12"/>
      <c r="AP1026" s="12"/>
      <c r="AQ1026" s="8"/>
      <c r="AR1026" s="34" t="s">
        <v>543</v>
      </c>
      <c r="AS1026" s="34" t="s">
        <v>543</v>
      </c>
      <c r="AT1026" s="85"/>
      <c r="AU1026" s="12" t="s">
        <v>1937</v>
      </c>
      <c r="AW1026" s="90">
        <v>5</v>
      </c>
      <c r="AX1026" s="23">
        <f>VLOOKUP(AW1026,색인!$N$14:$O$19,2,FALSE)</f>
        <v>3</v>
      </c>
      <c r="AY1026" s="90" t="str">
        <f>"T"&amp;O1026&amp;"_"&amp;AX1026&amp;"옵션_"&amp;VLOOKUP(E1026,색인!$J$25:$K$29,2,FALSE)</f>
        <v>T6_3옵션_방어구</v>
      </c>
      <c r="AZ1026" s="90">
        <f>VLOOKUP(G1026,색인!$J$32:$K$45,2,FALSE)</f>
        <v>4</v>
      </c>
      <c r="BA1026" s="90" t="str">
        <f>_xlfn.IFNA(VLOOKUP(AY1026,표1[[검색용]:[OptionGroupIndex'[']22]],EquipItemTable!AZ1026,FALSE),"옵션고정안함")</f>
        <v>6311,6312</v>
      </c>
    </row>
    <row r="1027" spans="1:53" s="1" customFormat="1" ht="12" x14ac:dyDescent="0.2">
      <c r="A1027" s="31" t="s">
        <v>1180</v>
      </c>
      <c r="B1027" s="39">
        <v>360002</v>
      </c>
      <c r="C1027" s="42" t="s">
        <v>3662</v>
      </c>
      <c r="D1027" s="10" t="s">
        <v>82</v>
      </c>
      <c r="E1027" s="10" t="s">
        <v>1</v>
      </c>
      <c r="F1027" s="1" t="s">
        <v>480</v>
      </c>
      <c r="G1027" s="1" t="s">
        <v>1311</v>
      </c>
      <c r="J1027" s="27"/>
      <c r="K1027" s="27"/>
      <c r="L1027" s="27"/>
      <c r="M1027" s="27"/>
      <c r="N1027" s="8"/>
      <c r="O1027" s="12" t="s">
        <v>747</v>
      </c>
      <c r="P1027" s="1">
        <v>61</v>
      </c>
      <c r="AA1027" s="1">
        <v>2859</v>
      </c>
      <c r="AB1027" s="11"/>
      <c r="AC1027" s="82"/>
      <c r="AD1027" s="12" t="s">
        <v>98</v>
      </c>
      <c r="AE1027" s="39" t="s">
        <v>430</v>
      </c>
      <c r="AF1027" s="12"/>
      <c r="AG1027" s="29"/>
      <c r="AH1027" s="29"/>
      <c r="AI1027" s="12"/>
      <c r="AJ1027" s="12"/>
      <c r="AK1027" s="12"/>
      <c r="AL1027" s="12"/>
      <c r="AM1027" s="12"/>
      <c r="AN1027" s="12" t="s">
        <v>1296</v>
      </c>
      <c r="AO1027" s="12"/>
      <c r="AP1027" s="12"/>
      <c r="AQ1027" s="8"/>
      <c r="AR1027" s="34" t="s">
        <v>94</v>
      </c>
      <c r="AS1027" s="34" t="s">
        <v>94</v>
      </c>
      <c r="AT1027" s="85"/>
      <c r="AU1027" s="12" t="s">
        <v>1936</v>
      </c>
      <c r="AW1027" s="90">
        <v>6</v>
      </c>
      <c r="AX1027" s="23">
        <f>VLOOKUP(AW1027,색인!$N$14:$O$19,2,FALSE)</f>
        <v>4</v>
      </c>
      <c r="AY1027" s="23" t="str">
        <f>"T"&amp;O1027&amp;"_"&amp;AX1027&amp;"옵션_"&amp;VLOOKUP(E1027,색인!$J$25:$K$29,2,FALSE)</f>
        <v>T6_4옵션_방어구</v>
      </c>
      <c r="AZ1027" s="23">
        <f>VLOOKUP(G1027,색인!$J$32:$K$45,2,FALSE)</f>
        <v>4</v>
      </c>
      <c r="BA1027" s="23" t="str">
        <f>_xlfn.IFNA(VLOOKUP(AY1027,표1[[검색용]:[OptionGroupIndex'[']22]],EquipItemTable!AZ1027,FALSE),"옵션고정안함")</f>
        <v>6411,6412</v>
      </c>
    </row>
    <row r="1028" spans="1:53" s="27" customFormat="1" ht="12" x14ac:dyDescent="0.2">
      <c r="A1028" s="25" t="s">
        <v>1435</v>
      </c>
      <c r="B1028" s="39">
        <v>60412</v>
      </c>
      <c r="C1028" s="42" t="s">
        <v>3663</v>
      </c>
      <c r="D1028" s="26" t="s">
        <v>82</v>
      </c>
      <c r="E1028" s="26" t="s">
        <v>1</v>
      </c>
      <c r="F1028" s="27" t="s">
        <v>480</v>
      </c>
      <c r="G1028" s="27" t="s">
        <v>1453</v>
      </c>
      <c r="N1028" s="8"/>
      <c r="O1028" s="29" t="s">
        <v>1338</v>
      </c>
      <c r="P1028" s="27">
        <v>71</v>
      </c>
      <c r="AA1028" s="27">
        <v>2793</v>
      </c>
      <c r="AB1028" s="28"/>
      <c r="AC1028" s="82"/>
      <c r="AD1028" s="29" t="s">
        <v>1632</v>
      </c>
      <c r="AE1028" s="29" t="s">
        <v>1337</v>
      </c>
      <c r="AF1028" s="29"/>
      <c r="AG1028" s="29"/>
      <c r="AH1028" s="29"/>
      <c r="AQ1028" s="85"/>
      <c r="AR1028" s="27">
        <v>1</v>
      </c>
      <c r="AS1028" s="27">
        <v>1</v>
      </c>
      <c r="AT1028" s="85"/>
      <c r="AU1028" s="29">
        <v>1001</v>
      </c>
      <c r="AW1028" s="91">
        <v>1</v>
      </c>
      <c r="AX1028" s="93"/>
      <c r="AY1028" s="93"/>
      <c r="AZ1028" s="93"/>
      <c r="BA1028" s="93"/>
    </row>
    <row r="1029" spans="1:53" s="27" customFormat="1" ht="12" x14ac:dyDescent="0.2">
      <c r="A1029" s="25" t="s">
        <v>1436</v>
      </c>
      <c r="B1029" s="39">
        <v>60413</v>
      </c>
      <c r="C1029" s="42" t="s">
        <v>3664</v>
      </c>
      <c r="D1029" s="26" t="s">
        <v>82</v>
      </c>
      <c r="E1029" s="26" t="s">
        <v>1</v>
      </c>
      <c r="F1029" s="27" t="s">
        <v>480</v>
      </c>
      <c r="G1029" s="27" t="s">
        <v>1453</v>
      </c>
      <c r="N1029" s="8"/>
      <c r="O1029" s="29" t="s">
        <v>1338</v>
      </c>
      <c r="P1029" s="27">
        <v>71</v>
      </c>
      <c r="AA1029" s="27">
        <v>3252</v>
      </c>
      <c r="AB1029" s="28"/>
      <c r="AC1029" s="82"/>
      <c r="AD1029" s="29" t="s">
        <v>1632</v>
      </c>
      <c r="AE1029" s="92" t="str">
        <f t="shared" ref="AE1029:AE1038" si="134">BA1029</f>
        <v>7111,7112</v>
      </c>
      <c r="AF1029" s="29"/>
      <c r="AG1029" s="29"/>
      <c r="AH1029" s="29"/>
      <c r="AQ1029" s="85"/>
      <c r="AR1029" s="27">
        <v>1</v>
      </c>
      <c r="AS1029" s="27">
        <v>1</v>
      </c>
      <c r="AT1029" s="85"/>
      <c r="AU1029" s="29" t="s">
        <v>1939</v>
      </c>
      <c r="AW1029" s="91">
        <v>2</v>
      </c>
      <c r="AX1029" s="93">
        <f>VLOOKUP(AW1029,색인!$N$14:$O$19,2,FALSE)</f>
        <v>1</v>
      </c>
      <c r="AY1029" s="91" t="str">
        <f>"T"&amp;O1029&amp;"_"&amp;AX1029&amp;"옵션_"&amp;VLOOKUP(E1029,색인!$J$25:$K$29,2,FALSE)</f>
        <v>T7_1옵션_방어구</v>
      </c>
      <c r="AZ1029" s="91">
        <f>VLOOKUP(G1029,색인!$J$32:$K$45,2,FALSE)</f>
        <v>4</v>
      </c>
      <c r="BA1029" s="91" t="str">
        <f>_xlfn.IFNA(VLOOKUP(AY1029,표1[[검색용]:[OptionGroupIndex'[']22]],EquipItemTable!AZ1029,FALSE),"옵션고정안함")</f>
        <v>7111,7112</v>
      </c>
    </row>
    <row r="1030" spans="1:53" s="27" customFormat="1" ht="12" x14ac:dyDescent="0.2">
      <c r="A1030" s="25" t="s">
        <v>1437</v>
      </c>
      <c r="B1030" s="39">
        <v>60414</v>
      </c>
      <c r="C1030" s="42" t="s">
        <v>3665</v>
      </c>
      <c r="D1030" s="26" t="s">
        <v>82</v>
      </c>
      <c r="E1030" s="26" t="s">
        <v>1</v>
      </c>
      <c r="F1030" s="27" t="s">
        <v>480</v>
      </c>
      <c r="G1030" s="27" t="s">
        <v>1453</v>
      </c>
      <c r="N1030" s="8"/>
      <c r="O1030" s="29" t="s">
        <v>1338</v>
      </c>
      <c r="P1030" s="27">
        <v>71</v>
      </c>
      <c r="AA1030" s="27">
        <v>3433</v>
      </c>
      <c r="AB1030" s="28"/>
      <c r="AC1030" s="82"/>
      <c r="AD1030" s="29" t="s">
        <v>1632</v>
      </c>
      <c r="AE1030" s="92" t="str">
        <f t="shared" si="134"/>
        <v>7211,7212</v>
      </c>
      <c r="AF1030" s="29"/>
      <c r="AG1030" s="29"/>
      <c r="AH1030" s="29"/>
      <c r="AQ1030" s="85"/>
      <c r="AR1030" s="27">
        <v>1</v>
      </c>
      <c r="AS1030" s="27">
        <v>1</v>
      </c>
      <c r="AT1030" s="85"/>
      <c r="AU1030" s="29" t="s">
        <v>1940</v>
      </c>
      <c r="AW1030" s="91">
        <v>3</v>
      </c>
      <c r="AX1030" s="93">
        <f>VLOOKUP(AW1030,색인!$N$14:$O$19,2,FALSE)</f>
        <v>2</v>
      </c>
      <c r="AY1030" s="91" t="str">
        <f>"T"&amp;O1030&amp;"_"&amp;AX1030&amp;"옵션_"&amp;VLOOKUP(E1030,색인!$J$25:$K$29,2,FALSE)</f>
        <v>T7_2옵션_방어구</v>
      </c>
      <c r="AZ1030" s="91">
        <f>VLOOKUP(G1030,색인!$J$32:$K$45,2,FALSE)</f>
        <v>4</v>
      </c>
      <c r="BA1030" s="91" t="str">
        <f>_xlfn.IFNA(VLOOKUP(AY1030,표1[[검색용]:[OptionGroupIndex'[']22]],EquipItemTable!AZ1030,FALSE),"옵션고정안함")</f>
        <v>7211,7212</v>
      </c>
    </row>
    <row r="1031" spans="1:53" s="27" customFormat="1" ht="12" x14ac:dyDescent="0.2">
      <c r="A1031" s="25" t="s">
        <v>1438</v>
      </c>
      <c r="B1031" s="39">
        <v>60415</v>
      </c>
      <c r="C1031" s="42" t="s">
        <v>3666</v>
      </c>
      <c r="D1031" s="26" t="s">
        <v>82</v>
      </c>
      <c r="E1031" s="26" t="s">
        <v>1</v>
      </c>
      <c r="F1031" s="27" t="s">
        <v>480</v>
      </c>
      <c r="G1031" s="27" t="s">
        <v>1453</v>
      </c>
      <c r="N1031" s="8"/>
      <c r="O1031" s="29" t="s">
        <v>1338</v>
      </c>
      <c r="P1031" s="27">
        <v>71</v>
      </c>
      <c r="AA1031" s="27">
        <v>3753</v>
      </c>
      <c r="AB1031" s="28"/>
      <c r="AC1031" s="82"/>
      <c r="AD1031" s="29" t="s">
        <v>1632</v>
      </c>
      <c r="AE1031" s="92" t="str">
        <f t="shared" si="134"/>
        <v>7311,7312</v>
      </c>
      <c r="AF1031" s="29"/>
      <c r="AG1031" s="29"/>
      <c r="AH1031" s="29"/>
      <c r="AQ1031" s="85"/>
      <c r="AR1031" s="27">
        <v>1</v>
      </c>
      <c r="AS1031" s="27">
        <v>1</v>
      </c>
      <c r="AT1031" s="85"/>
      <c r="AU1031" s="29" t="s">
        <v>1941</v>
      </c>
      <c r="AW1031" s="91">
        <v>4</v>
      </c>
      <c r="AX1031" s="93">
        <f>VLOOKUP(AW1031,색인!$N$14:$O$19,2,FALSE)</f>
        <v>3</v>
      </c>
      <c r="AY1031" s="91" t="str">
        <f>"T"&amp;O1031&amp;"_"&amp;AX1031&amp;"옵션_"&amp;VLOOKUP(E1031,색인!$J$25:$K$29,2,FALSE)</f>
        <v>T7_3옵션_방어구</v>
      </c>
      <c r="AZ1031" s="91">
        <f>VLOOKUP(G1031,색인!$J$32:$K$45,2,FALSE)</f>
        <v>4</v>
      </c>
      <c r="BA1031" s="91" t="str">
        <f>_xlfn.IFNA(VLOOKUP(AY1031,표1[[검색용]:[OptionGroupIndex'[']22]],EquipItemTable!AZ1031,FALSE),"옵션고정안함")</f>
        <v>7311,7312</v>
      </c>
    </row>
    <row r="1032" spans="1:53" s="27" customFormat="1" ht="12" x14ac:dyDescent="0.2">
      <c r="A1032" s="25" t="s">
        <v>1439</v>
      </c>
      <c r="B1032" s="39">
        <v>60416</v>
      </c>
      <c r="C1032" s="42" t="s">
        <v>3655</v>
      </c>
      <c r="D1032" s="26" t="s">
        <v>82</v>
      </c>
      <c r="E1032" s="26" t="s">
        <v>1</v>
      </c>
      <c r="F1032" s="27" t="s">
        <v>480</v>
      </c>
      <c r="G1032" s="27" t="s">
        <v>1453</v>
      </c>
      <c r="N1032" s="8"/>
      <c r="O1032" s="29" t="s">
        <v>1338</v>
      </c>
      <c r="P1032" s="27">
        <v>71</v>
      </c>
      <c r="AA1032" s="27">
        <v>4128</v>
      </c>
      <c r="AB1032" s="28"/>
      <c r="AC1032" s="82"/>
      <c r="AD1032" s="29" t="s">
        <v>1632</v>
      </c>
      <c r="AE1032" s="92" t="str">
        <f t="shared" si="134"/>
        <v>7311,7312</v>
      </c>
      <c r="AF1032" s="29"/>
      <c r="AG1032" s="29"/>
      <c r="AH1032" s="29"/>
      <c r="AN1032" s="27">
        <v>103</v>
      </c>
      <c r="AQ1032" s="85"/>
      <c r="AR1032" s="27">
        <v>1</v>
      </c>
      <c r="AS1032" s="27">
        <v>1</v>
      </c>
      <c r="AT1032" s="85"/>
      <c r="AU1032" s="29" t="s">
        <v>1942</v>
      </c>
      <c r="AW1032" s="91">
        <v>5</v>
      </c>
      <c r="AX1032" s="93">
        <f>VLOOKUP(AW1032,색인!$N$14:$O$19,2,FALSE)</f>
        <v>3</v>
      </c>
      <c r="AY1032" s="91" t="str">
        <f>"T"&amp;O1032&amp;"_"&amp;AX1032&amp;"옵션_"&amp;VLOOKUP(E1032,색인!$J$25:$K$29,2,FALSE)</f>
        <v>T7_3옵션_방어구</v>
      </c>
      <c r="AZ1032" s="91">
        <f>VLOOKUP(G1032,색인!$J$32:$K$45,2,FALSE)</f>
        <v>4</v>
      </c>
      <c r="BA1032" s="91" t="str">
        <f>_xlfn.IFNA(VLOOKUP(AY1032,표1[[검색용]:[OptionGroupIndex'[']22]],EquipItemTable!AZ1032,FALSE),"옵션고정안함")</f>
        <v>7311,7312</v>
      </c>
    </row>
    <row r="1033" spans="1:53" s="27" customFormat="1" ht="12" x14ac:dyDescent="0.2">
      <c r="A1033" s="25" t="s">
        <v>1440</v>
      </c>
      <c r="B1033" s="39">
        <v>60417</v>
      </c>
      <c r="C1033" s="42" t="s">
        <v>3657</v>
      </c>
      <c r="D1033" s="26" t="s">
        <v>82</v>
      </c>
      <c r="E1033" s="26" t="s">
        <v>1</v>
      </c>
      <c r="F1033" s="27" t="s">
        <v>480</v>
      </c>
      <c r="G1033" s="27" t="s">
        <v>1453</v>
      </c>
      <c r="N1033" s="8"/>
      <c r="O1033" s="29" t="s">
        <v>1338</v>
      </c>
      <c r="P1033" s="27">
        <v>71</v>
      </c>
      <c r="AA1033" s="27">
        <v>4128</v>
      </c>
      <c r="AB1033" s="28"/>
      <c r="AC1033" s="82"/>
      <c r="AD1033" s="29" t="s">
        <v>1632</v>
      </c>
      <c r="AE1033" s="92" t="str">
        <f t="shared" si="134"/>
        <v>7311,7312</v>
      </c>
      <c r="AF1033" s="29"/>
      <c r="AG1033" s="29"/>
      <c r="AH1033" s="29"/>
      <c r="AN1033" s="27">
        <v>202</v>
      </c>
      <c r="AQ1033" s="85"/>
      <c r="AR1033" s="27">
        <v>1</v>
      </c>
      <c r="AS1033" s="27">
        <v>1</v>
      </c>
      <c r="AT1033" s="85"/>
      <c r="AU1033" s="29" t="s">
        <v>1942</v>
      </c>
      <c r="AW1033" s="91">
        <v>5</v>
      </c>
      <c r="AX1033" s="93">
        <f>VLOOKUP(AW1033,색인!$N$14:$O$19,2,FALSE)</f>
        <v>3</v>
      </c>
      <c r="AY1033" s="91" t="str">
        <f>"T"&amp;O1033&amp;"_"&amp;AX1033&amp;"옵션_"&amp;VLOOKUP(E1033,색인!$J$25:$K$29,2,FALSE)</f>
        <v>T7_3옵션_방어구</v>
      </c>
      <c r="AZ1033" s="91">
        <f>VLOOKUP(G1033,색인!$J$32:$K$45,2,FALSE)</f>
        <v>4</v>
      </c>
      <c r="BA1033" s="91" t="str">
        <f>_xlfn.IFNA(VLOOKUP(AY1033,표1[[검색용]:[OptionGroupIndex'[']22]],EquipItemTable!AZ1033,FALSE),"옵션고정안함")</f>
        <v>7311,7312</v>
      </c>
    </row>
    <row r="1034" spans="1:53" s="27" customFormat="1" ht="12" x14ac:dyDescent="0.2">
      <c r="A1034" s="25" t="s">
        <v>1441</v>
      </c>
      <c r="B1034" s="39">
        <v>60418</v>
      </c>
      <c r="C1034" s="42" t="s">
        <v>3658</v>
      </c>
      <c r="D1034" s="26" t="s">
        <v>82</v>
      </c>
      <c r="E1034" s="26" t="s">
        <v>1</v>
      </c>
      <c r="F1034" s="27" t="s">
        <v>480</v>
      </c>
      <c r="G1034" s="27" t="s">
        <v>1453</v>
      </c>
      <c r="N1034" s="8"/>
      <c r="O1034" s="29" t="s">
        <v>1338</v>
      </c>
      <c r="P1034" s="27">
        <v>71</v>
      </c>
      <c r="AA1034" s="27">
        <v>4128</v>
      </c>
      <c r="AB1034" s="28"/>
      <c r="AC1034" s="82"/>
      <c r="AD1034" s="29" t="s">
        <v>1632</v>
      </c>
      <c r="AE1034" s="92" t="str">
        <f t="shared" si="134"/>
        <v>7311,7312</v>
      </c>
      <c r="AF1034" s="29"/>
      <c r="AG1034" s="29"/>
      <c r="AH1034" s="29"/>
      <c r="AN1034" s="27">
        <v>203</v>
      </c>
      <c r="AQ1034" s="85"/>
      <c r="AR1034" s="27">
        <v>1</v>
      </c>
      <c r="AS1034" s="27">
        <v>1</v>
      </c>
      <c r="AT1034" s="85"/>
      <c r="AU1034" s="29" t="s">
        <v>1942</v>
      </c>
      <c r="AW1034" s="91">
        <v>5</v>
      </c>
      <c r="AX1034" s="93">
        <f>VLOOKUP(AW1034,색인!$N$14:$O$19,2,FALSE)</f>
        <v>3</v>
      </c>
      <c r="AY1034" s="91" t="str">
        <f>"T"&amp;O1034&amp;"_"&amp;AX1034&amp;"옵션_"&amp;VLOOKUP(E1034,색인!$J$25:$K$29,2,FALSE)</f>
        <v>T7_3옵션_방어구</v>
      </c>
      <c r="AZ1034" s="91">
        <f>VLOOKUP(G1034,색인!$J$32:$K$45,2,FALSE)</f>
        <v>4</v>
      </c>
      <c r="BA1034" s="91" t="str">
        <f>_xlfn.IFNA(VLOOKUP(AY1034,표1[[검색용]:[OptionGroupIndex'[']22]],EquipItemTable!AZ1034,FALSE),"옵션고정안함")</f>
        <v>7311,7312</v>
      </c>
    </row>
    <row r="1035" spans="1:53" s="27" customFormat="1" ht="12" x14ac:dyDescent="0.2">
      <c r="A1035" s="25" t="s">
        <v>1442</v>
      </c>
      <c r="B1035" s="39">
        <v>60419</v>
      </c>
      <c r="C1035" s="42" t="s">
        <v>3659</v>
      </c>
      <c r="D1035" s="26" t="s">
        <v>82</v>
      </c>
      <c r="E1035" s="26" t="s">
        <v>1</v>
      </c>
      <c r="F1035" s="27" t="s">
        <v>480</v>
      </c>
      <c r="G1035" s="27" t="s">
        <v>1453</v>
      </c>
      <c r="N1035" s="8"/>
      <c r="O1035" s="29" t="s">
        <v>1338</v>
      </c>
      <c r="P1035" s="27">
        <v>71</v>
      </c>
      <c r="AA1035" s="27">
        <v>4128</v>
      </c>
      <c r="AB1035" s="28"/>
      <c r="AC1035" s="82"/>
      <c r="AD1035" s="29" t="s">
        <v>1632</v>
      </c>
      <c r="AE1035" s="92" t="str">
        <f t="shared" si="134"/>
        <v>7311,7312</v>
      </c>
      <c r="AF1035" s="29"/>
      <c r="AG1035" s="29"/>
      <c r="AH1035" s="29"/>
      <c r="AN1035" s="27">
        <v>204</v>
      </c>
      <c r="AQ1035" s="85"/>
      <c r="AR1035" s="27">
        <v>1</v>
      </c>
      <c r="AS1035" s="27">
        <v>1</v>
      </c>
      <c r="AT1035" s="85"/>
      <c r="AU1035" s="29" t="s">
        <v>1942</v>
      </c>
      <c r="AW1035" s="91">
        <v>5</v>
      </c>
      <c r="AX1035" s="93">
        <f>VLOOKUP(AW1035,색인!$N$14:$O$19,2,FALSE)</f>
        <v>3</v>
      </c>
      <c r="AY1035" s="91" t="str">
        <f>"T"&amp;O1035&amp;"_"&amp;AX1035&amp;"옵션_"&amp;VLOOKUP(E1035,색인!$J$25:$K$29,2,FALSE)</f>
        <v>T7_3옵션_방어구</v>
      </c>
      <c r="AZ1035" s="91">
        <f>VLOOKUP(G1035,색인!$J$32:$K$45,2,FALSE)</f>
        <v>4</v>
      </c>
      <c r="BA1035" s="91" t="str">
        <f>_xlfn.IFNA(VLOOKUP(AY1035,표1[[검색용]:[OptionGroupIndex'[']22]],EquipItemTable!AZ1035,FALSE),"옵션고정안함")</f>
        <v>7311,7312</v>
      </c>
    </row>
    <row r="1036" spans="1:53" s="27" customFormat="1" ht="12" x14ac:dyDescent="0.2">
      <c r="A1036" s="25" t="s">
        <v>1443</v>
      </c>
      <c r="B1036" s="39">
        <v>60420</v>
      </c>
      <c r="C1036" s="42" t="s">
        <v>3660</v>
      </c>
      <c r="D1036" s="26" t="s">
        <v>82</v>
      </c>
      <c r="E1036" s="26" t="s">
        <v>1</v>
      </c>
      <c r="F1036" s="27" t="s">
        <v>480</v>
      </c>
      <c r="G1036" s="27" t="s">
        <v>1453</v>
      </c>
      <c r="J1036" s="1"/>
      <c r="K1036" s="1"/>
      <c r="L1036" s="1"/>
      <c r="M1036" s="1"/>
      <c r="N1036" s="8"/>
      <c r="O1036" s="29" t="s">
        <v>1338</v>
      </c>
      <c r="P1036" s="27">
        <v>71</v>
      </c>
      <c r="AA1036" s="27">
        <v>4128</v>
      </c>
      <c r="AB1036" s="28"/>
      <c r="AC1036" s="82"/>
      <c r="AD1036" s="29" t="s">
        <v>1632</v>
      </c>
      <c r="AE1036" s="92" t="str">
        <f t="shared" si="134"/>
        <v>7311,7312</v>
      </c>
      <c r="AF1036" s="29"/>
      <c r="AG1036" s="12"/>
      <c r="AH1036" s="12"/>
      <c r="AN1036" s="27">
        <v>205</v>
      </c>
      <c r="AQ1036" s="85"/>
      <c r="AR1036" s="27">
        <v>1</v>
      </c>
      <c r="AS1036" s="27">
        <v>1</v>
      </c>
      <c r="AT1036" s="85"/>
      <c r="AU1036" s="29" t="s">
        <v>1942</v>
      </c>
      <c r="AW1036" s="91">
        <v>5</v>
      </c>
      <c r="AX1036" s="93">
        <f>VLOOKUP(AW1036,색인!$N$14:$O$19,2,FALSE)</f>
        <v>3</v>
      </c>
      <c r="AY1036" s="91" t="str">
        <f>"T"&amp;O1036&amp;"_"&amp;AX1036&amp;"옵션_"&amp;VLOOKUP(E1036,색인!$J$25:$K$29,2,FALSE)</f>
        <v>T7_3옵션_방어구</v>
      </c>
      <c r="AZ1036" s="91">
        <f>VLOOKUP(G1036,색인!$J$32:$K$45,2,FALSE)</f>
        <v>4</v>
      </c>
      <c r="BA1036" s="91" t="str">
        <f>_xlfn.IFNA(VLOOKUP(AY1036,표1[[검색용]:[OptionGroupIndex'[']22]],EquipItemTable!AZ1036,FALSE),"옵션고정안함")</f>
        <v>7311,7312</v>
      </c>
    </row>
    <row r="1037" spans="1:53" s="27" customFormat="1" ht="12" x14ac:dyDescent="0.2">
      <c r="A1037" s="25" t="s">
        <v>1444</v>
      </c>
      <c r="B1037" s="39">
        <v>60421</v>
      </c>
      <c r="C1037" s="42" t="s">
        <v>3667</v>
      </c>
      <c r="D1037" s="26" t="s">
        <v>82</v>
      </c>
      <c r="E1037" s="26" t="s">
        <v>1</v>
      </c>
      <c r="F1037" s="27" t="s">
        <v>480</v>
      </c>
      <c r="G1037" s="27" t="s">
        <v>1453</v>
      </c>
      <c r="J1037" s="1"/>
      <c r="K1037" s="1"/>
      <c r="L1037" s="1"/>
      <c r="M1037" s="1"/>
      <c r="N1037" s="8"/>
      <c r="O1037" s="29" t="s">
        <v>1338</v>
      </c>
      <c r="P1037" s="27">
        <v>71</v>
      </c>
      <c r="AA1037" s="27">
        <v>4128</v>
      </c>
      <c r="AB1037" s="28"/>
      <c r="AC1037" s="82"/>
      <c r="AD1037" s="29" t="s">
        <v>1632</v>
      </c>
      <c r="AE1037" s="92" t="str">
        <f t="shared" si="134"/>
        <v>7311,7312</v>
      </c>
      <c r="AF1037" s="29"/>
      <c r="AG1037" s="12"/>
      <c r="AH1037" s="12"/>
      <c r="AN1037" s="27">
        <v>206</v>
      </c>
      <c r="AQ1037" s="85"/>
      <c r="AR1037" s="27">
        <v>1</v>
      </c>
      <c r="AS1037" s="27">
        <v>1</v>
      </c>
      <c r="AT1037" s="85"/>
      <c r="AU1037" s="29" t="s">
        <v>1942</v>
      </c>
      <c r="AW1037" s="91">
        <v>5</v>
      </c>
      <c r="AX1037" s="93">
        <f>VLOOKUP(AW1037,색인!$N$14:$O$19,2,FALSE)</f>
        <v>3</v>
      </c>
      <c r="AY1037" s="91" t="str">
        <f>"T"&amp;O1037&amp;"_"&amp;AX1037&amp;"옵션_"&amp;VLOOKUP(E1037,색인!$J$25:$K$29,2,FALSE)</f>
        <v>T7_3옵션_방어구</v>
      </c>
      <c r="AZ1037" s="91">
        <f>VLOOKUP(G1037,색인!$J$32:$K$45,2,FALSE)</f>
        <v>4</v>
      </c>
      <c r="BA1037" s="91" t="str">
        <f>_xlfn.IFNA(VLOOKUP(AY1037,표1[[검색용]:[OptionGroupIndex'[']22]],EquipItemTable!AZ1037,FALSE),"옵션고정안함")</f>
        <v>7311,7312</v>
      </c>
    </row>
    <row r="1038" spans="1:53" s="27" customFormat="1" ht="12" x14ac:dyDescent="0.2">
      <c r="A1038" s="25" t="s">
        <v>1445</v>
      </c>
      <c r="B1038" s="39">
        <v>60422</v>
      </c>
      <c r="C1038" s="42" t="s">
        <v>3668</v>
      </c>
      <c r="D1038" s="26" t="s">
        <v>82</v>
      </c>
      <c r="E1038" s="26" t="s">
        <v>1</v>
      </c>
      <c r="F1038" s="27" t="s">
        <v>480</v>
      </c>
      <c r="G1038" s="27" t="s">
        <v>1453</v>
      </c>
      <c r="J1038" s="1"/>
      <c r="K1038" s="1"/>
      <c r="L1038" s="1"/>
      <c r="M1038" s="1"/>
      <c r="N1038" s="8"/>
      <c r="O1038" s="29" t="s">
        <v>1338</v>
      </c>
      <c r="P1038" s="27">
        <v>71</v>
      </c>
      <c r="AA1038" s="27">
        <v>4128</v>
      </c>
      <c r="AB1038" s="28"/>
      <c r="AC1038" s="82"/>
      <c r="AD1038" s="29" t="s">
        <v>1632</v>
      </c>
      <c r="AE1038" s="92" t="str">
        <f t="shared" si="134"/>
        <v>7311,7312</v>
      </c>
      <c r="AF1038" s="29"/>
      <c r="AG1038" s="12"/>
      <c r="AH1038" s="12"/>
      <c r="AN1038" s="27">
        <v>207</v>
      </c>
      <c r="AQ1038" s="85"/>
      <c r="AR1038" s="27">
        <v>1</v>
      </c>
      <c r="AS1038" s="27">
        <v>1</v>
      </c>
      <c r="AT1038" s="85"/>
      <c r="AU1038" s="29" t="s">
        <v>1942</v>
      </c>
      <c r="AW1038" s="91">
        <v>5</v>
      </c>
      <c r="AX1038" s="93">
        <f>VLOOKUP(AW1038,색인!$N$14:$O$19,2,FALSE)</f>
        <v>3</v>
      </c>
      <c r="AY1038" s="91" t="str">
        <f>"T"&amp;O1038&amp;"_"&amp;AX1038&amp;"옵션_"&amp;VLOOKUP(E1038,색인!$J$25:$K$29,2,FALSE)</f>
        <v>T7_3옵션_방어구</v>
      </c>
      <c r="AZ1038" s="91">
        <f>VLOOKUP(G1038,색인!$J$32:$K$45,2,FALSE)</f>
        <v>4</v>
      </c>
      <c r="BA1038" s="91" t="str">
        <f>_xlfn.IFNA(VLOOKUP(AY1038,표1[[검색용]:[OptionGroupIndex'[']22]],EquipItemTable!AZ1038,FALSE),"옵션고정안함")</f>
        <v>7311,7312</v>
      </c>
    </row>
    <row r="1039" spans="1:53" s="27" customFormat="1" ht="12" x14ac:dyDescent="0.2">
      <c r="A1039" s="25" t="s">
        <v>1446</v>
      </c>
      <c r="B1039" s="39">
        <v>60423</v>
      </c>
      <c r="C1039" s="42" t="s">
        <v>3639</v>
      </c>
      <c r="D1039" s="26" t="s">
        <v>82</v>
      </c>
      <c r="E1039" s="26" t="s">
        <v>1</v>
      </c>
      <c r="F1039" s="27" t="s">
        <v>480</v>
      </c>
      <c r="G1039" s="27" t="s">
        <v>1453</v>
      </c>
      <c r="J1039" s="1"/>
      <c r="K1039" s="1"/>
      <c r="L1039" s="1"/>
      <c r="M1039" s="1"/>
      <c r="N1039" s="8"/>
      <c r="O1039" s="29" t="s">
        <v>1338</v>
      </c>
      <c r="P1039" s="27">
        <v>71</v>
      </c>
      <c r="AA1039" s="27">
        <v>4258</v>
      </c>
      <c r="AB1039" s="28"/>
      <c r="AC1039" s="82"/>
      <c r="AD1039" s="29" t="s">
        <v>1632</v>
      </c>
      <c r="AE1039" s="92" t="str">
        <f>BA1039</f>
        <v>7411,7412</v>
      </c>
      <c r="AF1039" s="29" t="s">
        <v>2185</v>
      </c>
      <c r="AG1039" s="12"/>
      <c r="AH1039" s="12"/>
      <c r="AN1039" s="27">
        <v>1</v>
      </c>
      <c r="AQ1039" s="85"/>
      <c r="AR1039" s="27">
        <v>1</v>
      </c>
      <c r="AS1039" s="27">
        <v>1</v>
      </c>
      <c r="AT1039" s="85"/>
      <c r="AU1039" s="12" t="s">
        <v>1936</v>
      </c>
      <c r="AW1039" s="91">
        <v>6</v>
      </c>
      <c r="AX1039" s="93">
        <f>VLOOKUP(AW1039,색인!$N$14:$O$19,2,FALSE)</f>
        <v>4</v>
      </c>
      <c r="AY1039" s="93" t="str">
        <f>"T"&amp;O1039&amp;"_"&amp;AX1039&amp;"옵션_"&amp;VLOOKUP(E1039,색인!$J$25:$K$29,2,FALSE)</f>
        <v>T7_4옵션_방어구</v>
      </c>
      <c r="AZ1039" s="93">
        <f>VLOOKUP(G1039,색인!$J$32:$K$45,2,FALSE)</f>
        <v>4</v>
      </c>
      <c r="BA1039" s="93" t="str">
        <f>_xlfn.IFNA(VLOOKUP(AY1039,표1[[검색용]:[OptionGroupIndex'[']22]],EquipItemTable!AZ1039,FALSE),"옵션고정안함")</f>
        <v>7411,7412</v>
      </c>
    </row>
    <row r="1040" spans="1:53" s="27" customFormat="1" ht="12" x14ac:dyDescent="0.2">
      <c r="A1040" s="25" t="s">
        <v>1447</v>
      </c>
      <c r="B1040" s="39">
        <v>60424</v>
      </c>
      <c r="C1040" s="42" t="s">
        <v>3640</v>
      </c>
      <c r="D1040" s="26" t="s">
        <v>82</v>
      </c>
      <c r="E1040" s="26" t="s">
        <v>1</v>
      </c>
      <c r="F1040" s="27" t="s">
        <v>480</v>
      </c>
      <c r="G1040" s="27" t="s">
        <v>1453</v>
      </c>
      <c r="J1040" s="1"/>
      <c r="K1040" s="1"/>
      <c r="L1040" s="1"/>
      <c r="M1040" s="1"/>
      <c r="N1040" s="8"/>
      <c r="O1040" s="29" t="s">
        <v>1338</v>
      </c>
      <c r="P1040" s="27">
        <v>71</v>
      </c>
      <c r="AA1040" s="27">
        <v>4258</v>
      </c>
      <c r="AB1040" s="28"/>
      <c r="AC1040" s="82"/>
      <c r="AD1040" s="29" t="s">
        <v>1632</v>
      </c>
      <c r="AE1040" s="92" t="str">
        <f>BA1040</f>
        <v>7411,7412</v>
      </c>
      <c r="AF1040" s="29" t="s">
        <v>2185</v>
      </c>
      <c r="AG1040" s="12"/>
      <c r="AH1040" s="12"/>
      <c r="AN1040" s="27">
        <v>2</v>
      </c>
      <c r="AQ1040" s="85"/>
      <c r="AR1040" s="27">
        <v>1</v>
      </c>
      <c r="AS1040" s="27">
        <v>1</v>
      </c>
      <c r="AT1040" s="85"/>
      <c r="AU1040" s="12" t="s">
        <v>1936</v>
      </c>
      <c r="AW1040" s="91">
        <v>6</v>
      </c>
      <c r="AX1040" s="93">
        <f>VLOOKUP(AW1040,색인!$N$14:$O$19,2,FALSE)</f>
        <v>4</v>
      </c>
      <c r="AY1040" s="93" t="str">
        <f>"T"&amp;O1040&amp;"_"&amp;AX1040&amp;"옵션_"&amp;VLOOKUP(E1040,색인!$J$25:$K$29,2,FALSE)</f>
        <v>T7_4옵션_방어구</v>
      </c>
      <c r="AZ1040" s="93">
        <f>VLOOKUP(G1040,색인!$J$32:$K$45,2,FALSE)</f>
        <v>4</v>
      </c>
      <c r="BA1040" s="93" t="str">
        <f>_xlfn.IFNA(VLOOKUP(AY1040,표1[[검색용]:[OptionGroupIndex'[']22]],EquipItemTable!AZ1040,FALSE),"옵션고정안함")</f>
        <v>7411,7412</v>
      </c>
    </row>
    <row r="1041" spans="1:53" s="27" customFormat="1" ht="12" x14ac:dyDescent="0.2">
      <c r="A1041" s="25" t="s">
        <v>1448</v>
      </c>
      <c r="B1041" s="39">
        <v>60425</v>
      </c>
      <c r="C1041" s="42" t="s">
        <v>3641</v>
      </c>
      <c r="D1041" s="26" t="s">
        <v>82</v>
      </c>
      <c r="E1041" s="26" t="s">
        <v>1</v>
      </c>
      <c r="F1041" s="27" t="s">
        <v>480</v>
      </c>
      <c r="G1041" s="27" t="s">
        <v>1453</v>
      </c>
      <c r="J1041" s="1"/>
      <c r="K1041" s="1"/>
      <c r="L1041" s="1"/>
      <c r="M1041" s="1"/>
      <c r="N1041" s="8"/>
      <c r="O1041" s="29" t="s">
        <v>1338</v>
      </c>
      <c r="P1041" s="27">
        <v>71</v>
      </c>
      <c r="AA1041" s="27">
        <v>4258</v>
      </c>
      <c r="AB1041" s="28"/>
      <c r="AC1041" s="82"/>
      <c r="AD1041" s="29" t="s">
        <v>1632</v>
      </c>
      <c r="AE1041" s="92" t="str">
        <f>BA1041</f>
        <v>7411,7412</v>
      </c>
      <c r="AF1041" s="29" t="s">
        <v>2185</v>
      </c>
      <c r="AG1041" s="12"/>
      <c r="AH1041" s="12"/>
      <c r="AN1041" s="27">
        <v>3</v>
      </c>
      <c r="AQ1041" s="85"/>
      <c r="AR1041" s="27">
        <v>1</v>
      </c>
      <c r="AS1041" s="27">
        <v>1</v>
      </c>
      <c r="AT1041" s="85"/>
      <c r="AU1041" s="12" t="s">
        <v>1936</v>
      </c>
      <c r="AW1041" s="91">
        <v>6</v>
      </c>
      <c r="AX1041" s="93">
        <f>VLOOKUP(AW1041,색인!$N$14:$O$19,2,FALSE)</f>
        <v>4</v>
      </c>
      <c r="AY1041" s="93" t="str">
        <f>"T"&amp;O1041&amp;"_"&amp;AX1041&amp;"옵션_"&amp;VLOOKUP(E1041,색인!$J$25:$K$29,2,FALSE)</f>
        <v>T7_4옵션_방어구</v>
      </c>
      <c r="AZ1041" s="93">
        <f>VLOOKUP(G1041,색인!$J$32:$K$45,2,FALSE)</f>
        <v>4</v>
      </c>
      <c r="BA1041" s="93" t="str">
        <f>_xlfn.IFNA(VLOOKUP(AY1041,표1[[검색용]:[OptionGroupIndex'[']22]],EquipItemTable!AZ1041,FALSE),"옵션고정안함")</f>
        <v>7411,7412</v>
      </c>
    </row>
    <row r="1042" spans="1:53" s="27" customFormat="1" ht="12" x14ac:dyDescent="0.2">
      <c r="A1042" s="25" t="s">
        <v>1449</v>
      </c>
      <c r="B1042" s="39">
        <v>60426</v>
      </c>
      <c r="C1042" s="42" t="s">
        <v>3642</v>
      </c>
      <c r="D1042" s="26" t="s">
        <v>82</v>
      </c>
      <c r="E1042" s="26" t="s">
        <v>1</v>
      </c>
      <c r="F1042" s="27" t="s">
        <v>480</v>
      </c>
      <c r="G1042" s="27" t="s">
        <v>1453</v>
      </c>
      <c r="J1042" s="1"/>
      <c r="K1042" s="1"/>
      <c r="L1042" s="1"/>
      <c r="M1042" s="1"/>
      <c r="N1042" s="8"/>
      <c r="O1042" s="29" t="s">
        <v>1338</v>
      </c>
      <c r="P1042" s="27">
        <v>71</v>
      </c>
      <c r="AA1042" s="27">
        <v>4258</v>
      </c>
      <c r="AB1042" s="28"/>
      <c r="AC1042" s="82"/>
      <c r="AD1042" s="29" t="s">
        <v>1632</v>
      </c>
      <c r="AE1042" s="92" t="str">
        <f>BA1042</f>
        <v>7411,7412</v>
      </c>
      <c r="AF1042" s="29" t="s">
        <v>2185</v>
      </c>
      <c r="AG1042" s="12"/>
      <c r="AH1042" s="12"/>
      <c r="AN1042" s="27">
        <v>4</v>
      </c>
      <c r="AQ1042" s="85"/>
      <c r="AR1042" s="27">
        <v>1</v>
      </c>
      <c r="AS1042" s="27">
        <v>1</v>
      </c>
      <c r="AT1042" s="85"/>
      <c r="AU1042" s="12" t="s">
        <v>1936</v>
      </c>
      <c r="AW1042" s="91">
        <v>6</v>
      </c>
      <c r="AX1042" s="93">
        <f>VLOOKUP(AW1042,색인!$N$14:$O$19,2,FALSE)</f>
        <v>4</v>
      </c>
      <c r="AY1042" s="93" t="str">
        <f>"T"&amp;O1042&amp;"_"&amp;AX1042&amp;"옵션_"&amp;VLOOKUP(E1042,색인!$J$25:$K$29,2,FALSE)</f>
        <v>T7_4옵션_방어구</v>
      </c>
      <c r="AZ1042" s="93">
        <f>VLOOKUP(G1042,색인!$J$32:$K$45,2,FALSE)</f>
        <v>4</v>
      </c>
      <c r="BA1042" s="93" t="str">
        <f>_xlfn.IFNA(VLOOKUP(AY1042,표1[[검색용]:[OptionGroupIndex'[']22]],EquipItemTable!AZ1042,FALSE),"옵션고정안함")</f>
        <v>7411,7412</v>
      </c>
    </row>
    <row r="1043" spans="1:53" s="27" customFormat="1" ht="12" x14ac:dyDescent="0.2">
      <c r="A1043" s="30" t="s">
        <v>1450</v>
      </c>
      <c r="B1043" s="39">
        <v>60605</v>
      </c>
      <c r="C1043" s="42" t="e">
        <v>#N/A</v>
      </c>
      <c r="D1043" s="26" t="s">
        <v>82</v>
      </c>
      <c r="E1043" s="26" t="s">
        <v>1</v>
      </c>
      <c r="F1043" s="27" t="s">
        <v>480</v>
      </c>
      <c r="G1043" s="27" t="s">
        <v>1453</v>
      </c>
      <c r="J1043" s="1"/>
      <c r="K1043" s="1"/>
      <c r="L1043" s="1"/>
      <c r="M1043" s="1"/>
      <c r="N1043" s="8"/>
      <c r="O1043" s="29" t="s">
        <v>1338</v>
      </c>
      <c r="P1043" s="27">
        <v>71</v>
      </c>
      <c r="AA1043" s="27">
        <v>4258</v>
      </c>
      <c r="AB1043" s="28"/>
      <c r="AC1043" s="82"/>
      <c r="AD1043" s="29" t="s">
        <v>1632</v>
      </c>
      <c r="AE1043" s="29" t="s">
        <v>1337</v>
      </c>
      <c r="AF1043" s="29"/>
      <c r="AG1043" s="12"/>
      <c r="AH1043" s="12"/>
      <c r="AQ1043" s="85"/>
      <c r="AR1043" s="27">
        <v>1</v>
      </c>
      <c r="AS1043" s="27">
        <v>1</v>
      </c>
      <c r="AT1043" s="85"/>
      <c r="AU1043" s="29" t="s">
        <v>1944</v>
      </c>
      <c r="AW1043" s="91">
        <v>7</v>
      </c>
      <c r="AX1043" s="93"/>
      <c r="AY1043" s="93"/>
      <c r="AZ1043" s="93"/>
      <c r="BA1043" s="93"/>
    </row>
    <row r="1044" spans="1:53" s="27" customFormat="1" ht="12" x14ac:dyDescent="0.2">
      <c r="A1044" s="25" t="s">
        <v>1451</v>
      </c>
      <c r="B1044" s="39">
        <v>360003</v>
      </c>
      <c r="C1044" s="42" t="s">
        <v>3661</v>
      </c>
      <c r="D1044" s="26" t="s">
        <v>82</v>
      </c>
      <c r="E1044" s="26" t="s">
        <v>1</v>
      </c>
      <c r="F1044" s="27" t="s">
        <v>480</v>
      </c>
      <c r="G1044" s="27" t="s">
        <v>1453</v>
      </c>
      <c r="J1044" s="1"/>
      <c r="K1044" s="1"/>
      <c r="L1044" s="1"/>
      <c r="M1044" s="1"/>
      <c r="N1044" s="8"/>
      <c r="O1044" s="29" t="s">
        <v>1338</v>
      </c>
      <c r="P1044" s="27">
        <v>71</v>
      </c>
      <c r="AA1044" s="27">
        <v>4128</v>
      </c>
      <c r="AB1044" s="28"/>
      <c r="AC1044" s="82"/>
      <c r="AD1044" s="29" t="s">
        <v>1632</v>
      </c>
      <c r="AE1044" s="92" t="str">
        <f>BA1044</f>
        <v>7311,7312</v>
      </c>
      <c r="AF1044" s="29"/>
      <c r="AG1044" s="23"/>
      <c r="AH1044" s="23"/>
      <c r="AN1044" s="27">
        <v>101</v>
      </c>
      <c r="AQ1044" s="85"/>
      <c r="AR1044" s="27">
        <v>1</v>
      </c>
      <c r="AS1044" s="27">
        <v>1</v>
      </c>
      <c r="AT1044" s="85"/>
      <c r="AU1044" s="29" t="s">
        <v>1942</v>
      </c>
      <c r="AW1044" s="91">
        <v>5</v>
      </c>
      <c r="AX1044" s="93">
        <f>VLOOKUP(AW1044,색인!$N$14:$O$19,2,FALSE)</f>
        <v>3</v>
      </c>
      <c r="AY1044" s="91" t="str">
        <f>"T"&amp;O1044&amp;"_"&amp;AX1044&amp;"옵션_"&amp;VLOOKUP(E1044,색인!$J$25:$K$29,2,FALSE)</f>
        <v>T7_3옵션_방어구</v>
      </c>
      <c r="AZ1044" s="91">
        <f>VLOOKUP(G1044,색인!$J$32:$K$45,2,FALSE)</f>
        <v>4</v>
      </c>
      <c r="BA1044" s="91" t="str">
        <f>_xlfn.IFNA(VLOOKUP(AY1044,표1[[검색용]:[OptionGroupIndex'[']22]],EquipItemTable!AZ1044,FALSE),"옵션고정안함")</f>
        <v>7311,7312</v>
      </c>
    </row>
    <row r="1045" spans="1:53" s="27" customFormat="1" ht="12" x14ac:dyDescent="0.2">
      <c r="A1045" s="25" t="s">
        <v>1452</v>
      </c>
      <c r="B1045" s="39">
        <v>360004</v>
      </c>
      <c r="C1045" s="42" t="s">
        <v>3662</v>
      </c>
      <c r="D1045" s="26" t="s">
        <v>82</v>
      </c>
      <c r="E1045" s="26" t="s">
        <v>1</v>
      </c>
      <c r="F1045" s="27" t="s">
        <v>480</v>
      </c>
      <c r="G1045" s="27" t="s">
        <v>1453</v>
      </c>
      <c r="J1045" s="1"/>
      <c r="K1045" s="1"/>
      <c r="L1045" s="1"/>
      <c r="M1045" s="1"/>
      <c r="N1045" s="8"/>
      <c r="O1045" s="29" t="s">
        <v>1338</v>
      </c>
      <c r="P1045" s="27">
        <v>71</v>
      </c>
      <c r="AA1045" s="27">
        <v>4258</v>
      </c>
      <c r="AB1045" s="28"/>
      <c r="AC1045" s="82"/>
      <c r="AD1045" s="29" t="s">
        <v>1632</v>
      </c>
      <c r="AE1045" s="92" t="s">
        <v>2190</v>
      </c>
      <c r="AF1045" s="29" t="s">
        <v>2185</v>
      </c>
      <c r="AG1045" s="23"/>
      <c r="AH1045" s="23"/>
      <c r="AN1045" s="27">
        <v>102</v>
      </c>
      <c r="AQ1045" s="85"/>
      <c r="AR1045" s="27">
        <v>1</v>
      </c>
      <c r="AS1045" s="27">
        <v>1</v>
      </c>
      <c r="AT1045" s="85"/>
      <c r="AU1045" s="29" t="s">
        <v>1943</v>
      </c>
      <c r="AW1045" s="91">
        <v>6</v>
      </c>
      <c r="AX1045" s="93">
        <f>VLOOKUP(AW1045,색인!$N$14:$O$19,2,FALSE)</f>
        <v>4</v>
      </c>
      <c r="AY1045" s="93" t="str">
        <f>"T"&amp;O1045&amp;"_"&amp;AX1045&amp;"옵션_"&amp;VLOOKUP(E1045,색인!$J$25:$K$29,2,FALSE)</f>
        <v>T7_4옵션_방어구</v>
      </c>
      <c r="AZ1045" s="93">
        <f>VLOOKUP(G1045,색인!$J$32:$K$45,2,FALSE)</f>
        <v>4</v>
      </c>
      <c r="BA1045" s="93" t="str">
        <f>_xlfn.IFNA(VLOOKUP(AY1045,표1[[검색용]:[OptionGroupIndex'[']22]],EquipItemTable!AZ1045,FALSE),"옵션고정안함")</f>
        <v>7411,7412</v>
      </c>
    </row>
    <row r="1046" spans="1:53" ht="12" customHeight="1" x14ac:dyDescent="0.2">
      <c r="A1046" s="13" t="s">
        <v>182</v>
      </c>
      <c r="B1046" s="39">
        <v>61001</v>
      </c>
      <c r="C1046" s="42" t="s">
        <v>11</v>
      </c>
      <c r="D1046" s="10" t="s">
        <v>2964</v>
      </c>
      <c r="E1046" s="10" t="s">
        <v>479</v>
      </c>
      <c r="F1046" s="1" t="s">
        <v>488</v>
      </c>
      <c r="G1046" s="1" t="s">
        <v>1312</v>
      </c>
      <c r="H1046" s="1"/>
      <c r="I1046" s="1"/>
      <c r="J1046" s="1"/>
      <c r="K1046" s="1"/>
      <c r="L1046" s="1"/>
      <c r="M1046" s="1"/>
      <c r="O1046" s="12" t="s">
        <v>94</v>
      </c>
      <c r="P1046" s="1">
        <v>1</v>
      </c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>
        <v>30</v>
      </c>
      <c r="AB1046" s="11"/>
      <c r="AC1046" s="82"/>
      <c r="AD1046" s="12" t="s">
        <v>52</v>
      </c>
      <c r="AE1046" s="12" t="s">
        <v>94</v>
      </c>
      <c r="AG1046" s="23"/>
      <c r="AH1046" s="23"/>
      <c r="AN1046" s="12"/>
      <c r="AU1046" s="12" t="s">
        <v>1932</v>
      </c>
      <c r="AV1046" s="13" t="s">
        <v>11</v>
      </c>
      <c r="AW1046" s="39">
        <v>1</v>
      </c>
      <c r="AY1046" s="32"/>
      <c r="AZ1046" s="32"/>
      <c r="BA1046" s="32"/>
    </row>
    <row r="1047" spans="1:53" ht="12" customHeight="1" x14ac:dyDescent="0.2">
      <c r="A1047" s="13" t="s">
        <v>183</v>
      </c>
      <c r="B1047" s="39">
        <v>61002</v>
      </c>
      <c r="C1047" s="42" t="s">
        <v>3669</v>
      </c>
      <c r="D1047" s="10" t="s">
        <v>83</v>
      </c>
      <c r="E1047" s="10" t="s">
        <v>1</v>
      </c>
      <c r="F1047" s="1" t="s">
        <v>311</v>
      </c>
      <c r="G1047" s="1" t="s">
        <v>1312</v>
      </c>
      <c r="H1047" s="1"/>
      <c r="I1047" s="1"/>
      <c r="J1047" s="1"/>
      <c r="K1047" s="1"/>
      <c r="L1047" s="1"/>
      <c r="M1047" s="1"/>
      <c r="O1047" s="12" t="s">
        <v>94</v>
      </c>
      <c r="P1047" s="1">
        <v>1</v>
      </c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>
        <v>42</v>
      </c>
      <c r="AB1047" s="11"/>
      <c r="AC1047" s="82"/>
      <c r="AD1047" s="12" t="s">
        <v>52</v>
      </c>
      <c r="AE1047" s="39" t="str">
        <f t="shared" ref="AE1047:AE1049" si="135">BA1047</f>
        <v>1111</v>
      </c>
      <c r="AG1047" s="23"/>
      <c r="AH1047" s="23"/>
      <c r="AN1047" s="12"/>
      <c r="AU1047" s="12" t="s">
        <v>1933</v>
      </c>
      <c r="AV1047" s="13" t="s">
        <v>12</v>
      </c>
      <c r="AW1047" s="39">
        <v>2</v>
      </c>
      <c r="AX1047" s="12">
        <f>VLOOKUP(AW1047,색인!$N$14:$O$19,2,FALSE)</f>
        <v>1</v>
      </c>
      <c r="AY1047" s="39" t="str">
        <f>"T"&amp;O1047&amp;"_"&amp;AX1047&amp;"옵션_"&amp;VLOOKUP(E1047,색인!$J$25:$K$29,2,FALSE)</f>
        <v>T1_1옵션_방어구</v>
      </c>
      <c r="AZ1047" s="39">
        <f>VLOOKUP(G1047,색인!$J$32:$K$45,2,FALSE)</f>
        <v>2</v>
      </c>
      <c r="BA1047" s="39" t="str">
        <f>_xlfn.IFNA(VLOOKUP(AY1047,표1[[검색용]:[OptionGroupIndex'[']22]],EquipItemTable!AZ1047,FALSE),"옵션고정안함")</f>
        <v>1111</v>
      </c>
    </row>
    <row r="1048" spans="1:53" ht="12" customHeight="1" x14ac:dyDescent="0.2">
      <c r="A1048" s="13" t="s">
        <v>548</v>
      </c>
      <c r="B1048" s="39">
        <v>61003</v>
      </c>
      <c r="C1048" s="42" t="s">
        <v>3670</v>
      </c>
      <c r="D1048" s="10" t="s">
        <v>83</v>
      </c>
      <c r="E1048" s="10" t="s">
        <v>1</v>
      </c>
      <c r="F1048" s="1" t="s">
        <v>311</v>
      </c>
      <c r="G1048" s="1" t="s">
        <v>1312</v>
      </c>
      <c r="H1048" s="1"/>
      <c r="I1048" s="1"/>
      <c r="J1048" s="1"/>
      <c r="K1048" s="1"/>
      <c r="L1048" s="1"/>
      <c r="M1048" s="1"/>
      <c r="O1048" s="12" t="s">
        <v>94</v>
      </c>
      <c r="P1048" s="1">
        <v>1</v>
      </c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>
        <v>54</v>
      </c>
      <c r="AB1048" s="11"/>
      <c r="AC1048" s="82"/>
      <c r="AD1048" s="12" t="s">
        <v>52</v>
      </c>
      <c r="AE1048" s="39" t="str">
        <f t="shared" si="135"/>
        <v>1211</v>
      </c>
      <c r="AG1048" s="23"/>
      <c r="AH1048" s="23"/>
      <c r="AN1048" s="12"/>
      <c r="AR1048" s="34" t="s">
        <v>94</v>
      </c>
      <c r="AS1048" s="34" t="s">
        <v>94</v>
      </c>
      <c r="AU1048" s="12" t="s">
        <v>1934</v>
      </c>
      <c r="AV1048" s="13" t="s">
        <v>13</v>
      </c>
      <c r="AW1048" s="39">
        <v>3</v>
      </c>
      <c r="AX1048" s="12">
        <f>VLOOKUP(AW1048,색인!$N$14:$O$19,2,FALSE)</f>
        <v>2</v>
      </c>
      <c r="AY1048" s="39" t="str">
        <f>"T"&amp;O1048&amp;"_"&amp;AX1048&amp;"옵션_"&amp;VLOOKUP(E1048,색인!$J$25:$K$29,2,FALSE)</f>
        <v>T1_2옵션_방어구</v>
      </c>
      <c r="AZ1048" s="39">
        <f>VLOOKUP(G1048,색인!$J$32:$K$45,2,FALSE)</f>
        <v>2</v>
      </c>
      <c r="BA1048" s="39" t="str">
        <f>_xlfn.IFNA(VLOOKUP(AY1048,표1[[검색용]:[OptionGroupIndex'[']22]],EquipItemTable!AZ1048,FALSE),"옵션고정안함")</f>
        <v>1211</v>
      </c>
    </row>
    <row r="1049" spans="1:53" ht="12" customHeight="1" x14ac:dyDescent="0.2">
      <c r="A1049" s="13" t="s">
        <v>482</v>
      </c>
      <c r="B1049" s="39">
        <v>61004</v>
      </c>
      <c r="C1049" s="42" t="s">
        <v>3671</v>
      </c>
      <c r="D1049" s="10" t="s">
        <v>83</v>
      </c>
      <c r="E1049" s="10" t="s">
        <v>1</v>
      </c>
      <c r="F1049" s="1" t="s">
        <v>311</v>
      </c>
      <c r="G1049" s="1" t="s">
        <v>1312</v>
      </c>
      <c r="H1049" s="1"/>
      <c r="I1049" s="1"/>
      <c r="J1049" s="1"/>
      <c r="K1049" s="1"/>
      <c r="L1049" s="1"/>
      <c r="M1049" s="1"/>
      <c r="O1049" s="12" t="s">
        <v>428</v>
      </c>
      <c r="P1049" s="1">
        <v>1</v>
      </c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>
        <v>70</v>
      </c>
      <c r="AB1049" s="11"/>
      <c r="AC1049" s="82"/>
      <c r="AE1049" s="39" t="str">
        <f t="shared" si="135"/>
        <v>1311</v>
      </c>
      <c r="AG1049" s="23"/>
      <c r="AH1049" s="23"/>
      <c r="AN1049" s="12"/>
      <c r="AR1049" s="34" t="s">
        <v>543</v>
      </c>
      <c r="AS1049" s="34" t="s">
        <v>543</v>
      </c>
      <c r="AU1049" s="12" t="s">
        <v>1935</v>
      </c>
      <c r="AV1049" s="13"/>
      <c r="AW1049" s="39">
        <v>4</v>
      </c>
      <c r="AX1049" s="12">
        <f>VLOOKUP(AW1049,색인!$N$14:$O$19,2,FALSE)</f>
        <v>3</v>
      </c>
      <c r="AY1049" s="39" t="str">
        <f>"T"&amp;O1049&amp;"_"&amp;AX1049&amp;"옵션_"&amp;VLOOKUP(E1049,색인!$J$25:$K$29,2,FALSE)</f>
        <v>T1_3옵션_방어구</v>
      </c>
      <c r="AZ1049" s="39">
        <f>VLOOKUP(G1049,색인!$J$32:$K$45,2,FALSE)</f>
        <v>2</v>
      </c>
      <c r="BA1049" s="39" t="str">
        <f>_xlfn.IFNA(VLOOKUP(AY1049,표1[[검색용]:[OptionGroupIndex'[']22]],EquipItemTable!AZ1049,FALSE),"옵션고정안함")</f>
        <v>1311</v>
      </c>
    </row>
    <row r="1050" spans="1:53" ht="12" customHeight="1" x14ac:dyDescent="0.2">
      <c r="A1050" s="13" t="s">
        <v>184</v>
      </c>
      <c r="B1050" s="39">
        <v>61005</v>
      </c>
      <c r="C1050" s="42" t="s">
        <v>3672</v>
      </c>
      <c r="D1050" s="10" t="s">
        <v>2964</v>
      </c>
      <c r="E1050" s="10" t="s">
        <v>479</v>
      </c>
      <c r="F1050" s="1" t="s">
        <v>311</v>
      </c>
      <c r="G1050" s="1" t="s">
        <v>1312</v>
      </c>
      <c r="H1050" s="1"/>
      <c r="I1050" s="1"/>
      <c r="J1050" s="1"/>
      <c r="K1050" s="1"/>
      <c r="L1050" s="1"/>
      <c r="M1050" s="1"/>
      <c r="O1050" s="12" t="s">
        <v>95</v>
      </c>
      <c r="P1050" s="1">
        <v>21</v>
      </c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>
        <v>81</v>
      </c>
      <c r="AB1050" s="11"/>
      <c r="AC1050" s="82"/>
      <c r="AD1050" s="12" t="s">
        <v>52</v>
      </c>
      <c r="AE1050" s="12" t="s">
        <v>550</v>
      </c>
      <c r="AG1050" s="23"/>
      <c r="AH1050" s="23"/>
      <c r="AN1050" s="12"/>
      <c r="AU1050" s="12" t="s">
        <v>1932</v>
      </c>
      <c r="AV1050" s="13" t="s">
        <v>14</v>
      </c>
      <c r="AW1050" s="39">
        <v>1</v>
      </c>
      <c r="AY1050" s="32"/>
      <c r="AZ1050" s="32"/>
      <c r="BA1050" s="32"/>
    </row>
    <row r="1051" spans="1:53" ht="12" customHeight="1" x14ac:dyDescent="0.2">
      <c r="A1051" s="13" t="s">
        <v>185</v>
      </c>
      <c r="B1051" s="39">
        <v>61006</v>
      </c>
      <c r="C1051" s="42" t="s">
        <v>3673</v>
      </c>
      <c r="D1051" s="10" t="s">
        <v>83</v>
      </c>
      <c r="E1051" s="10" t="s">
        <v>1</v>
      </c>
      <c r="F1051" s="1" t="s">
        <v>311</v>
      </c>
      <c r="G1051" s="1" t="s">
        <v>1312</v>
      </c>
      <c r="H1051" s="1"/>
      <c r="I1051" s="1"/>
      <c r="J1051" s="1"/>
      <c r="K1051" s="1"/>
      <c r="L1051" s="1"/>
      <c r="M1051" s="1"/>
      <c r="O1051" s="12" t="s">
        <v>95</v>
      </c>
      <c r="P1051" s="1">
        <v>21</v>
      </c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>
        <v>105</v>
      </c>
      <c r="AB1051" s="11"/>
      <c r="AC1051" s="82"/>
      <c r="AD1051" s="12" t="s">
        <v>52</v>
      </c>
      <c r="AE1051" s="39" t="str">
        <f t="shared" ref="AE1051:AE1053" si="136">BA1051</f>
        <v>2111</v>
      </c>
      <c r="AG1051" s="23"/>
      <c r="AH1051" s="23"/>
      <c r="AN1051" s="12"/>
      <c r="AU1051" s="12" t="s">
        <v>1933</v>
      </c>
      <c r="AV1051" s="13" t="s">
        <v>15</v>
      </c>
      <c r="AW1051" s="39">
        <v>2</v>
      </c>
      <c r="AX1051" s="12">
        <f>VLOOKUP(AW1051,색인!$N$14:$O$19,2,FALSE)</f>
        <v>1</v>
      </c>
      <c r="AY1051" s="39" t="str">
        <f>"T"&amp;O1051&amp;"_"&amp;AX1051&amp;"옵션_"&amp;VLOOKUP(E1051,색인!$J$25:$K$29,2,FALSE)</f>
        <v>T2_1옵션_방어구</v>
      </c>
      <c r="AZ1051" s="39">
        <f>VLOOKUP(G1051,색인!$J$32:$K$45,2,FALSE)</f>
        <v>2</v>
      </c>
      <c r="BA1051" s="39" t="str">
        <f>_xlfn.IFNA(VLOOKUP(AY1051,표1[[검색용]:[OptionGroupIndex'[']22]],EquipItemTable!AZ1051,FALSE),"옵션고정안함")</f>
        <v>2111</v>
      </c>
    </row>
    <row r="1052" spans="1:53" ht="12" customHeight="1" x14ac:dyDescent="0.2">
      <c r="A1052" s="13" t="s">
        <v>186</v>
      </c>
      <c r="B1052" s="39">
        <v>61007</v>
      </c>
      <c r="C1052" s="42" t="s">
        <v>3674</v>
      </c>
      <c r="D1052" s="10" t="s">
        <v>83</v>
      </c>
      <c r="E1052" s="10" t="s">
        <v>1</v>
      </c>
      <c r="F1052" s="1" t="s">
        <v>311</v>
      </c>
      <c r="G1052" s="1" t="s">
        <v>1312</v>
      </c>
      <c r="H1052" s="1"/>
      <c r="I1052" s="1"/>
      <c r="J1052" s="1"/>
      <c r="K1052" s="1"/>
      <c r="L1052" s="1"/>
      <c r="M1052" s="1"/>
      <c r="O1052" s="12" t="s">
        <v>95</v>
      </c>
      <c r="P1052" s="1">
        <v>21</v>
      </c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>
        <v>130</v>
      </c>
      <c r="AB1052" s="11"/>
      <c r="AC1052" s="82"/>
      <c r="AD1052" s="12" t="s">
        <v>52</v>
      </c>
      <c r="AE1052" s="39" t="str">
        <f t="shared" si="136"/>
        <v>2211</v>
      </c>
      <c r="AG1052" s="23"/>
      <c r="AH1052" s="23"/>
      <c r="AN1052" s="12"/>
      <c r="AR1052" s="34" t="s">
        <v>94</v>
      </c>
      <c r="AS1052" s="34" t="s">
        <v>94</v>
      </c>
      <c r="AU1052" s="12" t="s">
        <v>1934</v>
      </c>
      <c r="AV1052" s="13"/>
      <c r="AW1052" s="39">
        <v>3</v>
      </c>
      <c r="AX1052" s="12">
        <f>VLOOKUP(AW1052,색인!$N$14:$O$19,2,FALSE)</f>
        <v>2</v>
      </c>
      <c r="AY1052" s="39" t="str">
        <f>"T"&amp;O1052&amp;"_"&amp;AX1052&amp;"옵션_"&amp;VLOOKUP(E1052,색인!$J$25:$K$29,2,FALSE)</f>
        <v>T2_2옵션_방어구</v>
      </c>
      <c r="AZ1052" s="39">
        <f>VLOOKUP(G1052,색인!$J$32:$K$45,2,FALSE)</f>
        <v>2</v>
      </c>
      <c r="BA1052" s="39" t="str">
        <f>_xlfn.IFNA(VLOOKUP(AY1052,표1[[검색용]:[OptionGroupIndex'[']22]],EquipItemTable!AZ1052,FALSE),"옵션고정안함")</f>
        <v>2211</v>
      </c>
    </row>
    <row r="1053" spans="1:53" ht="12" customHeight="1" x14ac:dyDescent="0.2">
      <c r="A1053" s="13" t="s">
        <v>483</v>
      </c>
      <c r="B1053" s="39">
        <v>61008</v>
      </c>
      <c r="C1053" s="42" t="s">
        <v>3675</v>
      </c>
      <c r="D1053" s="10" t="s">
        <v>83</v>
      </c>
      <c r="E1053" s="10" t="s">
        <v>1</v>
      </c>
      <c r="F1053" s="1" t="s">
        <v>311</v>
      </c>
      <c r="G1053" s="1" t="s">
        <v>1312</v>
      </c>
      <c r="H1053" s="1"/>
      <c r="I1053" s="1"/>
      <c r="J1053" s="1"/>
      <c r="K1053" s="1"/>
      <c r="L1053" s="1"/>
      <c r="M1053" s="1"/>
      <c r="O1053" s="12" t="s">
        <v>429</v>
      </c>
      <c r="P1053" s="1">
        <v>21</v>
      </c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>
        <v>157</v>
      </c>
      <c r="AB1053" s="11"/>
      <c r="AC1053" s="82"/>
      <c r="AE1053" s="39" t="str">
        <f t="shared" si="136"/>
        <v>2311</v>
      </c>
      <c r="AG1053" s="23"/>
      <c r="AH1053" s="23"/>
      <c r="AN1053" s="12"/>
      <c r="AR1053" s="34" t="s">
        <v>543</v>
      </c>
      <c r="AS1053" s="34" t="s">
        <v>543</v>
      </c>
      <c r="AU1053" s="12" t="s">
        <v>1935</v>
      </c>
      <c r="AV1053" s="13"/>
      <c r="AW1053" s="39">
        <v>4</v>
      </c>
      <c r="AX1053" s="12">
        <f>VLOOKUP(AW1053,색인!$N$14:$O$19,2,FALSE)</f>
        <v>3</v>
      </c>
      <c r="AY1053" s="39" t="str">
        <f>"T"&amp;O1053&amp;"_"&amp;AX1053&amp;"옵션_"&amp;VLOOKUP(E1053,색인!$J$25:$K$29,2,FALSE)</f>
        <v>T2_3옵션_방어구</v>
      </c>
      <c r="AZ1053" s="39">
        <f>VLOOKUP(G1053,색인!$J$32:$K$45,2,FALSE)</f>
        <v>2</v>
      </c>
      <c r="BA1053" s="39" t="str">
        <f>_xlfn.IFNA(VLOOKUP(AY1053,표1[[검색용]:[OptionGroupIndex'[']22]],EquipItemTable!AZ1053,FALSE),"옵션고정안함")</f>
        <v>2311</v>
      </c>
    </row>
    <row r="1054" spans="1:53" ht="12" customHeight="1" x14ac:dyDescent="0.2">
      <c r="A1054" s="13" t="s">
        <v>187</v>
      </c>
      <c r="B1054" s="39">
        <v>61009</v>
      </c>
      <c r="C1054" s="42" t="s">
        <v>3676</v>
      </c>
      <c r="D1054" s="10" t="s">
        <v>83</v>
      </c>
      <c r="E1054" s="10" t="s">
        <v>1</v>
      </c>
      <c r="F1054" s="1" t="s">
        <v>311</v>
      </c>
      <c r="G1054" s="1" t="s">
        <v>1312</v>
      </c>
      <c r="H1054" s="1"/>
      <c r="I1054" s="1"/>
      <c r="J1054" s="1"/>
      <c r="K1054" s="1"/>
      <c r="L1054" s="1"/>
      <c r="M1054" s="1"/>
      <c r="N1054" s="81"/>
      <c r="O1054" s="12" t="s">
        <v>96</v>
      </c>
      <c r="P1054" s="1">
        <v>31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>
        <v>180</v>
      </c>
      <c r="AB1054" s="13"/>
      <c r="AC1054" s="82"/>
      <c r="AD1054" s="23" t="s">
        <v>52</v>
      </c>
      <c r="AE1054" s="23">
        <v>3</v>
      </c>
      <c r="AF1054" s="23"/>
      <c r="AG1054" s="23"/>
      <c r="AH1054" s="23"/>
      <c r="AI1054" s="23"/>
      <c r="AJ1054" s="23"/>
      <c r="AK1054" s="23"/>
      <c r="AL1054" s="23"/>
      <c r="AM1054" s="23"/>
      <c r="AN1054" s="23"/>
      <c r="AO1054" s="23"/>
      <c r="AP1054" s="23"/>
      <c r="AQ1054" s="81"/>
      <c r="AR1054" s="83"/>
      <c r="AS1054" s="83"/>
      <c r="AT1054" s="81"/>
      <c r="AU1054" s="12" t="s">
        <v>1932</v>
      </c>
      <c r="AV1054" s="13"/>
      <c r="AW1054" s="39">
        <v>1</v>
      </c>
      <c r="AY1054" s="32"/>
      <c r="AZ1054" s="32"/>
      <c r="BA1054" s="32"/>
    </row>
    <row r="1055" spans="1:53" ht="12" customHeight="1" x14ac:dyDescent="0.2">
      <c r="A1055" s="13" t="s">
        <v>188</v>
      </c>
      <c r="B1055" s="39">
        <v>61010</v>
      </c>
      <c r="C1055" s="42" t="s">
        <v>3677</v>
      </c>
      <c r="D1055" s="10" t="s">
        <v>83</v>
      </c>
      <c r="E1055" s="10" t="s">
        <v>1</v>
      </c>
      <c r="F1055" s="1" t="s">
        <v>311</v>
      </c>
      <c r="G1055" s="1" t="s">
        <v>1312</v>
      </c>
      <c r="H1055" s="1"/>
      <c r="I1055" s="1"/>
      <c r="J1055" s="1"/>
      <c r="K1055" s="1"/>
      <c r="L1055" s="1"/>
      <c r="M1055" s="1"/>
      <c r="N1055" s="81"/>
      <c r="O1055" s="12" t="s">
        <v>96</v>
      </c>
      <c r="P1055" s="1">
        <v>31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>
        <v>229</v>
      </c>
      <c r="AB1055" s="13"/>
      <c r="AC1055" s="82"/>
      <c r="AD1055" s="23" t="s">
        <v>52</v>
      </c>
      <c r="AE1055" s="90" t="str">
        <f t="shared" ref="AE1055:AE1057" si="137">BA1055</f>
        <v>3111</v>
      </c>
      <c r="AF1055" s="23"/>
      <c r="AI1055" s="23"/>
      <c r="AJ1055" s="23"/>
      <c r="AK1055" s="23"/>
      <c r="AL1055" s="23"/>
      <c r="AM1055" s="23"/>
      <c r="AN1055" s="23"/>
      <c r="AO1055" s="23"/>
      <c r="AP1055" s="23"/>
      <c r="AQ1055" s="81"/>
      <c r="AR1055" s="83"/>
      <c r="AS1055" s="83"/>
      <c r="AT1055" s="81"/>
      <c r="AU1055" s="12" t="s">
        <v>1933</v>
      </c>
      <c r="AV1055" s="13"/>
      <c r="AW1055" s="39">
        <v>2</v>
      </c>
      <c r="AX1055" s="12">
        <f>VLOOKUP(AW1055,색인!$N$14:$O$19,2,FALSE)</f>
        <v>1</v>
      </c>
      <c r="AY1055" s="39" t="str">
        <f>"T"&amp;O1055&amp;"_"&amp;AX1055&amp;"옵션_"&amp;VLOOKUP(E1055,색인!$J$25:$K$29,2,FALSE)</f>
        <v>T3_1옵션_방어구</v>
      </c>
      <c r="AZ1055" s="39">
        <f>VLOOKUP(G1055,색인!$J$32:$K$45,2,FALSE)</f>
        <v>2</v>
      </c>
      <c r="BA1055" s="39" t="str">
        <f>_xlfn.IFNA(VLOOKUP(AY1055,표1[[검색용]:[OptionGroupIndex'[']22]],EquipItemTable!AZ1055,FALSE),"옵션고정안함")</f>
        <v>3111</v>
      </c>
    </row>
    <row r="1056" spans="1:53" ht="12" customHeight="1" x14ac:dyDescent="0.2">
      <c r="A1056" s="13" t="s">
        <v>189</v>
      </c>
      <c r="B1056" s="39">
        <v>61011</v>
      </c>
      <c r="C1056" s="42" t="s">
        <v>3678</v>
      </c>
      <c r="D1056" s="10" t="s">
        <v>83</v>
      </c>
      <c r="E1056" s="10" t="s">
        <v>1</v>
      </c>
      <c r="F1056" s="1" t="s">
        <v>311</v>
      </c>
      <c r="G1056" s="1" t="s">
        <v>1312</v>
      </c>
      <c r="H1056" s="1"/>
      <c r="I1056" s="1"/>
      <c r="J1056" s="1"/>
      <c r="K1056" s="1"/>
      <c r="L1056" s="1"/>
      <c r="M1056" s="1"/>
      <c r="N1056" s="81"/>
      <c r="O1056" s="12" t="s">
        <v>96</v>
      </c>
      <c r="P1056" s="1">
        <v>31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>
        <v>273</v>
      </c>
      <c r="AB1056" s="13"/>
      <c r="AC1056" s="82"/>
      <c r="AD1056" s="23" t="s">
        <v>52</v>
      </c>
      <c r="AE1056" s="90" t="str">
        <f t="shared" si="137"/>
        <v>3211</v>
      </c>
      <c r="AF1056" s="23"/>
      <c r="AI1056" s="23"/>
      <c r="AJ1056" s="23"/>
      <c r="AK1056" s="23"/>
      <c r="AL1056" s="23"/>
      <c r="AM1056" s="23"/>
      <c r="AN1056" s="23"/>
      <c r="AO1056" s="23"/>
      <c r="AP1056" s="23"/>
      <c r="AQ1056" s="81"/>
      <c r="AR1056" s="83">
        <v>1</v>
      </c>
      <c r="AS1056" s="83">
        <v>1</v>
      </c>
      <c r="AT1056" s="81"/>
      <c r="AU1056" s="12" t="s">
        <v>1934</v>
      </c>
      <c r="AV1056" s="13"/>
      <c r="AW1056" s="39">
        <v>3</v>
      </c>
      <c r="AX1056" s="12">
        <f>VLOOKUP(AW1056,색인!$N$14:$O$19,2,FALSE)</f>
        <v>2</v>
      </c>
      <c r="AY1056" s="39" t="str">
        <f>"T"&amp;O1056&amp;"_"&amp;AX1056&amp;"옵션_"&amp;VLOOKUP(E1056,색인!$J$25:$K$29,2,FALSE)</f>
        <v>T3_2옵션_방어구</v>
      </c>
      <c r="AZ1056" s="39">
        <f>VLOOKUP(G1056,색인!$J$32:$K$45,2,FALSE)</f>
        <v>2</v>
      </c>
      <c r="BA1056" s="39" t="str">
        <f>_xlfn.IFNA(VLOOKUP(AY1056,표1[[검색용]:[OptionGroupIndex'[']22]],EquipItemTable!AZ1056,FALSE),"옵션고정안함")</f>
        <v>3211</v>
      </c>
    </row>
    <row r="1057" spans="1:53" ht="12" customHeight="1" x14ac:dyDescent="0.2">
      <c r="A1057" s="13" t="s">
        <v>190</v>
      </c>
      <c r="B1057" s="39">
        <v>61012</v>
      </c>
      <c r="C1057" s="42" t="s">
        <v>3679</v>
      </c>
      <c r="D1057" s="10" t="s">
        <v>83</v>
      </c>
      <c r="E1057" s="10" t="s">
        <v>1</v>
      </c>
      <c r="F1057" s="1" t="s">
        <v>311</v>
      </c>
      <c r="G1057" s="1" t="s">
        <v>1312</v>
      </c>
      <c r="H1057" s="1"/>
      <c r="I1057" s="1"/>
      <c r="J1057" s="1"/>
      <c r="K1057" s="1"/>
      <c r="L1057" s="1"/>
      <c r="M1057" s="1"/>
      <c r="N1057" s="81"/>
      <c r="O1057" s="12" t="s">
        <v>96</v>
      </c>
      <c r="P1057" s="1">
        <v>31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>
        <v>325</v>
      </c>
      <c r="AB1057" s="13"/>
      <c r="AC1057" s="82"/>
      <c r="AD1057" s="23" t="s">
        <v>52</v>
      </c>
      <c r="AE1057" s="90" t="str">
        <f t="shared" si="137"/>
        <v>3311</v>
      </c>
      <c r="AF1057" s="23"/>
      <c r="AI1057" s="23"/>
      <c r="AJ1057" s="23"/>
      <c r="AK1057" s="23"/>
      <c r="AL1057" s="23"/>
      <c r="AM1057" s="23"/>
      <c r="AN1057" s="23"/>
      <c r="AO1057" s="23"/>
      <c r="AP1057" s="23"/>
      <c r="AQ1057" s="81"/>
      <c r="AR1057" s="83">
        <v>1</v>
      </c>
      <c r="AS1057" s="83">
        <v>1</v>
      </c>
      <c r="AT1057" s="81"/>
      <c r="AU1057" s="12" t="s">
        <v>1935</v>
      </c>
      <c r="AV1057" s="13"/>
      <c r="AW1057" s="39">
        <v>4</v>
      </c>
      <c r="AX1057" s="12">
        <f>VLOOKUP(AW1057,색인!$N$14:$O$19,2,FALSE)</f>
        <v>3</v>
      </c>
      <c r="AY1057" s="39" t="str">
        <f>"T"&amp;O1057&amp;"_"&amp;AX1057&amp;"옵션_"&amp;VLOOKUP(E1057,색인!$J$25:$K$29,2,FALSE)</f>
        <v>T3_3옵션_방어구</v>
      </c>
      <c r="AZ1057" s="39">
        <f>VLOOKUP(G1057,색인!$J$32:$K$45,2,FALSE)</f>
        <v>2</v>
      </c>
      <c r="BA1057" s="39" t="str">
        <f>_xlfn.IFNA(VLOOKUP(AY1057,표1[[검색용]:[OptionGroupIndex'[']22]],EquipItemTable!AZ1057,FALSE),"옵션고정안함")</f>
        <v>3311</v>
      </c>
    </row>
    <row r="1058" spans="1:53" ht="14.1" customHeight="1" x14ac:dyDescent="0.2">
      <c r="A1058" s="13" t="s">
        <v>577</v>
      </c>
      <c r="B1058" s="39">
        <v>61029</v>
      </c>
      <c r="C1058" s="42" t="s">
        <v>3680</v>
      </c>
      <c r="D1058" s="10" t="s">
        <v>83</v>
      </c>
      <c r="E1058" s="10" t="s">
        <v>1</v>
      </c>
      <c r="F1058" s="1" t="s">
        <v>311</v>
      </c>
      <c r="G1058" s="1" t="s">
        <v>1312</v>
      </c>
      <c r="H1058" s="1"/>
      <c r="I1058" s="1"/>
      <c r="J1058" s="1"/>
      <c r="K1058" s="1"/>
      <c r="L1058" s="1"/>
      <c r="M1058" s="1"/>
      <c r="N1058" s="81"/>
      <c r="O1058" s="12" t="s">
        <v>96</v>
      </c>
      <c r="P1058" s="1">
        <v>31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>
        <v>384</v>
      </c>
      <c r="AB1058" s="13"/>
      <c r="AC1058" s="82"/>
      <c r="AD1058" s="23" t="s">
        <v>52</v>
      </c>
      <c r="AE1058" s="23">
        <v>3</v>
      </c>
      <c r="AF1058" s="23"/>
      <c r="AI1058" s="23"/>
      <c r="AJ1058" s="23"/>
      <c r="AK1058" s="23"/>
      <c r="AL1058" s="23"/>
      <c r="AM1058" s="23"/>
      <c r="AN1058" s="23">
        <v>1</v>
      </c>
      <c r="AO1058" s="23"/>
      <c r="AP1058" s="23"/>
      <c r="AQ1058" s="81"/>
      <c r="AR1058" s="83">
        <v>1</v>
      </c>
      <c r="AS1058" s="83">
        <v>1</v>
      </c>
      <c r="AT1058" s="81"/>
      <c r="AU1058" s="12" t="s">
        <v>1936</v>
      </c>
      <c r="AV1058" s="13"/>
      <c r="AW1058" s="39">
        <v>6</v>
      </c>
      <c r="AX1058" s="12">
        <f>VLOOKUP(AW1058,색인!$N$14:$O$19,2,FALSE)</f>
        <v>4</v>
      </c>
      <c r="AY1058" s="32" t="str">
        <f>"T"&amp;O1058&amp;"_"&amp;AX1058&amp;"옵션_"&amp;VLOOKUP(E1058,색인!$J$25:$K$29,2,FALSE)</f>
        <v>T3_4옵션_방어구</v>
      </c>
      <c r="AZ1058" s="32">
        <f>VLOOKUP(G1058,색인!$J$32:$K$45,2,FALSE)</f>
        <v>2</v>
      </c>
      <c r="BA1058" s="32" t="str">
        <f>_xlfn.IFNA(VLOOKUP(AY1058,표1[[검색용]:[OptionGroupIndex'[']22]],EquipItemTable!AZ1058,FALSE),"옵션고정안함")</f>
        <v>옵션고정안함</v>
      </c>
    </row>
    <row r="1059" spans="1:53" ht="14.1" customHeight="1" x14ac:dyDescent="0.2">
      <c r="A1059" s="13" t="s">
        <v>1054</v>
      </c>
      <c r="B1059" s="39">
        <v>61030</v>
      </c>
      <c r="C1059" s="42" t="s">
        <v>3681</v>
      </c>
      <c r="D1059" s="10" t="s">
        <v>83</v>
      </c>
      <c r="E1059" s="10" t="s">
        <v>1</v>
      </c>
      <c r="F1059" s="1" t="s">
        <v>311</v>
      </c>
      <c r="G1059" s="1" t="s">
        <v>1312</v>
      </c>
      <c r="H1059" s="1"/>
      <c r="I1059" s="1"/>
      <c r="J1059" s="1"/>
      <c r="K1059" s="1"/>
      <c r="L1059" s="1"/>
      <c r="M1059" s="1"/>
      <c r="N1059" s="81"/>
      <c r="O1059" s="12" t="s">
        <v>96</v>
      </c>
      <c r="P1059" s="1">
        <v>31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>
        <v>384</v>
      </c>
      <c r="AB1059" s="13"/>
      <c r="AC1059" s="82"/>
      <c r="AD1059" s="23" t="s">
        <v>52</v>
      </c>
      <c r="AE1059" s="23">
        <v>3</v>
      </c>
      <c r="AF1059" s="23"/>
      <c r="AI1059" s="23"/>
      <c r="AJ1059" s="23"/>
      <c r="AK1059" s="23"/>
      <c r="AL1059" s="23"/>
      <c r="AM1059" s="23"/>
      <c r="AN1059" s="23">
        <v>2</v>
      </c>
      <c r="AO1059" s="23"/>
      <c r="AP1059" s="23"/>
      <c r="AQ1059" s="81"/>
      <c r="AR1059" s="83">
        <v>1</v>
      </c>
      <c r="AS1059" s="83">
        <v>1</v>
      </c>
      <c r="AT1059" s="81"/>
      <c r="AU1059" s="12" t="s">
        <v>1936</v>
      </c>
      <c r="AV1059" s="13"/>
      <c r="AW1059" s="39">
        <v>6</v>
      </c>
      <c r="AX1059" s="12">
        <f>VLOOKUP(AW1059,색인!$N$14:$O$19,2,FALSE)</f>
        <v>4</v>
      </c>
      <c r="AY1059" s="32" t="str">
        <f>"T"&amp;O1059&amp;"_"&amp;AX1059&amp;"옵션_"&amp;VLOOKUP(E1059,색인!$J$25:$K$29,2,FALSE)</f>
        <v>T3_4옵션_방어구</v>
      </c>
      <c r="AZ1059" s="32">
        <f>VLOOKUP(G1059,색인!$J$32:$K$45,2,FALSE)</f>
        <v>2</v>
      </c>
      <c r="BA1059" s="32" t="str">
        <f>_xlfn.IFNA(VLOOKUP(AY1059,표1[[검색용]:[OptionGroupIndex'[']22]],EquipItemTable!AZ1059,FALSE),"옵션고정안함")</f>
        <v>옵션고정안함</v>
      </c>
    </row>
    <row r="1060" spans="1:53" ht="14.1" customHeight="1" x14ac:dyDescent="0.2">
      <c r="A1060" s="13" t="s">
        <v>1055</v>
      </c>
      <c r="B1060" s="39">
        <v>61031</v>
      </c>
      <c r="C1060" s="42" t="s">
        <v>3682</v>
      </c>
      <c r="D1060" s="10" t="s">
        <v>83</v>
      </c>
      <c r="E1060" s="10" t="s">
        <v>1</v>
      </c>
      <c r="F1060" s="1" t="s">
        <v>311</v>
      </c>
      <c r="G1060" s="1" t="s">
        <v>1312</v>
      </c>
      <c r="H1060" s="1"/>
      <c r="I1060" s="1"/>
      <c r="J1060" s="1"/>
      <c r="K1060" s="1"/>
      <c r="L1060" s="1"/>
      <c r="M1060" s="1"/>
      <c r="N1060" s="81"/>
      <c r="O1060" s="12" t="s">
        <v>96</v>
      </c>
      <c r="P1060" s="1">
        <v>31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>
        <v>384</v>
      </c>
      <c r="AB1060" s="13"/>
      <c r="AC1060" s="82"/>
      <c r="AD1060" s="23" t="s">
        <v>52</v>
      </c>
      <c r="AE1060" s="23">
        <v>3</v>
      </c>
      <c r="AF1060" s="23"/>
      <c r="AI1060" s="23"/>
      <c r="AJ1060" s="23"/>
      <c r="AK1060" s="23"/>
      <c r="AL1060" s="23"/>
      <c r="AM1060" s="23"/>
      <c r="AN1060" s="23">
        <v>3</v>
      </c>
      <c r="AO1060" s="23"/>
      <c r="AP1060" s="23"/>
      <c r="AQ1060" s="81"/>
      <c r="AR1060" s="83">
        <v>1</v>
      </c>
      <c r="AS1060" s="83">
        <v>1</v>
      </c>
      <c r="AT1060" s="81"/>
      <c r="AU1060" s="12" t="s">
        <v>1936</v>
      </c>
      <c r="AV1060" s="13"/>
      <c r="AW1060" s="39">
        <v>6</v>
      </c>
      <c r="AX1060" s="12">
        <f>VLOOKUP(AW1060,색인!$N$14:$O$19,2,FALSE)</f>
        <v>4</v>
      </c>
      <c r="AY1060" s="32" t="str">
        <f>"T"&amp;O1060&amp;"_"&amp;AX1060&amp;"옵션_"&amp;VLOOKUP(E1060,색인!$J$25:$K$29,2,FALSE)</f>
        <v>T3_4옵션_방어구</v>
      </c>
      <c r="AZ1060" s="32">
        <f>VLOOKUP(G1060,색인!$J$32:$K$45,2,FALSE)</f>
        <v>2</v>
      </c>
      <c r="BA1060" s="32" t="str">
        <f>_xlfn.IFNA(VLOOKUP(AY1060,표1[[검색용]:[OptionGroupIndex'[']22]],EquipItemTable!AZ1060,FALSE),"옵션고정안함")</f>
        <v>옵션고정안함</v>
      </c>
    </row>
    <row r="1061" spans="1:53" ht="14.1" customHeight="1" x14ac:dyDescent="0.2">
      <c r="A1061" s="13" t="s">
        <v>1056</v>
      </c>
      <c r="B1061" s="39">
        <v>61021</v>
      </c>
      <c r="C1061" s="42" t="s">
        <v>3683</v>
      </c>
      <c r="D1061" s="10" t="s">
        <v>83</v>
      </c>
      <c r="E1061" s="10" t="s">
        <v>1</v>
      </c>
      <c r="F1061" s="1" t="s">
        <v>311</v>
      </c>
      <c r="G1061" s="1" t="s">
        <v>1312</v>
      </c>
      <c r="H1061" s="1"/>
      <c r="I1061" s="1"/>
      <c r="J1061" s="1"/>
      <c r="K1061" s="1"/>
      <c r="L1061" s="1"/>
      <c r="M1061" s="1"/>
      <c r="N1061" s="81"/>
      <c r="O1061" s="12" t="s">
        <v>96</v>
      </c>
      <c r="P1061" s="1">
        <v>31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>
        <v>384</v>
      </c>
      <c r="AB1061" s="13"/>
      <c r="AC1061" s="82"/>
      <c r="AD1061" s="23" t="s">
        <v>52</v>
      </c>
      <c r="AE1061" s="23">
        <v>3</v>
      </c>
      <c r="AF1061" s="23"/>
      <c r="AI1061" s="23"/>
      <c r="AJ1061" s="23"/>
      <c r="AK1061" s="23"/>
      <c r="AL1061" s="23"/>
      <c r="AM1061" s="23"/>
      <c r="AN1061" s="23">
        <v>4</v>
      </c>
      <c r="AO1061" s="23"/>
      <c r="AP1061" s="23"/>
      <c r="AQ1061" s="81"/>
      <c r="AR1061" s="83">
        <v>1</v>
      </c>
      <c r="AS1061" s="83">
        <v>1</v>
      </c>
      <c r="AT1061" s="81"/>
      <c r="AU1061" s="12" t="s">
        <v>1936</v>
      </c>
      <c r="AV1061" s="13"/>
      <c r="AW1061" s="39">
        <v>6</v>
      </c>
      <c r="AX1061" s="12">
        <f>VLOOKUP(AW1061,색인!$N$14:$O$19,2,FALSE)</f>
        <v>4</v>
      </c>
      <c r="AY1061" s="32" t="str">
        <f>"T"&amp;O1061&amp;"_"&amp;AX1061&amp;"옵션_"&amp;VLOOKUP(E1061,색인!$J$25:$K$29,2,FALSE)</f>
        <v>T3_4옵션_방어구</v>
      </c>
      <c r="AZ1061" s="32">
        <f>VLOOKUP(G1061,색인!$J$32:$K$45,2,FALSE)</f>
        <v>2</v>
      </c>
      <c r="BA1061" s="32" t="str">
        <f>_xlfn.IFNA(VLOOKUP(AY1061,표1[[검색용]:[OptionGroupIndex'[']22]],EquipItemTable!AZ1061,FALSE),"옵션고정안함")</f>
        <v>옵션고정안함</v>
      </c>
    </row>
    <row r="1062" spans="1:53" ht="12" customHeight="1" x14ac:dyDescent="0.2">
      <c r="A1062" s="13" t="s">
        <v>191</v>
      </c>
      <c r="B1062" s="39">
        <v>61013</v>
      </c>
      <c r="C1062" s="42" t="s">
        <v>14</v>
      </c>
      <c r="D1062" s="10" t="s">
        <v>83</v>
      </c>
      <c r="E1062" s="10" t="s">
        <v>1</v>
      </c>
      <c r="F1062" s="1" t="s">
        <v>311</v>
      </c>
      <c r="G1062" s="1" t="s">
        <v>1312</v>
      </c>
      <c r="H1062" s="1"/>
      <c r="I1062" s="1"/>
      <c r="J1062" s="1"/>
      <c r="K1062" s="1"/>
      <c r="L1062" s="1"/>
      <c r="M1062" s="1"/>
      <c r="N1062" s="81"/>
      <c r="O1062" s="12" t="s">
        <v>97</v>
      </c>
      <c r="P1062" s="1">
        <v>41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>
        <v>373</v>
      </c>
      <c r="AB1062" s="13"/>
      <c r="AC1062" s="82"/>
      <c r="AD1062" s="23" t="s">
        <v>52</v>
      </c>
      <c r="AE1062" s="23">
        <v>4</v>
      </c>
      <c r="AF1062" s="23"/>
      <c r="AI1062" s="23"/>
      <c r="AJ1062" s="23"/>
      <c r="AK1062" s="23"/>
      <c r="AL1062" s="23"/>
      <c r="AM1062" s="23"/>
      <c r="AN1062" s="23"/>
      <c r="AO1062" s="23"/>
      <c r="AP1062" s="23"/>
      <c r="AQ1062" s="81"/>
      <c r="AR1062" s="83"/>
      <c r="AS1062" s="83"/>
      <c r="AT1062" s="81"/>
      <c r="AU1062" s="12" t="s">
        <v>1932</v>
      </c>
      <c r="AV1062" s="13"/>
      <c r="AW1062" s="39">
        <v>1</v>
      </c>
      <c r="AY1062" s="32"/>
      <c r="AZ1062" s="32"/>
      <c r="BA1062" s="32"/>
    </row>
    <row r="1063" spans="1:53" ht="12" customHeight="1" x14ac:dyDescent="0.2">
      <c r="A1063" s="13" t="s">
        <v>192</v>
      </c>
      <c r="B1063" s="39">
        <v>61014</v>
      </c>
      <c r="C1063" s="42" t="s">
        <v>3684</v>
      </c>
      <c r="D1063" s="10" t="s">
        <v>83</v>
      </c>
      <c r="E1063" s="10" t="s">
        <v>1</v>
      </c>
      <c r="F1063" s="1" t="s">
        <v>311</v>
      </c>
      <c r="G1063" s="1" t="s">
        <v>1312</v>
      </c>
      <c r="H1063" s="1"/>
      <c r="I1063" s="1"/>
      <c r="J1063" s="1"/>
      <c r="K1063" s="1"/>
      <c r="L1063" s="1"/>
      <c r="M1063" s="1"/>
      <c r="N1063" s="81"/>
      <c r="O1063" s="12" t="s">
        <v>97</v>
      </c>
      <c r="P1063" s="1">
        <v>41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>
        <v>462</v>
      </c>
      <c r="AB1063" s="13"/>
      <c r="AC1063" s="82"/>
      <c r="AD1063" s="23" t="s">
        <v>52</v>
      </c>
      <c r="AE1063" s="90" t="str">
        <f t="shared" ref="AE1063:AE1065" si="138">BA1063</f>
        <v>4111</v>
      </c>
      <c r="AF1063" s="23"/>
      <c r="AI1063" s="23"/>
      <c r="AJ1063" s="23"/>
      <c r="AK1063" s="23"/>
      <c r="AL1063" s="23"/>
      <c r="AM1063" s="23"/>
      <c r="AN1063" s="23"/>
      <c r="AO1063" s="23"/>
      <c r="AP1063" s="23"/>
      <c r="AQ1063" s="81"/>
      <c r="AR1063" s="83"/>
      <c r="AS1063" s="83"/>
      <c r="AT1063" s="81"/>
      <c r="AU1063" s="12" t="s">
        <v>1933</v>
      </c>
      <c r="AV1063" s="13"/>
      <c r="AW1063" s="39">
        <v>2</v>
      </c>
      <c r="AX1063" s="12">
        <f>VLOOKUP(AW1063,색인!$N$14:$O$19,2,FALSE)</f>
        <v>1</v>
      </c>
      <c r="AY1063" s="39" t="str">
        <f>"T"&amp;O1063&amp;"_"&amp;AX1063&amp;"옵션_"&amp;VLOOKUP(E1063,색인!$J$25:$K$29,2,FALSE)</f>
        <v>T4_1옵션_방어구</v>
      </c>
      <c r="AZ1063" s="39">
        <f>VLOOKUP(G1063,색인!$J$32:$K$45,2,FALSE)</f>
        <v>2</v>
      </c>
      <c r="BA1063" s="39" t="str">
        <f>_xlfn.IFNA(VLOOKUP(AY1063,표1[[검색용]:[OptionGroupIndex'[']22]],EquipItemTable!AZ1063,FALSE),"옵션고정안함")</f>
        <v>4111</v>
      </c>
    </row>
    <row r="1064" spans="1:53" ht="12" customHeight="1" x14ac:dyDescent="0.2">
      <c r="A1064" s="13" t="s">
        <v>193</v>
      </c>
      <c r="B1064" s="39">
        <v>61015</v>
      </c>
      <c r="C1064" s="42" t="s">
        <v>3685</v>
      </c>
      <c r="D1064" s="10" t="s">
        <v>83</v>
      </c>
      <c r="E1064" s="10" t="s">
        <v>1</v>
      </c>
      <c r="F1064" s="1" t="s">
        <v>311</v>
      </c>
      <c r="G1064" s="1" t="s">
        <v>1312</v>
      </c>
      <c r="H1064" s="1"/>
      <c r="I1064" s="1"/>
      <c r="J1064" s="1"/>
      <c r="K1064" s="1"/>
      <c r="L1064" s="1"/>
      <c r="M1064" s="1"/>
      <c r="N1064" s="81"/>
      <c r="O1064" s="12" t="s">
        <v>97</v>
      </c>
      <c r="P1064" s="1">
        <v>41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>
        <v>540</v>
      </c>
      <c r="AB1064" s="13"/>
      <c r="AC1064" s="82"/>
      <c r="AD1064" s="23" t="s">
        <v>52</v>
      </c>
      <c r="AE1064" s="90" t="str">
        <f t="shared" si="138"/>
        <v>4211</v>
      </c>
      <c r="AF1064" s="23"/>
      <c r="AI1064" s="23"/>
      <c r="AJ1064" s="23"/>
      <c r="AK1064" s="23"/>
      <c r="AL1064" s="23"/>
      <c r="AM1064" s="23"/>
      <c r="AN1064" s="23"/>
      <c r="AO1064" s="23"/>
      <c r="AP1064" s="23"/>
      <c r="AQ1064" s="81"/>
      <c r="AR1064" s="83">
        <v>1</v>
      </c>
      <c r="AS1064" s="83">
        <v>1</v>
      </c>
      <c r="AT1064" s="81"/>
      <c r="AU1064" s="12" t="s">
        <v>1934</v>
      </c>
      <c r="AV1064" s="13"/>
      <c r="AW1064" s="39">
        <v>3</v>
      </c>
      <c r="AX1064" s="12">
        <f>VLOOKUP(AW1064,색인!$N$14:$O$19,2,FALSE)</f>
        <v>2</v>
      </c>
      <c r="AY1064" s="39" t="str">
        <f>"T"&amp;O1064&amp;"_"&amp;AX1064&amp;"옵션_"&amp;VLOOKUP(E1064,색인!$J$25:$K$29,2,FALSE)</f>
        <v>T4_2옵션_방어구</v>
      </c>
      <c r="AZ1064" s="39">
        <f>VLOOKUP(G1064,색인!$J$32:$K$45,2,FALSE)</f>
        <v>2</v>
      </c>
      <c r="BA1064" s="39" t="str">
        <f>_xlfn.IFNA(VLOOKUP(AY1064,표1[[검색용]:[OptionGroupIndex'[']22]],EquipItemTable!AZ1064,FALSE),"옵션고정안함")</f>
        <v>4211</v>
      </c>
    </row>
    <row r="1065" spans="1:53" ht="12" customHeight="1" x14ac:dyDescent="0.2">
      <c r="A1065" s="13" t="s">
        <v>194</v>
      </c>
      <c r="B1065" s="39">
        <v>61016</v>
      </c>
      <c r="C1065" s="42" t="s">
        <v>3686</v>
      </c>
      <c r="D1065" s="10" t="s">
        <v>83</v>
      </c>
      <c r="E1065" s="10" t="s">
        <v>1</v>
      </c>
      <c r="F1065" s="1" t="s">
        <v>311</v>
      </c>
      <c r="G1065" s="1" t="s">
        <v>1312</v>
      </c>
      <c r="H1065" s="1"/>
      <c r="I1065" s="1"/>
      <c r="J1065" s="1"/>
      <c r="K1065" s="1"/>
      <c r="L1065" s="1"/>
      <c r="M1065" s="1"/>
      <c r="O1065" s="12" t="s">
        <v>97</v>
      </c>
      <c r="P1065" s="1">
        <v>41</v>
      </c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>
        <v>633</v>
      </c>
      <c r="AB1065" s="11"/>
      <c r="AC1065" s="82"/>
      <c r="AD1065" s="12" t="s">
        <v>52</v>
      </c>
      <c r="AE1065" s="39" t="str">
        <f t="shared" si="138"/>
        <v>4311</v>
      </c>
      <c r="AN1065" s="12"/>
      <c r="AR1065" s="34" t="s">
        <v>94</v>
      </c>
      <c r="AS1065" s="34" t="s">
        <v>94</v>
      </c>
      <c r="AU1065" s="12" t="s">
        <v>1935</v>
      </c>
      <c r="AV1065" s="13"/>
      <c r="AW1065" s="39">
        <v>4</v>
      </c>
      <c r="AX1065" s="12">
        <f>VLOOKUP(AW1065,색인!$N$14:$O$19,2,FALSE)</f>
        <v>3</v>
      </c>
      <c r="AY1065" s="39" t="str">
        <f>"T"&amp;O1065&amp;"_"&amp;AX1065&amp;"옵션_"&amp;VLOOKUP(E1065,색인!$J$25:$K$29,2,FALSE)</f>
        <v>T4_3옵션_방어구</v>
      </c>
      <c r="AZ1065" s="39">
        <f>VLOOKUP(G1065,색인!$J$32:$K$45,2,FALSE)</f>
        <v>2</v>
      </c>
      <c r="BA1065" s="39" t="str">
        <f>_xlfn.IFNA(VLOOKUP(AY1065,표1[[검색용]:[OptionGroupIndex'[']22]],EquipItemTable!AZ1065,FALSE),"옵션고정안함")</f>
        <v>4311</v>
      </c>
    </row>
    <row r="1066" spans="1:53" ht="14.1" customHeight="1" x14ac:dyDescent="0.2">
      <c r="A1066" s="13" t="s">
        <v>578</v>
      </c>
      <c r="B1066" s="39">
        <v>61032</v>
      </c>
      <c r="C1066" s="42" t="s">
        <v>3680</v>
      </c>
      <c r="D1066" s="10" t="s">
        <v>83</v>
      </c>
      <c r="E1066" s="10" t="s">
        <v>1</v>
      </c>
      <c r="F1066" s="1" t="s">
        <v>311</v>
      </c>
      <c r="G1066" s="1" t="s">
        <v>1312</v>
      </c>
      <c r="H1066" s="1"/>
      <c r="I1066" s="1"/>
      <c r="J1066" s="1"/>
      <c r="K1066" s="1"/>
      <c r="L1066" s="1"/>
      <c r="M1066" s="1"/>
      <c r="O1066" s="12" t="s">
        <v>97</v>
      </c>
      <c r="P1066" s="1">
        <v>41</v>
      </c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>
        <v>736</v>
      </c>
      <c r="AB1066" s="11"/>
      <c r="AC1066" s="82"/>
      <c r="AD1066" s="12" t="s">
        <v>52</v>
      </c>
      <c r="AE1066" s="12" t="s">
        <v>551</v>
      </c>
      <c r="AN1066" s="12" t="s">
        <v>554</v>
      </c>
      <c r="AR1066" s="34" t="s">
        <v>94</v>
      </c>
      <c r="AS1066" s="34" t="s">
        <v>94</v>
      </c>
      <c r="AU1066" s="12" t="s">
        <v>1936</v>
      </c>
      <c r="AV1066" s="13"/>
      <c r="AW1066" s="39">
        <v>6</v>
      </c>
      <c r="AX1066" s="12">
        <f>VLOOKUP(AW1066,색인!$N$14:$O$19,2,FALSE)</f>
        <v>4</v>
      </c>
      <c r="AY1066" s="32" t="str">
        <f>"T"&amp;O1066&amp;"_"&amp;AX1066&amp;"옵션_"&amp;VLOOKUP(E1066,색인!$J$25:$K$29,2,FALSE)</f>
        <v>T4_4옵션_방어구</v>
      </c>
      <c r="AZ1066" s="32">
        <f>VLOOKUP(G1066,색인!$J$32:$K$45,2,FALSE)</f>
        <v>2</v>
      </c>
      <c r="BA1066" s="32" t="str">
        <f>_xlfn.IFNA(VLOOKUP(AY1066,표1[[검색용]:[OptionGroupIndex'[']22]],EquipItemTable!AZ1066,FALSE),"옵션고정안함")</f>
        <v>옵션고정안함</v>
      </c>
    </row>
    <row r="1067" spans="1:53" ht="14.1" customHeight="1" x14ac:dyDescent="0.2">
      <c r="A1067" s="13" t="s">
        <v>1057</v>
      </c>
      <c r="B1067" s="39">
        <v>61033</v>
      </c>
      <c r="C1067" s="42" t="s">
        <v>3681</v>
      </c>
      <c r="D1067" s="10" t="s">
        <v>83</v>
      </c>
      <c r="E1067" s="10" t="s">
        <v>1</v>
      </c>
      <c r="F1067" s="1" t="s">
        <v>311</v>
      </c>
      <c r="G1067" s="1" t="s">
        <v>1312</v>
      </c>
      <c r="H1067" s="1"/>
      <c r="I1067" s="1"/>
      <c r="J1067" s="1"/>
      <c r="K1067" s="1"/>
      <c r="L1067" s="1"/>
      <c r="M1067" s="1"/>
      <c r="O1067" s="12" t="s">
        <v>97</v>
      </c>
      <c r="P1067" s="1">
        <v>41</v>
      </c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>
        <v>736</v>
      </c>
      <c r="AB1067" s="11"/>
      <c r="AC1067" s="82"/>
      <c r="AD1067" s="12" t="s">
        <v>52</v>
      </c>
      <c r="AE1067" s="12" t="s">
        <v>97</v>
      </c>
      <c r="AN1067" s="12" t="s">
        <v>1192</v>
      </c>
      <c r="AR1067" s="34" t="s">
        <v>94</v>
      </c>
      <c r="AS1067" s="34" t="s">
        <v>94</v>
      </c>
      <c r="AU1067" s="12" t="s">
        <v>1936</v>
      </c>
      <c r="AV1067" s="13"/>
      <c r="AW1067" s="39">
        <v>6</v>
      </c>
      <c r="AX1067" s="12">
        <f>VLOOKUP(AW1067,색인!$N$14:$O$19,2,FALSE)</f>
        <v>4</v>
      </c>
      <c r="AY1067" s="32" t="str">
        <f>"T"&amp;O1067&amp;"_"&amp;AX1067&amp;"옵션_"&amp;VLOOKUP(E1067,색인!$J$25:$K$29,2,FALSE)</f>
        <v>T4_4옵션_방어구</v>
      </c>
      <c r="AZ1067" s="32">
        <f>VLOOKUP(G1067,색인!$J$32:$K$45,2,FALSE)</f>
        <v>2</v>
      </c>
      <c r="BA1067" s="32" t="str">
        <f>_xlfn.IFNA(VLOOKUP(AY1067,표1[[검색용]:[OptionGroupIndex'[']22]],EquipItemTable!AZ1067,FALSE),"옵션고정안함")</f>
        <v>옵션고정안함</v>
      </c>
    </row>
    <row r="1068" spans="1:53" ht="14.1" customHeight="1" x14ac:dyDescent="0.2">
      <c r="A1068" s="13" t="s">
        <v>1058</v>
      </c>
      <c r="B1068" s="39">
        <v>61034</v>
      </c>
      <c r="C1068" s="42" t="s">
        <v>3682</v>
      </c>
      <c r="D1068" s="10" t="s">
        <v>83</v>
      </c>
      <c r="E1068" s="10" t="s">
        <v>1</v>
      </c>
      <c r="F1068" s="1" t="s">
        <v>311</v>
      </c>
      <c r="G1068" s="1" t="s">
        <v>1312</v>
      </c>
      <c r="H1068" s="1"/>
      <c r="I1068" s="1"/>
      <c r="J1068" s="1"/>
      <c r="K1068" s="1"/>
      <c r="L1068" s="1"/>
      <c r="M1068" s="1"/>
      <c r="O1068" s="12" t="s">
        <v>97</v>
      </c>
      <c r="P1068" s="1">
        <v>41</v>
      </c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>
        <v>736</v>
      </c>
      <c r="AB1068" s="11"/>
      <c r="AC1068" s="82"/>
      <c r="AD1068" s="12" t="s">
        <v>52</v>
      </c>
      <c r="AE1068" s="12" t="s">
        <v>97</v>
      </c>
      <c r="AN1068" s="12" t="s">
        <v>369</v>
      </c>
      <c r="AR1068" s="34" t="s">
        <v>94</v>
      </c>
      <c r="AS1068" s="34" t="s">
        <v>94</v>
      </c>
      <c r="AU1068" s="12" t="s">
        <v>1936</v>
      </c>
      <c r="AV1068" s="13"/>
      <c r="AW1068" s="39">
        <v>6</v>
      </c>
      <c r="AX1068" s="12">
        <f>VLOOKUP(AW1068,색인!$N$14:$O$19,2,FALSE)</f>
        <v>4</v>
      </c>
      <c r="AY1068" s="32" t="str">
        <f>"T"&amp;O1068&amp;"_"&amp;AX1068&amp;"옵션_"&amp;VLOOKUP(E1068,색인!$J$25:$K$29,2,FALSE)</f>
        <v>T4_4옵션_방어구</v>
      </c>
      <c r="AZ1068" s="32">
        <f>VLOOKUP(G1068,색인!$J$32:$K$45,2,FALSE)</f>
        <v>2</v>
      </c>
      <c r="BA1068" s="32" t="str">
        <f>_xlfn.IFNA(VLOOKUP(AY1068,표1[[검색용]:[OptionGroupIndex'[']22]],EquipItemTable!AZ1068,FALSE),"옵션고정안함")</f>
        <v>옵션고정안함</v>
      </c>
    </row>
    <row r="1069" spans="1:53" ht="14.1" customHeight="1" x14ac:dyDescent="0.2">
      <c r="A1069" s="13" t="s">
        <v>1059</v>
      </c>
      <c r="B1069" s="39">
        <v>61022</v>
      </c>
      <c r="C1069" s="42" t="s">
        <v>3683</v>
      </c>
      <c r="D1069" s="10" t="s">
        <v>83</v>
      </c>
      <c r="E1069" s="10" t="s">
        <v>1</v>
      </c>
      <c r="F1069" s="1" t="s">
        <v>311</v>
      </c>
      <c r="G1069" s="1" t="s">
        <v>1312</v>
      </c>
      <c r="H1069" s="1"/>
      <c r="I1069" s="1"/>
      <c r="J1069" s="1"/>
      <c r="K1069" s="1"/>
      <c r="L1069" s="1"/>
      <c r="M1069" s="1"/>
      <c r="O1069" s="12" t="s">
        <v>97</v>
      </c>
      <c r="P1069" s="1">
        <v>41</v>
      </c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>
        <v>736</v>
      </c>
      <c r="AB1069" s="11"/>
      <c r="AC1069" s="82"/>
      <c r="AD1069" s="12" t="s">
        <v>52</v>
      </c>
      <c r="AE1069" s="12" t="s">
        <v>97</v>
      </c>
      <c r="AN1069" s="12" t="s">
        <v>1194</v>
      </c>
      <c r="AR1069" s="34" t="s">
        <v>94</v>
      </c>
      <c r="AS1069" s="34" t="s">
        <v>94</v>
      </c>
      <c r="AU1069" s="12" t="s">
        <v>1936</v>
      </c>
      <c r="AV1069" s="13"/>
      <c r="AW1069" s="39">
        <v>6</v>
      </c>
      <c r="AX1069" s="12">
        <f>VLOOKUP(AW1069,색인!$N$14:$O$19,2,FALSE)</f>
        <v>4</v>
      </c>
      <c r="AY1069" s="32" t="str">
        <f>"T"&amp;O1069&amp;"_"&amp;AX1069&amp;"옵션_"&amp;VLOOKUP(E1069,색인!$J$25:$K$29,2,FALSE)</f>
        <v>T4_4옵션_방어구</v>
      </c>
      <c r="AZ1069" s="32">
        <f>VLOOKUP(G1069,색인!$J$32:$K$45,2,FALSE)</f>
        <v>2</v>
      </c>
      <c r="BA1069" s="32" t="str">
        <f>_xlfn.IFNA(VLOOKUP(AY1069,표1[[검색용]:[OptionGroupIndex'[']22]],EquipItemTable!AZ1069,FALSE),"옵션고정안함")</f>
        <v>옵션고정안함</v>
      </c>
    </row>
    <row r="1070" spans="1:53" ht="12" customHeight="1" x14ac:dyDescent="0.2">
      <c r="A1070" s="13" t="s">
        <v>484</v>
      </c>
      <c r="B1070" s="39">
        <v>61017</v>
      </c>
      <c r="C1070" s="42" t="s">
        <v>3687</v>
      </c>
      <c r="D1070" s="10" t="s">
        <v>83</v>
      </c>
      <c r="E1070" s="10" t="s">
        <v>1</v>
      </c>
      <c r="F1070" s="1" t="s">
        <v>311</v>
      </c>
      <c r="G1070" s="1" t="s">
        <v>1312</v>
      </c>
      <c r="H1070" s="1"/>
      <c r="I1070" s="1"/>
      <c r="J1070" s="1"/>
      <c r="K1070" s="1"/>
      <c r="L1070" s="1"/>
      <c r="M1070" s="1"/>
      <c r="O1070" s="12" t="s">
        <v>430</v>
      </c>
      <c r="P1070" s="1">
        <v>51</v>
      </c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>
        <v>726</v>
      </c>
      <c r="AB1070" s="11"/>
      <c r="AC1070" s="82"/>
      <c r="AD1070" s="12" t="s">
        <v>542</v>
      </c>
      <c r="AE1070" s="12" t="s">
        <v>552</v>
      </c>
      <c r="AN1070" s="12"/>
      <c r="AU1070" s="12" t="s">
        <v>1932</v>
      </c>
      <c r="AV1070" s="13"/>
      <c r="AW1070" s="39">
        <v>1</v>
      </c>
      <c r="AY1070" s="32"/>
      <c r="AZ1070" s="32"/>
      <c r="BA1070" s="32"/>
    </row>
    <row r="1071" spans="1:53" ht="12" customHeight="1" x14ac:dyDescent="0.2">
      <c r="A1071" s="13" t="s">
        <v>485</v>
      </c>
      <c r="B1071" s="39">
        <v>61018</v>
      </c>
      <c r="C1071" s="42" t="s">
        <v>3688</v>
      </c>
      <c r="D1071" s="10" t="s">
        <v>83</v>
      </c>
      <c r="E1071" s="10" t="s">
        <v>1</v>
      </c>
      <c r="F1071" s="1" t="s">
        <v>311</v>
      </c>
      <c r="G1071" s="1" t="s">
        <v>1312</v>
      </c>
      <c r="H1071" s="1"/>
      <c r="I1071" s="1"/>
      <c r="J1071" s="1"/>
      <c r="K1071" s="1"/>
      <c r="L1071" s="1"/>
      <c r="M1071" s="1"/>
      <c r="O1071" s="12" t="s">
        <v>430</v>
      </c>
      <c r="P1071" s="1">
        <v>51</v>
      </c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>
        <v>886</v>
      </c>
      <c r="AB1071" s="11"/>
      <c r="AC1071" s="82"/>
      <c r="AD1071" s="12" t="s">
        <v>542</v>
      </c>
      <c r="AE1071" s="39" t="str">
        <f t="shared" ref="AE1071:AE1073" si="139">BA1071</f>
        <v>5111</v>
      </c>
      <c r="AN1071" s="12"/>
      <c r="AU1071" s="12" t="s">
        <v>1933</v>
      </c>
      <c r="AV1071" s="13"/>
      <c r="AW1071" s="39">
        <v>2</v>
      </c>
      <c r="AX1071" s="12">
        <f>VLOOKUP(AW1071,색인!$N$14:$O$19,2,FALSE)</f>
        <v>1</v>
      </c>
      <c r="AY1071" s="39" t="str">
        <f>"T"&amp;O1071&amp;"_"&amp;AX1071&amp;"옵션_"&amp;VLOOKUP(E1071,색인!$J$25:$K$29,2,FALSE)</f>
        <v>T5_1옵션_방어구</v>
      </c>
      <c r="AZ1071" s="39">
        <f>VLOOKUP(G1071,색인!$J$32:$K$45,2,FALSE)</f>
        <v>2</v>
      </c>
      <c r="BA1071" s="39" t="str">
        <f>_xlfn.IFNA(VLOOKUP(AY1071,표1[[검색용]:[OptionGroupIndex'[']22]],EquipItemTable!AZ1071,FALSE),"옵션고정안함")</f>
        <v>5111</v>
      </c>
    </row>
    <row r="1072" spans="1:53" ht="12" customHeight="1" x14ac:dyDescent="0.2">
      <c r="A1072" s="13" t="s">
        <v>486</v>
      </c>
      <c r="B1072" s="39">
        <v>61019</v>
      </c>
      <c r="C1072" s="42" t="s">
        <v>15</v>
      </c>
      <c r="D1072" s="10" t="s">
        <v>83</v>
      </c>
      <c r="E1072" s="10" t="s">
        <v>1</v>
      </c>
      <c r="F1072" s="1" t="s">
        <v>311</v>
      </c>
      <c r="G1072" s="1" t="s">
        <v>1312</v>
      </c>
      <c r="H1072" s="1"/>
      <c r="I1072" s="1"/>
      <c r="J1072" s="1"/>
      <c r="K1072" s="1"/>
      <c r="L1072" s="1"/>
      <c r="M1072" s="1"/>
      <c r="O1072" s="12" t="s">
        <v>430</v>
      </c>
      <c r="P1072" s="1">
        <v>51</v>
      </c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>
        <v>1030</v>
      </c>
      <c r="AB1072" s="11"/>
      <c r="AC1072" s="82"/>
      <c r="AD1072" s="12" t="s">
        <v>542</v>
      </c>
      <c r="AE1072" s="39" t="str">
        <f t="shared" si="139"/>
        <v>5211</v>
      </c>
      <c r="AN1072" s="12"/>
      <c r="AR1072" s="34" t="s">
        <v>543</v>
      </c>
      <c r="AS1072" s="34" t="s">
        <v>543</v>
      </c>
      <c r="AU1072" s="12" t="s">
        <v>1934</v>
      </c>
      <c r="AV1072" s="13"/>
      <c r="AW1072" s="39">
        <v>3</v>
      </c>
      <c r="AX1072" s="12">
        <f>VLOOKUP(AW1072,색인!$N$14:$O$19,2,FALSE)</f>
        <v>2</v>
      </c>
      <c r="AY1072" s="39" t="str">
        <f>"T"&amp;O1072&amp;"_"&amp;AX1072&amp;"옵션_"&amp;VLOOKUP(E1072,색인!$J$25:$K$29,2,FALSE)</f>
        <v>T5_2옵션_방어구</v>
      </c>
      <c r="AZ1072" s="39">
        <f>VLOOKUP(G1072,색인!$J$32:$K$45,2,FALSE)</f>
        <v>2</v>
      </c>
      <c r="BA1072" s="39" t="str">
        <f>_xlfn.IFNA(VLOOKUP(AY1072,표1[[검색용]:[OptionGroupIndex'[']22]],EquipItemTable!AZ1072,FALSE),"옵션고정안함")</f>
        <v>5211</v>
      </c>
    </row>
    <row r="1073" spans="1:53" ht="12" customHeight="1" x14ac:dyDescent="0.2">
      <c r="A1073" s="13" t="s">
        <v>487</v>
      </c>
      <c r="B1073" s="39">
        <v>61020</v>
      </c>
      <c r="C1073" s="42" t="s">
        <v>3689</v>
      </c>
      <c r="D1073" s="10" t="s">
        <v>83</v>
      </c>
      <c r="E1073" s="10" t="s">
        <v>1</v>
      </c>
      <c r="F1073" s="1" t="s">
        <v>311</v>
      </c>
      <c r="G1073" s="1" t="s">
        <v>1312</v>
      </c>
      <c r="H1073" s="1"/>
      <c r="I1073" s="1"/>
      <c r="J1073" s="1"/>
      <c r="K1073" s="1"/>
      <c r="L1073" s="1"/>
      <c r="M1073" s="1"/>
      <c r="O1073" s="12" t="s">
        <v>430</v>
      </c>
      <c r="P1073" s="1">
        <v>51</v>
      </c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>
        <v>1194</v>
      </c>
      <c r="AB1073" s="11"/>
      <c r="AC1073" s="82"/>
      <c r="AD1073" s="12" t="s">
        <v>542</v>
      </c>
      <c r="AE1073" s="39" t="str">
        <f t="shared" si="139"/>
        <v>5311</v>
      </c>
      <c r="AN1073" s="12"/>
      <c r="AR1073" s="34" t="s">
        <v>543</v>
      </c>
      <c r="AS1073" s="34" t="s">
        <v>543</v>
      </c>
      <c r="AU1073" s="12" t="s">
        <v>1935</v>
      </c>
      <c r="AV1073" s="13"/>
      <c r="AW1073" s="39">
        <v>4</v>
      </c>
      <c r="AX1073" s="12">
        <f>VLOOKUP(AW1073,색인!$N$14:$O$19,2,FALSE)</f>
        <v>3</v>
      </c>
      <c r="AY1073" s="39" t="str">
        <f>"T"&amp;O1073&amp;"_"&amp;AX1073&amp;"옵션_"&amp;VLOOKUP(E1073,색인!$J$25:$K$29,2,FALSE)</f>
        <v>T5_3옵션_방어구</v>
      </c>
      <c r="AZ1073" s="39">
        <f>VLOOKUP(G1073,색인!$J$32:$K$45,2,FALSE)</f>
        <v>2</v>
      </c>
      <c r="BA1073" s="39" t="str">
        <f>_xlfn.IFNA(VLOOKUP(AY1073,표1[[검색용]:[OptionGroupIndex'[']22]],EquipItemTable!AZ1073,FALSE),"옵션고정안함")</f>
        <v>5311</v>
      </c>
    </row>
    <row r="1074" spans="1:53" ht="14.1" customHeight="1" x14ac:dyDescent="0.2">
      <c r="A1074" s="13" t="s">
        <v>579</v>
      </c>
      <c r="B1074" s="39">
        <v>61035</v>
      </c>
      <c r="C1074" s="42" t="s">
        <v>3680</v>
      </c>
      <c r="D1074" s="10" t="s">
        <v>83</v>
      </c>
      <c r="E1074" s="10" t="s">
        <v>1</v>
      </c>
      <c r="F1074" s="1" t="s">
        <v>311</v>
      </c>
      <c r="G1074" s="1" t="s">
        <v>1312</v>
      </c>
      <c r="H1074" s="1"/>
      <c r="I1074" s="1"/>
      <c r="J1074" s="1"/>
      <c r="K1074" s="1"/>
      <c r="L1074" s="1"/>
      <c r="M1074" s="1"/>
      <c r="O1074" s="12" t="s">
        <v>430</v>
      </c>
      <c r="P1074" s="1">
        <v>51</v>
      </c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>
        <v>1377</v>
      </c>
      <c r="AB1074" s="11"/>
      <c r="AC1074" s="82"/>
      <c r="AD1074" s="12" t="s">
        <v>336</v>
      </c>
      <c r="AE1074" s="12" t="s">
        <v>529</v>
      </c>
      <c r="AN1074" s="12" t="s">
        <v>554</v>
      </c>
      <c r="AR1074" s="34" t="s">
        <v>543</v>
      </c>
      <c r="AS1074" s="34" t="s">
        <v>543</v>
      </c>
      <c r="AU1074" s="12" t="s">
        <v>1936</v>
      </c>
      <c r="AV1074" s="13"/>
      <c r="AW1074" s="39">
        <v>6</v>
      </c>
      <c r="AX1074" s="12">
        <f>VLOOKUP(AW1074,색인!$N$14:$O$19,2,FALSE)</f>
        <v>4</v>
      </c>
      <c r="AY1074" s="32" t="str">
        <f>"T"&amp;O1074&amp;"_"&amp;AX1074&amp;"옵션_"&amp;VLOOKUP(E1074,색인!$J$25:$K$29,2,FALSE)</f>
        <v>T5_4옵션_방어구</v>
      </c>
      <c r="AZ1074" s="32">
        <f>VLOOKUP(G1074,색인!$J$32:$K$45,2,FALSE)</f>
        <v>2</v>
      </c>
      <c r="BA1074" s="32" t="str">
        <f>_xlfn.IFNA(VLOOKUP(AY1074,표1[[검색용]:[OptionGroupIndex'[']22]],EquipItemTable!AZ1074,FALSE),"옵션고정안함")</f>
        <v>옵션고정안함</v>
      </c>
    </row>
    <row r="1075" spans="1:53" ht="14.1" customHeight="1" x14ac:dyDescent="0.2">
      <c r="A1075" s="13" t="s">
        <v>1060</v>
      </c>
      <c r="B1075" s="39">
        <v>61036</v>
      </c>
      <c r="C1075" s="42" t="s">
        <v>3681</v>
      </c>
      <c r="D1075" s="10" t="s">
        <v>83</v>
      </c>
      <c r="E1075" s="10" t="s">
        <v>1</v>
      </c>
      <c r="F1075" s="1" t="s">
        <v>311</v>
      </c>
      <c r="G1075" s="1" t="s">
        <v>1312</v>
      </c>
      <c r="H1075" s="1"/>
      <c r="I1075" s="1"/>
      <c r="J1075" s="1"/>
      <c r="K1075" s="1"/>
      <c r="L1075" s="1"/>
      <c r="M1075" s="1"/>
      <c r="O1075" s="12" t="s">
        <v>430</v>
      </c>
      <c r="P1075" s="1">
        <v>51</v>
      </c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>
        <v>1377</v>
      </c>
      <c r="AB1075" s="11"/>
      <c r="AC1075" s="82"/>
      <c r="AD1075" s="12" t="s">
        <v>336</v>
      </c>
      <c r="AE1075" s="12" t="s">
        <v>430</v>
      </c>
      <c r="AN1075" s="12" t="s">
        <v>1192</v>
      </c>
      <c r="AR1075" s="34" t="s">
        <v>428</v>
      </c>
      <c r="AS1075" s="34" t="s">
        <v>428</v>
      </c>
      <c r="AU1075" s="12" t="s">
        <v>1936</v>
      </c>
      <c r="AV1075" s="13"/>
      <c r="AW1075" s="39">
        <v>6</v>
      </c>
      <c r="AX1075" s="12">
        <f>VLOOKUP(AW1075,색인!$N$14:$O$19,2,FALSE)</f>
        <v>4</v>
      </c>
      <c r="AY1075" s="32" t="str">
        <f>"T"&amp;O1075&amp;"_"&amp;AX1075&amp;"옵션_"&amp;VLOOKUP(E1075,색인!$J$25:$K$29,2,FALSE)</f>
        <v>T5_4옵션_방어구</v>
      </c>
      <c r="AZ1075" s="32">
        <f>VLOOKUP(G1075,색인!$J$32:$K$45,2,FALSE)</f>
        <v>2</v>
      </c>
      <c r="BA1075" s="32" t="str">
        <f>_xlfn.IFNA(VLOOKUP(AY1075,표1[[검색용]:[OptionGroupIndex'[']22]],EquipItemTable!AZ1075,FALSE),"옵션고정안함")</f>
        <v>옵션고정안함</v>
      </c>
    </row>
    <row r="1076" spans="1:53" ht="14.1" customHeight="1" x14ac:dyDescent="0.2">
      <c r="A1076" s="13" t="s">
        <v>1061</v>
      </c>
      <c r="B1076" s="39">
        <v>61037</v>
      </c>
      <c r="C1076" s="42" t="s">
        <v>3682</v>
      </c>
      <c r="D1076" s="10" t="s">
        <v>83</v>
      </c>
      <c r="E1076" s="10" t="s">
        <v>1</v>
      </c>
      <c r="F1076" s="1" t="s">
        <v>311</v>
      </c>
      <c r="G1076" s="1" t="s">
        <v>1312</v>
      </c>
      <c r="H1076" s="1"/>
      <c r="I1076" s="1"/>
      <c r="J1076" s="1"/>
      <c r="K1076" s="1"/>
      <c r="L1076" s="1"/>
      <c r="M1076" s="1"/>
      <c r="O1076" s="12" t="s">
        <v>430</v>
      </c>
      <c r="P1076" s="1">
        <v>51</v>
      </c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>
        <v>1377</v>
      </c>
      <c r="AB1076" s="11"/>
      <c r="AC1076" s="82"/>
      <c r="AD1076" s="12" t="s">
        <v>336</v>
      </c>
      <c r="AE1076" s="12" t="s">
        <v>430</v>
      </c>
      <c r="AN1076" s="12" t="s">
        <v>369</v>
      </c>
      <c r="AR1076" s="34" t="s">
        <v>428</v>
      </c>
      <c r="AS1076" s="34" t="s">
        <v>428</v>
      </c>
      <c r="AU1076" s="12" t="s">
        <v>1936</v>
      </c>
      <c r="AV1076" s="13"/>
      <c r="AW1076" s="39">
        <v>6</v>
      </c>
      <c r="AX1076" s="12">
        <f>VLOOKUP(AW1076,색인!$N$14:$O$19,2,FALSE)</f>
        <v>4</v>
      </c>
      <c r="AY1076" s="32" t="str">
        <f>"T"&amp;O1076&amp;"_"&amp;AX1076&amp;"옵션_"&amp;VLOOKUP(E1076,색인!$J$25:$K$29,2,FALSE)</f>
        <v>T5_4옵션_방어구</v>
      </c>
      <c r="AZ1076" s="32">
        <f>VLOOKUP(G1076,색인!$J$32:$K$45,2,FALSE)</f>
        <v>2</v>
      </c>
      <c r="BA1076" s="32" t="str">
        <f>_xlfn.IFNA(VLOOKUP(AY1076,표1[[검색용]:[OptionGroupIndex'[']22]],EquipItemTable!AZ1076,FALSE),"옵션고정안함")</f>
        <v>옵션고정안함</v>
      </c>
    </row>
    <row r="1077" spans="1:53" ht="14.1" customHeight="1" x14ac:dyDescent="0.2">
      <c r="A1077" s="13" t="s">
        <v>1062</v>
      </c>
      <c r="B1077" s="39">
        <v>61023</v>
      </c>
      <c r="C1077" s="42" t="s">
        <v>3683</v>
      </c>
      <c r="D1077" s="10" t="s">
        <v>83</v>
      </c>
      <c r="E1077" s="10" t="s">
        <v>1</v>
      </c>
      <c r="F1077" s="1" t="s">
        <v>311</v>
      </c>
      <c r="G1077" s="1" t="s">
        <v>1312</v>
      </c>
      <c r="H1077" s="1"/>
      <c r="I1077" s="1"/>
      <c r="J1077" s="1"/>
      <c r="K1077" s="1"/>
      <c r="L1077" s="1"/>
      <c r="M1077" s="1"/>
      <c r="O1077" s="12" t="s">
        <v>430</v>
      </c>
      <c r="P1077" s="1">
        <v>51</v>
      </c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>
        <v>1377</v>
      </c>
      <c r="AB1077" s="11"/>
      <c r="AC1077" s="82"/>
      <c r="AD1077" s="12" t="s">
        <v>336</v>
      </c>
      <c r="AE1077" s="12" t="s">
        <v>430</v>
      </c>
      <c r="AN1077" s="12" t="s">
        <v>1194</v>
      </c>
      <c r="AR1077" s="34" t="s">
        <v>428</v>
      </c>
      <c r="AS1077" s="34" t="s">
        <v>428</v>
      </c>
      <c r="AU1077" s="12" t="s">
        <v>1936</v>
      </c>
      <c r="AV1077" s="13"/>
      <c r="AW1077" s="39">
        <v>6</v>
      </c>
      <c r="AX1077" s="12">
        <f>VLOOKUP(AW1077,색인!$N$14:$O$19,2,FALSE)</f>
        <v>4</v>
      </c>
      <c r="AY1077" s="32" t="str">
        <f>"T"&amp;O1077&amp;"_"&amp;AX1077&amp;"옵션_"&amp;VLOOKUP(E1077,색인!$J$25:$K$29,2,FALSE)</f>
        <v>T5_4옵션_방어구</v>
      </c>
      <c r="AZ1077" s="32">
        <f>VLOOKUP(G1077,색인!$J$32:$K$45,2,FALSE)</f>
        <v>2</v>
      </c>
      <c r="BA1077" s="32" t="str">
        <f>_xlfn.IFNA(VLOOKUP(AY1077,표1[[검색용]:[OptionGroupIndex'[']22]],EquipItemTable!AZ1077,FALSE),"옵션고정안함")</f>
        <v>옵션고정안함</v>
      </c>
    </row>
    <row r="1078" spans="1:53" s="1" customFormat="1" ht="12" x14ac:dyDescent="0.2">
      <c r="A1078" s="31" t="s">
        <v>799</v>
      </c>
      <c r="B1078" s="39">
        <v>61024</v>
      </c>
      <c r="C1078" s="42" t="s">
        <v>3690</v>
      </c>
      <c r="D1078" s="10" t="s">
        <v>83</v>
      </c>
      <c r="E1078" s="10" t="s">
        <v>1</v>
      </c>
      <c r="F1078" s="1" t="s">
        <v>311</v>
      </c>
      <c r="G1078" s="1" t="s">
        <v>1312</v>
      </c>
      <c r="N1078" s="8"/>
      <c r="O1078" s="12" t="s">
        <v>755</v>
      </c>
      <c r="P1078" s="1">
        <v>61</v>
      </c>
      <c r="AA1078" s="1">
        <v>1269</v>
      </c>
      <c r="AB1078" s="11"/>
      <c r="AC1078" s="82"/>
      <c r="AD1078" s="12" t="s">
        <v>864</v>
      </c>
      <c r="AE1078" s="12" t="s">
        <v>529</v>
      </c>
      <c r="AF1078" s="12"/>
      <c r="AG1078" s="23"/>
      <c r="AH1078" s="23"/>
      <c r="AI1078" s="12"/>
      <c r="AJ1078" s="12"/>
      <c r="AK1078" s="12"/>
      <c r="AL1078" s="12"/>
      <c r="AM1078" s="12"/>
      <c r="AN1078" s="12"/>
      <c r="AO1078" s="12"/>
      <c r="AP1078" s="12"/>
      <c r="AQ1078" s="8"/>
      <c r="AR1078" s="34"/>
      <c r="AS1078" s="34"/>
      <c r="AT1078" s="85"/>
      <c r="AU1078" s="12" t="s">
        <v>1932</v>
      </c>
      <c r="AW1078" s="90">
        <v>1</v>
      </c>
      <c r="AX1078" s="23"/>
      <c r="AY1078" s="23"/>
      <c r="AZ1078" s="23"/>
      <c r="BA1078" s="23"/>
    </row>
    <row r="1079" spans="1:53" s="1" customFormat="1" ht="12" x14ac:dyDescent="0.2">
      <c r="A1079" s="31" t="s">
        <v>800</v>
      </c>
      <c r="B1079" s="39">
        <v>61025</v>
      </c>
      <c r="C1079" s="42" t="s">
        <v>3691</v>
      </c>
      <c r="D1079" s="10" t="s">
        <v>83</v>
      </c>
      <c r="E1079" s="10" t="s">
        <v>1</v>
      </c>
      <c r="F1079" s="1" t="s">
        <v>311</v>
      </c>
      <c r="G1079" s="1" t="s">
        <v>1312</v>
      </c>
      <c r="N1079" s="8"/>
      <c r="O1079" s="12" t="s">
        <v>755</v>
      </c>
      <c r="P1079" s="1">
        <v>61</v>
      </c>
      <c r="AA1079" s="1">
        <v>1437</v>
      </c>
      <c r="AB1079" s="11"/>
      <c r="AC1079" s="82"/>
      <c r="AD1079" s="12" t="s">
        <v>864</v>
      </c>
      <c r="AE1079" s="39" t="str">
        <f t="shared" ref="AE1079:AE1081" si="140">BA1079</f>
        <v>6111</v>
      </c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8"/>
      <c r="AR1079" s="34"/>
      <c r="AS1079" s="34"/>
      <c r="AT1079" s="85"/>
      <c r="AU1079" s="12" t="s">
        <v>1933</v>
      </c>
      <c r="AW1079" s="90">
        <v>2</v>
      </c>
      <c r="AX1079" s="23">
        <f>VLOOKUP(AW1079,색인!$N$14:$O$19,2,FALSE)</f>
        <v>1</v>
      </c>
      <c r="AY1079" s="90" t="str">
        <f>"T"&amp;O1079&amp;"_"&amp;AX1079&amp;"옵션_"&amp;VLOOKUP(E1079,색인!$J$25:$K$29,2,FALSE)</f>
        <v>T6_1옵션_방어구</v>
      </c>
      <c r="AZ1079" s="90">
        <f>VLOOKUP(G1079,색인!$J$32:$K$45,2,FALSE)</f>
        <v>2</v>
      </c>
      <c r="BA1079" s="90" t="str">
        <f>_xlfn.IFNA(VLOOKUP(AY1079,표1[[검색용]:[OptionGroupIndex'[']22]],EquipItemTable!AZ1079,FALSE),"옵션고정안함")</f>
        <v>6111</v>
      </c>
    </row>
    <row r="1080" spans="1:53" s="1" customFormat="1" ht="12" x14ac:dyDescent="0.2">
      <c r="A1080" s="31" t="s">
        <v>801</v>
      </c>
      <c r="B1080" s="39">
        <v>61026</v>
      </c>
      <c r="C1080" s="42" t="s">
        <v>3692</v>
      </c>
      <c r="D1080" s="10" t="s">
        <v>83</v>
      </c>
      <c r="E1080" s="10" t="s">
        <v>1</v>
      </c>
      <c r="F1080" s="1" t="s">
        <v>311</v>
      </c>
      <c r="G1080" s="1" t="s">
        <v>1312</v>
      </c>
      <c r="N1080" s="8"/>
      <c r="O1080" s="12" t="s">
        <v>747</v>
      </c>
      <c r="P1080" s="1">
        <v>61</v>
      </c>
      <c r="AA1080" s="1">
        <v>1582</v>
      </c>
      <c r="AB1080" s="11"/>
      <c r="AC1080" s="82"/>
      <c r="AD1080" s="12" t="s">
        <v>864</v>
      </c>
      <c r="AE1080" s="39" t="str">
        <f t="shared" si="140"/>
        <v>6211</v>
      </c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8"/>
      <c r="AR1080" s="34" t="s">
        <v>94</v>
      </c>
      <c r="AS1080" s="34" t="s">
        <v>94</v>
      </c>
      <c r="AT1080" s="85"/>
      <c r="AU1080" s="12" t="s">
        <v>1934</v>
      </c>
      <c r="AW1080" s="90">
        <v>3</v>
      </c>
      <c r="AX1080" s="23">
        <f>VLOOKUP(AW1080,색인!$N$14:$O$19,2,FALSE)</f>
        <v>2</v>
      </c>
      <c r="AY1080" s="90" t="str">
        <f>"T"&amp;O1080&amp;"_"&amp;AX1080&amp;"옵션_"&amp;VLOOKUP(E1080,색인!$J$25:$K$29,2,FALSE)</f>
        <v>T6_2옵션_방어구</v>
      </c>
      <c r="AZ1080" s="90">
        <f>VLOOKUP(G1080,색인!$J$32:$K$45,2,FALSE)</f>
        <v>2</v>
      </c>
      <c r="BA1080" s="90" t="str">
        <f>_xlfn.IFNA(VLOOKUP(AY1080,표1[[검색용]:[OptionGroupIndex'[']22]],EquipItemTable!AZ1080,FALSE),"옵션고정안함")</f>
        <v>6211</v>
      </c>
    </row>
    <row r="1081" spans="1:53" s="1" customFormat="1" ht="12" x14ac:dyDescent="0.2">
      <c r="A1081" s="31" t="s">
        <v>802</v>
      </c>
      <c r="B1081" s="39">
        <v>61027</v>
      </c>
      <c r="C1081" s="42" t="s">
        <v>3693</v>
      </c>
      <c r="D1081" s="10" t="s">
        <v>83</v>
      </c>
      <c r="E1081" s="10" t="s">
        <v>1</v>
      </c>
      <c r="F1081" s="1" t="s">
        <v>311</v>
      </c>
      <c r="G1081" s="1" t="s">
        <v>1312</v>
      </c>
      <c r="N1081" s="8"/>
      <c r="O1081" s="12" t="s">
        <v>747</v>
      </c>
      <c r="P1081" s="1">
        <v>61</v>
      </c>
      <c r="AA1081" s="1">
        <v>1741</v>
      </c>
      <c r="AB1081" s="11"/>
      <c r="AC1081" s="82"/>
      <c r="AD1081" s="12" t="s">
        <v>864</v>
      </c>
      <c r="AE1081" s="39" t="str">
        <f t="shared" si="140"/>
        <v>6311</v>
      </c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8"/>
      <c r="AR1081" s="34" t="s">
        <v>94</v>
      </c>
      <c r="AS1081" s="34" t="s">
        <v>94</v>
      </c>
      <c r="AT1081" s="85"/>
      <c r="AU1081" s="12" t="s">
        <v>1935</v>
      </c>
      <c r="AW1081" s="90">
        <v>4</v>
      </c>
      <c r="AX1081" s="23">
        <f>VLOOKUP(AW1081,색인!$N$14:$O$19,2,FALSE)</f>
        <v>3</v>
      </c>
      <c r="AY1081" s="90" t="str">
        <f>"T"&amp;O1081&amp;"_"&amp;AX1081&amp;"옵션_"&amp;VLOOKUP(E1081,색인!$J$25:$K$29,2,FALSE)</f>
        <v>T6_3옵션_방어구</v>
      </c>
      <c r="AZ1081" s="90">
        <f>VLOOKUP(G1081,색인!$J$32:$K$45,2,FALSE)</f>
        <v>2</v>
      </c>
      <c r="BA1081" s="90" t="str">
        <f>_xlfn.IFNA(VLOOKUP(AY1081,표1[[검색용]:[OptionGroupIndex'[']22]],EquipItemTable!AZ1081,FALSE),"옵션고정안함")</f>
        <v>6311</v>
      </c>
    </row>
    <row r="1082" spans="1:53" s="1" customFormat="1" ht="12" x14ac:dyDescent="0.2">
      <c r="A1082" s="31" t="s">
        <v>803</v>
      </c>
      <c r="B1082" s="39">
        <v>61038</v>
      </c>
      <c r="C1082" s="42" t="s">
        <v>3680</v>
      </c>
      <c r="D1082" s="10" t="s">
        <v>83</v>
      </c>
      <c r="E1082" s="10" t="s">
        <v>1</v>
      </c>
      <c r="F1082" s="1" t="s">
        <v>311</v>
      </c>
      <c r="G1082" s="1" t="s">
        <v>1312</v>
      </c>
      <c r="N1082" s="8"/>
      <c r="O1082" s="12" t="s">
        <v>804</v>
      </c>
      <c r="P1082" s="1">
        <v>61</v>
      </c>
      <c r="AA1082" s="1">
        <v>1906</v>
      </c>
      <c r="AB1082" s="11"/>
      <c r="AC1082" s="82"/>
      <c r="AD1082" s="12" t="s">
        <v>864</v>
      </c>
      <c r="AE1082" s="39" t="str">
        <f>BA1082</f>
        <v>6411</v>
      </c>
      <c r="AF1082" s="12"/>
      <c r="AG1082" s="12"/>
      <c r="AH1082" s="12"/>
      <c r="AI1082" s="12"/>
      <c r="AJ1082" s="12"/>
      <c r="AK1082" s="12"/>
      <c r="AL1082" s="12"/>
      <c r="AM1082" s="12"/>
      <c r="AN1082" s="12" t="s">
        <v>554</v>
      </c>
      <c r="AO1082" s="12"/>
      <c r="AP1082" s="12"/>
      <c r="AQ1082" s="8"/>
      <c r="AR1082" s="34" t="s">
        <v>94</v>
      </c>
      <c r="AS1082" s="34" t="s">
        <v>94</v>
      </c>
      <c r="AT1082" s="85"/>
      <c r="AU1082" s="12" t="s">
        <v>1936</v>
      </c>
      <c r="AW1082" s="90">
        <v>6</v>
      </c>
      <c r="AX1082" s="23">
        <f>VLOOKUP(AW1082,색인!$N$14:$O$19,2,FALSE)</f>
        <v>4</v>
      </c>
      <c r="AY1082" s="23" t="str">
        <f>"T"&amp;O1082&amp;"_"&amp;AX1082&amp;"옵션_"&amp;VLOOKUP(E1082,색인!$J$25:$K$29,2,FALSE)</f>
        <v>T6_4옵션_방어구</v>
      </c>
      <c r="AZ1082" s="23">
        <f>VLOOKUP(G1082,색인!$J$32:$K$45,2,FALSE)</f>
        <v>2</v>
      </c>
      <c r="BA1082" s="23" t="str">
        <f>_xlfn.IFNA(VLOOKUP(AY1082,표1[[검색용]:[OptionGroupIndex'[']22]],EquipItemTable!AZ1082,FALSE),"옵션고정안함")</f>
        <v>6411</v>
      </c>
    </row>
    <row r="1083" spans="1:53" s="1" customFormat="1" ht="12" x14ac:dyDescent="0.2">
      <c r="A1083" s="31" t="s">
        <v>1063</v>
      </c>
      <c r="B1083" s="39">
        <v>61039</v>
      </c>
      <c r="C1083" s="42" t="s">
        <v>3681</v>
      </c>
      <c r="D1083" s="10" t="s">
        <v>83</v>
      </c>
      <c r="E1083" s="10" t="s">
        <v>1</v>
      </c>
      <c r="F1083" s="1" t="s">
        <v>311</v>
      </c>
      <c r="G1083" s="1" t="s">
        <v>1312</v>
      </c>
      <c r="N1083" s="8"/>
      <c r="O1083" s="12" t="s">
        <v>747</v>
      </c>
      <c r="P1083" s="1">
        <v>61</v>
      </c>
      <c r="AA1083" s="1">
        <v>1906</v>
      </c>
      <c r="AB1083" s="11"/>
      <c r="AC1083" s="82"/>
      <c r="AD1083" s="12" t="s">
        <v>336</v>
      </c>
      <c r="AE1083" s="39" t="str">
        <f>BA1083</f>
        <v>6411</v>
      </c>
      <c r="AF1083" s="12"/>
      <c r="AG1083" s="12"/>
      <c r="AH1083" s="12"/>
      <c r="AI1083" s="12"/>
      <c r="AJ1083" s="12"/>
      <c r="AK1083" s="12"/>
      <c r="AL1083" s="12"/>
      <c r="AM1083" s="12"/>
      <c r="AN1083" s="12" t="s">
        <v>1192</v>
      </c>
      <c r="AO1083" s="12"/>
      <c r="AP1083" s="12"/>
      <c r="AQ1083" s="8"/>
      <c r="AR1083" s="34" t="s">
        <v>94</v>
      </c>
      <c r="AS1083" s="34" t="s">
        <v>94</v>
      </c>
      <c r="AT1083" s="85"/>
      <c r="AU1083" s="12" t="s">
        <v>1936</v>
      </c>
      <c r="AW1083" s="90">
        <v>6</v>
      </c>
      <c r="AX1083" s="23">
        <f>VLOOKUP(AW1083,색인!$N$14:$O$19,2,FALSE)</f>
        <v>4</v>
      </c>
      <c r="AY1083" s="23" t="str">
        <f>"T"&amp;O1083&amp;"_"&amp;AX1083&amp;"옵션_"&amp;VLOOKUP(E1083,색인!$J$25:$K$29,2,FALSE)</f>
        <v>T6_4옵션_방어구</v>
      </c>
      <c r="AZ1083" s="23">
        <f>VLOOKUP(G1083,색인!$J$32:$K$45,2,FALSE)</f>
        <v>2</v>
      </c>
      <c r="BA1083" s="23" t="str">
        <f>_xlfn.IFNA(VLOOKUP(AY1083,표1[[검색용]:[OptionGroupIndex'[']22]],EquipItemTable!AZ1083,FALSE),"옵션고정안함")</f>
        <v>6411</v>
      </c>
    </row>
    <row r="1084" spans="1:53" s="1" customFormat="1" ht="12" x14ac:dyDescent="0.2">
      <c r="A1084" s="31" t="s">
        <v>1064</v>
      </c>
      <c r="B1084" s="39">
        <v>61040</v>
      </c>
      <c r="C1084" s="42" t="s">
        <v>3682</v>
      </c>
      <c r="D1084" s="10" t="s">
        <v>83</v>
      </c>
      <c r="E1084" s="10" t="s">
        <v>1</v>
      </c>
      <c r="F1084" s="1" t="s">
        <v>311</v>
      </c>
      <c r="G1084" s="1" t="s">
        <v>1312</v>
      </c>
      <c r="N1084" s="8"/>
      <c r="O1084" s="12" t="s">
        <v>747</v>
      </c>
      <c r="P1084" s="1">
        <v>61</v>
      </c>
      <c r="AA1084" s="1">
        <v>1906</v>
      </c>
      <c r="AB1084" s="11"/>
      <c r="AC1084" s="82"/>
      <c r="AD1084" s="12" t="s">
        <v>336</v>
      </c>
      <c r="AE1084" s="39" t="str">
        <f>BA1084</f>
        <v>6411</v>
      </c>
      <c r="AF1084" s="12"/>
      <c r="AG1084" s="12"/>
      <c r="AH1084" s="12"/>
      <c r="AI1084" s="12"/>
      <c r="AJ1084" s="12"/>
      <c r="AK1084" s="12"/>
      <c r="AL1084" s="12"/>
      <c r="AM1084" s="12"/>
      <c r="AN1084" s="12" t="s">
        <v>369</v>
      </c>
      <c r="AO1084" s="12"/>
      <c r="AP1084" s="12"/>
      <c r="AQ1084" s="8"/>
      <c r="AR1084" s="34" t="s">
        <v>94</v>
      </c>
      <c r="AS1084" s="34" t="s">
        <v>94</v>
      </c>
      <c r="AT1084" s="85"/>
      <c r="AU1084" s="12" t="s">
        <v>1936</v>
      </c>
      <c r="AW1084" s="90">
        <v>6</v>
      </c>
      <c r="AX1084" s="23">
        <f>VLOOKUP(AW1084,색인!$N$14:$O$19,2,FALSE)</f>
        <v>4</v>
      </c>
      <c r="AY1084" s="23" t="str">
        <f>"T"&amp;O1084&amp;"_"&amp;AX1084&amp;"옵션_"&amp;VLOOKUP(E1084,색인!$J$25:$K$29,2,FALSE)</f>
        <v>T6_4옵션_방어구</v>
      </c>
      <c r="AZ1084" s="23">
        <f>VLOOKUP(G1084,색인!$J$32:$K$45,2,FALSE)</f>
        <v>2</v>
      </c>
      <c r="BA1084" s="23" t="str">
        <f>_xlfn.IFNA(VLOOKUP(AY1084,표1[[검색용]:[OptionGroupIndex'[']22]],EquipItemTable!AZ1084,FALSE),"옵션고정안함")</f>
        <v>6411</v>
      </c>
    </row>
    <row r="1085" spans="1:53" s="1" customFormat="1" ht="12" x14ac:dyDescent="0.2">
      <c r="A1085" s="31" t="s">
        <v>1065</v>
      </c>
      <c r="B1085" s="39">
        <v>61028</v>
      </c>
      <c r="C1085" s="42" t="s">
        <v>3683</v>
      </c>
      <c r="D1085" s="10" t="s">
        <v>83</v>
      </c>
      <c r="E1085" s="10" t="s">
        <v>1</v>
      </c>
      <c r="F1085" s="1" t="s">
        <v>311</v>
      </c>
      <c r="G1085" s="1" t="s">
        <v>1312</v>
      </c>
      <c r="N1085" s="8"/>
      <c r="O1085" s="12" t="s">
        <v>747</v>
      </c>
      <c r="P1085" s="1">
        <v>61</v>
      </c>
      <c r="AA1085" s="1">
        <v>1906</v>
      </c>
      <c r="AB1085" s="11"/>
      <c r="AC1085" s="82"/>
      <c r="AD1085" s="12" t="s">
        <v>336</v>
      </c>
      <c r="AE1085" s="39" t="str">
        <f>BA1085</f>
        <v>6411</v>
      </c>
      <c r="AF1085" s="12"/>
      <c r="AG1085" s="12"/>
      <c r="AH1085" s="12"/>
      <c r="AI1085" s="12"/>
      <c r="AJ1085" s="12"/>
      <c r="AK1085" s="12"/>
      <c r="AL1085" s="12"/>
      <c r="AM1085" s="12"/>
      <c r="AN1085" s="12" t="s">
        <v>1194</v>
      </c>
      <c r="AO1085" s="12"/>
      <c r="AP1085" s="12"/>
      <c r="AQ1085" s="8"/>
      <c r="AR1085" s="34" t="s">
        <v>94</v>
      </c>
      <c r="AS1085" s="34" t="s">
        <v>94</v>
      </c>
      <c r="AT1085" s="85"/>
      <c r="AU1085" s="12" t="s">
        <v>1936</v>
      </c>
      <c r="AW1085" s="90">
        <v>6</v>
      </c>
      <c r="AX1085" s="23">
        <f>VLOOKUP(AW1085,색인!$N$14:$O$19,2,FALSE)</f>
        <v>4</v>
      </c>
      <c r="AY1085" s="23" t="str">
        <f>"T"&amp;O1085&amp;"_"&amp;AX1085&amp;"옵션_"&amp;VLOOKUP(E1085,색인!$J$25:$K$29,2,FALSE)</f>
        <v>T6_4옵션_방어구</v>
      </c>
      <c r="AZ1085" s="23">
        <f>VLOOKUP(G1085,색인!$J$32:$K$45,2,FALSE)</f>
        <v>2</v>
      </c>
      <c r="BA1085" s="23" t="str">
        <f>_xlfn.IFNA(VLOOKUP(AY1085,표1[[검색용]:[OptionGroupIndex'[']22]],EquipItemTable!AZ1085,FALSE),"옵션고정안함")</f>
        <v>6411</v>
      </c>
    </row>
    <row r="1086" spans="1:53" ht="12" customHeight="1" x14ac:dyDescent="0.2">
      <c r="A1086" s="13" t="s">
        <v>679</v>
      </c>
      <c r="B1086" s="39">
        <v>61401</v>
      </c>
      <c r="C1086" s="42" t="s">
        <v>3694</v>
      </c>
      <c r="D1086" s="10" t="s">
        <v>83</v>
      </c>
      <c r="E1086" s="10" t="s">
        <v>1</v>
      </c>
      <c r="F1086" s="1" t="s">
        <v>311</v>
      </c>
      <c r="G1086" s="1" t="s">
        <v>1312</v>
      </c>
      <c r="H1086" s="1"/>
      <c r="I1086" s="1"/>
      <c r="J1086" s="1"/>
      <c r="K1086" s="1"/>
      <c r="L1086" s="1"/>
      <c r="M1086" s="1"/>
      <c r="O1086" s="12" t="s">
        <v>94</v>
      </c>
      <c r="P1086" s="1">
        <v>1</v>
      </c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>
        <v>76</v>
      </c>
      <c r="AB1086" s="11"/>
      <c r="AC1086" s="82"/>
      <c r="AD1086" s="12" t="s">
        <v>868</v>
      </c>
      <c r="AE1086" s="39" t="str">
        <f t="shared" ref="AE1086:AE1096" si="141">BA1086</f>
        <v>1311</v>
      </c>
      <c r="AN1086" s="12" t="s">
        <v>2833</v>
      </c>
      <c r="AR1086" s="34" t="s">
        <v>94</v>
      </c>
      <c r="AS1086" s="34" t="s">
        <v>94</v>
      </c>
      <c r="AU1086" s="12" t="s">
        <v>1937</v>
      </c>
      <c r="AV1086" s="13"/>
      <c r="AW1086" s="39">
        <v>5</v>
      </c>
      <c r="AX1086" s="12">
        <f>VLOOKUP(AW1086,색인!$N$14:$O$19,2,FALSE)</f>
        <v>3</v>
      </c>
      <c r="AY1086" s="39" t="str">
        <f>"T"&amp;O1086&amp;"_"&amp;AX1086&amp;"옵션_"&amp;VLOOKUP(E1086,색인!$J$25:$K$29,2,FALSE)</f>
        <v>T1_3옵션_방어구</v>
      </c>
      <c r="AZ1086" s="39">
        <f>VLOOKUP(G1086,색인!$J$32:$K$45,2,FALSE)</f>
        <v>2</v>
      </c>
      <c r="BA1086" s="39" t="str">
        <f>_xlfn.IFNA(VLOOKUP(AY1086,표1[[검색용]:[OptionGroupIndex'[']22]],EquipItemTable!AZ1086,FALSE),"옵션고정안함")</f>
        <v>1311</v>
      </c>
    </row>
    <row r="1087" spans="1:53" ht="12" customHeight="1" x14ac:dyDescent="0.2">
      <c r="A1087" s="13" t="s">
        <v>680</v>
      </c>
      <c r="B1087" s="39">
        <v>61402</v>
      </c>
      <c r="C1087" s="42" t="s">
        <v>3694</v>
      </c>
      <c r="D1087" s="10" t="s">
        <v>83</v>
      </c>
      <c r="E1087" s="10" t="s">
        <v>1</v>
      </c>
      <c r="F1087" s="1" t="s">
        <v>311</v>
      </c>
      <c r="G1087" s="1" t="s">
        <v>1312</v>
      </c>
      <c r="H1087" s="1"/>
      <c r="I1087" s="1"/>
      <c r="J1087" s="1"/>
      <c r="K1087" s="1"/>
      <c r="L1087" s="1"/>
      <c r="M1087" s="1"/>
      <c r="O1087" s="12" t="s">
        <v>95</v>
      </c>
      <c r="P1087" s="1">
        <v>21</v>
      </c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>
        <v>172</v>
      </c>
      <c r="AB1087" s="11"/>
      <c r="AC1087" s="82"/>
      <c r="AD1087" s="12" t="s">
        <v>868</v>
      </c>
      <c r="AE1087" s="39" t="str">
        <f t="shared" si="141"/>
        <v>2311</v>
      </c>
      <c r="AN1087" s="12" t="s">
        <v>2833</v>
      </c>
      <c r="AR1087" s="34" t="s">
        <v>94</v>
      </c>
      <c r="AS1087" s="34" t="s">
        <v>94</v>
      </c>
      <c r="AU1087" s="12" t="s">
        <v>1937</v>
      </c>
      <c r="AV1087" s="13"/>
      <c r="AW1087" s="39">
        <v>5</v>
      </c>
      <c r="AX1087" s="12">
        <f>VLOOKUP(AW1087,색인!$N$14:$O$19,2,FALSE)</f>
        <v>3</v>
      </c>
      <c r="AY1087" s="39" t="str">
        <f>"T"&amp;O1087&amp;"_"&amp;AX1087&amp;"옵션_"&amp;VLOOKUP(E1087,색인!$J$25:$K$29,2,FALSE)</f>
        <v>T2_3옵션_방어구</v>
      </c>
      <c r="AZ1087" s="39">
        <f>VLOOKUP(G1087,색인!$J$32:$K$45,2,FALSE)</f>
        <v>2</v>
      </c>
      <c r="BA1087" s="39" t="str">
        <f>_xlfn.IFNA(VLOOKUP(AY1087,표1[[검색용]:[OptionGroupIndex'[']22]],EquipItemTable!AZ1087,FALSE),"옵션고정안함")</f>
        <v>2311</v>
      </c>
    </row>
    <row r="1088" spans="1:53" ht="12" customHeight="1" x14ac:dyDescent="0.2">
      <c r="A1088" s="13" t="s">
        <v>681</v>
      </c>
      <c r="B1088" s="39">
        <v>61403</v>
      </c>
      <c r="C1088" s="42" t="s">
        <v>3694</v>
      </c>
      <c r="D1088" s="10" t="s">
        <v>83</v>
      </c>
      <c r="E1088" s="10" t="s">
        <v>1</v>
      </c>
      <c r="F1088" s="1" t="s">
        <v>311</v>
      </c>
      <c r="G1088" s="1" t="s">
        <v>1312</v>
      </c>
      <c r="H1088" s="1"/>
      <c r="I1088" s="1"/>
      <c r="J1088" s="1"/>
      <c r="K1088" s="1"/>
      <c r="L1088" s="1"/>
      <c r="M1088" s="1"/>
      <c r="N1088" s="81"/>
      <c r="O1088" s="12" t="s">
        <v>96</v>
      </c>
      <c r="P1088" s="1">
        <v>31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">
        <v>357</v>
      </c>
      <c r="AB1088" s="13"/>
      <c r="AC1088" s="82"/>
      <c r="AD1088" s="23" t="s">
        <v>52</v>
      </c>
      <c r="AE1088" s="90" t="str">
        <f t="shared" si="141"/>
        <v>3311</v>
      </c>
      <c r="AF1088" s="23"/>
      <c r="AI1088" s="23"/>
      <c r="AJ1088" s="23"/>
      <c r="AK1088" s="23"/>
      <c r="AL1088" s="23"/>
      <c r="AM1088" s="23"/>
      <c r="AN1088" s="12" t="s">
        <v>2833</v>
      </c>
      <c r="AO1088" s="23"/>
      <c r="AP1088" s="23"/>
      <c r="AQ1088" s="81"/>
      <c r="AR1088" s="83">
        <v>1</v>
      </c>
      <c r="AS1088" s="83">
        <v>1</v>
      </c>
      <c r="AT1088" s="81"/>
      <c r="AU1088" s="12" t="s">
        <v>1937</v>
      </c>
      <c r="AV1088" s="13"/>
      <c r="AW1088" s="39">
        <v>5</v>
      </c>
      <c r="AX1088" s="12">
        <f>VLOOKUP(AW1088,색인!$N$14:$O$19,2,FALSE)</f>
        <v>3</v>
      </c>
      <c r="AY1088" s="39" t="str">
        <f>"T"&amp;O1088&amp;"_"&amp;AX1088&amp;"옵션_"&amp;VLOOKUP(E1088,색인!$J$25:$K$29,2,FALSE)</f>
        <v>T3_3옵션_방어구</v>
      </c>
      <c r="AZ1088" s="39">
        <f>VLOOKUP(G1088,색인!$J$32:$K$45,2,FALSE)</f>
        <v>2</v>
      </c>
      <c r="BA1088" s="39" t="str">
        <f>_xlfn.IFNA(VLOOKUP(AY1088,표1[[검색용]:[OptionGroupIndex'[']22]],EquipItemTable!AZ1088,FALSE),"옵션고정안함")</f>
        <v>3311</v>
      </c>
    </row>
    <row r="1089" spans="1:53" ht="12" customHeight="1" x14ac:dyDescent="0.2">
      <c r="A1089" s="13" t="s">
        <v>682</v>
      </c>
      <c r="B1089" s="39">
        <v>61404</v>
      </c>
      <c r="C1089" s="42" t="s">
        <v>3694</v>
      </c>
      <c r="D1089" s="10" t="s">
        <v>83</v>
      </c>
      <c r="E1089" s="10" t="s">
        <v>1</v>
      </c>
      <c r="F1089" s="1" t="s">
        <v>311</v>
      </c>
      <c r="G1089" s="1" t="s">
        <v>1312</v>
      </c>
      <c r="H1089" s="1"/>
      <c r="I1089" s="1"/>
      <c r="J1089" s="1"/>
      <c r="K1089" s="1"/>
      <c r="L1089" s="1"/>
      <c r="M1089" s="1"/>
      <c r="O1089" s="12" t="s">
        <v>97</v>
      </c>
      <c r="P1089" s="1">
        <v>41</v>
      </c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>
        <v>696</v>
      </c>
      <c r="AB1089" s="11"/>
      <c r="AC1089" s="82"/>
      <c r="AD1089" s="12" t="s">
        <v>52</v>
      </c>
      <c r="AE1089" s="39" t="str">
        <f t="shared" si="141"/>
        <v>4311</v>
      </c>
      <c r="AN1089" s="12" t="s">
        <v>2833</v>
      </c>
      <c r="AR1089" s="34" t="s">
        <v>94</v>
      </c>
      <c r="AS1089" s="34" t="s">
        <v>94</v>
      </c>
      <c r="AU1089" s="12" t="s">
        <v>1937</v>
      </c>
      <c r="AV1089" s="13"/>
      <c r="AW1089" s="39">
        <v>5</v>
      </c>
      <c r="AX1089" s="12">
        <f>VLOOKUP(AW1089,색인!$N$14:$O$19,2,FALSE)</f>
        <v>3</v>
      </c>
      <c r="AY1089" s="39" t="str">
        <f>"T"&amp;O1089&amp;"_"&amp;AX1089&amp;"옵션_"&amp;VLOOKUP(E1089,색인!$J$25:$K$29,2,FALSE)</f>
        <v>T4_3옵션_방어구</v>
      </c>
      <c r="AZ1089" s="39">
        <f>VLOOKUP(G1089,색인!$J$32:$K$45,2,FALSE)</f>
        <v>2</v>
      </c>
      <c r="BA1089" s="39" t="str">
        <f>_xlfn.IFNA(VLOOKUP(AY1089,표1[[검색용]:[OptionGroupIndex'[']22]],EquipItemTable!AZ1089,FALSE),"옵션고정안함")</f>
        <v>4311</v>
      </c>
    </row>
    <row r="1090" spans="1:53" ht="12" customHeight="1" x14ac:dyDescent="0.2">
      <c r="A1090" s="13" t="s">
        <v>683</v>
      </c>
      <c r="B1090" s="39">
        <v>61405</v>
      </c>
      <c r="C1090" s="42" t="s">
        <v>3694</v>
      </c>
      <c r="D1090" s="10" t="s">
        <v>83</v>
      </c>
      <c r="E1090" s="10" t="s">
        <v>1</v>
      </c>
      <c r="F1090" s="1" t="s">
        <v>311</v>
      </c>
      <c r="G1090" s="1" t="s">
        <v>1312</v>
      </c>
      <c r="H1090" s="1"/>
      <c r="I1090" s="1"/>
      <c r="J1090" s="1"/>
      <c r="K1090" s="1"/>
      <c r="L1090" s="1"/>
      <c r="M1090" s="1"/>
      <c r="O1090" s="12" t="s">
        <v>430</v>
      </c>
      <c r="P1090" s="1">
        <v>51</v>
      </c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>
        <v>1312</v>
      </c>
      <c r="AB1090" s="11"/>
      <c r="AC1090" s="82"/>
      <c r="AD1090" s="12" t="s">
        <v>98</v>
      </c>
      <c r="AE1090" s="39" t="str">
        <f t="shared" si="141"/>
        <v>5311</v>
      </c>
      <c r="AN1090" s="12" t="s">
        <v>2833</v>
      </c>
      <c r="AR1090" s="34" t="s">
        <v>94</v>
      </c>
      <c r="AS1090" s="34" t="s">
        <v>94</v>
      </c>
      <c r="AU1090" s="12" t="s">
        <v>1937</v>
      </c>
      <c r="AV1090" s="13"/>
      <c r="AW1090" s="39">
        <v>5</v>
      </c>
      <c r="AX1090" s="12">
        <f>VLOOKUP(AW1090,색인!$N$14:$O$19,2,FALSE)</f>
        <v>3</v>
      </c>
      <c r="AY1090" s="39" t="str">
        <f>"T"&amp;O1090&amp;"_"&amp;AX1090&amp;"옵션_"&amp;VLOOKUP(E1090,색인!$J$25:$K$29,2,FALSE)</f>
        <v>T5_3옵션_방어구</v>
      </c>
      <c r="AZ1090" s="39">
        <f>VLOOKUP(G1090,색인!$J$32:$K$45,2,FALSE)</f>
        <v>2</v>
      </c>
      <c r="BA1090" s="39" t="str">
        <f>_xlfn.IFNA(VLOOKUP(AY1090,표1[[검색용]:[OptionGroupIndex'[']22]],EquipItemTable!AZ1090,FALSE),"옵션고정안함")</f>
        <v>5311</v>
      </c>
    </row>
    <row r="1091" spans="1:53" s="1" customFormat="1" ht="12" x14ac:dyDescent="0.2">
      <c r="A1091" s="31" t="s">
        <v>805</v>
      </c>
      <c r="B1091" s="39">
        <v>61406</v>
      </c>
      <c r="C1091" s="42" t="s">
        <v>3694</v>
      </c>
      <c r="D1091" s="10" t="s">
        <v>83</v>
      </c>
      <c r="E1091" s="10" t="s">
        <v>1</v>
      </c>
      <c r="F1091" s="1" t="s">
        <v>311</v>
      </c>
      <c r="G1091" s="1" t="s">
        <v>1312</v>
      </c>
      <c r="N1091" s="8"/>
      <c r="O1091" s="12" t="s">
        <v>755</v>
      </c>
      <c r="P1091" s="1">
        <v>61</v>
      </c>
      <c r="AA1091" s="1">
        <v>1915</v>
      </c>
      <c r="AB1091" s="11"/>
      <c r="AC1091" s="82"/>
      <c r="AD1091" s="12" t="s">
        <v>864</v>
      </c>
      <c r="AE1091" s="39" t="str">
        <f t="shared" si="141"/>
        <v>6311</v>
      </c>
      <c r="AF1091" s="12"/>
      <c r="AG1091" s="12"/>
      <c r="AH1091" s="12"/>
      <c r="AI1091" s="12"/>
      <c r="AJ1091" s="12"/>
      <c r="AK1091" s="12"/>
      <c r="AL1091" s="12"/>
      <c r="AM1091" s="12"/>
      <c r="AN1091" s="12" t="s">
        <v>2833</v>
      </c>
      <c r="AO1091" s="12"/>
      <c r="AP1091" s="12"/>
      <c r="AQ1091" s="8"/>
      <c r="AR1091" s="34" t="s">
        <v>865</v>
      </c>
      <c r="AS1091" s="34" t="s">
        <v>865</v>
      </c>
      <c r="AT1091" s="85"/>
      <c r="AU1091" s="12" t="s">
        <v>1937</v>
      </c>
      <c r="AW1091" s="90">
        <v>5</v>
      </c>
      <c r="AX1091" s="23">
        <f>VLOOKUP(AW1091,색인!$N$14:$O$19,2,FALSE)</f>
        <v>3</v>
      </c>
      <c r="AY1091" s="90" t="str">
        <f>"T"&amp;O1091&amp;"_"&amp;AX1091&amp;"옵션_"&amp;VLOOKUP(E1091,색인!$J$25:$K$29,2,FALSE)</f>
        <v>T6_3옵션_방어구</v>
      </c>
      <c r="AZ1091" s="90">
        <f>VLOOKUP(G1091,색인!$J$32:$K$45,2,FALSE)</f>
        <v>2</v>
      </c>
      <c r="BA1091" s="90" t="str">
        <f>_xlfn.IFNA(VLOOKUP(AY1091,표1[[검색용]:[OptionGroupIndex'[']22]],EquipItemTable!AZ1091,FALSE),"옵션고정안함")</f>
        <v>6311</v>
      </c>
    </row>
    <row r="1092" spans="1:53" s="1" customFormat="1" ht="12" x14ac:dyDescent="0.2">
      <c r="A1092" s="31" t="s">
        <v>1244</v>
      </c>
      <c r="B1092" s="39">
        <v>61407</v>
      </c>
      <c r="C1092" s="42" t="s">
        <v>3695</v>
      </c>
      <c r="D1092" s="10" t="s">
        <v>83</v>
      </c>
      <c r="E1092" s="10" t="s">
        <v>1</v>
      </c>
      <c r="F1092" s="1" t="s">
        <v>311</v>
      </c>
      <c r="G1092" s="1" t="s">
        <v>1312</v>
      </c>
      <c r="N1092" s="8"/>
      <c r="O1092" s="12" t="s">
        <v>747</v>
      </c>
      <c r="P1092" s="1">
        <v>61</v>
      </c>
      <c r="AA1092" s="1">
        <v>1915</v>
      </c>
      <c r="AB1092" s="11"/>
      <c r="AC1092" s="82"/>
      <c r="AD1092" s="12" t="s">
        <v>864</v>
      </c>
      <c r="AE1092" s="39" t="str">
        <f t="shared" si="141"/>
        <v>6311</v>
      </c>
      <c r="AF1092" s="12"/>
      <c r="AG1092" s="12"/>
      <c r="AH1092" s="12"/>
      <c r="AI1092" s="12"/>
      <c r="AJ1092" s="12"/>
      <c r="AK1092" s="12"/>
      <c r="AL1092" s="12"/>
      <c r="AM1092" s="12"/>
      <c r="AN1092" s="12" t="s">
        <v>1228</v>
      </c>
      <c r="AO1092" s="12"/>
      <c r="AP1092" s="12"/>
      <c r="AQ1092" s="8"/>
      <c r="AR1092" s="34" t="s">
        <v>865</v>
      </c>
      <c r="AS1092" s="34" t="s">
        <v>865</v>
      </c>
      <c r="AT1092" s="85"/>
      <c r="AU1092" s="12" t="s">
        <v>1937</v>
      </c>
      <c r="AW1092" s="90">
        <v>5</v>
      </c>
      <c r="AX1092" s="23">
        <f>VLOOKUP(AW1092,색인!$N$14:$O$19,2,FALSE)</f>
        <v>3</v>
      </c>
      <c r="AY1092" s="90" t="str">
        <f>"T"&amp;O1092&amp;"_"&amp;AX1092&amp;"옵션_"&amp;VLOOKUP(E1092,색인!$J$25:$K$29,2,FALSE)</f>
        <v>T6_3옵션_방어구</v>
      </c>
      <c r="AZ1092" s="90">
        <f>VLOOKUP(G1092,색인!$J$32:$K$45,2,FALSE)</f>
        <v>2</v>
      </c>
      <c r="BA1092" s="90" t="str">
        <f>_xlfn.IFNA(VLOOKUP(AY1092,표1[[검색용]:[OptionGroupIndex'[']22]],EquipItemTable!AZ1092,FALSE),"옵션고정안함")</f>
        <v>6311</v>
      </c>
    </row>
    <row r="1093" spans="1:53" s="1" customFormat="1" ht="12" x14ac:dyDescent="0.2">
      <c r="A1093" s="31" t="s">
        <v>1245</v>
      </c>
      <c r="B1093" s="39">
        <v>61408</v>
      </c>
      <c r="C1093" s="42" t="s">
        <v>3696</v>
      </c>
      <c r="D1093" s="10" t="s">
        <v>83</v>
      </c>
      <c r="E1093" s="10" t="s">
        <v>1</v>
      </c>
      <c r="F1093" s="1" t="s">
        <v>311</v>
      </c>
      <c r="G1093" s="1" t="s">
        <v>1312</v>
      </c>
      <c r="J1093" s="27"/>
      <c r="K1093" s="27"/>
      <c r="L1093" s="27"/>
      <c r="M1093" s="27"/>
      <c r="N1093" s="8"/>
      <c r="O1093" s="12" t="s">
        <v>747</v>
      </c>
      <c r="P1093" s="1">
        <v>61</v>
      </c>
      <c r="AA1093" s="1">
        <v>1915</v>
      </c>
      <c r="AB1093" s="11"/>
      <c r="AC1093" s="82"/>
      <c r="AD1093" s="12" t="s">
        <v>864</v>
      </c>
      <c r="AE1093" s="39" t="str">
        <f t="shared" si="141"/>
        <v>6311</v>
      </c>
      <c r="AF1093" s="12"/>
      <c r="AG1093" s="29"/>
      <c r="AH1093" s="29"/>
      <c r="AI1093" s="12"/>
      <c r="AJ1093" s="12"/>
      <c r="AK1093" s="12"/>
      <c r="AL1093" s="12"/>
      <c r="AM1093" s="12"/>
      <c r="AN1093" s="12" t="s">
        <v>1213</v>
      </c>
      <c r="AO1093" s="12"/>
      <c r="AP1093" s="12"/>
      <c r="AQ1093" s="8"/>
      <c r="AR1093" s="34" t="s">
        <v>865</v>
      </c>
      <c r="AS1093" s="34" t="s">
        <v>865</v>
      </c>
      <c r="AT1093" s="85"/>
      <c r="AU1093" s="12" t="s">
        <v>1937</v>
      </c>
      <c r="AW1093" s="90">
        <v>5</v>
      </c>
      <c r="AX1093" s="23">
        <f>VLOOKUP(AW1093,색인!$N$14:$O$19,2,FALSE)</f>
        <v>3</v>
      </c>
      <c r="AY1093" s="90" t="str">
        <f>"T"&amp;O1093&amp;"_"&amp;AX1093&amp;"옵션_"&amp;VLOOKUP(E1093,색인!$J$25:$K$29,2,FALSE)</f>
        <v>T6_3옵션_방어구</v>
      </c>
      <c r="AZ1093" s="90">
        <f>VLOOKUP(G1093,색인!$J$32:$K$45,2,FALSE)</f>
        <v>2</v>
      </c>
      <c r="BA1093" s="90" t="str">
        <f>_xlfn.IFNA(VLOOKUP(AY1093,표1[[검색용]:[OptionGroupIndex'[']22]],EquipItemTable!AZ1093,FALSE),"옵션고정안함")</f>
        <v>6311</v>
      </c>
    </row>
    <row r="1094" spans="1:53" s="1" customFormat="1" ht="12" x14ac:dyDescent="0.2">
      <c r="A1094" s="31" t="s">
        <v>1246</v>
      </c>
      <c r="B1094" s="39">
        <v>61409</v>
      </c>
      <c r="C1094" s="42" t="s">
        <v>3697</v>
      </c>
      <c r="D1094" s="10" t="s">
        <v>83</v>
      </c>
      <c r="E1094" s="10" t="s">
        <v>1</v>
      </c>
      <c r="F1094" s="1" t="s">
        <v>311</v>
      </c>
      <c r="G1094" s="1" t="s">
        <v>1312</v>
      </c>
      <c r="J1094" s="27"/>
      <c r="K1094" s="27"/>
      <c r="L1094" s="27"/>
      <c r="M1094" s="27"/>
      <c r="N1094" s="8"/>
      <c r="O1094" s="12" t="s">
        <v>747</v>
      </c>
      <c r="P1094" s="1">
        <v>61</v>
      </c>
      <c r="AA1094" s="1">
        <v>1915</v>
      </c>
      <c r="AB1094" s="11"/>
      <c r="AC1094" s="82"/>
      <c r="AD1094" s="12" t="s">
        <v>864</v>
      </c>
      <c r="AE1094" s="39" t="str">
        <f t="shared" si="141"/>
        <v>6311</v>
      </c>
      <c r="AF1094" s="12"/>
      <c r="AG1094" s="29"/>
      <c r="AH1094" s="29"/>
      <c r="AI1094" s="12"/>
      <c r="AJ1094" s="12"/>
      <c r="AK1094" s="12"/>
      <c r="AL1094" s="12"/>
      <c r="AM1094" s="12"/>
      <c r="AN1094" s="12" t="s">
        <v>1214</v>
      </c>
      <c r="AO1094" s="12"/>
      <c r="AP1094" s="12"/>
      <c r="AQ1094" s="8"/>
      <c r="AR1094" s="34" t="s">
        <v>865</v>
      </c>
      <c r="AS1094" s="34" t="s">
        <v>865</v>
      </c>
      <c r="AT1094" s="85"/>
      <c r="AU1094" s="12" t="s">
        <v>1937</v>
      </c>
      <c r="AW1094" s="90">
        <v>5</v>
      </c>
      <c r="AX1094" s="23">
        <f>VLOOKUP(AW1094,색인!$N$14:$O$19,2,FALSE)</f>
        <v>3</v>
      </c>
      <c r="AY1094" s="90" t="str">
        <f>"T"&amp;O1094&amp;"_"&amp;AX1094&amp;"옵션_"&amp;VLOOKUP(E1094,색인!$J$25:$K$29,2,FALSE)</f>
        <v>T6_3옵션_방어구</v>
      </c>
      <c r="AZ1094" s="90">
        <f>VLOOKUP(G1094,색인!$J$32:$K$45,2,FALSE)</f>
        <v>2</v>
      </c>
      <c r="BA1094" s="90" t="str">
        <f>_xlfn.IFNA(VLOOKUP(AY1094,표1[[검색용]:[OptionGroupIndex'[']22]],EquipItemTable!AZ1094,FALSE),"옵션고정안함")</f>
        <v>6311</v>
      </c>
    </row>
    <row r="1095" spans="1:53" s="1" customFormat="1" ht="12" x14ac:dyDescent="0.2">
      <c r="A1095" s="31" t="s">
        <v>1247</v>
      </c>
      <c r="B1095" s="39">
        <v>61410</v>
      </c>
      <c r="C1095" s="42" t="s">
        <v>3698</v>
      </c>
      <c r="D1095" s="10" t="s">
        <v>83</v>
      </c>
      <c r="E1095" s="10" t="s">
        <v>1</v>
      </c>
      <c r="F1095" s="1" t="s">
        <v>311</v>
      </c>
      <c r="G1095" s="1" t="s">
        <v>1312</v>
      </c>
      <c r="J1095" s="27"/>
      <c r="K1095" s="27"/>
      <c r="L1095" s="27"/>
      <c r="M1095" s="27"/>
      <c r="N1095" s="8"/>
      <c r="O1095" s="12" t="s">
        <v>747</v>
      </c>
      <c r="P1095" s="1">
        <v>61</v>
      </c>
      <c r="AA1095" s="1">
        <v>1915</v>
      </c>
      <c r="AB1095" s="11"/>
      <c r="AC1095" s="82"/>
      <c r="AD1095" s="12" t="s">
        <v>864</v>
      </c>
      <c r="AE1095" s="39" t="str">
        <f t="shared" si="141"/>
        <v>6311</v>
      </c>
      <c r="AF1095" s="12"/>
      <c r="AG1095" s="29"/>
      <c r="AH1095" s="29"/>
      <c r="AI1095" s="12"/>
      <c r="AJ1095" s="12"/>
      <c r="AK1095" s="12"/>
      <c r="AL1095" s="12"/>
      <c r="AM1095" s="12"/>
      <c r="AN1095" s="12" t="s">
        <v>1215</v>
      </c>
      <c r="AO1095" s="12"/>
      <c r="AP1095" s="12"/>
      <c r="AQ1095" s="8"/>
      <c r="AR1095" s="34" t="s">
        <v>865</v>
      </c>
      <c r="AS1095" s="34" t="s">
        <v>865</v>
      </c>
      <c r="AT1095" s="85"/>
      <c r="AU1095" s="12" t="s">
        <v>1937</v>
      </c>
      <c r="AW1095" s="90">
        <v>5</v>
      </c>
      <c r="AX1095" s="23">
        <f>VLOOKUP(AW1095,색인!$N$14:$O$19,2,FALSE)</f>
        <v>3</v>
      </c>
      <c r="AY1095" s="90" t="str">
        <f>"T"&amp;O1095&amp;"_"&amp;AX1095&amp;"옵션_"&amp;VLOOKUP(E1095,색인!$J$25:$K$29,2,FALSE)</f>
        <v>T6_3옵션_방어구</v>
      </c>
      <c r="AZ1095" s="90">
        <f>VLOOKUP(G1095,색인!$J$32:$K$45,2,FALSE)</f>
        <v>2</v>
      </c>
      <c r="BA1095" s="90" t="str">
        <f>_xlfn.IFNA(VLOOKUP(AY1095,표1[[검색용]:[OptionGroupIndex'[']22]],EquipItemTable!AZ1095,FALSE),"옵션고정안함")</f>
        <v>6311</v>
      </c>
    </row>
    <row r="1096" spans="1:53" s="1" customFormat="1" ht="12" x14ac:dyDescent="0.2">
      <c r="A1096" s="31" t="s">
        <v>1248</v>
      </c>
      <c r="B1096" s="39">
        <v>61411</v>
      </c>
      <c r="C1096" s="42" t="s">
        <v>3699</v>
      </c>
      <c r="D1096" s="10" t="s">
        <v>83</v>
      </c>
      <c r="E1096" s="10" t="s">
        <v>1</v>
      </c>
      <c r="F1096" s="1" t="s">
        <v>311</v>
      </c>
      <c r="G1096" s="1" t="s">
        <v>1312</v>
      </c>
      <c r="J1096" s="27"/>
      <c r="K1096" s="27"/>
      <c r="L1096" s="27"/>
      <c r="M1096" s="27"/>
      <c r="N1096" s="8"/>
      <c r="O1096" s="12" t="s">
        <v>747</v>
      </c>
      <c r="P1096" s="1">
        <v>61</v>
      </c>
      <c r="AA1096" s="1">
        <v>1915</v>
      </c>
      <c r="AB1096" s="11"/>
      <c r="AC1096" s="82"/>
      <c r="AD1096" s="12" t="s">
        <v>864</v>
      </c>
      <c r="AE1096" s="39" t="str">
        <f t="shared" si="141"/>
        <v>6311</v>
      </c>
      <c r="AF1096" s="12"/>
      <c r="AG1096" s="29"/>
      <c r="AH1096" s="29"/>
      <c r="AI1096" s="12"/>
      <c r="AJ1096" s="12"/>
      <c r="AK1096" s="12"/>
      <c r="AL1096" s="12"/>
      <c r="AM1096" s="12"/>
      <c r="AN1096" s="12" t="s">
        <v>1216</v>
      </c>
      <c r="AO1096" s="12"/>
      <c r="AP1096" s="12"/>
      <c r="AQ1096" s="8"/>
      <c r="AR1096" s="34" t="s">
        <v>865</v>
      </c>
      <c r="AS1096" s="34" t="s">
        <v>865</v>
      </c>
      <c r="AT1096" s="85"/>
      <c r="AU1096" s="12" t="s">
        <v>1937</v>
      </c>
      <c r="AW1096" s="90">
        <v>5</v>
      </c>
      <c r="AX1096" s="23">
        <f>VLOOKUP(AW1096,색인!$N$14:$O$19,2,FALSE)</f>
        <v>3</v>
      </c>
      <c r="AY1096" s="90" t="str">
        <f>"T"&amp;O1096&amp;"_"&amp;AX1096&amp;"옵션_"&amp;VLOOKUP(E1096,색인!$J$25:$K$29,2,FALSE)</f>
        <v>T6_3옵션_방어구</v>
      </c>
      <c r="AZ1096" s="90">
        <f>VLOOKUP(G1096,색인!$J$32:$K$45,2,FALSE)</f>
        <v>2</v>
      </c>
      <c r="BA1096" s="90" t="str">
        <f>_xlfn.IFNA(VLOOKUP(AY1096,표1[[검색용]:[OptionGroupIndex'[']22]],EquipItemTable!AZ1096,FALSE),"옵션고정안함")</f>
        <v>6311</v>
      </c>
    </row>
    <row r="1097" spans="1:53" s="1" customFormat="1" ht="12" x14ac:dyDescent="0.2">
      <c r="A1097" s="24" t="s">
        <v>915</v>
      </c>
      <c r="B1097" s="39">
        <v>61601</v>
      </c>
      <c r="C1097" s="42" t="e">
        <v>#N/A</v>
      </c>
      <c r="D1097" s="10" t="s">
        <v>83</v>
      </c>
      <c r="E1097" s="10" t="s">
        <v>1</v>
      </c>
      <c r="F1097" s="1" t="s">
        <v>311</v>
      </c>
      <c r="G1097" s="1" t="s">
        <v>1312</v>
      </c>
      <c r="J1097" s="27"/>
      <c r="K1097" s="27"/>
      <c r="L1097" s="27"/>
      <c r="M1097" s="27"/>
      <c r="N1097" s="8"/>
      <c r="O1097" s="12" t="s">
        <v>881</v>
      </c>
      <c r="P1097" s="1">
        <v>31</v>
      </c>
      <c r="AA1097" s="1">
        <v>441</v>
      </c>
      <c r="AB1097" s="11"/>
      <c r="AC1097" s="82"/>
      <c r="AD1097" s="12" t="s">
        <v>99</v>
      </c>
      <c r="AE1097" s="12" t="s">
        <v>881</v>
      </c>
      <c r="AF1097" s="12"/>
      <c r="AG1097" s="29"/>
      <c r="AH1097" s="29"/>
      <c r="AQ1097" s="85"/>
      <c r="AR1097" s="1">
        <v>1</v>
      </c>
      <c r="AS1097" s="1">
        <v>1</v>
      </c>
      <c r="AT1097" s="85"/>
      <c r="AU1097" s="12" t="s">
        <v>1938</v>
      </c>
      <c r="AW1097" s="90">
        <v>7</v>
      </c>
      <c r="AX1097" s="23"/>
      <c r="AY1097" s="23"/>
      <c r="AZ1097" s="23"/>
      <c r="BA1097" s="23"/>
    </row>
    <row r="1098" spans="1:53" s="1" customFormat="1" ht="12" x14ac:dyDescent="0.2">
      <c r="A1098" s="24" t="s">
        <v>916</v>
      </c>
      <c r="B1098" s="39">
        <v>61602</v>
      </c>
      <c r="C1098" s="42" t="e">
        <v>#N/A</v>
      </c>
      <c r="D1098" s="10" t="s">
        <v>83</v>
      </c>
      <c r="E1098" s="10" t="s">
        <v>1</v>
      </c>
      <c r="F1098" s="1" t="s">
        <v>311</v>
      </c>
      <c r="G1098" s="1" t="s">
        <v>1312</v>
      </c>
      <c r="J1098" s="27"/>
      <c r="K1098" s="27"/>
      <c r="L1098" s="27"/>
      <c r="M1098" s="27"/>
      <c r="N1098" s="8"/>
      <c r="O1098" s="12" t="s">
        <v>882</v>
      </c>
      <c r="P1098" s="1">
        <v>41</v>
      </c>
      <c r="AA1098" s="1">
        <v>846</v>
      </c>
      <c r="AB1098" s="11"/>
      <c r="AC1098" s="82"/>
      <c r="AD1098" s="12" t="s">
        <v>99</v>
      </c>
      <c r="AE1098" s="12" t="s">
        <v>551</v>
      </c>
      <c r="AF1098" s="12"/>
      <c r="AG1098" s="29"/>
      <c r="AH1098" s="29"/>
      <c r="AQ1098" s="85"/>
      <c r="AR1098" s="1">
        <v>1</v>
      </c>
      <c r="AS1098" s="1">
        <v>1</v>
      </c>
      <c r="AT1098" s="85"/>
      <c r="AU1098" s="12" t="s">
        <v>1938</v>
      </c>
      <c r="AW1098" s="90">
        <v>7</v>
      </c>
      <c r="AX1098" s="23"/>
      <c r="AY1098" s="23"/>
      <c r="AZ1098" s="23"/>
      <c r="BA1098" s="23"/>
    </row>
    <row r="1099" spans="1:53" s="1" customFormat="1" ht="12" x14ac:dyDescent="0.2">
      <c r="A1099" s="24" t="s">
        <v>917</v>
      </c>
      <c r="B1099" s="39">
        <v>61603</v>
      </c>
      <c r="C1099" s="42" t="e">
        <v>#N/A</v>
      </c>
      <c r="D1099" s="10" t="s">
        <v>83</v>
      </c>
      <c r="E1099" s="10" t="s">
        <v>1</v>
      </c>
      <c r="F1099" s="1" t="s">
        <v>311</v>
      </c>
      <c r="G1099" s="1" t="s">
        <v>1312</v>
      </c>
      <c r="J1099" s="27"/>
      <c r="K1099" s="27"/>
      <c r="L1099" s="27"/>
      <c r="M1099" s="27"/>
      <c r="N1099" s="8"/>
      <c r="O1099" s="12" t="s">
        <v>430</v>
      </c>
      <c r="P1099" s="1">
        <v>51</v>
      </c>
      <c r="AA1099" s="1">
        <v>1582</v>
      </c>
      <c r="AB1099" s="11"/>
      <c r="AC1099" s="82"/>
      <c r="AD1099" s="12" t="s">
        <v>99</v>
      </c>
      <c r="AE1099" s="12" t="s">
        <v>430</v>
      </c>
      <c r="AF1099" s="12"/>
      <c r="AG1099" s="29"/>
      <c r="AH1099" s="29"/>
      <c r="AQ1099" s="85"/>
      <c r="AR1099" s="1">
        <v>1</v>
      </c>
      <c r="AS1099" s="1">
        <v>1</v>
      </c>
      <c r="AT1099" s="85"/>
      <c r="AU1099" s="12" t="s">
        <v>1938</v>
      </c>
      <c r="AW1099" s="90">
        <v>7</v>
      </c>
      <c r="AX1099" s="23"/>
      <c r="AY1099" s="23"/>
      <c r="AZ1099" s="23"/>
      <c r="BA1099" s="23"/>
    </row>
    <row r="1100" spans="1:53" s="1" customFormat="1" ht="12" x14ac:dyDescent="0.2">
      <c r="A1100" s="24" t="s">
        <v>918</v>
      </c>
      <c r="B1100" s="39">
        <v>61604</v>
      </c>
      <c r="C1100" s="42" t="e">
        <v>#N/A</v>
      </c>
      <c r="D1100" s="10" t="s">
        <v>83</v>
      </c>
      <c r="E1100" s="10" t="s">
        <v>1</v>
      </c>
      <c r="F1100" s="1" t="s">
        <v>311</v>
      </c>
      <c r="G1100" s="1" t="s">
        <v>1312</v>
      </c>
      <c r="J1100" s="27"/>
      <c r="K1100" s="27"/>
      <c r="L1100" s="27"/>
      <c r="M1100" s="27"/>
      <c r="N1100" s="8"/>
      <c r="O1100" s="12" t="s">
        <v>747</v>
      </c>
      <c r="P1100" s="1">
        <v>61</v>
      </c>
      <c r="AA1100" s="1">
        <v>2191</v>
      </c>
      <c r="AB1100" s="11"/>
      <c r="AC1100" s="82"/>
      <c r="AD1100" s="12" t="s">
        <v>99</v>
      </c>
      <c r="AE1100" s="12" t="s">
        <v>430</v>
      </c>
      <c r="AF1100" s="12"/>
      <c r="AG1100" s="29"/>
      <c r="AH1100" s="29"/>
      <c r="AQ1100" s="85"/>
      <c r="AR1100" s="1">
        <v>1</v>
      </c>
      <c r="AS1100" s="1">
        <v>1</v>
      </c>
      <c r="AT1100" s="85"/>
      <c r="AU1100" s="12" t="s">
        <v>1938</v>
      </c>
      <c r="AW1100" s="90">
        <v>7</v>
      </c>
      <c r="AX1100" s="23"/>
      <c r="AY1100" s="23"/>
      <c r="AZ1100" s="23"/>
      <c r="BA1100" s="23"/>
    </row>
    <row r="1101" spans="1:53" s="1" customFormat="1" ht="12" x14ac:dyDescent="0.2">
      <c r="A1101" s="31" t="s">
        <v>1181</v>
      </c>
      <c r="B1101" s="39">
        <v>361001</v>
      </c>
      <c r="C1101" s="42" t="s">
        <v>3700</v>
      </c>
      <c r="D1101" s="10" t="s">
        <v>83</v>
      </c>
      <c r="E1101" s="10" t="s">
        <v>1</v>
      </c>
      <c r="F1101" s="1" t="s">
        <v>311</v>
      </c>
      <c r="G1101" s="1" t="s">
        <v>1312</v>
      </c>
      <c r="J1101" s="27"/>
      <c r="K1101" s="27"/>
      <c r="L1101" s="27"/>
      <c r="M1101" s="27"/>
      <c r="N1101" s="8"/>
      <c r="O1101" s="12" t="s">
        <v>755</v>
      </c>
      <c r="P1101" s="1">
        <v>61</v>
      </c>
      <c r="AA1101" s="1">
        <v>1915</v>
      </c>
      <c r="AB1101" s="11"/>
      <c r="AC1101" s="82"/>
      <c r="AD1101" s="12" t="s">
        <v>864</v>
      </c>
      <c r="AE1101" s="39" t="str">
        <f>BA1101</f>
        <v>6311</v>
      </c>
      <c r="AF1101" s="12"/>
      <c r="AG1101" s="29"/>
      <c r="AH1101" s="29"/>
      <c r="AI1101" s="12"/>
      <c r="AJ1101" s="12"/>
      <c r="AK1101" s="12"/>
      <c r="AL1101" s="12"/>
      <c r="AM1101" s="12"/>
      <c r="AN1101" s="12" t="s">
        <v>1199</v>
      </c>
      <c r="AO1101" s="12"/>
      <c r="AP1101" s="12"/>
      <c r="AQ1101" s="8"/>
      <c r="AR1101" s="34" t="s">
        <v>543</v>
      </c>
      <c r="AS1101" s="34" t="s">
        <v>543</v>
      </c>
      <c r="AT1101" s="85"/>
      <c r="AU1101" s="12" t="s">
        <v>1937</v>
      </c>
      <c r="AW1101" s="90">
        <v>5</v>
      </c>
      <c r="AX1101" s="23">
        <f>VLOOKUP(AW1101,색인!$N$14:$O$19,2,FALSE)</f>
        <v>3</v>
      </c>
      <c r="AY1101" s="90" t="str">
        <f>"T"&amp;O1101&amp;"_"&amp;AX1101&amp;"옵션_"&amp;VLOOKUP(E1101,색인!$J$25:$K$29,2,FALSE)</f>
        <v>T6_3옵션_방어구</v>
      </c>
      <c r="AZ1101" s="90">
        <f>VLOOKUP(G1101,색인!$J$32:$K$45,2,FALSE)</f>
        <v>2</v>
      </c>
      <c r="BA1101" s="90" t="str">
        <f>_xlfn.IFNA(VLOOKUP(AY1101,표1[[검색용]:[OptionGroupIndex'[']22]],EquipItemTable!AZ1101,FALSE),"옵션고정안함")</f>
        <v>6311</v>
      </c>
    </row>
    <row r="1102" spans="1:53" s="1" customFormat="1" ht="12" x14ac:dyDescent="0.2">
      <c r="A1102" s="31" t="s">
        <v>1182</v>
      </c>
      <c r="B1102" s="39">
        <v>361002</v>
      </c>
      <c r="C1102" s="42" t="s">
        <v>3701</v>
      </c>
      <c r="D1102" s="10" t="s">
        <v>83</v>
      </c>
      <c r="E1102" s="10" t="s">
        <v>1</v>
      </c>
      <c r="F1102" s="1" t="s">
        <v>311</v>
      </c>
      <c r="G1102" s="1" t="s">
        <v>1312</v>
      </c>
      <c r="J1102" s="27"/>
      <c r="K1102" s="27"/>
      <c r="L1102" s="27"/>
      <c r="M1102" s="27"/>
      <c r="N1102" s="8"/>
      <c r="O1102" s="12" t="s">
        <v>755</v>
      </c>
      <c r="P1102" s="1">
        <v>61</v>
      </c>
      <c r="AA1102" s="1">
        <v>1906</v>
      </c>
      <c r="AB1102" s="11"/>
      <c r="AC1102" s="82"/>
      <c r="AD1102" s="12" t="s">
        <v>864</v>
      </c>
      <c r="AE1102" s="39" t="s">
        <v>430</v>
      </c>
      <c r="AF1102" s="12"/>
      <c r="AG1102" s="29"/>
      <c r="AH1102" s="29"/>
      <c r="AI1102" s="12"/>
      <c r="AJ1102" s="12"/>
      <c r="AK1102" s="12"/>
      <c r="AL1102" s="12"/>
      <c r="AM1102" s="12"/>
      <c r="AN1102" s="12" t="s">
        <v>1296</v>
      </c>
      <c r="AO1102" s="12"/>
      <c r="AP1102" s="12"/>
      <c r="AQ1102" s="8"/>
      <c r="AR1102" s="34" t="s">
        <v>94</v>
      </c>
      <c r="AS1102" s="34" t="s">
        <v>94</v>
      </c>
      <c r="AT1102" s="85"/>
      <c r="AU1102" s="12" t="s">
        <v>1936</v>
      </c>
      <c r="AW1102" s="90">
        <v>6</v>
      </c>
      <c r="AX1102" s="23">
        <f>VLOOKUP(AW1102,색인!$N$14:$O$19,2,FALSE)</f>
        <v>4</v>
      </c>
      <c r="AY1102" s="23" t="str">
        <f>"T"&amp;O1102&amp;"_"&amp;AX1102&amp;"옵션_"&amp;VLOOKUP(E1102,색인!$J$25:$K$29,2,FALSE)</f>
        <v>T6_4옵션_방어구</v>
      </c>
      <c r="AZ1102" s="23">
        <f>VLOOKUP(G1102,색인!$J$32:$K$45,2,FALSE)</f>
        <v>2</v>
      </c>
      <c r="BA1102" s="23" t="str">
        <f>_xlfn.IFNA(VLOOKUP(AY1102,표1[[검색용]:[OptionGroupIndex'[']22]],EquipItemTable!AZ1102,FALSE),"옵션고정안함")</f>
        <v>6411</v>
      </c>
    </row>
    <row r="1103" spans="1:53" s="27" customFormat="1" ht="12" x14ac:dyDescent="0.2">
      <c r="A1103" s="25" t="s">
        <v>1454</v>
      </c>
      <c r="B1103" s="39">
        <v>61412</v>
      </c>
      <c r="C1103" s="42" t="s">
        <v>3702</v>
      </c>
      <c r="D1103" s="26" t="s">
        <v>83</v>
      </c>
      <c r="E1103" s="26" t="s">
        <v>1</v>
      </c>
      <c r="F1103" s="27" t="s">
        <v>311</v>
      </c>
      <c r="G1103" s="27" t="s">
        <v>1472</v>
      </c>
      <c r="N1103" s="8"/>
      <c r="O1103" s="29" t="s">
        <v>1338</v>
      </c>
      <c r="P1103" s="27">
        <v>71</v>
      </c>
      <c r="AA1103" s="27">
        <v>1864</v>
      </c>
      <c r="AB1103" s="28"/>
      <c r="AC1103" s="82"/>
      <c r="AD1103" s="29" t="s">
        <v>1377</v>
      </c>
      <c r="AE1103" s="29" t="s">
        <v>1337</v>
      </c>
      <c r="AF1103" s="29"/>
      <c r="AG1103" s="29"/>
      <c r="AH1103" s="29"/>
      <c r="AQ1103" s="85"/>
      <c r="AR1103" s="27">
        <v>1</v>
      </c>
      <c r="AS1103" s="27">
        <v>1</v>
      </c>
      <c r="AT1103" s="85"/>
      <c r="AU1103" s="29">
        <v>1001</v>
      </c>
      <c r="AW1103" s="91">
        <v>1</v>
      </c>
      <c r="AX1103" s="93"/>
      <c r="AY1103" s="93"/>
      <c r="AZ1103" s="93"/>
      <c r="BA1103" s="93"/>
    </row>
    <row r="1104" spans="1:53" s="27" customFormat="1" ht="12" x14ac:dyDescent="0.2">
      <c r="A1104" s="25" t="s">
        <v>1455</v>
      </c>
      <c r="B1104" s="39">
        <v>61413</v>
      </c>
      <c r="C1104" s="42" t="s">
        <v>3703</v>
      </c>
      <c r="D1104" s="26" t="s">
        <v>83</v>
      </c>
      <c r="E1104" s="26" t="s">
        <v>1</v>
      </c>
      <c r="F1104" s="27" t="s">
        <v>311</v>
      </c>
      <c r="G1104" s="27" t="s">
        <v>1472</v>
      </c>
      <c r="N1104" s="8"/>
      <c r="O1104" s="29" t="s">
        <v>1338</v>
      </c>
      <c r="P1104" s="27">
        <v>71</v>
      </c>
      <c r="AA1104" s="27">
        <v>2169</v>
      </c>
      <c r="AB1104" s="28"/>
      <c r="AC1104" s="82"/>
      <c r="AD1104" s="29" t="s">
        <v>1377</v>
      </c>
      <c r="AE1104" s="92" t="str">
        <f t="shared" ref="AE1104:AE1113" si="142">BA1104</f>
        <v>7111</v>
      </c>
      <c r="AF1104" s="29"/>
      <c r="AG1104" s="29"/>
      <c r="AH1104" s="29"/>
      <c r="AQ1104" s="85"/>
      <c r="AR1104" s="27">
        <v>1</v>
      </c>
      <c r="AS1104" s="27">
        <v>1</v>
      </c>
      <c r="AT1104" s="85"/>
      <c r="AU1104" s="29" t="s">
        <v>1939</v>
      </c>
      <c r="AW1104" s="91">
        <v>2</v>
      </c>
      <c r="AX1104" s="93">
        <f>VLOOKUP(AW1104,색인!$N$14:$O$19,2,FALSE)</f>
        <v>1</v>
      </c>
      <c r="AY1104" s="91" t="str">
        <f>"T"&amp;O1104&amp;"_"&amp;AX1104&amp;"옵션_"&amp;VLOOKUP(E1104,색인!$J$25:$K$29,2,FALSE)</f>
        <v>T7_1옵션_방어구</v>
      </c>
      <c r="AZ1104" s="91">
        <f>VLOOKUP(G1104,색인!$J$32:$K$45,2,FALSE)</f>
        <v>2</v>
      </c>
      <c r="BA1104" s="91" t="str">
        <f>_xlfn.IFNA(VLOOKUP(AY1104,표1[[검색용]:[OptionGroupIndex'[']22]],EquipItemTable!AZ1104,FALSE),"옵션고정안함")</f>
        <v>7111</v>
      </c>
    </row>
    <row r="1105" spans="1:53" s="27" customFormat="1" ht="12" x14ac:dyDescent="0.2">
      <c r="A1105" s="25" t="s">
        <v>1456</v>
      </c>
      <c r="B1105" s="39">
        <v>61414</v>
      </c>
      <c r="C1105" s="42" t="s">
        <v>3704</v>
      </c>
      <c r="D1105" s="26" t="s">
        <v>83</v>
      </c>
      <c r="E1105" s="26" t="s">
        <v>1</v>
      </c>
      <c r="F1105" s="27" t="s">
        <v>311</v>
      </c>
      <c r="G1105" s="27" t="s">
        <v>1472</v>
      </c>
      <c r="N1105" s="8"/>
      <c r="O1105" s="29" t="s">
        <v>1338</v>
      </c>
      <c r="P1105" s="27">
        <v>71</v>
      </c>
      <c r="AA1105" s="27">
        <v>2289</v>
      </c>
      <c r="AB1105" s="28"/>
      <c r="AC1105" s="82"/>
      <c r="AD1105" s="29" t="s">
        <v>1377</v>
      </c>
      <c r="AE1105" s="92" t="str">
        <f t="shared" si="142"/>
        <v>7211</v>
      </c>
      <c r="AF1105" s="29"/>
      <c r="AG1105" s="29"/>
      <c r="AH1105" s="29"/>
      <c r="AQ1105" s="85"/>
      <c r="AR1105" s="27">
        <v>1</v>
      </c>
      <c r="AS1105" s="27">
        <v>1</v>
      </c>
      <c r="AT1105" s="85"/>
      <c r="AU1105" s="29" t="s">
        <v>1940</v>
      </c>
      <c r="AW1105" s="91">
        <v>3</v>
      </c>
      <c r="AX1105" s="93">
        <f>VLOOKUP(AW1105,색인!$N$14:$O$19,2,FALSE)</f>
        <v>2</v>
      </c>
      <c r="AY1105" s="91" t="str">
        <f>"T"&amp;O1105&amp;"_"&amp;AX1105&amp;"옵션_"&amp;VLOOKUP(E1105,색인!$J$25:$K$29,2,FALSE)</f>
        <v>T7_2옵션_방어구</v>
      </c>
      <c r="AZ1105" s="91">
        <f>VLOOKUP(G1105,색인!$J$32:$K$45,2,FALSE)</f>
        <v>2</v>
      </c>
      <c r="BA1105" s="91" t="str">
        <f>_xlfn.IFNA(VLOOKUP(AY1105,표1[[검색용]:[OptionGroupIndex'[']22]],EquipItemTable!AZ1105,FALSE),"옵션고정안함")</f>
        <v>7211</v>
      </c>
    </row>
    <row r="1106" spans="1:53" s="27" customFormat="1" ht="12" x14ac:dyDescent="0.2">
      <c r="A1106" s="25" t="s">
        <v>1457</v>
      </c>
      <c r="B1106" s="39">
        <v>61415</v>
      </c>
      <c r="C1106" s="42" t="s">
        <v>3705</v>
      </c>
      <c r="D1106" s="26" t="s">
        <v>83</v>
      </c>
      <c r="E1106" s="26" t="s">
        <v>1</v>
      </c>
      <c r="F1106" s="27" t="s">
        <v>311</v>
      </c>
      <c r="G1106" s="27" t="s">
        <v>1472</v>
      </c>
      <c r="N1106" s="8"/>
      <c r="O1106" s="29" t="s">
        <v>1338</v>
      </c>
      <c r="P1106" s="27">
        <v>71</v>
      </c>
      <c r="AA1106" s="27">
        <v>2502</v>
      </c>
      <c r="AB1106" s="28"/>
      <c r="AC1106" s="82"/>
      <c r="AD1106" s="29" t="s">
        <v>1377</v>
      </c>
      <c r="AE1106" s="92" t="str">
        <f t="shared" si="142"/>
        <v>7311</v>
      </c>
      <c r="AF1106" s="29"/>
      <c r="AG1106" s="29"/>
      <c r="AH1106" s="29"/>
      <c r="AQ1106" s="85"/>
      <c r="AR1106" s="27">
        <v>1</v>
      </c>
      <c r="AS1106" s="27">
        <v>1</v>
      </c>
      <c r="AT1106" s="85"/>
      <c r="AU1106" s="29" t="s">
        <v>1941</v>
      </c>
      <c r="AW1106" s="91">
        <v>4</v>
      </c>
      <c r="AX1106" s="93">
        <f>VLOOKUP(AW1106,색인!$N$14:$O$19,2,FALSE)</f>
        <v>3</v>
      </c>
      <c r="AY1106" s="91" t="str">
        <f>"T"&amp;O1106&amp;"_"&amp;AX1106&amp;"옵션_"&amp;VLOOKUP(E1106,색인!$J$25:$K$29,2,FALSE)</f>
        <v>T7_3옵션_방어구</v>
      </c>
      <c r="AZ1106" s="91">
        <f>VLOOKUP(G1106,색인!$J$32:$K$45,2,FALSE)</f>
        <v>2</v>
      </c>
      <c r="BA1106" s="91" t="str">
        <f>_xlfn.IFNA(VLOOKUP(AY1106,표1[[검색용]:[OptionGroupIndex'[']22]],EquipItemTable!AZ1106,FALSE),"옵션고정안함")</f>
        <v>7311</v>
      </c>
    </row>
    <row r="1107" spans="1:53" s="27" customFormat="1" ht="12" x14ac:dyDescent="0.2">
      <c r="A1107" s="25" t="s">
        <v>1458</v>
      </c>
      <c r="B1107" s="39">
        <v>61416</v>
      </c>
      <c r="C1107" s="42" t="s">
        <v>3694</v>
      </c>
      <c r="D1107" s="26" t="s">
        <v>83</v>
      </c>
      <c r="E1107" s="26" t="s">
        <v>1</v>
      </c>
      <c r="F1107" s="27" t="s">
        <v>311</v>
      </c>
      <c r="G1107" s="27" t="s">
        <v>1472</v>
      </c>
      <c r="N1107" s="8"/>
      <c r="O1107" s="29" t="s">
        <v>1338</v>
      </c>
      <c r="P1107" s="27">
        <v>71</v>
      </c>
      <c r="AA1107" s="27">
        <v>2752</v>
      </c>
      <c r="AB1107" s="28"/>
      <c r="AC1107" s="82"/>
      <c r="AD1107" s="29" t="s">
        <v>1377</v>
      </c>
      <c r="AE1107" s="92" t="str">
        <f t="shared" si="142"/>
        <v>7311</v>
      </c>
      <c r="AF1107" s="29"/>
      <c r="AG1107" s="29"/>
      <c r="AH1107" s="29"/>
      <c r="AN1107" s="27">
        <v>103</v>
      </c>
      <c r="AQ1107" s="85"/>
      <c r="AR1107" s="27">
        <v>1</v>
      </c>
      <c r="AS1107" s="27">
        <v>1</v>
      </c>
      <c r="AT1107" s="85"/>
      <c r="AU1107" s="29" t="s">
        <v>1942</v>
      </c>
      <c r="AW1107" s="91">
        <v>5</v>
      </c>
      <c r="AX1107" s="93">
        <f>VLOOKUP(AW1107,색인!$N$14:$O$19,2,FALSE)</f>
        <v>3</v>
      </c>
      <c r="AY1107" s="91" t="str">
        <f>"T"&amp;O1107&amp;"_"&amp;AX1107&amp;"옵션_"&amp;VLOOKUP(E1107,색인!$J$25:$K$29,2,FALSE)</f>
        <v>T7_3옵션_방어구</v>
      </c>
      <c r="AZ1107" s="91">
        <f>VLOOKUP(G1107,색인!$J$32:$K$45,2,FALSE)</f>
        <v>2</v>
      </c>
      <c r="BA1107" s="91" t="str">
        <f>_xlfn.IFNA(VLOOKUP(AY1107,표1[[검색용]:[OptionGroupIndex'[']22]],EquipItemTable!AZ1107,FALSE),"옵션고정안함")</f>
        <v>7311</v>
      </c>
    </row>
    <row r="1108" spans="1:53" s="27" customFormat="1" ht="12" x14ac:dyDescent="0.2">
      <c r="A1108" s="25" t="s">
        <v>1459</v>
      </c>
      <c r="B1108" s="39">
        <v>61417</v>
      </c>
      <c r="C1108" s="42" t="s">
        <v>3696</v>
      </c>
      <c r="D1108" s="26" t="s">
        <v>83</v>
      </c>
      <c r="E1108" s="26" t="s">
        <v>1</v>
      </c>
      <c r="F1108" s="27" t="s">
        <v>311</v>
      </c>
      <c r="G1108" s="27" t="s">
        <v>1472</v>
      </c>
      <c r="N1108" s="8"/>
      <c r="O1108" s="29" t="s">
        <v>1338</v>
      </c>
      <c r="P1108" s="27">
        <v>71</v>
      </c>
      <c r="AA1108" s="27">
        <v>2752</v>
      </c>
      <c r="AB1108" s="28"/>
      <c r="AC1108" s="82"/>
      <c r="AD1108" s="29" t="s">
        <v>1377</v>
      </c>
      <c r="AE1108" s="92" t="str">
        <f t="shared" si="142"/>
        <v>7311</v>
      </c>
      <c r="AF1108" s="29"/>
      <c r="AG1108" s="29"/>
      <c r="AH1108" s="29"/>
      <c r="AN1108" s="27">
        <v>202</v>
      </c>
      <c r="AQ1108" s="85"/>
      <c r="AR1108" s="27">
        <v>1</v>
      </c>
      <c r="AS1108" s="27">
        <v>1</v>
      </c>
      <c r="AT1108" s="85"/>
      <c r="AU1108" s="29" t="s">
        <v>1942</v>
      </c>
      <c r="AW1108" s="91">
        <v>5</v>
      </c>
      <c r="AX1108" s="93">
        <f>VLOOKUP(AW1108,색인!$N$14:$O$19,2,FALSE)</f>
        <v>3</v>
      </c>
      <c r="AY1108" s="91" t="str">
        <f>"T"&amp;O1108&amp;"_"&amp;AX1108&amp;"옵션_"&amp;VLOOKUP(E1108,색인!$J$25:$K$29,2,FALSE)</f>
        <v>T7_3옵션_방어구</v>
      </c>
      <c r="AZ1108" s="91">
        <f>VLOOKUP(G1108,색인!$J$32:$K$45,2,FALSE)</f>
        <v>2</v>
      </c>
      <c r="BA1108" s="91" t="str">
        <f>_xlfn.IFNA(VLOOKUP(AY1108,표1[[검색용]:[OptionGroupIndex'[']22]],EquipItemTable!AZ1108,FALSE),"옵션고정안함")</f>
        <v>7311</v>
      </c>
    </row>
    <row r="1109" spans="1:53" s="27" customFormat="1" ht="12" x14ac:dyDescent="0.2">
      <c r="A1109" s="25" t="s">
        <v>1460</v>
      </c>
      <c r="B1109" s="39">
        <v>61418</v>
      </c>
      <c r="C1109" s="42" t="s">
        <v>3697</v>
      </c>
      <c r="D1109" s="26" t="s">
        <v>83</v>
      </c>
      <c r="E1109" s="26" t="s">
        <v>1</v>
      </c>
      <c r="F1109" s="27" t="s">
        <v>311</v>
      </c>
      <c r="G1109" s="27" t="s">
        <v>1472</v>
      </c>
      <c r="N1109" s="8"/>
      <c r="O1109" s="29" t="s">
        <v>1338</v>
      </c>
      <c r="P1109" s="27">
        <v>71</v>
      </c>
      <c r="AA1109" s="27">
        <v>2752</v>
      </c>
      <c r="AB1109" s="28"/>
      <c r="AC1109" s="82"/>
      <c r="AD1109" s="29" t="s">
        <v>1377</v>
      </c>
      <c r="AE1109" s="92" t="str">
        <f t="shared" si="142"/>
        <v>7311</v>
      </c>
      <c r="AF1109" s="29"/>
      <c r="AG1109" s="29"/>
      <c r="AH1109" s="29"/>
      <c r="AN1109" s="27">
        <v>203</v>
      </c>
      <c r="AQ1109" s="85"/>
      <c r="AR1109" s="27">
        <v>1</v>
      </c>
      <c r="AS1109" s="27">
        <v>1</v>
      </c>
      <c r="AT1109" s="85"/>
      <c r="AU1109" s="29" t="s">
        <v>1942</v>
      </c>
      <c r="AW1109" s="91">
        <v>5</v>
      </c>
      <c r="AX1109" s="93">
        <f>VLOOKUP(AW1109,색인!$N$14:$O$19,2,FALSE)</f>
        <v>3</v>
      </c>
      <c r="AY1109" s="91" t="str">
        <f>"T"&amp;O1109&amp;"_"&amp;AX1109&amp;"옵션_"&amp;VLOOKUP(E1109,색인!$J$25:$K$29,2,FALSE)</f>
        <v>T7_3옵션_방어구</v>
      </c>
      <c r="AZ1109" s="91">
        <f>VLOOKUP(G1109,색인!$J$32:$K$45,2,FALSE)</f>
        <v>2</v>
      </c>
      <c r="BA1109" s="91" t="str">
        <f>_xlfn.IFNA(VLOOKUP(AY1109,표1[[검색용]:[OptionGroupIndex'[']22]],EquipItemTable!AZ1109,FALSE),"옵션고정안함")</f>
        <v>7311</v>
      </c>
    </row>
    <row r="1110" spans="1:53" s="27" customFormat="1" ht="12" x14ac:dyDescent="0.2">
      <c r="A1110" s="25" t="s">
        <v>1461</v>
      </c>
      <c r="B1110" s="39">
        <v>61419</v>
      </c>
      <c r="C1110" s="42" t="s">
        <v>3698</v>
      </c>
      <c r="D1110" s="26" t="s">
        <v>83</v>
      </c>
      <c r="E1110" s="26" t="s">
        <v>1</v>
      </c>
      <c r="F1110" s="27" t="s">
        <v>311</v>
      </c>
      <c r="G1110" s="27" t="s">
        <v>1472</v>
      </c>
      <c r="N1110" s="8"/>
      <c r="O1110" s="29" t="s">
        <v>1338</v>
      </c>
      <c r="P1110" s="27">
        <v>71</v>
      </c>
      <c r="AA1110" s="27">
        <v>2752</v>
      </c>
      <c r="AB1110" s="28"/>
      <c r="AC1110" s="82"/>
      <c r="AD1110" s="29" t="s">
        <v>1377</v>
      </c>
      <c r="AE1110" s="92" t="str">
        <f t="shared" si="142"/>
        <v>7311</v>
      </c>
      <c r="AF1110" s="29"/>
      <c r="AG1110" s="29"/>
      <c r="AH1110" s="29"/>
      <c r="AN1110" s="27">
        <v>204</v>
      </c>
      <c r="AQ1110" s="85"/>
      <c r="AR1110" s="27">
        <v>1</v>
      </c>
      <c r="AS1110" s="27">
        <v>1</v>
      </c>
      <c r="AT1110" s="85"/>
      <c r="AU1110" s="29" t="s">
        <v>1942</v>
      </c>
      <c r="AW1110" s="91">
        <v>5</v>
      </c>
      <c r="AX1110" s="93">
        <f>VLOOKUP(AW1110,색인!$N$14:$O$19,2,FALSE)</f>
        <v>3</v>
      </c>
      <c r="AY1110" s="91" t="str">
        <f>"T"&amp;O1110&amp;"_"&amp;AX1110&amp;"옵션_"&amp;VLOOKUP(E1110,색인!$J$25:$K$29,2,FALSE)</f>
        <v>T7_3옵션_방어구</v>
      </c>
      <c r="AZ1110" s="91">
        <f>VLOOKUP(G1110,색인!$J$32:$K$45,2,FALSE)</f>
        <v>2</v>
      </c>
      <c r="BA1110" s="91" t="str">
        <f>_xlfn.IFNA(VLOOKUP(AY1110,표1[[검색용]:[OptionGroupIndex'[']22]],EquipItemTable!AZ1110,FALSE),"옵션고정안함")</f>
        <v>7311</v>
      </c>
    </row>
    <row r="1111" spans="1:53" s="27" customFormat="1" ht="12" x14ac:dyDescent="0.2">
      <c r="A1111" s="25" t="s">
        <v>1462</v>
      </c>
      <c r="B1111" s="39">
        <v>61420</v>
      </c>
      <c r="C1111" s="42" t="s">
        <v>3699</v>
      </c>
      <c r="D1111" s="26" t="s">
        <v>83</v>
      </c>
      <c r="E1111" s="26" t="s">
        <v>1</v>
      </c>
      <c r="F1111" s="27" t="s">
        <v>311</v>
      </c>
      <c r="G1111" s="27" t="s">
        <v>1472</v>
      </c>
      <c r="J1111" s="1"/>
      <c r="K1111" s="1"/>
      <c r="L1111" s="1"/>
      <c r="M1111" s="1"/>
      <c r="N1111" s="8"/>
      <c r="O1111" s="29" t="s">
        <v>1338</v>
      </c>
      <c r="P1111" s="27">
        <v>71</v>
      </c>
      <c r="AA1111" s="27">
        <v>2752</v>
      </c>
      <c r="AB1111" s="28"/>
      <c r="AC1111" s="82"/>
      <c r="AD1111" s="29" t="s">
        <v>1377</v>
      </c>
      <c r="AE1111" s="92" t="str">
        <f t="shared" si="142"/>
        <v>7311</v>
      </c>
      <c r="AF1111" s="29"/>
      <c r="AG1111" s="12"/>
      <c r="AH1111" s="12"/>
      <c r="AN1111" s="27">
        <v>205</v>
      </c>
      <c r="AQ1111" s="85"/>
      <c r="AR1111" s="27">
        <v>1</v>
      </c>
      <c r="AS1111" s="27">
        <v>1</v>
      </c>
      <c r="AT1111" s="85"/>
      <c r="AU1111" s="29" t="s">
        <v>1942</v>
      </c>
      <c r="AW1111" s="91">
        <v>5</v>
      </c>
      <c r="AX1111" s="93">
        <f>VLOOKUP(AW1111,색인!$N$14:$O$19,2,FALSE)</f>
        <v>3</v>
      </c>
      <c r="AY1111" s="91" t="str">
        <f>"T"&amp;O1111&amp;"_"&amp;AX1111&amp;"옵션_"&amp;VLOOKUP(E1111,색인!$J$25:$K$29,2,FALSE)</f>
        <v>T7_3옵션_방어구</v>
      </c>
      <c r="AZ1111" s="91">
        <f>VLOOKUP(G1111,색인!$J$32:$K$45,2,FALSE)</f>
        <v>2</v>
      </c>
      <c r="BA1111" s="91" t="str">
        <f>_xlfn.IFNA(VLOOKUP(AY1111,표1[[검색용]:[OptionGroupIndex'[']22]],EquipItemTable!AZ1111,FALSE),"옵션고정안함")</f>
        <v>7311</v>
      </c>
    </row>
    <row r="1112" spans="1:53" s="27" customFormat="1" ht="12" x14ac:dyDescent="0.2">
      <c r="A1112" s="25" t="s">
        <v>1463</v>
      </c>
      <c r="B1112" s="39">
        <v>61421</v>
      </c>
      <c r="C1112" s="42" t="s">
        <v>3706</v>
      </c>
      <c r="D1112" s="26" t="s">
        <v>83</v>
      </c>
      <c r="E1112" s="26" t="s">
        <v>1</v>
      </c>
      <c r="F1112" s="27" t="s">
        <v>311</v>
      </c>
      <c r="G1112" s="27" t="s">
        <v>1472</v>
      </c>
      <c r="J1112" s="1"/>
      <c r="K1112" s="1"/>
      <c r="L1112" s="1"/>
      <c r="M1112" s="1"/>
      <c r="N1112" s="8"/>
      <c r="O1112" s="29" t="s">
        <v>1338</v>
      </c>
      <c r="P1112" s="27">
        <v>71</v>
      </c>
      <c r="AA1112" s="27">
        <v>2752</v>
      </c>
      <c r="AB1112" s="28"/>
      <c r="AC1112" s="82"/>
      <c r="AD1112" s="29" t="s">
        <v>1377</v>
      </c>
      <c r="AE1112" s="92" t="str">
        <f t="shared" si="142"/>
        <v>7311</v>
      </c>
      <c r="AF1112" s="29"/>
      <c r="AG1112" s="12"/>
      <c r="AH1112" s="12"/>
      <c r="AN1112" s="27">
        <v>206</v>
      </c>
      <c r="AQ1112" s="85"/>
      <c r="AR1112" s="27">
        <v>1</v>
      </c>
      <c r="AS1112" s="27">
        <v>1</v>
      </c>
      <c r="AT1112" s="85"/>
      <c r="AU1112" s="29" t="s">
        <v>1942</v>
      </c>
      <c r="AW1112" s="91">
        <v>5</v>
      </c>
      <c r="AX1112" s="93">
        <f>VLOOKUP(AW1112,색인!$N$14:$O$19,2,FALSE)</f>
        <v>3</v>
      </c>
      <c r="AY1112" s="91" t="str">
        <f>"T"&amp;O1112&amp;"_"&amp;AX1112&amp;"옵션_"&amp;VLOOKUP(E1112,색인!$J$25:$K$29,2,FALSE)</f>
        <v>T7_3옵션_방어구</v>
      </c>
      <c r="AZ1112" s="91">
        <f>VLOOKUP(G1112,색인!$J$32:$K$45,2,FALSE)</f>
        <v>2</v>
      </c>
      <c r="BA1112" s="91" t="str">
        <f>_xlfn.IFNA(VLOOKUP(AY1112,표1[[검색용]:[OptionGroupIndex'[']22]],EquipItemTable!AZ1112,FALSE),"옵션고정안함")</f>
        <v>7311</v>
      </c>
    </row>
    <row r="1113" spans="1:53" s="27" customFormat="1" ht="12" x14ac:dyDescent="0.2">
      <c r="A1113" s="25" t="s">
        <v>1464</v>
      </c>
      <c r="B1113" s="39">
        <v>61422</v>
      </c>
      <c r="C1113" s="42" t="s">
        <v>3707</v>
      </c>
      <c r="D1113" s="26" t="s">
        <v>83</v>
      </c>
      <c r="E1113" s="26" t="s">
        <v>1</v>
      </c>
      <c r="F1113" s="27" t="s">
        <v>311</v>
      </c>
      <c r="G1113" s="27" t="s">
        <v>1472</v>
      </c>
      <c r="J1113" s="1"/>
      <c r="K1113" s="1"/>
      <c r="L1113" s="1"/>
      <c r="M1113" s="1"/>
      <c r="N1113" s="8"/>
      <c r="O1113" s="29" t="s">
        <v>1338</v>
      </c>
      <c r="P1113" s="27">
        <v>71</v>
      </c>
      <c r="AA1113" s="27">
        <v>2752</v>
      </c>
      <c r="AB1113" s="28"/>
      <c r="AC1113" s="82"/>
      <c r="AD1113" s="29" t="s">
        <v>1377</v>
      </c>
      <c r="AE1113" s="92" t="str">
        <f t="shared" si="142"/>
        <v>7311</v>
      </c>
      <c r="AF1113" s="29"/>
      <c r="AG1113" s="12"/>
      <c r="AH1113" s="12"/>
      <c r="AN1113" s="27">
        <v>207</v>
      </c>
      <c r="AQ1113" s="85"/>
      <c r="AR1113" s="27">
        <v>1</v>
      </c>
      <c r="AS1113" s="27">
        <v>1</v>
      </c>
      <c r="AT1113" s="85"/>
      <c r="AU1113" s="29" t="s">
        <v>1942</v>
      </c>
      <c r="AW1113" s="91">
        <v>5</v>
      </c>
      <c r="AX1113" s="93">
        <f>VLOOKUP(AW1113,색인!$N$14:$O$19,2,FALSE)</f>
        <v>3</v>
      </c>
      <c r="AY1113" s="91" t="str">
        <f>"T"&amp;O1113&amp;"_"&amp;AX1113&amp;"옵션_"&amp;VLOOKUP(E1113,색인!$J$25:$K$29,2,FALSE)</f>
        <v>T7_3옵션_방어구</v>
      </c>
      <c r="AZ1113" s="91">
        <f>VLOOKUP(G1113,색인!$J$32:$K$45,2,FALSE)</f>
        <v>2</v>
      </c>
      <c r="BA1113" s="91" t="str">
        <f>_xlfn.IFNA(VLOOKUP(AY1113,표1[[검색용]:[OptionGroupIndex'[']22]],EquipItemTable!AZ1113,FALSE),"옵션고정안함")</f>
        <v>7311</v>
      </c>
    </row>
    <row r="1114" spans="1:53" s="27" customFormat="1" ht="12" x14ac:dyDescent="0.2">
      <c r="A1114" s="25" t="s">
        <v>1465</v>
      </c>
      <c r="B1114" s="39">
        <v>61423</v>
      </c>
      <c r="C1114" s="42" t="s">
        <v>3680</v>
      </c>
      <c r="D1114" s="26" t="s">
        <v>83</v>
      </c>
      <c r="E1114" s="26" t="s">
        <v>1</v>
      </c>
      <c r="F1114" s="27" t="s">
        <v>311</v>
      </c>
      <c r="G1114" s="27" t="s">
        <v>1472</v>
      </c>
      <c r="J1114" s="1"/>
      <c r="K1114" s="1"/>
      <c r="L1114" s="1"/>
      <c r="M1114" s="1"/>
      <c r="N1114" s="8"/>
      <c r="O1114" s="29" t="s">
        <v>1338</v>
      </c>
      <c r="P1114" s="27">
        <v>71</v>
      </c>
      <c r="AA1114" s="27">
        <v>2841</v>
      </c>
      <c r="AB1114" s="28"/>
      <c r="AC1114" s="82"/>
      <c r="AD1114" s="29" t="s">
        <v>1377</v>
      </c>
      <c r="AE1114" s="92" t="str">
        <f>BA1114</f>
        <v>7411</v>
      </c>
      <c r="AF1114" s="29" t="s">
        <v>2185</v>
      </c>
      <c r="AG1114" s="12"/>
      <c r="AH1114" s="12"/>
      <c r="AN1114" s="27">
        <v>1</v>
      </c>
      <c r="AQ1114" s="85"/>
      <c r="AR1114" s="27">
        <v>1</v>
      </c>
      <c r="AS1114" s="27">
        <v>1</v>
      </c>
      <c r="AT1114" s="85"/>
      <c r="AU1114" s="12" t="s">
        <v>1936</v>
      </c>
      <c r="AW1114" s="91">
        <v>6</v>
      </c>
      <c r="AX1114" s="93">
        <f>VLOOKUP(AW1114,색인!$N$14:$O$19,2,FALSE)</f>
        <v>4</v>
      </c>
      <c r="AY1114" s="93" t="str">
        <f>"T"&amp;O1114&amp;"_"&amp;AX1114&amp;"옵션_"&amp;VLOOKUP(E1114,색인!$J$25:$K$29,2,FALSE)</f>
        <v>T7_4옵션_방어구</v>
      </c>
      <c r="AZ1114" s="93">
        <f>VLOOKUP(G1114,색인!$J$32:$K$45,2,FALSE)</f>
        <v>2</v>
      </c>
      <c r="BA1114" s="93" t="str">
        <f>_xlfn.IFNA(VLOOKUP(AY1114,표1[[검색용]:[OptionGroupIndex'[']22]],EquipItemTable!AZ1114,FALSE),"옵션고정안함")</f>
        <v>7411</v>
      </c>
    </row>
    <row r="1115" spans="1:53" s="27" customFormat="1" ht="12" x14ac:dyDescent="0.2">
      <c r="A1115" s="25" t="s">
        <v>1466</v>
      </c>
      <c r="B1115" s="39">
        <v>61424</v>
      </c>
      <c r="C1115" s="42" t="s">
        <v>3681</v>
      </c>
      <c r="D1115" s="26" t="s">
        <v>83</v>
      </c>
      <c r="E1115" s="26" t="s">
        <v>1</v>
      </c>
      <c r="F1115" s="27" t="s">
        <v>311</v>
      </c>
      <c r="G1115" s="27" t="s">
        <v>1472</v>
      </c>
      <c r="J1115" s="1"/>
      <c r="K1115" s="1"/>
      <c r="L1115" s="1"/>
      <c r="M1115" s="1"/>
      <c r="N1115" s="8"/>
      <c r="O1115" s="29" t="s">
        <v>1338</v>
      </c>
      <c r="P1115" s="27">
        <v>71</v>
      </c>
      <c r="AA1115" s="27">
        <v>2841</v>
      </c>
      <c r="AB1115" s="28"/>
      <c r="AC1115" s="82"/>
      <c r="AD1115" s="29" t="s">
        <v>1377</v>
      </c>
      <c r="AE1115" s="92" t="str">
        <f>BA1115</f>
        <v>7411</v>
      </c>
      <c r="AF1115" s="29" t="s">
        <v>2185</v>
      </c>
      <c r="AG1115" s="12"/>
      <c r="AH1115" s="12"/>
      <c r="AN1115" s="27">
        <v>2</v>
      </c>
      <c r="AQ1115" s="85"/>
      <c r="AR1115" s="27">
        <v>1</v>
      </c>
      <c r="AS1115" s="27">
        <v>1</v>
      </c>
      <c r="AT1115" s="85"/>
      <c r="AU1115" s="12" t="s">
        <v>1936</v>
      </c>
      <c r="AW1115" s="91">
        <v>6</v>
      </c>
      <c r="AX1115" s="93">
        <f>VLOOKUP(AW1115,색인!$N$14:$O$19,2,FALSE)</f>
        <v>4</v>
      </c>
      <c r="AY1115" s="93" t="str">
        <f>"T"&amp;O1115&amp;"_"&amp;AX1115&amp;"옵션_"&amp;VLOOKUP(E1115,색인!$J$25:$K$29,2,FALSE)</f>
        <v>T7_4옵션_방어구</v>
      </c>
      <c r="AZ1115" s="93">
        <f>VLOOKUP(G1115,색인!$J$32:$K$45,2,FALSE)</f>
        <v>2</v>
      </c>
      <c r="BA1115" s="93" t="str">
        <f>_xlfn.IFNA(VLOOKUP(AY1115,표1[[검색용]:[OptionGroupIndex'[']22]],EquipItemTable!AZ1115,FALSE),"옵션고정안함")</f>
        <v>7411</v>
      </c>
    </row>
    <row r="1116" spans="1:53" s="27" customFormat="1" ht="12" x14ac:dyDescent="0.2">
      <c r="A1116" s="25" t="s">
        <v>1467</v>
      </c>
      <c r="B1116" s="39">
        <v>61425</v>
      </c>
      <c r="C1116" s="42" t="s">
        <v>3682</v>
      </c>
      <c r="D1116" s="26" t="s">
        <v>83</v>
      </c>
      <c r="E1116" s="26" t="s">
        <v>1</v>
      </c>
      <c r="F1116" s="27" t="s">
        <v>311</v>
      </c>
      <c r="G1116" s="27" t="s">
        <v>1472</v>
      </c>
      <c r="J1116" s="1"/>
      <c r="K1116" s="1"/>
      <c r="L1116" s="1"/>
      <c r="M1116" s="1"/>
      <c r="N1116" s="8"/>
      <c r="O1116" s="29" t="s">
        <v>1338</v>
      </c>
      <c r="P1116" s="27">
        <v>71</v>
      </c>
      <c r="AA1116" s="27">
        <v>2841</v>
      </c>
      <c r="AB1116" s="28"/>
      <c r="AC1116" s="82"/>
      <c r="AD1116" s="29" t="s">
        <v>1377</v>
      </c>
      <c r="AE1116" s="92" t="str">
        <f>BA1116</f>
        <v>7411</v>
      </c>
      <c r="AF1116" s="29" t="s">
        <v>2185</v>
      </c>
      <c r="AG1116" s="12"/>
      <c r="AH1116" s="12"/>
      <c r="AN1116" s="27">
        <v>3</v>
      </c>
      <c r="AQ1116" s="85"/>
      <c r="AR1116" s="27">
        <v>1</v>
      </c>
      <c r="AS1116" s="27">
        <v>1</v>
      </c>
      <c r="AT1116" s="85"/>
      <c r="AU1116" s="12" t="s">
        <v>1936</v>
      </c>
      <c r="AW1116" s="91">
        <v>6</v>
      </c>
      <c r="AX1116" s="93">
        <f>VLOOKUP(AW1116,색인!$N$14:$O$19,2,FALSE)</f>
        <v>4</v>
      </c>
      <c r="AY1116" s="93" t="str">
        <f>"T"&amp;O1116&amp;"_"&amp;AX1116&amp;"옵션_"&amp;VLOOKUP(E1116,색인!$J$25:$K$29,2,FALSE)</f>
        <v>T7_4옵션_방어구</v>
      </c>
      <c r="AZ1116" s="93">
        <f>VLOOKUP(G1116,색인!$J$32:$K$45,2,FALSE)</f>
        <v>2</v>
      </c>
      <c r="BA1116" s="93" t="str">
        <f>_xlfn.IFNA(VLOOKUP(AY1116,표1[[검색용]:[OptionGroupIndex'[']22]],EquipItemTable!AZ1116,FALSE),"옵션고정안함")</f>
        <v>7411</v>
      </c>
    </row>
    <row r="1117" spans="1:53" s="27" customFormat="1" ht="12" x14ac:dyDescent="0.2">
      <c r="A1117" s="25" t="s">
        <v>1468</v>
      </c>
      <c r="B1117" s="39">
        <v>61426</v>
      </c>
      <c r="C1117" s="42" t="s">
        <v>3683</v>
      </c>
      <c r="D1117" s="26" t="s">
        <v>83</v>
      </c>
      <c r="E1117" s="26" t="s">
        <v>1</v>
      </c>
      <c r="F1117" s="27" t="s">
        <v>311</v>
      </c>
      <c r="G1117" s="27" t="s">
        <v>1472</v>
      </c>
      <c r="J1117" s="1"/>
      <c r="K1117" s="1"/>
      <c r="L1117" s="1"/>
      <c r="M1117" s="1"/>
      <c r="N1117" s="8"/>
      <c r="O1117" s="29" t="s">
        <v>1338</v>
      </c>
      <c r="P1117" s="27">
        <v>71</v>
      </c>
      <c r="AA1117" s="27">
        <v>2841</v>
      </c>
      <c r="AB1117" s="28"/>
      <c r="AC1117" s="82"/>
      <c r="AD1117" s="29" t="s">
        <v>1377</v>
      </c>
      <c r="AE1117" s="92" t="str">
        <f>BA1117</f>
        <v>7411</v>
      </c>
      <c r="AF1117" s="29" t="s">
        <v>2185</v>
      </c>
      <c r="AG1117" s="12"/>
      <c r="AH1117" s="12"/>
      <c r="AN1117" s="27">
        <v>4</v>
      </c>
      <c r="AQ1117" s="85"/>
      <c r="AR1117" s="27">
        <v>1</v>
      </c>
      <c r="AS1117" s="27">
        <v>1</v>
      </c>
      <c r="AT1117" s="85"/>
      <c r="AU1117" s="12" t="s">
        <v>1936</v>
      </c>
      <c r="AW1117" s="91">
        <v>6</v>
      </c>
      <c r="AX1117" s="93">
        <f>VLOOKUP(AW1117,색인!$N$14:$O$19,2,FALSE)</f>
        <v>4</v>
      </c>
      <c r="AY1117" s="93" t="str">
        <f>"T"&amp;O1117&amp;"_"&amp;AX1117&amp;"옵션_"&amp;VLOOKUP(E1117,색인!$J$25:$K$29,2,FALSE)</f>
        <v>T7_4옵션_방어구</v>
      </c>
      <c r="AZ1117" s="93">
        <f>VLOOKUP(G1117,색인!$J$32:$K$45,2,FALSE)</f>
        <v>2</v>
      </c>
      <c r="BA1117" s="93" t="str">
        <f>_xlfn.IFNA(VLOOKUP(AY1117,표1[[검색용]:[OptionGroupIndex'[']22]],EquipItemTable!AZ1117,FALSE),"옵션고정안함")</f>
        <v>7411</v>
      </c>
    </row>
    <row r="1118" spans="1:53" s="27" customFormat="1" ht="12" x14ac:dyDescent="0.2">
      <c r="A1118" s="30" t="s">
        <v>1469</v>
      </c>
      <c r="B1118" s="39">
        <v>61605</v>
      </c>
      <c r="C1118" s="42" t="e">
        <v>#N/A</v>
      </c>
      <c r="D1118" s="26" t="s">
        <v>83</v>
      </c>
      <c r="E1118" s="26" t="s">
        <v>1</v>
      </c>
      <c r="F1118" s="27" t="s">
        <v>311</v>
      </c>
      <c r="G1118" s="27" t="s">
        <v>1472</v>
      </c>
      <c r="J1118" s="1"/>
      <c r="K1118" s="1"/>
      <c r="L1118" s="1"/>
      <c r="M1118" s="1"/>
      <c r="N1118" s="8"/>
      <c r="O1118" s="29" t="s">
        <v>1338</v>
      </c>
      <c r="P1118" s="27">
        <v>71</v>
      </c>
      <c r="AA1118" s="27">
        <v>2841</v>
      </c>
      <c r="AB1118" s="28"/>
      <c r="AC1118" s="82"/>
      <c r="AD1118" s="29" t="s">
        <v>1377</v>
      </c>
      <c r="AE1118" s="29" t="s">
        <v>1337</v>
      </c>
      <c r="AF1118" s="29"/>
      <c r="AG1118" s="12"/>
      <c r="AH1118" s="12"/>
      <c r="AQ1118" s="85"/>
      <c r="AR1118" s="27">
        <v>1</v>
      </c>
      <c r="AS1118" s="27">
        <v>1</v>
      </c>
      <c r="AT1118" s="85"/>
      <c r="AU1118" s="29" t="s">
        <v>1944</v>
      </c>
      <c r="AW1118" s="91">
        <v>7</v>
      </c>
      <c r="AX1118" s="93"/>
      <c r="AY1118" s="93"/>
      <c r="AZ1118" s="93"/>
      <c r="BA1118" s="93"/>
    </row>
    <row r="1119" spans="1:53" s="27" customFormat="1" ht="12" x14ac:dyDescent="0.2">
      <c r="A1119" s="25" t="s">
        <v>1470</v>
      </c>
      <c r="B1119" s="39">
        <v>361003</v>
      </c>
      <c r="C1119" s="42" t="s">
        <v>3700</v>
      </c>
      <c r="D1119" s="26" t="s">
        <v>83</v>
      </c>
      <c r="E1119" s="26" t="s">
        <v>1</v>
      </c>
      <c r="F1119" s="27" t="s">
        <v>311</v>
      </c>
      <c r="G1119" s="27" t="s">
        <v>1472</v>
      </c>
      <c r="J1119" s="1"/>
      <c r="K1119" s="1"/>
      <c r="L1119" s="1"/>
      <c r="M1119" s="1"/>
      <c r="N1119" s="8"/>
      <c r="O1119" s="29" t="s">
        <v>1338</v>
      </c>
      <c r="P1119" s="27">
        <v>71</v>
      </c>
      <c r="AA1119" s="27">
        <v>2752</v>
      </c>
      <c r="AB1119" s="28"/>
      <c r="AC1119" s="82"/>
      <c r="AD1119" s="29" t="s">
        <v>1377</v>
      </c>
      <c r="AE1119" s="92" t="str">
        <f>BA1119</f>
        <v>7311</v>
      </c>
      <c r="AF1119" s="29"/>
      <c r="AG1119" s="23"/>
      <c r="AH1119" s="23"/>
      <c r="AN1119" s="27">
        <v>101</v>
      </c>
      <c r="AQ1119" s="85"/>
      <c r="AR1119" s="27">
        <v>1</v>
      </c>
      <c r="AS1119" s="27">
        <v>1</v>
      </c>
      <c r="AT1119" s="85"/>
      <c r="AU1119" s="29" t="s">
        <v>1942</v>
      </c>
      <c r="AW1119" s="91">
        <v>5</v>
      </c>
      <c r="AX1119" s="93">
        <f>VLOOKUP(AW1119,색인!$N$14:$O$19,2,FALSE)</f>
        <v>3</v>
      </c>
      <c r="AY1119" s="91" t="str">
        <f>"T"&amp;O1119&amp;"_"&amp;AX1119&amp;"옵션_"&amp;VLOOKUP(E1119,색인!$J$25:$K$29,2,FALSE)</f>
        <v>T7_3옵션_방어구</v>
      </c>
      <c r="AZ1119" s="91">
        <f>VLOOKUP(G1119,색인!$J$32:$K$45,2,FALSE)</f>
        <v>2</v>
      </c>
      <c r="BA1119" s="91" t="str">
        <f>_xlfn.IFNA(VLOOKUP(AY1119,표1[[검색용]:[OptionGroupIndex'[']22]],EquipItemTable!AZ1119,FALSE),"옵션고정안함")</f>
        <v>7311</v>
      </c>
    </row>
    <row r="1120" spans="1:53" s="27" customFormat="1" ht="12" x14ac:dyDescent="0.2">
      <c r="A1120" s="25" t="s">
        <v>1471</v>
      </c>
      <c r="B1120" s="39">
        <v>361004</v>
      </c>
      <c r="C1120" s="42" t="s">
        <v>3701</v>
      </c>
      <c r="D1120" s="26" t="s">
        <v>83</v>
      </c>
      <c r="E1120" s="26" t="s">
        <v>1</v>
      </c>
      <c r="F1120" s="27" t="s">
        <v>311</v>
      </c>
      <c r="G1120" s="27" t="s">
        <v>1472</v>
      </c>
      <c r="J1120" s="1"/>
      <c r="K1120" s="1"/>
      <c r="L1120" s="1"/>
      <c r="M1120" s="1"/>
      <c r="N1120" s="8"/>
      <c r="O1120" s="29" t="s">
        <v>1338</v>
      </c>
      <c r="P1120" s="27">
        <v>71</v>
      </c>
      <c r="AA1120" s="27">
        <v>2841</v>
      </c>
      <c r="AB1120" s="28"/>
      <c r="AC1120" s="82"/>
      <c r="AD1120" s="29" t="s">
        <v>1377</v>
      </c>
      <c r="AE1120" s="92" t="s">
        <v>2190</v>
      </c>
      <c r="AF1120" s="29" t="s">
        <v>2185</v>
      </c>
      <c r="AG1120" s="23"/>
      <c r="AH1120" s="23"/>
      <c r="AN1120" s="27">
        <v>102</v>
      </c>
      <c r="AQ1120" s="85"/>
      <c r="AR1120" s="27">
        <v>1</v>
      </c>
      <c r="AS1120" s="27">
        <v>1</v>
      </c>
      <c r="AT1120" s="85"/>
      <c r="AU1120" s="29" t="s">
        <v>1943</v>
      </c>
      <c r="AW1120" s="91">
        <v>6</v>
      </c>
      <c r="AX1120" s="93">
        <f>VLOOKUP(AW1120,색인!$N$14:$O$19,2,FALSE)</f>
        <v>4</v>
      </c>
      <c r="AY1120" s="93" t="str">
        <f>"T"&amp;O1120&amp;"_"&amp;AX1120&amp;"옵션_"&amp;VLOOKUP(E1120,색인!$J$25:$K$29,2,FALSE)</f>
        <v>T7_4옵션_방어구</v>
      </c>
      <c r="AZ1120" s="93">
        <f>VLOOKUP(G1120,색인!$J$32:$K$45,2,FALSE)</f>
        <v>2</v>
      </c>
      <c r="BA1120" s="93" t="str">
        <f>_xlfn.IFNA(VLOOKUP(AY1120,표1[[검색용]:[OptionGroupIndex'[']22]],EquipItemTable!AZ1120,FALSE),"옵션고정안함")</f>
        <v>7411</v>
      </c>
    </row>
    <row r="1121" spans="1:53" ht="12" customHeight="1" x14ac:dyDescent="0.2">
      <c r="A1121" s="13" t="s">
        <v>195</v>
      </c>
      <c r="B1121" s="39">
        <v>62001</v>
      </c>
      <c r="C1121" s="42" t="s">
        <v>21</v>
      </c>
      <c r="D1121" s="10" t="s">
        <v>2965</v>
      </c>
      <c r="E1121" s="10" t="s">
        <v>479</v>
      </c>
      <c r="F1121" s="1" t="s">
        <v>472</v>
      </c>
      <c r="G1121" s="1" t="s">
        <v>1313</v>
      </c>
      <c r="H1121" s="1"/>
      <c r="I1121" s="1"/>
      <c r="J1121" s="1"/>
      <c r="K1121" s="1"/>
      <c r="L1121" s="1"/>
      <c r="M1121" s="1"/>
      <c r="O1121" s="12" t="s">
        <v>94</v>
      </c>
      <c r="P1121" s="1">
        <v>1</v>
      </c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>
        <v>15</v>
      </c>
      <c r="AB1121" s="11"/>
      <c r="AC1121" s="82"/>
      <c r="AD1121" s="12" t="s">
        <v>52</v>
      </c>
      <c r="AE1121" s="12" t="s">
        <v>94</v>
      </c>
      <c r="AG1121" s="23"/>
      <c r="AH1121" s="23"/>
      <c r="AN1121" s="12"/>
      <c r="AU1121" s="12" t="s">
        <v>1932</v>
      </c>
      <c r="AV1121" s="13" t="s">
        <v>21</v>
      </c>
      <c r="AW1121" s="39">
        <v>1</v>
      </c>
      <c r="AY1121" s="32"/>
      <c r="AZ1121" s="32"/>
      <c r="BA1121" s="32"/>
    </row>
    <row r="1122" spans="1:53" ht="12" customHeight="1" x14ac:dyDescent="0.2">
      <c r="A1122" s="13" t="s">
        <v>196</v>
      </c>
      <c r="B1122" s="39">
        <v>62002</v>
      </c>
      <c r="C1122" s="42" t="s">
        <v>16</v>
      </c>
      <c r="D1122" s="10" t="s">
        <v>84</v>
      </c>
      <c r="E1122" s="10" t="s">
        <v>1</v>
      </c>
      <c r="F1122" s="1" t="s">
        <v>93</v>
      </c>
      <c r="G1122" s="1" t="s">
        <v>1313</v>
      </c>
      <c r="H1122" s="1"/>
      <c r="I1122" s="1"/>
      <c r="J1122" s="1"/>
      <c r="K1122" s="1"/>
      <c r="L1122" s="1"/>
      <c r="M1122" s="1"/>
      <c r="O1122" s="12" t="s">
        <v>94</v>
      </c>
      <c r="P1122" s="1">
        <v>1</v>
      </c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>
        <v>21</v>
      </c>
      <c r="AB1122" s="11"/>
      <c r="AC1122" s="82"/>
      <c r="AD1122" s="12" t="s">
        <v>52</v>
      </c>
      <c r="AE1122" s="39" t="str">
        <f t="shared" ref="AE1122:AE1124" si="143">BA1122</f>
        <v>1111</v>
      </c>
      <c r="AG1122" s="23"/>
      <c r="AH1122" s="23"/>
      <c r="AN1122" s="12"/>
      <c r="AU1122" s="12" t="s">
        <v>1933</v>
      </c>
      <c r="AV1122" s="13" t="s">
        <v>22</v>
      </c>
      <c r="AW1122" s="39">
        <v>2</v>
      </c>
      <c r="AX1122" s="12">
        <f>VLOOKUP(AW1122,색인!$N$14:$O$19,2,FALSE)</f>
        <v>1</v>
      </c>
      <c r="AY1122" s="39" t="str">
        <f>"T"&amp;O1122&amp;"_"&amp;AX1122&amp;"옵션_"&amp;VLOOKUP(E1122,색인!$J$25:$K$29,2,FALSE)</f>
        <v>T1_1옵션_방어구</v>
      </c>
      <c r="AZ1122" s="39">
        <f>VLOOKUP(G1122,색인!$J$32:$K$45,2,FALSE)</f>
        <v>2</v>
      </c>
      <c r="BA1122" s="39" t="str">
        <f>_xlfn.IFNA(VLOOKUP(AY1122,표1[[검색용]:[OptionGroupIndex'[']22]],EquipItemTable!AZ1122,FALSE),"옵션고정안함")</f>
        <v>1111</v>
      </c>
    </row>
    <row r="1123" spans="1:53" ht="12" customHeight="1" x14ac:dyDescent="0.2">
      <c r="A1123" s="13" t="s">
        <v>549</v>
      </c>
      <c r="B1123" s="39">
        <v>62003</v>
      </c>
      <c r="C1123" s="42" t="s">
        <v>3708</v>
      </c>
      <c r="D1123" s="10" t="s">
        <v>84</v>
      </c>
      <c r="E1123" s="10" t="s">
        <v>1</v>
      </c>
      <c r="F1123" s="1" t="s">
        <v>93</v>
      </c>
      <c r="G1123" s="1" t="s">
        <v>1313</v>
      </c>
      <c r="H1123" s="1"/>
      <c r="I1123" s="1"/>
      <c r="J1123" s="1"/>
      <c r="K1123" s="1"/>
      <c r="L1123" s="1"/>
      <c r="M1123" s="1"/>
      <c r="O1123" s="12" t="s">
        <v>94</v>
      </c>
      <c r="P1123" s="1">
        <v>1</v>
      </c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>
        <v>27</v>
      </c>
      <c r="AB1123" s="11"/>
      <c r="AC1123" s="82"/>
      <c r="AD1123" s="12" t="s">
        <v>52</v>
      </c>
      <c r="AE1123" s="39" t="str">
        <f t="shared" si="143"/>
        <v>1211</v>
      </c>
      <c r="AG1123" s="23"/>
      <c r="AH1123" s="23"/>
      <c r="AN1123" s="12"/>
      <c r="AR1123" s="34" t="s">
        <v>94</v>
      </c>
      <c r="AS1123" s="34" t="s">
        <v>94</v>
      </c>
      <c r="AU1123" s="12" t="s">
        <v>1934</v>
      </c>
      <c r="AV1123" s="13" t="s">
        <v>23</v>
      </c>
      <c r="AW1123" s="39">
        <v>3</v>
      </c>
      <c r="AX1123" s="12">
        <f>VLOOKUP(AW1123,색인!$N$14:$O$19,2,FALSE)</f>
        <v>2</v>
      </c>
      <c r="AY1123" s="39" t="str">
        <f>"T"&amp;O1123&amp;"_"&amp;AX1123&amp;"옵션_"&amp;VLOOKUP(E1123,색인!$J$25:$K$29,2,FALSE)</f>
        <v>T1_2옵션_방어구</v>
      </c>
      <c r="AZ1123" s="39">
        <f>VLOOKUP(G1123,색인!$J$32:$K$45,2,FALSE)</f>
        <v>2</v>
      </c>
      <c r="BA1123" s="39" t="str">
        <f>_xlfn.IFNA(VLOOKUP(AY1123,표1[[검색용]:[OptionGroupIndex'[']22]],EquipItemTable!AZ1123,FALSE),"옵션고정안함")</f>
        <v>1211</v>
      </c>
    </row>
    <row r="1124" spans="1:53" ht="12" customHeight="1" x14ac:dyDescent="0.2">
      <c r="A1124" s="13" t="s">
        <v>489</v>
      </c>
      <c r="B1124" s="39">
        <v>62004</v>
      </c>
      <c r="C1124" s="42" t="s">
        <v>3709</v>
      </c>
      <c r="D1124" s="10" t="s">
        <v>84</v>
      </c>
      <c r="E1124" s="10" t="s">
        <v>1</v>
      </c>
      <c r="F1124" s="1" t="s">
        <v>471</v>
      </c>
      <c r="G1124" s="1" t="s">
        <v>1313</v>
      </c>
      <c r="H1124" s="1"/>
      <c r="I1124" s="1"/>
      <c r="J1124" s="1"/>
      <c r="K1124" s="1"/>
      <c r="L1124" s="1"/>
      <c r="M1124" s="1"/>
      <c r="O1124" s="12" t="s">
        <v>428</v>
      </c>
      <c r="P1124" s="1">
        <v>1</v>
      </c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>
        <v>36</v>
      </c>
      <c r="AB1124" s="11"/>
      <c r="AC1124" s="82"/>
      <c r="AE1124" s="39" t="str">
        <f t="shared" si="143"/>
        <v>1311</v>
      </c>
      <c r="AG1124" s="23"/>
      <c r="AH1124" s="23"/>
      <c r="AN1124" s="12"/>
      <c r="AR1124" s="34" t="s">
        <v>543</v>
      </c>
      <c r="AS1124" s="34" t="s">
        <v>543</v>
      </c>
      <c r="AU1124" s="12" t="s">
        <v>1935</v>
      </c>
      <c r="AV1124" s="13"/>
      <c r="AW1124" s="39">
        <v>4</v>
      </c>
      <c r="AX1124" s="12">
        <f>VLOOKUP(AW1124,색인!$N$14:$O$19,2,FALSE)</f>
        <v>3</v>
      </c>
      <c r="AY1124" s="39" t="str">
        <f>"T"&amp;O1124&amp;"_"&amp;AX1124&amp;"옵션_"&amp;VLOOKUP(E1124,색인!$J$25:$K$29,2,FALSE)</f>
        <v>T1_3옵션_방어구</v>
      </c>
      <c r="AZ1124" s="39">
        <f>VLOOKUP(G1124,색인!$J$32:$K$45,2,FALSE)</f>
        <v>2</v>
      </c>
      <c r="BA1124" s="39" t="str">
        <f>_xlfn.IFNA(VLOOKUP(AY1124,표1[[검색용]:[OptionGroupIndex'[']22]],EquipItemTable!AZ1124,FALSE),"옵션고정안함")</f>
        <v>1311</v>
      </c>
    </row>
    <row r="1125" spans="1:53" ht="12" customHeight="1" x14ac:dyDescent="0.2">
      <c r="A1125" s="13" t="s">
        <v>197</v>
      </c>
      <c r="B1125" s="39">
        <v>62005</v>
      </c>
      <c r="C1125" s="42" t="s">
        <v>23</v>
      </c>
      <c r="D1125" s="10" t="s">
        <v>84</v>
      </c>
      <c r="E1125" s="10" t="s">
        <v>1</v>
      </c>
      <c r="F1125" s="1" t="s">
        <v>93</v>
      </c>
      <c r="G1125" s="1" t="s">
        <v>1313</v>
      </c>
      <c r="H1125" s="1"/>
      <c r="I1125" s="1"/>
      <c r="J1125" s="1"/>
      <c r="K1125" s="1"/>
      <c r="L1125" s="1"/>
      <c r="M1125" s="1"/>
      <c r="O1125" s="12" t="s">
        <v>95</v>
      </c>
      <c r="P1125" s="1">
        <v>21</v>
      </c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>
        <v>42</v>
      </c>
      <c r="AB1125" s="11"/>
      <c r="AC1125" s="82"/>
      <c r="AD1125" s="12" t="s">
        <v>52</v>
      </c>
      <c r="AE1125" s="12" t="s">
        <v>550</v>
      </c>
      <c r="AG1125" s="23"/>
      <c r="AH1125" s="23"/>
      <c r="AN1125" s="12"/>
      <c r="AU1125" s="12" t="s">
        <v>1932</v>
      </c>
      <c r="AV1125" s="13" t="s">
        <v>16</v>
      </c>
      <c r="AW1125" s="39">
        <v>1</v>
      </c>
      <c r="AY1125" s="32"/>
      <c r="AZ1125" s="32"/>
      <c r="BA1125" s="32"/>
    </row>
    <row r="1126" spans="1:53" ht="12" customHeight="1" x14ac:dyDescent="0.2">
      <c r="A1126" s="13" t="s">
        <v>198</v>
      </c>
      <c r="B1126" s="39">
        <v>62006</v>
      </c>
      <c r="C1126" s="42" t="s">
        <v>3710</v>
      </c>
      <c r="D1126" s="10" t="s">
        <v>84</v>
      </c>
      <c r="E1126" s="10" t="s">
        <v>1</v>
      </c>
      <c r="F1126" s="1" t="s">
        <v>93</v>
      </c>
      <c r="G1126" s="1" t="s">
        <v>1313</v>
      </c>
      <c r="H1126" s="1"/>
      <c r="I1126" s="1"/>
      <c r="J1126" s="1"/>
      <c r="K1126" s="1"/>
      <c r="L1126" s="1"/>
      <c r="M1126" s="1"/>
      <c r="O1126" s="12" t="s">
        <v>95</v>
      </c>
      <c r="P1126" s="1">
        <v>21</v>
      </c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>
        <v>52</v>
      </c>
      <c r="AB1126" s="11"/>
      <c r="AC1126" s="82"/>
      <c r="AD1126" s="12" t="s">
        <v>52</v>
      </c>
      <c r="AE1126" s="39" t="str">
        <f t="shared" ref="AE1126:AE1128" si="144">BA1126</f>
        <v>2111</v>
      </c>
      <c r="AG1126" s="23"/>
      <c r="AH1126" s="23"/>
      <c r="AN1126" s="12"/>
      <c r="AU1126" s="12" t="s">
        <v>1933</v>
      </c>
      <c r="AV1126" s="13" t="s">
        <v>17</v>
      </c>
      <c r="AW1126" s="39">
        <v>2</v>
      </c>
      <c r="AX1126" s="12">
        <f>VLOOKUP(AW1126,색인!$N$14:$O$19,2,FALSE)</f>
        <v>1</v>
      </c>
      <c r="AY1126" s="39" t="str">
        <f>"T"&amp;O1126&amp;"_"&amp;AX1126&amp;"옵션_"&amp;VLOOKUP(E1126,색인!$J$25:$K$29,2,FALSE)</f>
        <v>T2_1옵션_방어구</v>
      </c>
      <c r="AZ1126" s="39">
        <f>VLOOKUP(G1126,색인!$J$32:$K$45,2,FALSE)</f>
        <v>2</v>
      </c>
      <c r="BA1126" s="39" t="str">
        <f>_xlfn.IFNA(VLOOKUP(AY1126,표1[[검색용]:[OptionGroupIndex'[']22]],EquipItemTable!AZ1126,FALSE),"옵션고정안함")</f>
        <v>2111</v>
      </c>
    </row>
    <row r="1127" spans="1:53" ht="12" customHeight="1" x14ac:dyDescent="0.2">
      <c r="A1127" s="13" t="s">
        <v>199</v>
      </c>
      <c r="B1127" s="39">
        <v>62007</v>
      </c>
      <c r="C1127" s="42" t="s">
        <v>3711</v>
      </c>
      <c r="D1127" s="10" t="s">
        <v>84</v>
      </c>
      <c r="E1127" s="10" t="s">
        <v>1</v>
      </c>
      <c r="F1127" s="1" t="s">
        <v>93</v>
      </c>
      <c r="G1127" s="1" t="s">
        <v>1313</v>
      </c>
      <c r="H1127" s="1"/>
      <c r="I1127" s="1"/>
      <c r="J1127" s="1"/>
      <c r="K1127" s="1"/>
      <c r="L1127" s="1"/>
      <c r="M1127" s="1"/>
      <c r="O1127" s="12" t="s">
        <v>95</v>
      </c>
      <c r="P1127" s="1">
        <v>21</v>
      </c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>
        <v>66</v>
      </c>
      <c r="AB1127" s="11"/>
      <c r="AC1127" s="82"/>
      <c r="AD1127" s="12" t="s">
        <v>52</v>
      </c>
      <c r="AE1127" s="39" t="str">
        <f t="shared" si="144"/>
        <v>2211</v>
      </c>
      <c r="AG1127" s="23"/>
      <c r="AH1127" s="23"/>
      <c r="AN1127" s="12"/>
      <c r="AR1127" s="34" t="s">
        <v>94</v>
      </c>
      <c r="AS1127" s="34" t="s">
        <v>94</v>
      </c>
      <c r="AU1127" s="12" t="s">
        <v>1934</v>
      </c>
      <c r="AV1127" s="13"/>
      <c r="AW1127" s="39">
        <v>3</v>
      </c>
      <c r="AX1127" s="12">
        <f>VLOOKUP(AW1127,색인!$N$14:$O$19,2,FALSE)</f>
        <v>2</v>
      </c>
      <c r="AY1127" s="39" t="str">
        <f>"T"&amp;O1127&amp;"_"&amp;AX1127&amp;"옵션_"&amp;VLOOKUP(E1127,색인!$J$25:$K$29,2,FALSE)</f>
        <v>T2_2옵션_방어구</v>
      </c>
      <c r="AZ1127" s="39">
        <f>VLOOKUP(G1127,색인!$J$32:$K$45,2,FALSE)</f>
        <v>2</v>
      </c>
      <c r="BA1127" s="39" t="str">
        <f>_xlfn.IFNA(VLOOKUP(AY1127,표1[[검색용]:[OptionGroupIndex'[']22]],EquipItemTable!AZ1127,FALSE),"옵션고정안함")</f>
        <v>2211</v>
      </c>
    </row>
    <row r="1128" spans="1:53" ht="12" customHeight="1" x14ac:dyDescent="0.2">
      <c r="A1128" s="13" t="s">
        <v>490</v>
      </c>
      <c r="B1128" s="39">
        <v>62008</v>
      </c>
      <c r="C1128" s="42" t="s">
        <v>3712</v>
      </c>
      <c r="D1128" s="10" t="s">
        <v>84</v>
      </c>
      <c r="E1128" s="10" t="s">
        <v>1</v>
      </c>
      <c r="F1128" s="1" t="s">
        <v>471</v>
      </c>
      <c r="G1128" s="1" t="s">
        <v>1313</v>
      </c>
      <c r="H1128" s="1"/>
      <c r="I1128" s="1"/>
      <c r="J1128" s="1"/>
      <c r="K1128" s="1"/>
      <c r="L1128" s="1"/>
      <c r="M1128" s="1"/>
      <c r="O1128" s="12" t="s">
        <v>429</v>
      </c>
      <c r="P1128" s="1">
        <v>21</v>
      </c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>
        <v>79</v>
      </c>
      <c r="AB1128" s="11"/>
      <c r="AC1128" s="82"/>
      <c r="AE1128" s="39" t="str">
        <f t="shared" si="144"/>
        <v>2311</v>
      </c>
      <c r="AG1128" s="23"/>
      <c r="AH1128" s="23"/>
      <c r="AN1128" s="12"/>
      <c r="AR1128" s="34" t="s">
        <v>543</v>
      </c>
      <c r="AS1128" s="34" t="s">
        <v>543</v>
      </c>
      <c r="AU1128" s="12" t="s">
        <v>1935</v>
      </c>
      <c r="AV1128" s="13"/>
      <c r="AW1128" s="39">
        <v>4</v>
      </c>
      <c r="AX1128" s="12">
        <f>VLOOKUP(AW1128,색인!$N$14:$O$19,2,FALSE)</f>
        <v>3</v>
      </c>
      <c r="AY1128" s="39" t="str">
        <f>"T"&amp;O1128&amp;"_"&amp;AX1128&amp;"옵션_"&amp;VLOOKUP(E1128,색인!$J$25:$K$29,2,FALSE)</f>
        <v>T2_3옵션_방어구</v>
      </c>
      <c r="AZ1128" s="39">
        <f>VLOOKUP(G1128,색인!$J$32:$K$45,2,FALSE)</f>
        <v>2</v>
      </c>
      <c r="BA1128" s="39" t="str">
        <f>_xlfn.IFNA(VLOOKUP(AY1128,표1[[검색용]:[OptionGroupIndex'[']22]],EquipItemTable!AZ1128,FALSE),"옵션고정안함")</f>
        <v>2311</v>
      </c>
    </row>
    <row r="1129" spans="1:53" ht="12" customHeight="1" x14ac:dyDescent="0.2">
      <c r="A1129" s="13" t="s">
        <v>200</v>
      </c>
      <c r="B1129" s="39">
        <v>62009</v>
      </c>
      <c r="C1129" s="42" t="s">
        <v>3713</v>
      </c>
      <c r="D1129" s="10" t="s">
        <v>84</v>
      </c>
      <c r="E1129" s="10" t="s">
        <v>1</v>
      </c>
      <c r="F1129" s="1" t="s">
        <v>93</v>
      </c>
      <c r="G1129" s="1" t="s">
        <v>1313</v>
      </c>
      <c r="H1129" s="1"/>
      <c r="I1129" s="1"/>
      <c r="J1129" s="1"/>
      <c r="K1129" s="1"/>
      <c r="L1129" s="1"/>
      <c r="M1129" s="1"/>
      <c r="N1129" s="81"/>
      <c r="O1129" s="12" t="s">
        <v>96</v>
      </c>
      <c r="P1129" s="1">
        <v>31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>
        <v>90</v>
      </c>
      <c r="AB1129" s="13"/>
      <c r="AC1129" s="82"/>
      <c r="AD1129" s="23" t="s">
        <v>52</v>
      </c>
      <c r="AE1129" s="23">
        <v>3</v>
      </c>
      <c r="AF1129" s="23"/>
      <c r="AG1129" s="23"/>
      <c r="AH1129" s="23"/>
      <c r="AI1129" s="23"/>
      <c r="AJ1129" s="23"/>
      <c r="AK1129" s="23"/>
      <c r="AL1129" s="23"/>
      <c r="AM1129" s="23"/>
      <c r="AN1129" s="23"/>
      <c r="AO1129" s="23"/>
      <c r="AP1129" s="23"/>
      <c r="AQ1129" s="81"/>
      <c r="AR1129" s="83"/>
      <c r="AS1129" s="83"/>
      <c r="AT1129" s="81"/>
      <c r="AU1129" s="12" t="s">
        <v>1932</v>
      </c>
      <c r="AV1129" s="13" t="s">
        <v>18</v>
      </c>
      <c r="AW1129" s="39">
        <v>1</v>
      </c>
      <c r="AY1129" s="32"/>
      <c r="AZ1129" s="32"/>
      <c r="BA1129" s="32"/>
    </row>
    <row r="1130" spans="1:53" ht="12" customHeight="1" x14ac:dyDescent="0.2">
      <c r="A1130" s="13" t="s">
        <v>201</v>
      </c>
      <c r="B1130" s="39">
        <v>62010</v>
      </c>
      <c r="C1130" s="42" t="s">
        <v>3714</v>
      </c>
      <c r="D1130" s="10" t="s">
        <v>84</v>
      </c>
      <c r="E1130" s="10" t="s">
        <v>1</v>
      </c>
      <c r="F1130" s="1" t="s">
        <v>93</v>
      </c>
      <c r="G1130" s="1" t="s">
        <v>1313</v>
      </c>
      <c r="H1130" s="1"/>
      <c r="I1130" s="1"/>
      <c r="J1130" s="1"/>
      <c r="K1130" s="1"/>
      <c r="L1130" s="1"/>
      <c r="M1130" s="1"/>
      <c r="N1130" s="81"/>
      <c r="O1130" s="12" t="s">
        <v>96</v>
      </c>
      <c r="P1130" s="1">
        <v>31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>
        <v>115</v>
      </c>
      <c r="AB1130" s="13"/>
      <c r="AC1130" s="82"/>
      <c r="AD1130" s="23" t="s">
        <v>52</v>
      </c>
      <c r="AE1130" s="90" t="str">
        <f t="shared" ref="AE1130:AE1132" si="145">BA1130</f>
        <v>3111</v>
      </c>
      <c r="AF1130" s="23"/>
      <c r="AI1130" s="23"/>
      <c r="AJ1130" s="23"/>
      <c r="AK1130" s="23"/>
      <c r="AL1130" s="23"/>
      <c r="AM1130" s="23"/>
      <c r="AN1130" s="23"/>
      <c r="AO1130" s="23"/>
      <c r="AP1130" s="23"/>
      <c r="AQ1130" s="81"/>
      <c r="AR1130" s="83"/>
      <c r="AS1130" s="83"/>
      <c r="AT1130" s="81"/>
      <c r="AU1130" s="12" t="s">
        <v>1933</v>
      </c>
      <c r="AV1130" s="13"/>
      <c r="AW1130" s="39">
        <v>2</v>
      </c>
      <c r="AX1130" s="12">
        <f>VLOOKUP(AW1130,색인!$N$14:$O$19,2,FALSE)</f>
        <v>1</v>
      </c>
      <c r="AY1130" s="39" t="str">
        <f>"T"&amp;O1130&amp;"_"&amp;AX1130&amp;"옵션_"&amp;VLOOKUP(E1130,색인!$J$25:$K$29,2,FALSE)</f>
        <v>T3_1옵션_방어구</v>
      </c>
      <c r="AZ1130" s="39">
        <f>VLOOKUP(G1130,색인!$J$32:$K$45,2,FALSE)</f>
        <v>2</v>
      </c>
      <c r="BA1130" s="39" t="str">
        <f>_xlfn.IFNA(VLOOKUP(AY1130,표1[[검색용]:[OptionGroupIndex'[']22]],EquipItemTable!AZ1130,FALSE),"옵션고정안함")</f>
        <v>3111</v>
      </c>
    </row>
    <row r="1131" spans="1:53" ht="12" customHeight="1" x14ac:dyDescent="0.2">
      <c r="A1131" s="13" t="s">
        <v>202</v>
      </c>
      <c r="B1131" s="39">
        <v>62011</v>
      </c>
      <c r="C1131" s="42" t="s">
        <v>18</v>
      </c>
      <c r="D1131" s="10" t="s">
        <v>84</v>
      </c>
      <c r="E1131" s="10" t="s">
        <v>1</v>
      </c>
      <c r="F1131" s="1" t="s">
        <v>93</v>
      </c>
      <c r="G1131" s="1" t="s">
        <v>1313</v>
      </c>
      <c r="H1131" s="1"/>
      <c r="I1131" s="1"/>
      <c r="J1131" s="1"/>
      <c r="K1131" s="1"/>
      <c r="L1131" s="1"/>
      <c r="M1131" s="1"/>
      <c r="N1131" s="81"/>
      <c r="O1131" s="12" t="s">
        <v>96</v>
      </c>
      <c r="P1131" s="1">
        <v>31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>
        <v>138</v>
      </c>
      <c r="AB1131" s="13"/>
      <c r="AC1131" s="82"/>
      <c r="AD1131" s="23" t="s">
        <v>52</v>
      </c>
      <c r="AE1131" s="90" t="str">
        <f t="shared" si="145"/>
        <v>3211</v>
      </c>
      <c r="AF1131" s="23"/>
      <c r="AI1131" s="23"/>
      <c r="AJ1131" s="23"/>
      <c r="AK1131" s="23"/>
      <c r="AL1131" s="23"/>
      <c r="AM1131" s="23"/>
      <c r="AN1131" s="23"/>
      <c r="AO1131" s="23"/>
      <c r="AP1131" s="23"/>
      <c r="AQ1131" s="81"/>
      <c r="AR1131" s="83">
        <v>1</v>
      </c>
      <c r="AS1131" s="83">
        <v>1</v>
      </c>
      <c r="AT1131" s="81"/>
      <c r="AU1131" s="12" t="s">
        <v>1934</v>
      </c>
      <c r="AV1131" s="13" t="s">
        <v>19</v>
      </c>
      <c r="AW1131" s="39">
        <v>3</v>
      </c>
      <c r="AX1131" s="12">
        <f>VLOOKUP(AW1131,색인!$N$14:$O$19,2,FALSE)</f>
        <v>2</v>
      </c>
      <c r="AY1131" s="39" t="str">
        <f>"T"&amp;O1131&amp;"_"&amp;AX1131&amp;"옵션_"&amp;VLOOKUP(E1131,색인!$J$25:$K$29,2,FALSE)</f>
        <v>T3_2옵션_방어구</v>
      </c>
      <c r="AZ1131" s="39">
        <f>VLOOKUP(G1131,색인!$J$32:$K$45,2,FALSE)</f>
        <v>2</v>
      </c>
      <c r="BA1131" s="39" t="str">
        <f>_xlfn.IFNA(VLOOKUP(AY1131,표1[[검색용]:[OptionGroupIndex'[']22]],EquipItemTable!AZ1131,FALSE),"옵션고정안함")</f>
        <v>3211</v>
      </c>
    </row>
    <row r="1132" spans="1:53" ht="12" customHeight="1" x14ac:dyDescent="0.2">
      <c r="A1132" s="13" t="s">
        <v>203</v>
      </c>
      <c r="B1132" s="39">
        <v>62012</v>
      </c>
      <c r="C1132" s="42" t="s">
        <v>3715</v>
      </c>
      <c r="D1132" s="10" t="s">
        <v>84</v>
      </c>
      <c r="E1132" s="10" t="s">
        <v>1</v>
      </c>
      <c r="F1132" s="1" t="s">
        <v>93</v>
      </c>
      <c r="G1132" s="1" t="s">
        <v>1313</v>
      </c>
      <c r="H1132" s="1"/>
      <c r="I1132" s="1"/>
      <c r="J1132" s="1"/>
      <c r="K1132" s="1"/>
      <c r="L1132" s="1"/>
      <c r="M1132" s="1"/>
      <c r="N1132" s="81"/>
      <c r="O1132" s="12" t="s">
        <v>96</v>
      </c>
      <c r="P1132" s="1">
        <v>31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>
        <v>163</v>
      </c>
      <c r="AB1132" s="13"/>
      <c r="AC1132" s="82"/>
      <c r="AD1132" s="23" t="s">
        <v>52</v>
      </c>
      <c r="AE1132" s="90" t="str">
        <f t="shared" si="145"/>
        <v>3311</v>
      </c>
      <c r="AF1132" s="23"/>
      <c r="AI1132" s="23"/>
      <c r="AJ1132" s="23"/>
      <c r="AK1132" s="23"/>
      <c r="AL1132" s="23"/>
      <c r="AM1132" s="23"/>
      <c r="AN1132" s="23"/>
      <c r="AO1132" s="23"/>
      <c r="AP1132" s="23"/>
      <c r="AQ1132" s="81"/>
      <c r="AR1132" s="83">
        <v>1</v>
      </c>
      <c r="AS1132" s="83">
        <v>1</v>
      </c>
      <c r="AT1132" s="81"/>
      <c r="AU1132" s="12" t="s">
        <v>1935</v>
      </c>
      <c r="AV1132" s="13"/>
      <c r="AW1132" s="39">
        <v>4</v>
      </c>
      <c r="AX1132" s="12">
        <f>VLOOKUP(AW1132,색인!$N$14:$O$19,2,FALSE)</f>
        <v>3</v>
      </c>
      <c r="AY1132" s="39" t="str">
        <f>"T"&amp;O1132&amp;"_"&amp;AX1132&amp;"옵션_"&amp;VLOOKUP(E1132,색인!$J$25:$K$29,2,FALSE)</f>
        <v>T3_3옵션_방어구</v>
      </c>
      <c r="AZ1132" s="39">
        <f>VLOOKUP(G1132,색인!$J$32:$K$45,2,FALSE)</f>
        <v>2</v>
      </c>
      <c r="BA1132" s="39" t="str">
        <f>_xlfn.IFNA(VLOOKUP(AY1132,표1[[검색용]:[OptionGroupIndex'[']22]],EquipItemTable!AZ1132,FALSE),"옵션고정안함")</f>
        <v>3311</v>
      </c>
    </row>
    <row r="1133" spans="1:53" ht="14.1" customHeight="1" x14ac:dyDescent="0.2">
      <c r="A1133" s="13" t="s">
        <v>580</v>
      </c>
      <c r="B1133" s="39">
        <v>62029</v>
      </c>
      <c r="C1133" s="42" t="s">
        <v>3716</v>
      </c>
      <c r="D1133" s="10" t="s">
        <v>84</v>
      </c>
      <c r="E1133" s="10" t="s">
        <v>1</v>
      </c>
      <c r="F1133" s="1" t="s">
        <v>93</v>
      </c>
      <c r="G1133" s="1" t="s">
        <v>1313</v>
      </c>
      <c r="H1133" s="1"/>
      <c r="I1133" s="1"/>
      <c r="J1133" s="1"/>
      <c r="K1133" s="1"/>
      <c r="L1133" s="1"/>
      <c r="M1133" s="1"/>
      <c r="N1133" s="81"/>
      <c r="O1133" s="12" t="s">
        <v>96</v>
      </c>
      <c r="P1133" s="1">
        <v>31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>
        <v>192</v>
      </c>
      <c r="AB1133" s="13"/>
      <c r="AC1133" s="82"/>
      <c r="AD1133" s="23" t="s">
        <v>52</v>
      </c>
      <c r="AE1133" s="23">
        <v>3</v>
      </c>
      <c r="AF1133" s="23"/>
      <c r="AI1133" s="23"/>
      <c r="AJ1133" s="23"/>
      <c r="AK1133" s="23"/>
      <c r="AL1133" s="23"/>
      <c r="AM1133" s="23"/>
      <c r="AN1133" s="23">
        <v>1</v>
      </c>
      <c r="AO1133" s="23"/>
      <c r="AP1133" s="23"/>
      <c r="AQ1133" s="81"/>
      <c r="AR1133" s="83">
        <v>1</v>
      </c>
      <c r="AS1133" s="83">
        <v>1</v>
      </c>
      <c r="AT1133" s="81"/>
      <c r="AU1133" s="12" t="s">
        <v>1936</v>
      </c>
      <c r="AV1133" s="13"/>
      <c r="AW1133" s="39">
        <v>6</v>
      </c>
      <c r="AX1133" s="12">
        <f>VLOOKUP(AW1133,색인!$N$14:$O$19,2,FALSE)</f>
        <v>4</v>
      </c>
      <c r="AY1133" s="32" t="str">
        <f>"T"&amp;O1133&amp;"_"&amp;AX1133&amp;"옵션_"&amp;VLOOKUP(E1133,색인!$J$25:$K$29,2,FALSE)</f>
        <v>T3_4옵션_방어구</v>
      </c>
      <c r="AZ1133" s="32">
        <f>VLOOKUP(G1133,색인!$J$32:$K$45,2,FALSE)</f>
        <v>2</v>
      </c>
      <c r="BA1133" s="32" t="str">
        <f>_xlfn.IFNA(VLOOKUP(AY1133,표1[[검색용]:[OptionGroupIndex'[']22]],EquipItemTable!AZ1133,FALSE),"옵션고정안함")</f>
        <v>옵션고정안함</v>
      </c>
    </row>
    <row r="1134" spans="1:53" ht="14.1" customHeight="1" x14ac:dyDescent="0.2">
      <c r="A1134" s="13" t="s">
        <v>1066</v>
      </c>
      <c r="B1134" s="39">
        <v>62030</v>
      </c>
      <c r="C1134" s="42" t="s">
        <v>3717</v>
      </c>
      <c r="D1134" s="10" t="s">
        <v>84</v>
      </c>
      <c r="E1134" s="10" t="s">
        <v>1</v>
      </c>
      <c r="F1134" s="1" t="s">
        <v>93</v>
      </c>
      <c r="G1134" s="1" t="s">
        <v>1313</v>
      </c>
      <c r="H1134" s="1"/>
      <c r="I1134" s="1"/>
      <c r="J1134" s="1"/>
      <c r="K1134" s="1"/>
      <c r="L1134" s="1"/>
      <c r="M1134" s="1"/>
      <c r="N1134" s="81"/>
      <c r="O1134" s="12" t="s">
        <v>96</v>
      </c>
      <c r="P1134" s="1">
        <v>31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>
        <v>192</v>
      </c>
      <c r="AB1134" s="13"/>
      <c r="AC1134" s="82"/>
      <c r="AD1134" s="23" t="s">
        <v>52</v>
      </c>
      <c r="AE1134" s="23">
        <v>3</v>
      </c>
      <c r="AF1134" s="23"/>
      <c r="AI1134" s="23"/>
      <c r="AJ1134" s="23"/>
      <c r="AK1134" s="23"/>
      <c r="AL1134" s="23"/>
      <c r="AM1134" s="23"/>
      <c r="AN1134" s="23">
        <v>2</v>
      </c>
      <c r="AO1134" s="23"/>
      <c r="AP1134" s="23"/>
      <c r="AQ1134" s="81"/>
      <c r="AR1134" s="83">
        <v>1</v>
      </c>
      <c r="AS1134" s="83">
        <v>1</v>
      </c>
      <c r="AT1134" s="81"/>
      <c r="AU1134" s="12" t="s">
        <v>1936</v>
      </c>
      <c r="AV1134" s="13"/>
      <c r="AW1134" s="39">
        <v>6</v>
      </c>
      <c r="AX1134" s="12">
        <f>VLOOKUP(AW1134,색인!$N$14:$O$19,2,FALSE)</f>
        <v>4</v>
      </c>
      <c r="AY1134" s="32" t="str">
        <f>"T"&amp;O1134&amp;"_"&amp;AX1134&amp;"옵션_"&amp;VLOOKUP(E1134,색인!$J$25:$K$29,2,FALSE)</f>
        <v>T3_4옵션_방어구</v>
      </c>
      <c r="AZ1134" s="32">
        <f>VLOOKUP(G1134,색인!$J$32:$K$45,2,FALSE)</f>
        <v>2</v>
      </c>
      <c r="BA1134" s="32" t="str">
        <f>_xlfn.IFNA(VLOOKUP(AY1134,표1[[검색용]:[OptionGroupIndex'[']22]],EquipItemTable!AZ1134,FALSE),"옵션고정안함")</f>
        <v>옵션고정안함</v>
      </c>
    </row>
    <row r="1135" spans="1:53" ht="14.1" customHeight="1" x14ac:dyDescent="0.2">
      <c r="A1135" s="13" t="s">
        <v>1067</v>
      </c>
      <c r="B1135" s="39">
        <v>62031</v>
      </c>
      <c r="C1135" s="42" t="s">
        <v>3718</v>
      </c>
      <c r="D1135" s="10" t="s">
        <v>84</v>
      </c>
      <c r="E1135" s="10" t="s">
        <v>1</v>
      </c>
      <c r="F1135" s="1" t="s">
        <v>93</v>
      </c>
      <c r="G1135" s="1" t="s">
        <v>1313</v>
      </c>
      <c r="H1135" s="1"/>
      <c r="I1135" s="1"/>
      <c r="J1135" s="1"/>
      <c r="K1135" s="1"/>
      <c r="L1135" s="1"/>
      <c r="M1135" s="1"/>
      <c r="N1135" s="81"/>
      <c r="O1135" s="12" t="s">
        <v>96</v>
      </c>
      <c r="P1135" s="1">
        <v>31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>
        <v>192</v>
      </c>
      <c r="AB1135" s="13"/>
      <c r="AC1135" s="82"/>
      <c r="AD1135" s="23" t="s">
        <v>52</v>
      </c>
      <c r="AE1135" s="23">
        <v>3</v>
      </c>
      <c r="AF1135" s="23"/>
      <c r="AI1135" s="23"/>
      <c r="AJ1135" s="23"/>
      <c r="AK1135" s="23"/>
      <c r="AL1135" s="23"/>
      <c r="AM1135" s="23"/>
      <c r="AN1135" s="23">
        <v>3</v>
      </c>
      <c r="AO1135" s="23"/>
      <c r="AP1135" s="23"/>
      <c r="AQ1135" s="81"/>
      <c r="AR1135" s="83">
        <v>1</v>
      </c>
      <c r="AS1135" s="83">
        <v>1</v>
      </c>
      <c r="AT1135" s="81"/>
      <c r="AU1135" s="12" t="s">
        <v>1936</v>
      </c>
      <c r="AV1135" s="13"/>
      <c r="AW1135" s="39">
        <v>6</v>
      </c>
      <c r="AX1135" s="12">
        <f>VLOOKUP(AW1135,색인!$N$14:$O$19,2,FALSE)</f>
        <v>4</v>
      </c>
      <c r="AY1135" s="32" t="str">
        <f>"T"&amp;O1135&amp;"_"&amp;AX1135&amp;"옵션_"&amp;VLOOKUP(E1135,색인!$J$25:$K$29,2,FALSE)</f>
        <v>T3_4옵션_방어구</v>
      </c>
      <c r="AZ1135" s="32">
        <f>VLOOKUP(G1135,색인!$J$32:$K$45,2,FALSE)</f>
        <v>2</v>
      </c>
      <c r="BA1135" s="32" t="str">
        <f>_xlfn.IFNA(VLOOKUP(AY1135,표1[[검색용]:[OptionGroupIndex'[']22]],EquipItemTable!AZ1135,FALSE),"옵션고정안함")</f>
        <v>옵션고정안함</v>
      </c>
    </row>
    <row r="1136" spans="1:53" ht="14.1" customHeight="1" x14ac:dyDescent="0.2">
      <c r="A1136" s="13" t="s">
        <v>1068</v>
      </c>
      <c r="B1136" s="39">
        <v>62021</v>
      </c>
      <c r="C1136" s="42" t="s">
        <v>3719</v>
      </c>
      <c r="D1136" s="10" t="s">
        <v>84</v>
      </c>
      <c r="E1136" s="10" t="s">
        <v>1</v>
      </c>
      <c r="F1136" s="1" t="s">
        <v>93</v>
      </c>
      <c r="G1136" s="1" t="s">
        <v>1313</v>
      </c>
      <c r="H1136" s="1"/>
      <c r="I1136" s="1"/>
      <c r="J1136" s="1"/>
      <c r="K1136" s="1"/>
      <c r="L1136" s="1"/>
      <c r="M1136" s="1"/>
      <c r="N1136" s="81"/>
      <c r="O1136" s="12" t="s">
        <v>96</v>
      </c>
      <c r="P1136" s="1">
        <v>31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>
        <v>192</v>
      </c>
      <c r="AB1136" s="13"/>
      <c r="AC1136" s="82"/>
      <c r="AD1136" s="23" t="s">
        <v>52</v>
      </c>
      <c r="AE1136" s="23">
        <v>3</v>
      </c>
      <c r="AF1136" s="23"/>
      <c r="AI1136" s="23"/>
      <c r="AJ1136" s="23"/>
      <c r="AK1136" s="23"/>
      <c r="AL1136" s="23"/>
      <c r="AM1136" s="23"/>
      <c r="AN1136" s="23">
        <v>4</v>
      </c>
      <c r="AO1136" s="23"/>
      <c r="AP1136" s="23"/>
      <c r="AQ1136" s="81"/>
      <c r="AR1136" s="83">
        <v>1</v>
      </c>
      <c r="AS1136" s="83">
        <v>1</v>
      </c>
      <c r="AT1136" s="81"/>
      <c r="AU1136" s="12" t="s">
        <v>1936</v>
      </c>
      <c r="AV1136" s="13"/>
      <c r="AW1136" s="39">
        <v>6</v>
      </c>
      <c r="AX1136" s="12">
        <f>VLOOKUP(AW1136,색인!$N$14:$O$19,2,FALSE)</f>
        <v>4</v>
      </c>
      <c r="AY1136" s="32" t="str">
        <f>"T"&amp;O1136&amp;"_"&amp;AX1136&amp;"옵션_"&amp;VLOOKUP(E1136,색인!$J$25:$K$29,2,FALSE)</f>
        <v>T3_4옵션_방어구</v>
      </c>
      <c r="AZ1136" s="32">
        <f>VLOOKUP(G1136,색인!$J$32:$K$45,2,FALSE)</f>
        <v>2</v>
      </c>
      <c r="BA1136" s="32" t="str">
        <f>_xlfn.IFNA(VLOOKUP(AY1136,표1[[검색용]:[OptionGroupIndex'[']22]],EquipItemTable!AZ1136,FALSE),"옵션고정안함")</f>
        <v>옵션고정안함</v>
      </c>
    </row>
    <row r="1137" spans="1:53" ht="12" customHeight="1" x14ac:dyDescent="0.2">
      <c r="A1137" s="13" t="s">
        <v>204</v>
      </c>
      <c r="B1137" s="39">
        <v>62013</v>
      </c>
      <c r="C1137" s="42" t="s">
        <v>3720</v>
      </c>
      <c r="D1137" s="10" t="s">
        <v>84</v>
      </c>
      <c r="E1137" s="10" t="s">
        <v>1</v>
      </c>
      <c r="F1137" s="1" t="s">
        <v>93</v>
      </c>
      <c r="G1137" s="1" t="s">
        <v>1313</v>
      </c>
      <c r="H1137" s="1"/>
      <c r="I1137" s="1"/>
      <c r="J1137" s="1"/>
      <c r="K1137" s="1"/>
      <c r="L1137" s="1"/>
      <c r="M1137" s="1"/>
      <c r="N1137" s="81"/>
      <c r="O1137" s="12" t="s">
        <v>97</v>
      </c>
      <c r="P1137" s="1">
        <v>41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>
        <v>189</v>
      </c>
      <c r="AB1137" s="13"/>
      <c r="AC1137" s="82"/>
      <c r="AD1137" s="23" t="s">
        <v>52</v>
      </c>
      <c r="AE1137" s="23">
        <v>4</v>
      </c>
      <c r="AF1137" s="23"/>
      <c r="AI1137" s="23"/>
      <c r="AJ1137" s="23"/>
      <c r="AK1137" s="23"/>
      <c r="AL1137" s="23"/>
      <c r="AM1137" s="23"/>
      <c r="AN1137" s="23"/>
      <c r="AO1137" s="23"/>
      <c r="AP1137" s="23"/>
      <c r="AQ1137" s="81"/>
      <c r="AR1137" s="83"/>
      <c r="AS1137" s="83"/>
      <c r="AT1137" s="81"/>
      <c r="AU1137" s="12" t="s">
        <v>1932</v>
      </c>
      <c r="AV1137" s="13"/>
      <c r="AW1137" s="39">
        <v>1</v>
      </c>
      <c r="AY1137" s="32"/>
      <c r="AZ1137" s="32"/>
      <c r="BA1137" s="32"/>
    </row>
    <row r="1138" spans="1:53" ht="12" customHeight="1" x14ac:dyDescent="0.2">
      <c r="A1138" s="13" t="s">
        <v>205</v>
      </c>
      <c r="B1138" s="39">
        <v>62014</v>
      </c>
      <c r="C1138" s="42" t="s">
        <v>3721</v>
      </c>
      <c r="D1138" s="10" t="s">
        <v>84</v>
      </c>
      <c r="E1138" s="10" t="s">
        <v>1</v>
      </c>
      <c r="F1138" s="1" t="s">
        <v>93</v>
      </c>
      <c r="G1138" s="1" t="s">
        <v>1313</v>
      </c>
      <c r="H1138" s="1"/>
      <c r="I1138" s="1"/>
      <c r="J1138" s="1"/>
      <c r="K1138" s="1"/>
      <c r="L1138" s="1"/>
      <c r="M1138" s="1"/>
      <c r="N1138" s="81"/>
      <c r="O1138" s="12" t="s">
        <v>97</v>
      </c>
      <c r="P1138" s="1">
        <v>41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>
        <v>231</v>
      </c>
      <c r="AB1138" s="13"/>
      <c r="AC1138" s="82"/>
      <c r="AD1138" s="23" t="s">
        <v>52</v>
      </c>
      <c r="AE1138" s="90" t="str">
        <f t="shared" ref="AE1138:AE1140" si="146">BA1138</f>
        <v>4111</v>
      </c>
      <c r="AF1138" s="23"/>
      <c r="AI1138" s="23"/>
      <c r="AJ1138" s="23"/>
      <c r="AK1138" s="23"/>
      <c r="AL1138" s="23"/>
      <c r="AM1138" s="23"/>
      <c r="AN1138" s="23"/>
      <c r="AO1138" s="23"/>
      <c r="AP1138" s="23"/>
      <c r="AQ1138" s="81"/>
      <c r="AR1138" s="83"/>
      <c r="AS1138" s="83"/>
      <c r="AT1138" s="81"/>
      <c r="AU1138" s="12" t="s">
        <v>1933</v>
      </c>
      <c r="AV1138" s="13"/>
      <c r="AW1138" s="39">
        <v>2</v>
      </c>
      <c r="AX1138" s="12">
        <f>VLOOKUP(AW1138,색인!$N$14:$O$19,2,FALSE)</f>
        <v>1</v>
      </c>
      <c r="AY1138" s="39" t="str">
        <f>"T"&amp;O1138&amp;"_"&amp;AX1138&amp;"옵션_"&amp;VLOOKUP(E1138,색인!$J$25:$K$29,2,FALSE)</f>
        <v>T4_1옵션_방어구</v>
      </c>
      <c r="AZ1138" s="39">
        <f>VLOOKUP(G1138,색인!$J$32:$K$45,2,FALSE)</f>
        <v>2</v>
      </c>
      <c r="BA1138" s="39" t="str">
        <f>_xlfn.IFNA(VLOOKUP(AY1138,표1[[검색용]:[OptionGroupIndex'[']22]],EquipItemTable!AZ1138,FALSE),"옵션고정안함")</f>
        <v>4111</v>
      </c>
    </row>
    <row r="1139" spans="1:53" ht="12" customHeight="1" x14ac:dyDescent="0.2">
      <c r="A1139" s="13" t="s">
        <v>206</v>
      </c>
      <c r="B1139" s="39">
        <v>62015</v>
      </c>
      <c r="C1139" s="42" t="s">
        <v>3722</v>
      </c>
      <c r="D1139" s="10" t="s">
        <v>84</v>
      </c>
      <c r="E1139" s="10" t="s">
        <v>1</v>
      </c>
      <c r="F1139" s="1" t="s">
        <v>93</v>
      </c>
      <c r="G1139" s="1" t="s">
        <v>1313</v>
      </c>
      <c r="H1139" s="1"/>
      <c r="I1139" s="1"/>
      <c r="J1139" s="1"/>
      <c r="K1139" s="1"/>
      <c r="L1139" s="1"/>
      <c r="M1139" s="1"/>
      <c r="N1139" s="81"/>
      <c r="O1139" s="12" t="s">
        <v>97</v>
      </c>
      <c r="P1139" s="1">
        <v>41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>
        <v>270</v>
      </c>
      <c r="AB1139" s="13"/>
      <c r="AC1139" s="82"/>
      <c r="AD1139" s="23" t="s">
        <v>52</v>
      </c>
      <c r="AE1139" s="90" t="str">
        <f t="shared" si="146"/>
        <v>4211</v>
      </c>
      <c r="AF1139" s="23"/>
      <c r="AI1139" s="23"/>
      <c r="AJ1139" s="23"/>
      <c r="AK1139" s="23"/>
      <c r="AL1139" s="23"/>
      <c r="AM1139" s="23"/>
      <c r="AN1139" s="23"/>
      <c r="AO1139" s="23"/>
      <c r="AP1139" s="23"/>
      <c r="AQ1139" s="81"/>
      <c r="AR1139" s="83">
        <v>1</v>
      </c>
      <c r="AS1139" s="83">
        <v>1</v>
      </c>
      <c r="AT1139" s="81"/>
      <c r="AU1139" s="12" t="s">
        <v>1934</v>
      </c>
      <c r="AV1139" s="13" t="s">
        <v>20</v>
      </c>
      <c r="AW1139" s="39">
        <v>3</v>
      </c>
      <c r="AX1139" s="12">
        <f>VLOOKUP(AW1139,색인!$N$14:$O$19,2,FALSE)</f>
        <v>2</v>
      </c>
      <c r="AY1139" s="39" t="str">
        <f>"T"&amp;O1139&amp;"_"&amp;AX1139&amp;"옵션_"&amp;VLOOKUP(E1139,색인!$J$25:$K$29,2,FALSE)</f>
        <v>T4_2옵션_방어구</v>
      </c>
      <c r="AZ1139" s="39">
        <f>VLOOKUP(G1139,색인!$J$32:$K$45,2,FALSE)</f>
        <v>2</v>
      </c>
      <c r="BA1139" s="39" t="str">
        <f>_xlfn.IFNA(VLOOKUP(AY1139,표1[[검색용]:[OptionGroupIndex'[']22]],EquipItemTable!AZ1139,FALSE),"옵션고정안함")</f>
        <v>4211</v>
      </c>
    </row>
    <row r="1140" spans="1:53" ht="12" customHeight="1" x14ac:dyDescent="0.2">
      <c r="A1140" s="13" t="s">
        <v>207</v>
      </c>
      <c r="B1140" s="39">
        <v>62016</v>
      </c>
      <c r="C1140" s="42" t="s">
        <v>3723</v>
      </c>
      <c r="D1140" s="10" t="s">
        <v>84</v>
      </c>
      <c r="E1140" s="10" t="s">
        <v>1</v>
      </c>
      <c r="F1140" s="1" t="s">
        <v>93</v>
      </c>
      <c r="G1140" s="1" t="s">
        <v>1313</v>
      </c>
      <c r="H1140" s="1"/>
      <c r="I1140" s="1"/>
      <c r="J1140" s="1"/>
      <c r="K1140" s="1"/>
      <c r="L1140" s="1"/>
      <c r="M1140" s="1"/>
      <c r="O1140" s="12" t="s">
        <v>97</v>
      </c>
      <c r="P1140" s="1">
        <v>41</v>
      </c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>
        <v>318</v>
      </c>
      <c r="AB1140" s="11"/>
      <c r="AC1140" s="82"/>
      <c r="AD1140" s="12" t="s">
        <v>52</v>
      </c>
      <c r="AE1140" s="39" t="str">
        <f t="shared" si="146"/>
        <v>4311</v>
      </c>
      <c r="AN1140" s="12"/>
      <c r="AR1140" s="34" t="s">
        <v>94</v>
      </c>
      <c r="AS1140" s="34" t="s">
        <v>94</v>
      </c>
      <c r="AU1140" s="12" t="s">
        <v>1935</v>
      </c>
      <c r="AV1140" s="13"/>
      <c r="AW1140" s="39">
        <v>4</v>
      </c>
      <c r="AX1140" s="12">
        <f>VLOOKUP(AW1140,색인!$N$14:$O$19,2,FALSE)</f>
        <v>3</v>
      </c>
      <c r="AY1140" s="39" t="str">
        <f>"T"&amp;O1140&amp;"_"&amp;AX1140&amp;"옵션_"&amp;VLOOKUP(E1140,색인!$J$25:$K$29,2,FALSE)</f>
        <v>T4_3옵션_방어구</v>
      </c>
      <c r="AZ1140" s="39">
        <f>VLOOKUP(G1140,색인!$J$32:$K$45,2,FALSE)</f>
        <v>2</v>
      </c>
      <c r="BA1140" s="39" t="str">
        <f>_xlfn.IFNA(VLOOKUP(AY1140,표1[[검색용]:[OptionGroupIndex'[']22]],EquipItemTable!AZ1140,FALSE),"옵션고정안함")</f>
        <v>4311</v>
      </c>
    </row>
    <row r="1141" spans="1:53" ht="14.1" customHeight="1" x14ac:dyDescent="0.2">
      <c r="A1141" s="13" t="s">
        <v>581</v>
      </c>
      <c r="B1141" s="39">
        <v>62032</v>
      </c>
      <c r="C1141" s="42" t="s">
        <v>3716</v>
      </c>
      <c r="D1141" s="10" t="s">
        <v>84</v>
      </c>
      <c r="E1141" s="10" t="s">
        <v>1</v>
      </c>
      <c r="F1141" s="1" t="s">
        <v>93</v>
      </c>
      <c r="G1141" s="1" t="s">
        <v>1313</v>
      </c>
      <c r="H1141" s="1"/>
      <c r="I1141" s="1"/>
      <c r="J1141" s="1"/>
      <c r="K1141" s="1"/>
      <c r="L1141" s="1"/>
      <c r="M1141" s="1"/>
      <c r="O1141" s="12" t="s">
        <v>97</v>
      </c>
      <c r="P1141" s="1">
        <v>41</v>
      </c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>
        <v>370</v>
      </c>
      <c r="AB1141" s="11"/>
      <c r="AC1141" s="82"/>
      <c r="AD1141" s="12" t="s">
        <v>52</v>
      </c>
      <c r="AE1141" s="12" t="s">
        <v>551</v>
      </c>
      <c r="AN1141" s="12" t="s">
        <v>554</v>
      </c>
      <c r="AR1141" s="34" t="s">
        <v>94</v>
      </c>
      <c r="AS1141" s="34" t="s">
        <v>94</v>
      </c>
      <c r="AU1141" s="12" t="s">
        <v>1936</v>
      </c>
      <c r="AV1141" s="13"/>
      <c r="AW1141" s="39">
        <v>6</v>
      </c>
      <c r="AX1141" s="12">
        <f>VLOOKUP(AW1141,색인!$N$14:$O$19,2,FALSE)</f>
        <v>4</v>
      </c>
      <c r="AY1141" s="32" t="str">
        <f>"T"&amp;O1141&amp;"_"&amp;AX1141&amp;"옵션_"&amp;VLOOKUP(E1141,색인!$J$25:$K$29,2,FALSE)</f>
        <v>T4_4옵션_방어구</v>
      </c>
      <c r="AZ1141" s="32">
        <f>VLOOKUP(G1141,색인!$J$32:$K$45,2,FALSE)</f>
        <v>2</v>
      </c>
      <c r="BA1141" s="32" t="str">
        <f>_xlfn.IFNA(VLOOKUP(AY1141,표1[[검색용]:[OptionGroupIndex'[']22]],EquipItemTable!AZ1141,FALSE),"옵션고정안함")</f>
        <v>옵션고정안함</v>
      </c>
    </row>
    <row r="1142" spans="1:53" ht="14.1" customHeight="1" x14ac:dyDescent="0.2">
      <c r="A1142" s="13" t="s">
        <v>1069</v>
      </c>
      <c r="B1142" s="39">
        <v>62033</v>
      </c>
      <c r="C1142" s="42" t="s">
        <v>3717</v>
      </c>
      <c r="D1142" s="10" t="s">
        <v>84</v>
      </c>
      <c r="E1142" s="10" t="s">
        <v>1</v>
      </c>
      <c r="F1142" s="1" t="s">
        <v>93</v>
      </c>
      <c r="G1142" s="1" t="s">
        <v>1313</v>
      </c>
      <c r="H1142" s="1"/>
      <c r="I1142" s="1"/>
      <c r="J1142" s="1"/>
      <c r="K1142" s="1"/>
      <c r="L1142" s="1"/>
      <c r="M1142" s="1"/>
      <c r="O1142" s="12" t="s">
        <v>97</v>
      </c>
      <c r="P1142" s="1">
        <v>41</v>
      </c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>
        <v>370</v>
      </c>
      <c r="AB1142" s="11"/>
      <c r="AC1142" s="82"/>
      <c r="AD1142" s="12" t="s">
        <v>52</v>
      </c>
      <c r="AE1142" s="12" t="s">
        <v>97</v>
      </c>
      <c r="AN1142" s="12" t="s">
        <v>1192</v>
      </c>
      <c r="AR1142" s="34" t="s">
        <v>94</v>
      </c>
      <c r="AS1142" s="34" t="s">
        <v>94</v>
      </c>
      <c r="AU1142" s="12" t="s">
        <v>1936</v>
      </c>
      <c r="AV1142" s="13"/>
      <c r="AW1142" s="39">
        <v>6</v>
      </c>
      <c r="AX1142" s="12">
        <f>VLOOKUP(AW1142,색인!$N$14:$O$19,2,FALSE)</f>
        <v>4</v>
      </c>
      <c r="AY1142" s="32" t="str">
        <f>"T"&amp;O1142&amp;"_"&amp;AX1142&amp;"옵션_"&amp;VLOOKUP(E1142,색인!$J$25:$K$29,2,FALSE)</f>
        <v>T4_4옵션_방어구</v>
      </c>
      <c r="AZ1142" s="32">
        <f>VLOOKUP(G1142,색인!$J$32:$K$45,2,FALSE)</f>
        <v>2</v>
      </c>
      <c r="BA1142" s="32" t="str">
        <f>_xlfn.IFNA(VLOOKUP(AY1142,표1[[검색용]:[OptionGroupIndex'[']22]],EquipItemTable!AZ1142,FALSE),"옵션고정안함")</f>
        <v>옵션고정안함</v>
      </c>
    </row>
    <row r="1143" spans="1:53" ht="14.1" customHeight="1" x14ac:dyDescent="0.2">
      <c r="A1143" s="13" t="s">
        <v>1070</v>
      </c>
      <c r="B1143" s="39">
        <v>62034</v>
      </c>
      <c r="C1143" s="42" t="s">
        <v>3718</v>
      </c>
      <c r="D1143" s="10" t="s">
        <v>84</v>
      </c>
      <c r="E1143" s="10" t="s">
        <v>1</v>
      </c>
      <c r="F1143" s="1" t="s">
        <v>93</v>
      </c>
      <c r="G1143" s="1" t="s">
        <v>1313</v>
      </c>
      <c r="H1143" s="1"/>
      <c r="I1143" s="1"/>
      <c r="J1143" s="1"/>
      <c r="K1143" s="1"/>
      <c r="L1143" s="1"/>
      <c r="M1143" s="1"/>
      <c r="O1143" s="12" t="s">
        <v>97</v>
      </c>
      <c r="P1143" s="1">
        <v>41</v>
      </c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>
        <v>370</v>
      </c>
      <c r="AB1143" s="11"/>
      <c r="AC1143" s="82"/>
      <c r="AD1143" s="12" t="s">
        <v>52</v>
      </c>
      <c r="AE1143" s="12" t="s">
        <v>97</v>
      </c>
      <c r="AN1143" s="12" t="s">
        <v>369</v>
      </c>
      <c r="AR1143" s="34" t="s">
        <v>94</v>
      </c>
      <c r="AS1143" s="34" t="s">
        <v>94</v>
      </c>
      <c r="AU1143" s="12" t="s">
        <v>1936</v>
      </c>
      <c r="AV1143" s="13"/>
      <c r="AW1143" s="39">
        <v>6</v>
      </c>
      <c r="AX1143" s="12">
        <f>VLOOKUP(AW1143,색인!$N$14:$O$19,2,FALSE)</f>
        <v>4</v>
      </c>
      <c r="AY1143" s="32" t="str">
        <f>"T"&amp;O1143&amp;"_"&amp;AX1143&amp;"옵션_"&amp;VLOOKUP(E1143,색인!$J$25:$K$29,2,FALSE)</f>
        <v>T4_4옵션_방어구</v>
      </c>
      <c r="AZ1143" s="32">
        <f>VLOOKUP(G1143,색인!$J$32:$K$45,2,FALSE)</f>
        <v>2</v>
      </c>
      <c r="BA1143" s="32" t="str">
        <f>_xlfn.IFNA(VLOOKUP(AY1143,표1[[검색용]:[OptionGroupIndex'[']22]],EquipItemTable!AZ1143,FALSE),"옵션고정안함")</f>
        <v>옵션고정안함</v>
      </c>
    </row>
    <row r="1144" spans="1:53" ht="14.1" customHeight="1" x14ac:dyDescent="0.2">
      <c r="A1144" s="13" t="s">
        <v>1071</v>
      </c>
      <c r="B1144" s="39">
        <v>62022</v>
      </c>
      <c r="C1144" s="42" t="s">
        <v>3719</v>
      </c>
      <c r="D1144" s="10" t="s">
        <v>84</v>
      </c>
      <c r="E1144" s="10" t="s">
        <v>1</v>
      </c>
      <c r="F1144" s="1" t="s">
        <v>93</v>
      </c>
      <c r="G1144" s="1" t="s">
        <v>1313</v>
      </c>
      <c r="H1144" s="1"/>
      <c r="I1144" s="1"/>
      <c r="J1144" s="1"/>
      <c r="K1144" s="1"/>
      <c r="L1144" s="1"/>
      <c r="M1144" s="1"/>
      <c r="O1144" s="12" t="s">
        <v>97</v>
      </c>
      <c r="P1144" s="1">
        <v>41</v>
      </c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>
        <v>370</v>
      </c>
      <c r="AB1144" s="11"/>
      <c r="AC1144" s="82"/>
      <c r="AD1144" s="12" t="s">
        <v>52</v>
      </c>
      <c r="AE1144" s="12" t="s">
        <v>97</v>
      </c>
      <c r="AN1144" s="12" t="s">
        <v>1194</v>
      </c>
      <c r="AR1144" s="34" t="s">
        <v>94</v>
      </c>
      <c r="AS1144" s="34" t="s">
        <v>94</v>
      </c>
      <c r="AU1144" s="12" t="s">
        <v>1936</v>
      </c>
      <c r="AV1144" s="13"/>
      <c r="AW1144" s="39">
        <v>6</v>
      </c>
      <c r="AX1144" s="12">
        <f>VLOOKUP(AW1144,색인!$N$14:$O$19,2,FALSE)</f>
        <v>4</v>
      </c>
      <c r="AY1144" s="32" t="str">
        <f>"T"&amp;O1144&amp;"_"&amp;AX1144&amp;"옵션_"&amp;VLOOKUP(E1144,색인!$J$25:$K$29,2,FALSE)</f>
        <v>T4_4옵션_방어구</v>
      </c>
      <c r="AZ1144" s="32">
        <f>VLOOKUP(G1144,색인!$J$32:$K$45,2,FALSE)</f>
        <v>2</v>
      </c>
      <c r="BA1144" s="32" t="str">
        <f>_xlfn.IFNA(VLOOKUP(AY1144,표1[[검색용]:[OptionGroupIndex'[']22]],EquipItemTable!AZ1144,FALSE),"옵션고정안함")</f>
        <v>옵션고정안함</v>
      </c>
    </row>
    <row r="1145" spans="1:53" ht="12" customHeight="1" x14ac:dyDescent="0.2">
      <c r="A1145" s="13" t="s">
        <v>491</v>
      </c>
      <c r="B1145" s="39">
        <v>62017</v>
      </c>
      <c r="C1145" s="42" t="s">
        <v>3724</v>
      </c>
      <c r="D1145" s="10" t="s">
        <v>84</v>
      </c>
      <c r="E1145" s="10" t="s">
        <v>1</v>
      </c>
      <c r="F1145" s="1" t="s">
        <v>471</v>
      </c>
      <c r="G1145" s="1" t="s">
        <v>1313</v>
      </c>
      <c r="H1145" s="1"/>
      <c r="I1145" s="1"/>
      <c r="J1145" s="1"/>
      <c r="K1145" s="1"/>
      <c r="L1145" s="1"/>
      <c r="M1145" s="1"/>
      <c r="O1145" s="12" t="s">
        <v>430</v>
      </c>
      <c r="P1145" s="1">
        <v>51</v>
      </c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>
        <v>363</v>
      </c>
      <c r="AB1145" s="11"/>
      <c r="AC1145" s="82"/>
      <c r="AD1145" s="12" t="s">
        <v>542</v>
      </c>
      <c r="AE1145" s="12" t="s">
        <v>552</v>
      </c>
      <c r="AN1145" s="12"/>
      <c r="AU1145" s="12" t="s">
        <v>1932</v>
      </c>
      <c r="AV1145" s="13"/>
      <c r="AW1145" s="39">
        <v>1</v>
      </c>
      <c r="AY1145" s="32"/>
      <c r="AZ1145" s="32"/>
      <c r="BA1145" s="32"/>
    </row>
    <row r="1146" spans="1:53" ht="12" customHeight="1" x14ac:dyDescent="0.2">
      <c r="A1146" s="13" t="s">
        <v>492</v>
      </c>
      <c r="B1146" s="39">
        <v>62018</v>
      </c>
      <c r="C1146" s="42" t="s">
        <v>3725</v>
      </c>
      <c r="D1146" s="10" t="s">
        <v>84</v>
      </c>
      <c r="E1146" s="10" t="s">
        <v>1</v>
      </c>
      <c r="F1146" s="1" t="s">
        <v>471</v>
      </c>
      <c r="G1146" s="1" t="s">
        <v>1313</v>
      </c>
      <c r="H1146" s="1"/>
      <c r="I1146" s="1"/>
      <c r="J1146" s="1"/>
      <c r="K1146" s="1"/>
      <c r="L1146" s="1"/>
      <c r="M1146" s="1"/>
      <c r="O1146" s="12" t="s">
        <v>430</v>
      </c>
      <c r="P1146" s="1">
        <v>51</v>
      </c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>
        <v>444</v>
      </c>
      <c r="AB1146" s="11"/>
      <c r="AC1146" s="82"/>
      <c r="AD1146" s="12" t="s">
        <v>542</v>
      </c>
      <c r="AE1146" s="39" t="str">
        <f t="shared" ref="AE1146:AE1148" si="147">BA1146</f>
        <v>5111</v>
      </c>
      <c r="AN1146" s="12"/>
      <c r="AU1146" s="12" t="s">
        <v>1933</v>
      </c>
      <c r="AV1146" s="13"/>
      <c r="AW1146" s="39">
        <v>2</v>
      </c>
      <c r="AX1146" s="12">
        <f>VLOOKUP(AW1146,색인!$N$14:$O$19,2,FALSE)</f>
        <v>1</v>
      </c>
      <c r="AY1146" s="39" t="str">
        <f>"T"&amp;O1146&amp;"_"&amp;AX1146&amp;"옵션_"&amp;VLOOKUP(E1146,색인!$J$25:$K$29,2,FALSE)</f>
        <v>T5_1옵션_방어구</v>
      </c>
      <c r="AZ1146" s="39">
        <f>VLOOKUP(G1146,색인!$J$32:$K$45,2,FALSE)</f>
        <v>2</v>
      </c>
      <c r="BA1146" s="39" t="str">
        <f>_xlfn.IFNA(VLOOKUP(AY1146,표1[[검색용]:[OptionGroupIndex'[']22]],EquipItemTable!AZ1146,FALSE),"옵션고정안함")</f>
        <v>5111</v>
      </c>
    </row>
    <row r="1147" spans="1:53" ht="12" customHeight="1" x14ac:dyDescent="0.2">
      <c r="A1147" s="13" t="s">
        <v>493</v>
      </c>
      <c r="B1147" s="39">
        <v>62019</v>
      </c>
      <c r="C1147" s="42" t="s">
        <v>3726</v>
      </c>
      <c r="D1147" s="10" t="s">
        <v>84</v>
      </c>
      <c r="E1147" s="10" t="s">
        <v>1</v>
      </c>
      <c r="F1147" s="1" t="s">
        <v>471</v>
      </c>
      <c r="G1147" s="1" t="s">
        <v>1313</v>
      </c>
      <c r="H1147" s="1"/>
      <c r="I1147" s="1"/>
      <c r="J1147" s="1"/>
      <c r="K1147" s="1"/>
      <c r="L1147" s="1"/>
      <c r="M1147" s="1"/>
      <c r="O1147" s="12" t="s">
        <v>430</v>
      </c>
      <c r="P1147" s="1">
        <v>51</v>
      </c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>
        <v>517</v>
      </c>
      <c r="AB1147" s="11"/>
      <c r="AC1147" s="82"/>
      <c r="AD1147" s="12" t="s">
        <v>542</v>
      </c>
      <c r="AE1147" s="39" t="str">
        <f t="shared" si="147"/>
        <v>5211</v>
      </c>
      <c r="AN1147" s="12"/>
      <c r="AR1147" s="34" t="s">
        <v>543</v>
      </c>
      <c r="AS1147" s="34" t="s">
        <v>543</v>
      </c>
      <c r="AU1147" s="12" t="s">
        <v>1934</v>
      </c>
      <c r="AV1147" s="13"/>
      <c r="AW1147" s="39">
        <v>3</v>
      </c>
      <c r="AX1147" s="12">
        <f>VLOOKUP(AW1147,색인!$N$14:$O$19,2,FALSE)</f>
        <v>2</v>
      </c>
      <c r="AY1147" s="39" t="str">
        <f>"T"&amp;O1147&amp;"_"&amp;AX1147&amp;"옵션_"&amp;VLOOKUP(E1147,색인!$J$25:$K$29,2,FALSE)</f>
        <v>T5_2옵션_방어구</v>
      </c>
      <c r="AZ1147" s="39">
        <f>VLOOKUP(G1147,색인!$J$32:$K$45,2,FALSE)</f>
        <v>2</v>
      </c>
      <c r="BA1147" s="39" t="str">
        <f>_xlfn.IFNA(VLOOKUP(AY1147,표1[[검색용]:[OptionGroupIndex'[']22]],EquipItemTable!AZ1147,FALSE),"옵션고정안함")</f>
        <v>5211</v>
      </c>
    </row>
    <row r="1148" spans="1:53" ht="12" customHeight="1" x14ac:dyDescent="0.2">
      <c r="A1148" s="13" t="s">
        <v>494</v>
      </c>
      <c r="B1148" s="39">
        <v>62020</v>
      </c>
      <c r="C1148" s="42" t="s">
        <v>3727</v>
      </c>
      <c r="D1148" s="10" t="s">
        <v>84</v>
      </c>
      <c r="E1148" s="10" t="s">
        <v>1</v>
      </c>
      <c r="F1148" s="1" t="s">
        <v>471</v>
      </c>
      <c r="G1148" s="1" t="s">
        <v>1313</v>
      </c>
      <c r="H1148" s="1"/>
      <c r="I1148" s="1"/>
      <c r="J1148" s="1"/>
      <c r="K1148" s="1"/>
      <c r="L1148" s="1"/>
      <c r="M1148" s="1"/>
      <c r="O1148" s="12" t="s">
        <v>430</v>
      </c>
      <c r="P1148" s="1">
        <v>51</v>
      </c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>
        <v>598</v>
      </c>
      <c r="AB1148" s="11"/>
      <c r="AC1148" s="82"/>
      <c r="AD1148" s="12" t="s">
        <v>542</v>
      </c>
      <c r="AE1148" s="39" t="str">
        <f t="shared" si="147"/>
        <v>5311</v>
      </c>
      <c r="AN1148" s="12"/>
      <c r="AR1148" s="34" t="s">
        <v>543</v>
      </c>
      <c r="AS1148" s="34" t="s">
        <v>543</v>
      </c>
      <c r="AU1148" s="12" t="s">
        <v>1935</v>
      </c>
      <c r="AV1148" s="13"/>
      <c r="AW1148" s="39">
        <v>4</v>
      </c>
      <c r="AX1148" s="12">
        <f>VLOOKUP(AW1148,색인!$N$14:$O$19,2,FALSE)</f>
        <v>3</v>
      </c>
      <c r="AY1148" s="39" t="str">
        <f>"T"&amp;O1148&amp;"_"&amp;AX1148&amp;"옵션_"&amp;VLOOKUP(E1148,색인!$J$25:$K$29,2,FALSE)</f>
        <v>T5_3옵션_방어구</v>
      </c>
      <c r="AZ1148" s="39">
        <f>VLOOKUP(G1148,색인!$J$32:$K$45,2,FALSE)</f>
        <v>2</v>
      </c>
      <c r="BA1148" s="39" t="str">
        <f>_xlfn.IFNA(VLOOKUP(AY1148,표1[[검색용]:[OptionGroupIndex'[']22]],EquipItemTable!AZ1148,FALSE),"옵션고정안함")</f>
        <v>5311</v>
      </c>
    </row>
    <row r="1149" spans="1:53" ht="14.1" customHeight="1" x14ac:dyDescent="0.2">
      <c r="A1149" s="13" t="s">
        <v>582</v>
      </c>
      <c r="B1149" s="39">
        <v>62035</v>
      </c>
      <c r="C1149" s="42" t="s">
        <v>3716</v>
      </c>
      <c r="D1149" s="10" t="s">
        <v>84</v>
      </c>
      <c r="E1149" s="10" t="s">
        <v>1</v>
      </c>
      <c r="F1149" s="1" t="s">
        <v>471</v>
      </c>
      <c r="G1149" s="1" t="s">
        <v>1313</v>
      </c>
      <c r="H1149" s="1"/>
      <c r="I1149" s="1"/>
      <c r="J1149" s="1"/>
      <c r="K1149" s="1"/>
      <c r="L1149" s="1"/>
      <c r="M1149" s="1"/>
      <c r="O1149" s="12" t="s">
        <v>430</v>
      </c>
      <c r="P1149" s="1">
        <v>51</v>
      </c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>
        <v>690</v>
      </c>
      <c r="AB1149" s="11"/>
      <c r="AC1149" s="82"/>
      <c r="AD1149" s="12" t="s">
        <v>336</v>
      </c>
      <c r="AE1149" s="12" t="s">
        <v>529</v>
      </c>
      <c r="AN1149" s="12" t="s">
        <v>554</v>
      </c>
      <c r="AR1149" s="34" t="s">
        <v>543</v>
      </c>
      <c r="AS1149" s="34" t="s">
        <v>543</v>
      </c>
      <c r="AU1149" s="12" t="s">
        <v>1936</v>
      </c>
      <c r="AV1149" s="13"/>
      <c r="AW1149" s="39">
        <v>6</v>
      </c>
      <c r="AX1149" s="12">
        <f>VLOOKUP(AW1149,색인!$N$14:$O$19,2,FALSE)</f>
        <v>4</v>
      </c>
      <c r="AY1149" s="32" t="str">
        <f>"T"&amp;O1149&amp;"_"&amp;AX1149&amp;"옵션_"&amp;VLOOKUP(E1149,색인!$J$25:$K$29,2,FALSE)</f>
        <v>T5_4옵션_방어구</v>
      </c>
      <c r="AZ1149" s="32">
        <f>VLOOKUP(G1149,색인!$J$32:$K$45,2,FALSE)</f>
        <v>2</v>
      </c>
      <c r="BA1149" s="32" t="str">
        <f>_xlfn.IFNA(VLOOKUP(AY1149,표1[[검색용]:[OptionGroupIndex'[']22]],EquipItemTable!AZ1149,FALSE),"옵션고정안함")</f>
        <v>옵션고정안함</v>
      </c>
    </row>
    <row r="1150" spans="1:53" ht="14.1" customHeight="1" x14ac:dyDescent="0.2">
      <c r="A1150" s="13" t="s">
        <v>1072</v>
      </c>
      <c r="B1150" s="39">
        <v>62036</v>
      </c>
      <c r="C1150" s="42" t="s">
        <v>3717</v>
      </c>
      <c r="D1150" s="10" t="s">
        <v>84</v>
      </c>
      <c r="E1150" s="10" t="s">
        <v>1</v>
      </c>
      <c r="F1150" s="1" t="s">
        <v>471</v>
      </c>
      <c r="G1150" s="1" t="s">
        <v>1313</v>
      </c>
      <c r="H1150" s="1"/>
      <c r="I1150" s="1"/>
      <c r="J1150" s="1"/>
      <c r="K1150" s="1"/>
      <c r="L1150" s="1"/>
      <c r="M1150" s="1"/>
      <c r="O1150" s="12" t="s">
        <v>430</v>
      </c>
      <c r="P1150" s="1">
        <v>51</v>
      </c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>
        <v>690</v>
      </c>
      <c r="AB1150" s="11"/>
      <c r="AC1150" s="82"/>
      <c r="AD1150" s="12" t="s">
        <v>336</v>
      </c>
      <c r="AE1150" s="12" t="s">
        <v>430</v>
      </c>
      <c r="AN1150" s="12" t="s">
        <v>1192</v>
      </c>
      <c r="AR1150" s="34" t="s">
        <v>428</v>
      </c>
      <c r="AS1150" s="34" t="s">
        <v>428</v>
      </c>
      <c r="AU1150" s="12" t="s">
        <v>1936</v>
      </c>
      <c r="AV1150" s="13"/>
      <c r="AW1150" s="39">
        <v>6</v>
      </c>
      <c r="AX1150" s="12">
        <f>VLOOKUP(AW1150,색인!$N$14:$O$19,2,FALSE)</f>
        <v>4</v>
      </c>
      <c r="AY1150" s="32" t="str">
        <f>"T"&amp;O1150&amp;"_"&amp;AX1150&amp;"옵션_"&amp;VLOOKUP(E1150,색인!$J$25:$K$29,2,FALSE)</f>
        <v>T5_4옵션_방어구</v>
      </c>
      <c r="AZ1150" s="32">
        <f>VLOOKUP(G1150,색인!$J$32:$K$45,2,FALSE)</f>
        <v>2</v>
      </c>
      <c r="BA1150" s="32" t="str">
        <f>_xlfn.IFNA(VLOOKUP(AY1150,표1[[검색용]:[OptionGroupIndex'[']22]],EquipItemTable!AZ1150,FALSE),"옵션고정안함")</f>
        <v>옵션고정안함</v>
      </c>
    </row>
    <row r="1151" spans="1:53" ht="14.1" customHeight="1" x14ac:dyDescent="0.2">
      <c r="A1151" s="13" t="s">
        <v>1073</v>
      </c>
      <c r="B1151" s="39">
        <v>62037</v>
      </c>
      <c r="C1151" s="42" t="s">
        <v>3718</v>
      </c>
      <c r="D1151" s="10" t="s">
        <v>84</v>
      </c>
      <c r="E1151" s="10" t="s">
        <v>1</v>
      </c>
      <c r="F1151" s="1" t="s">
        <v>471</v>
      </c>
      <c r="G1151" s="1" t="s">
        <v>1313</v>
      </c>
      <c r="H1151" s="1"/>
      <c r="I1151" s="1"/>
      <c r="J1151" s="1"/>
      <c r="K1151" s="1"/>
      <c r="L1151" s="1"/>
      <c r="M1151" s="1"/>
      <c r="O1151" s="12" t="s">
        <v>430</v>
      </c>
      <c r="P1151" s="1">
        <v>51</v>
      </c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>
        <v>690</v>
      </c>
      <c r="AB1151" s="11"/>
      <c r="AC1151" s="82"/>
      <c r="AD1151" s="12" t="s">
        <v>336</v>
      </c>
      <c r="AE1151" s="12" t="s">
        <v>430</v>
      </c>
      <c r="AN1151" s="12" t="s">
        <v>369</v>
      </c>
      <c r="AR1151" s="34" t="s">
        <v>428</v>
      </c>
      <c r="AS1151" s="34" t="s">
        <v>428</v>
      </c>
      <c r="AU1151" s="12" t="s">
        <v>1936</v>
      </c>
      <c r="AV1151" s="13"/>
      <c r="AW1151" s="39">
        <v>6</v>
      </c>
      <c r="AX1151" s="12">
        <f>VLOOKUP(AW1151,색인!$N$14:$O$19,2,FALSE)</f>
        <v>4</v>
      </c>
      <c r="AY1151" s="32" t="str">
        <f>"T"&amp;O1151&amp;"_"&amp;AX1151&amp;"옵션_"&amp;VLOOKUP(E1151,색인!$J$25:$K$29,2,FALSE)</f>
        <v>T5_4옵션_방어구</v>
      </c>
      <c r="AZ1151" s="32">
        <f>VLOOKUP(G1151,색인!$J$32:$K$45,2,FALSE)</f>
        <v>2</v>
      </c>
      <c r="BA1151" s="32" t="str">
        <f>_xlfn.IFNA(VLOOKUP(AY1151,표1[[검색용]:[OptionGroupIndex'[']22]],EquipItemTable!AZ1151,FALSE),"옵션고정안함")</f>
        <v>옵션고정안함</v>
      </c>
    </row>
    <row r="1152" spans="1:53" ht="14.1" customHeight="1" x14ac:dyDescent="0.2">
      <c r="A1152" s="13" t="s">
        <v>1074</v>
      </c>
      <c r="B1152" s="39">
        <v>62023</v>
      </c>
      <c r="C1152" s="42" t="s">
        <v>3719</v>
      </c>
      <c r="D1152" s="10" t="s">
        <v>84</v>
      </c>
      <c r="E1152" s="10" t="s">
        <v>1</v>
      </c>
      <c r="F1152" s="1" t="s">
        <v>471</v>
      </c>
      <c r="G1152" s="1" t="s">
        <v>1313</v>
      </c>
      <c r="H1152" s="1"/>
      <c r="I1152" s="1"/>
      <c r="J1152" s="1"/>
      <c r="K1152" s="1"/>
      <c r="L1152" s="1"/>
      <c r="M1152" s="1"/>
      <c r="O1152" s="12" t="s">
        <v>430</v>
      </c>
      <c r="P1152" s="1">
        <v>51</v>
      </c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>
        <v>690</v>
      </c>
      <c r="AB1152" s="11"/>
      <c r="AC1152" s="82"/>
      <c r="AD1152" s="12" t="s">
        <v>336</v>
      </c>
      <c r="AE1152" s="12" t="s">
        <v>430</v>
      </c>
      <c r="AN1152" s="12" t="s">
        <v>1194</v>
      </c>
      <c r="AR1152" s="34" t="s">
        <v>428</v>
      </c>
      <c r="AS1152" s="34" t="s">
        <v>428</v>
      </c>
      <c r="AU1152" s="12" t="s">
        <v>1936</v>
      </c>
      <c r="AV1152" s="13"/>
      <c r="AW1152" s="39">
        <v>6</v>
      </c>
      <c r="AX1152" s="12">
        <f>VLOOKUP(AW1152,색인!$N$14:$O$19,2,FALSE)</f>
        <v>4</v>
      </c>
      <c r="AY1152" s="32" t="str">
        <f>"T"&amp;O1152&amp;"_"&amp;AX1152&amp;"옵션_"&amp;VLOOKUP(E1152,색인!$J$25:$K$29,2,FALSE)</f>
        <v>T5_4옵션_방어구</v>
      </c>
      <c r="AZ1152" s="32">
        <f>VLOOKUP(G1152,색인!$J$32:$K$45,2,FALSE)</f>
        <v>2</v>
      </c>
      <c r="BA1152" s="32" t="str">
        <f>_xlfn.IFNA(VLOOKUP(AY1152,표1[[검색용]:[OptionGroupIndex'[']22]],EquipItemTable!AZ1152,FALSE),"옵션고정안함")</f>
        <v>옵션고정안함</v>
      </c>
    </row>
    <row r="1153" spans="1:53" s="1" customFormat="1" ht="12" x14ac:dyDescent="0.2">
      <c r="A1153" s="31" t="s">
        <v>806</v>
      </c>
      <c r="B1153" s="39">
        <v>62024</v>
      </c>
      <c r="C1153" s="42" t="s">
        <v>3728</v>
      </c>
      <c r="D1153" s="10" t="s">
        <v>84</v>
      </c>
      <c r="E1153" s="10" t="s">
        <v>1</v>
      </c>
      <c r="F1153" s="1" t="s">
        <v>471</v>
      </c>
      <c r="G1153" s="1" t="s">
        <v>1313</v>
      </c>
      <c r="N1153" s="8"/>
      <c r="O1153" s="12" t="s">
        <v>755</v>
      </c>
      <c r="P1153" s="1">
        <v>61</v>
      </c>
      <c r="AA1153" s="1">
        <v>634</v>
      </c>
      <c r="AB1153" s="11"/>
      <c r="AC1153" s="82"/>
      <c r="AD1153" s="12" t="s">
        <v>756</v>
      </c>
      <c r="AE1153" s="12" t="s">
        <v>529</v>
      </c>
      <c r="AF1153" s="12"/>
      <c r="AG1153" s="23"/>
      <c r="AH1153" s="23"/>
      <c r="AI1153" s="12"/>
      <c r="AJ1153" s="12"/>
      <c r="AK1153" s="12"/>
      <c r="AL1153" s="12"/>
      <c r="AM1153" s="12"/>
      <c r="AN1153" s="12"/>
      <c r="AO1153" s="12"/>
      <c r="AP1153" s="12"/>
      <c r="AQ1153" s="8"/>
      <c r="AR1153" s="34"/>
      <c r="AS1153" s="34"/>
      <c r="AT1153" s="85"/>
      <c r="AU1153" s="12" t="s">
        <v>1932</v>
      </c>
      <c r="AW1153" s="90">
        <v>1</v>
      </c>
      <c r="AX1153" s="23"/>
      <c r="AY1153" s="23"/>
      <c r="AZ1153" s="23"/>
      <c r="BA1153" s="23"/>
    </row>
    <row r="1154" spans="1:53" s="1" customFormat="1" ht="12" x14ac:dyDescent="0.2">
      <c r="A1154" s="31" t="s">
        <v>807</v>
      </c>
      <c r="B1154" s="39">
        <v>62025</v>
      </c>
      <c r="C1154" s="42" t="s">
        <v>3729</v>
      </c>
      <c r="D1154" s="10" t="s">
        <v>84</v>
      </c>
      <c r="E1154" s="10" t="s">
        <v>1</v>
      </c>
      <c r="F1154" s="1" t="s">
        <v>471</v>
      </c>
      <c r="G1154" s="1" t="s">
        <v>1313</v>
      </c>
      <c r="N1154" s="8"/>
      <c r="O1154" s="12" t="s">
        <v>755</v>
      </c>
      <c r="P1154" s="1">
        <v>61</v>
      </c>
      <c r="AA1154" s="1">
        <v>720</v>
      </c>
      <c r="AB1154" s="11"/>
      <c r="AC1154" s="82"/>
      <c r="AD1154" s="12" t="s">
        <v>756</v>
      </c>
      <c r="AE1154" s="39" t="str">
        <f t="shared" ref="AE1154:AE1156" si="148">BA1154</f>
        <v>6111</v>
      </c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8"/>
      <c r="AR1154" s="34"/>
      <c r="AS1154" s="34"/>
      <c r="AT1154" s="85"/>
      <c r="AU1154" s="12" t="s">
        <v>1933</v>
      </c>
      <c r="AW1154" s="90">
        <v>2</v>
      </c>
      <c r="AX1154" s="23">
        <f>VLOOKUP(AW1154,색인!$N$14:$O$19,2,FALSE)</f>
        <v>1</v>
      </c>
      <c r="AY1154" s="90" t="str">
        <f>"T"&amp;O1154&amp;"_"&amp;AX1154&amp;"옵션_"&amp;VLOOKUP(E1154,색인!$J$25:$K$29,2,FALSE)</f>
        <v>T6_1옵션_방어구</v>
      </c>
      <c r="AZ1154" s="90">
        <f>VLOOKUP(G1154,색인!$J$32:$K$45,2,FALSE)</f>
        <v>2</v>
      </c>
      <c r="BA1154" s="90" t="str">
        <f>_xlfn.IFNA(VLOOKUP(AY1154,표1[[검색용]:[OptionGroupIndex'[']22]],EquipItemTable!AZ1154,FALSE),"옵션고정안함")</f>
        <v>6111</v>
      </c>
    </row>
    <row r="1155" spans="1:53" s="1" customFormat="1" ht="12" x14ac:dyDescent="0.2">
      <c r="A1155" s="31" t="s">
        <v>808</v>
      </c>
      <c r="B1155" s="39">
        <v>62026</v>
      </c>
      <c r="C1155" s="42" t="s">
        <v>3730</v>
      </c>
      <c r="D1155" s="10" t="s">
        <v>84</v>
      </c>
      <c r="E1155" s="10" t="s">
        <v>1</v>
      </c>
      <c r="F1155" s="1" t="s">
        <v>471</v>
      </c>
      <c r="G1155" s="1" t="s">
        <v>1313</v>
      </c>
      <c r="N1155" s="8"/>
      <c r="O1155" s="12" t="s">
        <v>747</v>
      </c>
      <c r="P1155" s="1">
        <v>61</v>
      </c>
      <c r="AA1155" s="1">
        <v>792</v>
      </c>
      <c r="AB1155" s="11"/>
      <c r="AC1155" s="82"/>
      <c r="AD1155" s="12" t="s">
        <v>748</v>
      </c>
      <c r="AE1155" s="39" t="str">
        <f t="shared" si="148"/>
        <v>6211</v>
      </c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8"/>
      <c r="AR1155" s="34" t="s">
        <v>94</v>
      </c>
      <c r="AS1155" s="34" t="s">
        <v>94</v>
      </c>
      <c r="AT1155" s="85"/>
      <c r="AU1155" s="12" t="s">
        <v>1934</v>
      </c>
      <c r="AW1155" s="90">
        <v>3</v>
      </c>
      <c r="AX1155" s="23">
        <f>VLOOKUP(AW1155,색인!$N$14:$O$19,2,FALSE)</f>
        <v>2</v>
      </c>
      <c r="AY1155" s="90" t="str">
        <f>"T"&amp;O1155&amp;"_"&amp;AX1155&amp;"옵션_"&amp;VLOOKUP(E1155,색인!$J$25:$K$29,2,FALSE)</f>
        <v>T6_2옵션_방어구</v>
      </c>
      <c r="AZ1155" s="90">
        <f>VLOOKUP(G1155,색인!$J$32:$K$45,2,FALSE)</f>
        <v>2</v>
      </c>
      <c r="BA1155" s="90" t="str">
        <f>_xlfn.IFNA(VLOOKUP(AY1155,표1[[검색용]:[OptionGroupIndex'[']22]],EquipItemTable!AZ1155,FALSE),"옵션고정안함")</f>
        <v>6211</v>
      </c>
    </row>
    <row r="1156" spans="1:53" s="1" customFormat="1" ht="12" x14ac:dyDescent="0.2">
      <c r="A1156" s="31" t="s">
        <v>809</v>
      </c>
      <c r="B1156" s="39">
        <v>62027</v>
      </c>
      <c r="C1156" s="42" t="s">
        <v>3731</v>
      </c>
      <c r="D1156" s="10" t="s">
        <v>84</v>
      </c>
      <c r="E1156" s="10" t="s">
        <v>1</v>
      </c>
      <c r="F1156" s="1" t="s">
        <v>471</v>
      </c>
      <c r="G1156" s="1" t="s">
        <v>1313</v>
      </c>
      <c r="N1156" s="8"/>
      <c r="O1156" s="12" t="s">
        <v>804</v>
      </c>
      <c r="P1156" s="1">
        <v>61</v>
      </c>
      <c r="AA1156" s="1">
        <v>871</v>
      </c>
      <c r="AB1156" s="11"/>
      <c r="AC1156" s="82"/>
      <c r="AD1156" s="12" t="s">
        <v>810</v>
      </c>
      <c r="AE1156" s="39" t="str">
        <f t="shared" si="148"/>
        <v>6311</v>
      </c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8"/>
      <c r="AR1156" s="34" t="s">
        <v>94</v>
      </c>
      <c r="AS1156" s="34" t="s">
        <v>94</v>
      </c>
      <c r="AT1156" s="85"/>
      <c r="AU1156" s="12" t="s">
        <v>1935</v>
      </c>
      <c r="AW1156" s="90">
        <v>4</v>
      </c>
      <c r="AX1156" s="23">
        <f>VLOOKUP(AW1156,색인!$N$14:$O$19,2,FALSE)</f>
        <v>3</v>
      </c>
      <c r="AY1156" s="90" t="str">
        <f>"T"&amp;O1156&amp;"_"&amp;AX1156&amp;"옵션_"&amp;VLOOKUP(E1156,색인!$J$25:$K$29,2,FALSE)</f>
        <v>T6_3옵션_방어구</v>
      </c>
      <c r="AZ1156" s="90">
        <f>VLOOKUP(G1156,색인!$J$32:$K$45,2,FALSE)</f>
        <v>2</v>
      </c>
      <c r="BA1156" s="90" t="str">
        <f>_xlfn.IFNA(VLOOKUP(AY1156,표1[[검색용]:[OptionGroupIndex'[']22]],EquipItemTable!AZ1156,FALSE),"옵션고정안함")</f>
        <v>6311</v>
      </c>
    </row>
    <row r="1157" spans="1:53" s="1" customFormat="1" ht="12" x14ac:dyDescent="0.2">
      <c r="A1157" s="31" t="s">
        <v>811</v>
      </c>
      <c r="B1157" s="39">
        <v>62038</v>
      </c>
      <c r="C1157" s="42" t="s">
        <v>3716</v>
      </c>
      <c r="D1157" s="10" t="s">
        <v>84</v>
      </c>
      <c r="E1157" s="10" t="s">
        <v>1</v>
      </c>
      <c r="F1157" s="1" t="s">
        <v>471</v>
      </c>
      <c r="G1157" s="1" t="s">
        <v>1313</v>
      </c>
      <c r="N1157" s="8"/>
      <c r="O1157" s="12" t="s">
        <v>804</v>
      </c>
      <c r="P1157" s="1">
        <v>61</v>
      </c>
      <c r="AA1157" s="1">
        <v>954</v>
      </c>
      <c r="AB1157" s="11"/>
      <c r="AC1157" s="82"/>
      <c r="AD1157" s="12" t="s">
        <v>810</v>
      </c>
      <c r="AE1157" s="39" t="str">
        <f>BA1157</f>
        <v>6411</v>
      </c>
      <c r="AF1157" s="12"/>
      <c r="AG1157" s="12"/>
      <c r="AH1157" s="12"/>
      <c r="AI1157" s="12"/>
      <c r="AJ1157" s="12"/>
      <c r="AK1157" s="12"/>
      <c r="AL1157" s="12"/>
      <c r="AM1157" s="12"/>
      <c r="AN1157" s="12" t="s">
        <v>554</v>
      </c>
      <c r="AO1157" s="12"/>
      <c r="AP1157" s="12"/>
      <c r="AQ1157" s="8"/>
      <c r="AR1157" s="34" t="s">
        <v>94</v>
      </c>
      <c r="AS1157" s="34" t="s">
        <v>94</v>
      </c>
      <c r="AT1157" s="85"/>
      <c r="AU1157" s="12" t="s">
        <v>1936</v>
      </c>
      <c r="AW1157" s="90">
        <v>6</v>
      </c>
      <c r="AX1157" s="23">
        <f>VLOOKUP(AW1157,색인!$N$14:$O$19,2,FALSE)</f>
        <v>4</v>
      </c>
      <c r="AY1157" s="23" t="str">
        <f>"T"&amp;O1157&amp;"_"&amp;AX1157&amp;"옵션_"&amp;VLOOKUP(E1157,색인!$J$25:$K$29,2,FALSE)</f>
        <v>T6_4옵션_방어구</v>
      </c>
      <c r="AZ1157" s="23">
        <f>VLOOKUP(G1157,색인!$J$32:$K$45,2,FALSE)</f>
        <v>2</v>
      </c>
      <c r="BA1157" s="23" t="str">
        <f>_xlfn.IFNA(VLOOKUP(AY1157,표1[[검색용]:[OptionGroupIndex'[']22]],EquipItemTable!AZ1157,FALSE),"옵션고정안함")</f>
        <v>6411</v>
      </c>
    </row>
    <row r="1158" spans="1:53" s="1" customFormat="1" ht="12" x14ac:dyDescent="0.2">
      <c r="A1158" s="31" t="s">
        <v>1075</v>
      </c>
      <c r="B1158" s="39">
        <v>62039</v>
      </c>
      <c r="C1158" s="42" t="s">
        <v>3717</v>
      </c>
      <c r="D1158" s="10" t="s">
        <v>84</v>
      </c>
      <c r="E1158" s="10" t="s">
        <v>1</v>
      </c>
      <c r="F1158" s="1" t="s">
        <v>471</v>
      </c>
      <c r="G1158" s="1" t="s">
        <v>1313</v>
      </c>
      <c r="N1158" s="8"/>
      <c r="O1158" s="12" t="s">
        <v>747</v>
      </c>
      <c r="P1158" s="1">
        <v>61</v>
      </c>
      <c r="AA1158" s="1">
        <v>954</v>
      </c>
      <c r="AB1158" s="11"/>
      <c r="AC1158" s="82"/>
      <c r="AD1158" s="12" t="s">
        <v>336</v>
      </c>
      <c r="AE1158" s="39" t="str">
        <f>BA1158</f>
        <v>6411</v>
      </c>
      <c r="AF1158" s="12"/>
      <c r="AG1158" s="12"/>
      <c r="AH1158" s="12"/>
      <c r="AI1158" s="12"/>
      <c r="AJ1158" s="12"/>
      <c r="AK1158" s="12"/>
      <c r="AL1158" s="12"/>
      <c r="AM1158" s="12"/>
      <c r="AN1158" s="12" t="s">
        <v>1192</v>
      </c>
      <c r="AO1158" s="12"/>
      <c r="AP1158" s="12"/>
      <c r="AQ1158" s="8"/>
      <c r="AR1158" s="34" t="s">
        <v>94</v>
      </c>
      <c r="AS1158" s="34" t="s">
        <v>94</v>
      </c>
      <c r="AT1158" s="85"/>
      <c r="AU1158" s="12" t="s">
        <v>1936</v>
      </c>
      <c r="AW1158" s="90">
        <v>6</v>
      </c>
      <c r="AX1158" s="23">
        <f>VLOOKUP(AW1158,색인!$N$14:$O$19,2,FALSE)</f>
        <v>4</v>
      </c>
      <c r="AY1158" s="23" t="str">
        <f>"T"&amp;O1158&amp;"_"&amp;AX1158&amp;"옵션_"&amp;VLOOKUP(E1158,색인!$J$25:$K$29,2,FALSE)</f>
        <v>T6_4옵션_방어구</v>
      </c>
      <c r="AZ1158" s="23">
        <f>VLOOKUP(G1158,색인!$J$32:$K$45,2,FALSE)</f>
        <v>2</v>
      </c>
      <c r="BA1158" s="23" t="str">
        <f>_xlfn.IFNA(VLOOKUP(AY1158,표1[[검색용]:[OptionGroupIndex'[']22]],EquipItemTable!AZ1158,FALSE),"옵션고정안함")</f>
        <v>6411</v>
      </c>
    </row>
    <row r="1159" spans="1:53" s="1" customFormat="1" ht="12" x14ac:dyDescent="0.2">
      <c r="A1159" s="31" t="s">
        <v>1076</v>
      </c>
      <c r="B1159" s="39">
        <v>62040</v>
      </c>
      <c r="C1159" s="42" t="s">
        <v>3718</v>
      </c>
      <c r="D1159" s="10" t="s">
        <v>84</v>
      </c>
      <c r="E1159" s="10" t="s">
        <v>1</v>
      </c>
      <c r="F1159" s="1" t="s">
        <v>471</v>
      </c>
      <c r="G1159" s="1" t="s">
        <v>1313</v>
      </c>
      <c r="N1159" s="8"/>
      <c r="O1159" s="12" t="s">
        <v>747</v>
      </c>
      <c r="P1159" s="1">
        <v>61</v>
      </c>
      <c r="AA1159" s="1">
        <v>954</v>
      </c>
      <c r="AB1159" s="11"/>
      <c r="AC1159" s="82"/>
      <c r="AD1159" s="12" t="s">
        <v>336</v>
      </c>
      <c r="AE1159" s="39" t="str">
        <f>BA1159</f>
        <v>6411</v>
      </c>
      <c r="AF1159" s="12"/>
      <c r="AG1159" s="12"/>
      <c r="AH1159" s="12"/>
      <c r="AI1159" s="12"/>
      <c r="AJ1159" s="12"/>
      <c r="AK1159" s="12"/>
      <c r="AL1159" s="12"/>
      <c r="AM1159" s="12"/>
      <c r="AN1159" s="12" t="s">
        <v>369</v>
      </c>
      <c r="AO1159" s="12"/>
      <c r="AP1159" s="12"/>
      <c r="AQ1159" s="8"/>
      <c r="AR1159" s="34" t="s">
        <v>94</v>
      </c>
      <c r="AS1159" s="34" t="s">
        <v>94</v>
      </c>
      <c r="AT1159" s="85"/>
      <c r="AU1159" s="12" t="s">
        <v>1936</v>
      </c>
      <c r="AW1159" s="90">
        <v>6</v>
      </c>
      <c r="AX1159" s="23">
        <f>VLOOKUP(AW1159,색인!$N$14:$O$19,2,FALSE)</f>
        <v>4</v>
      </c>
      <c r="AY1159" s="23" t="str">
        <f>"T"&amp;O1159&amp;"_"&amp;AX1159&amp;"옵션_"&amp;VLOOKUP(E1159,색인!$J$25:$K$29,2,FALSE)</f>
        <v>T6_4옵션_방어구</v>
      </c>
      <c r="AZ1159" s="23">
        <f>VLOOKUP(G1159,색인!$J$32:$K$45,2,FALSE)</f>
        <v>2</v>
      </c>
      <c r="BA1159" s="23" t="str">
        <f>_xlfn.IFNA(VLOOKUP(AY1159,표1[[검색용]:[OptionGroupIndex'[']22]],EquipItemTable!AZ1159,FALSE),"옵션고정안함")</f>
        <v>6411</v>
      </c>
    </row>
    <row r="1160" spans="1:53" s="1" customFormat="1" ht="12" x14ac:dyDescent="0.2">
      <c r="A1160" s="31" t="s">
        <v>1077</v>
      </c>
      <c r="B1160" s="39">
        <v>62028</v>
      </c>
      <c r="C1160" s="42" t="s">
        <v>3719</v>
      </c>
      <c r="D1160" s="10" t="s">
        <v>84</v>
      </c>
      <c r="E1160" s="10" t="s">
        <v>1</v>
      </c>
      <c r="F1160" s="1" t="s">
        <v>471</v>
      </c>
      <c r="G1160" s="1" t="s">
        <v>1313</v>
      </c>
      <c r="N1160" s="8"/>
      <c r="O1160" s="12" t="s">
        <v>747</v>
      </c>
      <c r="P1160" s="1">
        <v>61</v>
      </c>
      <c r="AA1160" s="1">
        <v>954</v>
      </c>
      <c r="AB1160" s="11"/>
      <c r="AC1160" s="82"/>
      <c r="AD1160" s="12" t="s">
        <v>336</v>
      </c>
      <c r="AE1160" s="39" t="str">
        <f>BA1160</f>
        <v>6411</v>
      </c>
      <c r="AF1160" s="12"/>
      <c r="AG1160" s="12"/>
      <c r="AH1160" s="12"/>
      <c r="AI1160" s="12"/>
      <c r="AJ1160" s="12"/>
      <c r="AK1160" s="12"/>
      <c r="AL1160" s="12"/>
      <c r="AM1160" s="12"/>
      <c r="AN1160" s="12" t="s">
        <v>1194</v>
      </c>
      <c r="AO1160" s="12"/>
      <c r="AP1160" s="12"/>
      <c r="AQ1160" s="8"/>
      <c r="AR1160" s="34" t="s">
        <v>94</v>
      </c>
      <c r="AS1160" s="34" t="s">
        <v>94</v>
      </c>
      <c r="AT1160" s="85"/>
      <c r="AU1160" s="12" t="s">
        <v>1936</v>
      </c>
      <c r="AW1160" s="90">
        <v>6</v>
      </c>
      <c r="AX1160" s="23">
        <f>VLOOKUP(AW1160,색인!$N$14:$O$19,2,FALSE)</f>
        <v>4</v>
      </c>
      <c r="AY1160" s="23" t="str">
        <f>"T"&amp;O1160&amp;"_"&amp;AX1160&amp;"옵션_"&amp;VLOOKUP(E1160,색인!$J$25:$K$29,2,FALSE)</f>
        <v>T6_4옵션_방어구</v>
      </c>
      <c r="AZ1160" s="23">
        <f>VLOOKUP(G1160,색인!$J$32:$K$45,2,FALSE)</f>
        <v>2</v>
      </c>
      <c r="BA1160" s="23" t="str">
        <f>_xlfn.IFNA(VLOOKUP(AY1160,표1[[검색용]:[OptionGroupIndex'[']22]],EquipItemTable!AZ1160,FALSE),"옵션고정안함")</f>
        <v>6411</v>
      </c>
    </row>
    <row r="1161" spans="1:53" ht="12" customHeight="1" x14ac:dyDescent="0.2">
      <c r="A1161" s="13" t="s">
        <v>684</v>
      </c>
      <c r="B1161" s="39">
        <v>62401</v>
      </c>
      <c r="C1161" s="42" t="s">
        <v>3732</v>
      </c>
      <c r="D1161" s="10" t="s">
        <v>84</v>
      </c>
      <c r="E1161" s="10" t="s">
        <v>1</v>
      </c>
      <c r="F1161" s="1" t="s">
        <v>471</v>
      </c>
      <c r="G1161" s="1" t="s">
        <v>1313</v>
      </c>
      <c r="H1161" s="1"/>
      <c r="I1161" s="1"/>
      <c r="J1161" s="1"/>
      <c r="K1161" s="1"/>
      <c r="L1161" s="1"/>
      <c r="M1161" s="1"/>
      <c r="O1161" s="12" t="s">
        <v>94</v>
      </c>
      <c r="P1161" s="1">
        <v>1</v>
      </c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>
        <v>39</v>
      </c>
      <c r="AB1161" s="11"/>
      <c r="AC1161" s="82"/>
      <c r="AD1161" s="12" t="s">
        <v>868</v>
      </c>
      <c r="AE1161" s="39" t="str">
        <f t="shared" ref="AE1161:AE1171" si="149">BA1161</f>
        <v>1311</v>
      </c>
      <c r="AN1161" s="12" t="s">
        <v>2833</v>
      </c>
      <c r="AR1161" s="34" t="s">
        <v>94</v>
      </c>
      <c r="AS1161" s="34" t="s">
        <v>94</v>
      </c>
      <c r="AU1161" s="12" t="s">
        <v>1937</v>
      </c>
      <c r="AV1161" s="13"/>
      <c r="AW1161" s="39">
        <v>5</v>
      </c>
      <c r="AX1161" s="12">
        <f>VLOOKUP(AW1161,색인!$N$14:$O$19,2,FALSE)</f>
        <v>3</v>
      </c>
      <c r="AY1161" s="39" t="str">
        <f>"T"&amp;O1161&amp;"_"&amp;AX1161&amp;"옵션_"&amp;VLOOKUP(E1161,색인!$J$25:$K$29,2,FALSE)</f>
        <v>T1_3옵션_방어구</v>
      </c>
      <c r="AZ1161" s="39">
        <f>VLOOKUP(G1161,색인!$J$32:$K$45,2,FALSE)</f>
        <v>2</v>
      </c>
      <c r="BA1161" s="39" t="str">
        <f>_xlfn.IFNA(VLOOKUP(AY1161,표1[[검색용]:[OptionGroupIndex'[']22]],EquipItemTable!AZ1161,FALSE),"옵션고정안함")</f>
        <v>1311</v>
      </c>
    </row>
    <row r="1162" spans="1:53" ht="12" customHeight="1" x14ac:dyDescent="0.2">
      <c r="A1162" s="13" t="s">
        <v>685</v>
      </c>
      <c r="B1162" s="39">
        <v>62402</v>
      </c>
      <c r="C1162" s="42" t="s">
        <v>3732</v>
      </c>
      <c r="D1162" s="10" t="s">
        <v>84</v>
      </c>
      <c r="E1162" s="10" t="s">
        <v>1</v>
      </c>
      <c r="F1162" s="1" t="s">
        <v>471</v>
      </c>
      <c r="G1162" s="1" t="s">
        <v>1313</v>
      </c>
      <c r="H1162" s="1"/>
      <c r="I1162" s="1"/>
      <c r="J1162" s="1"/>
      <c r="K1162" s="1"/>
      <c r="L1162" s="1"/>
      <c r="M1162" s="1"/>
      <c r="O1162" s="12" t="s">
        <v>95</v>
      </c>
      <c r="P1162" s="1">
        <v>21</v>
      </c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>
        <v>87</v>
      </c>
      <c r="AB1162" s="11"/>
      <c r="AC1162" s="82"/>
      <c r="AD1162" s="12" t="s">
        <v>868</v>
      </c>
      <c r="AE1162" s="39" t="str">
        <f t="shared" si="149"/>
        <v>2311</v>
      </c>
      <c r="AN1162" s="12" t="s">
        <v>2833</v>
      </c>
      <c r="AR1162" s="34" t="s">
        <v>94</v>
      </c>
      <c r="AS1162" s="34" t="s">
        <v>94</v>
      </c>
      <c r="AU1162" s="12" t="s">
        <v>1937</v>
      </c>
      <c r="AV1162" s="13"/>
      <c r="AW1162" s="39">
        <v>5</v>
      </c>
      <c r="AX1162" s="12">
        <f>VLOOKUP(AW1162,색인!$N$14:$O$19,2,FALSE)</f>
        <v>3</v>
      </c>
      <c r="AY1162" s="39" t="str">
        <f>"T"&amp;O1162&amp;"_"&amp;AX1162&amp;"옵션_"&amp;VLOOKUP(E1162,색인!$J$25:$K$29,2,FALSE)</f>
        <v>T2_3옵션_방어구</v>
      </c>
      <c r="AZ1162" s="39">
        <f>VLOOKUP(G1162,색인!$J$32:$K$45,2,FALSE)</f>
        <v>2</v>
      </c>
      <c r="BA1162" s="39" t="str">
        <f>_xlfn.IFNA(VLOOKUP(AY1162,표1[[검색용]:[OptionGroupIndex'[']22]],EquipItemTable!AZ1162,FALSE),"옵션고정안함")</f>
        <v>2311</v>
      </c>
    </row>
    <row r="1163" spans="1:53" ht="12" customHeight="1" x14ac:dyDescent="0.2">
      <c r="A1163" s="13" t="s">
        <v>686</v>
      </c>
      <c r="B1163" s="39">
        <v>62403</v>
      </c>
      <c r="C1163" s="42" t="s">
        <v>3732</v>
      </c>
      <c r="D1163" s="10" t="s">
        <v>84</v>
      </c>
      <c r="E1163" s="10" t="s">
        <v>1</v>
      </c>
      <c r="F1163" s="1" t="s">
        <v>93</v>
      </c>
      <c r="G1163" s="1" t="s">
        <v>1313</v>
      </c>
      <c r="H1163" s="1"/>
      <c r="I1163" s="1"/>
      <c r="J1163" s="1"/>
      <c r="K1163" s="1"/>
      <c r="L1163" s="1"/>
      <c r="M1163" s="1"/>
      <c r="N1163" s="81"/>
      <c r="O1163" s="12" t="s">
        <v>96</v>
      </c>
      <c r="P1163" s="1">
        <v>31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">
        <v>178</v>
      </c>
      <c r="AB1163" s="13"/>
      <c r="AC1163" s="82"/>
      <c r="AD1163" s="23" t="s">
        <v>52</v>
      </c>
      <c r="AE1163" s="90" t="str">
        <f t="shared" si="149"/>
        <v>3311</v>
      </c>
      <c r="AF1163" s="23"/>
      <c r="AI1163" s="23"/>
      <c r="AJ1163" s="23"/>
      <c r="AK1163" s="23"/>
      <c r="AL1163" s="23"/>
      <c r="AM1163" s="23"/>
      <c r="AN1163" s="12" t="s">
        <v>2833</v>
      </c>
      <c r="AO1163" s="23"/>
      <c r="AP1163" s="23"/>
      <c r="AQ1163" s="81"/>
      <c r="AR1163" s="83">
        <v>1</v>
      </c>
      <c r="AS1163" s="83">
        <v>1</v>
      </c>
      <c r="AT1163" s="81"/>
      <c r="AU1163" s="12" t="s">
        <v>1937</v>
      </c>
      <c r="AV1163" s="13"/>
      <c r="AW1163" s="39">
        <v>5</v>
      </c>
      <c r="AX1163" s="12">
        <f>VLOOKUP(AW1163,색인!$N$14:$O$19,2,FALSE)</f>
        <v>3</v>
      </c>
      <c r="AY1163" s="39" t="str">
        <f>"T"&amp;O1163&amp;"_"&amp;AX1163&amp;"옵션_"&amp;VLOOKUP(E1163,색인!$J$25:$K$29,2,FALSE)</f>
        <v>T3_3옵션_방어구</v>
      </c>
      <c r="AZ1163" s="39">
        <f>VLOOKUP(G1163,색인!$J$32:$K$45,2,FALSE)</f>
        <v>2</v>
      </c>
      <c r="BA1163" s="39" t="str">
        <f>_xlfn.IFNA(VLOOKUP(AY1163,표1[[검색용]:[OptionGroupIndex'[']22]],EquipItemTable!AZ1163,FALSE),"옵션고정안함")</f>
        <v>3311</v>
      </c>
    </row>
    <row r="1164" spans="1:53" ht="12" customHeight="1" x14ac:dyDescent="0.2">
      <c r="A1164" s="13" t="s">
        <v>687</v>
      </c>
      <c r="B1164" s="39">
        <v>62404</v>
      </c>
      <c r="C1164" s="42" t="s">
        <v>3732</v>
      </c>
      <c r="D1164" s="10" t="s">
        <v>84</v>
      </c>
      <c r="E1164" s="10" t="s">
        <v>1</v>
      </c>
      <c r="F1164" s="1" t="s">
        <v>93</v>
      </c>
      <c r="G1164" s="1" t="s">
        <v>1313</v>
      </c>
      <c r="H1164" s="1"/>
      <c r="I1164" s="1"/>
      <c r="J1164" s="1"/>
      <c r="K1164" s="1"/>
      <c r="L1164" s="1"/>
      <c r="M1164" s="1"/>
      <c r="O1164" s="12" t="s">
        <v>97</v>
      </c>
      <c r="P1164" s="1">
        <v>41</v>
      </c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>
        <v>349</v>
      </c>
      <c r="AB1164" s="11"/>
      <c r="AC1164" s="82"/>
      <c r="AD1164" s="12" t="s">
        <v>52</v>
      </c>
      <c r="AE1164" s="39" t="str">
        <f t="shared" si="149"/>
        <v>4311</v>
      </c>
      <c r="AN1164" s="12" t="s">
        <v>2833</v>
      </c>
      <c r="AR1164" s="34" t="s">
        <v>94</v>
      </c>
      <c r="AS1164" s="34" t="s">
        <v>94</v>
      </c>
      <c r="AU1164" s="12" t="s">
        <v>1937</v>
      </c>
      <c r="AV1164" s="13"/>
      <c r="AW1164" s="39">
        <v>5</v>
      </c>
      <c r="AX1164" s="12">
        <f>VLOOKUP(AW1164,색인!$N$14:$O$19,2,FALSE)</f>
        <v>3</v>
      </c>
      <c r="AY1164" s="39" t="str">
        <f>"T"&amp;O1164&amp;"_"&amp;AX1164&amp;"옵션_"&amp;VLOOKUP(E1164,색인!$J$25:$K$29,2,FALSE)</f>
        <v>T4_3옵션_방어구</v>
      </c>
      <c r="AZ1164" s="39">
        <f>VLOOKUP(G1164,색인!$J$32:$K$45,2,FALSE)</f>
        <v>2</v>
      </c>
      <c r="BA1164" s="39" t="str">
        <f>_xlfn.IFNA(VLOOKUP(AY1164,표1[[검색용]:[OptionGroupIndex'[']22]],EquipItemTable!AZ1164,FALSE),"옵션고정안함")</f>
        <v>4311</v>
      </c>
    </row>
    <row r="1165" spans="1:53" ht="12" customHeight="1" x14ac:dyDescent="0.2">
      <c r="A1165" s="13" t="s">
        <v>688</v>
      </c>
      <c r="B1165" s="39">
        <v>62405</v>
      </c>
      <c r="C1165" s="42" t="s">
        <v>3732</v>
      </c>
      <c r="D1165" s="10" t="s">
        <v>84</v>
      </c>
      <c r="E1165" s="10" t="s">
        <v>1</v>
      </c>
      <c r="F1165" s="1" t="s">
        <v>471</v>
      </c>
      <c r="G1165" s="1" t="s">
        <v>1313</v>
      </c>
      <c r="H1165" s="1"/>
      <c r="I1165" s="1"/>
      <c r="J1165" s="1"/>
      <c r="K1165" s="1"/>
      <c r="L1165" s="1"/>
      <c r="M1165" s="1"/>
      <c r="O1165" s="12" t="s">
        <v>430</v>
      </c>
      <c r="P1165" s="1">
        <v>51</v>
      </c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>
        <v>657</v>
      </c>
      <c r="AB1165" s="11"/>
      <c r="AC1165" s="82"/>
      <c r="AD1165" s="12" t="s">
        <v>98</v>
      </c>
      <c r="AE1165" s="39" t="str">
        <f t="shared" si="149"/>
        <v>5311</v>
      </c>
      <c r="AN1165" s="12" t="s">
        <v>2833</v>
      </c>
      <c r="AR1165" s="34" t="s">
        <v>94</v>
      </c>
      <c r="AS1165" s="34" t="s">
        <v>94</v>
      </c>
      <c r="AU1165" s="12" t="s">
        <v>1937</v>
      </c>
      <c r="AV1165" s="13"/>
      <c r="AW1165" s="39">
        <v>5</v>
      </c>
      <c r="AX1165" s="12">
        <f>VLOOKUP(AW1165,색인!$N$14:$O$19,2,FALSE)</f>
        <v>3</v>
      </c>
      <c r="AY1165" s="39" t="str">
        <f>"T"&amp;O1165&amp;"_"&amp;AX1165&amp;"옵션_"&amp;VLOOKUP(E1165,색인!$J$25:$K$29,2,FALSE)</f>
        <v>T5_3옵션_방어구</v>
      </c>
      <c r="AZ1165" s="39">
        <f>VLOOKUP(G1165,색인!$J$32:$K$45,2,FALSE)</f>
        <v>2</v>
      </c>
      <c r="BA1165" s="39" t="str">
        <f>_xlfn.IFNA(VLOOKUP(AY1165,표1[[검색용]:[OptionGroupIndex'[']22]],EquipItemTable!AZ1165,FALSE),"옵션고정안함")</f>
        <v>5311</v>
      </c>
    </row>
    <row r="1166" spans="1:53" s="1" customFormat="1" ht="12" x14ac:dyDescent="0.2">
      <c r="A1166" s="31" t="s">
        <v>812</v>
      </c>
      <c r="B1166" s="39">
        <v>62406</v>
      </c>
      <c r="C1166" s="42" t="s">
        <v>3732</v>
      </c>
      <c r="D1166" s="10" t="s">
        <v>84</v>
      </c>
      <c r="E1166" s="10" t="s">
        <v>1</v>
      </c>
      <c r="F1166" s="1" t="s">
        <v>471</v>
      </c>
      <c r="G1166" s="1" t="s">
        <v>1313</v>
      </c>
      <c r="N1166" s="8"/>
      <c r="O1166" s="12" t="s">
        <v>755</v>
      </c>
      <c r="P1166" s="1">
        <v>61</v>
      </c>
      <c r="AA1166" s="1">
        <v>958</v>
      </c>
      <c r="AB1166" s="11"/>
      <c r="AC1166" s="82"/>
      <c r="AD1166" s="12" t="s">
        <v>864</v>
      </c>
      <c r="AE1166" s="39" t="str">
        <f t="shared" si="149"/>
        <v>6311</v>
      </c>
      <c r="AF1166" s="12"/>
      <c r="AG1166" s="12"/>
      <c r="AH1166" s="12"/>
      <c r="AI1166" s="12"/>
      <c r="AJ1166" s="12"/>
      <c r="AK1166" s="12"/>
      <c r="AL1166" s="12"/>
      <c r="AM1166" s="12"/>
      <c r="AN1166" s="12" t="s">
        <v>2833</v>
      </c>
      <c r="AO1166" s="12"/>
      <c r="AP1166" s="12"/>
      <c r="AQ1166" s="8"/>
      <c r="AR1166" s="34" t="s">
        <v>865</v>
      </c>
      <c r="AS1166" s="34" t="s">
        <v>865</v>
      </c>
      <c r="AT1166" s="85"/>
      <c r="AU1166" s="12" t="s">
        <v>1937</v>
      </c>
      <c r="AW1166" s="90">
        <v>5</v>
      </c>
      <c r="AX1166" s="23">
        <f>VLOOKUP(AW1166,색인!$N$14:$O$19,2,FALSE)</f>
        <v>3</v>
      </c>
      <c r="AY1166" s="90" t="str">
        <f>"T"&amp;O1166&amp;"_"&amp;AX1166&amp;"옵션_"&amp;VLOOKUP(E1166,색인!$J$25:$K$29,2,FALSE)</f>
        <v>T6_3옵션_방어구</v>
      </c>
      <c r="AZ1166" s="90">
        <f>VLOOKUP(G1166,색인!$J$32:$K$45,2,FALSE)</f>
        <v>2</v>
      </c>
      <c r="BA1166" s="90" t="str">
        <f>_xlfn.IFNA(VLOOKUP(AY1166,표1[[검색용]:[OptionGroupIndex'[']22]],EquipItemTable!AZ1166,FALSE),"옵션고정안함")</f>
        <v>6311</v>
      </c>
    </row>
    <row r="1167" spans="1:53" s="1" customFormat="1" ht="12" x14ac:dyDescent="0.2">
      <c r="A1167" s="31" t="s">
        <v>1249</v>
      </c>
      <c r="B1167" s="39">
        <v>62407</v>
      </c>
      <c r="C1167" s="42" t="s">
        <v>3733</v>
      </c>
      <c r="D1167" s="10" t="s">
        <v>84</v>
      </c>
      <c r="E1167" s="10" t="s">
        <v>1</v>
      </c>
      <c r="F1167" s="1" t="s">
        <v>471</v>
      </c>
      <c r="G1167" s="1" t="s">
        <v>1313</v>
      </c>
      <c r="N1167" s="8"/>
      <c r="O1167" s="12" t="s">
        <v>747</v>
      </c>
      <c r="P1167" s="1">
        <v>61</v>
      </c>
      <c r="AA1167" s="1">
        <v>958</v>
      </c>
      <c r="AB1167" s="11"/>
      <c r="AC1167" s="82"/>
      <c r="AD1167" s="12" t="s">
        <v>864</v>
      </c>
      <c r="AE1167" s="39" t="str">
        <f t="shared" si="149"/>
        <v>6311</v>
      </c>
      <c r="AF1167" s="12"/>
      <c r="AG1167" s="12"/>
      <c r="AH1167" s="12"/>
      <c r="AI1167" s="12"/>
      <c r="AJ1167" s="12"/>
      <c r="AK1167" s="12"/>
      <c r="AL1167" s="12"/>
      <c r="AM1167" s="12"/>
      <c r="AN1167" s="12" t="s">
        <v>1228</v>
      </c>
      <c r="AO1167" s="12"/>
      <c r="AP1167" s="12"/>
      <c r="AQ1167" s="8"/>
      <c r="AR1167" s="34" t="s">
        <v>865</v>
      </c>
      <c r="AS1167" s="34" t="s">
        <v>865</v>
      </c>
      <c r="AT1167" s="85"/>
      <c r="AU1167" s="12" t="s">
        <v>1937</v>
      </c>
      <c r="AW1167" s="90">
        <v>5</v>
      </c>
      <c r="AX1167" s="23">
        <f>VLOOKUP(AW1167,색인!$N$14:$O$19,2,FALSE)</f>
        <v>3</v>
      </c>
      <c r="AY1167" s="90" t="str">
        <f>"T"&amp;O1167&amp;"_"&amp;AX1167&amp;"옵션_"&amp;VLOOKUP(E1167,색인!$J$25:$K$29,2,FALSE)</f>
        <v>T6_3옵션_방어구</v>
      </c>
      <c r="AZ1167" s="90">
        <f>VLOOKUP(G1167,색인!$J$32:$K$45,2,FALSE)</f>
        <v>2</v>
      </c>
      <c r="BA1167" s="90" t="str">
        <f>_xlfn.IFNA(VLOOKUP(AY1167,표1[[검색용]:[OptionGroupIndex'[']22]],EquipItemTable!AZ1167,FALSE),"옵션고정안함")</f>
        <v>6311</v>
      </c>
    </row>
    <row r="1168" spans="1:53" s="1" customFormat="1" ht="12" x14ac:dyDescent="0.2">
      <c r="A1168" s="31" t="s">
        <v>1250</v>
      </c>
      <c r="B1168" s="39">
        <v>62408</v>
      </c>
      <c r="C1168" s="42" t="s">
        <v>3734</v>
      </c>
      <c r="D1168" s="10" t="s">
        <v>84</v>
      </c>
      <c r="E1168" s="10" t="s">
        <v>1</v>
      </c>
      <c r="F1168" s="1" t="s">
        <v>471</v>
      </c>
      <c r="G1168" s="1" t="s">
        <v>1313</v>
      </c>
      <c r="J1168" s="27"/>
      <c r="K1168" s="27"/>
      <c r="L1168" s="27"/>
      <c r="M1168" s="27"/>
      <c r="N1168" s="8"/>
      <c r="O1168" s="12" t="s">
        <v>747</v>
      </c>
      <c r="P1168" s="1">
        <v>61</v>
      </c>
      <c r="AA1168" s="1">
        <v>958</v>
      </c>
      <c r="AB1168" s="11"/>
      <c r="AC1168" s="82"/>
      <c r="AD1168" s="12" t="s">
        <v>864</v>
      </c>
      <c r="AE1168" s="39" t="str">
        <f t="shared" si="149"/>
        <v>6311</v>
      </c>
      <c r="AF1168" s="12"/>
      <c r="AG1168" s="29"/>
      <c r="AH1168" s="29"/>
      <c r="AI1168" s="12"/>
      <c r="AJ1168" s="12"/>
      <c r="AK1168" s="12"/>
      <c r="AL1168" s="12"/>
      <c r="AM1168" s="12"/>
      <c r="AN1168" s="12" t="s">
        <v>1213</v>
      </c>
      <c r="AO1168" s="12"/>
      <c r="AP1168" s="12"/>
      <c r="AQ1168" s="8"/>
      <c r="AR1168" s="34" t="s">
        <v>865</v>
      </c>
      <c r="AS1168" s="34" t="s">
        <v>865</v>
      </c>
      <c r="AT1168" s="85"/>
      <c r="AU1168" s="12" t="s">
        <v>1937</v>
      </c>
      <c r="AW1168" s="90">
        <v>5</v>
      </c>
      <c r="AX1168" s="23">
        <f>VLOOKUP(AW1168,색인!$N$14:$O$19,2,FALSE)</f>
        <v>3</v>
      </c>
      <c r="AY1168" s="90" t="str">
        <f>"T"&amp;O1168&amp;"_"&amp;AX1168&amp;"옵션_"&amp;VLOOKUP(E1168,색인!$J$25:$K$29,2,FALSE)</f>
        <v>T6_3옵션_방어구</v>
      </c>
      <c r="AZ1168" s="90">
        <f>VLOOKUP(G1168,색인!$J$32:$K$45,2,FALSE)</f>
        <v>2</v>
      </c>
      <c r="BA1168" s="90" t="str">
        <f>_xlfn.IFNA(VLOOKUP(AY1168,표1[[검색용]:[OptionGroupIndex'[']22]],EquipItemTable!AZ1168,FALSE),"옵션고정안함")</f>
        <v>6311</v>
      </c>
    </row>
    <row r="1169" spans="1:53" s="1" customFormat="1" ht="12" x14ac:dyDescent="0.2">
      <c r="A1169" s="31" t="s">
        <v>1251</v>
      </c>
      <c r="B1169" s="39">
        <v>62409</v>
      </c>
      <c r="C1169" s="42" t="s">
        <v>3735</v>
      </c>
      <c r="D1169" s="10" t="s">
        <v>84</v>
      </c>
      <c r="E1169" s="10" t="s">
        <v>1</v>
      </c>
      <c r="F1169" s="1" t="s">
        <v>471</v>
      </c>
      <c r="G1169" s="1" t="s">
        <v>1313</v>
      </c>
      <c r="J1169" s="27"/>
      <c r="K1169" s="27"/>
      <c r="L1169" s="27"/>
      <c r="M1169" s="27"/>
      <c r="N1169" s="8"/>
      <c r="O1169" s="12" t="s">
        <v>747</v>
      </c>
      <c r="P1169" s="1">
        <v>61</v>
      </c>
      <c r="AA1169" s="1">
        <v>958</v>
      </c>
      <c r="AB1169" s="11"/>
      <c r="AC1169" s="82"/>
      <c r="AD1169" s="12" t="s">
        <v>864</v>
      </c>
      <c r="AE1169" s="39" t="str">
        <f t="shared" si="149"/>
        <v>6311</v>
      </c>
      <c r="AF1169" s="12"/>
      <c r="AG1169" s="29"/>
      <c r="AH1169" s="29"/>
      <c r="AI1169" s="12"/>
      <c r="AJ1169" s="12"/>
      <c r="AK1169" s="12"/>
      <c r="AL1169" s="12"/>
      <c r="AM1169" s="12"/>
      <c r="AN1169" s="12" t="s">
        <v>1214</v>
      </c>
      <c r="AO1169" s="12"/>
      <c r="AP1169" s="12"/>
      <c r="AQ1169" s="8"/>
      <c r="AR1169" s="34" t="s">
        <v>865</v>
      </c>
      <c r="AS1169" s="34" t="s">
        <v>865</v>
      </c>
      <c r="AT1169" s="85"/>
      <c r="AU1169" s="12" t="s">
        <v>1937</v>
      </c>
      <c r="AW1169" s="90">
        <v>5</v>
      </c>
      <c r="AX1169" s="23">
        <f>VLOOKUP(AW1169,색인!$N$14:$O$19,2,FALSE)</f>
        <v>3</v>
      </c>
      <c r="AY1169" s="90" t="str">
        <f>"T"&amp;O1169&amp;"_"&amp;AX1169&amp;"옵션_"&amp;VLOOKUP(E1169,색인!$J$25:$K$29,2,FALSE)</f>
        <v>T6_3옵션_방어구</v>
      </c>
      <c r="AZ1169" s="90">
        <f>VLOOKUP(G1169,색인!$J$32:$K$45,2,FALSE)</f>
        <v>2</v>
      </c>
      <c r="BA1169" s="90" t="str">
        <f>_xlfn.IFNA(VLOOKUP(AY1169,표1[[검색용]:[OptionGroupIndex'[']22]],EquipItemTable!AZ1169,FALSE),"옵션고정안함")</f>
        <v>6311</v>
      </c>
    </row>
    <row r="1170" spans="1:53" s="1" customFormat="1" ht="12" x14ac:dyDescent="0.2">
      <c r="A1170" s="31" t="s">
        <v>1252</v>
      </c>
      <c r="B1170" s="39">
        <v>62410</v>
      </c>
      <c r="C1170" s="42" t="s">
        <v>3736</v>
      </c>
      <c r="D1170" s="10" t="s">
        <v>84</v>
      </c>
      <c r="E1170" s="10" t="s">
        <v>1</v>
      </c>
      <c r="F1170" s="1" t="s">
        <v>471</v>
      </c>
      <c r="G1170" s="1" t="s">
        <v>1313</v>
      </c>
      <c r="J1170" s="27"/>
      <c r="K1170" s="27"/>
      <c r="L1170" s="27"/>
      <c r="M1170" s="27"/>
      <c r="N1170" s="8"/>
      <c r="O1170" s="12" t="s">
        <v>747</v>
      </c>
      <c r="P1170" s="1">
        <v>61</v>
      </c>
      <c r="AA1170" s="1">
        <v>958</v>
      </c>
      <c r="AB1170" s="11"/>
      <c r="AC1170" s="82"/>
      <c r="AD1170" s="12" t="s">
        <v>864</v>
      </c>
      <c r="AE1170" s="39" t="str">
        <f t="shared" si="149"/>
        <v>6311</v>
      </c>
      <c r="AF1170" s="12"/>
      <c r="AG1170" s="29"/>
      <c r="AH1170" s="29"/>
      <c r="AI1170" s="12"/>
      <c r="AJ1170" s="12"/>
      <c r="AK1170" s="12"/>
      <c r="AL1170" s="12"/>
      <c r="AM1170" s="12"/>
      <c r="AN1170" s="12" t="s">
        <v>1215</v>
      </c>
      <c r="AO1170" s="12"/>
      <c r="AP1170" s="12"/>
      <c r="AQ1170" s="8"/>
      <c r="AR1170" s="34" t="s">
        <v>865</v>
      </c>
      <c r="AS1170" s="34" t="s">
        <v>865</v>
      </c>
      <c r="AT1170" s="85"/>
      <c r="AU1170" s="12" t="s">
        <v>1937</v>
      </c>
      <c r="AW1170" s="90">
        <v>5</v>
      </c>
      <c r="AX1170" s="23">
        <f>VLOOKUP(AW1170,색인!$N$14:$O$19,2,FALSE)</f>
        <v>3</v>
      </c>
      <c r="AY1170" s="90" t="str">
        <f>"T"&amp;O1170&amp;"_"&amp;AX1170&amp;"옵션_"&amp;VLOOKUP(E1170,색인!$J$25:$K$29,2,FALSE)</f>
        <v>T6_3옵션_방어구</v>
      </c>
      <c r="AZ1170" s="90">
        <f>VLOOKUP(G1170,색인!$J$32:$K$45,2,FALSE)</f>
        <v>2</v>
      </c>
      <c r="BA1170" s="90" t="str">
        <f>_xlfn.IFNA(VLOOKUP(AY1170,표1[[검색용]:[OptionGroupIndex'[']22]],EquipItemTable!AZ1170,FALSE),"옵션고정안함")</f>
        <v>6311</v>
      </c>
    </row>
    <row r="1171" spans="1:53" s="1" customFormat="1" ht="12" x14ac:dyDescent="0.2">
      <c r="A1171" s="31" t="s">
        <v>1253</v>
      </c>
      <c r="B1171" s="39">
        <v>62411</v>
      </c>
      <c r="C1171" s="42" t="s">
        <v>3737</v>
      </c>
      <c r="D1171" s="10" t="s">
        <v>84</v>
      </c>
      <c r="E1171" s="10" t="s">
        <v>1</v>
      </c>
      <c r="F1171" s="1" t="s">
        <v>471</v>
      </c>
      <c r="G1171" s="1" t="s">
        <v>1313</v>
      </c>
      <c r="J1171" s="27"/>
      <c r="K1171" s="27"/>
      <c r="L1171" s="27"/>
      <c r="M1171" s="27"/>
      <c r="N1171" s="8"/>
      <c r="O1171" s="12" t="s">
        <v>747</v>
      </c>
      <c r="P1171" s="1">
        <v>61</v>
      </c>
      <c r="AA1171" s="1">
        <v>958</v>
      </c>
      <c r="AB1171" s="11"/>
      <c r="AC1171" s="82"/>
      <c r="AD1171" s="12" t="s">
        <v>864</v>
      </c>
      <c r="AE1171" s="39" t="str">
        <f t="shared" si="149"/>
        <v>6311</v>
      </c>
      <c r="AF1171" s="12"/>
      <c r="AG1171" s="29"/>
      <c r="AH1171" s="29"/>
      <c r="AI1171" s="12"/>
      <c r="AJ1171" s="12"/>
      <c r="AK1171" s="12"/>
      <c r="AL1171" s="12"/>
      <c r="AM1171" s="12"/>
      <c r="AN1171" s="12" t="s">
        <v>1216</v>
      </c>
      <c r="AO1171" s="12"/>
      <c r="AP1171" s="12"/>
      <c r="AQ1171" s="8"/>
      <c r="AR1171" s="34" t="s">
        <v>865</v>
      </c>
      <c r="AS1171" s="34" t="s">
        <v>865</v>
      </c>
      <c r="AT1171" s="85"/>
      <c r="AU1171" s="12" t="s">
        <v>1937</v>
      </c>
      <c r="AW1171" s="90">
        <v>5</v>
      </c>
      <c r="AX1171" s="23">
        <f>VLOOKUP(AW1171,색인!$N$14:$O$19,2,FALSE)</f>
        <v>3</v>
      </c>
      <c r="AY1171" s="90" t="str">
        <f>"T"&amp;O1171&amp;"_"&amp;AX1171&amp;"옵션_"&amp;VLOOKUP(E1171,색인!$J$25:$K$29,2,FALSE)</f>
        <v>T6_3옵션_방어구</v>
      </c>
      <c r="AZ1171" s="90">
        <f>VLOOKUP(G1171,색인!$J$32:$K$45,2,FALSE)</f>
        <v>2</v>
      </c>
      <c r="BA1171" s="90" t="str">
        <f>_xlfn.IFNA(VLOOKUP(AY1171,표1[[검색용]:[OptionGroupIndex'[']22]],EquipItemTable!AZ1171,FALSE),"옵션고정안함")</f>
        <v>6311</v>
      </c>
    </row>
    <row r="1172" spans="1:53" s="1" customFormat="1" ht="12" x14ac:dyDescent="0.2">
      <c r="A1172" s="24" t="s">
        <v>911</v>
      </c>
      <c r="B1172" s="39">
        <v>62601</v>
      </c>
      <c r="C1172" s="42" t="e">
        <v>#N/A</v>
      </c>
      <c r="D1172" s="10" t="s">
        <v>84</v>
      </c>
      <c r="E1172" s="10" t="s">
        <v>1</v>
      </c>
      <c r="F1172" s="1" t="s">
        <v>471</v>
      </c>
      <c r="G1172" s="1" t="s">
        <v>1313</v>
      </c>
      <c r="J1172" s="27"/>
      <c r="K1172" s="27"/>
      <c r="L1172" s="27"/>
      <c r="M1172" s="27"/>
      <c r="N1172" s="8"/>
      <c r="O1172" s="12" t="s">
        <v>881</v>
      </c>
      <c r="P1172" s="1">
        <v>31</v>
      </c>
      <c r="AA1172" s="1">
        <v>220</v>
      </c>
      <c r="AB1172" s="11"/>
      <c r="AC1172" s="82"/>
      <c r="AD1172" s="12" t="s">
        <v>99</v>
      </c>
      <c r="AE1172" s="12" t="s">
        <v>881</v>
      </c>
      <c r="AF1172" s="12"/>
      <c r="AG1172" s="29"/>
      <c r="AH1172" s="29"/>
      <c r="AQ1172" s="85"/>
      <c r="AR1172" s="1">
        <v>1</v>
      </c>
      <c r="AS1172" s="1">
        <v>1</v>
      </c>
      <c r="AT1172" s="85"/>
      <c r="AU1172" s="12" t="s">
        <v>1938</v>
      </c>
      <c r="AW1172" s="90">
        <v>7</v>
      </c>
      <c r="AX1172" s="23"/>
      <c r="AY1172" s="23"/>
      <c r="AZ1172" s="23"/>
      <c r="BA1172" s="23"/>
    </row>
    <row r="1173" spans="1:53" s="1" customFormat="1" ht="12" x14ac:dyDescent="0.2">
      <c r="A1173" s="24" t="s">
        <v>912</v>
      </c>
      <c r="B1173" s="39">
        <v>62602</v>
      </c>
      <c r="C1173" s="42" t="e">
        <v>#N/A</v>
      </c>
      <c r="D1173" s="10" t="s">
        <v>84</v>
      </c>
      <c r="E1173" s="10" t="s">
        <v>1</v>
      </c>
      <c r="F1173" s="1" t="s">
        <v>471</v>
      </c>
      <c r="G1173" s="1" t="s">
        <v>1313</v>
      </c>
      <c r="J1173" s="27"/>
      <c r="K1173" s="27"/>
      <c r="L1173" s="27"/>
      <c r="M1173" s="27"/>
      <c r="N1173" s="8"/>
      <c r="O1173" s="12" t="s">
        <v>882</v>
      </c>
      <c r="P1173" s="1">
        <v>41</v>
      </c>
      <c r="AA1173" s="1">
        <v>426</v>
      </c>
      <c r="AB1173" s="11"/>
      <c r="AC1173" s="82"/>
      <c r="AD1173" s="12" t="s">
        <v>99</v>
      </c>
      <c r="AE1173" s="12" t="s">
        <v>551</v>
      </c>
      <c r="AF1173" s="12"/>
      <c r="AG1173" s="29"/>
      <c r="AH1173" s="29"/>
      <c r="AQ1173" s="85"/>
      <c r="AR1173" s="1">
        <v>1</v>
      </c>
      <c r="AS1173" s="1">
        <v>1</v>
      </c>
      <c r="AT1173" s="85"/>
      <c r="AU1173" s="12" t="s">
        <v>1938</v>
      </c>
      <c r="AW1173" s="90">
        <v>7</v>
      </c>
      <c r="AX1173" s="23"/>
      <c r="AY1173" s="23"/>
      <c r="AZ1173" s="23"/>
      <c r="BA1173" s="23"/>
    </row>
    <row r="1174" spans="1:53" s="1" customFormat="1" ht="12" x14ac:dyDescent="0.2">
      <c r="A1174" s="24" t="s">
        <v>913</v>
      </c>
      <c r="B1174" s="39">
        <v>62603</v>
      </c>
      <c r="C1174" s="42" t="e">
        <v>#N/A</v>
      </c>
      <c r="D1174" s="10" t="s">
        <v>84</v>
      </c>
      <c r="E1174" s="10" t="s">
        <v>1</v>
      </c>
      <c r="F1174" s="1" t="s">
        <v>471</v>
      </c>
      <c r="G1174" s="1" t="s">
        <v>1313</v>
      </c>
      <c r="J1174" s="27"/>
      <c r="K1174" s="27"/>
      <c r="L1174" s="27"/>
      <c r="M1174" s="27"/>
      <c r="N1174" s="8"/>
      <c r="O1174" s="12" t="s">
        <v>430</v>
      </c>
      <c r="P1174" s="1">
        <v>51</v>
      </c>
      <c r="AA1174" s="1">
        <v>793</v>
      </c>
      <c r="AB1174" s="11"/>
      <c r="AC1174" s="82"/>
      <c r="AD1174" s="12" t="s">
        <v>99</v>
      </c>
      <c r="AE1174" s="12" t="s">
        <v>430</v>
      </c>
      <c r="AF1174" s="12"/>
      <c r="AG1174" s="29"/>
      <c r="AH1174" s="29"/>
      <c r="AQ1174" s="85"/>
      <c r="AR1174" s="1">
        <v>1</v>
      </c>
      <c r="AS1174" s="1">
        <v>1</v>
      </c>
      <c r="AT1174" s="85"/>
      <c r="AU1174" s="12" t="s">
        <v>1938</v>
      </c>
      <c r="AW1174" s="90">
        <v>7</v>
      </c>
      <c r="AX1174" s="23"/>
      <c r="AY1174" s="23"/>
      <c r="AZ1174" s="23"/>
      <c r="BA1174" s="23"/>
    </row>
    <row r="1175" spans="1:53" s="1" customFormat="1" ht="12" x14ac:dyDescent="0.2">
      <c r="A1175" s="24" t="s">
        <v>914</v>
      </c>
      <c r="B1175" s="39">
        <v>62604</v>
      </c>
      <c r="C1175" s="42" t="e">
        <v>#N/A</v>
      </c>
      <c r="D1175" s="10" t="s">
        <v>84</v>
      </c>
      <c r="E1175" s="10" t="s">
        <v>1</v>
      </c>
      <c r="F1175" s="1" t="s">
        <v>471</v>
      </c>
      <c r="G1175" s="1" t="s">
        <v>1313</v>
      </c>
      <c r="J1175" s="27"/>
      <c r="K1175" s="27"/>
      <c r="L1175" s="27"/>
      <c r="M1175" s="27"/>
      <c r="N1175" s="8"/>
      <c r="O1175" s="12" t="s">
        <v>747</v>
      </c>
      <c r="P1175" s="1">
        <v>61</v>
      </c>
      <c r="AA1175" s="1">
        <v>1096</v>
      </c>
      <c r="AB1175" s="11"/>
      <c r="AC1175" s="82"/>
      <c r="AD1175" s="12" t="s">
        <v>99</v>
      </c>
      <c r="AE1175" s="12" t="s">
        <v>430</v>
      </c>
      <c r="AF1175" s="12"/>
      <c r="AG1175" s="29"/>
      <c r="AH1175" s="29"/>
      <c r="AQ1175" s="85"/>
      <c r="AR1175" s="1">
        <v>1</v>
      </c>
      <c r="AS1175" s="1">
        <v>1</v>
      </c>
      <c r="AT1175" s="85"/>
      <c r="AU1175" s="12" t="s">
        <v>1938</v>
      </c>
      <c r="AW1175" s="90">
        <v>7</v>
      </c>
      <c r="AX1175" s="23"/>
      <c r="AY1175" s="23"/>
      <c r="AZ1175" s="23"/>
      <c r="BA1175" s="23"/>
    </row>
    <row r="1176" spans="1:53" s="1" customFormat="1" ht="12" x14ac:dyDescent="0.2">
      <c r="A1176" s="31" t="s">
        <v>1183</v>
      </c>
      <c r="B1176" s="39">
        <v>362001</v>
      </c>
      <c r="C1176" s="42" t="s">
        <v>3738</v>
      </c>
      <c r="D1176" s="10" t="s">
        <v>84</v>
      </c>
      <c r="E1176" s="10" t="s">
        <v>1</v>
      </c>
      <c r="F1176" s="1" t="s">
        <v>471</v>
      </c>
      <c r="G1176" s="1" t="s">
        <v>1313</v>
      </c>
      <c r="J1176" s="27"/>
      <c r="K1176" s="27"/>
      <c r="L1176" s="27"/>
      <c r="M1176" s="27"/>
      <c r="N1176" s="8"/>
      <c r="O1176" s="12" t="s">
        <v>755</v>
      </c>
      <c r="P1176" s="1">
        <v>61</v>
      </c>
      <c r="AA1176" s="1">
        <v>958</v>
      </c>
      <c r="AB1176" s="11"/>
      <c r="AC1176" s="82"/>
      <c r="AD1176" s="12" t="s">
        <v>864</v>
      </c>
      <c r="AE1176" s="39" t="str">
        <f>BA1176</f>
        <v>6311</v>
      </c>
      <c r="AF1176" s="12"/>
      <c r="AG1176" s="29"/>
      <c r="AH1176" s="29"/>
      <c r="AI1176" s="12"/>
      <c r="AJ1176" s="12"/>
      <c r="AK1176" s="12"/>
      <c r="AL1176" s="12"/>
      <c r="AM1176" s="12"/>
      <c r="AN1176" s="12" t="s">
        <v>1199</v>
      </c>
      <c r="AO1176" s="12"/>
      <c r="AP1176" s="12"/>
      <c r="AQ1176" s="8"/>
      <c r="AR1176" s="34" t="s">
        <v>543</v>
      </c>
      <c r="AS1176" s="34" t="s">
        <v>543</v>
      </c>
      <c r="AT1176" s="85"/>
      <c r="AU1176" s="12" t="s">
        <v>1937</v>
      </c>
      <c r="AW1176" s="90">
        <v>5</v>
      </c>
      <c r="AX1176" s="23">
        <f>VLOOKUP(AW1176,색인!$N$14:$O$19,2,FALSE)</f>
        <v>3</v>
      </c>
      <c r="AY1176" s="90" t="str">
        <f>"T"&amp;O1176&amp;"_"&amp;AX1176&amp;"옵션_"&amp;VLOOKUP(E1176,색인!$J$25:$K$29,2,FALSE)</f>
        <v>T6_3옵션_방어구</v>
      </c>
      <c r="AZ1176" s="90">
        <f>VLOOKUP(G1176,색인!$J$32:$K$45,2,FALSE)</f>
        <v>2</v>
      </c>
      <c r="BA1176" s="90" t="str">
        <f>_xlfn.IFNA(VLOOKUP(AY1176,표1[[검색용]:[OptionGroupIndex'[']22]],EquipItemTable!AZ1176,FALSE),"옵션고정안함")</f>
        <v>6311</v>
      </c>
    </row>
    <row r="1177" spans="1:53" s="1" customFormat="1" ht="12" x14ac:dyDescent="0.2">
      <c r="A1177" s="31" t="s">
        <v>1184</v>
      </c>
      <c r="B1177" s="39">
        <v>362002</v>
      </c>
      <c r="C1177" s="42" t="s">
        <v>3739</v>
      </c>
      <c r="D1177" s="10" t="s">
        <v>84</v>
      </c>
      <c r="E1177" s="10" t="s">
        <v>1</v>
      </c>
      <c r="F1177" s="1" t="s">
        <v>471</v>
      </c>
      <c r="G1177" s="1" t="s">
        <v>1313</v>
      </c>
      <c r="J1177" s="27"/>
      <c r="K1177" s="27"/>
      <c r="L1177" s="27"/>
      <c r="M1177" s="27"/>
      <c r="N1177" s="8"/>
      <c r="O1177" s="12" t="s">
        <v>755</v>
      </c>
      <c r="P1177" s="1">
        <v>61</v>
      </c>
      <c r="AA1177" s="1">
        <v>954</v>
      </c>
      <c r="AB1177" s="11"/>
      <c r="AC1177" s="82"/>
      <c r="AD1177" s="12" t="s">
        <v>98</v>
      </c>
      <c r="AE1177" s="39" t="s">
        <v>430</v>
      </c>
      <c r="AF1177" s="12"/>
      <c r="AG1177" s="29"/>
      <c r="AH1177" s="29"/>
      <c r="AI1177" s="12"/>
      <c r="AJ1177" s="12"/>
      <c r="AK1177" s="12"/>
      <c r="AL1177" s="12"/>
      <c r="AM1177" s="12"/>
      <c r="AN1177" s="12" t="s">
        <v>1296</v>
      </c>
      <c r="AO1177" s="12"/>
      <c r="AP1177" s="12"/>
      <c r="AQ1177" s="8"/>
      <c r="AR1177" s="34" t="s">
        <v>94</v>
      </c>
      <c r="AS1177" s="34" t="s">
        <v>94</v>
      </c>
      <c r="AT1177" s="85"/>
      <c r="AU1177" s="12" t="s">
        <v>1936</v>
      </c>
      <c r="AW1177" s="90">
        <v>6</v>
      </c>
      <c r="AX1177" s="23">
        <f>VLOOKUP(AW1177,색인!$N$14:$O$19,2,FALSE)</f>
        <v>4</v>
      </c>
      <c r="AY1177" s="23" t="str">
        <f>"T"&amp;O1177&amp;"_"&amp;AX1177&amp;"옵션_"&amp;VLOOKUP(E1177,색인!$J$25:$K$29,2,FALSE)</f>
        <v>T6_4옵션_방어구</v>
      </c>
      <c r="AZ1177" s="23">
        <f>VLOOKUP(G1177,색인!$J$32:$K$45,2,FALSE)</f>
        <v>2</v>
      </c>
      <c r="BA1177" s="23" t="str">
        <f>_xlfn.IFNA(VLOOKUP(AY1177,표1[[검색용]:[OptionGroupIndex'[']22]],EquipItemTable!AZ1177,FALSE),"옵션고정안함")</f>
        <v>6411</v>
      </c>
    </row>
    <row r="1178" spans="1:53" s="27" customFormat="1" ht="12" x14ac:dyDescent="0.2">
      <c r="A1178" s="25" t="s">
        <v>1473</v>
      </c>
      <c r="B1178" s="39">
        <v>62412</v>
      </c>
      <c r="C1178" s="42" t="s">
        <v>3740</v>
      </c>
      <c r="D1178" s="26" t="s">
        <v>84</v>
      </c>
      <c r="E1178" s="26" t="s">
        <v>1</v>
      </c>
      <c r="F1178" s="27" t="s">
        <v>471</v>
      </c>
      <c r="G1178" s="27" t="s">
        <v>1491</v>
      </c>
      <c r="N1178" s="8"/>
      <c r="O1178" s="29" t="s">
        <v>1338</v>
      </c>
      <c r="P1178" s="27">
        <v>71</v>
      </c>
      <c r="AA1178" s="27">
        <v>932</v>
      </c>
      <c r="AB1178" s="28"/>
      <c r="AC1178" s="82"/>
      <c r="AD1178" s="29" t="s">
        <v>1377</v>
      </c>
      <c r="AE1178" s="29" t="s">
        <v>1337</v>
      </c>
      <c r="AF1178" s="29"/>
      <c r="AG1178" s="29"/>
      <c r="AH1178" s="29"/>
      <c r="AQ1178" s="85"/>
      <c r="AR1178" s="27">
        <v>1</v>
      </c>
      <c r="AS1178" s="27">
        <v>1</v>
      </c>
      <c r="AT1178" s="85"/>
      <c r="AU1178" s="29">
        <v>1001</v>
      </c>
      <c r="AW1178" s="91">
        <v>1</v>
      </c>
      <c r="AX1178" s="93"/>
      <c r="AY1178" s="93"/>
      <c r="AZ1178" s="93"/>
      <c r="BA1178" s="93"/>
    </row>
    <row r="1179" spans="1:53" s="27" customFormat="1" ht="12" x14ac:dyDescent="0.2">
      <c r="A1179" s="25" t="s">
        <v>1474</v>
      </c>
      <c r="B1179" s="39">
        <v>62413</v>
      </c>
      <c r="C1179" s="42" t="s">
        <v>3741</v>
      </c>
      <c r="D1179" s="26" t="s">
        <v>84</v>
      </c>
      <c r="E1179" s="26" t="s">
        <v>1</v>
      </c>
      <c r="F1179" s="27" t="s">
        <v>471</v>
      </c>
      <c r="G1179" s="27" t="s">
        <v>1491</v>
      </c>
      <c r="N1179" s="8"/>
      <c r="O1179" s="29" t="s">
        <v>1338</v>
      </c>
      <c r="P1179" s="27">
        <v>71</v>
      </c>
      <c r="AA1179" s="27">
        <v>1086</v>
      </c>
      <c r="AB1179" s="28"/>
      <c r="AC1179" s="82"/>
      <c r="AD1179" s="29" t="s">
        <v>1377</v>
      </c>
      <c r="AE1179" s="92" t="str">
        <f t="shared" ref="AE1179:AE1188" si="150">BA1179</f>
        <v>7111</v>
      </c>
      <c r="AF1179" s="29"/>
      <c r="AG1179" s="29"/>
      <c r="AH1179" s="29"/>
      <c r="AQ1179" s="85"/>
      <c r="AR1179" s="27">
        <v>1</v>
      </c>
      <c r="AS1179" s="27">
        <v>1</v>
      </c>
      <c r="AT1179" s="85"/>
      <c r="AU1179" s="29" t="s">
        <v>1939</v>
      </c>
      <c r="AW1179" s="91">
        <v>2</v>
      </c>
      <c r="AX1179" s="93">
        <f>VLOOKUP(AW1179,색인!$N$14:$O$19,2,FALSE)</f>
        <v>1</v>
      </c>
      <c r="AY1179" s="91" t="str">
        <f>"T"&amp;O1179&amp;"_"&amp;AX1179&amp;"옵션_"&amp;VLOOKUP(E1179,색인!$J$25:$K$29,2,FALSE)</f>
        <v>T7_1옵션_방어구</v>
      </c>
      <c r="AZ1179" s="91">
        <f>VLOOKUP(G1179,색인!$J$32:$K$45,2,FALSE)</f>
        <v>2</v>
      </c>
      <c r="BA1179" s="91" t="str">
        <f>_xlfn.IFNA(VLOOKUP(AY1179,표1[[검색용]:[OptionGroupIndex'[']22]],EquipItemTable!AZ1179,FALSE),"옵션고정안함")</f>
        <v>7111</v>
      </c>
    </row>
    <row r="1180" spans="1:53" s="27" customFormat="1" ht="12" x14ac:dyDescent="0.2">
      <c r="A1180" s="25" t="s">
        <v>1475</v>
      </c>
      <c r="B1180" s="39">
        <v>62414</v>
      </c>
      <c r="C1180" s="42" t="s">
        <v>3742</v>
      </c>
      <c r="D1180" s="26" t="s">
        <v>84</v>
      </c>
      <c r="E1180" s="26" t="s">
        <v>1</v>
      </c>
      <c r="F1180" s="27" t="s">
        <v>471</v>
      </c>
      <c r="G1180" s="27" t="s">
        <v>1491</v>
      </c>
      <c r="N1180" s="8"/>
      <c r="O1180" s="29" t="s">
        <v>1338</v>
      </c>
      <c r="P1180" s="27">
        <v>71</v>
      </c>
      <c r="AA1180" s="27">
        <v>1145</v>
      </c>
      <c r="AB1180" s="28"/>
      <c r="AC1180" s="82"/>
      <c r="AD1180" s="29" t="s">
        <v>1377</v>
      </c>
      <c r="AE1180" s="92" t="str">
        <f t="shared" si="150"/>
        <v>7211</v>
      </c>
      <c r="AF1180" s="29"/>
      <c r="AG1180" s="29"/>
      <c r="AH1180" s="29"/>
      <c r="AQ1180" s="85"/>
      <c r="AR1180" s="27">
        <v>1</v>
      </c>
      <c r="AS1180" s="27">
        <v>1</v>
      </c>
      <c r="AT1180" s="85"/>
      <c r="AU1180" s="29" t="s">
        <v>1940</v>
      </c>
      <c r="AW1180" s="91">
        <v>3</v>
      </c>
      <c r="AX1180" s="93">
        <f>VLOOKUP(AW1180,색인!$N$14:$O$19,2,FALSE)</f>
        <v>2</v>
      </c>
      <c r="AY1180" s="91" t="str">
        <f>"T"&amp;O1180&amp;"_"&amp;AX1180&amp;"옵션_"&amp;VLOOKUP(E1180,색인!$J$25:$K$29,2,FALSE)</f>
        <v>T7_2옵션_방어구</v>
      </c>
      <c r="AZ1180" s="91">
        <f>VLOOKUP(G1180,색인!$J$32:$K$45,2,FALSE)</f>
        <v>2</v>
      </c>
      <c r="BA1180" s="91" t="str">
        <f>_xlfn.IFNA(VLOOKUP(AY1180,표1[[검색용]:[OptionGroupIndex'[']22]],EquipItemTable!AZ1180,FALSE),"옵션고정안함")</f>
        <v>7211</v>
      </c>
    </row>
    <row r="1181" spans="1:53" s="27" customFormat="1" ht="12" x14ac:dyDescent="0.2">
      <c r="A1181" s="25" t="s">
        <v>1476</v>
      </c>
      <c r="B1181" s="39">
        <v>62415</v>
      </c>
      <c r="C1181" s="42" t="s">
        <v>3743</v>
      </c>
      <c r="D1181" s="26" t="s">
        <v>84</v>
      </c>
      <c r="E1181" s="26" t="s">
        <v>1</v>
      </c>
      <c r="F1181" s="27" t="s">
        <v>471</v>
      </c>
      <c r="G1181" s="27" t="s">
        <v>1491</v>
      </c>
      <c r="N1181" s="8"/>
      <c r="O1181" s="29" t="s">
        <v>1338</v>
      </c>
      <c r="P1181" s="27">
        <v>71</v>
      </c>
      <c r="AA1181" s="27">
        <v>1251</v>
      </c>
      <c r="AB1181" s="28"/>
      <c r="AC1181" s="82"/>
      <c r="AD1181" s="29" t="s">
        <v>1377</v>
      </c>
      <c r="AE1181" s="92" t="str">
        <f t="shared" si="150"/>
        <v>7311</v>
      </c>
      <c r="AF1181" s="29"/>
      <c r="AG1181" s="29"/>
      <c r="AH1181" s="29"/>
      <c r="AQ1181" s="85"/>
      <c r="AR1181" s="27">
        <v>1</v>
      </c>
      <c r="AS1181" s="27">
        <v>1</v>
      </c>
      <c r="AT1181" s="85"/>
      <c r="AU1181" s="29" t="s">
        <v>1941</v>
      </c>
      <c r="AW1181" s="91">
        <v>4</v>
      </c>
      <c r="AX1181" s="93">
        <f>VLOOKUP(AW1181,색인!$N$14:$O$19,2,FALSE)</f>
        <v>3</v>
      </c>
      <c r="AY1181" s="91" t="str">
        <f>"T"&amp;O1181&amp;"_"&amp;AX1181&amp;"옵션_"&amp;VLOOKUP(E1181,색인!$J$25:$K$29,2,FALSE)</f>
        <v>T7_3옵션_방어구</v>
      </c>
      <c r="AZ1181" s="91">
        <f>VLOOKUP(G1181,색인!$J$32:$K$45,2,FALSE)</f>
        <v>2</v>
      </c>
      <c r="BA1181" s="91" t="str">
        <f>_xlfn.IFNA(VLOOKUP(AY1181,표1[[검색용]:[OptionGroupIndex'[']22]],EquipItemTable!AZ1181,FALSE),"옵션고정안함")</f>
        <v>7311</v>
      </c>
    </row>
    <row r="1182" spans="1:53" s="27" customFormat="1" ht="12" x14ac:dyDescent="0.2">
      <c r="A1182" s="25" t="s">
        <v>1477</v>
      </c>
      <c r="B1182" s="39">
        <v>62416</v>
      </c>
      <c r="C1182" s="42" t="s">
        <v>3732</v>
      </c>
      <c r="D1182" s="26" t="s">
        <v>84</v>
      </c>
      <c r="E1182" s="26" t="s">
        <v>1</v>
      </c>
      <c r="F1182" s="27" t="s">
        <v>471</v>
      </c>
      <c r="G1182" s="27" t="s">
        <v>1491</v>
      </c>
      <c r="N1182" s="8"/>
      <c r="O1182" s="29" t="s">
        <v>1338</v>
      </c>
      <c r="P1182" s="27">
        <v>71</v>
      </c>
      <c r="AA1182" s="27">
        <v>1376</v>
      </c>
      <c r="AB1182" s="28"/>
      <c r="AC1182" s="82"/>
      <c r="AD1182" s="29" t="s">
        <v>1377</v>
      </c>
      <c r="AE1182" s="92" t="str">
        <f t="shared" si="150"/>
        <v>7311</v>
      </c>
      <c r="AF1182" s="29"/>
      <c r="AG1182" s="29"/>
      <c r="AH1182" s="29"/>
      <c r="AN1182" s="27">
        <v>103</v>
      </c>
      <c r="AQ1182" s="85"/>
      <c r="AR1182" s="27">
        <v>1</v>
      </c>
      <c r="AS1182" s="27">
        <v>1</v>
      </c>
      <c r="AT1182" s="85"/>
      <c r="AU1182" s="29" t="s">
        <v>1942</v>
      </c>
      <c r="AW1182" s="91">
        <v>5</v>
      </c>
      <c r="AX1182" s="93">
        <f>VLOOKUP(AW1182,색인!$N$14:$O$19,2,FALSE)</f>
        <v>3</v>
      </c>
      <c r="AY1182" s="91" t="str">
        <f>"T"&amp;O1182&amp;"_"&amp;AX1182&amp;"옵션_"&amp;VLOOKUP(E1182,색인!$J$25:$K$29,2,FALSE)</f>
        <v>T7_3옵션_방어구</v>
      </c>
      <c r="AZ1182" s="91">
        <f>VLOOKUP(G1182,색인!$J$32:$K$45,2,FALSE)</f>
        <v>2</v>
      </c>
      <c r="BA1182" s="91" t="str">
        <f>_xlfn.IFNA(VLOOKUP(AY1182,표1[[검색용]:[OptionGroupIndex'[']22]],EquipItemTable!AZ1182,FALSE),"옵션고정안함")</f>
        <v>7311</v>
      </c>
    </row>
    <row r="1183" spans="1:53" s="27" customFormat="1" ht="12" x14ac:dyDescent="0.2">
      <c r="A1183" s="25" t="s">
        <v>1478</v>
      </c>
      <c r="B1183" s="39">
        <v>62417</v>
      </c>
      <c r="C1183" s="42" t="s">
        <v>3734</v>
      </c>
      <c r="D1183" s="26" t="s">
        <v>84</v>
      </c>
      <c r="E1183" s="26" t="s">
        <v>1</v>
      </c>
      <c r="F1183" s="27" t="s">
        <v>471</v>
      </c>
      <c r="G1183" s="27" t="s">
        <v>1491</v>
      </c>
      <c r="N1183" s="8"/>
      <c r="O1183" s="29" t="s">
        <v>1338</v>
      </c>
      <c r="P1183" s="27">
        <v>71</v>
      </c>
      <c r="AA1183" s="27">
        <v>1376</v>
      </c>
      <c r="AB1183" s="28"/>
      <c r="AC1183" s="82"/>
      <c r="AD1183" s="29" t="s">
        <v>1377</v>
      </c>
      <c r="AE1183" s="92" t="str">
        <f t="shared" si="150"/>
        <v>7311</v>
      </c>
      <c r="AF1183" s="29"/>
      <c r="AG1183" s="29"/>
      <c r="AH1183" s="29"/>
      <c r="AN1183" s="27">
        <v>202</v>
      </c>
      <c r="AQ1183" s="85"/>
      <c r="AR1183" s="27">
        <v>1</v>
      </c>
      <c r="AS1183" s="27">
        <v>1</v>
      </c>
      <c r="AT1183" s="85"/>
      <c r="AU1183" s="29" t="s">
        <v>1942</v>
      </c>
      <c r="AW1183" s="91">
        <v>5</v>
      </c>
      <c r="AX1183" s="93">
        <f>VLOOKUP(AW1183,색인!$N$14:$O$19,2,FALSE)</f>
        <v>3</v>
      </c>
      <c r="AY1183" s="91" t="str">
        <f>"T"&amp;O1183&amp;"_"&amp;AX1183&amp;"옵션_"&amp;VLOOKUP(E1183,색인!$J$25:$K$29,2,FALSE)</f>
        <v>T7_3옵션_방어구</v>
      </c>
      <c r="AZ1183" s="91">
        <f>VLOOKUP(G1183,색인!$J$32:$K$45,2,FALSE)</f>
        <v>2</v>
      </c>
      <c r="BA1183" s="91" t="str">
        <f>_xlfn.IFNA(VLOOKUP(AY1183,표1[[검색용]:[OptionGroupIndex'[']22]],EquipItemTable!AZ1183,FALSE),"옵션고정안함")</f>
        <v>7311</v>
      </c>
    </row>
    <row r="1184" spans="1:53" s="27" customFormat="1" ht="12" x14ac:dyDescent="0.2">
      <c r="A1184" s="25" t="s">
        <v>1479</v>
      </c>
      <c r="B1184" s="39">
        <v>62418</v>
      </c>
      <c r="C1184" s="42" t="s">
        <v>3735</v>
      </c>
      <c r="D1184" s="26" t="s">
        <v>84</v>
      </c>
      <c r="E1184" s="26" t="s">
        <v>1</v>
      </c>
      <c r="F1184" s="27" t="s">
        <v>471</v>
      </c>
      <c r="G1184" s="27" t="s">
        <v>1491</v>
      </c>
      <c r="N1184" s="8"/>
      <c r="O1184" s="29" t="s">
        <v>1338</v>
      </c>
      <c r="P1184" s="27">
        <v>71</v>
      </c>
      <c r="AA1184" s="27">
        <v>1376</v>
      </c>
      <c r="AB1184" s="28"/>
      <c r="AC1184" s="82"/>
      <c r="AD1184" s="29" t="s">
        <v>1377</v>
      </c>
      <c r="AE1184" s="92" t="str">
        <f t="shared" si="150"/>
        <v>7311</v>
      </c>
      <c r="AF1184" s="29"/>
      <c r="AG1184" s="29"/>
      <c r="AH1184" s="29"/>
      <c r="AN1184" s="27">
        <v>203</v>
      </c>
      <c r="AQ1184" s="85"/>
      <c r="AR1184" s="27">
        <v>1</v>
      </c>
      <c r="AS1184" s="27">
        <v>1</v>
      </c>
      <c r="AT1184" s="85"/>
      <c r="AU1184" s="29" t="s">
        <v>1942</v>
      </c>
      <c r="AW1184" s="91">
        <v>5</v>
      </c>
      <c r="AX1184" s="93">
        <f>VLOOKUP(AW1184,색인!$N$14:$O$19,2,FALSE)</f>
        <v>3</v>
      </c>
      <c r="AY1184" s="91" t="str">
        <f>"T"&amp;O1184&amp;"_"&amp;AX1184&amp;"옵션_"&amp;VLOOKUP(E1184,색인!$J$25:$K$29,2,FALSE)</f>
        <v>T7_3옵션_방어구</v>
      </c>
      <c r="AZ1184" s="91">
        <f>VLOOKUP(G1184,색인!$J$32:$K$45,2,FALSE)</f>
        <v>2</v>
      </c>
      <c r="BA1184" s="91" t="str">
        <f>_xlfn.IFNA(VLOOKUP(AY1184,표1[[검색용]:[OptionGroupIndex'[']22]],EquipItemTable!AZ1184,FALSE),"옵션고정안함")</f>
        <v>7311</v>
      </c>
    </row>
    <row r="1185" spans="1:53" s="27" customFormat="1" ht="12" x14ac:dyDescent="0.2">
      <c r="A1185" s="25" t="s">
        <v>1480</v>
      </c>
      <c r="B1185" s="39">
        <v>62419</v>
      </c>
      <c r="C1185" s="42" t="s">
        <v>3736</v>
      </c>
      <c r="D1185" s="26" t="s">
        <v>84</v>
      </c>
      <c r="E1185" s="26" t="s">
        <v>1</v>
      </c>
      <c r="F1185" s="27" t="s">
        <v>471</v>
      </c>
      <c r="G1185" s="27" t="s">
        <v>1491</v>
      </c>
      <c r="N1185" s="8"/>
      <c r="O1185" s="29" t="s">
        <v>1338</v>
      </c>
      <c r="P1185" s="27">
        <v>71</v>
      </c>
      <c r="AA1185" s="27">
        <v>1376</v>
      </c>
      <c r="AB1185" s="28"/>
      <c r="AC1185" s="82"/>
      <c r="AD1185" s="29" t="s">
        <v>1377</v>
      </c>
      <c r="AE1185" s="92" t="str">
        <f t="shared" si="150"/>
        <v>7311</v>
      </c>
      <c r="AF1185" s="29"/>
      <c r="AG1185" s="29"/>
      <c r="AH1185" s="29"/>
      <c r="AN1185" s="27">
        <v>204</v>
      </c>
      <c r="AQ1185" s="85"/>
      <c r="AR1185" s="27">
        <v>1</v>
      </c>
      <c r="AS1185" s="27">
        <v>1</v>
      </c>
      <c r="AT1185" s="85"/>
      <c r="AU1185" s="29" t="s">
        <v>1942</v>
      </c>
      <c r="AW1185" s="91">
        <v>5</v>
      </c>
      <c r="AX1185" s="93">
        <f>VLOOKUP(AW1185,색인!$N$14:$O$19,2,FALSE)</f>
        <v>3</v>
      </c>
      <c r="AY1185" s="91" t="str">
        <f>"T"&amp;O1185&amp;"_"&amp;AX1185&amp;"옵션_"&amp;VLOOKUP(E1185,색인!$J$25:$K$29,2,FALSE)</f>
        <v>T7_3옵션_방어구</v>
      </c>
      <c r="AZ1185" s="91">
        <f>VLOOKUP(G1185,색인!$J$32:$K$45,2,FALSE)</f>
        <v>2</v>
      </c>
      <c r="BA1185" s="91" t="str">
        <f>_xlfn.IFNA(VLOOKUP(AY1185,표1[[검색용]:[OptionGroupIndex'[']22]],EquipItemTable!AZ1185,FALSE),"옵션고정안함")</f>
        <v>7311</v>
      </c>
    </row>
    <row r="1186" spans="1:53" s="27" customFormat="1" ht="12" x14ac:dyDescent="0.2">
      <c r="A1186" s="25" t="s">
        <v>1481</v>
      </c>
      <c r="B1186" s="39">
        <v>62420</v>
      </c>
      <c r="C1186" s="42" t="s">
        <v>3737</v>
      </c>
      <c r="D1186" s="26" t="s">
        <v>84</v>
      </c>
      <c r="E1186" s="26" t="s">
        <v>1</v>
      </c>
      <c r="F1186" s="27" t="s">
        <v>471</v>
      </c>
      <c r="G1186" s="27" t="s">
        <v>1491</v>
      </c>
      <c r="J1186" s="1"/>
      <c r="K1186" s="1"/>
      <c r="L1186" s="1"/>
      <c r="M1186" s="1"/>
      <c r="N1186" s="8"/>
      <c r="O1186" s="29" t="s">
        <v>1338</v>
      </c>
      <c r="P1186" s="27">
        <v>71</v>
      </c>
      <c r="AA1186" s="27">
        <v>1376</v>
      </c>
      <c r="AB1186" s="28"/>
      <c r="AC1186" s="82"/>
      <c r="AD1186" s="29" t="s">
        <v>1377</v>
      </c>
      <c r="AE1186" s="92" t="str">
        <f t="shared" si="150"/>
        <v>7311</v>
      </c>
      <c r="AF1186" s="29"/>
      <c r="AG1186" s="12"/>
      <c r="AH1186" s="12"/>
      <c r="AN1186" s="27">
        <v>205</v>
      </c>
      <c r="AQ1186" s="85"/>
      <c r="AR1186" s="27">
        <v>1</v>
      </c>
      <c r="AS1186" s="27">
        <v>1</v>
      </c>
      <c r="AT1186" s="85"/>
      <c r="AU1186" s="29" t="s">
        <v>1942</v>
      </c>
      <c r="AW1186" s="91">
        <v>5</v>
      </c>
      <c r="AX1186" s="93">
        <f>VLOOKUP(AW1186,색인!$N$14:$O$19,2,FALSE)</f>
        <v>3</v>
      </c>
      <c r="AY1186" s="91" t="str">
        <f>"T"&amp;O1186&amp;"_"&amp;AX1186&amp;"옵션_"&amp;VLOOKUP(E1186,색인!$J$25:$K$29,2,FALSE)</f>
        <v>T7_3옵션_방어구</v>
      </c>
      <c r="AZ1186" s="91">
        <f>VLOOKUP(G1186,색인!$J$32:$K$45,2,FALSE)</f>
        <v>2</v>
      </c>
      <c r="BA1186" s="91" t="str">
        <f>_xlfn.IFNA(VLOOKUP(AY1186,표1[[검색용]:[OptionGroupIndex'[']22]],EquipItemTable!AZ1186,FALSE),"옵션고정안함")</f>
        <v>7311</v>
      </c>
    </row>
    <row r="1187" spans="1:53" s="27" customFormat="1" ht="12" x14ac:dyDescent="0.2">
      <c r="A1187" s="25" t="s">
        <v>1482</v>
      </c>
      <c r="B1187" s="39">
        <v>62421</v>
      </c>
      <c r="C1187" s="42" t="s">
        <v>3744</v>
      </c>
      <c r="D1187" s="26" t="s">
        <v>84</v>
      </c>
      <c r="E1187" s="26" t="s">
        <v>1</v>
      </c>
      <c r="F1187" s="27" t="s">
        <v>471</v>
      </c>
      <c r="G1187" s="27" t="s">
        <v>1491</v>
      </c>
      <c r="J1187" s="1"/>
      <c r="K1187" s="1"/>
      <c r="L1187" s="1"/>
      <c r="M1187" s="1"/>
      <c r="N1187" s="8"/>
      <c r="O1187" s="29" t="s">
        <v>1338</v>
      </c>
      <c r="P1187" s="27">
        <v>71</v>
      </c>
      <c r="AA1187" s="27">
        <v>1376</v>
      </c>
      <c r="AB1187" s="28"/>
      <c r="AC1187" s="82"/>
      <c r="AD1187" s="29" t="s">
        <v>1377</v>
      </c>
      <c r="AE1187" s="92" t="str">
        <f t="shared" si="150"/>
        <v>7311</v>
      </c>
      <c r="AF1187" s="29"/>
      <c r="AG1187" s="12"/>
      <c r="AH1187" s="12"/>
      <c r="AN1187" s="27">
        <v>206</v>
      </c>
      <c r="AQ1187" s="85"/>
      <c r="AR1187" s="27">
        <v>1</v>
      </c>
      <c r="AS1187" s="27">
        <v>1</v>
      </c>
      <c r="AT1187" s="85"/>
      <c r="AU1187" s="29" t="s">
        <v>1942</v>
      </c>
      <c r="AW1187" s="91">
        <v>5</v>
      </c>
      <c r="AX1187" s="93">
        <f>VLOOKUP(AW1187,색인!$N$14:$O$19,2,FALSE)</f>
        <v>3</v>
      </c>
      <c r="AY1187" s="91" t="str">
        <f>"T"&amp;O1187&amp;"_"&amp;AX1187&amp;"옵션_"&amp;VLOOKUP(E1187,색인!$J$25:$K$29,2,FALSE)</f>
        <v>T7_3옵션_방어구</v>
      </c>
      <c r="AZ1187" s="91">
        <f>VLOOKUP(G1187,색인!$J$32:$K$45,2,FALSE)</f>
        <v>2</v>
      </c>
      <c r="BA1187" s="91" t="str">
        <f>_xlfn.IFNA(VLOOKUP(AY1187,표1[[검색용]:[OptionGroupIndex'[']22]],EquipItemTable!AZ1187,FALSE),"옵션고정안함")</f>
        <v>7311</v>
      </c>
    </row>
    <row r="1188" spans="1:53" s="27" customFormat="1" ht="12" x14ac:dyDescent="0.2">
      <c r="A1188" s="25" t="s">
        <v>1483</v>
      </c>
      <c r="B1188" s="39">
        <v>62422</v>
      </c>
      <c r="C1188" s="42" t="s">
        <v>3745</v>
      </c>
      <c r="D1188" s="26" t="s">
        <v>84</v>
      </c>
      <c r="E1188" s="26" t="s">
        <v>1</v>
      </c>
      <c r="F1188" s="27" t="s">
        <v>471</v>
      </c>
      <c r="G1188" s="27" t="s">
        <v>1491</v>
      </c>
      <c r="J1188" s="1"/>
      <c r="K1188" s="1"/>
      <c r="L1188" s="1"/>
      <c r="M1188" s="1"/>
      <c r="N1188" s="8"/>
      <c r="O1188" s="29" t="s">
        <v>1338</v>
      </c>
      <c r="P1188" s="27">
        <v>71</v>
      </c>
      <c r="AA1188" s="27">
        <v>1376</v>
      </c>
      <c r="AB1188" s="28"/>
      <c r="AC1188" s="82"/>
      <c r="AD1188" s="29" t="s">
        <v>1377</v>
      </c>
      <c r="AE1188" s="92" t="str">
        <f t="shared" si="150"/>
        <v>7311</v>
      </c>
      <c r="AF1188" s="29"/>
      <c r="AG1188" s="12"/>
      <c r="AH1188" s="12"/>
      <c r="AN1188" s="27">
        <v>207</v>
      </c>
      <c r="AQ1188" s="85"/>
      <c r="AR1188" s="27">
        <v>1</v>
      </c>
      <c r="AS1188" s="27">
        <v>1</v>
      </c>
      <c r="AT1188" s="85"/>
      <c r="AU1188" s="29" t="s">
        <v>1942</v>
      </c>
      <c r="AW1188" s="91">
        <v>5</v>
      </c>
      <c r="AX1188" s="93">
        <f>VLOOKUP(AW1188,색인!$N$14:$O$19,2,FALSE)</f>
        <v>3</v>
      </c>
      <c r="AY1188" s="91" t="str">
        <f>"T"&amp;O1188&amp;"_"&amp;AX1188&amp;"옵션_"&amp;VLOOKUP(E1188,색인!$J$25:$K$29,2,FALSE)</f>
        <v>T7_3옵션_방어구</v>
      </c>
      <c r="AZ1188" s="91">
        <f>VLOOKUP(G1188,색인!$J$32:$K$45,2,FALSE)</f>
        <v>2</v>
      </c>
      <c r="BA1188" s="91" t="str">
        <f>_xlfn.IFNA(VLOOKUP(AY1188,표1[[검색용]:[OptionGroupIndex'[']22]],EquipItemTable!AZ1188,FALSE),"옵션고정안함")</f>
        <v>7311</v>
      </c>
    </row>
    <row r="1189" spans="1:53" s="27" customFormat="1" ht="12" x14ac:dyDescent="0.2">
      <c r="A1189" s="25" t="s">
        <v>1484</v>
      </c>
      <c r="B1189" s="39">
        <v>62423</v>
      </c>
      <c r="C1189" s="42" t="s">
        <v>3716</v>
      </c>
      <c r="D1189" s="26" t="s">
        <v>84</v>
      </c>
      <c r="E1189" s="26" t="s">
        <v>1</v>
      </c>
      <c r="F1189" s="27" t="s">
        <v>471</v>
      </c>
      <c r="G1189" s="27" t="s">
        <v>1491</v>
      </c>
      <c r="J1189" s="1"/>
      <c r="K1189" s="1"/>
      <c r="L1189" s="1"/>
      <c r="M1189" s="1"/>
      <c r="N1189" s="8"/>
      <c r="O1189" s="29" t="s">
        <v>1338</v>
      </c>
      <c r="P1189" s="27">
        <v>71</v>
      </c>
      <c r="AA1189" s="27">
        <v>1421</v>
      </c>
      <c r="AB1189" s="28"/>
      <c r="AC1189" s="82"/>
      <c r="AD1189" s="29" t="s">
        <v>1377</v>
      </c>
      <c r="AE1189" s="92" t="str">
        <f>BA1189</f>
        <v>7411</v>
      </c>
      <c r="AF1189" s="29" t="s">
        <v>2185</v>
      </c>
      <c r="AG1189" s="12"/>
      <c r="AH1189" s="12"/>
      <c r="AN1189" s="27">
        <v>1</v>
      </c>
      <c r="AQ1189" s="85"/>
      <c r="AR1189" s="27">
        <v>1</v>
      </c>
      <c r="AS1189" s="27">
        <v>1</v>
      </c>
      <c r="AT1189" s="85"/>
      <c r="AU1189" s="12" t="s">
        <v>1936</v>
      </c>
      <c r="AW1189" s="91">
        <v>6</v>
      </c>
      <c r="AX1189" s="93">
        <f>VLOOKUP(AW1189,색인!$N$14:$O$19,2,FALSE)</f>
        <v>4</v>
      </c>
      <c r="AY1189" s="93" t="str">
        <f>"T"&amp;O1189&amp;"_"&amp;AX1189&amp;"옵션_"&amp;VLOOKUP(E1189,색인!$J$25:$K$29,2,FALSE)</f>
        <v>T7_4옵션_방어구</v>
      </c>
      <c r="AZ1189" s="93">
        <f>VLOOKUP(G1189,색인!$J$32:$K$45,2,FALSE)</f>
        <v>2</v>
      </c>
      <c r="BA1189" s="93" t="str">
        <f>_xlfn.IFNA(VLOOKUP(AY1189,표1[[검색용]:[OptionGroupIndex'[']22]],EquipItemTable!AZ1189,FALSE),"옵션고정안함")</f>
        <v>7411</v>
      </c>
    </row>
    <row r="1190" spans="1:53" s="27" customFormat="1" ht="12" x14ac:dyDescent="0.2">
      <c r="A1190" s="25" t="s">
        <v>1485</v>
      </c>
      <c r="B1190" s="39">
        <v>62424</v>
      </c>
      <c r="C1190" s="42" t="s">
        <v>3717</v>
      </c>
      <c r="D1190" s="26" t="s">
        <v>84</v>
      </c>
      <c r="E1190" s="26" t="s">
        <v>1</v>
      </c>
      <c r="F1190" s="27" t="s">
        <v>471</v>
      </c>
      <c r="G1190" s="27" t="s">
        <v>1491</v>
      </c>
      <c r="J1190" s="1"/>
      <c r="K1190" s="1"/>
      <c r="L1190" s="1"/>
      <c r="M1190" s="1"/>
      <c r="N1190" s="8"/>
      <c r="O1190" s="29" t="s">
        <v>1338</v>
      </c>
      <c r="P1190" s="27">
        <v>71</v>
      </c>
      <c r="AA1190" s="27">
        <v>1421</v>
      </c>
      <c r="AB1190" s="28"/>
      <c r="AC1190" s="82"/>
      <c r="AD1190" s="29" t="s">
        <v>1377</v>
      </c>
      <c r="AE1190" s="92" t="str">
        <f>BA1190</f>
        <v>7411</v>
      </c>
      <c r="AF1190" s="29" t="s">
        <v>2185</v>
      </c>
      <c r="AG1190" s="12"/>
      <c r="AH1190" s="12"/>
      <c r="AN1190" s="27">
        <v>2</v>
      </c>
      <c r="AQ1190" s="85"/>
      <c r="AR1190" s="27">
        <v>1</v>
      </c>
      <c r="AS1190" s="27">
        <v>1</v>
      </c>
      <c r="AT1190" s="85"/>
      <c r="AU1190" s="12" t="s">
        <v>1936</v>
      </c>
      <c r="AW1190" s="91">
        <v>6</v>
      </c>
      <c r="AX1190" s="93">
        <f>VLOOKUP(AW1190,색인!$N$14:$O$19,2,FALSE)</f>
        <v>4</v>
      </c>
      <c r="AY1190" s="93" t="str">
        <f>"T"&amp;O1190&amp;"_"&amp;AX1190&amp;"옵션_"&amp;VLOOKUP(E1190,색인!$J$25:$K$29,2,FALSE)</f>
        <v>T7_4옵션_방어구</v>
      </c>
      <c r="AZ1190" s="93">
        <f>VLOOKUP(G1190,색인!$J$32:$K$45,2,FALSE)</f>
        <v>2</v>
      </c>
      <c r="BA1190" s="93" t="str">
        <f>_xlfn.IFNA(VLOOKUP(AY1190,표1[[검색용]:[OptionGroupIndex'[']22]],EquipItemTable!AZ1190,FALSE),"옵션고정안함")</f>
        <v>7411</v>
      </c>
    </row>
    <row r="1191" spans="1:53" s="27" customFormat="1" ht="12" x14ac:dyDescent="0.2">
      <c r="A1191" s="25" t="s">
        <v>1486</v>
      </c>
      <c r="B1191" s="39">
        <v>62425</v>
      </c>
      <c r="C1191" s="42" t="s">
        <v>3718</v>
      </c>
      <c r="D1191" s="26" t="s">
        <v>84</v>
      </c>
      <c r="E1191" s="26" t="s">
        <v>1</v>
      </c>
      <c r="F1191" s="27" t="s">
        <v>471</v>
      </c>
      <c r="G1191" s="27" t="s">
        <v>1491</v>
      </c>
      <c r="J1191" s="1"/>
      <c r="K1191" s="1"/>
      <c r="L1191" s="1"/>
      <c r="M1191" s="1"/>
      <c r="N1191" s="8"/>
      <c r="O1191" s="29" t="s">
        <v>1338</v>
      </c>
      <c r="P1191" s="27">
        <v>71</v>
      </c>
      <c r="AA1191" s="27">
        <v>1421</v>
      </c>
      <c r="AB1191" s="28"/>
      <c r="AC1191" s="82"/>
      <c r="AD1191" s="29" t="s">
        <v>1377</v>
      </c>
      <c r="AE1191" s="92" t="str">
        <f>BA1191</f>
        <v>7411</v>
      </c>
      <c r="AF1191" s="29" t="s">
        <v>2185</v>
      </c>
      <c r="AG1191" s="12"/>
      <c r="AH1191" s="12"/>
      <c r="AN1191" s="27">
        <v>3</v>
      </c>
      <c r="AQ1191" s="85"/>
      <c r="AR1191" s="27">
        <v>1</v>
      </c>
      <c r="AS1191" s="27">
        <v>1</v>
      </c>
      <c r="AT1191" s="85"/>
      <c r="AU1191" s="12" t="s">
        <v>1936</v>
      </c>
      <c r="AW1191" s="91">
        <v>6</v>
      </c>
      <c r="AX1191" s="93">
        <f>VLOOKUP(AW1191,색인!$N$14:$O$19,2,FALSE)</f>
        <v>4</v>
      </c>
      <c r="AY1191" s="93" t="str">
        <f>"T"&amp;O1191&amp;"_"&amp;AX1191&amp;"옵션_"&amp;VLOOKUP(E1191,색인!$J$25:$K$29,2,FALSE)</f>
        <v>T7_4옵션_방어구</v>
      </c>
      <c r="AZ1191" s="93">
        <f>VLOOKUP(G1191,색인!$J$32:$K$45,2,FALSE)</f>
        <v>2</v>
      </c>
      <c r="BA1191" s="93" t="str">
        <f>_xlfn.IFNA(VLOOKUP(AY1191,표1[[검색용]:[OptionGroupIndex'[']22]],EquipItemTable!AZ1191,FALSE),"옵션고정안함")</f>
        <v>7411</v>
      </c>
    </row>
    <row r="1192" spans="1:53" s="27" customFormat="1" ht="12" x14ac:dyDescent="0.2">
      <c r="A1192" s="25" t="s">
        <v>1487</v>
      </c>
      <c r="B1192" s="39">
        <v>62426</v>
      </c>
      <c r="C1192" s="42" t="s">
        <v>3719</v>
      </c>
      <c r="D1192" s="26" t="s">
        <v>84</v>
      </c>
      <c r="E1192" s="26" t="s">
        <v>1</v>
      </c>
      <c r="F1192" s="27" t="s">
        <v>471</v>
      </c>
      <c r="G1192" s="27" t="s">
        <v>1491</v>
      </c>
      <c r="J1192" s="1"/>
      <c r="K1192" s="1"/>
      <c r="L1192" s="1"/>
      <c r="M1192" s="1"/>
      <c r="N1192" s="8"/>
      <c r="O1192" s="29" t="s">
        <v>1338</v>
      </c>
      <c r="P1192" s="27">
        <v>71</v>
      </c>
      <c r="AA1192" s="27">
        <v>1421</v>
      </c>
      <c r="AB1192" s="28"/>
      <c r="AC1192" s="82"/>
      <c r="AD1192" s="29" t="s">
        <v>1377</v>
      </c>
      <c r="AE1192" s="92" t="str">
        <f>BA1192</f>
        <v>7411</v>
      </c>
      <c r="AF1192" s="29" t="s">
        <v>2185</v>
      </c>
      <c r="AG1192" s="12"/>
      <c r="AH1192" s="12"/>
      <c r="AN1192" s="27">
        <v>4</v>
      </c>
      <c r="AQ1192" s="85"/>
      <c r="AR1192" s="27">
        <v>1</v>
      </c>
      <c r="AS1192" s="27">
        <v>1</v>
      </c>
      <c r="AT1192" s="85"/>
      <c r="AU1192" s="12" t="s">
        <v>1936</v>
      </c>
      <c r="AW1192" s="91">
        <v>6</v>
      </c>
      <c r="AX1192" s="93">
        <f>VLOOKUP(AW1192,색인!$N$14:$O$19,2,FALSE)</f>
        <v>4</v>
      </c>
      <c r="AY1192" s="93" t="str">
        <f>"T"&amp;O1192&amp;"_"&amp;AX1192&amp;"옵션_"&amp;VLOOKUP(E1192,색인!$J$25:$K$29,2,FALSE)</f>
        <v>T7_4옵션_방어구</v>
      </c>
      <c r="AZ1192" s="93">
        <f>VLOOKUP(G1192,색인!$J$32:$K$45,2,FALSE)</f>
        <v>2</v>
      </c>
      <c r="BA1192" s="93" t="str">
        <f>_xlfn.IFNA(VLOOKUP(AY1192,표1[[검색용]:[OptionGroupIndex'[']22]],EquipItemTable!AZ1192,FALSE),"옵션고정안함")</f>
        <v>7411</v>
      </c>
    </row>
    <row r="1193" spans="1:53" s="27" customFormat="1" ht="12" x14ac:dyDescent="0.2">
      <c r="A1193" s="30" t="s">
        <v>1488</v>
      </c>
      <c r="B1193" s="39">
        <v>62605</v>
      </c>
      <c r="C1193" s="42" t="e">
        <v>#N/A</v>
      </c>
      <c r="D1193" s="26" t="s">
        <v>84</v>
      </c>
      <c r="E1193" s="26" t="s">
        <v>1</v>
      </c>
      <c r="F1193" s="27" t="s">
        <v>471</v>
      </c>
      <c r="G1193" s="27" t="s">
        <v>1491</v>
      </c>
      <c r="J1193" s="1"/>
      <c r="K1193" s="1"/>
      <c r="L1193" s="1"/>
      <c r="M1193" s="1"/>
      <c r="N1193" s="8"/>
      <c r="O1193" s="29" t="s">
        <v>1338</v>
      </c>
      <c r="P1193" s="27">
        <v>71</v>
      </c>
      <c r="AA1193" s="27">
        <v>1421</v>
      </c>
      <c r="AB1193" s="28"/>
      <c r="AC1193" s="82"/>
      <c r="AD1193" s="29" t="s">
        <v>1377</v>
      </c>
      <c r="AE1193" s="29" t="s">
        <v>1337</v>
      </c>
      <c r="AF1193" s="29"/>
      <c r="AG1193" s="12"/>
      <c r="AH1193" s="12"/>
      <c r="AQ1193" s="85"/>
      <c r="AR1193" s="27">
        <v>1</v>
      </c>
      <c r="AS1193" s="27">
        <v>1</v>
      </c>
      <c r="AT1193" s="85"/>
      <c r="AU1193" s="29" t="s">
        <v>1944</v>
      </c>
      <c r="AW1193" s="91">
        <v>7</v>
      </c>
      <c r="AX1193" s="93"/>
      <c r="AY1193" s="93"/>
      <c r="AZ1193" s="93"/>
      <c r="BA1193" s="93"/>
    </row>
    <row r="1194" spans="1:53" s="27" customFormat="1" ht="12" x14ac:dyDescent="0.2">
      <c r="A1194" s="25" t="s">
        <v>1489</v>
      </c>
      <c r="B1194" s="39">
        <v>362003</v>
      </c>
      <c r="C1194" s="42" t="s">
        <v>3738</v>
      </c>
      <c r="D1194" s="26" t="s">
        <v>84</v>
      </c>
      <c r="E1194" s="26" t="s">
        <v>1</v>
      </c>
      <c r="F1194" s="27" t="s">
        <v>471</v>
      </c>
      <c r="G1194" s="27" t="s">
        <v>1491</v>
      </c>
      <c r="J1194" s="1"/>
      <c r="K1194" s="1"/>
      <c r="L1194" s="1"/>
      <c r="M1194" s="1"/>
      <c r="N1194" s="8"/>
      <c r="O1194" s="29" t="s">
        <v>1338</v>
      </c>
      <c r="P1194" s="27">
        <v>71</v>
      </c>
      <c r="AA1194" s="27">
        <v>1376</v>
      </c>
      <c r="AB1194" s="28"/>
      <c r="AC1194" s="82"/>
      <c r="AD1194" s="29" t="s">
        <v>1377</v>
      </c>
      <c r="AE1194" s="92" t="str">
        <f>BA1194</f>
        <v>7311</v>
      </c>
      <c r="AF1194" s="29"/>
      <c r="AG1194" s="23"/>
      <c r="AH1194" s="23"/>
      <c r="AN1194" s="27">
        <v>101</v>
      </c>
      <c r="AQ1194" s="85"/>
      <c r="AR1194" s="27">
        <v>1</v>
      </c>
      <c r="AS1194" s="27">
        <v>1</v>
      </c>
      <c r="AT1194" s="85"/>
      <c r="AU1194" s="29" t="s">
        <v>1942</v>
      </c>
      <c r="AW1194" s="91">
        <v>5</v>
      </c>
      <c r="AX1194" s="93">
        <f>VLOOKUP(AW1194,색인!$N$14:$O$19,2,FALSE)</f>
        <v>3</v>
      </c>
      <c r="AY1194" s="91" t="str">
        <f>"T"&amp;O1194&amp;"_"&amp;AX1194&amp;"옵션_"&amp;VLOOKUP(E1194,색인!$J$25:$K$29,2,FALSE)</f>
        <v>T7_3옵션_방어구</v>
      </c>
      <c r="AZ1194" s="91">
        <f>VLOOKUP(G1194,색인!$J$32:$K$45,2,FALSE)</f>
        <v>2</v>
      </c>
      <c r="BA1194" s="91" t="str">
        <f>_xlfn.IFNA(VLOOKUP(AY1194,표1[[검색용]:[OptionGroupIndex'[']22]],EquipItemTable!AZ1194,FALSE),"옵션고정안함")</f>
        <v>7311</v>
      </c>
    </row>
    <row r="1195" spans="1:53" s="27" customFormat="1" ht="12" x14ac:dyDescent="0.2">
      <c r="A1195" s="25" t="s">
        <v>1490</v>
      </c>
      <c r="B1195" s="39">
        <v>362004</v>
      </c>
      <c r="C1195" s="42" t="s">
        <v>3739</v>
      </c>
      <c r="D1195" s="26" t="s">
        <v>84</v>
      </c>
      <c r="E1195" s="26" t="s">
        <v>1</v>
      </c>
      <c r="F1195" s="27" t="s">
        <v>471</v>
      </c>
      <c r="G1195" s="27" t="s">
        <v>1491</v>
      </c>
      <c r="J1195" s="1"/>
      <c r="K1195" s="1"/>
      <c r="L1195" s="1"/>
      <c r="M1195" s="1"/>
      <c r="N1195" s="8"/>
      <c r="O1195" s="29" t="s">
        <v>1338</v>
      </c>
      <c r="P1195" s="27">
        <v>71</v>
      </c>
      <c r="AA1195" s="27">
        <v>1421</v>
      </c>
      <c r="AB1195" s="28"/>
      <c r="AC1195" s="82"/>
      <c r="AD1195" s="29" t="s">
        <v>1377</v>
      </c>
      <c r="AE1195" s="92" t="s">
        <v>2189</v>
      </c>
      <c r="AF1195" s="29" t="s">
        <v>2185</v>
      </c>
      <c r="AG1195" s="23"/>
      <c r="AH1195" s="23"/>
      <c r="AN1195" s="27">
        <v>102</v>
      </c>
      <c r="AQ1195" s="85"/>
      <c r="AR1195" s="27">
        <v>1</v>
      </c>
      <c r="AS1195" s="27">
        <v>1</v>
      </c>
      <c r="AT1195" s="85"/>
      <c r="AU1195" s="29" t="s">
        <v>1943</v>
      </c>
      <c r="AW1195" s="91">
        <v>6</v>
      </c>
      <c r="AX1195" s="93">
        <f>VLOOKUP(AW1195,색인!$N$14:$O$19,2,FALSE)</f>
        <v>4</v>
      </c>
      <c r="AY1195" s="93" t="str">
        <f>"T"&amp;O1195&amp;"_"&amp;AX1195&amp;"옵션_"&amp;VLOOKUP(E1195,색인!$J$25:$K$29,2,FALSE)</f>
        <v>T7_4옵션_방어구</v>
      </c>
      <c r="AZ1195" s="93">
        <f>VLOOKUP(G1195,색인!$J$32:$K$45,2,FALSE)</f>
        <v>2</v>
      </c>
      <c r="BA1195" s="93" t="str">
        <f>_xlfn.IFNA(VLOOKUP(AY1195,표1[[검색용]:[OptionGroupIndex'[']22]],EquipItemTable!AZ1195,FALSE),"옵션고정안함")</f>
        <v>7411</v>
      </c>
    </row>
    <row r="1196" spans="1:53" ht="12" customHeight="1" x14ac:dyDescent="0.2">
      <c r="A1196" s="13" t="s">
        <v>208</v>
      </c>
      <c r="B1196" s="39">
        <v>70001</v>
      </c>
      <c r="C1196" s="42" t="s">
        <v>3746</v>
      </c>
      <c r="D1196" s="10" t="s">
        <v>2966</v>
      </c>
      <c r="E1196" s="10" t="s">
        <v>502</v>
      </c>
      <c r="F1196" s="1" t="s">
        <v>92</v>
      </c>
      <c r="G1196" s="1" t="s">
        <v>1311</v>
      </c>
      <c r="H1196" s="1"/>
      <c r="I1196" s="1"/>
      <c r="J1196" s="1"/>
      <c r="K1196" s="1"/>
      <c r="L1196" s="1"/>
      <c r="M1196" s="1"/>
      <c r="O1196" s="12" t="s">
        <v>94</v>
      </c>
      <c r="P1196" s="1">
        <v>1</v>
      </c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>
        <v>43</v>
      </c>
      <c r="AC1196" s="82"/>
      <c r="AD1196" s="12" t="s">
        <v>52</v>
      </c>
      <c r="AE1196" s="12" t="s">
        <v>94</v>
      </c>
      <c r="AG1196" s="23"/>
      <c r="AH1196" s="23"/>
      <c r="AN1196" s="12"/>
      <c r="AU1196" s="12" t="s">
        <v>1932</v>
      </c>
      <c r="AV1196" s="13"/>
      <c r="AW1196" s="39">
        <v>1</v>
      </c>
      <c r="AY1196" s="32"/>
      <c r="AZ1196" s="32"/>
      <c r="BA1196" s="32"/>
    </row>
    <row r="1197" spans="1:53" ht="12" customHeight="1" x14ac:dyDescent="0.2">
      <c r="A1197" s="13" t="s">
        <v>209</v>
      </c>
      <c r="B1197" s="39">
        <v>70002</v>
      </c>
      <c r="C1197" s="42" t="s">
        <v>3747</v>
      </c>
      <c r="D1197" s="10" t="s">
        <v>2966</v>
      </c>
      <c r="E1197" s="10" t="s">
        <v>101</v>
      </c>
      <c r="F1197" s="1" t="s">
        <v>92</v>
      </c>
      <c r="G1197" s="1" t="s">
        <v>1311</v>
      </c>
      <c r="H1197" s="1"/>
      <c r="I1197" s="1"/>
      <c r="J1197" s="1"/>
      <c r="K1197" s="1"/>
      <c r="L1197" s="1"/>
      <c r="M1197" s="1"/>
      <c r="O1197" s="12" t="s">
        <v>94</v>
      </c>
      <c r="P1197" s="1">
        <v>1</v>
      </c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>
        <v>63</v>
      </c>
      <c r="AC1197" s="82"/>
      <c r="AD1197" s="12" t="s">
        <v>52</v>
      </c>
      <c r="AE1197" s="39" t="str">
        <f t="shared" ref="AE1197:AE1199" si="151">BA1197</f>
        <v>1121,1122</v>
      </c>
      <c r="AG1197" s="23"/>
      <c r="AH1197" s="23"/>
      <c r="AN1197" s="12"/>
      <c r="AU1197" s="12" t="s">
        <v>1933</v>
      </c>
      <c r="AV1197" s="13"/>
      <c r="AW1197" s="39">
        <v>2</v>
      </c>
      <c r="AX1197" s="12">
        <f>VLOOKUP(AW1197,색인!$N$14:$O$19,2,FALSE)</f>
        <v>1</v>
      </c>
      <c r="AY1197" s="39" t="str">
        <f>"T"&amp;O1197&amp;"_"&amp;AX1197&amp;"옵션_"&amp;VLOOKUP(E1197,색인!$J$25:$K$29,2,FALSE)</f>
        <v>T1_1옵션_보조장비</v>
      </c>
      <c r="AZ1197" s="39">
        <f>VLOOKUP(G1197,색인!$J$32:$K$45,2,FALSE)</f>
        <v>4</v>
      </c>
      <c r="BA1197" s="39" t="str">
        <f>_xlfn.IFNA(VLOOKUP(AY1197,표1[[검색용]:[OptionGroupIndex'[']22]],EquipItemTable!AZ1197,FALSE),"옵션고정안함")</f>
        <v>1121,1122</v>
      </c>
    </row>
    <row r="1198" spans="1:53" ht="12" customHeight="1" x14ac:dyDescent="0.2">
      <c r="A1198" s="13" t="s">
        <v>210</v>
      </c>
      <c r="B1198" s="39">
        <v>70003</v>
      </c>
      <c r="C1198" s="42" t="s">
        <v>3748</v>
      </c>
      <c r="D1198" s="10" t="s">
        <v>2966</v>
      </c>
      <c r="E1198" s="10" t="s">
        <v>101</v>
      </c>
      <c r="F1198" s="1" t="s">
        <v>481</v>
      </c>
      <c r="G1198" s="1" t="s">
        <v>1311</v>
      </c>
      <c r="H1198" s="1"/>
      <c r="I1198" s="1"/>
      <c r="J1198" s="1"/>
      <c r="K1198" s="1"/>
      <c r="L1198" s="1"/>
      <c r="M1198" s="1"/>
      <c r="O1198" s="12" t="s">
        <v>94</v>
      </c>
      <c r="P1198" s="1">
        <v>1</v>
      </c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>
        <v>81</v>
      </c>
      <c r="AC1198" s="82"/>
      <c r="AD1198" s="12" t="s">
        <v>52</v>
      </c>
      <c r="AE1198" s="39" t="str">
        <f t="shared" si="151"/>
        <v>1221,1222</v>
      </c>
      <c r="AG1198" s="23"/>
      <c r="AH1198" s="23"/>
      <c r="AN1198" s="12"/>
      <c r="AR1198" s="34" t="s">
        <v>94</v>
      </c>
      <c r="AS1198" s="34" t="s">
        <v>94</v>
      </c>
      <c r="AU1198" s="12" t="s">
        <v>1934</v>
      </c>
      <c r="AV1198" s="13"/>
      <c r="AW1198" s="39">
        <v>3</v>
      </c>
      <c r="AX1198" s="12">
        <f>VLOOKUP(AW1198,색인!$N$14:$O$19,2,FALSE)</f>
        <v>2</v>
      </c>
      <c r="AY1198" s="39" t="str">
        <f>"T"&amp;O1198&amp;"_"&amp;AX1198&amp;"옵션_"&amp;VLOOKUP(E1198,색인!$J$25:$K$29,2,FALSE)</f>
        <v>T1_2옵션_보조장비</v>
      </c>
      <c r="AZ1198" s="39">
        <f>VLOOKUP(G1198,색인!$J$32:$K$45,2,FALSE)</f>
        <v>4</v>
      </c>
      <c r="BA1198" s="39" t="str">
        <f>_xlfn.IFNA(VLOOKUP(AY1198,표1[[검색용]:[OptionGroupIndex'[']22]],EquipItemTable!AZ1198,FALSE),"옵션고정안함")</f>
        <v>1221,1222</v>
      </c>
    </row>
    <row r="1199" spans="1:53" ht="12" customHeight="1" x14ac:dyDescent="0.2">
      <c r="A1199" s="13" t="s">
        <v>499</v>
      </c>
      <c r="B1199" s="39">
        <v>70004</v>
      </c>
      <c r="C1199" s="42" t="s">
        <v>3749</v>
      </c>
      <c r="D1199" s="10" t="s">
        <v>85</v>
      </c>
      <c r="E1199" s="10" t="s">
        <v>501</v>
      </c>
      <c r="F1199" s="1" t="s">
        <v>480</v>
      </c>
      <c r="G1199" s="1" t="s">
        <v>1311</v>
      </c>
      <c r="H1199" s="1"/>
      <c r="I1199" s="1"/>
      <c r="J1199" s="1"/>
      <c r="K1199" s="1"/>
      <c r="L1199" s="1"/>
      <c r="M1199" s="1"/>
      <c r="O1199" s="12" t="s">
        <v>428</v>
      </c>
      <c r="P1199" s="1">
        <v>1</v>
      </c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>
        <v>105</v>
      </c>
      <c r="AC1199" s="82"/>
      <c r="AE1199" s="39" t="str">
        <f t="shared" si="151"/>
        <v>1321,1322</v>
      </c>
      <c r="AG1199" s="23"/>
      <c r="AH1199" s="23"/>
      <c r="AN1199" s="12"/>
      <c r="AR1199" s="34" t="s">
        <v>543</v>
      </c>
      <c r="AS1199" s="34" t="s">
        <v>543</v>
      </c>
      <c r="AU1199" s="12" t="s">
        <v>1935</v>
      </c>
      <c r="AV1199" s="13"/>
      <c r="AW1199" s="39">
        <v>4</v>
      </c>
      <c r="AX1199" s="12">
        <f>VLOOKUP(AW1199,색인!$N$14:$O$19,2,FALSE)</f>
        <v>3</v>
      </c>
      <c r="AY1199" s="39" t="str">
        <f>"T"&amp;O1199&amp;"_"&amp;AX1199&amp;"옵션_"&amp;VLOOKUP(E1199,색인!$J$25:$K$29,2,FALSE)</f>
        <v>T1_3옵션_보조장비</v>
      </c>
      <c r="AZ1199" s="39">
        <f>VLOOKUP(G1199,색인!$J$32:$K$45,2,FALSE)</f>
        <v>4</v>
      </c>
      <c r="BA1199" s="39" t="str">
        <f>_xlfn.IFNA(VLOOKUP(AY1199,표1[[검색용]:[OptionGroupIndex'[']22]],EquipItemTable!AZ1199,FALSE),"옵션고정안함")</f>
        <v>1321,1322</v>
      </c>
    </row>
    <row r="1200" spans="1:53" ht="12" customHeight="1" x14ac:dyDescent="0.2">
      <c r="A1200" s="13" t="s">
        <v>211</v>
      </c>
      <c r="B1200" s="39">
        <v>70005</v>
      </c>
      <c r="C1200" s="42" t="s">
        <v>3750</v>
      </c>
      <c r="D1200" s="10" t="s">
        <v>2966</v>
      </c>
      <c r="E1200" s="10" t="s">
        <v>101</v>
      </c>
      <c r="F1200" s="1" t="s">
        <v>92</v>
      </c>
      <c r="G1200" s="1" t="s">
        <v>1311</v>
      </c>
      <c r="H1200" s="1"/>
      <c r="I1200" s="1"/>
      <c r="J1200" s="1"/>
      <c r="K1200" s="1"/>
      <c r="L1200" s="1"/>
      <c r="M1200" s="1"/>
      <c r="O1200" s="12" t="s">
        <v>95</v>
      </c>
      <c r="P1200" s="1">
        <v>21</v>
      </c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>
        <v>120</v>
      </c>
      <c r="AC1200" s="82"/>
      <c r="AD1200" s="12" t="s">
        <v>52</v>
      </c>
      <c r="AE1200" s="12" t="s">
        <v>550</v>
      </c>
      <c r="AG1200" s="23"/>
      <c r="AH1200" s="23"/>
      <c r="AN1200" s="12"/>
      <c r="AU1200" s="12" t="s">
        <v>1932</v>
      </c>
      <c r="AV1200" s="13"/>
      <c r="AW1200" s="39">
        <v>1</v>
      </c>
      <c r="AY1200" s="32"/>
      <c r="AZ1200" s="32"/>
      <c r="BA1200" s="32"/>
    </row>
    <row r="1201" spans="1:53" ht="12" customHeight="1" x14ac:dyDescent="0.2">
      <c r="A1201" s="13" t="s">
        <v>212</v>
      </c>
      <c r="B1201" s="39">
        <v>70006</v>
      </c>
      <c r="C1201" s="42" t="s">
        <v>3751</v>
      </c>
      <c r="D1201" s="10" t="s">
        <v>2966</v>
      </c>
      <c r="E1201" s="10" t="s">
        <v>101</v>
      </c>
      <c r="F1201" s="1" t="s">
        <v>92</v>
      </c>
      <c r="G1201" s="1" t="s">
        <v>1311</v>
      </c>
      <c r="H1201" s="1"/>
      <c r="I1201" s="1"/>
      <c r="J1201" s="1"/>
      <c r="K1201" s="1"/>
      <c r="L1201" s="1"/>
      <c r="M1201" s="1"/>
      <c r="O1201" s="12" t="s">
        <v>95</v>
      </c>
      <c r="P1201" s="1">
        <v>21</v>
      </c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>
        <v>157</v>
      </c>
      <c r="AC1201" s="82"/>
      <c r="AD1201" s="12" t="s">
        <v>52</v>
      </c>
      <c r="AE1201" s="39" t="str">
        <f t="shared" ref="AE1201:AE1203" si="152">BA1201</f>
        <v>2121,2122</v>
      </c>
      <c r="AG1201" s="23"/>
      <c r="AH1201" s="23"/>
      <c r="AN1201" s="12"/>
      <c r="AU1201" s="12" t="s">
        <v>1933</v>
      </c>
      <c r="AV1201" s="13"/>
      <c r="AW1201" s="39">
        <v>2</v>
      </c>
      <c r="AX1201" s="12">
        <f>VLOOKUP(AW1201,색인!$N$14:$O$19,2,FALSE)</f>
        <v>1</v>
      </c>
      <c r="AY1201" s="39" t="str">
        <f>"T"&amp;O1201&amp;"_"&amp;AX1201&amp;"옵션_"&amp;VLOOKUP(E1201,색인!$J$25:$K$29,2,FALSE)</f>
        <v>T2_1옵션_보조장비</v>
      </c>
      <c r="AZ1201" s="39">
        <f>VLOOKUP(G1201,색인!$J$32:$K$45,2,FALSE)</f>
        <v>4</v>
      </c>
      <c r="BA1201" s="39" t="str">
        <f>_xlfn.IFNA(VLOOKUP(AY1201,표1[[검색용]:[OptionGroupIndex'[']22]],EquipItemTable!AZ1201,FALSE),"옵션고정안함")</f>
        <v>2121,2122</v>
      </c>
    </row>
    <row r="1202" spans="1:53" ht="12" customHeight="1" x14ac:dyDescent="0.2">
      <c r="A1202" s="13" t="s">
        <v>213</v>
      </c>
      <c r="B1202" s="39">
        <v>70007</v>
      </c>
      <c r="C1202" s="42" t="s">
        <v>3752</v>
      </c>
      <c r="D1202" s="10" t="s">
        <v>2966</v>
      </c>
      <c r="E1202" s="10" t="s">
        <v>101</v>
      </c>
      <c r="F1202" s="1" t="s">
        <v>92</v>
      </c>
      <c r="G1202" s="1" t="s">
        <v>1311</v>
      </c>
      <c r="H1202" s="1"/>
      <c r="I1202" s="1"/>
      <c r="J1202" s="1"/>
      <c r="K1202" s="1"/>
      <c r="L1202" s="1"/>
      <c r="M1202" s="1"/>
      <c r="O1202" s="12" t="s">
        <v>95</v>
      </c>
      <c r="P1202" s="1">
        <v>21</v>
      </c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>
        <v>195</v>
      </c>
      <c r="AC1202" s="82"/>
      <c r="AD1202" s="12" t="s">
        <v>52</v>
      </c>
      <c r="AE1202" s="39" t="str">
        <f t="shared" si="152"/>
        <v>2221,2222</v>
      </c>
      <c r="AG1202" s="23"/>
      <c r="AH1202" s="23"/>
      <c r="AN1202" s="12"/>
      <c r="AR1202" s="34" t="s">
        <v>94</v>
      </c>
      <c r="AS1202" s="34" t="s">
        <v>94</v>
      </c>
      <c r="AU1202" s="12" t="s">
        <v>1934</v>
      </c>
      <c r="AV1202" s="13"/>
      <c r="AW1202" s="39">
        <v>3</v>
      </c>
      <c r="AX1202" s="12">
        <f>VLOOKUP(AW1202,색인!$N$14:$O$19,2,FALSE)</f>
        <v>2</v>
      </c>
      <c r="AY1202" s="39" t="str">
        <f>"T"&amp;O1202&amp;"_"&amp;AX1202&amp;"옵션_"&amp;VLOOKUP(E1202,색인!$J$25:$K$29,2,FALSE)</f>
        <v>T2_2옵션_보조장비</v>
      </c>
      <c r="AZ1202" s="39">
        <f>VLOOKUP(G1202,색인!$J$32:$K$45,2,FALSE)</f>
        <v>4</v>
      </c>
      <c r="BA1202" s="39" t="str">
        <f>_xlfn.IFNA(VLOOKUP(AY1202,표1[[검색용]:[OptionGroupIndex'[']22]],EquipItemTable!AZ1202,FALSE),"옵션고정안함")</f>
        <v>2221,2222</v>
      </c>
    </row>
    <row r="1203" spans="1:53" ht="12" customHeight="1" x14ac:dyDescent="0.2">
      <c r="A1203" s="13" t="s">
        <v>500</v>
      </c>
      <c r="B1203" s="39">
        <v>70008</v>
      </c>
      <c r="C1203" s="42" t="s">
        <v>3753</v>
      </c>
      <c r="D1203" s="10" t="s">
        <v>85</v>
      </c>
      <c r="E1203" s="10" t="s">
        <v>501</v>
      </c>
      <c r="F1203" s="1" t="s">
        <v>480</v>
      </c>
      <c r="G1203" s="1" t="s">
        <v>1311</v>
      </c>
      <c r="H1203" s="1"/>
      <c r="I1203" s="1"/>
      <c r="J1203" s="1"/>
      <c r="K1203" s="1"/>
      <c r="L1203" s="1"/>
      <c r="M1203" s="1"/>
      <c r="O1203" s="12" t="s">
        <v>429</v>
      </c>
      <c r="P1203" s="1">
        <v>21</v>
      </c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>
        <v>237</v>
      </c>
      <c r="AC1203" s="82"/>
      <c r="AE1203" s="39" t="str">
        <f t="shared" si="152"/>
        <v>2321,2322</v>
      </c>
      <c r="AG1203" s="23"/>
      <c r="AH1203" s="23"/>
      <c r="AN1203" s="12"/>
      <c r="AR1203" s="34" t="s">
        <v>543</v>
      </c>
      <c r="AS1203" s="34" t="s">
        <v>543</v>
      </c>
      <c r="AU1203" s="12" t="s">
        <v>1935</v>
      </c>
      <c r="AV1203" s="13"/>
      <c r="AW1203" s="39">
        <v>4</v>
      </c>
      <c r="AX1203" s="12">
        <f>VLOOKUP(AW1203,색인!$N$14:$O$19,2,FALSE)</f>
        <v>3</v>
      </c>
      <c r="AY1203" s="39" t="str">
        <f>"T"&amp;O1203&amp;"_"&amp;AX1203&amp;"옵션_"&amp;VLOOKUP(E1203,색인!$J$25:$K$29,2,FALSE)</f>
        <v>T2_3옵션_보조장비</v>
      </c>
      <c r="AZ1203" s="39">
        <f>VLOOKUP(G1203,색인!$J$32:$K$45,2,FALSE)</f>
        <v>4</v>
      </c>
      <c r="BA1203" s="39" t="str">
        <f>_xlfn.IFNA(VLOOKUP(AY1203,표1[[검색용]:[OptionGroupIndex'[']22]],EquipItemTable!AZ1203,FALSE),"옵션고정안함")</f>
        <v>2321,2322</v>
      </c>
    </row>
    <row r="1204" spans="1:53" ht="12" customHeight="1" x14ac:dyDescent="0.2">
      <c r="A1204" s="13" t="s">
        <v>214</v>
      </c>
      <c r="B1204" s="39">
        <v>70009</v>
      </c>
      <c r="C1204" s="42" t="s">
        <v>3754</v>
      </c>
      <c r="D1204" s="10" t="s">
        <v>2966</v>
      </c>
      <c r="E1204" s="10" t="s">
        <v>101</v>
      </c>
      <c r="F1204" s="1" t="s">
        <v>92</v>
      </c>
      <c r="G1204" s="1" t="s">
        <v>1311</v>
      </c>
      <c r="H1204" s="1"/>
      <c r="I1204" s="1"/>
      <c r="J1204" s="1"/>
      <c r="K1204" s="1"/>
      <c r="L1204" s="1"/>
      <c r="M1204" s="1"/>
      <c r="N1204" s="81"/>
      <c r="O1204" s="12" t="s">
        <v>96</v>
      </c>
      <c r="P1204" s="1">
        <v>31</v>
      </c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3">
        <v>270</v>
      </c>
      <c r="AC1204" s="82"/>
      <c r="AD1204" s="23" t="s">
        <v>52</v>
      </c>
      <c r="AE1204" s="23">
        <v>3</v>
      </c>
      <c r="AF1204" s="23"/>
      <c r="AG1204" s="23"/>
      <c r="AH1204" s="23"/>
      <c r="AI1204" s="23"/>
      <c r="AJ1204" s="23"/>
      <c r="AK1204" s="23"/>
      <c r="AL1204" s="23"/>
      <c r="AM1204" s="23"/>
      <c r="AN1204" s="23"/>
      <c r="AO1204" s="23"/>
      <c r="AP1204" s="23"/>
      <c r="AQ1204" s="81"/>
      <c r="AR1204" s="83"/>
      <c r="AS1204" s="83"/>
      <c r="AT1204" s="81"/>
      <c r="AU1204" s="12" t="s">
        <v>1932</v>
      </c>
      <c r="AV1204" s="13"/>
      <c r="AW1204" s="39">
        <v>1</v>
      </c>
      <c r="AY1204" s="32"/>
      <c r="AZ1204" s="32"/>
      <c r="BA1204" s="32"/>
    </row>
    <row r="1205" spans="1:53" ht="12" customHeight="1" x14ac:dyDescent="0.2">
      <c r="A1205" s="13" t="s">
        <v>215</v>
      </c>
      <c r="B1205" s="39">
        <v>70010</v>
      </c>
      <c r="C1205" s="42" t="s">
        <v>3755</v>
      </c>
      <c r="D1205" s="10" t="s">
        <v>2966</v>
      </c>
      <c r="E1205" s="10" t="s">
        <v>101</v>
      </c>
      <c r="F1205" s="1" t="s">
        <v>92</v>
      </c>
      <c r="G1205" s="1" t="s">
        <v>1311</v>
      </c>
      <c r="H1205" s="1"/>
      <c r="I1205" s="1"/>
      <c r="J1205" s="1"/>
      <c r="K1205" s="1"/>
      <c r="L1205" s="1"/>
      <c r="M1205" s="1"/>
      <c r="N1205" s="81"/>
      <c r="O1205" s="12" t="s">
        <v>96</v>
      </c>
      <c r="P1205" s="1">
        <v>31</v>
      </c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3">
        <v>343</v>
      </c>
      <c r="AC1205" s="82"/>
      <c r="AD1205" s="23" t="s">
        <v>52</v>
      </c>
      <c r="AE1205" s="90" t="str">
        <f t="shared" ref="AE1205:AE1207" si="153">BA1205</f>
        <v>3121,3122</v>
      </c>
      <c r="AF1205" s="23"/>
      <c r="AI1205" s="23"/>
      <c r="AJ1205" s="23"/>
      <c r="AK1205" s="23"/>
      <c r="AL1205" s="23"/>
      <c r="AM1205" s="23"/>
      <c r="AN1205" s="23"/>
      <c r="AO1205" s="23"/>
      <c r="AP1205" s="23"/>
      <c r="AQ1205" s="81"/>
      <c r="AR1205" s="83"/>
      <c r="AS1205" s="83"/>
      <c r="AT1205" s="81"/>
      <c r="AU1205" s="12" t="s">
        <v>1933</v>
      </c>
      <c r="AV1205" s="13"/>
      <c r="AW1205" s="39">
        <v>2</v>
      </c>
      <c r="AX1205" s="12">
        <f>VLOOKUP(AW1205,색인!$N$14:$O$19,2,FALSE)</f>
        <v>1</v>
      </c>
      <c r="AY1205" s="39" t="str">
        <f>"T"&amp;O1205&amp;"_"&amp;AX1205&amp;"옵션_"&amp;VLOOKUP(E1205,색인!$J$25:$K$29,2,FALSE)</f>
        <v>T3_1옵션_보조장비</v>
      </c>
      <c r="AZ1205" s="39">
        <f>VLOOKUP(G1205,색인!$J$32:$K$45,2,FALSE)</f>
        <v>4</v>
      </c>
      <c r="BA1205" s="39" t="str">
        <f>_xlfn.IFNA(VLOOKUP(AY1205,표1[[검색용]:[OptionGroupIndex'[']22]],EquipItemTable!AZ1205,FALSE),"옵션고정안함")</f>
        <v>3121,3122</v>
      </c>
    </row>
    <row r="1206" spans="1:53" ht="12" customHeight="1" x14ac:dyDescent="0.2">
      <c r="A1206" s="13" t="s">
        <v>216</v>
      </c>
      <c r="B1206" s="39">
        <v>70011</v>
      </c>
      <c r="C1206" s="42" t="s">
        <v>3756</v>
      </c>
      <c r="D1206" s="10" t="s">
        <v>2966</v>
      </c>
      <c r="E1206" s="10" t="s">
        <v>101</v>
      </c>
      <c r="F1206" s="1" t="s">
        <v>92</v>
      </c>
      <c r="G1206" s="1" t="s">
        <v>1311</v>
      </c>
      <c r="H1206" s="1"/>
      <c r="I1206" s="1"/>
      <c r="J1206" s="1"/>
      <c r="K1206" s="1"/>
      <c r="L1206" s="1"/>
      <c r="M1206" s="1"/>
      <c r="N1206" s="81"/>
      <c r="O1206" s="12" t="s">
        <v>96</v>
      </c>
      <c r="P1206" s="1">
        <v>31</v>
      </c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3">
        <v>409</v>
      </c>
      <c r="AC1206" s="82"/>
      <c r="AD1206" s="23" t="s">
        <v>52</v>
      </c>
      <c r="AE1206" s="90" t="str">
        <f t="shared" si="153"/>
        <v>3221,3222</v>
      </c>
      <c r="AF1206" s="23"/>
      <c r="AI1206" s="23"/>
      <c r="AJ1206" s="23"/>
      <c r="AK1206" s="23"/>
      <c r="AL1206" s="23"/>
      <c r="AM1206" s="23"/>
      <c r="AN1206" s="23"/>
      <c r="AO1206" s="23"/>
      <c r="AP1206" s="23"/>
      <c r="AQ1206" s="81"/>
      <c r="AR1206" s="83">
        <v>1</v>
      </c>
      <c r="AS1206" s="83">
        <v>1</v>
      </c>
      <c r="AT1206" s="81"/>
      <c r="AU1206" s="12" t="s">
        <v>1934</v>
      </c>
      <c r="AV1206" s="13"/>
      <c r="AW1206" s="39">
        <v>3</v>
      </c>
      <c r="AX1206" s="12">
        <f>VLOOKUP(AW1206,색인!$N$14:$O$19,2,FALSE)</f>
        <v>2</v>
      </c>
      <c r="AY1206" s="39" t="str">
        <f>"T"&amp;O1206&amp;"_"&amp;AX1206&amp;"옵션_"&amp;VLOOKUP(E1206,색인!$J$25:$K$29,2,FALSE)</f>
        <v>T3_2옵션_보조장비</v>
      </c>
      <c r="AZ1206" s="39">
        <f>VLOOKUP(G1206,색인!$J$32:$K$45,2,FALSE)</f>
        <v>4</v>
      </c>
      <c r="BA1206" s="39" t="str">
        <f>_xlfn.IFNA(VLOOKUP(AY1206,표1[[검색용]:[OptionGroupIndex'[']22]],EquipItemTable!AZ1206,FALSE),"옵션고정안함")</f>
        <v>3221,3222</v>
      </c>
    </row>
    <row r="1207" spans="1:53" ht="12" customHeight="1" x14ac:dyDescent="0.2">
      <c r="A1207" s="13" t="s">
        <v>217</v>
      </c>
      <c r="B1207" s="39">
        <v>70012</v>
      </c>
      <c r="C1207" s="42" t="s">
        <v>3757</v>
      </c>
      <c r="D1207" s="10" t="s">
        <v>2966</v>
      </c>
      <c r="E1207" s="10" t="s">
        <v>101</v>
      </c>
      <c r="F1207" s="1" t="s">
        <v>92</v>
      </c>
      <c r="G1207" s="1" t="s">
        <v>1311</v>
      </c>
      <c r="H1207" s="1"/>
      <c r="I1207" s="1"/>
      <c r="J1207" s="1"/>
      <c r="K1207" s="1"/>
      <c r="L1207" s="1"/>
      <c r="M1207" s="1"/>
      <c r="N1207" s="81"/>
      <c r="O1207" s="12" t="s">
        <v>96</v>
      </c>
      <c r="P1207" s="1">
        <v>31</v>
      </c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3">
        <v>486</v>
      </c>
      <c r="AC1207" s="82"/>
      <c r="AD1207" s="23" t="s">
        <v>52</v>
      </c>
      <c r="AE1207" s="90" t="str">
        <f t="shared" si="153"/>
        <v>3321,3322</v>
      </c>
      <c r="AF1207" s="23"/>
      <c r="AI1207" s="23"/>
      <c r="AJ1207" s="23"/>
      <c r="AK1207" s="23"/>
      <c r="AL1207" s="23"/>
      <c r="AM1207" s="23"/>
      <c r="AN1207" s="23"/>
      <c r="AO1207" s="23"/>
      <c r="AP1207" s="23"/>
      <c r="AQ1207" s="81"/>
      <c r="AR1207" s="83">
        <v>1</v>
      </c>
      <c r="AS1207" s="83">
        <v>1</v>
      </c>
      <c r="AT1207" s="81"/>
      <c r="AU1207" s="12" t="s">
        <v>1935</v>
      </c>
      <c r="AV1207" s="13"/>
      <c r="AW1207" s="39">
        <v>4</v>
      </c>
      <c r="AX1207" s="12">
        <f>VLOOKUP(AW1207,색인!$N$14:$O$19,2,FALSE)</f>
        <v>3</v>
      </c>
      <c r="AY1207" s="39" t="str">
        <f>"T"&amp;O1207&amp;"_"&amp;AX1207&amp;"옵션_"&amp;VLOOKUP(E1207,색인!$J$25:$K$29,2,FALSE)</f>
        <v>T3_3옵션_보조장비</v>
      </c>
      <c r="AZ1207" s="39">
        <f>VLOOKUP(G1207,색인!$J$32:$K$45,2,FALSE)</f>
        <v>4</v>
      </c>
      <c r="BA1207" s="39" t="str">
        <f>_xlfn.IFNA(VLOOKUP(AY1207,표1[[검색용]:[OptionGroupIndex'[']22]],EquipItemTable!AZ1207,FALSE),"옵션고정안함")</f>
        <v>3321,3322</v>
      </c>
    </row>
    <row r="1208" spans="1:53" ht="14.1" customHeight="1" x14ac:dyDescent="0.2">
      <c r="A1208" s="13" t="s">
        <v>583</v>
      </c>
      <c r="B1208" s="39">
        <v>70029</v>
      </c>
      <c r="C1208" s="42" t="s">
        <v>3758</v>
      </c>
      <c r="D1208" s="10" t="s">
        <v>2966</v>
      </c>
      <c r="E1208" s="10" t="s">
        <v>101</v>
      </c>
      <c r="F1208" s="1" t="s">
        <v>92</v>
      </c>
      <c r="G1208" s="1" t="s">
        <v>1311</v>
      </c>
      <c r="H1208" s="1"/>
      <c r="I1208" s="1"/>
      <c r="J1208" s="1"/>
      <c r="K1208" s="1"/>
      <c r="L1208" s="1"/>
      <c r="M1208" s="1"/>
      <c r="N1208" s="81"/>
      <c r="O1208" s="12" t="s">
        <v>96</v>
      </c>
      <c r="P1208" s="1">
        <v>31</v>
      </c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3">
        <v>576</v>
      </c>
      <c r="AC1208" s="82"/>
      <c r="AD1208" s="23" t="s">
        <v>52</v>
      </c>
      <c r="AE1208" s="23">
        <v>3</v>
      </c>
      <c r="AF1208" s="23"/>
      <c r="AI1208" s="23"/>
      <c r="AJ1208" s="23"/>
      <c r="AK1208" s="23"/>
      <c r="AL1208" s="23"/>
      <c r="AM1208" s="23"/>
      <c r="AN1208" s="23">
        <v>1</v>
      </c>
      <c r="AO1208" s="23"/>
      <c r="AP1208" s="23"/>
      <c r="AQ1208" s="81"/>
      <c r="AR1208" s="83">
        <v>1</v>
      </c>
      <c r="AS1208" s="83">
        <v>1</v>
      </c>
      <c r="AT1208" s="81"/>
      <c r="AU1208" s="12" t="s">
        <v>1936</v>
      </c>
      <c r="AV1208" s="13"/>
      <c r="AW1208" s="39">
        <v>6</v>
      </c>
      <c r="AX1208" s="12">
        <f>VLOOKUP(AW1208,색인!$N$14:$O$19,2,FALSE)</f>
        <v>4</v>
      </c>
      <c r="AY1208" s="32" t="str">
        <f>"T"&amp;O1208&amp;"_"&amp;AX1208&amp;"옵션_"&amp;VLOOKUP(E1208,색인!$J$25:$K$29,2,FALSE)</f>
        <v>T3_4옵션_보조장비</v>
      </c>
      <c r="AZ1208" s="32">
        <f>VLOOKUP(G1208,색인!$J$32:$K$45,2,FALSE)</f>
        <v>4</v>
      </c>
      <c r="BA1208" s="32" t="str">
        <f>_xlfn.IFNA(VLOOKUP(AY1208,표1[[검색용]:[OptionGroupIndex'[']22]],EquipItemTable!AZ1208,FALSE),"옵션고정안함")</f>
        <v>옵션고정안함</v>
      </c>
    </row>
    <row r="1209" spans="1:53" ht="14.1" customHeight="1" x14ac:dyDescent="0.2">
      <c r="A1209" s="13" t="s">
        <v>1078</v>
      </c>
      <c r="B1209" s="39">
        <v>70030</v>
      </c>
      <c r="C1209" s="42" t="s">
        <v>3759</v>
      </c>
      <c r="D1209" s="10" t="s">
        <v>2966</v>
      </c>
      <c r="E1209" s="10" t="s">
        <v>101</v>
      </c>
      <c r="F1209" s="1" t="s">
        <v>92</v>
      </c>
      <c r="G1209" s="1" t="s">
        <v>1311</v>
      </c>
      <c r="H1209" s="1"/>
      <c r="I1209" s="1"/>
      <c r="J1209" s="1"/>
      <c r="K1209" s="1"/>
      <c r="L1209" s="1"/>
      <c r="M1209" s="1"/>
      <c r="N1209" s="81"/>
      <c r="O1209" s="12" t="s">
        <v>96</v>
      </c>
      <c r="P1209" s="1">
        <v>31</v>
      </c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3">
        <v>576</v>
      </c>
      <c r="AC1209" s="82"/>
      <c r="AD1209" s="23" t="s">
        <v>52</v>
      </c>
      <c r="AE1209" s="23">
        <v>3</v>
      </c>
      <c r="AF1209" s="23"/>
      <c r="AI1209" s="23"/>
      <c r="AJ1209" s="23"/>
      <c r="AK1209" s="23"/>
      <c r="AL1209" s="23"/>
      <c r="AM1209" s="23"/>
      <c r="AN1209" s="23">
        <v>2</v>
      </c>
      <c r="AO1209" s="23"/>
      <c r="AP1209" s="23"/>
      <c r="AQ1209" s="81"/>
      <c r="AR1209" s="83">
        <v>1</v>
      </c>
      <c r="AS1209" s="83">
        <v>1</v>
      </c>
      <c r="AT1209" s="81"/>
      <c r="AU1209" s="12" t="s">
        <v>1936</v>
      </c>
      <c r="AV1209" s="13"/>
      <c r="AW1209" s="39">
        <v>6</v>
      </c>
      <c r="AX1209" s="12">
        <f>VLOOKUP(AW1209,색인!$N$14:$O$19,2,FALSE)</f>
        <v>4</v>
      </c>
      <c r="AY1209" s="32" t="str">
        <f>"T"&amp;O1209&amp;"_"&amp;AX1209&amp;"옵션_"&amp;VLOOKUP(E1209,색인!$J$25:$K$29,2,FALSE)</f>
        <v>T3_4옵션_보조장비</v>
      </c>
      <c r="AZ1209" s="32">
        <f>VLOOKUP(G1209,색인!$J$32:$K$45,2,FALSE)</f>
        <v>4</v>
      </c>
      <c r="BA1209" s="32" t="str">
        <f>_xlfn.IFNA(VLOOKUP(AY1209,표1[[검색용]:[OptionGroupIndex'[']22]],EquipItemTable!AZ1209,FALSE),"옵션고정안함")</f>
        <v>옵션고정안함</v>
      </c>
    </row>
    <row r="1210" spans="1:53" ht="14.1" customHeight="1" x14ac:dyDescent="0.2">
      <c r="A1210" s="13" t="s">
        <v>1079</v>
      </c>
      <c r="B1210" s="39">
        <v>70031</v>
      </c>
      <c r="C1210" s="42" t="s">
        <v>3760</v>
      </c>
      <c r="D1210" s="10" t="s">
        <v>2966</v>
      </c>
      <c r="E1210" s="10" t="s">
        <v>101</v>
      </c>
      <c r="F1210" s="1" t="s">
        <v>92</v>
      </c>
      <c r="G1210" s="1" t="s">
        <v>1311</v>
      </c>
      <c r="H1210" s="1"/>
      <c r="I1210" s="1"/>
      <c r="J1210" s="1"/>
      <c r="K1210" s="1"/>
      <c r="L1210" s="1"/>
      <c r="M1210" s="1"/>
      <c r="N1210" s="81"/>
      <c r="O1210" s="12" t="s">
        <v>96</v>
      </c>
      <c r="P1210" s="1">
        <v>31</v>
      </c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3">
        <v>576</v>
      </c>
      <c r="AC1210" s="82"/>
      <c r="AD1210" s="23" t="s">
        <v>52</v>
      </c>
      <c r="AE1210" s="23">
        <v>3</v>
      </c>
      <c r="AF1210" s="23"/>
      <c r="AI1210" s="23"/>
      <c r="AJ1210" s="23"/>
      <c r="AK1210" s="23"/>
      <c r="AL1210" s="23"/>
      <c r="AM1210" s="23"/>
      <c r="AN1210" s="23">
        <v>3</v>
      </c>
      <c r="AO1210" s="23"/>
      <c r="AP1210" s="23"/>
      <c r="AQ1210" s="81"/>
      <c r="AR1210" s="83">
        <v>1</v>
      </c>
      <c r="AS1210" s="83">
        <v>1</v>
      </c>
      <c r="AT1210" s="81"/>
      <c r="AU1210" s="12" t="s">
        <v>1936</v>
      </c>
      <c r="AV1210" s="13"/>
      <c r="AW1210" s="39">
        <v>6</v>
      </c>
      <c r="AX1210" s="12">
        <f>VLOOKUP(AW1210,색인!$N$14:$O$19,2,FALSE)</f>
        <v>4</v>
      </c>
      <c r="AY1210" s="32" t="str">
        <f>"T"&amp;O1210&amp;"_"&amp;AX1210&amp;"옵션_"&amp;VLOOKUP(E1210,색인!$J$25:$K$29,2,FALSE)</f>
        <v>T3_4옵션_보조장비</v>
      </c>
      <c r="AZ1210" s="32">
        <f>VLOOKUP(G1210,색인!$J$32:$K$45,2,FALSE)</f>
        <v>4</v>
      </c>
      <c r="BA1210" s="32" t="str">
        <f>_xlfn.IFNA(VLOOKUP(AY1210,표1[[검색용]:[OptionGroupIndex'[']22]],EquipItemTable!AZ1210,FALSE),"옵션고정안함")</f>
        <v>옵션고정안함</v>
      </c>
    </row>
    <row r="1211" spans="1:53" ht="14.1" customHeight="1" x14ac:dyDescent="0.2">
      <c r="A1211" s="13" t="s">
        <v>1080</v>
      </c>
      <c r="B1211" s="39">
        <v>70021</v>
      </c>
      <c r="C1211" s="42" t="s">
        <v>3761</v>
      </c>
      <c r="D1211" s="10" t="s">
        <v>2966</v>
      </c>
      <c r="E1211" s="10" t="s">
        <v>101</v>
      </c>
      <c r="F1211" s="1" t="s">
        <v>92</v>
      </c>
      <c r="G1211" s="1" t="s">
        <v>1311</v>
      </c>
      <c r="H1211" s="1"/>
      <c r="I1211" s="1"/>
      <c r="J1211" s="1"/>
      <c r="K1211" s="1"/>
      <c r="L1211" s="1"/>
      <c r="M1211" s="1"/>
      <c r="N1211" s="81"/>
      <c r="O1211" s="12" t="s">
        <v>96</v>
      </c>
      <c r="P1211" s="1">
        <v>31</v>
      </c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3">
        <v>576</v>
      </c>
      <c r="AC1211" s="82"/>
      <c r="AD1211" s="23" t="s">
        <v>52</v>
      </c>
      <c r="AE1211" s="23">
        <v>3</v>
      </c>
      <c r="AF1211" s="23"/>
      <c r="AI1211" s="23"/>
      <c r="AJ1211" s="23"/>
      <c r="AK1211" s="23"/>
      <c r="AL1211" s="23"/>
      <c r="AM1211" s="23"/>
      <c r="AN1211" s="23">
        <v>4</v>
      </c>
      <c r="AO1211" s="23"/>
      <c r="AP1211" s="23"/>
      <c r="AQ1211" s="81"/>
      <c r="AR1211" s="83">
        <v>1</v>
      </c>
      <c r="AS1211" s="83">
        <v>1</v>
      </c>
      <c r="AT1211" s="81"/>
      <c r="AU1211" s="12" t="s">
        <v>1936</v>
      </c>
      <c r="AV1211" s="13"/>
      <c r="AW1211" s="39">
        <v>6</v>
      </c>
      <c r="AX1211" s="12">
        <f>VLOOKUP(AW1211,색인!$N$14:$O$19,2,FALSE)</f>
        <v>4</v>
      </c>
      <c r="AY1211" s="32" t="str">
        <f>"T"&amp;O1211&amp;"_"&amp;AX1211&amp;"옵션_"&amp;VLOOKUP(E1211,색인!$J$25:$K$29,2,FALSE)</f>
        <v>T3_4옵션_보조장비</v>
      </c>
      <c r="AZ1211" s="32">
        <f>VLOOKUP(G1211,색인!$J$32:$K$45,2,FALSE)</f>
        <v>4</v>
      </c>
      <c r="BA1211" s="32" t="str">
        <f>_xlfn.IFNA(VLOOKUP(AY1211,표1[[검색용]:[OptionGroupIndex'[']22]],EquipItemTable!AZ1211,FALSE),"옵션고정안함")</f>
        <v>옵션고정안함</v>
      </c>
    </row>
    <row r="1212" spans="1:53" ht="12" customHeight="1" x14ac:dyDescent="0.2">
      <c r="A1212" s="13" t="s">
        <v>218</v>
      </c>
      <c r="B1212" s="39">
        <v>70013</v>
      </c>
      <c r="C1212" s="42" t="s">
        <v>3762</v>
      </c>
      <c r="D1212" s="10" t="s">
        <v>2966</v>
      </c>
      <c r="E1212" s="10" t="s">
        <v>101</v>
      </c>
      <c r="F1212" s="1" t="s">
        <v>92</v>
      </c>
      <c r="G1212" s="1" t="s">
        <v>1311</v>
      </c>
      <c r="H1212" s="1"/>
      <c r="I1212" s="1"/>
      <c r="J1212" s="1"/>
      <c r="K1212" s="1"/>
      <c r="L1212" s="1"/>
      <c r="M1212" s="1"/>
      <c r="N1212" s="81"/>
      <c r="O1212" s="12" t="s">
        <v>97</v>
      </c>
      <c r="P1212" s="1">
        <v>41</v>
      </c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3">
        <v>559</v>
      </c>
      <c r="AC1212" s="82"/>
      <c r="AD1212" s="23" t="s">
        <v>52</v>
      </c>
      <c r="AE1212" s="23">
        <v>4</v>
      </c>
      <c r="AF1212" s="23"/>
      <c r="AI1212" s="23"/>
      <c r="AJ1212" s="23"/>
      <c r="AK1212" s="23"/>
      <c r="AL1212" s="23"/>
      <c r="AM1212" s="23"/>
      <c r="AN1212" s="23"/>
      <c r="AO1212" s="23"/>
      <c r="AP1212" s="23"/>
      <c r="AQ1212" s="81"/>
      <c r="AR1212" s="83"/>
      <c r="AS1212" s="83"/>
      <c r="AT1212" s="81"/>
      <c r="AU1212" s="12" t="s">
        <v>1932</v>
      </c>
      <c r="AV1212" s="13"/>
      <c r="AW1212" s="39">
        <v>1</v>
      </c>
      <c r="AY1212" s="32"/>
      <c r="AZ1212" s="32"/>
      <c r="BA1212" s="32"/>
    </row>
    <row r="1213" spans="1:53" ht="12" customHeight="1" x14ac:dyDescent="0.2">
      <c r="A1213" s="13" t="s">
        <v>219</v>
      </c>
      <c r="B1213" s="39">
        <v>70014</v>
      </c>
      <c r="C1213" s="42" t="s">
        <v>3763</v>
      </c>
      <c r="D1213" s="10" t="s">
        <v>2966</v>
      </c>
      <c r="E1213" s="10" t="s">
        <v>101</v>
      </c>
      <c r="F1213" s="1" t="s">
        <v>92</v>
      </c>
      <c r="G1213" s="1" t="s">
        <v>1311</v>
      </c>
      <c r="H1213" s="1"/>
      <c r="I1213" s="1"/>
      <c r="J1213" s="1"/>
      <c r="K1213" s="1"/>
      <c r="L1213" s="1"/>
      <c r="M1213" s="1"/>
      <c r="N1213" s="81"/>
      <c r="O1213" s="12" t="s">
        <v>97</v>
      </c>
      <c r="P1213" s="1">
        <v>41</v>
      </c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3">
        <v>691</v>
      </c>
      <c r="AC1213" s="82"/>
      <c r="AD1213" s="23" t="s">
        <v>52</v>
      </c>
      <c r="AE1213" s="90" t="str">
        <f t="shared" ref="AE1213:AE1215" si="154">BA1213</f>
        <v>4121,4122</v>
      </c>
      <c r="AF1213" s="23"/>
      <c r="AI1213" s="23"/>
      <c r="AJ1213" s="23"/>
      <c r="AK1213" s="23"/>
      <c r="AL1213" s="23"/>
      <c r="AM1213" s="23"/>
      <c r="AN1213" s="23"/>
      <c r="AO1213" s="23"/>
      <c r="AP1213" s="23"/>
      <c r="AQ1213" s="81"/>
      <c r="AR1213" s="83"/>
      <c r="AS1213" s="83"/>
      <c r="AT1213" s="81"/>
      <c r="AU1213" s="12" t="s">
        <v>1933</v>
      </c>
      <c r="AV1213" s="13"/>
      <c r="AW1213" s="39">
        <v>2</v>
      </c>
      <c r="AX1213" s="12">
        <f>VLOOKUP(AW1213,색인!$N$14:$O$19,2,FALSE)</f>
        <v>1</v>
      </c>
      <c r="AY1213" s="39" t="str">
        <f>"T"&amp;O1213&amp;"_"&amp;AX1213&amp;"옵션_"&amp;VLOOKUP(E1213,색인!$J$25:$K$29,2,FALSE)</f>
        <v>T4_1옵션_보조장비</v>
      </c>
      <c r="AZ1213" s="39">
        <f>VLOOKUP(G1213,색인!$J$32:$K$45,2,FALSE)</f>
        <v>4</v>
      </c>
      <c r="BA1213" s="39" t="str">
        <f>_xlfn.IFNA(VLOOKUP(AY1213,표1[[검색용]:[OptionGroupIndex'[']22]],EquipItemTable!AZ1213,FALSE),"옵션고정안함")</f>
        <v>4121,4122</v>
      </c>
    </row>
    <row r="1214" spans="1:53" ht="12" customHeight="1" x14ac:dyDescent="0.2">
      <c r="A1214" s="13" t="s">
        <v>220</v>
      </c>
      <c r="B1214" s="39">
        <v>70015</v>
      </c>
      <c r="C1214" s="42" t="s">
        <v>3764</v>
      </c>
      <c r="D1214" s="10" t="s">
        <v>2966</v>
      </c>
      <c r="E1214" s="10" t="s">
        <v>101</v>
      </c>
      <c r="F1214" s="1" t="s">
        <v>92</v>
      </c>
      <c r="G1214" s="1" t="s">
        <v>1311</v>
      </c>
      <c r="H1214" s="1"/>
      <c r="I1214" s="1"/>
      <c r="J1214" s="1"/>
      <c r="K1214" s="1"/>
      <c r="L1214" s="1"/>
      <c r="M1214" s="1"/>
      <c r="N1214" s="81"/>
      <c r="O1214" s="12" t="s">
        <v>97</v>
      </c>
      <c r="P1214" s="1">
        <v>41</v>
      </c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3">
        <v>810</v>
      </c>
      <c r="AC1214" s="82"/>
      <c r="AD1214" s="23" t="s">
        <v>52</v>
      </c>
      <c r="AE1214" s="90" t="str">
        <f t="shared" si="154"/>
        <v>4221,4222</v>
      </c>
      <c r="AF1214" s="23"/>
      <c r="AI1214" s="23"/>
      <c r="AJ1214" s="23"/>
      <c r="AK1214" s="23"/>
      <c r="AL1214" s="23"/>
      <c r="AM1214" s="23"/>
      <c r="AN1214" s="23"/>
      <c r="AO1214" s="23"/>
      <c r="AP1214" s="23"/>
      <c r="AQ1214" s="81"/>
      <c r="AR1214" s="83">
        <v>1</v>
      </c>
      <c r="AS1214" s="83">
        <v>1</v>
      </c>
      <c r="AT1214" s="81"/>
      <c r="AU1214" s="12" t="s">
        <v>1934</v>
      </c>
      <c r="AV1214" s="13"/>
      <c r="AW1214" s="39">
        <v>3</v>
      </c>
      <c r="AX1214" s="12">
        <f>VLOOKUP(AW1214,색인!$N$14:$O$19,2,FALSE)</f>
        <v>2</v>
      </c>
      <c r="AY1214" s="39" t="str">
        <f>"T"&amp;O1214&amp;"_"&amp;AX1214&amp;"옵션_"&amp;VLOOKUP(E1214,색인!$J$25:$K$29,2,FALSE)</f>
        <v>T4_2옵션_보조장비</v>
      </c>
      <c r="AZ1214" s="39">
        <f>VLOOKUP(G1214,색인!$J$32:$K$45,2,FALSE)</f>
        <v>4</v>
      </c>
      <c r="BA1214" s="39" t="str">
        <f>_xlfn.IFNA(VLOOKUP(AY1214,표1[[검색용]:[OptionGroupIndex'[']22]],EquipItemTable!AZ1214,FALSE),"옵션고정안함")</f>
        <v>4221,4222</v>
      </c>
    </row>
    <row r="1215" spans="1:53" ht="12" customHeight="1" x14ac:dyDescent="0.2">
      <c r="A1215" s="13" t="s">
        <v>221</v>
      </c>
      <c r="B1215" s="39">
        <v>70016</v>
      </c>
      <c r="C1215" s="42" t="s">
        <v>3765</v>
      </c>
      <c r="D1215" s="10" t="s">
        <v>2966</v>
      </c>
      <c r="E1215" s="10" t="s">
        <v>101</v>
      </c>
      <c r="F1215" s="1" t="s">
        <v>92</v>
      </c>
      <c r="G1215" s="1" t="s">
        <v>1311</v>
      </c>
      <c r="H1215" s="1"/>
      <c r="I1215" s="1"/>
      <c r="J1215" s="1"/>
      <c r="K1215" s="1"/>
      <c r="L1215" s="1"/>
      <c r="M1215" s="1"/>
      <c r="O1215" s="12" t="s">
        <v>97</v>
      </c>
      <c r="P1215" s="1">
        <v>41</v>
      </c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>
        <v>948</v>
      </c>
      <c r="AC1215" s="82"/>
      <c r="AD1215" s="12" t="s">
        <v>52</v>
      </c>
      <c r="AE1215" s="39" t="str">
        <f t="shared" si="154"/>
        <v>4321,4322</v>
      </c>
      <c r="AN1215" s="12"/>
      <c r="AR1215" s="34" t="s">
        <v>94</v>
      </c>
      <c r="AS1215" s="34" t="s">
        <v>94</v>
      </c>
      <c r="AU1215" s="12" t="s">
        <v>1935</v>
      </c>
      <c r="AV1215" s="13"/>
      <c r="AW1215" s="39">
        <v>4</v>
      </c>
      <c r="AX1215" s="12">
        <f>VLOOKUP(AW1215,색인!$N$14:$O$19,2,FALSE)</f>
        <v>3</v>
      </c>
      <c r="AY1215" s="39" t="str">
        <f>"T"&amp;O1215&amp;"_"&amp;AX1215&amp;"옵션_"&amp;VLOOKUP(E1215,색인!$J$25:$K$29,2,FALSE)</f>
        <v>T4_3옵션_보조장비</v>
      </c>
      <c r="AZ1215" s="39">
        <f>VLOOKUP(G1215,색인!$J$32:$K$45,2,FALSE)</f>
        <v>4</v>
      </c>
      <c r="BA1215" s="39" t="str">
        <f>_xlfn.IFNA(VLOOKUP(AY1215,표1[[검색용]:[OptionGroupIndex'[']22]],EquipItemTable!AZ1215,FALSE),"옵션고정안함")</f>
        <v>4321,4322</v>
      </c>
    </row>
    <row r="1216" spans="1:53" ht="14.1" customHeight="1" x14ac:dyDescent="0.2">
      <c r="A1216" s="13" t="s">
        <v>584</v>
      </c>
      <c r="B1216" s="39">
        <v>70032</v>
      </c>
      <c r="C1216" s="42" t="s">
        <v>3758</v>
      </c>
      <c r="D1216" s="10" t="s">
        <v>2966</v>
      </c>
      <c r="E1216" s="10" t="s">
        <v>101</v>
      </c>
      <c r="F1216" s="1" t="s">
        <v>92</v>
      </c>
      <c r="G1216" s="1" t="s">
        <v>1311</v>
      </c>
      <c r="H1216" s="1"/>
      <c r="I1216" s="1"/>
      <c r="J1216" s="1"/>
      <c r="K1216" s="1"/>
      <c r="L1216" s="1"/>
      <c r="M1216" s="1"/>
      <c r="O1216" s="12" t="s">
        <v>97</v>
      </c>
      <c r="P1216" s="1">
        <v>41</v>
      </c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>
        <v>1107</v>
      </c>
      <c r="AC1216" s="82"/>
      <c r="AD1216" s="12" t="s">
        <v>52</v>
      </c>
      <c r="AE1216" s="12" t="s">
        <v>97</v>
      </c>
      <c r="AN1216" s="12" t="s">
        <v>554</v>
      </c>
      <c r="AR1216" s="34" t="s">
        <v>94</v>
      </c>
      <c r="AS1216" s="34" t="s">
        <v>94</v>
      </c>
      <c r="AU1216" s="12" t="s">
        <v>1936</v>
      </c>
      <c r="AV1216" s="13"/>
      <c r="AW1216" s="39">
        <v>6</v>
      </c>
      <c r="AX1216" s="12">
        <f>VLOOKUP(AW1216,색인!$N$14:$O$19,2,FALSE)</f>
        <v>4</v>
      </c>
      <c r="AY1216" s="32" t="str">
        <f>"T"&amp;O1216&amp;"_"&amp;AX1216&amp;"옵션_"&amp;VLOOKUP(E1216,색인!$J$25:$K$29,2,FALSE)</f>
        <v>T4_4옵션_보조장비</v>
      </c>
      <c r="AZ1216" s="32">
        <f>VLOOKUP(G1216,색인!$J$32:$K$45,2,FALSE)</f>
        <v>4</v>
      </c>
      <c r="BA1216" s="32" t="str">
        <f>_xlfn.IFNA(VLOOKUP(AY1216,표1[[검색용]:[OptionGroupIndex'[']22]],EquipItemTable!AZ1216,FALSE),"옵션고정안함")</f>
        <v>옵션고정안함</v>
      </c>
    </row>
    <row r="1217" spans="1:53" ht="14.1" customHeight="1" x14ac:dyDescent="0.2">
      <c r="A1217" s="13" t="s">
        <v>1081</v>
      </c>
      <c r="B1217" s="39">
        <v>70033</v>
      </c>
      <c r="C1217" s="42" t="s">
        <v>3759</v>
      </c>
      <c r="D1217" s="10" t="s">
        <v>2966</v>
      </c>
      <c r="E1217" s="10" t="s">
        <v>101</v>
      </c>
      <c r="F1217" s="1" t="s">
        <v>92</v>
      </c>
      <c r="G1217" s="1" t="s">
        <v>1311</v>
      </c>
      <c r="H1217" s="1"/>
      <c r="I1217" s="1"/>
      <c r="J1217" s="1"/>
      <c r="K1217" s="1"/>
      <c r="L1217" s="1"/>
      <c r="M1217" s="1"/>
      <c r="O1217" s="12" t="s">
        <v>97</v>
      </c>
      <c r="P1217" s="1">
        <v>41</v>
      </c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>
        <v>1107</v>
      </c>
      <c r="AC1217" s="82"/>
      <c r="AD1217" s="12" t="s">
        <v>52</v>
      </c>
      <c r="AE1217" s="12" t="s">
        <v>97</v>
      </c>
      <c r="AN1217" s="12" t="s">
        <v>1192</v>
      </c>
      <c r="AR1217" s="34" t="s">
        <v>94</v>
      </c>
      <c r="AS1217" s="34" t="s">
        <v>94</v>
      </c>
      <c r="AU1217" s="12" t="s">
        <v>1936</v>
      </c>
      <c r="AV1217" s="13"/>
      <c r="AW1217" s="39">
        <v>6</v>
      </c>
      <c r="AX1217" s="12">
        <f>VLOOKUP(AW1217,색인!$N$14:$O$19,2,FALSE)</f>
        <v>4</v>
      </c>
      <c r="AY1217" s="32" t="str">
        <f>"T"&amp;O1217&amp;"_"&amp;AX1217&amp;"옵션_"&amp;VLOOKUP(E1217,색인!$J$25:$K$29,2,FALSE)</f>
        <v>T4_4옵션_보조장비</v>
      </c>
      <c r="AZ1217" s="32">
        <f>VLOOKUP(G1217,색인!$J$32:$K$45,2,FALSE)</f>
        <v>4</v>
      </c>
      <c r="BA1217" s="32" t="str">
        <f>_xlfn.IFNA(VLOOKUP(AY1217,표1[[검색용]:[OptionGroupIndex'[']22]],EquipItemTable!AZ1217,FALSE),"옵션고정안함")</f>
        <v>옵션고정안함</v>
      </c>
    </row>
    <row r="1218" spans="1:53" ht="14.1" customHeight="1" x14ac:dyDescent="0.2">
      <c r="A1218" s="13" t="s">
        <v>1082</v>
      </c>
      <c r="B1218" s="39">
        <v>70034</v>
      </c>
      <c r="C1218" s="42" t="s">
        <v>3760</v>
      </c>
      <c r="D1218" s="10" t="s">
        <v>2966</v>
      </c>
      <c r="E1218" s="10" t="s">
        <v>101</v>
      </c>
      <c r="F1218" s="1" t="s">
        <v>92</v>
      </c>
      <c r="G1218" s="1" t="s">
        <v>1311</v>
      </c>
      <c r="H1218" s="1"/>
      <c r="I1218" s="1"/>
      <c r="J1218" s="1"/>
      <c r="K1218" s="1"/>
      <c r="L1218" s="1"/>
      <c r="M1218" s="1"/>
      <c r="O1218" s="12" t="s">
        <v>97</v>
      </c>
      <c r="P1218" s="1">
        <v>41</v>
      </c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>
        <v>1107</v>
      </c>
      <c r="AC1218" s="82"/>
      <c r="AD1218" s="12" t="s">
        <v>52</v>
      </c>
      <c r="AE1218" s="12" t="s">
        <v>97</v>
      </c>
      <c r="AN1218" s="12" t="s">
        <v>369</v>
      </c>
      <c r="AR1218" s="34" t="s">
        <v>94</v>
      </c>
      <c r="AS1218" s="34" t="s">
        <v>94</v>
      </c>
      <c r="AU1218" s="12" t="s">
        <v>1936</v>
      </c>
      <c r="AV1218" s="13"/>
      <c r="AW1218" s="39">
        <v>6</v>
      </c>
      <c r="AX1218" s="12">
        <f>VLOOKUP(AW1218,색인!$N$14:$O$19,2,FALSE)</f>
        <v>4</v>
      </c>
      <c r="AY1218" s="32" t="str">
        <f>"T"&amp;O1218&amp;"_"&amp;AX1218&amp;"옵션_"&amp;VLOOKUP(E1218,색인!$J$25:$K$29,2,FALSE)</f>
        <v>T4_4옵션_보조장비</v>
      </c>
      <c r="AZ1218" s="32">
        <f>VLOOKUP(G1218,색인!$J$32:$K$45,2,FALSE)</f>
        <v>4</v>
      </c>
      <c r="BA1218" s="32" t="str">
        <f>_xlfn.IFNA(VLOOKUP(AY1218,표1[[검색용]:[OptionGroupIndex'[']22]],EquipItemTable!AZ1218,FALSE),"옵션고정안함")</f>
        <v>옵션고정안함</v>
      </c>
    </row>
    <row r="1219" spans="1:53" ht="14.1" customHeight="1" x14ac:dyDescent="0.2">
      <c r="A1219" s="13" t="s">
        <v>1083</v>
      </c>
      <c r="B1219" s="39">
        <v>70022</v>
      </c>
      <c r="C1219" s="42" t="s">
        <v>3761</v>
      </c>
      <c r="D1219" s="10" t="s">
        <v>2966</v>
      </c>
      <c r="E1219" s="10" t="s">
        <v>101</v>
      </c>
      <c r="F1219" s="1" t="s">
        <v>92</v>
      </c>
      <c r="G1219" s="1" t="s">
        <v>1311</v>
      </c>
      <c r="H1219" s="1"/>
      <c r="I1219" s="1"/>
      <c r="J1219" s="1"/>
      <c r="K1219" s="1"/>
      <c r="L1219" s="1"/>
      <c r="M1219" s="1"/>
      <c r="O1219" s="12" t="s">
        <v>97</v>
      </c>
      <c r="P1219" s="1">
        <v>41</v>
      </c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>
        <v>1107</v>
      </c>
      <c r="AC1219" s="82"/>
      <c r="AD1219" s="12" t="s">
        <v>52</v>
      </c>
      <c r="AE1219" s="12" t="s">
        <v>97</v>
      </c>
      <c r="AN1219" s="12" t="s">
        <v>1194</v>
      </c>
      <c r="AR1219" s="34" t="s">
        <v>94</v>
      </c>
      <c r="AS1219" s="34" t="s">
        <v>94</v>
      </c>
      <c r="AU1219" s="12" t="s">
        <v>1936</v>
      </c>
      <c r="AV1219" s="13"/>
      <c r="AW1219" s="39">
        <v>6</v>
      </c>
      <c r="AX1219" s="12">
        <f>VLOOKUP(AW1219,색인!$N$14:$O$19,2,FALSE)</f>
        <v>4</v>
      </c>
      <c r="AY1219" s="32" t="str">
        <f>"T"&amp;O1219&amp;"_"&amp;AX1219&amp;"옵션_"&amp;VLOOKUP(E1219,색인!$J$25:$K$29,2,FALSE)</f>
        <v>T4_4옵션_보조장비</v>
      </c>
      <c r="AZ1219" s="32">
        <f>VLOOKUP(G1219,색인!$J$32:$K$45,2,FALSE)</f>
        <v>4</v>
      </c>
      <c r="BA1219" s="32" t="str">
        <f>_xlfn.IFNA(VLOOKUP(AY1219,표1[[검색용]:[OptionGroupIndex'[']22]],EquipItemTable!AZ1219,FALSE),"옵션고정안함")</f>
        <v>옵션고정안함</v>
      </c>
    </row>
    <row r="1220" spans="1:53" ht="12" customHeight="1" x14ac:dyDescent="0.2">
      <c r="A1220" s="13" t="s">
        <v>495</v>
      </c>
      <c r="B1220" s="39">
        <v>70017</v>
      </c>
      <c r="C1220" s="42" t="s">
        <v>3766</v>
      </c>
      <c r="D1220" s="10" t="s">
        <v>85</v>
      </c>
      <c r="E1220" s="10" t="s">
        <v>501</v>
      </c>
      <c r="F1220" s="1" t="s">
        <v>480</v>
      </c>
      <c r="G1220" s="1" t="s">
        <v>1311</v>
      </c>
      <c r="H1220" s="1"/>
      <c r="I1220" s="1"/>
      <c r="J1220" s="1"/>
      <c r="K1220" s="1"/>
      <c r="L1220" s="1"/>
      <c r="M1220" s="1"/>
      <c r="O1220" s="12" t="s">
        <v>430</v>
      </c>
      <c r="P1220" s="1">
        <v>51</v>
      </c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>
        <v>1089</v>
      </c>
      <c r="AC1220" s="82"/>
      <c r="AD1220" s="12" t="s">
        <v>542</v>
      </c>
      <c r="AE1220" s="12" t="s">
        <v>552</v>
      </c>
      <c r="AN1220" s="12"/>
      <c r="AU1220" s="12" t="s">
        <v>1932</v>
      </c>
      <c r="AV1220" s="13"/>
      <c r="AW1220" s="39">
        <v>1</v>
      </c>
      <c r="AY1220" s="32"/>
      <c r="AZ1220" s="32"/>
      <c r="BA1220" s="32"/>
    </row>
    <row r="1221" spans="1:53" ht="12" customHeight="1" x14ac:dyDescent="0.2">
      <c r="A1221" s="13" t="s">
        <v>496</v>
      </c>
      <c r="B1221" s="39">
        <v>70018</v>
      </c>
      <c r="C1221" s="42" t="s">
        <v>3767</v>
      </c>
      <c r="D1221" s="10" t="s">
        <v>85</v>
      </c>
      <c r="E1221" s="10" t="s">
        <v>501</v>
      </c>
      <c r="F1221" s="1" t="s">
        <v>480</v>
      </c>
      <c r="G1221" s="1" t="s">
        <v>1311</v>
      </c>
      <c r="H1221" s="1"/>
      <c r="I1221" s="1"/>
      <c r="J1221" s="1"/>
      <c r="K1221" s="1"/>
      <c r="L1221" s="1"/>
      <c r="M1221" s="1"/>
      <c r="O1221" s="12" t="s">
        <v>430</v>
      </c>
      <c r="P1221" s="1">
        <v>51</v>
      </c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>
        <v>1330</v>
      </c>
      <c r="AC1221" s="82"/>
      <c r="AD1221" s="12" t="s">
        <v>542</v>
      </c>
      <c r="AE1221" s="39" t="str">
        <f t="shared" ref="AE1221:AE1223" si="155">BA1221</f>
        <v>5121,5122</v>
      </c>
      <c r="AN1221" s="12"/>
      <c r="AU1221" s="12" t="s">
        <v>1933</v>
      </c>
      <c r="AV1221" s="13"/>
      <c r="AW1221" s="39">
        <v>2</v>
      </c>
      <c r="AX1221" s="12">
        <f>VLOOKUP(AW1221,색인!$N$14:$O$19,2,FALSE)</f>
        <v>1</v>
      </c>
      <c r="AY1221" s="39" t="str">
        <f>"T"&amp;O1221&amp;"_"&amp;AX1221&amp;"옵션_"&amp;VLOOKUP(E1221,색인!$J$25:$K$29,2,FALSE)</f>
        <v>T5_1옵션_보조장비</v>
      </c>
      <c r="AZ1221" s="39">
        <f>VLOOKUP(G1221,색인!$J$32:$K$45,2,FALSE)</f>
        <v>4</v>
      </c>
      <c r="BA1221" s="39" t="str">
        <f>_xlfn.IFNA(VLOOKUP(AY1221,표1[[검색용]:[OptionGroupIndex'[']22]],EquipItemTable!AZ1221,FALSE),"옵션고정안함")</f>
        <v>5121,5122</v>
      </c>
    </row>
    <row r="1222" spans="1:53" ht="12" customHeight="1" x14ac:dyDescent="0.2">
      <c r="A1222" s="13" t="s">
        <v>497</v>
      </c>
      <c r="B1222" s="39">
        <v>70019</v>
      </c>
      <c r="C1222" s="42" t="s">
        <v>3768</v>
      </c>
      <c r="D1222" s="10" t="s">
        <v>85</v>
      </c>
      <c r="E1222" s="10" t="s">
        <v>501</v>
      </c>
      <c r="F1222" s="1" t="s">
        <v>480</v>
      </c>
      <c r="G1222" s="1" t="s">
        <v>1311</v>
      </c>
      <c r="H1222" s="1"/>
      <c r="I1222" s="1"/>
      <c r="J1222" s="1"/>
      <c r="K1222" s="1"/>
      <c r="L1222" s="1"/>
      <c r="M1222" s="1"/>
      <c r="O1222" s="12" t="s">
        <v>430</v>
      </c>
      <c r="P1222" s="1">
        <v>51</v>
      </c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>
        <v>1546</v>
      </c>
      <c r="AC1222" s="82"/>
      <c r="AD1222" s="12" t="s">
        <v>542</v>
      </c>
      <c r="AE1222" s="39" t="str">
        <f t="shared" si="155"/>
        <v>5221,5222</v>
      </c>
      <c r="AN1222" s="12"/>
      <c r="AR1222" s="34" t="s">
        <v>543</v>
      </c>
      <c r="AS1222" s="34" t="s">
        <v>543</v>
      </c>
      <c r="AU1222" s="12" t="s">
        <v>1934</v>
      </c>
      <c r="AV1222" s="13"/>
      <c r="AW1222" s="39">
        <v>3</v>
      </c>
      <c r="AX1222" s="12">
        <f>VLOOKUP(AW1222,색인!$N$14:$O$19,2,FALSE)</f>
        <v>2</v>
      </c>
      <c r="AY1222" s="39" t="str">
        <f>"T"&amp;O1222&amp;"_"&amp;AX1222&amp;"옵션_"&amp;VLOOKUP(E1222,색인!$J$25:$K$29,2,FALSE)</f>
        <v>T5_2옵션_보조장비</v>
      </c>
      <c r="AZ1222" s="39">
        <f>VLOOKUP(G1222,색인!$J$32:$K$45,2,FALSE)</f>
        <v>4</v>
      </c>
      <c r="BA1222" s="39" t="str">
        <f>_xlfn.IFNA(VLOOKUP(AY1222,표1[[검색용]:[OptionGroupIndex'[']22]],EquipItemTable!AZ1222,FALSE),"옵션고정안함")</f>
        <v>5221,5222</v>
      </c>
    </row>
    <row r="1223" spans="1:53" ht="12" customHeight="1" x14ac:dyDescent="0.2">
      <c r="A1223" s="13" t="s">
        <v>498</v>
      </c>
      <c r="B1223" s="39">
        <v>70020</v>
      </c>
      <c r="C1223" s="42" t="s">
        <v>3769</v>
      </c>
      <c r="D1223" s="10" t="s">
        <v>85</v>
      </c>
      <c r="E1223" s="10" t="s">
        <v>501</v>
      </c>
      <c r="F1223" s="1" t="s">
        <v>480</v>
      </c>
      <c r="G1223" s="1" t="s">
        <v>1311</v>
      </c>
      <c r="H1223" s="1"/>
      <c r="I1223" s="1"/>
      <c r="J1223" s="1"/>
      <c r="K1223" s="1"/>
      <c r="L1223" s="1"/>
      <c r="M1223" s="1"/>
      <c r="O1223" s="12" t="s">
        <v>430</v>
      </c>
      <c r="P1223" s="1">
        <v>51</v>
      </c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>
        <v>1789</v>
      </c>
      <c r="AC1223" s="82"/>
      <c r="AD1223" s="12" t="s">
        <v>542</v>
      </c>
      <c r="AE1223" s="39" t="str">
        <f t="shared" si="155"/>
        <v>5321,5322</v>
      </c>
      <c r="AN1223" s="12"/>
      <c r="AR1223" s="34" t="s">
        <v>543</v>
      </c>
      <c r="AS1223" s="34" t="s">
        <v>543</v>
      </c>
      <c r="AU1223" s="12" t="s">
        <v>1935</v>
      </c>
      <c r="AV1223" s="13"/>
      <c r="AW1223" s="39">
        <v>4</v>
      </c>
      <c r="AX1223" s="12">
        <f>VLOOKUP(AW1223,색인!$N$14:$O$19,2,FALSE)</f>
        <v>3</v>
      </c>
      <c r="AY1223" s="39" t="str">
        <f>"T"&amp;O1223&amp;"_"&amp;AX1223&amp;"옵션_"&amp;VLOOKUP(E1223,색인!$J$25:$K$29,2,FALSE)</f>
        <v>T5_3옵션_보조장비</v>
      </c>
      <c r="AZ1223" s="39">
        <f>VLOOKUP(G1223,색인!$J$32:$K$45,2,FALSE)</f>
        <v>4</v>
      </c>
      <c r="BA1223" s="39" t="str">
        <f>_xlfn.IFNA(VLOOKUP(AY1223,표1[[검색용]:[OptionGroupIndex'[']22]],EquipItemTable!AZ1223,FALSE),"옵션고정안함")</f>
        <v>5321,5322</v>
      </c>
    </row>
    <row r="1224" spans="1:53" ht="14.1" customHeight="1" x14ac:dyDescent="0.2">
      <c r="A1224" s="13" t="s">
        <v>585</v>
      </c>
      <c r="B1224" s="39">
        <v>70035</v>
      </c>
      <c r="C1224" s="42" t="s">
        <v>3758</v>
      </c>
      <c r="D1224" s="10" t="s">
        <v>85</v>
      </c>
      <c r="E1224" s="10" t="s">
        <v>501</v>
      </c>
      <c r="F1224" s="1" t="s">
        <v>480</v>
      </c>
      <c r="G1224" s="1" t="s">
        <v>1311</v>
      </c>
      <c r="H1224" s="1"/>
      <c r="I1224" s="1"/>
      <c r="J1224" s="1"/>
      <c r="K1224" s="1"/>
      <c r="L1224" s="1"/>
      <c r="M1224" s="1"/>
      <c r="O1224" s="12" t="s">
        <v>430</v>
      </c>
      <c r="P1224" s="1">
        <v>51</v>
      </c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>
        <v>2062</v>
      </c>
      <c r="AC1224" s="82"/>
      <c r="AD1224" s="12" t="s">
        <v>98</v>
      </c>
      <c r="AE1224" s="12" t="s">
        <v>529</v>
      </c>
      <c r="AN1224" s="12" t="s">
        <v>554</v>
      </c>
      <c r="AR1224" s="34" t="s">
        <v>94</v>
      </c>
      <c r="AS1224" s="34" t="s">
        <v>94</v>
      </c>
      <c r="AU1224" s="12" t="s">
        <v>1936</v>
      </c>
      <c r="AV1224" s="13"/>
      <c r="AW1224" s="39">
        <v>6</v>
      </c>
      <c r="AX1224" s="12">
        <f>VLOOKUP(AW1224,색인!$N$14:$O$19,2,FALSE)</f>
        <v>4</v>
      </c>
      <c r="AY1224" s="32" t="str">
        <f>"T"&amp;O1224&amp;"_"&amp;AX1224&amp;"옵션_"&amp;VLOOKUP(E1224,색인!$J$25:$K$29,2,FALSE)</f>
        <v>T5_4옵션_보조장비</v>
      </c>
      <c r="AZ1224" s="32">
        <f>VLOOKUP(G1224,색인!$J$32:$K$45,2,FALSE)</f>
        <v>4</v>
      </c>
      <c r="BA1224" s="32" t="str">
        <f>_xlfn.IFNA(VLOOKUP(AY1224,표1[[검색용]:[OptionGroupIndex'[']22]],EquipItemTable!AZ1224,FALSE),"옵션고정안함")</f>
        <v>옵션고정안함</v>
      </c>
    </row>
    <row r="1225" spans="1:53" ht="14.1" customHeight="1" x14ac:dyDescent="0.2">
      <c r="A1225" s="13" t="s">
        <v>1084</v>
      </c>
      <c r="B1225" s="39">
        <v>70036</v>
      </c>
      <c r="C1225" s="42" t="s">
        <v>3759</v>
      </c>
      <c r="D1225" s="10" t="s">
        <v>85</v>
      </c>
      <c r="E1225" s="10" t="s">
        <v>501</v>
      </c>
      <c r="F1225" s="1" t="s">
        <v>480</v>
      </c>
      <c r="G1225" s="1" t="s">
        <v>1311</v>
      </c>
      <c r="H1225" s="1"/>
      <c r="I1225" s="1"/>
      <c r="J1225" s="1"/>
      <c r="K1225" s="1"/>
      <c r="L1225" s="1"/>
      <c r="M1225" s="1"/>
      <c r="O1225" s="12" t="s">
        <v>430</v>
      </c>
      <c r="P1225" s="1">
        <v>51</v>
      </c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>
        <v>2062</v>
      </c>
      <c r="AC1225" s="82"/>
      <c r="AD1225" s="12" t="s">
        <v>98</v>
      </c>
      <c r="AE1225" s="12" t="s">
        <v>430</v>
      </c>
      <c r="AN1225" s="12" t="s">
        <v>1192</v>
      </c>
      <c r="AR1225" s="34" t="s">
        <v>94</v>
      </c>
      <c r="AS1225" s="34" t="s">
        <v>94</v>
      </c>
      <c r="AU1225" s="12" t="s">
        <v>1936</v>
      </c>
      <c r="AV1225" s="13"/>
      <c r="AW1225" s="39">
        <v>6</v>
      </c>
      <c r="AX1225" s="12">
        <f>VLOOKUP(AW1225,색인!$N$14:$O$19,2,FALSE)</f>
        <v>4</v>
      </c>
      <c r="AY1225" s="32" t="str">
        <f>"T"&amp;O1225&amp;"_"&amp;AX1225&amp;"옵션_"&amp;VLOOKUP(E1225,색인!$J$25:$K$29,2,FALSE)</f>
        <v>T5_4옵션_보조장비</v>
      </c>
      <c r="AZ1225" s="32">
        <f>VLOOKUP(G1225,색인!$J$32:$K$45,2,FALSE)</f>
        <v>4</v>
      </c>
      <c r="BA1225" s="32" t="str">
        <f>_xlfn.IFNA(VLOOKUP(AY1225,표1[[검색용]:[OptionGroupIndex'[']22]],EquipItemTable!AZ1225,FALSE),"옵션고정안함")</f>
        <v>옵션고정안함</v>
      </c>
    </row>
    <row r="1226" spans="1:53" ht="14.1" customHeight="1" x14ac:dyDescent="0.2">
      <c r="A1226" s="13" t="s">
        <v>1085</v>
      </c>
      <c r="B1226" s="39">
        <v>70037</v>
      </c>
      <c r="C1226" s="42" t="s">
        <v>3760</v>
      </c>
      <c r="D1226" s="10" t="s">
        <v>85</v>
      </c>
      <c r="E1226" s="10" t="s">
        <v>501</v>
      </c>
      <c r="F1226" s="1" t="s">
        <v>480</v>
      </c>
      <c r="G1226" s="1" t="s">
        <v>1311</v>
      </c>
      <c r="H1226" s="1"/>
      <c r="I1226" s="1"/>
      <c r="J1226" s="1"/>
      <c r="K1226" s="1"/>
      <c r="L1226" s="1"/>
      <c r="M1226" s="1"/>
      <c r="O1226" s="12" t="s">
        <v>430</v>
      </c>
      <c r="P1226" s="1">
        <v>51</v>
      </c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>
        <v>2062</v>
      </c>
      <c r="AC1226" s="82"/>
      <c r="AD1226" s="12" t="s">
        <v>98</v>
      </c>
      <c r="AE1226" s="12" t="s">
        <v>430</v>
      </c>
      <c r="AN1226" s="12" t="s">
        <v>369</v>
      </c>
      <c r="AR1226" s="34" t="s">
        <v>94</v>
      </c>
      <c r="AS1226" s="34" t="s">
        <v>94</v>
      </c>
      <c r="AU1226" s="12" t="s">
        <v>1936</v>
      </c>
      <c r="AV1226" s="13"/>
      <c r="AW1226" s="39">
        <v>6</v>
      </c>
      <c r="AX1226" s="12">
        <f>VLOOKUP(AW1226,색인!$N$14:$O$19,2,FALSE)</f>
        <v>4</v>
      </c>
      <c r="AY1226" s="32" t="str">
        <f>"T"&amp;O1226&amp;"_"&amp;AX1226&amp;"옵션_"&amp;VLOOKUP(E1226,색인!$J$25:$K$29,2,FALSE)</f>
        <v>T5_4옵션_보조장비</v>
      </c>
      <c r="AZ1226" s="32">
        <f>VLOOKUP(G1226,색인!$J$32:$K$45,2,FALSE)</f>
        <v>4</v>
      </c>
      <c r="BA1226" s="32" t="str">
        <f>_xlfn.IFNA(VLOOKUP(AY1226,표1[[검색용]:[OptionGroupIndex'[']22]],EquipItemTable!AZ1226,FALSE),"옵션고정안함")</f>
        <v>옵션고정안함</v>
      </c>
    </row>
    <row r="1227" spans="1:53" ht="14.1" customHeight="1" x14ac:dyDescent="0.2">
      <c r="A1227" s="13" t="s">
        <v>1086</v>
      </c>
      <c r="B1227" s="39">
        <v>70023</v>
      </c>
      <c r="C1227" s="42" t="s">
        <v>3761</v>
      </c>
      <c r="D1227" s="10" t="s">
        <v>85</v>
      </c>
      <c r="E1227" s="10" t="s">
        <v>501</v>
      </c>
      <c r="F1227" s="1" t="s">
        <v>480</v>
      </c>
      <c r="G1227" s="1" t="s">
        <v>1311</v>
      </c>
      <c r="H1227" s="1"/>
      <c r="I1227" s="1"/>
      <c r="J1227" s="1"/>
      <c r="K1227" s="1"/>
      <c r="L1227" s="1"/>
      <c r="M1227" s="1"/>
      <c r="O1227" s="12" t="s">
        <v>430</v>
      </c>
      <c r="P1227" s="1">
        <v>51</v>
      </c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>
        <v>2062</v>
      </c>
      <c r="AC1227" s="82"/>
      <c r="AD1227" s="12" t="s">
        <v>98</v>
      </c>
      <c r="AE1227" s="12" t="s">
        <v>430</v>
      </c>
      <c r="AN1227" s="12" t="s">
        <v>1194</v>
      </c>
      <c r="AR1227" s="34" t="s">
        <v>94</v>
      </c>
      <c r="AS1227" s="34" t="s">
        <v>94</v>
      </c>
      <c r="AU1227" s="12" t="s">
        <v>1936</v>
      </c>
      <c r="AV1227" s="13"/>
      <c r="AW1227" s="39">
        <v>6</v>
      </c>
      <c r="AX1227" s="12">
        <f>VLOOKUP(AW1227,색인!$N$14:$O$19,2,FALSE)</f>
        <v>4</v>
      </c>
      <c r="AY1227" s="32" t="str">
        <f>"T"&amp;O1227&amp;"_"&amp;AX1227&amp;"옵션_"&amp;VLOOKUP(E1227,색인!$J$25:$K$29,2,FALSE)</f>
        <v>T5_4옵션_보조장비</v>
      </c>
      <c r="AZ1227" s="32">
        <f>VLOOKUP(G1227,색인!$J$32:$K$45,2,FALSE)</f>
        <v>4</v>
      </c>
      <c r="BA1227" s="32" t="str">
        <f>_xlfn.IFNA(VLOOKUP(AY1227,표1[[검색용]:[OptionGroupIndex'[']22]],EquipItemTable!AZ1227,FALSE),"옵션고정안함")</f>
        <v>옵션고정안함</v>
      </c>
    </row>
    <row r="1228" spans="1:53" s="1" customFormat="1" ht="12" x14ac:dyDescent="0.2">
      <c r="A1228" s="31" t="s">
        <v>813</v>
      </c>
      <c r="B1228" s="39">
        <v>70024</v>
      </c>
      <c r="C1228" s="42" t="s">
        <v>3770</v>
      </c>
      <c r="D1228" s="10" t="s">
        <v>85</v>
      </c>
      <c r="E1228" s="10" t="s">
        <v>501</v>
      </c>
      <c r="F1228" s="1" t="s">
        <v>480</v>
      </c>
      <c r="G1228" s="1" t="s">
        <v>1311</v>
      </c>
      <c r="N1228" s="8"/>
      <c r="O1228" s="12" t="s">
        <v>755</v>
      </c>
      <c r="P1228" s="1">
        <v>61</v>
      </c>
      <c r="AB1228" s="1">
        <v>1900</v>
      </c>
      <c r="AC1228" s="82"/>
      <c r="AD1228" s="12" t="s">
        <v>756</v>
      </c>
      <c r="AE1228" s="12" t="s">
        <v>529</v>
      </c>
      <c r="AF1228" s="12"/>
      <c r="AG1228" s="23"/>
      <c r="AH1228" s="23"/>
      <c r="AI1228" s="12"/>
      <c r="AJ1228" s="12"/>
      <c r="AK1228" s="12"/>
      <c r="AL1228" s="12"/>
      <c r="AM1228" s="12"/>
      <c r="AN1228" s="12"/>
      <c r="AO1228" s="12"/>
      <c r="AP1228" s="12"/>
      <c r="AQ1228" s="8"/>
      <c r="AR1228" s="34"/>
      <c r="AS1228" s="34"/>
      <c r="AT1228" s="85"/>
      <c r="AU1228" s="12" t="s">
        <v>1932</v>
      </c>
      <c r="AW1228" s="90">
        <v>1</v>
      </c>
      <c r="AX1228" s="23"/>
      <c r="AY1228" s="23"/>
      <c r="AZ1228" s="23"/>
      <c r="BA1228" s="23"/>
    </row>
    <row r="1229" spans="1:53" s="1" customFormat="1" ht="12" x14ac:dyDescent="0.2">
      <c r="A1229" s="31" t="s">
        <v>814</v>
      </c>
      <c r="B1229" s="39">
        <v>70025</v>
      </c>
      <c r="C1229" s="42" t="s">
        <v>3771</v>
      </c>
      <c r="D1229" s="10" t="s">
        <v>85</v>
      </c>
      <c r="E1229" s="10" t="s">
        <v>501</v>
      </c>
      <c r="F1229" s="1" t="s">
        <v>480</v>
      </c>
      <c r="G1229" s="1" t="s">
        <v>1311</v>
      </c>
      <c r="N1229" s="8"/>
      <c r="O1229" s="12" t="s">
        <v>755</v>
      </c>
      <c r="P1229" s="1">
        <v>61</v>
      </c>
      <c r="AB1229" s="1">
        <v>2152</v>
      </c>
      <c r="AC1229" s="82"/>
      <c r="AD1229" s="12" t="s">
        <v>756</v>
      </c>
      <c r="AE1229" s="39" t="str">
        <f t="shared" ref="AE1229:AE1231" si="156">BA1229</f>
        <v>6121,6122</v>
      </c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8"/>
      <c r="AR1229" s="34"/>
      <c r="AS1229" s="34"/>
      <c r="AT1229" s="85"/>
      <c r="AU1229" s="12" t="s">
        <v>1933</v>
      </c>
      <c r="AW1229" s="90">
        <v>2</v>
      </c>
      <c r="AX1229" s="23">
        <f>VLOOKUP(AW1229,색인!$N$14:$O$19,2,FALSE)</f>
        <v>1</v>
      </c>
      <c r="AY1229" s="90" t="str">
        <f>"T"&amp;O1229&amp;"_"&amp;AX1229&amp;"옵션_"&amp;VLOOKUP(E1229,색인!$J$25:$K$29,2,FALSE)</f>
        <v>T6_1옵션_보조장비</v>
      </c>
      <c r="AZ1229" s="90">
        <f>VLOOKUP(G1229,색인!$J$32:$K$45,2,FALSE)</f>
        <v>4</v>
      </c>
      <c r="BA1229" s="90" t="str">
        <f>_xlfn.IFNA(VLOOKUP(AY1229,표1[[검색용]:[OptionGroupIndex'[']22]],EquipItemTable!AZ1229,FALSE),"옵션고정안함")</f>
        <v>6121,6122</v>
      </c>
    </row>
    <row r="1230" spans="1:53" s="1" customFormat="1" ht="12" x14ac:dyDescent="0.2">
      <c r="A1230" s="31" t="s">
        <v>815</v>
      </c>
      <c r="B1230" s="39">
        <v>70026</v>
      </c>
      <c r="C1230" s="42" t="s">
        <v>3772</v>
      </c>
      <c r="D1230" s="10" t="s">
        <v>85</v>
      </c>
      <c r="E1230" s="10" t="s">
        <v>501</v>
      </c>
      <c r="F1230" s="1" t="s">
        <v>480</v>
      </c>
      <c r="G1230" s="1" t="s">
        <v>1311</v>
      </c>
      <c r="N1230" s="8"/>
      <c r="O1230" s="12" t="s">
        <v>755</v>
      </c>
      <c r="P1230" s="1">
        <v>61</v>
      </c>
      <c r="AB1230" s="1">
        <v>2370</v>
      </c>
      <c r="AC1230" s="82"/>
      <c r="AD1230" s="12" t="s">
        <v>756</v>
      </c>
      <c r="AE1230" s="39" t="str">
        <f t="shared" si="156"/>
        <v>6221,6222</v>
      </c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8"/>
      <c r="AR1230" s="34" t="s">
        <v>94</v>
      </c>
      <c r="AS1230" s="34" t="s">
        <v>94</v>
      </c>
      <c r="AT1230" s="85"/>
      <c r="AU1230" s="12" t="s">
        <v>1934</v>
      </c>
      <c r="AW1230" s="90">
        <v>3</v>
      </c>
      <c r="AX1230" s="23">
        <f>VLOOKUP(AW1230,색인!$N$14:$O$19,2,FALSE)</f>
        <v>2</v>
      </c>
      <c r="AY1230" s="90" t="str">
        <f>"T"&amp;O1230&amp;"_"&amp;AX1230&amp;"옵션_"&amp;VLOOKUP(E1230,색인!$J$25:$K$29,2,FALSE)</f>
        <v>T6_2옵션_보조장비</v>
      </c>
      <c r="AZ1230" s="90">
        <f>VLOOKUP(G1230,색인!$J$32:$K$45,2,FALSE)</f>
        <v>4</v>
      </c>
      <c r="BA1230" s="90" t="str">
        <f>_xlfn.IFNA(VLOOKUP(AY1230,표1[[검색용]:[OptionGroupIndex'[']22]],EquipItemTable!AZ1230,FALSE),"옵션고정안함")</f>
        <v>6221,6222</v>
      </c>
    </row>
    <row r="1231" spans="1:53" s="1" customFormat="1" ht="12" x14ac:dyDescent="0.2">
      <c r="A1231" s="31" t="s">
        <v>816</v>
      </c>
      <c r="B1231" s="39">
        <v>70027</v>
      </c>
      <c r="C1231" s="42" t="s">
        <v>3773</v>
      </c>
      <c r="D1231" s="10" t="s">
        <v>85</v>
      </c>
      <c r="E1231" s="10" t="s">
        <v>501</v>
      </c>
      <c r="F1231" s="1" t="s">
        <v>480</v>
      </c>
      <c r="G1231" s="1" t="s">
        <v>1311</v>
      </c>
      <c r="N1231" s="8"/>
      <c r="O1231" s="12" t="s">
        <v>755</v>
      </c>
      <c r="P1231" s="1">
        <v>61</v>
      </c>
      <c r="AB1231" s="1">
        <v>2607</v>
      </c>
      <c r="AC1231" s="82"/>
      <c r="AD1231" s="12" t="s">
        <v>756</v>
      </c>
      <c r="AE1231" s="39" t="str">
        <f t="shared" si="156"/>
        <v>6321,6322</v>
      </c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8"/>
      <c r="AR1231" s="34" t="s">
        <v>94</v>
      </c>
      <c r="AS1231" s="34" t="s">
        <v>94</v>
      </c>
      <c r="AT1231" s="85"/>
      <c r="AU1231" s="12" t="s">
        <v>1935</v>
      </c>
      <c r="AW1231" s="90">
        <v>4</v>
      </c>
      <c r="AX1231" s="23">
        <f>VLOOKUP(AW1231,색인!$N$14:$O$19,2,FALSE)</f>
        <v>3</v>
      </c>
      <c r="AY1231" s="90" t="str">
        <f>"T"&amp;O1231&amp;"_"&amp;AX1231&amp;"옵션_"&amp;VLOOKUP(E1231,색인!$J$25:$K$29,2,FALSE)</f>
        <v>T6_3옵션_보조장비</v>
      </c>
      <c r="AZ1231" s="90">
        <f>VLOOKUP(G1231,색인!$J$32:$K$45,2,FALSE)</f>
        <v>4</v>
      </c>
      <c r="BA1231" s="90" t="str">
        <f>_xlfn.IFNA(VLOOKUP(AY1231,표1[[검색용]:[OptionGroupIndex'[']22]],EquipItemTable!AZ1231,FALSE),"옵션고정안함")</f>
        <v>6321,6322</v>
      </c>
    </row>
    <row r="1232" spans="1:53" s="1" customFormat="1" ht="12" x14ac:dyDescent="0.2">
      <c r="A1232" s="31" t="s">
        <v>817</v>
      </c>
      <c r="B1232" s="39">
        <v>70038</v>
      </c>
      <c r="C1232" s="42" t="s">
        <v>3758</v>
      </c>
      <c r="D1232" s="10" t="s">
        <v>85</v>
      </c>
      <c r="E1232" s="10" t="s">
        <v>501</v>
      </c>
      <c r="F1232" s="1" t="s">
        <v>480</v>
      </c>
      <c r="G1232" s="1" t="s">
        <v>1311</v>
      </c>
      <c r="N1232" s="8"/>
      <c r="O1232" s="12" t="s">
        <v>747</v>
      </c>
      <c r="P1232" s="1">
        <v>61</v>
      </c>
      <c r="AB1232" s="1">
        <v>2859</v>
      </c>
      <c r="AC1232" s="82"/>
      <c r="AD1232" s="12" t="s">
        <v>748</v>
      </c>
      <c r="AE1232" s="39" t="str">
        <f>BA1232</f>
        <v>6421,6422</v>
      </c>
      <c r="AF1232" s="12"/>
      <c r="AG1232" s="12"/>
      <c r="AH1232" s="12"/>
      <c r="AI1232" s="12"/>
      <c r="AJ1232" s="12"/>
      <c r="AK1232" s="12"/>
      <c r="AL1232" s="12"/>
      <c r="AM1232" s="12"/>
      <c r="AN1232" s="12" t="s">
        <v>554</v>
      </c>
      <c r="AO1232" s="12"/>
      <c r="AP1232" s="12"/>
      <c r="AQ1232" s="8"/>
      <c r="AR1232" s="34" t="s">
        <v>94</v>
      </c>
      <c r="AS1232" s="34" t="s">
        <v>94</v>
      </c>
      <c r="AT1232" s="85"/>
      <c r="AU1232" s="12" t="s">
        <v>1936</v>
      </c>
      <c r="AW1232" s="90">
        <v>6</v>
      </c>
      <c r="AX1232" s="23">
        <f>VLOOKUP(AW1232,색인!$N$14:$O$19,2,FALSE)</f>
        <v>4</v>
      </c>
      <c r="AY1232" s="23" t="str">
        <f>"T"&amp;O1232&amp;"_"&amp;AX1232&amp;"옵션_"&amp;VLOOKUP(E1232,색인!$J$25:$K$29,2,FALSE)</f>
        <v>T6_4옵션_보조장비</v>
      </c>
      <c r="AZ1232" s="23">
        <f>VLOOKUP(G1232,색인!$J$32:$K$45,2,FALSE)</f>
        <v>4</v>
      </c>
      <c r="BA1232" s="23" t="str">
        <f>_xlfn.IFNA(VLOOKUP(AY1232,표1[[검색용]:[OptionGroupIndex'[']22]],EquipItemTable!AZ1232,FALSE),"옵션고정안함")</f>
        <v>6421,6422</v>
      </c>
    </row>
    <row r="1233" spans="1:53" s="1" customFormat="1" ht="12" x14ac:dyDescent="0.2">
      <c r="A1233" s="31" t="s">
        <v>1087</v>
      </c>
      <c r="B1233" s="39">
        <v>70039</v>
      </c>
      <c r="C1233" s="42" t="s">
        <v>3759</v>
      </c>
      <c r="D1233" s="10" t="s">
        <v>85</v>
      </c>
      <c r="E1233" s="10" t="s">
        <v>501</v>
      </c>
      <c r="F1233" s="1" t="s">
        <v>480</v>
      </c>
      <c r="G1233" s="1" t="s">
        <v>1311</v>
      </c>
      <c r="N1233" s="8"/>
      <c r="O1233" s="12" t="s">
        <v>747</v>
      </c>
      <c r="P1233" s="1">
        <v>61</v>
      </c>
      <c r="AB1233" s="1">
        <v>2859</v>
      </c>
      <c r="AC1233" s="82"/>
      <c r="AD1233" s="12" t="s">
        <v>336</v>
      </c>
      <c r="AE1233" s="39" t="str">
        <f>BA1233</f>
        <v>6421,6422</v>
      </c>
      <c r="AF1233" s="12"/>
      <c r="AG1233" s="12"/>
      <c r="AH1233" s="12"/>
      <c r="AI1233" s="12"/>
      <c r="AJ1233" s="12"/>
      <c r="AK1233" s="12"/>
      <c r="AL1233" s="12"/>
      <c r="AM1233" s="12"/>
      <c r="AN1233" s="12" t="s">
        <v>1192</v>
      </c>
      <c r="AO1233" s="12"/>
      <c r="AP1233" s="12"/>
      <c r="AQ1233" s="8"/>
      <c r="AR1233" s="34" t="s">
        <v>94</v>
      </c>
      <c r="AS1233" s="34" t="s">
        <v>94</v>
      </c>
      <c r="AT1233" s="85"/>
      <c r="AU1233" s="12" t="s">
        <v>1936</v>
      </c>
      <c r="AW1233" s="90">
        <v>6</v>
      </c>
      <c r="AX1233" s="23">
        <f>VLOOKUP(AW1233,색인!$N$14:$O$19,2,FALSE)</f>
        <v>4</v>
      </c>
      <c r="AY1233" s="23" t="str">
        <f>"T"&amp;O1233&amp;"_"&amp;AX1233&amp;"옵션_"&amp;VLOOKUP(E1233,색인!$J$25:$K$29,2,FALSE)</f>
        <v>T6_4옵션_보조장비</v>
      </c>
      <c r="AZ1233" s="23">
        <f>VLOOKUP(G1233,색인!$J$32:$K$45,2,FALSE)</f>
        <v>4</v>
      </c>
      <c r="BA1233" s="23" t="str">
        <f>_xlfn.IFNA(VLOOKUP(AY1233,표1[[검색용]:[OptionGroupIndex'[']22]],EquipItemTable!AZ1233,FALSE),"옵션고정안함")</f>
        <v>6421,6422</v>
      </c>
    </row>
    <row r="1234" spans="1:53" s="1" customFormat="1" ht="12" x14ac:dyDescent="0.2">
      <c r="A1234" s="31" t="s">
        <v>1088</v>
      </c>
      <c r="B1234" s="39">
        <v>70040</v>
      </c>
      <c r="C1234" s="42" t="s">
        <v>3760</v>
      </c>
      <c r="D1234" s="10" t="s">
        <v>85</v>
      </c>
      <c r="E1234" s="10" t="s">
        <v>501</v>
      </c>
      <c r="F1234" s="1" t="s">
        <v>480</v>
      </c>
      <c r="G1234" s="1" t="s">
        <v>1311</v>
      </c>
      <c r="N1234" s="8"/>
      <c r="O1234" s="12" t="s">
        <v>747</v>
      </c>
      <c r="P1234" s="1">
        <v>61</v>
      </c>
      <c r="AB1234" s="1">
        <v>2859</v>
      </c>
      <c r="AC1234" s="82"/>
      <c r="AD1234" s="12" t="s">
        <v>336</v>
      </c>
      <c r="AE1234" s="39" t="str">
        <f>BA1234</f>
        <v>6421,6422</v>
      </c>
      <c r="AF1234" s="12"/>
      <c r="AG1234" s="12"/>
      <c r="AH1234" s="12"/>
      <c r="AI1234" s="12"/>
      <c r="AJ1234" s="12"/>
      <c r="AK1234" s="12"/>
      <c r="AL1234" s="12"/>
      <c r="AM1234" s="12"/>
      <c r="AN1234" s="12" t="s">
        <v>369</v>
      </c>
      <c r="AO1234" s="12"/>
      <c r="AP1234" s="12"/>
      <c r="AQ1234" s="8"/>
      <c r="AR1234" s="34" t="s">
        <v>94</v>
      </c>
      <c r="AS1234" s="34" t="s">
        <v>94</v>
      </c>
      <c r="AT1234" s="85"/>
      <c r="AU1234" s="12" t="s">
        <v>1936</v>
      </c>
      <c r="AW1234" s="90">
        <v>6</v>
      </c>
      <c r="AX1234" s="23">
        <f>VLOOKUP(AW1234,색인!$N$14:$O$19,2,FALSE)</f>
        <v>4</v>
      </c>
      <c r="AY1234" s="23" t="str">
        <f>"T"&amp;O1234&amp;"_"&amp;AX1234&amp;"옵션_"&amp;VLOOKUP(E1234,색인!$J$25:$K$29,2,FALSE)</f>
        <v>T6_4옵션_보조장비</v>
      </c>
      <c r="AZ1234" s="23">
        <f>VLOOKUP(G1234,색인!$J$32:$K$45,2,FALSE)</f>
        <v>4</v>
      </c>
      <c r="BA1234" s="23" t="str">
        <f>_xlfn.IFNA(VLOOKUP(AY1234,표1[[검색용]:[OptionGroupIndex'[']22]],EquipItemTable!AZ1234,FALSE),"옵션고정안함")</f>
        <v>6421,6422</v>
      </c>
    </row>
    <row r="1235" spans="1:53" s="1" customFormat="1" ht="12" x14ac:dyDescent="0.2">
      <c r="A1235" s="31" t="s">
        <v>1089</v>
      </c>
      <c r="B1235" s="39">
        <v>70028</v>
      </c>
      <c r="C1235" s="42" t="s">
        <v>3761</v>
      </c>
      <c r="D1235" s="10" t="s">
        <v>85</v>
      </c>
      <c r="E1235" s="10" t="s">
        <v>501</v>
      </c>
      <c r="F1235" s="1" t="s">
        <v>480</v>
      </c>
      <c r="G1235" s="1" t="s">
        <v>1311</v>
      </c>
      <c r="N1235" s="8"/>
      <c r="O1235" s="12" t="s">
        <v>747</v>
      </c>
      <c r="P1235" s="1">
        <v>61</v>
      </c>
      <c r="AB1235" s="1">
        <v>2859</v>
      </c>
      <c r="AC1235" s="82"/>
      <c r="AD1235" s="12" t="s">
        <v>336</v>
      </c>
      <c r="AE1235" s="39" t="str">
        <f>BA1235</f>
        <v>6421,6422</v>
      </c>
      <c r="AF1235" s="12"/>
      <c r="AG1235" s="12"/>
      <c r="AH1235" s="12"/>
      <c r="AI1235" s="12"/>
      <c r="AJ1235" s="12"/>
      <c r="AK1235" s="12"/>
      <c r="AL1235" s="12"/>
      <c r="AM1235" s="12"/>
      <c r="AN1235" s="12" t="s">
        <v>1194</v>
      </c>
      <c r="AO1235" s="12"/>
      <c r="AP1235" s="12"/>
      <c r="AQ1235" s="8"/>
      <c r="AR1235" s="34" t="s">
        <v>94</v>
      </c>
      <c r="AS1235" s="34" t="s">
        <v>94</v>
      </c>
      <c r="AT1235" s="85"/>
      <c r="AU1235" s="12" t="s">
        <v>1936</v>
      </c>
      <c r="AW1235" s="90">
        <v>6</v>
      </c>
      <c r="AX1235" s="23">
        <f>VLOOKUP(AW1235,색인!$N$14:$O$19,2,FALSE)</f>
        <v>4</v>
      </c>
      <c r="AY1235" s="23" t="str">
        <f>"T"&amp;O1235&amp;"_"&amp;AX1235&amp;"옵션_"&amp;VLOOKUP(E1235,색인!$J$25:$K$29,2,FALSE)</f>
        <v>T6_4옵션_보조장비</v>
      </c>
      <c r="AZ1235" s="23">
        <f>VLOOKUP(G1235,색인!$J$32:$K$45,2,FALSE)</f>
        <v>4</v>
      </c>
      <c r="BA1235" s="23" t="str">
        <f>_xlfn.IFNA(VLOOKUP(AY1235,표1[[검색용]:[OptionGroupIndex'[']22]],EquipItemTable!AZ1235,FALSE),"옵션고정안함")</f>
        <v>6421,6422</v>
      </c>
    </row>
    <row r="1236" spans="1:53" ht="12" customHeight="1" x14ac:dyDescent="0.2">
      <c r="A1236" s="13" t="s">
        <v>689</v>
      </c>
      <c r="B1236" s="39">
        <v>70401</v>
      </c>
      <c r="C1236" s="42" t="s">
        <v>3774</v>
      </c>
      <c r="D1236" s="10" t="s">
        <v>85</v>
      </c>
      <c r="E1236" s="10" t="s">
        <v>501</v>
      </c>
      <c r="F1236" s="1" t="s">
        <v>480</v>
      </c>
      <c r="G1236" s="1" t="s">
        <v>1311</v>
      </c>
      <c r="H1236" s="1"/>
      <c r="I1236" s="1"/>
      <c r="J1236" s="1"/>
      <c r="K1236" s="1"/>
      <c r="L1236" s="1"/>
      <c r="M1236" s="1"/>
      <c r="O1236" s="12" t="s">
        <v>94</v>
      </c>
      <c r="P1236" s="1">
        <v>1</v>
      </c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>
        <v>115</v>
      </c>
      <c r="AC1236" s="82"/>
      <c r="AD1236" s="12" t="s">
        <v>868</v>
      </c>
      <c r="AE1236" s="39" t="str">
        <f t="shared" ref="AE1236:AE1246" si="157">BA1236</f>
        <v>1321,1322</v>
      </c>
      <c r="AN1236" s="12" t="s">
        <v>2833</v>
      </c>
      <c r="AR1236" s="34" t="s">
        <v>94</v>
      </c>
      <c r="AS1236" s="34" t="s">
        <v>94</v>
      </c>
      <c r="AU1236" s="12" t="s">
        <v>1937</v>
      </c>
      <c r="AV1236" s="13"/>
      <c r="AW1236" s="39">
        <v>5</v>
      </c>
      <c r="AX1236" s="12">
        <f>VLOOKUP(AW1236,색인!$N$14:$O$19,2,FALSE)</f>
        <v>3</v>
      </c>
      <c r="AY1236" s="39" t="str">
        <f>"T"&amp;O1236&amp;"_"&amp;AX1236&amp;"옵션_"&amp;VLOOKUP(E1236,색인!$J$25:$K$29,2,FALSE)</f>
        <v>T1_3옵션_보조장비</v>
      </c>
      <c r="AZ1236" s="39">
        <f>VLOOKUP(G1236,색인!$J$32:$K$45,2,FALSE)</f>
        <v>4</v>
      </c>
      <c r="BA1236" s="39" t="str">
        <f>_xlfn.IFNA(VLOOKUP(AY1236,표1[[검색용]:[OptionGroupIndex'[']22]],EquipItemTable!AZ1236,FALSE),"옵션고정안함")</f>
        <v>1321,1322</v>
      </c>
    </row>
    <row r="1237" spans="1:53" ht="12" customHeight="1" x14ac:dyDescent="0.2">
      <c r="A1237" s="13" t="s">
        <v>690</v>
      </c>
      <c r="B1237" s="39">
        <v>70402</v>
      </c>
      <c r="C1237" s="42" t="s">
        <v>3774</v>
      </c>
      <c r="D1237" s="10" t="s">
        <v>85</v>
      </c>
      <c r="E1237" s="10" t="s">
        <v>501</v>
      </c>
      <c r="F1237" s="1" t="s">
        <v>480</v>
      </c>
      <c r="G1237" s="1" t="s">
        <v>1311</v>
      </c>
      <c r="H1237" s="1"/>
      <c r="I1237" s="1"/>
      <c r="J1237" s="1"/>
      <c r="K1237" s="1"/>
      <c r="L1237" s="1"/>
      <c r="M1237" s="1"/>
      <c r="O1237" s="12" t="s">
        <v>95</v>
      </c>
      <c r="P1237" s="1">
        <v>21</v>
      </c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>
        <v>259</v>
      </c>
      <c r="AC1237" s="82"/>
      <c r="AD1237" s="12" t="s">
        <v>868</v>
      </c>
      <c r="AE1237" s="39" t="str">
        <f t="shared" si="157"/>
        <v>2321,2322</v>
      </c>
      <c r="AN1237" s="12" t="s">
        <v>2833</v>
      </c>
      <c r="AR1237" s="34" t="s">
        <v>94</v>
      </c>
      <c r="AS1237" s="34" t="s">
        <v>94</v>
      </c>
      <c r="AU1237" s="12" t="s">
        <v>1937</v>
      </c>
      <c r="AV1237" s="13"/>
      <c r="AW1237" s="39">
        <v>5</v>
      </c>
      <c r="AX1237" s="12">
        <f>VLOOKUP(AW1237,색인!$N$14:$O$19,2,FALSE)</f>
        <v>3</v>
      </c>
      <c r="AY1237" s="39" t="str">
        <f>"T"&amp;O1237&amp;"_"&amp;AX1237&amp;"옵션_"&amp;VLOOKUP(E1237,색인!$J$25:$K$29,2,FALSE)</f>
        <v>T2_3옵션_보조장비</v>
      </c>
      <c r="AZ1237" s="39">
        <f>VLOOKUP(G1237,색인!$J$32:$K$45,2,FALSE)</f>
        <v>4</v>
      </c>
      <c r="BA1237" s="39" t="str">
        <f>_xlfn.IFNA(VLOOKUP(AY1237,표1[[검색용]:[OptionGroupIndex'[']22]],EquipItemTable!AZ1237,FALSE),"옵션고정안함")</f>
        <v>2321,2322</v>
      </c>
    </row>
    <row r="1238" spans="1:53" ht="12" customHeight="1" x14ac:dyDescent="0.2">
      <c r="A1238" s="13" t="s">
        <v>691</v>
      </c>
      <c r="B1238" s="39">
        <v>70403</v>
      </c>
      <c r="C1238" s="42" t="s">
        <v>3774</v>
      </c>
      <c r="D1238" s="10" t="s">
        <v>2966</v>
      </c>
      <c r="E1238" s="10" t="s">
        <v>101</v>
      </c>
      <c r="F1238" s="1" t="s">
        <v>92</v>
      </c>
      <c r="G1238" s="1" t="s">
        <v>1311</v>
      </c>
      <c r="H1238" s="1"/>
      <c r="I1238" s="1"/>
      <c r="J1238" s="1"/>
      <c r="K1238" s="1"/>
      <c r="L1238" s="1"/>
      <c r="M1238" s="1"/>
      <c r="N1238" s="81"/>
      <c r="O1238" s="12" t="s">
        <v>96</v>
      </c>
      <c r="P1238" s="1">
        <v>31</v>
      </c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>
        <v>534</v>
      </c>
      <c r="AC1238" s="82"/>
      <c r="AD1238" s="23" t="s">
        <v>52</v>
      </c>
      <c r="AE1238" s="90" t="str">
        <f t="shared" si="157"/>
        <v>3321,3322</v>
      </c>
      <c r="AF1238" s="23"/>
      <c r="AI1238" s="23"/>
      <c r="AJ1238" s="23"/>
      <c r="AK1238" s="23"/>
      <c r="AL1238" s="23"/>
      <c r="AM1238" s="23"/>
      <c r="AN1238" s="12" t="s">
        <v>2833</v>
      </c>
      <c r="AO1238" s="23"/>
      <c r="AP1238" s="23"/>
      <c r="AQ1238" s="81"/>
      <c r="AR1238" s="83">
        <v>1</v>
      </c>
      <c r="AS1238" s="83">
        <v>1</v>
      </c>
      <c r="AT1238" s="81"/>
      <c r="AU1238" s="12" t="s">
        <v>1937</v>
      </c>
      <c r="AV1238" s="13"/>
      <c r="AW1238" s="39">
        <v>5</v>
      </c>
      <c r="AX1238" s="12">
        <f>VLOOKUP(AW1238,색인!$N$14:$O$19,2,FALSE)</f>
        <v>3</v>
      </c>
      <c r="AY1238" s="39" t="str">
        <f>"T"&amp;O1238&amp;"_"&amp;AX1238&amp;"옵션_"&amp;VLOOKUP(E1238,색인!$J$25:$K$29,2,FALSE)</f>
        <v>T3_3옵션_보조장비</v>
      </c>
      <c r="AZ1238" s="39">
        <f>VLOOKUP(G1238,색인!$J$32:$K$45,2,FALSE)</f>
        <v>4</v>
      </c>
      <c r="BA1238" s="39" t="str">
        <f>_xlfn.IFNA(VLOOKUP(AY1238,표1[[검색용]:[OptionGroupIndex'[']22]],EquipItemTable!AZ1238,FALSE),"옵션고정안함")</f>
        <v>3321,3322</v>
      </c>
    </row>
    <row r="1239" spans="1:53" ht="12" customHeight="1" x14ac:dyDescent="0.2">
      <c r="A1239" s="13" t="s">
        <v>692</v>
      </c>
      <c r="B1239" s="39">
        <v>70404</v>
      </c>
      <c r="C1239" s="42" t="s">
        <v>3774</v>
      </c>
      <c r="D1239" s="10" t="s">
        <v>2966</v>
      </c>
      <c r="E1239" s="10" t="s">
        <v>101</v>
      </c>
      <c r="F1239" s="1" t="s">
        <v>92</v>
      </c>
      <c r="G1239" s="1" t="s">
        <v>1311</v>
      </c>
      <c r="H1239" s="1"/>
      <c r="I1239" s="1"/>
      <c r="J1239" s="1"/>
      <c r="K1239" s="1"/>
      <c r="L1239" s="1"/>
      <c r="M1239" s="1"/>
      <c r="O1239" s="12" t="s">
        <v>97</v>
      </c>
      <c r="P1239" s="1">
        <v>41</v>
      </c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>
        <v>1042</v>
      </c>
      <c r="AC1239" s="82"/>
      <c r="AD1239" s="12" t="s">
        <v>52</v>
      </c>
      <c r="AE1239" s="39" t="str">
        <f t="shared" si="157"/>
        <v>4321,4322</v>
      </c>
      <c r="AN1239" s="12" t="s">
        <v>2833</v>
      </c>
      <c r="AR1239" s="34" t="s">
        <v>94</v>
      </c>
      <c r="AS1239" s="34" t="s">
        <v>94</v>
      </c>
      <c r="AU1239" s="12" t="s">
        <v>1937</v>
      </c>
      <c r="AV1239" s="13"/>
      <c r="AW1239" s="39">
        <v>5</v>
      </c>
      <c r="AX1239" s="12">
        <f>VLOOKUP(AW1239,색인!$N$14:$O$19,2,FALSE)</f>
        <v>3</v>
      </c>
      <c r="AY1239" s="39" t="str">
        <f>"T"&amp;O1239&amp;"_"&amp;AX1239&amp;"옵션_"&amp;VLOOKUP(E1239,색인!$J$25:$K$29,2,FALSE)</f>
        <v>T4_3옵션_보조장비</v>
      </c>
      <c r="AZ1239" s="39">
        <f>VLOOKUP(G1239,색인!$J$32:$K$45,2,FALSE)</f>
        <v>4</v>
      </c>
      <c r="BA1239" s="39" t="str">
        <f>_xlfn.IFNA(VLOOKUP(AY1239,표1[[검색용]:[OptionGroupIndex'[']22]],EquipItemTable!AZ1239,FALSE),"옵션고정안함")</f>
        <v>4321,4322</v>
      </c>
    </row>
    <row r="1240" spans="1:53" ht="12" customHeight="1" x14ac:dyDescent="0.2">
      <c r="A1240" s="13" t="s">
        <v>693</v>
      </c>
      <c r="B1240" s="39">
        <v>70405</v>
      </c>
      <c r="C1240" s="42" t="s">
        <v>3774</v>
      </c>
      <c r="D1240" s="10" t="s">
        <v>85</v>
      </c>
      <c r="E1240" s="10" t="s">
        <v>501</v>
      </c>
      <c r="F1240" s="1" t="s">
        <v>480</v>
      </c>
      <c r="G1240" s="1" t="s">
        <v>1311</v>
      </c>
      <c r="H1240" s="1"/>
      <c r="I1240" s="1"/>
      <c r="J1240" s="1"/>
      <c r="K1240" s="1"/>
      <c r="L1240" s="1"/>
      <c r="M1240" s="1"/>
      <c r="O1240" s="12" t="s">
        <v>430</v>
      </c>
      <c r="P1240" s="1">
        <v>51</v>
      </c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>
        <v>1968</v>
      </c>
      <c r="AC1240" s="82"/>
      <c r="AD1240" s="12" t="s">
        <v>98</v>
      </c>
      <c r="AE1240" s="39" t="str">
        <f t="shared" si="157"/>
        <v>5321,5322</v>
      </c>
      <c r="AN1240" s="12" t="s">
        <v>2833</v>
      </c>
      <c r="AR1240" s="34" t="s">
        <v>94</v>
      </c>
      <c r="AS1240" s="34" t="s">
        <v>94</v>
      </c>
      <c r="AU1240" s="12" t="s">
        <v>1937</v>
      </c>
      <c r="AV1240" s="13"/>
      <c r="AW1240" s="39">
        <v>5</v>
      </c>
      <c r="AX1240" s="12">
        <f>VLOOKUP(AW1240,색인!$N$14:$O$19,2,FALSE)</f>
        <v>3</v>
      </c>
      <c r="AY1240" s="39" t="str">
        <f>"T"&amp;O1240&amp;"_"&amp;AX1240&amp;"옵션_"&amp;VLOOKUP(E1240,색인!$J$25:$K$29,2,FALSE)</f>
        <v>T5_3옵션_보조장비</v>
      </c>
      <c r="AZ1240" s="39">
        <f>VLOOKUP(G1240,색인!$J$32:$K$45,2,FALSE)</f>
        <v>4</v>
      </c>
      <c r="BA1240" s="39" t="str">
        <f>_xlfn.IFNA(VLOOKUP(AY1240,표1[[검색용]:[OptionGroupIndex'[']22]],EquipItemTable!AZ1240,FALSE),"옵션고정안함")</f>
        <v>5321,5322</v>
      </c>
    </row>
    <row r="1241" spans="1:53" s="1" customFormat="1" ht="12" x14ac:dyDescent="0.2">
      <c r="A1241" s="31" t="s">
        <v>818</v>
      </c>
      <c r="B1241" s="39">
        <v>70406</v>
      </c>
      <c r="C1241" s="42" t="s">
        <v>3774</v>
      </c>
      <c r="D1241" s="10" t="s">
        <v>85</v>
      </c>
      <c r="E1241" s="10" t="s">
        <v>501</v>
      </c>
      <c r="F1241" s="1" t="s">
        <v>480</v>
      </c>
      <c r="G1241" s="1" t="s">
        <v>1311</v>
      </c>
      <c r="N1241" s="8"/>
      <c r="O1241" s="12" t="s">
        <v>755</v>
      </c>
      <c r="P1241" s="1">
        <v>61</v>
      </c>
      <c r="AB1241" s="1">
        <v>2866</v>
      </c>
      <c r="AC1241" s="82"/>
      <c r="AD1241" s="12" t="s">
        <v>864</v>
      </c>
      <c r="AE1241" s="39" t="str">
        <f t="shared" si="157"/>
        <v>6321,6322</v>
      </c>
      <c r="AF1241" s="12"/>
      <c r="AG1241" s="12"/>
      <c r="AH1241" s="12"/>
      <c r="AI1241" s="12"/>
      <c r="AJ1241" s="12"/>
      <c r="AK1241" s="12"/>
      <c r="AL1241" s="12"/>
      <c r="AM1241" s="12"/>
      <c r="AN1241" s="12" t="s">
        <v>2833</v>
      </c>
      <c r="AO1241" s="12"/>
      <c r="AP1241" s="12"/>
      <c r="AQ1241" s="8"/>
      <c r="AR1241" s="34" t="s">
        <v>865</v>
      </c>
      <c r="AS1241" s="34" t="s">
        <v>865</v>
      </c>
      <c r="AT1241" s="85"/>
      <c r="AU1241" s="12" t="s">
        <v>1937</v>
      </c>
      <c r="AW1241" s="90">
        <v>5</v>
      </c>
      <c r="AX1241" s="23">
        <f>VLOOKUP(AW1241,색인!$N$14:$O$19,2,FALSE)</f>
        <v>3</v>
      </c>
      <c r="AY1241" s="90" t="str">
        <f>"T"&amp;O1241&amp;"_"&amp;AX1241&amp;"옵션_"&amp;VLOOKUP(E1241,색인!$J$25:$K$29,2,FALSE)</f>
        <v>T6_3옵션_보조장비</v>
      </c>
      <c r="AZ1241" s="90">
        <f>VLOOKUP(G1241,색인!$J$32:$K$45,2,FALSE)</f>
        <v>4</v>
      </c>
      <c r="BA1241" s="90" t="str">
        <f>_xlfn.IFNA(VLOOKUP(AY1241,표1[[검색용]:[OptionGroupIndex'[']22]],EquipItemTable!AZ1241,FALSE),"옵션고정안함")</f>
        <v>6321,6322</v>
      </c>
    </row>
    <row r="1242" spans="1:53" s="1" customFormat="1" ht="12" x14ac:dyDescent="0.2">
      <c r="A1242" s="31" t="s">
        <v>1254</v>
      </c>
      <c r="B1242" s="39">
        <v>70407</v>
      </c>
      <c r="C1242" s="42" t="s">
        <v>3775</v>
      </c>
      <c r="D1242" s="10" t="s">
        <v>85</v>
      </c>
      <c r="E1242" s="10" t="s">
        <v>501</v>
      </c>
      <c r="F1242" s="1" t="s">
        <v>480</v>
      </c>
      <c r="G1242" s="1" t="s">
        <v>1311</v>
      </c>
      <c r="N1242" s="8"/>
      <c r="O1242" s="12" t="s">
        <v>747</v>
      </c>
      <c r="P1242" s="1">
        <v>61</v>
      </c>
      <c r="AB1242" s="1">
        <v>2866</v>
      </c>
      <c r="AC1242" s="82"/>
      <c r="AD1242" s="12" t="s">
        <v>864</v>
      </c>
      <c r="AE1242" s="39" t="str">
        <f t="shared" si="157"/>
        <v>6321,6322</v>
      </c>
      <c r="AF1242" s="12"/>
      <c r="AG1242" s="12"/>
      <c r="AH1242" s="12"/>
      <c r="AI1242" s="12"/>
      <c r="AJ1242" s="12"/>
      <c r="AK1242" s="12"/>
      <c r="AL1242" s="12"/>
      <c r="AM1242" s="12"/>
      <c r="AN1242" s="12" t="s">
        <v>1228</v>
      </c>
      <c r="AO1242" s="12"/>
      <c r="AP1242" s="12"/>
      <c r="AQ1242" s="8"/>
      <c r="AR1242" s="34" t="s">
        <v>865</v>
      </c>
      <c r="AS1242" s="34" t="s">
        <v>865</v>
      </c>
      <c r="AT1242" s="85"/>
      <c r="AU1242" s="12" t="s">
        <v>1937</v>
      </c>
      <c r="AW1242" s="90">
        <v>5</v>
      </c>
      <c r="AX1242" s="23">
        <f>VLOOKUP(AW1242,색인!$N$14:$O$19,2,FALSE)</f>
        <v>3</v>
      </c>
      <c r="AY1242" s="90" t="str">
        <f>"T"&amp;O1242&amp;"_"&amp;AX1242&amp;"옵션_"&amp;VLOOKUP(E1242,색인!$J$25:$K$29,2,FALSE)</f>
        <v>T6_3옵션_보조장비</v>
      </c>
      <c r="AZ1242" s="90">
        <f>VLOOKUP(G1242,색인!$J$32:$K$45,2,FALSE)</f>
        <v>4</v>
      </c>
      <c r="BA1242" s="90" t="str">
        <f>_xlfn.IFNA(VLOOKUP(AY1242,표1[[검색용]:[OptionGroupIndex'[']22]],EquipItemTable!AZ1242,FALSE),"옵션고정안함")</f>
        <v>6321,6322</v>
      </c>
    </row>
    <row r="1243" spans="1:53" s="1" customFormat="1" ht="12" x14ac:dyDescent="0.2">
      <c r="A1243" s="31" t="s">
        <v>1255</v>
      </c>
      <c r="B1243" s="39">
        <v>70408</v>
      </c>
      <c r="C1243" s="42" t="s">
        <v>3776</v>
      </c>
      <c r="D1243" s="10" t="s">
        <v>85</v>
      </c>
      <c r="E1243" s="10" t="s">
        <v>501</v>
      </c>
      <c r="F1243" s="1" t="s">
        <v>480</v>
      </c>
      <c r="G1243" s="1" t="s">
        <v>1311</v>
      </c>
      <c r="J1243" s="27"/>
      <c r="K1243" s="27"/>
      <c r="L1243" s="27"/>
      <c r="M1243" s="27"/>
      <c r="N1243" s="8"/>
      <c r="O1243" s="12" t="s">
        <v>747</v>
      </c>
      <c r="P1243" s="1">
        <v>61</v>
      </c>
      <c r="AB1243" s="1">
        <v>2866</v>
      </c>
      <c r="AC1243" s="82"/>
      <c r="AD1243" s="12" t="s">
        <v>864</v>
      </c>
      <c r="AE1243" s="39" t="str">
        <f t="shared" si="157"/>
        <v>6321,6322</v>
      </c>
      <c r="AF1243" s="12"/>
      <c r="AG1243" s="29"/>
      <c r="AH1243" s="29"/>
      <c r="AI1243" s="12"/>
      <c r="AJ1243" s="12"/>
      <c r="AK1243" s="12"/>
      <c r="AL1243" s="12"/>
      <c r="AM1243" s="12"/>
      <c r="AN1243" s="12" t="s">
        <v>1213</v>
      </c>
      <c r="AO1243" s="12"/>
      <c r="AP1243" s="12"/>
      <c r="AQ1243" s="8"/>
      <c r="AR1243" s="34" t="s">
        <v>865</v>
      </c>
      <c r="AS1243" s="34" t="s">
        <v>865</v>
      </c>
      <c r="AT1243" s="85"/>
      <c r="AU1243" s="12" t="s">
        <v>1937</v>
      </c>
      <c r="AW1243" s="90">
        <v>5</v>
      </c>
      <c r="AX1243" s="23">
        <f>VLOOKUP(AW1243,색인!$N$14:$O$19,2,FALSE)</f>
        <v>3</v>
      </c>
      <c r="AY1243" s="90" t="str">
        <f>"T"&amp;O1243&amp;"_"&amp;AX1243&amp;"옵션_"&amp;VLOOKUP(E1243,색인!$J$25:$K$29,2,FALSE)</f>
        <v>T6_3옵션_보조장비</v>
      </c>
      <c r="AZ1243" s="90">
        <f>VLOOKUP(G1243,색인!$J$32:$K$45,2,FALSE)</f>
        <v>4</v>
      </c>
      <c r="BA1243" s="90" t="str">
        <f>_xlfn.IFNA(VLOOKUP(AY1243,표1[[검색용]:[OptionGroupIndex'[']22]],EquipItemTable!AZ1243,FALSE),"옵션고정안함")</f>
        <v>6321,6322</v>
      </c>
    </row>
    <row r="1244" spans="1:53" s="1" customFormat="1" ht="12" x14ac:dyDescent="0.2">
      <c r="A1244" s="31" t="s">
        <v>1256</v>
      </c>
      <c r="B1244" s="39">
        <v>70409</v>
      </c>
      <c r="C1244" s="42" t="s">
        <v>3777</v>
      </c>
      <c r="D1244" s="10" t="s">
        <v>85</v>
      </c>
      <c r="E1244" s="10" t="s">
        <v>501</v>
      </c>
      <c r="F1244" s="1" t="s">
        <v>480</v>
      </c>
      <c r="G1244" s="1" t="s">
        <v>1311</v>
      </c>
      <c r="J1244" s="27"/>
      <c r="K1244" s="27"/>
      <c r="L1244" s="27"/>
      <c r="M1244" s="27"/>
      <c r="N1244" s="8"/>
      <c r="O1244" s="12" t="s">
        <v>747</v>
      </c>
      <c r="P1244" s="1">
        <v>61</v>
      </c>
      <c r="AB1244" s="1">
        <v>2866</v>
      </c>
      <c r="AC1244" s="82"/>
      <c r="AD1244" s="12" t="s">
        <v>864</v>
      </c>
      <c r="AE1244" s="39" t="str">
        <f t="shared" si="157"/>
        <v>6321,6322</v>
      </c>
      <c r="AF1244" s="12"/>
      <c r="AG1244" s="29"/>
      <c r="AH1244" s="29"/>
      <c r="AI1244" s="12"/>
      <c r="AJ1244" s="12"/>
      <c r="AK1244" s="12"/>
      <c r="AL1244" s="12"/>
      <c r="AM1244" s="12"/>
      <c r="AN1244" s="12" t="s">
        <v>1214</v>
      </c>
      <c r="AO1244" s="12"/>
      <c r="AP1244" s="12"/>
      <c r="AQ1244" s="8"/>
      <c r="AR1244" s="34" t="s">
        <v>865</v>
      </c>
      <c r="AS1244" s="34" t="s">
        <v>865</v>
      </c>
      <c r="AT1244" s="85"/>
      <c r="AU1244" s="12" t="s">
        <v>1937</v>
      </c>
      <c r="AW1244" s="90">
        <v>5</v>
      </c>
      <c r="AX1244" s="23">
        <f>VLOOKUP(AW1244,색인!$N$14:$O$19,2,FALSE)</f>
        <v>3</v>
      </c>
      <c r="AY1244" s="90" t="str">
        <f>"T"&amp;O1244&amp;"_"&amp;AX1244&amp;"옵션_"&amp;VLOOKUP(E1244,색인!$J$25:$K$29,2,FALSE)</f>
        <v>T6_3옵션_보조장비</v>
      </c>
      <c r="AZ1244" s="90">
        <f>VLOOKUP(G1244,색인!$J$32:$K$45,2,FALSE)</f>
        <v>4</v>
      </c>
      <c r="BA1244" s="90" t="str">
        <f>_xlfn.IFNA(VLOOKUP(AY1244,표1[[검색용]:[OptionGroupIndex'[']22]],EquipItemTable!AZ1244,FALSE),"옵션고정안함")</f>
        <v>6321,6322</v>
      </c>
    </row>
    <row r="1245" spans="1:53" s="1" customFormat="1" ht="12" x14ac:dyDescent="0.2">
      <c r="A1245" s="31" t="s">
        <v>1257</v>
      </c>
      <c r="B1245" s="39">
        <v>70410</v>
      </c>
      <c r="C1245" s="42" t="s">
        <v>3778</v>
      </c>
      <c r="D1245" s="10" t="s">
        <v>85</v>
      </c>
      <c r="E1245" s="10" t="s">
        <v>501</v>
      </c>
      <c r="F1245" s="1" t="s">
        <v>480</v>
      </c>
      <c r="G1245" s="1" t="s">
        <v>1311</v>
      </c>
      <c r="J1245" s="27"/>
      <c r="K1245" s="27"/>
      <c r="L1245" s="27"/>
      <c r="M1245" s="27"/>
      <c r="N1245" s="8"/>
      <c r="O1245" s="12" t="s">
        <v>747</v>
      </c>
      <c r="P1245" s="1">
        <v>61</v>
      </c>
      <c r="AB1245" s="1">
        <v>2866</v>
      </c>
      <c r="AC1245" s="82"/>
      <c r="AD1245" s="12" t="s">
        <v>864</v>
      </c>
      <c r="AE1245" s="39" t="str">
        <f t="shared" si="157"/>
        <v>6321,6322</v>
      </c>
      <c r="AF1245" s="12"/>
      <c r="AG1245" s="29"/>
      <c r="AH1245" s="29"/>
      <c r="AI1245" s="12"/>
      <c r="AJ1245" s="12"/>
      <c r="AK1245" s="12"/>
      <c r="AL1245" s="12"/>
      <c r="AM1245" s="12"/>
      <c r="AN1245" s="12" t="s">
        <v>1215</v>
      </c>
      <c r="AO1245" s="12"/>
      <c r="AP1245" s="12"/>
      <c r="AQ1245" s="8"/>
      <c r="AR1245" s="34" t="s">
        <v>865</v>
      </c>
      <c r="AS1245" s="34" t="s">
        <v>865</v>
      </c>
      <c r="AT1245" s="85"/>
      <c r="AU1245" s="12" t="s">
        <v>1937</v>
      </c>
      <c r="AW1245" s="90">
        <v>5</v>
      </c>
      <c r="AX1245" s="23">
        <f>VLOOKUP(AW1245,색인!$N$14:$O$19,2,FALSE)</f>
        <v>3</v>
      </c>
      <c r="AY1245" s="90" t="str">
        <f>"T"&amp;O1245&amp;"_"&amp;AX1245&amp;"옵션_"&amp;VLOOKUP(E1245,색인!$J$25:$K$29,2,FALSE)</f>
        <v>T6_3옵션_보조장비</v>
      </c>
      <c r="AZ1245" s="90">
        <f>VLOOKUP(G1245,색인!$J$32:$K$45,2,FALSE)</f>
        <v>4</v>
      </c>
      <c r="BA1245" s="90" t="str">
        <f>_xlfn.IFNA(VLOOKUP(AY1245,표1[[검색용]:[OptionGroupIndex'[']22]],EquipItemTable!AZ1245,FALSE),"옵션고정안함")</f>
        <v>6321,6322</v>
      </c>
    </row>
    <row r="1246" spans="1:53" s="1" customFormat="1" ht="12" x14ac:dyDescent="0.2">
      <c r="A1246" s="31" t="s">
        <v>1258</v>
      </c>
      <c r="B1246" s="39">
        <v>70411</v>
      </c>
      <c r="C1246" s="42" t="s">
        <v>3779</v>
      </c>
      <c r="D1246" s="10" t="s">
        <v>85</v>
      </c>
      <c r="E1246" s="10" t="s">
        <v>501</v>
      </c>
      <c r="F1246" s="1" t="s">
        <v>480</v>
      </c>
      <c r="G1246" s="1" t="s">
        <v>1311</v>
      </c>
      <c r="J1246" s="27"/>
      <c r="K1246" s="27"/>
      <c r="L1246" s="27"/>
      <c r="M1246" s="27"/>
      <c r="N1246" s="8"/>
      <c r="O1246" s="12" t="s">
        <v>747</v>
      </c>
      <c r="P1246" s="1">
        <v>61</v>
      </c>
      <c r="AB1246" s="1">
        <v>2866</v>
      </c>
      <c r="AC1246" s="82"/>
      <c r="AD1246" s="12" t="s">
        <v>864</v>
      </c>
      <c r="AE1246" s="39" t="str">
        <f t="shared" si="157"/>
        <v>6321,6322</v>
      </c>
      <c r="AF1246" s="12"/>
      <c r="AG1246" s="29"/>
      <c r="AH1246" s="29"/>
      <c r="AI1246" s="12"/>
      <c r="AJ1246" s="12"/>
      <c r="AK1246" s="12"/>
      <c r="AL1246" s="12"/>
      <c r="AM1246" s="12"/>
      <c r="AN1246" s="12" t="s">
        <v>1216</v>
      </c>
      <c r="AO1246" s="12"/>
      <c r="AP1246" s="12"/>
      <c r="AQ1246" s="8"/>
      <c r="AR1246" s="34" t="s">
        <v>865</v>
      </c>
      <c r="AS1246" s="34" t="s">
        <v>865</v>
      </c>
      <c r="AT1246" s="85"/>
      <c r="AU1246" s="12" t="s">
        <v>1937</v>
      </c>
      <c r="AW1246" s="90">
        <v>5</v>
      </c>
      <c r="AX1246" s="23">
        <f>VLOOKUP(AW1246,색인!$N$14:$O$19,2,FALSE)</f>
        <v>3</v>
      </c>
      <c r="AY1246" s="90" t="str">
        <f>"T"&amp;O1246&amp;"_"&amp;AX1246&amp;"옵션_"&amp;VLOOKUP(E1246,색인!$J$25:$K$29,2,FALSE)</f>
        <v>T6_3옵션_보조장비</v>
      </c>
      <c r="AZ1246" s="90">
        <f>VLOOKUP(G1246,색인!$J$32:$K$45,2,FALSE)</f>
        <v>4</v>
      </c>
      <c r="BA1246" s="90" t="str">
        <f>_xlfn.IFNA(VLOOKUP(AY1246,표1[[검색용]:[OptionGroupIndex'[']22]],EquipItemTable!AZ1246,FALSE),"옵션고정안함")</f>
        <v>6321,6322</v>
      </c>
    </row>
    <row r="1247" spans="1:53" s="1" customFormat="1" ht="12" x14ac:dyDescent="0.2">
      <c r="A1247" s="24" t="s">
        <v>907</v>
      </c>
      <c r="B1247" s="39">
        <v>70601</v>
      </c>
      <c r="C1247" s="42" t="e">
        <v>#N/A</v>
      </c>
      <c r="D1247" s="10" t="s">
        <v>85</v>
      </c>
      <c r="E1247" s="10" t="s">
        <v>501</v>
      </c>
      <c r="F1247" s="1" t="s">
        <v>480</v>
      </c>
      <c r="G1247" s="1" t="s">
        <v>1311</v>
      </c>
      <c r="J1247" s="27"/>
      <c r="K1247" s="27"/>
      <c r="L1247" s="27"/>
      <c r="M1247" s="27"/>
      <c r="N1247" s="8"/>
      <c r="O1247" s="12" t="s">
        <v>881</v>
      </c>
      <c r="P1247" s="1">
        <v>31</v>
      </c>
      <c r="AB1247" s="1">
        <v>661</v>
      </c>
      <c r="AC1247" s="82"/>
      <c r="AD1247" s="12" t="s">
        <v>99</v>
      </c>
      <c r="AE1247" s="12" t="s">
        <v>881</v>
      </c>
      <c r="AF1247" s="12"/>
      <c r="AG1247" s="29"/>
      <c r="AH1247" s="29"/>
      <c r="AQ1247" s="85"/>
      <c r="AR1247" s="1">
        <v>1</v>
      </c>
      <c r="AS1247" s="1">
        <v>1</v>
      </c>
      <c r="AT1247" s="85"/>
      <c r="AU1247" s="12" t="s">
        <v>1938</v>
      </c>
      <c r="AW1247" s="90">
        <v>7</v>
      </c>
      <c r="AX1247" s="23"/>
      <c r="AY1247" s="23"/>
      <c r="AZ1247" s="23"/>
      <c r="BA1247" s="23"/>
    </row>
    <row r="1248" spans="1:53" s="1" customFormat="1" ht="12" x14ac:dyDescent="0.2">
      <c r="A1248" s="24" t="s">
        <v>908</v>
      </c>
      <c r="B1248" s="39">
        <v>70602</v>
      </c>
      <c r="C1248" s="42" t="e">
        <v>#N/A</v>
      </c>
      <c r="D1248" s="10" t="s">
        <v>85</v>
      </c>
      <c r="E1248" s="10" t="s">
        <v>501</v>
      </c>
      <c r="F1248" s="1" t="s">
        <v>480</v>
      </c>
      <c r="G1248" s="1" t="s">
        <v>1311</v>
      </c>
      <c r="J1248" s="27"/>
      <c r="K1248" s="27"/>
      <c r="L1248" s="27"/>
      <c r="M1248" s="27"/>
      <c r="N1248" s="8"/>
      <c r="O1248" s="12" t="s">
        <v>882</v>
      </c>
      <c r="P1248" s="1">
        <v>41</v>
      </c>
      <c r="AB1248" s="1">
        <v>1272</v>
      </c>
      <c r="AC1248" s="82"/>
      <c r="AD1248" s="12" t="s">
        <v>99</v>
      </c>
      <c r="AE1248" s="12" t="s">
        <v>551</v>
      </c>
      <c r="AF1248" s="12"/>
      <c r="AG1248" s="29"/>
      <c r="AH1248" s="29"/>
      <c r="AQ1248" s="85"/>
      <c r="AR1248" s="1">
        <v>1</v>
      </c>
      <c r="AS1248" s="1">
        <v>1</v>
      </c>
      <c r="AT1248" s="85"/>
      <c r="AU1248" s="12" t="s">
        <v>1938</v>
      </c>
      <c r="AW1248" s="90">
        <v>7</v>
      </c>
      <c r="AX1248" s="23"/>
      <c r="AY1248" s="23"/>
      <c r="AZ1248" s="23"/>
      <c r="BA1248" s="23"/>
    </row>
    <row r="1249" spans="1:53" s="1" customFormat="1" ht="12" x14ac:dyDescent="0.2">
      <c r="A1249" s="24" t="s">
        <v>909</v>
      </c>
      <c r="B1249" s="39">
        <v>70603</v>
      </c>
      <c r="C1249" s="42" t="e">
        <v>#N/A</v>
      </c>
      <c r="D1249" s="10" t="s">
        <v>85</v>
      </c>
      <c r="E1249" s="10" t="s">
        <v>501</v>
      </c>
      <c r="F1249" s="1" t="s">
        <v>480</v>
      </c>
      <c r="G1249" s="1" t="s">
        <v>1311</v>
      </c>
      <c r="J1249" s="27"/>
      <c r="K1249" s="27"/>
      <c r="L1249" s="27"/>
      <c r="M1249" s="27"/>
      <c r="N1249" s="8"/>
      <c r="O1249" s="12" t="s">
        <v>430</v>
      </c>
      <c r="P1249" s="1">
        <v>51</v>
      </c>
      <c r="AB1249" s="1">
        <v>2371</v>
      </c>
      <c r="AC1249" s="82"/>
      <c r="AD1249" s="12" t="s">
        <v>99</v>
      </c>
      <c r="AE1249" s="12" t="s">
        <v>430</v>
      </c>
      <c r="AF1249" s="12"/>
      <c r="AG1249" s="29"/>
      <c r="AH1249" s="29"/>
      <c r="AQ1249" s="85"/>
      <c r="AR1249" s="1">
        <v>1</v>
      </c>
      <c r="AS1249" s="1">
        <v>1</v>
      </c>
      <c r="AT1249" s="85"/>
      <c r="AU1249" s="12" t="s">
        <v>1938</v>
      </c>
      <c r="AW1249" s="90">
        <v>7</v>
      </c>
      <c r="AX1249" s="23"/>
      <c r="AY1249" s="23"/>
      <c r="AZ1249" s="23"/>
      <c r="BA1249" s="23"/>
    </row>
    <row r="1250" spans="1:53" s="1" customFormat="1" ht="12" x14ac:dyDescent="0.2">
      <c r="A1250" s="24" t="s">
        <v>910</v>
      </c>
      <c r="B1250" s="39">
        <v>70604</v>
      </c>
      <c r="C1250" s="42" t="e">
        <v>#N/A</v>
      </c>
      <c r="D1250" s="10" t="s">
        <v>85</v>
      </c>
      <c r="E1250" s="10" t="s">
        <v>501</v>
      </c>
      <c r="F1250" s="1" t="s">
        <v>480</v>
      </c>
      <c r="G1250" s="1" t="s">
        <v>1311</v>
      </c>
      <c r="J1250" s="27"/>
      <c r="K1250" s="27"/>
      <c r="L1250" s="27"/>
      <c r="M1250" s="27"/>
      <c r="N1250" s="8"/>
      <c r="O1250" s="12" t="s">
        <v>747</v>
      </c>
      <c r="P1250" s="1">
        <v>61</v>
      </c>
      <c r="AB1250" s="1">
        <v>3286</v>
      </c>
      <c r="AC1250" s="82"/>
      <c r="AD1250" s="12" t="s">
        <v>99</v>
      </c>
      <c r="AE1250" s="12" t="s">
        <v>430</v>
      </c>
      <c r="AF1250" s="12"/>
      <c r="AG1250" s="29"/>
      <c r="AH1250" s="29"/>
      <c r="AQ1250" s="85"/>
      <c r="AR1250" s="1">
        <v>1</v>
      </c>
      <c r="AS1250" s="1">
        <v>1</v>
      </c>
      <c r="AT1250" s="85"/>
      <c r="AU1250" s="12" t="s">
        <v>1938</v>
      </c>
      <c r="AW1250" s="90">
        <v>7</v>
      </c>
      <c r="AX1250" s="23"/>
      <c r="AY1250" s="23"/>
      <c r="AZ1250" s="23"/>
      <c r="BA1250" s="23"/>
    </row>
    <row r="1251" spans="1:53" s="1" customFormat="1" ht="12" x14ac:dyDescent="0.2">
      <c r="A1251" s="31" t="s">
        <v>1185</v>
      </c>
      <c r="B1251" s="39">
        <v>370001</v>
      </c>
      <c r="C1251" s="42" t="s">
        <v>3780</v>
      </c>
      <c r="D1251" s="10" t="s">
        <v>85</v>
      </c>
      <c r="E1251" s="10" t="s">
        <v>501</v>
      </c>
      <c r="F1251" s="1" t="s">
        <v>480</v>
      </c>
      <c r="G1251" s="1" t="s">
        <v>1311</v>
      </c>
      <c r="J1251" s="27"/>
      <c r="K1251" s="27"/>
      <c r="L1251" s="27"/>
      <c r="M1251" s="27"/>
      <c r="N1251" s="8"/>
      <c r="O1251" s="12" t="s">
        <v>755</v>
      </c>
      <c r="P1251" s="1">
        <v>61</v>
      </c>
      <c r="AB1251" s="1">
        <v>2866</v>
      </c>
      <c r="AC1251" s="82"/>
      <c r="AD1251" s="12" t="s">
        <v>864</v>
      </c>
      <c r="AE1251" s="39" t="str">
        <f>BA1251</f>
        <v>6321,6322</v>
      </c>
      <c r="AF1251" s="12"/>
      <c r="AG1251" s="29"/>
      <c r="AH1251" s="29"/>
      <c r="AI1251" s="12"/>
      <c r="AJ1251" s="12"/>
      <c r="AK1251" s="12"/>
      <c r="AL1251" s="12"/>
      <c r="AM1251" s="12"/>
      <c r="AN1251" s="12" t="s">
        <v>1199</v>
      </c>
      <c r="AO1251" s="12"/>
      <c r="AP1251" s="12"/>
      <c r="AQ1251" s="8"/>
      <c r="AR1251" s="34" t="s">
        <v>543</v>
      </c>
      <c r="AS1251" s="34" t="s">
        <v>543</v>
      </c>
      <c r="AT1251" s="85"/>
      <c r="AU1251" s="12" t="s">
        <v>1937</v>
      </c>
      <c r="AW1251" s="90">
        <v>5</v>
      </c>
      <c r="AX1251" s="23">
        <f>VLOOKUP(AW1251,색인!$N$14:$O$19,2,FALSE)</f>
        <v>3</v>
      </c>
      <c r="AY1251" s="90" t="str">
        <f>"T"&amp;O1251&amp;"_"&amp;AX1251&amp;"옵션_"&amp;VLOOKUP(E1251,색인!$J$25:$K$29,2,FALSE)</f>
        <v>T6_3옵션_보조장비</v>
      </c>
      <c r="AZ1251" s="90">
        <f>VLOOKUP(G1251,색인!$J$32:$K$45,2,FALSE)</f>
        <v>4</v>
      </c>
      <c r="BA1251" s="90" t="str">
        <f>_xlfn.IFNA(VLOOKUP(AY1251,표1[[검색용]:[OptionGroupIndex'[']22]],EquipItemTable!AZ1251,FALSE),"옵션고정안함")</f>
        <v>6321,6322</v>
      </c>
    </row>
    <row r="1252" spans="1:53" s="1" customFormat="1" ht="12" x14ac:dyDescent="0.2">
      <c r="A1252" s="31" t="s">
        <v>1492</v>
      </c>
      <c r="B1252" s="39">
        <v>370002</v>
      </c>
      <c r="C1252" s="42" t="s">
        <v>3781</v>
      </c>
      <c r="D1252" s="10" t="s">
        <v>85</v>
      </c>
      <c r="E1252" s="10" t="s">
        <v>501</v>
      </c>
      <c r="F1252" s="1" t="s">
        <v>480</v>
      </c>
      <c r="G1252" s="1" t="s">
        <v>1311</v>
      </c>
      <c r="J1252" s="27"/>
      <c r="K1252" s="27"/>
      <c r="L1252" s="27"/>
      <c r="M1252" s="27"/>
      <c r="N1252" s="8"/>
      <c r="O1252" s="12" t="s">
        <v>747</v>
      </c>
      <c r="P1252" s="1">
        <v>61</v>
      </c>
      <c r="AB1252" s="1">
        <v>2859</v>
      </c>
      <c r="AC1252" s="82"/>
      <c r="AD1252" s="12" t="s">
        <v>98</v>
      </c>
      <c r="AE1252" s="39" t="s">
        <v>430</v>
      </c>
      <c r="AF1252" s="12"/>
      <c r="AG1252" s="29"/>
      <c r="AH1252" s="29"/>
      <c r="AI1252" s="12"/>
      <c r="AJ1252" s="12"/>
      <c r="AK1252" s="12"/>
      <c r="AL1252" s="12"/>
      <c r="AM1252" s="12"/>
      <c r="AN1252" s="12" t="s">
        <v>1296</v>
      </c>
      <c r="AO1252" s="12"/>
      <c r="AP1252" s="12"/>
      <c r="AQ1252" s="8"/>
      <c r="AR1252" s="34" t="s">
        <v>94</v>
      </c>
      <c r="AS1252" s="34" t="s">
        <v>94</v>
      </c>
      <c r="AT1252" s="85"/>
      <c r="AU1252" s="12" t="s">
        <v>1936</v>
      </c>
      <c r="AW1252" s="90">
        <v>6</v>
      </c>
      <c r="AX1252" s="23">
        <f>VLOOKUP(AW1252,색인!$N$14:$O$19,2,FALSE)</f>
        <v>4</v>
      </c>
      <c r="AY1252" s="23" t="str">
        <f>"T"&amp;O1252&amp;"_"&amp;AX1252&amp;"옵션_"&amp;VLOOKUP(E1252,색인!$J$25:$K$29,2,FALSE)</f>
        <v>T6_4옵션_보조장비</v>
      </c>
      <c r="AZ1252" s="23">
        <f>VLOOKUP(G1252,색인!$J$32:$K$45,2,FALSE)</f>
        <v>4</v>
      </c>
      <c r="BA1252" s="23" t="str">
        <f>_xlfn.IFNA(VLOOKUP(AY1252,표1[[검색용]:[OptionGroupIndex'[']22]],EquipItemTable!AZ1252,FALSE),"옵션고정안함")</f>
        <v>6421,6422</v>
      </c>
    </row>
    <row r="1253" spans="1:53" s="27" customFormat="1" ht="12" x14ac:dyDescent="0.2">
      <c r="A1253" s="25" t="s">
        <v>1493</v>
      </c>
      <c r="B1253" s="39">
        <v>70412</v>
      </c>
      <c r="C1253" s="42" t="s">
        <v>3782</v>
      </c>
      <c r="D1253" s="26" t="s">
        <v>85</v>
      </c>
      <c r="E1253" s="26" t="s">
        <v>501</v>
      </c>
      <c r="F1253" s="27" t="s">
        <v>480</v>
      </c>
      <c r="G1253" s="27" t="s">
        <v>1453</v>
      </c>
      <c r="N1253" s="8"/>
      <c r="O1253" s="29" t="s">
        <v>1338</v>
      </c>
      <c r="P1253" s="27">
        <v>71</v>
      </c>
      <c r="AB1253" s="27">
        <v>2793</v>
      </c>
      <c r="AC1253" s="82"/>
      <c r="AD1253" s="29" t="s">
        <v>1377</v>
      </c>
      <c r="AE1253" s="29" t="s">
        <v>1337</v>
      </c>
      <c r="AF1253" s="29"/>
      <c r="AG1253" s="29"/>
      <c r="AH1253" s="29"/>
      <c r="AQ1253" s="85"/>
      <c r="AR1253" s="27">
        <v>1</v>
      </c>
      <c r="AS1253" s="27">
        <v>1</v>
      </c>
      <c r="AT1253" s="85"/>
      <c r="AU1253" s="29">
        <v>1001</v>
      </c>
      <c r="AW1253" s="91">
        <v>1</v>
      </c>
      <c r="AX1253" s="93"/>
      <c r="AY1253" s="93"/>
      <c r="AZ1253" s="93"/>
      <c r="BA1253" s="93"/>
    </row>
    <row r="1254" spans="1:53" s="27" customFormat="1" ht="12" x14ac:dyDescent="0.2">
      <c r="A1254" s="25" t="s">
        <v>1494</v>
      </c>
      <c r="B1254" s="39">
        <v>70413</v>
      </c>
      <c r="C1254" s="42" t="s">
        <v>3783</v>
      </c>
      <c r="D1254" s="26" t="s">
        <v>85</v>
      </c>
      <c r="E1254" s="26" t="s">
        <v>501</v>
      </c>
      <c r="F1254" s="27" t="s">
        <v>480</v>
      </c>
      <c r="G1254" s="27" t="s">
        <v>1453</v>
      </c>
      <c r="N1254" s="8"/>
      <c r="O1254" s="29" t="s">
        <v>1338</v>
      </c>
      <c r="P1254" s="27">
        <v>71</v>
      </c>
      <c r="AB1254" s="27">
        <v>3252</v>
      </c>
      <c r="AC1254" s="82"/>
      <c r="AD1254" s="29" t="s">
        <v>1377</v>
      </c>
      <c r="AE1254" s="92" t="str">
        <f t="shared" ref="AE1254:AE1263" si="158">BA1254</f>
        <v>7121,7122</v>
      </c>
      <c r="AF1254" s="29"/>
      <c r="AG1254" s="29"/>
      <c r="AH1254" s="29"/>
      <c r="AQ1254" s="85"/>
      <c r="AR1254" s="27">
        <v>1</v>
      </c>
      <c r="AS1254" s="27">
        <v>1</v>
      </c>
      <c r="AT1254" s="85"/>
      <c r="AU1254" s="29" t="s">
        <v>1939</v>
      </c>
      <c r="AW1254" s="91">
        <v>2</v>
      </c>
      <c r="AX1254" s="93">
        <f>VLOOKUP(AW1254,색인!$N$14:$O$19,2,FALSE)</f>
        <v>1</v>
      </c>
      <c r="AY1254" s="91" t="str">
        <f>"T"&amp;O1254&amp;"_"&amp;AX1254&amp;"옵션_"&amp;VLOOKUP(E1254,색인!$J$25:$K$29,2,FALSE)</f>
        <v>T7_1옵션_보조장비</v>
      </c>
      <c r="AZ1254" s="91">
        <f>VLOOKUP(G1254,색인!$J$32:$K$45,2,FALSE)</f>
        <v>4</v>
      </c>
      <c r="BA1254" s="91" t="str">
        <f>_xlfn.IFNA(VLOOKUP(AY1254,표1[[검색용]:[OptionGroupIndex'[']22]],EquipItemTable!AZ1254,FALSE),"옵션고정안함")</f>
        <v>7121,7122</v>
      </c>
    </row>
    <row r="1255" spans="1:53" s="27" customFormat="1" ht="12" x14ac:dyDescent="0.2">
      <c r="A1255" s="25" t="s">
        <v>1495</v>
      </c>
      <c r="B1255" s="39">
        <v>70414</v>
      </c>
      <c r="C1255" s="42" t="s">
        <v>3784</v>
      </c>
      <c r="D1255" s="26" t="s">
        <v>85</v>
      </c>
      <c r="E1255" s="26" t="s">
        <v>501</v>
      </c>
      <c r="F1255" s="27" t="s">
        <v>480</v>
      </c>
      <c r="G1255" s="27" t="s">
        <v>1453</v>
      </c>
      <c r="N1255" s="8"/>
      <c r="O1255" s="29" t="s">
        <v>1338</v>
      </c>
      <c r="P1255" s="27">
        <v>71</v>
      </c>
      <c r="AB1255" s="27">
        <v>3433</v>
      </c>
      <c r="AC1255" s="82"/>
      <c r="AD1255" s="29" t="s">
        <v>1377</v>
      </c>
      <c r="AE1255" s="92" t="str">
        <f t="shared" si="158"/>
        <v>7221,7222</v>
      </c>
      <c r="AF1255" s="29"/>
      <c r="AG1255" s="29"/>
      <c r="AH1255" s="29"/>
      <c r="AQ1255" s="85"/>
      <c r="AR1255" s="27">
        <v>1</v>
      </c>
      <c r="AS1255" s="27">
        <v>1</v>
      </c>
      <c r="AT1255" s="85"/>
      <c r="AU1255" s="29" t="s">
        <v>1940</v>
      </c>
      <c r="AW1255" s="91">
        <v>3</v>
      </c>
      <c r="AX1255" s="93">
        <f>VLOOKUP(AW1255,색인!$N$14:$O$19,2,FALSE)</f>
        <v>2</v>
      </c>
      <c r="AY1255" s="91" t="str">
        <f>"T"&amp;O1255&amp;"_"&amp;AX1255&amp;"옵션_"&amp;VLOOKUP(E1255,색인!$J$25:$K$29,2,FALSE)</f>
        <v>T7_2옵션_보조장비</v>
      </c>
      <c r="AZ1255" s="91">
        <f>VLOOKUP(G1255,색인!$J$32:$K$45,2,FALSE)</f>
        <v>4</v>
      </c>
      <c r="BA1255" s="91" t="str">
        <f>_xlfn.IFNA(VLOOKUP(AY1255,표1[[검색용]:[OptionGroupIndex'[']22]],EquipItemTable!AZ1255,FALSE),"옵션고정안함")</f>
        <v>7221,7222</v>
      </c>
    </row>
    <row r="1256" spans="1:53" s="27" customFormat="1" ht="12" x14ac:dyDescent="0.2">
      <c r="A1256" s="25" t="s">
        <v>1496</v>
      </c>
      <c r="B1256" s="39">
        <v>70415</v>
      </c>
      <c r="C1256" s="42" t="s">
        <v>3785</v>
      </c>
      <c r="D1256" s="26" t="s">
        <v>85</v>
      </c>
      <c r="E1256" s="26" t="s">
        <v>501</v>
      </c>
      <c r="F1256" s="27" t="s">
        <v>480</v>
      </c>
      <c r="G1256" s="27" t="s">
        <v>1453</v>
      </c>
      <c r="N1256" s="8"/>
      <c r="O1256" s="29" t="s">
        <v>1338</v>
      </c>
      <c r="P1256" s="27">
        <v>71</v>
      </c>
      <c r="AB1256" s="27">
        <v>3753</v>
      </c>
      <c r="AC1256" s="82"/>
      <c r="AD1256" s="29" t="s">
        <v>1377</v>
      </c>
      <c r="AE1256" s="92" t="str">
        <f t="shared" si="158"/>
        <v>7321,7322</v>
      </c>
      <c r="AF1256" s="29"/>
      <c r="AG1256" s="29"/>
      <c r="AH1256" s="29"/>
      <c r="AQ1256" s="85"/>
      <c r="AR1256" s="27">
        <v>1</v>
      </c>
      <c r="AS1256" s="27">
        <v>1</v>
      </c>
      <c r="AT1256" s="85"/>
      <c r="AU1256" s="29" t="s">
        <v>1941</v>
      </c>
      <c r="AW1256" s="91">
        <v>4</v>
      </c>
      <c r="AX1256" s="93">
        <f>VLOOKUP(AW1256,색인!$N$14:$O$19,2,FALSE)</f>
        <v>3</v>
      </c>
      <c r="AY1256" s="91" t="str">
        <f>"T"&amp;O1256&amp;"_"&amp;AX1256&amp;"옵션_"&amp;VLOOKUP(E1256,색인!$J$25:$K$29,2,FALSE)</f>
        <v>T7_3옵션_보조장비</v>
      </c>
      <c r="AZ1256" s="91">
        <f>VLOOKUP(G1256,색인!$J$32:$K$45,2,FALSE)</f>
        <v>4</v>
      </c>
      <c r="BA1256" s="91" t="str">
        <f>_xlfn.IFNA(VLOOKUP(AY1256,표1[[검색용]:[OptionGroupIndex'[']22]],EquipItemTable!AZ1256,FALSE),"옵션고정안함")</f>
        <v>7321,7322</v>
      </c>
    </row>
    <row r="1257" spans="1:53" s="27" customFormat="1" ht="12" x14ac:dyDescent="0.2">
      <c r="A1257" s="25" t="s">
        <v>1497</v>
      </c>
      <c r="B1257" s="39">
        <v>70416</v>
      </c>
      <c r="C1257" s="42" t="s">
        <v>3774</v>
      </c>
      <c r="D1257" s="26" t="s">
        <v>85</v>
      </c>
      <c r="E1257" s="26" t="s">
        <v>501</v>
      </c>
      <c r="F1257" s="27" t="s">
        <v>480</v>
      </c>
      <c r="G1257" s="27" t="s">
        <v>1453</v>
      </c>
      <c r="N1257" s="8"/>
      <c r="O1257" s="29" t="s">
        <v>1338</v>
      </c>
      <c r="P1257" s="27">
        <v>71</v>
      </c>
      <c r="AB1257" s="27">
        <v>4128</v>
      </c>
      <c r="AC1257" s="82"/>
      <c r="AD1257" s="29" t="s">
        <v>1377</v>
      </c>
      <c r="AE1257" s="92" t="str">
        <f t="shared" si="158"/>
        <v>7321,7322</v>
      </c>
      <c r="AF1257" s="29"/>
      <c r="AG1257" s="29"/>
      <c r="AH1257" s="29"/>
      <c r="AN1257" s="27">
        <v>103</v>
      </c>
      <c r="AQ1257" s="85"/>
      <c r="AR1257" s="27">
        <v>1</v>
      </c>
      <c r="AS1257" s="27">
        <v>1</v>
      </c>
      <c r="AT1257" s="85"/>
      <c r="AU1257" s="29" t="s">
        <v>1942</v>
      </c>
      <c r="AW1257" s="91">
        <v>5</v>
      </c>
      <c r="AX1257" s="93">
        <f>VLOOKUP(AW1257,색인!$N$14:$O$19,2,FALSE)</f>
        <v>3</v>
      </c>
      <c r="AY1257" s="91" t="str">
        <f>"T"&amp;O1257&amp;"_"&amp;AX1257&amp;"옵션_"&amp;VLOOKUP(E1257,색인!$J$25:$K$29,2,FALSE)</f>
        <v>T7_3옵션_보조장비</v>
      </c>
      <c r="AZ1257" s="91">
        <f>VLOOKUP(G1257,색인!$J$32:$K$45,2,FALSE)</f>
        <v>4</v>
      </c>
      <c r="BA1257" s="91" t="str">
        <f>_xlfn.IFNA(VLOOKUP(AY1257,표1[[검색용]:[OptionGroupIndex'[']22]],EquipItemTable!AZ1257,FALSE),"옵션고정안함")</f>
        <v>7321,7322</v>
      </c>
    </row>
    <row r="1258" spans="1:53" s="27" customFormat="1" ht="12" x14ac:dyDescent="0.2">
      <c r="A1258" s="25" t="s">
        <v>1498</v>
      </c>
      <c r="B1258" s="39">
        <v>70417</v>
      </c>
      <c r="C1258" s="42" t="s">
        <v>3776</v>
      </c>
      <c r="D1258" s="26" t="s">
        <v>85</v>
      </c>
      <c r="E1258" s="26" t="s">
        <v>501</v>
      </c>
      <c r="F1258" s="27" t="s">
        <v>480</v>
      </c>
      <c r="G1258" s="27" t="s">
        <v>1453</v>
      </c>
      <c r="N1258" s="8"/>
      <c r="O1258" s="29" t="s">
        <v>1338</v>
      </c>
      <c r="P1258" s="27">
        <v>71</v>
      </c>
      <c r="AB1258" s="27">
        <v>4128</v>
      </c>
      <c r="AC1258" s="82"/>
      <c r="AD1258" s="29" t="s">
        <v>1377</v>
      </c>
      <c r="AE1258" s="92" t="str">
        <f t="shared" si="158"/>
        <v>7321,7322</v>
      </c>
      <c r="AF1258" s="29"/>
      <c r="AG1258" s="29"/>
      <c r="AH1258" s="29"/>
      <c r="AN1258" s="27">
        <v>202</v>
      </c>
      <c r="AQ1258" s="85"/>
      <c r="AR1258" s="27">
        <v>1</v>
      </c>
      <c r="AS1258" s="27">
        <v>1</v>
      </c>
      <c r="AT1258" s="85"/>
      <c r="AU1258" s="29" t="s">
        <v>1942</v>
      </c>
      <c r="AW1258" s="91">
        <v>5</v>
      </c>
      <c r="AX1258" s="93">
        <f>VLOOKUP(AW1258,색인!$N$14:$O$19,2,FALSE)</f>
        <v>3</v>
      </c>
      <c r="AY1258" s="91" t="str">
        <f>"T"&amp;O1258&amp;"_"&amp;AX1258&amp;"옵션_"&amp;VLOOKUP(E1258,색인!$J$25:$K$29,2,FALSE)</f>
        <v>T7_3옵션_보조장비</v>
      </c>
      <c r="AZ1258" s="91">
        <f>VLOOKUP(G1258,색인!$J$32:$K$45,2,FALSE)</f>
        <v>4</v>
      </c>
      <c r="BA1258" s="91" t="str">
        <f>_xlfn.IFNA(VLOOKUP(AY1258,표1[[검색용]:[OptionGroupIndex'[']22]],EquipItemTable!AZ1258,FALSE),"옵션고정안함")</f>
        <v>7321,7322</v>
      </c>
    </row>
    <row r="1259" spans="1:53" s="27" customFormat="1" ht="12" x14ac:dyDescent="0.2">
      <c r="A1259" s="25" t="s">
        <v>1499</v>
      </c>
      <c r="B1259" s="39">
        <v>70418</v>
      </c>
      <c r="C1259" s="42" t="s">
        <v>3777</v>
      </c>
      <c r="D1259" s="26" t="s">
        <v>85</v>
      </c>
      <c r="E1259" s="26" t="s">
        <v>501</v>
      </c>
      <c r="F1259" s="27" t="s">
        <v>480</v>
      </c>
      <c r="G1259" s="27" t="s">
        <v>1453</v>
      </c>
      <c r="N1259" s="8"/>
      <c r="O1259" s="29" t="s">
        <v>1338</v>
      </c>
      <c r="P1259" s="27">
        <v>71</v>
      </c>
      <c r="AB1259" s="27">
        <v>4128</v>
      </c>
      <c r="AC1259" s="82"/>
      <c r="AD1259" s="29" t="s">
        <v>1377</v>
      </c>
      <c r="AE1259" s="92" t="str">
        <f t="shared" si="158"/>
        <v>7321,7322</v>
      </c>
      <c r="AF1259" s="29"/>
      <c r="AG1259" s="29"/>
      <c r="AH1259" s="29"/>
      <c r="AN1259" s="27">
        <v>203</v>
      </c>
      <c r="AQ1259" s="85"/>
      <c r="AR1259" s="27">
        <v>1</v>
      </c>
      <c r="AS1259" s="27">
        <v>1</v>
      </c>
      <c r="AT1259" s="85"/>
      <c r="AU1259" s="29" t="s">
        <v>1942</v>
      </c>
      <c r="AW1259" s="91">
        <v>5</v>
      </c>
      <c r="AX1259" s="93">
        <f>VLOOKUP(AW1259,색인!$N$14:$O$19,2,FALSE)</f>
        <v>3</v>
      </c>
      <c r="AY1259" s="91" t="str">
        <f>"T"&amp;O1259&amp;"_"&amp;AX1259&amp;"옵션_"&amp;VLOOKUP(E1259,색인!$J$25:$K$29,2,FALSE)</f>
        <v>T7_3옵션_보조장비</v>
      </c>
      <c r="AZ1259" s="91">
        <f>VLOOKUP(G1259,색인!$J$32:$K$45,2,FALSE)</f>
        <v>4</v>
      </c>
      <c r="BA1259" s="91" t="str">
        <f>_xlfn.IFNA(VLOOKUP(AY1259,표1[[검색용]:[OptionGroupIndex'[']22]],EquipItemTable!AZ1259,FALSE),"옵션고정안함")</f>
        <v>7321,7322</v>
      </c>
    </row>
    <row r="1260" spans="1:53" s="27" customFormat="1" ht="12" x14ac:dyDescent="0.2">
      <c r="A1260" s="25" t="s">
        <v>1500</v>
      </c>
      <c r="B1260" s="39">
        <v>70419</v>
      </c>
      <c r="C1260" s="42" t="s">
        <v>3778</v>
      </c>
      <c r="D1260" s="26" t="s">
        <v>85</v>
      </c>
      <c r="E1260" s="26" t="s">
        <v>501</v>
      </c>
      <c r="F1260" s="27" t="s">
        <v>480</v>
      </c>
      <c r="G1260" s="27" t="s">
        <v>1453</v>
      </c>
      <c r="N1260" s="8"/>
      <c r="O1260" s="29" t="s">
        <v>1338</v>
      </c>
      <c r="P1260" s="27">
        <v>71</v>
      </c>
      <c r="AB1260" s="27">
        <v>4128</v>
      </c>
      <c r="AC1260" s="82"/>
      <c r="AD1260" s="29" t="s">
        <v>1377</v>
      </c>
      <c r="AE1260" s="92" t="str">
        <f t="shared" si="158"/>
        <v>7321,7322</v>
      </c>
      <c r="AF1260" s="29"/>
      <c r="AG1260" s="29"/>
      <c r="AH1260" s="29"/>
      <c r="AN1260" s="27">
        <v>204</v>
      </c>
      <c r="AQ1260" s="85"/>
      <c r="AR1260" s="27">
        <v>1</v>
      </c>
      <c r="AS1260" s="27">
        <v>1</v>
      </c>
      <c r="AT1260" s="85"/>
      <c r="AU1260" s="29" t="s">
        <v>1942</v>
      </c>
      <c r="AW1260" s="91">
        <v>5</v>
      </c>
      <c r="AX1260" s="93">
        <f>VLOOKUP(AW1260,색인!$N$14:$O$19,2,FALSE)</f>
        <v>3</v>
      </c>
      <c r="AY1260" s="91" t="str">
        <f>"T"&amp;O1260&amp;"_"&amp;AX1260&amp;"옵션_"&amp;VLOOKUP(E1260,색인!$J$25:$K$29,2,FALSE)</f>
        <v>T7_3옵션_보조장비</v>
      </c>
      <c r="AZ1260" s="91">
        <f>VLOOKUP(G1260,색인!$J$32:$K$45,2,FALSE)</f>
        <v>4</v>
      </c>
      <c r="BA1260" s="91" t="str">
        <f>_xlfn.IFNA(VLOOKUP(AY1260,표1[[검색용]:[OptionGroupIndex'[']22]],EquipItemTable!AZ1260,FALSE),"옵션고정안함")</f>
        <v>7321,7322</v>
      </c>
    </row>
    <row r="1261" spans="1:53" s="27" customFormat="1" ht="12" x14ac:dyDescent="0.2">
      <c r="A1261" s="25" t="s">
        <v>1501</v>
      </c>
      <c r="B1261" s="39">
        <v>70420</v>
      </c>
      <c r="C1261" s="42" t="s">
        <v>3779</v>
      </c>
      <c r="D1261" s="26" t="s">
        <v>85</v>
      </c>
      <c r="E1261" s="26" t="s">
        <v>501</v>
      </c>
      <c r="F1261" s="27" t="s">
        <v>480</v>
      </c>
      <c r="G1261" s="27" t="s">
        <v>1453</v>
      </c>
      <c r="J1261" s="1"/>
      <c r="K1261" s="1"/>
      <c r="L1261" s="1"/>
      <c r="M1261" s="1"/>
      <c r="N1261" s="8"/>
      <c r="O1261" s="29" t="s">
        <v>1338</v>
      </c>
      <c r="P1261" s="27">
        <v>71</v>
      </c>
      <c r="AB1261" s="27">
        <v>4128</v>
      </c>
      <c r="AC1261" s="82"/>
      <c r="AD1261" s="29" t="s">
        <v>1377</v>
      </c>
      <c r="AE1261" s="92" t="str">
        <f t="shared" si="158"/>
        <v>7321,7322</v>
      </c>
      <c r="AF1261" s="29"/>
      <c r="AG1261" s="12"/>
      <c r="AH1261" s="12"/>
      <c r="AN1261" s="27">
        <v>205</v>
      </c>
      <c r="AQ1261" s="85"/>
      <c r="AR1261" s="27">
        <v>1</v>
      </c>
      <c r="AS1261" s="27">
        <v>1</v>
      </c>
      <c r="AT1261" s="85"/>
      <c r="AU1261" s="29" t="s">
        <v>1942</v>
      </c>
      <c r="AW1261" s="91">
        <v>5</v>
      </c>
      <c r="AX1261" s="93">
        <f>VLOOKUP(AW1261,색인!$N$14:$O$19,2,FALSE)</f>
        <v>3</v>
      </c>
      <c r="AY1261" s="91" t="str">
        <f>"T"&amp;O1261&amp;"_"&amp;AX1261&amp;"옵션_"&amp;VLOOKUP(E1261,색인!$J$25:$K$29,2,FALSE)</f>
        <v>T7_3옵션_보조장비</v>
      </c>
      <c r="AZ1261" s="91">
        <f>VLOOKUP(G1261,색인!$J$32:$K$45,2,FALSE)</f>
        <v>4</v>
      </c>
      <c r="BA1261" s="91" t="str">
        <f>_xlfn.IFNA(VLOOKUP(AY1261,표1[[검색용]:[OptionGroupIndex'[']22]],EquipItemTable!AZ1261,FALSE),"옵션고정안함")</f>
        <v>7321,7322</v>
      </c>
    </row>
    <row r="1262" spans="1:53" s="27" customFormat="1" ht="12" x14ac:dyDescent="0.2">
      <c r="A1262" s="25" t="s">
        <v>1502</v>
      </c>
      <c r="B1262" s="39">
        <v>70421</v>
      </c>
      <c r="C1262" s="42" t="s">
        <v>3786</v>
      </c>
      <c r="D1262" s="26" t="s">
        <v>85</v>
      </c>
      <c r="E1262" s="26" t="s">
        <v>501</v>
      </c>
      <c r="F1262" s="27" t="s">
        <v>480</v>
      </c>
      <c r="G1262" s="27" t="s">
        <v>1453</v>
      </c>
      <c r="J1262" s="1"/>
      <c r="K1262" s="1"/>
      <c r="L1262" s="1"/>
      <c r="M1262" s="1"/>
      <c r="N1262" s="8"/>
      <c r="O1262" s="29" t="s">
        <v>1338</v>
      </c>
      <c r="P1262" s="27">
        <v>71</v>
      </c>
      <c r="AB1262" s="27">
        <v>4128</v>
      </c>
      <c r="AC1262" s="82"/>
      <c r="AD1262" s="29" t="s">
        <v>1377</v>
      </c>
      <c r="AE1262" s="92" t="str">
        <f t="shared" si="158"/>
        <v>7321,7322</v>
      </c>
      <c r="AF1262" s="29"/>
      <c r="AG1262" s="12"/>
      <c r="AH1262" s="12"/>
      <c r="AN1262" s="27">
        <v>206</v>
      </c>
      <c r="AQ1262" s="85"/>
      <c r="AR1262" s="27">
        <v>1</v>
      </c>
      <c r="AS1262" s="27">
        <v>1</v>
      </c>
      <c r="AT1262" s="85"/>
      <c r="AU1262" s="29" t="s">
        <v>1942</v>
      </c>
      <c r="AW1262" s="91">
        <v>5</v>
      </c>
      <c r="AX1262" s="93">
        <f>VLOOKUP(AW1262,색인!$N$14:$O$19,2,FALSE)</f>
        <v>3</v>
      </c>
      <c r="AY1262" s="91" t="str">
        <f>"T"&amp;O1262&amp;"_"&amp;AX1262&amp;"옵션_"&amp;VLOOKUP(E1262,색인!$J$25:$K$29,2,FALSE)</f>
        <v>T7_3옵션_보조장비</v>
      </c>
      <c r="AZ1262" s="91">
        <f>VLOOKUP(G1262,색인!$J$32:$K$45,2,FALSE)</f>
        <v>4</v>
      </c>
      <c r="BA1262" s="91" t="str">
        <f>_xlfn.IFNA(VLOOKUP(AY1262,표1[[검색용]:[OptionGroupIndex'[']22]],EquipItemTable!AZ1262,FALSE),"옵션고정안함")</f>
        <v>7321,7322</v>
      </c>
    </row>
    <row r="1263" spans="1:53" s="27" customFormat="1" ht="12" x14ac:dyDescent="0.2">
      <c r="A1263" s="25" t="s">
        <v>1503</v>
      </c>
      <c r="B1263" s="39">
        <v>70422</v>
      </c>
      <c r="C1263" s="42" t="s">
        <v>3787</v>
      </c>
      <c r="D1263" s="26" t="s">
        <v>85</v>
      </c>
      <c r="E1263" s="26" t="s">
        <v>501</v>
      </c>
      <c r="F1263" s="27" t="s">
        <v>480</v>
      </c>
      <c r="G1263" s="27" t="s">
        <v>1453</v>
      </c>
      <c r="J1263" s="1"/>
      <c r="K1263" s="1"/>
      <c r="L1263" s="1"/>
      <c r="M1263" s="1"/>
      <c r="N1263" s="8"/>
      <c r="O1263" s="29" t="s">
        <v>1338</v>
      </c>
      <c r="P1263" s="27">
        <v>71</v>
      </c>
      <c r="AB1263" s="27">
        <v>4128</v>
      </c>
      <c r="AC1263" s="82"/>
      <c r="AD1263" s="29" t="s">
        <v>1377</v>
      </c>
      <c r="AE1263" s="92" t="str">
        <f t="shared" si="158"/>
        <v>7321,7322</v>
      </c>
      <c r="AF1263" s="29"/>
      <c r="AG1263" s="12"/>
      <c r="AH1263" s="12"/>
      <c r="AN1263" s="27">
        <v>207</v>
      </c>
      <c r="AQ1263" s="85"/>
      <c r="AR1263" s="27">
        <v>1</v>
      </c>
      <c r="AS1263" s="27">
        <v>1</v>
      </c>
      <c r="AT1263" s="85"/>
      <c r="AU1263" s="29" t="s">
        <v>1942</v>
      </c>
      <c r="AW1263" s="91">
        <v>5</v>
      </c>
      <c r="AX1263" s="93">
        <f>VLOOKUP(AW1263,색인!$N$14:$O$19,2,FALSE)</f>
        <v>3</v>
      </c>
      <c r="AY1263" s="91" t="str">
        <f>"T"&amp;O1263&amp;"_"&amp;AX1263&amp;"옵션_"&amp;VLOOKUP(E1263,색인!$J$25:$K$29,2,FALSE)</f>
        <v>T7_3옵션_보조장비</v>
      </c>
      <c r="AZ1263" s="91">
        <f>VLOOKUP(G1263,색인!$J$32:$K$45,2,FALSE)</f>
        <v>4</v>
      </c>
      <c r="BA1263" s="91" t="str">
        <f>_xlfn.IFNA(VLOOKUP(AY1263,표1[[검색용]:[OptionGroupIndex'[']22]],EquipItemTable!AZ1263,FALSE),"옵션고정안함")</f>
        <v>7321,7322</v>
      </c>
    </row>
    <row r="1264" spans="1:53" s="27" customFormat="1" ht="12" x14ac:dyDescent="0.2">
      <c r="A1264" s="25" t="s">
        <v>1504</v>
      </c>
      <c r="B1264" s="39">
        <v>70423</v>
      </c>
      <c r="C1264" s="42" t="s">
        <v>3758</v>
      </c>
      <c r="D1264" s="26" t="s">
        <v>85</v>
      </c>
      <c r="E1264" s="26" t="s">
        <v>501</v>
      </c>
      <c r="F1264" s="27" t="s">
        <v>480</v>
      </c>
      <c r="G1264" s="27" t="s">
        <v>1453</v>
      </c>
      <c r="J1264" s="1"/>
      <c r="K1264" s="1"/>
      <c r="L1264" s="1"/>
      <c r="M1264" s="1"/>
      <c r="N1264" s="8"/>
      <c r="O1264" s="29" t="s">
        <v>1338</v>
      </c>
      <c r="P1264" s="27">
        <v>71</v>
      </c>
      <c r="AB1264" s="27">
        <v>4258</v>
      </c>
      <c r="AC1264" s="82"/>
      <c r="AD1264" s="29" t="s">
        <v>1377</v>
      </c>
      <c r="AE1264" s="92" t="str">
        <f>BA1264</f>
        <v>7421,7422</v>
      </c>
      <c r="AF1264" s="29" t="s">
        <v>2185</v>
      </c>
      <c r="AG1264" s="12"/>
      <c r="AH1264" s="12"/>
      <c r="AN1264" s="27">
        <v>1</v>
      </c>
      <c r="AQ1264" s="85"/>
      <c r="AR1264" s="27">
        <v>1</v>
      </c>
      <c r="AS1264" s="27">
        <v>1</v>
      </c>
      <c r="AT1264" s="85"/>
      <c r="AU1264" s="12" t="s">
        <v>1936</v>
      </c>
      <c r="AW1264" s="91">
        <v>6</v>
      </c>
      <c r="AX1264" s="93">
        <f>VLOOKUP(AW1264,색인!$N$14:$O$19,2,FALSE)</f>
        <v>4</v>
      </c>
      <c r="AY1264" s="93" t="str">
        <f>"T"&amp;O1264&amp;"_"&amp;AX1264&amp;"옵션_"&amp;VLOOKUP(E1264,색인!$J$25:$K$29,2,FALSE)</f>
        <v>T7_4옵션_보조장비</v>
      </c>
      <c r="AZ1264" s="93">
        <f>VLOOKUP(G1264,색인!$J$32:$K$45,2,FALSE)</f>
        <v>4</v>
      </c>
      <c r="BA1264" s="93" t="str">
        <f>_xlfn.IFNA(VLOOKUP(AY1264,표1[[검색용]:[OptionGroupIndex'[']22]],EquipItemTable!AZ1264,FALSE),"옵션고정안함")</f>
        <v>7421,7422</v>
      </c>
    </row>
    <row r="1265" spans="1:53" s="27" customFormat="1" ht="12" x14ac:dyDescent="0.2">
      <c r="A1265" s="25" t="s">
        <v>1505</v>
      </c>
      <c r="B1265" s="39">
        <v>70424</v>
      </c>
      <c r="C1265" s="42" t="s">
        <v>3759</v>
      </c>
      <c r="D1265" s="26" t="s">
        <v>85</v>
      </c>
      <c r="E1265" s="26" t="s">
        <v>501</v>
      </c>
      <c r="F1265" s="27" t="s">
        <v>480</v>
      </c>
      <c r="G1265" s="27" t="s">
        <v>1453</v>
      </c>
      <c r="J1265" s="1"/>
      <c r="K1265" s="1"/>
      <c r="L1265" s="1"/>
      <c r="M1265" s="1"/>
      <c r="N1265" s="8"/>
      <c r="O1265" s="29" t="s">
        <v>1338</v>
      </c>
      <c r="P1265" s="27">
        <v>71</v>
      </c>
      <c r="AB1265" s="27">
        <v>4258</v>
      </c>
      <c r="AC1265" s="82"/>
      <c r="AD1265" s="29" t="s">
        <v>1377</v>
      </c>
      <c r="AE1265" s="92" t="str">
        <f>BA1265</f>
        <v>7421,7422</v>
      </c>
      <c r="AF1265" s="29" t="s">
        <v>2185</v>
      </c>
      <c r="AG1265" s="12"/>
      <c r="AH1265" s="12"/>
      <c r="AN1265" s="27">
        <v>2</v>
      </c>
      <c r="AQ1265" s="85"/>
      <c r="AR1265" s="27">
        <v>1</v>
      </c>
      <c r="AS1265" s="27">
        <v>1</v>
      </c>
      <c r="AT1265" s="85"/>
      <c r="AU1265" s="12" t="s">
        <v>1936</v>
      </c>
      <c r="AW1265" s="91">
        <v>6</v>
      </c>
      <c r="AX1265" s="93">
        <f>VLOOKUP(AW1265,색인!$N$14:$O$19,2,FALSE)</f>
        <v>4</v>
      </c>
      <c r="AY1265" s="93" t="str">
        <f>"T"&amp;O1265&amp;"_"&amp;AX1265&amp;"옵션_"&amp;VLOOKUP(E1265,색인!$J$25:$K$29,2,FALSE)</f>
        <v>T7_4옵션_보조장비</v>
      </c>
      <c r="AZ1265" s="93">
        <f>VLOOKUP(G1265,색인!$J$32:$K$45,2,FALSE)</f>
        <v>4</v>
      </c>
      <c r="BA1265" s="93" t="str">
        <f>_xlfn.IFNA(VLOOKUP(AY1265,표1[[검색용]:[OptionGroupIndex'[']22]],EquipItemTable!AZ1265,FALSE),"옵션고정안함")</f>
        <v>7421,7422</v>
      </c>
    </row>
    <row r="1266" spans="1:53" s="27" customFormat="1" ht="12" x14ac:dyDescent="0.2">
      <c r="A1266" s="25" t="s">
        <v>1506</v>
      </c>
      <c r="B1266" s="39">
        <v>70425</v>
      </c>
      <c r="C1266" s="42" t="s">
        <v>3760</v>
      </c>
      <c r="D1266" s="26" t="s">
        <v>85</v>
      </c>
      <c r="E1266" s="26" t="s">
        <v>501</v>
      </c>
      <c r="F1266" s="27" t="s">
        <v>480</v>
      </c>
      <c r="G1266" s="27" t="s">
        <v>1453</v>
      </c>
      <c r="J1266" s="1"/>
      <c r="K1266" s="1"/>
      <c r="L1266" s="1"/>
      <c r="M1266" s="1"/>
      <c r="N1266" s="8"/>
      <c r="O1266" s="29" t="s">
        <v>1338</v>
      </c>
      <c r="P1266" s="27">
        <v>71</v>
      </c>
      <c r="AB1266" s="27">
        <v>4258</v>
      </c>
      <c r="AC1266" s="82"/>
      <c r="AD1266" s="29" t="s">
        <v>1377</v>
      </c>
      <c r="AE1266" s="92" t="str">
        <f>BA1266</f>
        <v>7421,7422</v>
      </c>
      <c r="AF1266" s="29" t="s">
        <v>2185</v>
      </c>
      <c r="AG1266" s="12"/>
      <c r="AH1266" s="12"/>
      <c r="AN1266" s="27">
        <v>3</v>
      </c>
      <c r="AQ1266" s="85"/>
      <c r="AR1266" s="27">
        <v>1</v>
      </c>
      <c r="AS1266" s="27">
        <v>1</v>
      </c>
      <c r="AT1266" s="85"/>
      <c r="AU1266" s="12" t="s">
        <v>1936</v>
      </c>
      <c r="AW1266" s="91">
        <v>6</v>
      </c>
      <c r="AX1266" s="93">
        <f>VLOOKUP(AW1266,색인!$N$14:$O$19,2,FALSE)</f>
        <v>4</v>
      </c>
      <c r="AY1266" s="93" t="str">
        <f>"T"&amp;O1266&amp;"_"&amp;AX1266&amp;"옵션_"&amp;VLOOKUP(E1266,색인!$J$25:$K$29,2,FALSE)</f>
        <v>T7_4옵션_보조장비</v>
      </c>
      <c r="AZ1266" s="93">
        <f>VLOOKUP(G1266,색인!$J$32:$K$45,2,FALSE)</f>
        <v>4</v>
      </c>
      <c r="BA1266" s="93" t="str">
        <f>_xlfn.IFNA(VLOOKUP(AY1266,표1[[검색용]:[OptionGroupIndex'[']22]],EquipItemTable!AZ1266,FALSE),"옵션고정안함")</f>
        <v>7421,7422</v>
      </c>
    </row>
    <row r="1267" spans="1:53" s="27" customFormat="1" ht="12" x14ac:dyDescent="0.2">
      <c r="A1267" s="25" t="s">
        <v>1507</v>
      </c>
      <c r="B1267" s="39">
        <v>70426</v>
      </c>
      <c r="C1267" s="42" t="s">
        <v>3761</v>
      </c>
      <c r="D1267" s="26" t="s">
        <v>85</v>
      </c>
      <c r="E1267" s="26" t="s">
        <v>501</v>
      </c>
      <c r="F1267" s="27" t="s">
        <v>480</v>
      </c>
      <c r="G1267" s="27" t="s">
        <v>1453</v>
      </c>
      <c r="J1267" s="1"/>
      <c r="K1267" s="1"/>
      <c r="L1267" s="1"/>
      <c r="M1267" s="1"/>
      <c r="N1267" s="8"/>
      <c r="O1267" s="29" t="s">
        <v>1338</v>
      </c>
      <c r="P1267" s="27">
        <v>71</v>
      </c>
      <c r="AB1267" s="27">
        <v>4258</v>
      </c>
      <c r="AC1267" s="82"/>
      <c r="AD1267" s="29" t="s">
        <v>1377</v>
      </c>
      <c r="AE1267" s="92" t="str">
        <f>BA1267</f>
        <v>7421,7422</v>
      </c>
      <c r="AF1267" s="29" t="s">
        <v>2185</v>
      </c>
      <c r="AG1267" s="12"/>
      <c r="AH1267" s="12"/>
      <c r="AN1267" s="27">
        <v>4</v>
      </c>
      <c r="AQ1267" s="85"/>
      <c r="AR1267" s="27">
        <v>1</v>
      </c>
      <c r="AS1267" s="27">
        <v>1</v>
      </c>
      <c r="AT1267" s="85"/>
      <c r="AU1267" s="12" t="s">
        <v>1936</v>
      </c>
      <c r="AW1267" s="91">
        <v>6</v>
      </c>
      <c r="AX1267" s="93">
        <f>VLOOKUP(AW1267,색인!$N$14:$O$19,2,FALSE)</f>
        <v>4</v>
      </c>
      <c r="AY1267" s="93" t="str">
        <f>"T"&amp;O1267&amp;"_"&amp;AX1267&amp;"옵션_"&amp;VLOOKUP(E1267,색인!$J$25:$K$29,2,FALSE)</f>
        <v>T7_4옵션_보조장비</v>
      </c>
      <c r="AZ1267" s="93">
        <f>VLOOKUP(G1267,색인!$J$32:$K$45,2,FALSE)</f>
        <v>4</v>
      </c>
      <c r="BA1267" s="93" t="str">
        <f>_xlfn.IFNA(VLOOKUP(AY1267,표1[[검색용]:[OptionGroupIndex'[']22]],EquipItemTable!AZ1267,FALSE),"옵션고정안함")</f>
        <v>7421,7422</v>
      </c>
    </row>
    <row r="1268" spans="1:53" s="27" customFormat="1" ht="12" x14ac:dyDescent="0.2">
      <c r="A1268" s="30" t="s">
        <v>1508</v>
      </c>
      <c r="B1268" s="39">
        <v>70605</v>
      </c>
      <c r="C1268" s="42" t="e">
        <v>#N/A</v>
      </c>
      <c r="D1268" s="26" t="s">
        <v>85</v>
      </c>
      <c r="E1268" s="26" t="s">
        <v>501</v>
      </c>
      <c r="F1268" s="27" t="s">
        <v>480</v>
      </c>
      <c r="G1268" s="27" t="s">
        <v>1453</v>
      </c>
      <c r="J1268" s="1"/>
      <c r="K1268" s="1"/>
      <c r="L1268" s="1"/>
      <c r="M1268" s="1"/>
      <c r="N1268" s="8"/>
      <c r="O1268" s="29" t="s">
        <v>1338</v>
      </c>
      <c r="P1268" s="27">
        <v>71</v>
      </c>
      <c r="AB1268" s="27">
        <v>4258</v>
      </c>
      <c r="AC1268" s="82"/>
      <c r="AD1268" s="29" t="s">
        <v>1377</v>
      </c>
      <c r="AE1268" s="29" t="s">
        <v>1337</v>
      </c>
      <c r="AF1268" s="29"/>
      <c r="AG1268" s="12"/>
      <c r="AH1268" s="12"/>
      <c r="AQ1268" s="85"/>
      <c r="AR1268" s="27">
        <v>1</v>
      </c>
      <c r="AS1268" s="27">
        <v>1</v>
      </c>
      <c r="AT1268" s="85"/>
      <c r="AU1268" s="29" t="s">
        <v>1944</v>
      </c>
      <c r="AW1268" s="91">
        <v>7</v>
      </c>
      <c r="AX1268" s="93"/>
      <c r="AY1268" s="93"/>
      <c r="AZ1268" s="93"/>
      <c r="BA1268" s="93"/>
    </row>
    <row r="1269" spans="1:53" s="27" customFormat="1" ht="12" x14ac:dyDescent="0.2">
      <c r="A1269" s="25" t="s">
        <v>1509</v>
      </c>
      <c r="B1269" s="39">
        <v>370003</v>
      </c>
      <c r="C1269" s="42" t="s">
        <v>3780</v>
      </c>
      <c r="D1269" s="26" t="s">
        <v>85</v>
      </c>
      <c r="E1269" s="26" t="s">
        <v>501</v>
      </c>
      <c r="F1269" s="27" t="s">
        <v>480</v>
      </c>
      <c r="G1269" s="27" t="s">
        <v>1453</v>
      </c>
      <c r="J1269" s="1"/>
      <c r="K1269" s="1"/>
      <c r="L1269" s="1"/>
      <c r="M1269" s="1"/>
      <c r="N1269" s="8"/>
      <c r="O1269" s="29" t="s">
        <v>1338</v>
      </c>
      <c r="P1269" s="27">
        <v>71</v>
      </c>
      <c r="AB1269" s="27">
        <v>4128</v>
      </c>
      <c r="AC1269" s="82"/>
      <c r="AD1269" s="29" t="s">
        <v>1377</v>
      </c>
      <c r="AE1269" s="92" t="str">
        <f>BA1269</f>
        <v>7321,7322</v>
      </c>
      <c r="AF1269" s="29"/>
      <c r="AG1269" s="23"/>
      <c r="AH1269" s="23"/>
      <c r="AN1269" s="27">
        <v>101</v>
      </c>
      <c r="AQ1269" s="85"/>
      <c r="AR1269" s="27">
        <v>1</v>
      </c>
      <c r="AS1269" s="27">
        <v>1</v>
      </c>
      <c r="AT1269" s="85"/>
      <c r="AU1269" s="29" t="s">
        <v>1942</v>
      </c>
      <c r="AW1269" s="91">
        <v>5</v>
      </c>
      <c r="AX1269" s="93">
        <f>VLOOKUP(AW1269,색인!$N$14:$O$19,2,FALSE)</f>
        <v>3</v>
      </c>
      <c r="AY1269" s="91" t="str">
        <f>"T"&amp;O1269&amp;"_"&amp;AX1269&amp;"옵션_"&amp;VLOOKUP(E1269,색인!$J$25:$K$29,2,FALSE)</f>
        <v>T7_3옵션_보조장비</v>
      </c>
      <c r="AZ1269" s="91">
        <f>VLOOKUP(G1269,색인!$J$32:$K$45,2,FALSE)</f>
        <v>4</v>
      </c>
      <c r="BA1269" s="91" t="str">
        <f>_xlfn.IFNA(VLOOKUP(AY1269,표1[[검색용]:[OptionGroupIndex'[']22]],EquipItemTable!AZ1269,FALSE),"옵션고정안함")</f>
        <v>7321,7322</v>
      </c>
    </row>
    <row r="1270" spans="1:53" s="27" customFormat="1" ht="12" x14ac:dyDescent="0.2">
      <c r="A1270" s="25" t="s">
        <v>1510</v>
      </c>
      <c r="B1270" s="39">
        <v>370004</v>
      </c>
      <c r="C1270" s="42" t="s">
        <v>3781</v>
      </c>
      <c r="D1270" s="26" t="s">
        <v>85</v>
      </c>
      <c r="E1270" s="26" t="s">
        <v>501</v>
      </c>
      <c r="F1270" s="27" t="s">
        <v>480</v>
      </c>
      <c r="G1270" s="27" t="s">
        <v>1453</v>
      </c>
      <c r="J1270" s="1"/>
      <c r="K1270" s="1"/>
      <c r="L1270" s="1"/>
      <c r="M1270" s="1"/>
      <c r="N1270" s="8"/>
      <c r="O1270" s="29" t="s">
        <v>1338</v>
      </c>
      <c r="P1270" s="27">
        <v>71</v>
      </c>
      <c r="AB1270" s="27">
        <v>4258</v>
      </c>
      <c r="AC1270" s="82"/>
      <c r="AD1270" s="29" t="s">
        <v>1377</v>
      </c>
      <c r="AE1270" s="92" t="s">
        <v>2189</v>
      </c>
      <c r="AF1270" s="29" t="s">
        <v>2185</v>
      </c>
      <c r="AG1270" s="23"/>
      <c r="AH1270" s="23"/>
      <c r="AN1270" s="27">
        <v>102</v>
      </c>
      <c r="AQ1270" s="85"/>
      <c r="AR1270" s="27">
        <v>1</v>
      </c>
      <c r="AS1270" s="27">
        <v>1</v>
      </c>
      <c r="AT1270" s="85"/>
      <c r="AU1270" s="29" t="s">
        <v>1943</v>
      </c>
      <c r="AW1270" s="91">
        <v>6</v>
      </c>
      <c r="AX1270" s="93">
        <f>VLOOKUP(AW1270,색인!$N$14:$O$19,2,FALSE)</f>
        <v>4</v>
      </c>
      <c r="AY1270" s="93" t="str">
        <f>"T"&amp;O1270&amp;"_"&amp;AX1270&amp;"옵션_"&amp;VLOOKUP(E1270,색인!$J$25:$K$29,2,FALSE)</f>
        <v>T7_4옵션_보조장비</v>
      </c>
      <c r="AZ1270" s="93">
        <f>VLOOKUP(G1270,색인!$J$32:$K$45,2,FALSE)</f>
        <v>4</v>
      </c>
      <c r="BA1270" s="93" t="str">
        <f>_xlfn.IFNA(VLOOKUP(AY1270,표1[[검색용]:[OptionGroupIndex'[']22]],EquipItemTable!AZ1270,FALSE),"옵션고정안함")</f>
        <v>7421,7422</v>
      </c>
    </row>
    <row r="1271" spans="1:53" ht="12" customHeight="1" x14ac:dyDescent="0.2">
      <c r="A1271" s="13" t="s">
        <v>222</v>
      </c>
      <c r="B1271" s="39">
        <v>71001</v>
      </c>
      <c r="C1271" s="42" t="s">
        <v>3788</v>
      </c>
      <c r="D1271" s="10" t="s">
        <v>2967</v>
      </c>
      <c r="E1271" s="10" t="s">
        <v>502</v>
      </c>
      <c r="F1271" s="1" t="s">
        <v>488</v>
      </c>
      <c r="G1271" s="1" t="s">
        <v>1312</v>
      </c>
      <c r="H1271" s="1"/>
      <c r="I1271" s="1"/>
      <c r="J1271" s="1"/>
      <c r="K1271" s="1"/>
      <c r="L1271" s="1"/>
      <c r="M1271" s="1"/>
      <c r="O1271" s="12" t="s">
        <v>94</v>
      </c>
      <c r="P1271" s="1">
        <v>1</v>
      </c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>
        <v>15</v>
      </c>
      <c r="AC1271" s="82"/>
      <c r="AD1271" s="12" t="s">
        <v>52</v>
      </c>
      <c r="AE1271" s="12" t="s">
        <v>94</v>
      </c>
      <c r="AG1271" s="23"/>
      <c r="AH1271" s="23"/>
      <c r="AN1271" s="12"/>
      <c r="AU1271" s="12" t="s">
        <v>1932</v>
      </c>
      <c r="AV1271" s="13"/>
      <c r="AW1271" s="39">
        <v>1</v>
      </c>
      <c r="AY1271" s="32"/>
      <c r="AZ1271" s="32"/>
      <c r="BA1271" s="32"/>
    </row>
    <row r="1272" spans="1:53" ht="12" customHeight="1" x14ac:dyDescent="0.2">
      <c r="A1272" s="13" t="s">
        <v>223</v>
      </c>
      <c r="B1272" s="39">
        <v>71002</v>
      </c>
      <c r="C1272" s="42" t="s">
        <v>3789</v>
      </c>
      <c r="D1272" s="10" t="s">
        <v>2967</v>
      </c>
      <c r="E1272" s="10" t="s">
        <v>101</v>
      </c>
      <c r="F1272" s="1" t="s">
        <v>311</v>
      </c>
      <c r="G1272" s="1" t="s">
        <v>1312</v>
      </c>
      <c r="H1272" s="1"/>
      <c r="I1272" s="1"/>
      <c r="J1272" s="1"/>
      <c r="K1272" s="1"/>
      <c r="L1272" s="1"/>
      <c r="M1272" s="1"/>
      <c r="O1272" s="12" t="s">
        <v>94</v>
      </c>
      <c r="P1272" s="1">
        <v>1</v>
      </c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>
        <v>21</v>
      </c>
      <c r="AC1272" s="82"/>
      <c r="AD1272" s="12" t="s">
        <v>52</v>
      </c>
      <c r="AE1272" s="39" t="str">
        <f t="shared" ref="AE1272:AE1274" si="159">BA1272</f>
        <v>1121</v>
      </c>
      <c r="AG1272" s="23"/>
      <c r="AH1272" s="23"/>
      <c r="AN1272" s="12"/>
      <c r="AU1272" s="12" t="s">
        <v>1933</v>
      </c>
      <c r="AV1272" s="13"/>
      <c r="AW1272" s="39">
        <v>2</v>
      </c>
      <c r="AX1272" s="12">
        <f>VLOOKUP(AW1272,색인!$N$14:$O$19,2,FALSE)</f>
        <v>1</v>
      </c>
      <c r="AY1272" s="39" t="str">
        <f>"T"&amp;O1272&amp;"_"&amp;AX1272&amp;"옵션_"&amp;VLOOKUP(E1272,색인!$J$25:$K$29,2,FALSE)</f>
        <v>T1_1옵션_보조장비</v>
      </c>
      <c r="AZ1272" s="39">
        <f>VLOOKUP(G1272,색인!$J$32:$K$45,2,FALSE)</f>
        <v>2</v>
      </c>
      <c r="BA1272" s="39" t="str">
        <f>_xlfn.IFNA(VLOOKUP(AY1272,표1[[검색용]:[OptionGroupIndex'[']22]],EquipItemTable!AZ1272,FALSE),"옵션고정안함")</f>
        <v>1121</v>
      </c>
    </row>
    <row r="1273" spans="1:53" ht="12" customHeight="1" x14ac:dyDescent="0.2">
      <c r="A1273" s="13" t="s">
        <v>224</v>
      </c>
      <c r="B1273" s="39">
        <v>71003</v>
      </c>
      <c r="C1273" s="42" t="s">
        <v>3790</v>
      </c>
      <c r="D1273" s="10" t="s">
        <v>2967</v>
      </c>
      <c r="E1273" s="10" t="s">
        <v>101</v>
      </c>
      <c r="F1273" s="1" t="s">
        <v>311</v>
      </c>
      <c r="G1273" s="1" t="s">
        <v>1312</v>
      </c>
      <c r="H1273" s="1"/>
      <c r="I1273" s="1"/>
      <c r="J1273" s="1"/>
      <c r="K1273" s="1"/>
      <c r="L1273" s="1"/>
      <c r="M1273" s="1"/>
      <c r="O1273" s="12" t="s">
        <v>94</v>
      </c>
      <c r="P1273" s="1">
        <v>1</v>
      </c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>
        <v>27</v>
      </c>
      <c r="AC1273" s="82"/>
      <c r="AD1273" s="12" t="s">
        <v>52</v>
      </c>
      <c r="AE1273" s="39" t="str">
        <f t="shared" si="159"/>
        <v>1221</v>
      </c>
      <c r="AG1273" s="23"/>
      <c r="AH1273" s="23"/>
      <c r="AN1273" s="12"/>
      <c r="AR1273" s="34" t="s">
        <v>94</v>
      </c>
      <c r="AS1273" s="34" t="s">
        <v>94</v>
      </c>
      <c r="AU1273" s="12" t="s">
        <v>1934</v>
      </c>
      <c r="AV1273" s="13"/>
      <c r="AW1273" s="39">
        <v>3</v>
      </c>
      <c r="AX1273" s="12">
        <f>VLOOKUP(AW1273,색인!$N$14:$O$19,2,FALSE)</f>
        <v>2</v>
      </c>
      <c r="AY1273" s="39" t="str">
        <f>"T"&amp;O1273&amp;"_"&amp;AX1273&amp;"옵션_"&amp;VLOOKUP(E1273,색인!$J$25:$K$29,2,FALSE)</f>
        <v>T1_2옵션_보조장비</v>
      </c>
      <c r="AZ1273" s="39">
        <f>VLOOKUP(G1273,색인!$J$32:$K$45,2,FALSE)</f>
        <v>2</v>
      </c>
      <c r="BA1273" s="39" t="str">
        <f>_xlfn.IFNA(VLOOKUP(AY1273,표1[[검색용]:[OptionGroupIndex'[']22]],EquipItemTable!AZ1273,FALSE),"옵션고정안함")</f>
        <v>1221</v>
      </c>
    </row>
    <row r="1274" spans="1:53" ht="12" customHeight="1" x14ac:dyDescent="0.2">
      <c r="A1274" s="13" t="s">
        <v>503</v>
      </c>
      <c r="B1274" s="39">
        <v>71004</v>
      </c>
      <c r="C1274" s="42" t="s">
        <v>3791</v>
      </c>
      <c r="D1274" s="10" t="s">
        <v>86</v>
      </c>
      <c r="E1274" s="10" t="s">
        <v>501</v>
      </c>
      <c r="F1274" s="1" t="s">
        <v>311</v>
      </c>
      <c r="G1274" s="1" t="s">
        <v>1312</v>
      </c>
      <c r="H1274" s="1"/>
      <c r="I1274" s="1"/>
      <c r="J1274" s="1"/>
      <c r="K1274" s="1"/>
      <c r="L1274" s="1"/>
      <c r="M1274" s="1"/>
      <c r="O1274" s="12" t="s">
        <v>428</v>
      </c>
      <c r="P1274" s="1">
        <v>1</v>
      </c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>
        <v>36</v>
      </c>
      <c r="AC1274" s="82"/>
      <c r="AE1274" s="39" t="str">
        <f t="shared" si="159"/>
        <v>1321</v>
      </c>
      <c r="AG1274" s="23"/>
      <c r="AH1274" s="23"/>
      <c r="AN1274" s="12"/>
      <c r="AR1274" s="34" t="s">
        <v>543</v>
      </c>
      <c r="AS1274" s="34" t="s">
        <v>543</v>
      </c>
      <c r="AU1274" s="12" t="s">
        <v>1935</v>
      </c>
      <c r="AV1274" s="13"/>
      <c r="AW1274" s="39">
        <v>4</v>
      </c>
      <c r="AX1274" s="12">
        <f>VLOOKUP(AW1274,색인!$N$14:$O$19,2,FALSE)</f>
        <v>3</v>
      </c>
      <c r="AY1274" s="39" t="str">
        <f>"T"&amp;O1274&amp;"_"&amp;AX1274&amp;"옵션_"&amp;VLOOKUP(E1274,색인!$J$25:$K$29,2,FALSE)</f>
        <v>T1_3옵션_보조장비</v>
      </c>
      <c r="AZ1274" s="39">
        <f>VLOOKUP(G1274,색인!$J$32:$K$45,2,FALSE)</f>
        <v>2</v>
      </c>
      <c r="BA1274" s="39" t="str">
        <f>_xlfn.IFNA(VLOOKUP(AY1274,표1[[검색용]:[OptionGroupIndex'[']22]],EquipItemTable!AZ1274,FALSE),"옵션고정안함")</f>
        <v>1321</v>
      </c>
    </row>
    <row r="1275" spans="1:53" ht="12" customHeight="1" x14ac:dyDescent="0.2">
      <c r="A1275" s="13" t="s">
        <v>225</v>
      </c>
      <c r="B1275" s="39">
        <v>71005</v>
      </c>
      <c r="C1275" s="42" t="s">
        <v>3792</v>
      </c>
      <c r="D1275" s="10" t="s">
        <v>2967</v>
      </c>
      <c r="E1275" s="10" t="s">
        <v>101</v>
      </c>
      <c r="F1275" s="1" t="s">
        <v>311</v>
      </c>
      <c r="G1275" s="1" t="s">
        <v>1312</v>
      </c>
      <c r="H1275" s="1"/>
      <c r="I1275" s="1"/>
      <c r="J1275" s="1"/>
      <c r="K1275" s="1"/>
      <c r="L1275" s="1"/>
      <c r="M1275" s="1"/>
      <c r="O1275" s="12" t="s">
        <v>95</v>
      </c>
      <c r="P1275" s="1">
        <v>21</v>
      </c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>
        <v>42</v>
      </c>
      <c r="AC1275" s="82"/>
      <c r="AD1275" s="12" t="s">
        <v>52</v>
      </c>
      <c r="AE1275" s="12" t="s">
        <v>550</v>
      </c>
      <c r="AG1275" s="23"/>
      <c r="AH1275" s="23"/>
      <c r="AN1275" s="12"/>
      <c r="AU1275" s="12" t="s">
        <v>1932</v>
      </c>
      <c r="AV1275" s="13"/>
      <c r="AW1275" s="39">
        <v>1</v>
      </c>
      <c r="AY1275" s="32"/>
      <c r="AZ1275" s="32"/>
      <c r="BA1275" s="32"/>
    </row>
    <row r="1276" spans="1:53" ht="12" customHeight="1" x14ac:dyDescent="0.2">
      <c r="A1276" s="13" t="s">
        <v>226</v>
      </c>
      <c r="B1276" s="39">
        <v>71006</v>
      </c>
      <c r="C1276" s="42" t="s">
        <v>3793</v>
      </c>
      <c r="D1276" s="10" t="s">
        <v>2967</v>
      </c>
      <c r="E1276" s="10" t="s">
        <v>101</v>
      </c>
      <c r="F1276" s="1" t="s">
        <v>311</v>
      </c>
      <c r="G1276" s="1" t="s">
        <v>1312</v>
      </c>
      <c r="H1276" s="1"/>
      <c r="I1276" s="1"/>
      <c r="J1276" s="1"/>
      <c r="K1276" s="1"/>
      <c r="L1276" s="1"/>
      <c r="M1276" s="1"/>
      <c r="O1276" s="12" t="s">
        <v>95</v>
      </c>
      <c r="P1276" s="1">
        <v>21</v>
      </c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>
        <v>52</v>
      </c>
      <c r="AC1276" s="82"/>
      <c r="AD1276" s="12" t="s">
        <v>52</v>
      </c>
      <c r="AE1276" s="39" t="str">
        <f t="shared" ref="AE1276:AE1278" si="160">BA1276</f>
        <v>2121</v>
      </c>
      <c r="AG1276" s="23"/>
      <c r="AH1276" s="23"/>
      <c r="AN1276" s="12"/>
      <c r="AU1276" s="12" t="s">
        <v>1933</v>
      </c>
      <c r="AV1276" s="13"/>
      <c r="AW1276" s="39">
        <v>2</v>
      </c>
      <c r="AX1276" s="12">
        <f>VLOOKUP(AW1276,색인!$N$14:$O$19,2,FALSE)</f>
        <v>1</v>
      </c>
      <c r="AY1276" s="39" t="str">
        <f>"T"&amp;O1276&amp;"_"&amp;AX1276&amp;"옵션_"&amp;VLOOKUP(E1276,색인!$J$25:$K$29,2,FALSE)</f>
        <v>T2_1옵션_보조장비</v>
      </c>
      <c r="AZ1276" s="39">
        <f>VLOOKUP(G1276,색인!$J$32:$K$45,2,FALSE)</f>
        <v>2</v>
      </c>
      <c r="BA1276" s="39" t="str">
        <f>_xlfn.IFNA(VLOOKUP(AY1276,표1[[검색용]:[OptionGroupIndex'[']22]],EquipItemTable!AZ1276,FALSE),"옵션고정안함")</f>
        <v>2121</v>
      </c>
    </row>
    <row r="1277" spans="1:53" ht="12" customHeight="1" x14ac:dyDescent="0.2">
      <c r="A1277" s="13" t="s">
        <v>227</v>
      </c>
      <c r="B1277" s="39">
        <v>71007</v>
      </c>
      <c r="C1277" s="42" t="s">
        <v>3794</v>
      </c>
      <c r="D1277" s="10" t="s">
        <v>2967</v>
      </c>
      <c r="E1277" s="10" t="s">
        <v>101</v>
      </c>
      <c r="F1277" s="1" t="s">
        <v>311</v>
      </c>
      <c r="G1277" s="1" t="s">
        <v>1312</v>
      </c>
      <c r="H1277" s="1"/>
      <c r="I1277" s="1"/>
      <c r="J1277" s="1"/>
      <c r="K1277" s="1"/>
      <c r="L1277" s="1"/>
      <c r="M1277" s="1"/>
      <c r="O1277" s="12" t="s">
        <v>95</v>
      </c>
      <c r="P1277" s="1">
        <v>21</v>
      </c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>
        <v>66</v>
      </c>
      <c r="AC1277" s="82"/>
      <c r="AD1277" s="12" t="s">
        <v>52</v>
      </c>
      <c r="AE1277" s="39" t="str">
        <f t="shared" si="160"/>
        <v>2221</v>
      </c>
      <c r="AG1277" s="23"/>
      <c r="AH1277" s="23"/>
      <c r="AN1277" s="12"/>
      <c r="AR1277" s="34" t="s">
        <v>94</v>
      </c>
      <c r="AS1277" s="34" t="s">
        <v>94</v>
      </c>
      <c r="AU1277" s="12" t="s">
        <v>1934</v>
      </c>
      <c r="AV1277" s="13"/>
      <c r="AW1277" s="39">
        <v>3</v>
      </c>
      <c r="AX1277" s="12">
        <f>VLOOKUP(AW1277,색인!$N$14:$O$19,2,FALSE)</f>
        <v>2</v>
      </c>
      <c r="AY1277" s="39" t="str">
        <f>"T"&amp;O1277&amp;"_"&amp;AX1277&amp;"옵션_"&amp;VLOOKUP(E1277,색인!$J$25:$K$29,2,FALSE)</f>
        <v>T2_2옵션_보조장비</v>
      </c>
      <c r="AZ1277" s="39">
        <f>VLOOKUP(G1277,색인!$J$32:$K$45,2,FALSE)</f>
        <v>2</v>
      </c>
      <c r="BA1277" s="39" t="str">
        <f>_xlfn.IFNA(VLOOKUP(AY1277,표1[[검색용]:[OptionGroupIndex'[']22]],EquipItemTable!AZ1277,FALSE),"옵션고정안함")</f>
        <v>2221</v>
      </c>
    </row>
    <row r="1278" spans="1:53" ht="12" customHeight="1" x14ac:dyDescent="0.2">
      <c r="A1278" s="13" t="s">
        <v>504</v>
      </c>
      <c r="B1278" s="39">
        <v>71008</v>
      </c>
      <c r="C1278" s="42" t="s">
        <v>3795</v>
      </c>
      <c r="D1278" s="10" t="s">
        <v>86</v>
      </c>
      <c r="E1278" s="10" t="s">
        <v>501</v>
      </c>
      <c r="F1278" s="1" t="s">
        <v>311</v>
      </c>
      <c r="G1278" s="1" t="s">
        <v>1312</v>
      </c>
      <c r="H1278" s="1"/>
      <c r="I1278" s="1"/>
      <c r="J1278" s="1"/>
      <c r="K1278" s="1"/>
      <c r="L1278" s="1"/>
      <c r="M1278" s="1"/>
      <c r="O1278" s="12" t="s">
        <v>429</v>
      </c>
      <c r="P1278" s="1">
        <v>21</v>
      </c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>
        <v>79</v>
      </c>
      <c r="AC1278" s="82"/>
      <c r="AE1278" s="39" t="str">
        <f t="shared" si="160"/>
        <v>2321</v>
      </c>
      <c r="AG1278" s="23"/>
      <c r="AH1278" s="23"/>
      <c r="AN1278" s="12"/>
      <c r="AR1278" s="34" t="s">
        <v>543</v>
      </c>
      <c r="AS1278" s="34" t="s">
        <v>543</v>
      </c>
      <c r="AU1278" s="12" t="s">
        <v>1935</v>
      </c>
      <c r="AV1278" s="13"/>
      <c r="AW1278" s="39">
        <v>4</v>
      </c>
      <c r="AX1278" s="12">
        <f>VLOOKUP(AW1278,색인!$N$14:$O$19,2,FALSE)</f>
        <v>3</v>
      </c>
      <c r="AY1278" s="39" t="str">
        <f>"T"&amp;O1278&amp;"_"&amp;AX1278&amp;"옵션_"&amp;VLOOKUP(E1278,색인!$J$25:$K$29,2,FALSE)</f>
        <v>T2_3옵션_보조장비</v>
      </c>
      <c r="AZ1278" s="39">
        <f>VLOOKUP(G1278,색인!$J$32:$K$45,2,FALSE)</f>
        <v>2</v>
      </c>
      <c r="BA1278" s="39" t="str">
        <f>_xlfn.IFNA(VLOOKUP(AY1278,표1[[검색용]:[OptionGroupIndex'[']22]],EquipItemTable!AZ1278,FALSE),"옵션고정안함")</f>
        <v>2321</v>
      </c>
    </row>
    <row r="1279" spans="1:53" ht="12" customHeight="1" x14ac:dyDescent="0.2">
      <c r="A1279" s="13" t="s">
        <v>228</v>
      </c>
      <c r="B1279" s="39">
        <v>71009</v>
      </c>
      <c r="C1279" s="42" t="s">
        <v>3796</v>
      </c>
      <c r="D1279" s="10" t="s">
        <v>2967</v>
      </c>
      <c r="E1279" s="10" t="s">
        <v>101</v>
      </c>
      <c r="F1279" s="1" t="s">
        <v>311</v>
      </c>
      <c r="G1279" s="1" t="s">
        <v>1312</v>
      </c>
      <c r="H1279" s="1"/>
      <c r="I1279" s="1"/>
      <c r="J1279" s="1"/>
      <c r="K1279" s="1"/>
      <c r="L1279" s="1"/>
      <c r="M1279" s="1"/>
      <c r="N1279" s="81"/>
      <c r="O1279" s="12" t="s">
        <v>96</v>
      </c>
      <c r="P1279" s="1">
        <v>31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>
        <v>90</v>
      </c>
      <c r="AC1279" s="82"/>
      <c r="AD1279" s="23" t="s">
        <v>52</v>
      </c>
      <c r="AE1279" s="23">
        <v>3</v>
      </c>
      <c r="AF1279" s="23"/>
      <c r="AG1279" s="23"/>
      <c r="AH1279" s="23"/>
      <c r="AI1279" s="23"/>
      <c r="AJ1279" s="23"/>
      <c r="AK1279" s="23"/>
      <c r="AL1279" s="23"/>
      <c r="AM1279" s="23"/>
      <c r="AN1279" s="23"/>
      <c r="AO1279" s="23"/>
      <c r="AP1279" s="23"/>
      <c r="AQ1279" s="81"/>
      <c r="AR1279" s="83"/>
      <c r="AS1279" s="83"/>
      <c r="AT1279" s="81"/>
      <c r="AU1279" s="12" t="s">
        <v>1932</v>
      </c>
      <c r="AV1279" s="13"/>
      <c r="AW1279" s="39">
        <v>1</v>
      </c>
      <c r="AY1279" s="32"/>
      <c r="AZ1279" s="32"/>
      <c r="BA1279" s="32"/>
    </row>
    <row r="1280" spans="1:53" ht="12" customHeight="1" x14ac:dyDescent="0.2">
      <c r="A1280" s="13" t="s">
        <v>229</v>
      </c>
      <c r="B1280" s="39">
        <v>71010</v>
      </c>
      <c r="C1280" s="42" t="s">
        <v>3797</v>
      </c>
      <c r="D1280" s="10" t="s">
        <v>2967</v>
      </c>
      <c r="E1280" s="10" t="s">
        <v>101</v>
      </c>
      <c r="F1280" s="1" t="s">
        <v>311</v>
      </c>
      <c r="G1280" s="1" t="s">
        <v>1312</v>
      </c>
      <c r="H1280" s="1"/>
      <c r="I1280" s="1"/>
      <c r="J1280" s="1"/>
      <c r="K1280" s="1"/>
      <c r="L1280" s="1"/>
      <c r="M1280" s="1"/>
      <c r="N1280" s="81"/>
      <c r="O1280" s="12" t="s">
        <v>96</v>
      </c>
      <c r="P1280" s="1">
        <v>31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>
        <v>115</v>
      </c>
      <c r="AC1280" s="82"/>
      <c r="AD1280" s="23" t="s">
        <v>52</v>
      </c>
      <c r="AE1280" s="90" t="str">
        <f t="shared" ref="AE1280:AE1282" si="161">BA1280</f>
        <v>3121</v>
      </c>
      <c r="AF1280" s="23"/>
      <c r="AI1280" s="23"/>
      <c r="AJ1280" s="23"/>
      <c r="AK1280" s="23"/>
      <c r="AL1280" s="23"/>
      <c r="AM1280" s="23"/>
      <c r="AN1280" s="23"/>
      <c r="AO1280" s="23"/>
      <c r="AP1280" s="23"/>
      <c r="AQ1280" s="81"/>
      <c r="AR1280" s="83"/>
      <c r="AS1280" s="83"/>
      <c r="AT1280" s="81"/>
      <c r="AU1280" s="12" t="s">
        <v>1933</v>
      </c>
      <c r="AV1280" s="13"/>
      <c r="AW1280" s="39">
        <v>2</v>
      </c>
      <c r="AX1280" s="12">
        <f>VLOOKUP(AW1280,색인!$N$14:$O$19,2,FALSE)</f>
        <v>1</v>
      </c>
      <c r="AY1280" s="39" t="str">
        <f>"T"&amp;O1280&amp;"_"&amp;AX1280&amp;"옵션_"&amp;VLOOKUP(E1280,색인!$J$25:$K$29,2,FALSE)</f>
        <v>T3_1옵션_보조장비</v>
      </c>
      <c r="AZ1280" s="39">
        <f>VLOOKUP(G1280,색인!$J$32:$K$45,2,FALSE)</f>
        <v>2</v>
      </c>
      <c r="BA1280" s="39" t="str">
        <f>_xlfn.IFNA(VLOOKUP(AY1280,표1[[검색용]:[OptionGroupIndex'[']22]],EquipItemTable!AZ1280,FALSE),"옵션고정안함")</f>
        <v>3121</v>
      </c>
    </row>
    <row r="1281" spans="1:53" ht="12" customHeight="1" x14ac:dyDescent="0.2">
      <c r="A1281" s="13" t="s">
        <v>230</v>
      </c>
      <c r="B1281" s="39">
        <v>71011</v>
      </c>
      <c r="C1281" s="42" t="s">
        <v>3798</v>
      </c>
      <c r="D1281" s="10" t="s">
        <v>2967</v>
      </c>
      <c r="E1281" s="10" t="s">
        <v>101</v>
      </c>
      <c r="F1281" s="1" t="s">
        <v>311</v>
      </c>
      <c r="G1281" s="1" t="s">
        <v>1312</v>
      </c>
      <c r="H1281" s="1"/>
      <c r="I1281" s="1"/>
      <c r="J1281" s="1"/>
      <c r="K1281" s="1"/>
      <c r="L1281" s="1"/>
      <c r="M1281" s="1"/>
      <c r="N1281" s="81"/>
      <c r="O1281" s="12" t="s">
        <v>96</v>
      </c>
      <c r="P1281" s="1">
        <v>31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>
        <v>138</v>
      </c>
      <c r="AC1281" s="82"/>
      <c r="AD1281" s="23" t="s">
        <v>52</v>
      </c>
      <c r="AE1281" s="90" t="str">
        <f t="shared" si="161"/>
        <v>3221</v>
      </c>
      <c r="AF1281" s="23"/>
      <c r="AI1281" s="23"/>
      <c r="AJ1281" s="23"/>
      <c r="AK1281" s="23"/>
      <c r="AL1281" s="23"/>
      <c r="AM1281" s="23"/>
      <c r="AN1281" s="23"/>
      <c r="AO1281" s="23"/>
      <c r="AP1281" s="23"/>
      <c r="AQ1281" s="81"/>
      <c r="AR1281" s="83">
        <v>1</v>
      </c>
      <c r="AS1281" s="83">
        <v>1</v>
      </c>
      <c r="AT1281" s="81"/>
      <c r="AU1281" s="12" t="s">
        <v>1934</v>
      </c>
      <c r="AV1281" s="13"/>
      <c r="AW1281" s="39">
        <v>3</v>
      </c>
      <c r="AX1281" s="12">
        <f>VLOOKUP(AW1281,색인!$N$14:$O$19,2,FALSE)</f>
        <v>2</v>
      </c>
      <c r="AY1281" s="39" t="str">
        <f>"T"&amp;O1281&amp;"_"&amp;AX1281&amp;"옵션_"&amp;VLOOKUP(E1281,색인!$J$25:$K$29,2,FALSE)</f>
        <v>T3_2옵션_보조장비</v>
      </c>
      <c r="AZ1281" s="39">
        <f>VLOOKUP(G1281,색인!$J$32:$K$45,2,FALSE)</f>
        <v>2</v>
      </c>
      <c r="BA1281" s="39" t="str">
        <f>_xlfn.IFNA(VLOOKUP(AY1281,표1[[검색용]:[OptionGroupIndex'[']22]],EquipItemTable!AZ1281,FALSE),"옵션고정안함")</f>
        <v>3221</v>
      </c>
    </row>
    <row r="1282" spans="1:53" ht="12" customHeight="1" x14ac:dyDescent="0.2">
      <c r="A1282" s="13" t="s">
        <v>231</v>
      </c>
      <c r="B1282" s="39">
        <v>71012</v>
      </c>
      <c r="C1282" s="42" t="s">
        <v>3799</v>
      </c>
      <c r="D1282" s="10" t="s">
        <v>2967</v>
      </c>
      <c r="E1282" s="10" t="s">
        <v>101</v>
      </c>
      <c r="F1282" s="1" t="s">
        <v>311</v>
      </c>
      <c r="G1282" s="1" t="s">
        <v>1312</v>
      </c>
      <c r="H1282" s="1"/>
      <c r="I1282" s="1"/>
      <c r="J1282" s="1"/>
      <c r="K1282" s="1"/>
      <c r="L1282" s="1"/>
      <c r="M1282" s="1"/>
      <c r="N1282" s="81"/>
      <c r="O1282" s="12" t="s">
        <v>96</v>
      </c>
      <c r="P1282" s="1">
        <v>31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>
        <v>163</v>
      </c>
      <c r="AC1282" s="82"/>
      <c r="AD1282" s="23" t="s">
        <v>52</v>
      </c>
      <c r="AE1282" s="90" t="str">
        <f t="shared" si="161"/>
        <v>3321</v>
      </c>
      <c r="AF1282" s="23"/>
      <c r="AI1282" s="23"/>
      <c r="AJ1282" s="23"/>
      <c r="AK1282" s="23"/>
      <c r="AL1282" s="23"/>
      <c r="AM1282" s="23"/>
      <c r="AN1282" s="23"/>
      <c r="AO1282" s="23"/>
      <c r="AP1282" s="23"/>
      <c r="AQ1282" s="81"/>
      <c r="AR1282" s="83">
        <v>1</v>
      </c>
      <c r="AS1282" s="83">
        <v>1</v>
      </c>
      <c r="AT1282" s="81"/>
      <c r="AU1282" s="12" t="s">
        <v>1935</v>
      </c>
      <c r="AV1282" s="13"/>
      <c r="AW1282" s="39">
        <v>4</v>
      </c>
      <c r="AX1282" s="12">
        <f>VLOOKUP(AW1282,색인!$N$14:$O$19,2,FALSE)</f>
        <v>3</v>
      </c>
      <c r="AY1282" s="39" t="str">
        <f>"T"&amp;O1282&amp;"_"&amp;AX1282&amp;"옵션_"&amp;VLOOKUP(E1282,색인!$J$25:$K$29,2,FALSE)</f>
        <v>T3_3옵션_보조장비</v>
      </c>
      <c r="AZ1282" s="39">
        <f>VLOOKUP(G1282,색인!$J$32:$K$45,2,FALSE)</f>
        <v>2</v>
      </c>
      <c r="BA1282" s="39" t="str">
        <f>_xlfn.IFNA(VLOOKUP(AY1282,표1[[검색용]:[OptionGroupIndex'[']22]],EquipItemTable!AZ1282,FALSE),"옵션고정안함")</f>
        <v>3321</v>
      </c>
    </row>
    <row r="1283" spans="1:53" ht="14.1" customHeight="1" x14ac:dyDescent="0.2">
      <c r="A1283" s="13" t="s">
        <v>586</v>
      </c>
      <c r="B1283" s="39">
        <v>71029</v>
      </c>
      <c r="C1283" s="42" t="s">
        <v>3800</v>
      </c>
      <c r="D1283" s="10" t="s">
        <v>2967</v>
      </c>
      <c r="E1283" s="10" t="s">
        <v>101</v>
      </c>
      <c r="F1283" s="1" t="s">
        <v>311</v>
      </c>
      <c r="G1283" s="1" t="s">
        <v>1312</v>
      </c>
      <c r="H1283" s="1"/>
      <c r="I1283" s="1"/>
      <c r="J1283" s="1"/>
      <c r="K1283" s="1"/>
      <c r="L1283" s="1"/>
      <c r="M1283" s="1"/>
      <c r="N1283" s="81"/>
      <c r="O1283" s="12" t="s">
        <v>96</v>
      </c>
      <c r="P1283" s="1">
        <v>31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>
        <v>192</v>
      </c>
      <c r="AC1283" s="82"/>
      <c r="AD1283" s="23" t="s">
        <v>52</v>
      </c>
      <c r="AE1283" s="23">
        <v>3</v>
      </c>
      <c r="AF1283" s="23"/>
      <c r="AI1283" s="23"/>
      <c r="AJ1283" s="23"/>
      <c r="AK1283" s="23"/>
      <c r="AL1283" s="23"/>
      <c r="AM1283" s="23"/>
      <c r="AN1283" s="23">
        <v>1</v>
      </c>
      <c r="AO1283" s="23"/>
      <c r="AP1283" s="23"/>
      <c r="AQ1283" s="81"/>
      <c r="AR1283" s="83">
        <v>1</v>
      </c>
      <c r="AS1283" s="83">
        <v>1</v>
      </c>
      <c r="AT1283" s="81"/>
      <c r="AU1283" s="12" t="s">
        <v>1936</v>
      </c>
      <c r="AV1283" s="13"/>
      <c r="AW1283" s="39">
        <v>6</v>
      </c>
      <c r="AX1283" s="12">
        <f>VLOOKUP(AW1283,색인!$N$14:$O$19,2,FALSE)</f>
        <v>4</v>
      </c>
      <c r="AY1283" s="32" t="str">
        <f>"T"&amp;O1283&amp;"_"&amp;AX1283&amp;"옵션_"&amp;VLOOKUP(E1283,색인!$J$25:$K$29,2,FALSE)</f>
        <v>T3_4옵션_보조장비</v>
      </c>
      <c r="AZ1283" s="32">
        <f>VLOOKUP(G1283,색인!$J$32:$K$45,2,FALSE)</f>
        <v>2</v>
      </c>
      <c r="BA1283" s="32" t="str">
        <f>_xlfn.IFNA(VLOOKUP(AY1283,표1[[검색용]:[OptionGroupIndex'[']22]],EquipItemTable!AZ1283,FALSE),"옵션고정안함")</f>
        <v>옵션고정안함</v>
      </c>
    </row>
    <row r="1284" spans="1:53" ht="14.1" customHeight="1" x14ac:dyDescent="0.2">
      <c r="A1284" s="13" t="s">
        <v>1090</v>
      </c>
      <c r="B1284" s="39">
        <v>71030</v>
      </c>
      <c r="C1284" s="42" t="s">
        <v>3801</v>
      </c>
      <c r="D1284" s="10" t="s">
        <v>2967</v>
      </c>
      <c r="E1284" s="10" t="s">
        <v>101</v>
      </c>
      <c r="F1284" s="1" t="s">
        <v>311</v>
      </c>
      <c r="G1284" s="1" t="s">
        <v>1312</v>
      </c>
      <c r="H1284" s="1"/>
      <c r="I1284" s="1"/>
      <c r="J1284" s="1"/>
      <c r="K1284" s="1"/>
      <c r="L1284" s="1"/>
      <c r="M1284" s="1"/>
      <c r="N1284" s="81"/>
      <c r="O1284" s="12" t="s">
        <v>96</v>
      </c>
      <c r="P1284" s="1">
        <v>31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>
        <v>192</v>
      </c>
      <c r="AC1284" s="82"/>
      <c r="AD1284" s="23" t="s">
        <v>52</v>
      </c>
      <c r="AE1284" s="23">
        <v>3</v>
      </c>
      <c r="AF1284" s="23"/>
      <c r="AI1284" s="23"/>
      <c r="AJ1284" s="23"/>
      <c r="AK1284" s="23"/>
      <c r="AL1284" s="23"/>
      <c r="AM1284" s="23"/>
      <c r="AN1284" s="23">
        <v>2</v>
      </c>
      <c r="AO1284" s="23"/>
      <c r="AP1284" s="23"/>
      <c r="AQ1284" s="81"/>
      <c r="AR1284" s="83">
        <v>1</v>
      </c>
      <c r="AS1284" s="83">
        <v>1</v>
      </c>
      <c r="AT1284" s="81"/>
      <c r="AU1284" s="12" t="s">
        <v>1936</v>
      </c>
      <c r="AV1284" s="13"/>
      <c r="AW1284" s="39">
        <v>6</v>
      </c>
      <c r="AX1284" s="12">
        <f>VLOOKUP(AW1284,색인!$N$14:$O$19,2,FALSE)</f>
        <v>4</v>
      </c>
      <c r="AY1284" s="32" t="str">
        <f>"T"&amp;O1284&amp;"_"&amp;AX1284&amp;"옵션_"&amp;VLOOKUP(E1284,색인!$J$25:$K$29,2,FALSE)</f>
        <v>T3_4옵션_보조장비</v>
      </c>
      <c r="AZ1284" s="32">
        <f>VLOOKUP(G1284,색인!$J$32:$K$45,2,FALSE)</f>
        <v>2</v>
      </c>
      <c r="BA1284" s="32" t="str">
        <f>_xlfn.IFNA(VLOOKUP(AY1284,표1[[검색용]:[OptionGroupIndex'[']22]],EquipItemTable!AZ1284,FALSE),"옵션고정안함")</f>
        <v>옵션고정안함</v>
      </c>
    </row>
    <row r="1285" spans="1:53" ht="14.1" customHeight="1" x14ac:dyDescent="0.2">
      <c r="A1285" s="13" t="s">
        <v>1091</v>
      </c>
      <c r="B1285" s="39">
        <v>71031</v>
      </c>
      <c r="C1285" s="42" t="s">
        <v>3802</v>
      </c>
      <c r="D1285" s="10" t="s">
        <v>2967</v>
      </c>
      <c r="E1285" s="10" t="s">
        <v>101</v>
      </c>
      <c r="F1285" s="1" t="s">
        <v>311</v>
      </c>
      <c r="G1285" s="1" t="s">
        <v>1312</v>
      </c>
      <c r="H1285" s="1"/>
      <c r="I1285" s="1"/>
      <c r="J1285" s="1"/>
      <c r="K1285" s="1"/>
      <c r="L1285" s="1"/>
      <c r="M1285" s="1"/>
      <c r="N1285" s="81"/>
      <c r="O1285" s="12" t="s">
        <v>96</v>
      </c>
      <c r="P1285" s="1">
        <v>31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>
        <v>192</v>
      </c>
      <c r="AC1285" s="82"/>
      <c r="AD1285" s="23" t="s">
        <v>52</v>
      </c>
      <c r="AE1285" s="23">
        <v>3</v>
      </c>
      <c r="AF1285" s="23"/>
      <c r="AI1285" s="23"/>
      <c r="AJ1285" s="23"/>
      <c r="AK1285" s="23"/>
      <c r="AL1285" s="23"/>
      <c r="AM1285" s="23"/>
      <c r="AN1285" s="23">
        <v>3</v>
      </c>
      <c r="AO1285" s="23"/>
      <c r="AP1285" s="23"/>
      <c r="AQ1285" s="81"/>
      <c r="AR1285" s="83">
        <v>1</v>
      </c>
      <c r="AS1285" s="83">
        <v>1</v>
      </c>
      <c r="AT1285" s="81"/>
      <c r="AU1285" s="12" t="s">
        <v>1936</v>
      </c>
      <c r="AV1285" s="13"/>
      <c r="AW1285" s="39">
        <v>6</v>
      </c>
      <c r="AX1285" s="12">
        <f>VLOOKUP(AW1285,색인!$N$14:$O$19,2,FALSE)</f>
        <v>4</v>
      </c>
      <c r="AY1285" s="32" t="str">
        <f>"T"&amp;O1285&amp;"_"&amp;AX1285&amp;"옵션_"&amp;VLOOKUP(E1285,색인!$J$25:$K$29,2,FALSE)</f>
        <v>T3_4옵션_보조장비</v>
      </c>
      <c r="AZ1285" s="32">
        <f>VLOOKUP(G1285,색인!$J$32:$K$45,2,FALSE)</f>
        <v>2</v>
      </c>
      <c r="BA1285" s="32" t="str">
        <f>_xlfn.IFNA(VLOOKUP(AY1285,표1[[검색용]:[OptionGroupIndex'[']22]],EquipItemTable!AZ1285,FALSE),"옵션고정안함")</f>
        <v>옵션고정안함</v>
      </c>
    </row>
    <row r="1286" spans="1:53" ht="14.1" customHeight="1" x14ac:dyDescent="0.2">
      <c r="A1286" s="13" t="s">
        <v>1092</v>
      </c>
      <c r="B1286" s="39">
        <v>71021</v>
      </c>
      <c r="C1286" s="42" t="s">
        <v>3803</v>
      </c>
      <c r="D1286" s="10" t="s">
        <v>2967</v>
      </c>
      <c r="E1286" s="10" t="s">
        <v>101</v>
      </c>
      <c r="F1286" s="1" t="s">
        <v>311</v>
      </c>
      <c r="G1286" s="1" t="s">
        <v>1312</v>
      </c>
      <c r="H1286" s="1"/>
      <c r="I1286" s="1"/>
      <c r="J1286" s="1"/>
      <c r="K1286" s="1"/>
      <c r="L1286" s="1"/>
      <c r="M1286" s="1"/>
      <c r="N1286" s="81"/>
      <c r="O1286" s="12" t="s">
        <v>96</v>
      </c>
      <c r="P1286" s="1">
        <v>31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>
        <v>192</v>
      </c>
      <c r="AC1286" s="82"/>
      <c r="AD1286" s="23" t="s">
        <v>52</v>
      </c>
      <c r="AE1286" s="23">
        <v>3</v>
      </c>
      <c r="AF1286" s="23"/>
      <c r="AI1286" s="23"/>
      <c r="AJ1286" s="23"/>
      <c r="AK1286" s="23"/>
      <c r="AL1286" s="23"/>
      <c r="AM1286" s="23"/>
      <c r="AN1286" s="23">
        <v>4</v>
      </c>
      <c r="AO1286" s="23"/>
      <c r="AP1286" s="23"/>
      <c r="AQ1286" s="81"/>
      <c r="AR1286" s="83">
        <v>1</v>
      </c>
      <c r="AS1286" s="83">
        <v>1</v>
      </c>
      <c r="AT1286" s="81"/>
      <c r="AU1286" s="12" t="s">
        <v>1936</v>
      </c>
      <c r="AV1286" s="13"/>
      <c r="AW1286" s="39">
        <v>6</v>
      </c>
      <c r="AX1286" s="12">
        <f>VLOOKUP(AW1286,색인!$N$14:$O$19,2,FALSE)</f>
        <v>4</v>
      </c>
      <c r="AY1286" s="32" t="str">
        <f>"T"&amp;O1286&amp;"_"&amp;AX1286&amp;"옵션_"&amp;VLOOKUP(E1286,색인!$J$25:$K$29,2,FALSE)</f>
        <v>T3_4옵션_보조장비</v>
      </c>
      <c r="AZ1286" s="32">
        <f>VLOOKUP(G1286,색인!$J$32:$K$45,2,FALSE)</f>
        <v>2</v>
      </c>
      <c r="BA1286" s="32" t="str">
        <f>_xlfn.IFNA(VLOOKUP(AY1286,표1[[검색용]:[OptionGroupIndex'[']22]],EquipItemTable!AZ1286,FALSE),"옵션고정안함")</f>
        <v>옵션고정안함</v>
      </c>
    </row>
    <row r="1287" spans="1:53" ht="12" customHeight="1" x14ac:dyDescent="0.2">
      <c r="A1287" s="13" t="s">
        <v>232</v>
      </c>
      <c r="B1287" s="39">
        <v>71013</v>
      </c>
      <c r="C1287" s="42" t="s">
        <v>3804</v>
      </c>
      <c r="D1287" s="10" t="s">
        <v>2967</v>
      </c>
      <c r="E1287" s="10" t="s">
        <v>101</v>
      </c>
      <c r="F1287" s="1" t="s">
        <v>311</v>
      </c>
      <c r="G1287" s="1" t="s">
        <v>1312</v>
      </c>
      <c r="H1287" s="1"/>
      <c r="I1287" s="1"/>
      <c r="J1287" s="1"/>
      <c r="K1287" s="1"/>
      <c r="L1287" s="1"/>
      <c r="M1287" s="1"/>
      <c r="N1287" s="81"/>
      <c r="O1287" s="12" t="s">
        <v>97</v>
      </c>
      <c r="P1287" s="1">
        <v>41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>
        <v>189</v>
      </c>
      <c r="AC1287" s="82"/>
      <c r="AD1287" s="23" t="s">
        <v>52</v>
      </c>
      <c r="AE1287" s="23">
        <v>4</v>
      </c>
      <c r="AF1287" s="23"/>
      <c r="AI1287" s="23"/>
      <c r="AJ1287" s="23"/>
      <c r="AK1287" s="23"/>
      <c r="AL1287" s="23"/>
      <c r="AM1287" s="23"/>
      <c r="AN1287" s="23"/>
      <c r="AO1287" s="23"/>
      <c r="AP1287" s="23"/>
      <c r="AQ1287" s="81"/>
      <c r="AR1287" s="83"/>
      <c r="AS1287" s="83"/>
      <c r="AT1287" s="81"/>
      <c r="AU1287" s="12" t="s">
        <v>1932</v>
      </c>
      <c r="AV1287" s="13"/>
      <c r="AW1287" s="39">
        <v>1</v>
      </c>
      <c r="AY1287" s="32"/>
      <c r="AZ1287" s="32"/>
      <c r="BA1287" s="32"/>
    </row>
    <row r="1288" spans="1:53" ht="12" customHeight="1" x14ac:dyDescent="0.2">
      <c r="A1288" s="13" t="s">
        <v>233</v>
      </c>
      <c r="B1288" s="39">
        <v>71014</v>
      </c>
      <c r="C1288" s="42" t="s">
        <v>3805</v>
      </c>
      <c r="D1288" s="10" t="s">
        <v>2967</v>
      </c>
      <c r="E1288" s="10" t="s">
        <v>101</v>
      </c>
      <c r="F1288" s="1" t="s">
        <v>311</v>
      </c>
      <c r="G1288" s="1" t="s">
        <v>1312</v>
      </c>
      <c r="H1288" s="1"/>
      <c r="I1288" s="1"/>
      <c r="J1288" s="1"/>
      <c r="K1288" s="1"/>
      <c r="L1288" s="1"/>
      <c r="M1288" s="1"/>
      <c r="N1288" s="81"/>
      <c r="O1288" s="12" t="s">
        <v>97</v>
      </c>
      <c r="P1288" s="1">
        <v>41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>
        <v>231</v>
      </c>
      <c r="AC1288" s="82"/>
      <c r="AD1288" s="23" t="s">
        <v>52</v>
      </c>
      <c r="AE1288" s="90" t="str">
        <f t="shared" ref="AE1288:AE1290" si="162">BA1288</f>
        <v>4121</v>
      </c>
      <c r="AF1288" s="23"/>
      <c r="AI1288" s="23"/>
      <c r="AJ1288" s="23"/>
      <c r="AK1288" s="23"/>
      <c r="AL1288" s="23"/>
      <c r="AM1288" s="23"/>
      <c r="AN1288" s="23"/>
      <c r="AO1288" s="23"/>
      <c r="AP1288" s="23"/>
      <c r="AQ1288" s="81"/>
      <c r="AR1288" s="83"/>
      <c r="AS1288" s="83"/>
      <c r="AT1288" s="81"/>
      <c r="AU1288" s="12" t="s">
        <v>1933</v>
      </c>
      <c r="AV1288" s="13"/>
      <c r="AW1288" s="39">
        <v>2</v>
      </c>
      <c r="AX1288" s="12">
        <f>VLOOKUP(AW1288,색인!$N$14:$O$19,2,FALSE)</f>
        <v>1</v>
      </c>
      <c r="AY1288" s="39" t="str">
        <f>"T"&amp;O1288&amp;"_"&amp;AX1288&amp;"옵션_"&amp;VLOOKUP(E1288,색인!$J$25:$K$29,2,FALSE)</f>
        <v>T4_1옵션_보조장비</v>
      </c>
      <c r="AZ1288" s="39">
        <f>VLOOKUP(G1288,색인!$J$32:$K$45,2,FALSE)</f>
        <v>2</v>
      </c>
      <c r="BA1288" s="39" t="str">
        <f>_xlfn.IFNA(VLOOKUP(AY1288,표1[[검색용]:[OptionGroupIndex'[']22]],EquipItemTable!AZ1288,FALSE),"옵션고정안함")</f>
        <v>4121</v>
      </c>
    </row>
    <row r="1289" spans="1:53" ht="12" customHeight="1" x14ac:dyDescent="0.2">
      <c r="A1289" s="13" t="s">
        <v>234</v>
      </c>
      <c r="B1289" s="39">
        <v>71015</v>
      </c>
      <c r="C1289" s="42" t="s">
        <v>3806</v>
      </c>
      <c r="D1289" s="10" t="s">
        <v>2967</v>
      </c>
      <c r="E1289" s="10" t="s">
        <v>101</v>
      </c>
      <c r="F1289" s="1" t="s">
        <v>311</v>
      </c>
      <c r="G1289" s="1" t="s">
        <v>1312</v>
      </c>
      <c r="H1289" s="1"/>
      <c r="I1289" s="1"/>
      <c r="J1289" s="1"/>
      <c r="K1289" s="1"/>
      <c r="L1289" s="1"/>
      <c r="M1289" s="1"/>
      <c r="N1289" s="81"/>
      <c r="O1289" s="12" t="s">
        <v>97</v>
      </c>
      <c r="P1289" s="1">
        <v>41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>
        <v>270</v>
      </c>
      <c r="AC1289" s="82"/>
      <c r="AD1289" s="23" t="s">
        <v>52</v>
      </c>
      <c r="AE1289" s="90" t="str">
        <f t="shared" si="162"/>
        <v>4221</v>
      </c>
      <c r="AF1289" s="23"/>
      <c r="AI1289" s="23"/>
      <c r="AJ1289" s="23"/>
      <c r="AK1289" s="23"/>
      <c r="AL1289" s="23"/>
      <c r="AM1289" s="23"/>
      <c r="AN1289" s="23"/>
      <c r="AO1289" s="23"/>
      <c r="AP1289" s="23"/>
      <c r="AQ1289" s="81"/>
      <c r="AR1289" s="83">
        <v>1</v>
      </c>
      <c r="AS1289" s="83">
        <v>1</v>
      </c>
      <c r="AT1289" s="81"/>
      <c r="AU1289" s="12" t="s">
        <v>1934</v>
      </c>
      <c r="AV1289" s="13"/>
      <c r="AW1289" s="39">
        <v>3</v>
      </c>
      <c r="AX1289" s="12">
        <f>VLOOKUP(AW1289,색인!$N$14:$O$19,2,FALSE)</f>
        <v>2</v>
      </c>
      <c r="AY1289" s="39" t="str">
        <f>"T"&amp;O1289&amp;"_"&amp;AX1289&amp;"옵션_"&amp;VLOOKUP(E1289,색인!$J$25:$K$29,2,FALSE)</f>
        <v>T4_2옵션_보조장비</v>
      </c>
      <c r="AZ1289" s="39">
        <f>VLOOKUP(G1289,색인!$J$32:$K$45,2,FALSE)</f>
        <v>2</v>
      </c>
      <c r="BA1289" s="39" t="str">
        <f>_xlfn.IFNA(VLOOKUP(AY1289,표1[[검색용]:[OptionGroupIndex'[']22]],EquipItemTable!AZ1289,FALSE),"옵션고정안함")</f>
        <v>4221</v>
      </c>
    </row>
    <row r="1290" spans="1:53" ht="12" customHeight="1" x14ac:dyDescent="0.2">
      <c r="A1290" s="13" t="s">
        <v>235</v>
      </c>
      <c r="B1290" s="39">
        <v>71016</v>
      </c>
      <c r="C1290" s="42" t="s">
        <v>3807</v>
      </c>
      <c r="D1290" s="10" t="s">
        <v>2967</v>
      </c>
      <c r="E1290" s="10" t="s">
        <v>101</v>
      </c>
      <c r="F1290" s="1" t="s">
        <v>311</v>
      </c>
      <c r="G1290" s="1" t="s">
        <v>1312</v>
      </c>
      <c r="H1290" s="1"/>
      <c r="I1290" s="1"/>
      <c r="J1290" s="1"/>
      <c r="K1290" s="1"/>
      <c r="L1290" s="1"/>
      <c r="M1290" s="1"/>
      <c r="O1290" s="12" t="s">
        <v>97</v>
      </c>
      <c r="P1290" s="1">
        <v>41</v>
      </c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>
        <v>318</v>
      </c>
      <c r="AC1290" s="82"/>
      <c r="AD1290" s="12" t="s">
        <v>52</v>
      </c>
      <c r="AE1290" s="39" t="str">
        <f t="shared" si="162"/>
        <v>4321</v>
      </c>
      <c r="AN1290" s="12"/>
      <c r="AR1290" s="34" t="s">
        <v>94</v>
      </c>
      <c r="AS1290" s="34" t="s">
        <v>94</v>
      </c>
      <c r="AU1290" s="12" t="s">
        <v>1935</v>
      </c>
      <c r="AV1290" s="13"/>
      <c r="AW1290" s="39">
        <v>4</v>
      </c>
      <c r="AX1290" s="12">
        <f>VLOOKUP(AW1290,색인!$N$14:$O$19,2,FALSE)</f>
        <v>3</v>
      </c>
      <c r="AY1290" s="39" t="str">
        <f>"T"&amp;O1290&amp;"_"&amp;AX1290&amp;"옵션_"&amp;VLOOKUP(E1290,색인!$J$25:$K$29,2,FALSE)</f>
        <v>T4_3옵션_보조장비</v>
      </c>
      <c r="AZ1290" s="39">
        <f>VLOOKUP(G1290,색인!$J$32:$K$45,2,FALSE)</f>
        <v>2</v>
      </c>
      <c r="BA1290" s="39" t="str">
        <f>_xlfn.IFNA(VLOOKUP(AY1290,표1[[검색용]:[OptionGroupIndex'[']22]],EquipItemTable!AZ1290,FALSE),"옵션고정안함")</f>
        <v>4321</v>
      </c>
    </row>
    <row r="1291" spans="1:53" ht="14.1" customHeight="1" x14ac:dyDescent="0.2">
      <c r="A1291" s="13" t="s">
        <v>587</v>
      </c>
      <c r="B1291" s="39">
        <v>71032</v>
      </c>
      <c r="C1291" s="42" t="s">
        <v>3800</v>
      </c>
      <c r="D1291" s="10" t="s">
        <v>2967</v>
      </c>
      <c r="E1291" s="10" t="s">
        <v>101</v>
      </c>
      <c r="F1291" s="1" t="s">
        <v>311</v>
      </c>
      <c r="G1291" s="1" t="s">
        <v>1312</v>
      </c>
      <c r="H1291" s="1"/>
      <c r="I1291" s="1"/>
      <c r="J1291" s="1"/>
      <c r="K1291" s="1"/>
      <c r="L1291" s="1"/>
      <c r="M1291" s="1"/>
      <c r="O1291" s="12" t="s">
        <v>97</v>
      </c>
      <c r="P1291" s="1">
        <v>41</v>
      </c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>
        <v>370</v>
      </c>
      <c r="AC1291" s="82"/>
      <c r="AD1291" s="12" t="s">
        <v>52</v>
      </c>
      <c r="AE1291" s="12" t="s">
        <v>97</v>
      </c>
      <c r="AN1291" s="12" t="s">
        <v>554</v>
      </c>
      <c r="AR1291" s="34" t="s">
        <v>94</v>
      </c>
      <c r="AS1291" s="34" t="s">
        <v>94</v>
      </c>
      <c r="AU1291" s="12" t="s">
        <v>1936</v>
      </c>
      <c r="AV1291" s="13"/>
      <c r="AW1291" s="39">
        <v>6</v>
      </c>
      <c r="AX1291" s="12">
        <f>VLOOKUP(AW1291,색인!$N$14:$O$19,2,FALSE)</f>
        <v>4</v>
      </c>
      <c r="AY1291" s="32" t="str">
        <f>"T"&amp;O1291&amp;"_"&amp;AX1291&amp;"옵션_"&amp;VLOOKUP(E1291,색인!$J$25:$K$29,2,FALSE)</f>
        <v>T4_4옵션_보조장비</v>
      </c>
      <c r="AZ1291" s="32">
        <f>VLOOKUP(G1291,색인!$J$32:$K$45,2,FALSE)</f>
        <v>2</v>
      </c>
      <c r="BA1291" s="32" t="str">
        <f>_xlfn.IFNA(VLOOKUP(AY1291,표1[[검색용]:[OptionGroupIndex'[']22]],EquipItemTable!AZ1291,FALSE),"옵션고정안함")</f>
        <v>옵션고정안함</v>
      </c>
    </row>
    <row r="1292" spans="1:53" ht="14.1" customHeight="1" x14ac:dyDescent="0.2">
      <c r="A1292" s="13" t="s">
        <v>1093</v>
      </c>
      <c r="B1292" s="39">
        <v>71033</v>
      </c>
      <c r="C1292" s="42" t="s">
        <v>3801</v>
      </c>
      <c r="D1292" s="10" t="s">
        <v>2967</v>
      </c>
      <c r="E1292" s="10" t="s">
        <v>101</v>
      </c>
      <c r="F1292" s="1" t="s">
        <v>311</v>
      </c>
      <c r="G1292" s="1" t="s">
        <v>1312</v>
      </c>
      <c r="H1292" s="1"/>
      <c r="I1292" s="1"/>
      <c r="J1292" s="1"/>
      <c r="K1292" s="1"/>
      <c r="L1292" s="1"/>
      <c r="M1292" s="1"/>
      <c r="O1292" s="12" t="s">
        <v>97</v>
      </c>
      <c r="P1292" s="1">
        <v>41</v>
      </c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>
        <v>370</v>
      </c>
      <c r="AC1292" s="82"/>
      <c r="AD1292" s="12" t="s">
        <v>52</v>
      </c>
      <c r="AE1292" s="12" t="s">
        <v>97</v>
      </c>
      <c r="AN1292" s="12" t="s">
        <v>1192</v>
      </c>
      <c r="AR1292" s="34" t="s">
        <v>94</v>
      </c>
      <c r="AS1292" s="34" t="s">
        <v>94</v>
      </c>
      <c r="AU1292" s="12" t="s">
        <v>1936</v>
      </c>
      <c r="AV1292" s="13"/>
      <c r="AW1292" s="39">
        <v>6</v>
      </c>
      <c r="AX1292" s="12">
        <f>VLOOKUP(AW1292,색인!$N$14:$O$19,2,FALSE)</f>
        <v>4</v>
      </c>
      <c r="AY1292" s="32" t="str">
        <f>"T"&amp;O1292&amp;"_"&amp;AX1292&amp;"옵션_"&amp;VLOOKUP(E1292,색인!$J$25:$K$29,2,FALSE)</f>
        <v>T4_4옵션_보조장비</v>
      </c>
      <c r="AZ1292" s="32">
        <f>VLOOKUP(G1292,색인!$J$32:$K$45,2,FALSE)</f>
        <v>2</v>
      </c>
      <c r="BA1292" s="32" t="str">
        <f>_xlfn.IFNA(VLOOKUP(AY1292,표1[[검색용]:[OptionGroupIndex'[']22]],EquipItemTable!AZ1292,FALSE),"옵션고정안함")</f>
        <v>옵션고정안함</v>
      </c>
    </row>
    <row r="1293" spans="1:53" ht="14.1" customHeight="1" x14ac:dyDescent="0.2">
      <c r="A1293" s="13" t="s">
        <v>1094</v>
      </c>
      <c r="B1293" s="39">
        <v>71034</v>
      </c>
      <c r="C1293" s="42" t="s">
        <v>3802</v>
      </c>
      <c r="D1293" s="10" t="s">
        <v>2967</v>
      </c>
      <c r="E1293" s="10" t="s">
        <v>101</v>
      </c>
      <c r="F1293" s="1" t="s">
        <v>311</v>
      </c>
      <c r="G1293" s="1" t="s">
        <v>1312</v>
      </c>
      <c r="H1293" s="1"/>
      <c r="I1293" s="1"/>
      <c r="J1293" s="1"/>
      <c r="K1293" s="1"/>
      <c r="L1293" s="1"/>
      <c r="M1293" s="1"/>
      <c r="O1293" s="12" t="s">
        <v>97</v>
      </c>
      <c r="P1293" s="1">
        <v>41</v>
      </c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>
        <v>370</v>
      </c>
      <c r="AC1293" s="82"/>
      <c r="AD1293" s="12" t="s">
        <v>52</v>
      </c>
      <c r="AE1293" s="12" t="s">
        <v>97</v>
      </c>
      <c r="AN1293" s="12" t="s">
        <v>369</v>
      </c>
      <c r="AR1293" s="34" t="s">
        <v>94</v>
      </c>
      <c r="AS1293" s="34" t="s">
        <v>94</v>
      </c>
      <c r="AU1293" s="12" t="s">
        <v>1936</v>
      </c>
      <c r="AV1293" s="13"/>
      <c r="AW1293" s="39">
        <v>6</v>
      </c>
      <c r="AX1293" s="12">
        <f>VLOOKUP(AW1293,색인!$N$14:$O$19,2,FALSE)</f>
        <v>4</v>
      </c>
      <c r="AY1293" s="32" t="str">
        <f>"T"&amp;O1293&amp;"_"&amp;AX1293&amp;"옵션_"&amp;VLOOKUP(E1293,색인!$J$25:$K$29,2,FALSE)</f>
        <v>T4_4옵션_보조장비</v>
      </c>
      <c r="AZ1293" s="32">
        <f>VLOOKUP(G1293,색인!$J$32:$K$45,2,FALSE)</f>
        <v>2</v>
      </c>
      <c r="BA1293" s="32" t="str">
        <f>_xlfn.IFNA(VLOOKUP(AY1293,표1[[검색용]:[OptionGroupIndex'[']22]],EquipItemTable!AZ1293,FALSE),"옵션고정안함")</f>
        <v>옵션고정안함</v>
      </c>
    </row>
    <row r="1294" spans="1:53" ht="14.1" customHeight="1" x14ac:dyDescent="0.2">
      <c r="A1294" s="13" t="s">
        <v>1095</v>
      </c>
      <c r="B1294" s="39">
        <v>71022</v>
      </c>
      <c r="C1294" s="42" t="s">
        <v>3803</v>
      </c>
      <c r="D1294" s="10" t="s">
        <v>2967</v>
      </c>
      <c r="E1294" s="10" t="s">
        <v>101</v>
      </c>
      <c r="F1294" s="1" t="s">
        <v>311</v>
      </c>
      <c r="G1294" s="1" t="s">
        <v>1312</v>
      </c>
      <c r="H1294" s="1"/>
      <c r="I1294" s="1"/>
      <c r="J1294" s="1"/>
      <c r="K1294" s="1"/>
      <c r="L1294" s="1"/>
      <c r="M1294" s="1"/>
      <c r="O1294" s="12" t="s">
        <v>97</v>
      </c>
      <c r="P1294" s="1">
        <v>41</v>
      </c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>
        <v>370</v>
      </c>
      <c r="AC1294" s="82"/>
      <c r="AD1294" s="12" t="s">
        <v>52</v>
      </c>
      <c r="AE1294" s="12" t="s">
        <v>97</v>
      </c>
      <c r="AN1294" s="12" t="s">
        <v>1194</v>
      </c>
      <c r="AR1294" s="34" t="s">
        <v>94</v>
      </c>
      <c r="AS1294" s="34" t="s">
        <v>94</v>
      </c>
      <c r="AU1294" s="12" t="s">
        <v>1936</v>
      </c>
      <c r="AV1294" s="13"/>
      <c r="AW1294" s="39">
        <v>6</v>
      </c>
      <c r="AX1294" s="12">
        <f>VLOOKUP(AW1294,색인!$N$14:$O$19,2,FALSE)</f>
        <v>4</v>
      </c>
      <c r="AY1294" s="32" t="str">
        <f>"T"&amp;O1294&amp;"_"&amp;AX1294&amp;"옵션_"&amp;VLOOKUP(E1294,색인!$J$25:$K$29,2,FALSE)</f>
        <v>T4_4옵션_보조장비</v>
      </c>
      <c r="AZ1294" s="32">
        <f>VLOOKUP(G1294,색인!$J$32:$K$45,2,FALSE)</f>
        <v>2</v>
      </c>
      <c r="BA1294" s="32" t="str">
        <f>_xlfn.IFNA(VLOOKUP(AY1294,표1[[검색용]:[OptionGroupIndex'[']22]],EquipItemTable!AZ1294,FALSE),"옵션고정안함")</f>
        <v>옵션고정안함</v>
      </c>
    </row>
    <row r="1295" spans="1:53" ht="12" customHeight="1" x14ac:dyDescent="0.2">
      <c r="A1295" s="13" t="s">
        <v>505</v>
      </c>
      <c r="B1295" s="39">
        <v>71017</v>
      </c>
      <c r="C1295" s="42" t="s">
        <v>3808</v>
      </c>
      <c r="D1295" s="10" t="s">
        <v>86</v>
      </c>
      <c r="E1295" s="10" t="s">
        <v>501</v>
      </c>
      <c r="F1295" s="1" t="s">
        <v>311</v>
      </c>
      <c r="G1295" s="1" t="s">
        <v>1312</v>
      </c>
      <c r="H1295" s="1"/>
      <c r="I1295" s="1"/>
      <c r="J1295" s="1"/>
      <c r="K1295" s="1"/>
      <c r="L1295" s="1"/>
      <c r="M1295" s="1"/>
      <c r="O1295" s="12" t="s">
        <v>430</v>
      </c>
      <c r="P1295" s="1">
        <v>51</v>
      </c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>
        <v>363</v>
      </c>
      <c r="AC1295" s="82"/>
      <c r="AD1295" s="12" t="s">
        <v>542</v>
      </c>
      <c r="AE1295" s="12" t="s">
        <v>552</v>
      </c>
      <c r="AN1295" s="12"/>
      <c r="AU1295" s="12" t="s">
        <v>1932</v>
      </c>
      <c r="AV1295" s="13"/>
      <c r="AW1295" s="39">
        <v>1</v>
      </c>
      <c r="AY1295" s="32"/>
      <c r="AZ1295" s="32"/>
      <c r="BA1295" s="32"/>
    </row>
    <row r="1296" spans="1:53" ht="12" customHeight="1" x14ac:dyDescent="0.2">
      <c r="A1296" s="13" t="s">
        <v>506</v>
      </c>
      <c r="B1296" s="39">
        <v>71018</v>
      </c>
      <c r="C1296" s="42" t="s">
        <v>3809</v>
      </c>
      <c r="D1296" s="10" t="s">
        <v>86</v>
      </c>
      <c r="E1296" s="10" t="s">
        <v>501</v>
      </c>
      <c r="F1296" s="1" t="s">
        <v>311</v>
      </c>
      <c r="G1296" s="1" t="s">
        <v>1312</v>
      </c>
      <c r="H1296" s="1"/>
      <c r="I1296" s="1"/>
      <c r="J1296" s="1"/>
      <c r="K1296" s="1"/>
      <c r="L1296" s="1"/>
      <c r="M1296" s="1"/>
      <c r="O1296" s="12" t="s">
        <v>430</v>
      </c>
      <c r="P1296" s="1">
        <v>51</v>
      </c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>
        <v>444</v>
      </c>
      <c r="AC1296" s="82"/>
      <c r="AD1296" s="12" t="s">
        <v>542</v>
      </c>
      <c r="AE1296" s="39" t="str">
        <f t="shared" ref="AE1296:AE1298" si="163">BA1296</f>
        <v>5121</v>
      </c>
      <c r="AN1296" s="12"/>
      <c r="AU1296" s="12" t="s">
        <v>1933</v>
      </c>
      <c r="AV1296" s="13"/>
      <c r="AW1296" s="39">
        <v>2</v>
      </c>
      <c r="AX1296" s="12">
        <f>VLOOKUP(AW1296,색인!$N$14:$O$19,2,FALSE)</f>
        <v>1</v>
      </c>
      <c r="AY1296" s="39" t="str">
        <f>"T"&amp;O1296&amp;"_"&amp;AX1296&amp;"옵션_"&amp;VLOOKUP(E1296,색인!$J$25:$K$29,2,FALSE)</f>
        <v>T5_1옵션_보조장비</v>
      </c>
      <c r="AZ1296" s="39">
        <f>VLOOKUP(G1296,색인!$J$32:$K$45,2,FALSE)</f>
        <v>2</v>
      </c>
      <c r="BA1296" s="39" t="str">
        <f>_xlfn.IFNA(VLOOKUP(AY1296,표1[[검색용]:[OptionGroupIndex'[']22]],EquipItemTable!AZ1296,FALSE),"옵션고정안함")</f>
        <v>5121</v>
      </c>
    </row>
    <row r="1297" spans="1:53" ht="12" customHeight="1" x14ac:dyDescent="0.2">
      <c r="A1297" s="13" t="s">
        <v>507</v>
      </c>
      <c r="B1297" s="39">
        <v>71019</v>
      </c>
      <c r="C1297" s="42" t="s">
        <v>3810</v>
      </c>
      <c r="D1297" s="10" t="s">
        <v>86</v>
      </c>
      <c r="E1297" s="10" t="s">
        <v>501</v>
      </c>
      <c r="F1297" s="1" t="s">
        <v>311</v>
      </c>
      <c r="G1297" s="1" t="s">
        <v>1312</v>
      </c>
      <c r="H1297" s="1"/>
      <c r="I1297" s="1"/>
      <c r="J1297" s="1"/>
      <c r="K1297" s="1"/>
      <c r="L1297" s="1"/>
      <c r="M1297" s="1"/>
      <c r="O1297" s="12" t="s">
        <v>430</v>
      </c>
      <c r="P1297" s="1">
        <v>51</v>
      </c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>
        <v>517</v>
      </c>
      <c r="AC1297" s="82"/>
      <c r="AD1297" s="12" t="s">
        <v>542</v>
      </c>
      <c r="AE1297" s="39" t="str">
        <f t="shared" si="163"/>
        <v>5221</v>
      </c>
      <c r="AN1297" s="12"/>
      <c r="AR1297" s="34" t="s">
        <v>543</v>
      </c>
      <c r="AS1297" s="34" t="s">
        <v>543</v>
      </c>
      <c r="AU1297" s="12" t="s">
        <v>1934</v>
      </c>
      <c r="AV1297" s="13"/>
      <c r="AW1297" s="39">
        <v>3</v>
      </c>
      <c r="AX1297" s="12">
        <f>VLOOKUP(AW1297,색인!$N$14:$O$19,2,FALSE)</f>
        <v>2</v>
      </c>
      <c r="AY1297" s="39" t="str">
        <f>"T"&amp;O1297&amp;"_"&amp;AX1297&amp;"옵션_"&amp;VLOOKUP(E1297,색인!$J$25:$K$29,2,FALSE)</f>
        <v>T5_2옵션_보조장비</v>
      </c>
      <c r="AZ1297" s="39">
        <f>VLOOKUP(G1297,색인!$J$32:$K$45,2,FALSE)</f>
        <v>2</v>
      </c>
      <c r="BA1297" s="39" t="str">
        <f>_xlfn.IFNA(VLOOKUP(AY1297,표1[[검색용]:[OptionGroupIndex'[']22]],EquipItemTable!AZ1297,FALSE),"옵션고정안함")</f>
        <v>5221</v>
      </c>
    </row>
    <row r="1298" spans="1:53" ht="12" customHeight="1" x14ac:dyDescent="0.2">
      <c r="A1298" s="13" t="s">
        <v>508</v>
      </c>
      <c r="B1298" s="39">
        <v>71020</v>
      </c>
      <c r="C1298" s="42" t="s">
        <v>3811</v>
      </c>
      <c r="D1298" s="10" t="s">
        <v>86</v>
      </c>
      <c r="E1298" s="10" t="s">
        <v>501</v>
      </c>
      <c r="F1298" s="1" t="s">
        <v>311</v>
      </c>
      <c r="G1298" s="1" t="s">
        <v>1312</v>
      </c>
      <c r="H1298" s="1"/>
      <c r="I1298" s="1"/>
      <c r="J1298" s="1"/>
      <c r="K1298" s="1"/>
      <c r="L1298" s="1"/>
      <c r="M1298" s="1"/>
      <c r="O1298" s="12" t="s">
        <v>430</v>
      </c>
      <c r="P1298" s="1">
        <v>51</v>
      </c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>
        <v>598</v>
      </c>
      <c r="AC1298" s="82"/>
      <c r="AD1298" s="12" t="s">
        <v>542</v>
      </c>
      <c r="AE1298" s="39" t="str">
        <f t="shared" si="163"/>
        <v>5321</v>
      </c>
      <c r="AN1298" s="12"/>
      <c r="AR1298" s="34" t="s">
        <v>543</v>
      </c>
      <c r="AS1298" s="34" t="s">
        <v>543</v>
      </c>
      <c r="AU1298" s="12" t="s">
        <v>1935</v>
      </c>
      <c r="AV1298" s="13"/>
      <c r="AW1298" s="39">
        <v>4</v>
      </c>
      <c r="AX1298" s="12">
        <f>VLOOKUP(AW1298,색인!$N$14:$O$19,2,FALSE)</f>
        <v>3</v>
      </c>
      <c r="AY1298" s="39" t="str">
        <f>"T"&amp;O1298&amp;"_"&amp;AX1298&amp;"옵션_"&amp;VLOOKUP(E1298,색인!$J$25:$K$29,2,FALSE)</f>
        <v>T5_3옵션_보조장비</v>
      </c>
      <c r="AZ1298" s="39">
        <f>VLOOKUP(G1298,색인!$J$32:$K$45,2,FALSE)</f>
        <v>2</v>
      </c>
      <c r="BA1298" s="39" t="str">
        <f>_xlfn.IFNA(VLOOKUP(AY1298,표1[[검색용]:[OptionGroupIndex'[']22]],EquipItemTable!AZ1298,FALSE),"옵션고정안함")</f>
        <v>5321</v>
      </c>
    </row>
    <row r="1299" spans="1:53" ht="14.1" customHeight="1" x14ac:dyDescent="0.2">
      <c r="A1299" s="13" t="s">
        <v>588</v>
      </c>
      <c r="B1299" s="39">
        <v>71035</v>
      </c>
      <c r="C1299" s="42" t="s">
        <v>3800</v>
      </c>
      <c r="D1299" s="10" t="s">
        <v>86</v>
      </c>
      <c r="E1299" s="10" t="s">
        <v>501</v>
      </c>
      <c r="F1299" s="1" t="s">
        <v>311</v>
      </c>
      <c r="G1299" s="1" t="s">
        <v>1312</v>
      </c>
      <c r="H1299" s="1"/>
      <c r="I1299" s="1"/>
      <c r="J1299" s="1"/>
      <c r="K1299" s="1"/>
      <c r="L1299" s="1"/>
      <c r="M1299" s="1"/>
      <c r="O1299" s="12" t="s">
        <v>430</v>
      </c>
      <c r="P1299" s="1">
        <v>51</v>
      </c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>
        <v>690</v>
      </c>
      <c r="AC1299" s="82"/>
      <c r="AD1299" s="12" t="s">
        <v>98</v>
      </c>
      <c r="AE1299" s="12" t="s">
        <v>529</v>
      </c>
      <c r="AN1299" s="12" t="s">
        <v>554</v>
      </c>
      <c r="AR1299" s="34" t="s">
        <v>94</v>
      </c>
      <c r="AS1299" s="34" t="s">
        <v>94</v>
      </c>
      <c r="AU1299" s="12" t="s">
        <v>1936</v>
      </c>
      <c r="AV1299" s="13"/>
      <c r="AW1299" s="39">
        <v>6</v>
      </c>
      <c r="AX1299" s="12">
        <f>VLOOKUP(AW1299,색인!$N$14:$O$19,2,FALSE)</f>
        <v>4</v>
      </c>
      <c r="AY1299" s="32" t="str">
        <f>"T"&amp;O1299&amp;"_"&amp;AX1299&amp;"옵션_"&amp;VLOOKUP(E1299,색인!$J$25:$K$29,2,FALSE)</f>
        <v>T5_4옵션_보조장비</v>
      </c>
      <c r="AZ1299" s="32">
        <f>VLOOKUP(G1299,색인!$J$32:$K$45,2,FALSE)</f>
        <v>2</v>
      </c>
      <c r="BA1299" s="32" t="str">
        <f>_xlfn.IFNA(VLOOKUP(AY1299,표1[[검색용]:[OptionGroupIndex'[']22]],EquipItemTable!AZ1299,FALSE),"옵션고정안함")</f>
        <v>옵션고정안함</v>
      </c>
    </row>
    <row r="1300" spans="1:53" ht="14.1" customHeight="1" x14ac:dyDescent="0.2">
      <c r="A1300" s="13" t="s">
        <v>1096</v>
      </c>
      <c r="B1300" s="39">
        <v>71036</v>
      </c>
      <c r="C1300" s="42" t="s">
        <v>3801</v>
      </c>
      <c r="D1300" s="10" t="s">
        <v>86</v>
      </c>
      <c r="E1300" s="10" t="s">
        <v>501</v>
      </c>
      <c r="F1300" s="1" t="s">
        <v>311</v>
      </c>
      <c r="G1300" s="1" t="s">
        <v>1312</v>
      </c>
      <c r="H1300" s="1"/>
      <c r="I1300" s="1"/>
      <c r="J1300" s="1"/>
      <c r="K1300" s="1"/>
      <c r="L1300" s="1"/>
      <c r="M1300" s="1"/>
      <c r="O1300" s="12" t="s">
        <v>430</v>
      </c>
      <c r="P1300" s="1">
        <v>51</v>
      </c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>
        <v>690</v>
      </c>
      <c r="AC1300" s="82"/>
      <c r="AD1300" s="12" t="s">
        <v>98</v>
      </c>
      <c r="AE1300" s="12" t="s">
        <v>430</v>
      </c>
      <c r="AN1300" s="12" t="s">
        <v>1192</v>
      </c>
      <c r="AR1300" s="34" t="s">
        <v>94</v>
      </c>
      <c r="AS1300" s="34" t="s">
        <v>94</v>
      </c>
      <c r="AU1300" s="12" t="s">
        <v>1936</v>
      </c>
      <c r="AV1300" s="13"/>
      <c r="AW1300" s="39">
        <v>6</v>
      </c>
      <c r="AX1300" s="12">
        <f>VLOOKUP(AW1300,색인!$N$14:$O$19,2,FALSE)</f>
        <v>4</v>
      </c>
      <c r="AY1300" s="32" t="str">
        <f>"T"&amp;O1300&amp;"_"&amp;AX1300&amp;"옵션_"&amp;VLOOKUP(E1300,색인!$J$25:$K$29,2,FALSE)</f>
        <v>T5_4옵션_보조장비</v>
      </c>
      <c r="AZ1300" s="32">
        <f>VLOOKUP(G1300,색인!$J$32:$K$45,2,FALSE)</f>
        <v>2</v>
      </c>
      <c r="BA1300" s="32" t="str">
        <f>_xlfn.IFNA(VLOOKUP(AY1300,표1[[검색용]:[OptionGroupIndex'[']22]],EquipItemTable!AZ1300,FALSE),"옵션고정안함")</f>
        <v>옵션고정안함</v>
      </c>
    </row>
    <row r="1301" spans="1:53" ht="14.1" customHeight="1" x14ac:dyDescent="0.2">
      <c r="A1301" s="13" t="s">
        <v>1097</v>
      </c>
      <c r="B1301" s="39">
        <v>71037</v>
      </c>
      <c r="C1301" s="42" t="s">
        <v>3802</v>
      </c>
      <c r="D1301" s="10" t="s">
        <v>86</v>
      </c>
      <c r="E1301" s="10" t="s">
        <v>501</v>
      </c>
      <c r="F1301" s="1" t="s">
        <v>311</v>
      </c>
      <c r="G1301" s="1" t="s">
        <v>1312</v>
      </c>
      <c r="H1301" s="1"/>
      <c r="I1301" s="1"/>
      <c r="J1301" s="1"/>
      <c r="K1301" s="1"/>
      <c r="L1301" s="1"/>
      <c r="M1301" s="1"/>
      <c r="O1301" s="12" t="s">
        <v>430</v>
      </c>
      <c r="P1301" s="1">
        <v>51</v>
      </c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>
        <v>690</v>
      </c>
      <c r="AC1301" s="82"/>
      <c r="AD1301" s="12" t="s">
        <v>98</v>
      </c>
      <c r="AE1301" s="12" t="s">
        <v>430</v>
      </c>
      <c r="AN1301" s="12" t="s">
        <v>369</v>
      </c>
      <c r="AR1301" s="34" t="s">
        <v>94</v>
      </c>
      <c r="AS1301" s="34" t="s">
        <v>94</v>
      </c>
      <c r="AU1301" s="12" t="s">
        <v>1936</v>
      </c>
      <c r="AV1301" s="13"/>
      <c r="AW1301" s="39">
        <v>6</v>
      </c>
      <c r="AX1301" s="12">
        <f>VLOOKUP(AW1301,색인!$N$14:$O$19,2,FALSE)</f>
        <v>4</v>
      </c>
      <c r="AY1301" s="32" t="str">
        <f>"T"&amp;O1301&amp;"_"&amp;AX1301&amp;"옵션_"&amp;VLOOKUP(E1301,색인!$J$25:$K$29,2,FALSE)</f>
        <v>T5_4옵션_보조장비</v>
      </c>
      <c r="AZ1301" s="32">
        <f>VLOOKUP(G1301,색인!$J$32:$K$45,2,FALSE)</f>
        <v>2</v>
      </c>
      <c r="BA1301" s="32" t="str">
        <f>_xlfn.IFNA(VLOOKUP(AY1301,표1[[검색용]:[OptionGroupIndex'[']22]],EquipItemTable!AZ1301,FALSE),"옵션고정안함")</f>
        <v>옵션고정안함</v>
      </c>
    </row>
    <row r="1302" spans="1:53" ht="14.1" customHeight="1" x14ac:dyDescent="0.2">
      <c r="A1302" s="13" t="s">
        <v>1098</v>
      </c>
      <c r="B1302" s="39">
        <v>71023</v>
      </c>
      <c r="C1302" s="42" t="s">
        <v>3803</v>
      </c>
      <c r="D1302" s="10" t="s">
        <v>86</v>
      </c>
      <c r="E1302" s="10" t="s">
        <v>501</v>
      </c>
      <c r="F1302" s="1" t="s">
        <v>311</v>
      </c>
      <c r="G1302" s="1" t="s">
        <v>1312</v>
      </c>
      <c r="H1302" s="1"/>
      <c r="I1302" s="1"/>
      <c r="J1302" s="1"/>
      <c r="K1302" s="1"/>
      <c r="L1302" s="1"/>
      <c r="M1302" s="1"/>
      <c r="O1302" s="12" t="s">
        <v>430</v>
      </c>
      <c r="P1302" s="1">
        <v>51</v>
      </c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>
        <v>690</v>
      </c>
      <c r="AC1302" s="82"/>
      <c r="AD1302" s="12" t="s">
        <v>98</v>
      </c>
      <c r="AE1302" s="12" t="s">
        <v>430</v>
      </c>
      <c r="AN1302" s="12" t="s">
        <v>1194</v>
      </c>
      <c r="AR1302" s="34" t="s">
        <v>94</v>
      </c>
      <c r="AS1302" s="34" t="s">
        <v>94</v>
      </c>
      <c r="AU1302" s="12" t="s">
        <v>1936</v>
      </c>
      <c r="AV1302" s="13"/>
      <c r="AW1302" s="39">
        <v>6</v>
      </c>
      <c r="AX1302" s="12">
        <f>VLOOKUP(AW1302,색인!$N$14:$O$19,2,FALSE)</f>
        <v>4</v>
      </c>
      <c r="AY1302" s="32" t="str">
        <f>"T"&amp;O1302&amp;"_"&amp;AX1302&amp;"옵션_"&amp;VLOOKUP(E1302,색인!$J$25:$K$29,2,FALSE)</f>
        <v>T5_4옵션_보조장비</v>
      </c>
      <c r="AZ1302" s="32">
        <f>VLOOKUP(G1302,색인!$J$32:$K$45,2,FALSE)</f>
        <v>2</v>
      </c>
      <c r="BA1302" s="32" t="str">
        <f>_xlfn.IFNA(VLOOKUP(AY1302,표1[[검색용]:[OptionGroupIndex'[']22]],EquipItemTable!AZ1302,FALSE),"옵션고정안함")</f>
        <v>옵션고정안함</v>
      </c>
    </row>
    <row r="1303" spans="1:53" s="1" customFormat="1" ht="12" x14ac:dyDescent="0.2">
      <c r="A1303" s="31" t="s">
        <v>819</v>
      </c>
      <c r="B1303" s="39">
        <v>71024</v>
      </c>
      <c r="C1303" s="42" t="s">
        <v>3812</v>
      </c>
      <c r="D1303" s="10" t="s">
        <v>86</v>
      </c>
      <c r="E1303" s="10" t="s">
        <v>501</v>
      </c>
      <c r="F1303" s="1" t="s">
        <v>311</v>
      </c>
      <c r="G1303" s="1" t="s">
        <v>1312</v>
      </c>
      <c r="N1303" s="8"/>
      <c r="O1303" s="12" t="s">
        <v>755</v>
      </c>
      <c r="P1303" s="1">
        <v>61</v>
      </c>
      <c r="AB1303" s="1">
        <v>634</v>
      </c>
      <c r="AC1303" s="82"/>
      <c r="AD1303" s="12" t="s">
        <v>756</v>
      </c>
      <c r="AE1303" s="12" t="s">
        <v>529</v>
      </c>
      <c r="AF1303" s="12"/>
      <c r="AG1303" s="23"/>
      <c r="AH1303" s="23"/>
      <c r="AI1303" s="12"/>
      <c r="AJ1303" s="12"/>
      <c r="AK1303" s="12"/>
      <c r="AL1303" s="12"/>
      <c r="AM1303" s="12"/>
      <c r="AN1303" s="12"/>
      <c r="AO1303" s="12"/>
      <c r="AP1303" s="12"/>
      <c r="AQ1303" s="8"/>
      <c r="AR1303" s="34"/>
      <c r="AS1303" s="34"/>
      <c r="AT1303" s="85"/>
      <c r="AU1303" s="12" t="s">
        <v>1932</v>
      </c>
      <c r="AW1303" s="90">
        <v>1</v>
      </c>
      <c r="AX1303" s="23"/>
      <c r="AY1303" s="23"/>
      <c r="AZ1303" s="23"/>
      <c r="BA1303" s="23"/>
    </row>
    <row r="1304" spans="1:53" s="1" customFormat="1" ht="12" x14ac:dyDescent="0.2">
      <c r="A1304" s="31" t="s">
        <v>820</v>
      </c>
      <c r="B1304" s="39">
        <v>71025</v>
      </c>
      <c r="C1304" s="42" t="s">
        <v>3813</v>
      </c>
      <c r="D1304" s="10" t="s">
        <v>86</v>
      </c>
      <c r="E1304" s="10" t="s">
        <v>501</v>
      </c>
      <c r="F1304" s="1" t="s">
        <v>311</v>
      </c>
      <c r="G1304" s="1" t="s">
        <v>1312</v>
      </c>
      <c r="N1304" s="8"/>
      <c r="O1304" s="12" t="s">
        <v>755</v>
      </c>
      <c r="P1304" s="1">
        <v>61</v>
      </c>
      <c r="AB1304" s="1">
        <v>720</v>
      </c>
      <c r="AC1304" s="82"/>
      <c r="AD1304" s="12" t="s">
        <v>756</v>
      </c>
      <c r="AE1304" s="39" t="str">
        <f t="shared" ref="AE1304:AE1306" si="164">BA1304</f>
        <v>6121</v>
      </c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8"/>
      <c r="AR1304" s="34"/>
      <c r="AS1304" s="34"/>
      <c r="AT1304" s="85"/>
      <c r="AU1304" s="12" t="s">
        <v>1933</v>
      </c>
      <c r="AW1304" s="90">
        <v>2</v>
      </c>
      <c r="AX1304" s="23">
        <f>VLOOKUP(AW1304,색인!$N$14:$O$19,2,FALSE)</f>
        <v>1</v>
      </c>
      <c r="AY1304" s="90" t="str">
        <f>"T"&amp;O1304&amp;"_"&amp;AX1304&amp;"옵션_"&amp;VLOOKUP(E1304,색인!$J$25:$K$29,2,FALSE)</f>
        <v>T6_1옵션_보조장비</v>
      </c>
      <c r="AZ1304" s="90">
        <f>VLOOKUP(G1304,색인!$J$32:$K$45,2,FALSE)</f>
        <v>2</v>
      </c>
      <c r="BA1304" s="90" t="str">
        <f>_xlfn.IFNA(VLOOKUP(AY1304,표1[[검색용]:[OptionGroupIndex'[']22]],EquipItemTable!AZ1304,FALSE),"옵션고정안함")</f>
        <v>6121</v>
      </c>
    </row>
    <row r="1305" spans="1:53" s="1" customFormat="1" ht="12" x14ac:dyDescent="0.2">
      <c r="A1305" s="31" t="s">
        <v>821</v>
      </c>
      <c r="B1305" s="39">
        <v>71026</v>
      </c>
      <c r="C1305" s="42" t="s">
        <v>3814</v>
      </c>
      <c r="D1305" s="10" t="s">
        <v>86</v>
      </c>
      <c r="E1305" s="10" t="s">
        <v>501</v>
      </c>
      <c r="F1305" s="1" t="s">
        <v>311</v>
      </c>
      <c r="G1305" s="1" t="s">
        <v>1312</v>
      </c>
      <c r="N1305" s="8"/>
      <c r="O1305" s="12" t="s">
        <v>755</v>
      </c>
      <c r="P1305" s="1">
        <v>61</v>
      </c>
      <c r="AB1305" s="1">
        <v>792</v>
      </c>
      <c r="AC1305" s="82"/>
      <c r="AD1305" s="12" t="s">
        <v>756</v>
      </c>
      <c r="AE1305" s="39" t="str">
        <f t="shared" si="164"/>
        <v>6221</v>
      </c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8"/>
      <c r="AR1305" s="34" t="s">
        <v>94</v>
      </c>
      <c r="AS1305" s="34" t="s">
        <v>94</v>
      </c>
      <c r="AT1305" s="85"/>
      <c r="AU1305" s="12" t="s">
        <v>1934</v>
      </c>
      <c r="AW1305" s="90">
        <v>3</v>
      </c>
      <c r="AX1305" s="23">
        <f>VLOOKUP(AW1305,색인!$N$14:$O$19,2,FALSE)</f>
        <v>2</v>
      </c>
      <c r="AY1305" s="90" t="str">
        <f>"T"&amp;O1305&amp;"_"&amp;AX1305&amp;"옵션_"&amp;VLOOKUP(E1305,색인!$J$25:$K$29,2,FALSE)</f>
        <v>T6_2옵션_보조장비</v>
      </c>
      <c r="AZ1305" s="90">
        <f>VLOOKUP(G1305,색인!$J$32:$K$45,2,FALSE)</f>
        <v>2</v>
      </c>
      <c r="BA1305" s="90" t="str">
        <f>_xlfn.IFNA(VLOOKUP(AY1305,표1[[검색용]:[OptionGroupIndex'[']22]],EquipItemTable!AZ1305,FALSE),"옵션고정안함")</f>
        <v>6221</v>
      </c>
    </row>
    <row r="1306" spans="1:53" s="1" customFormat="1" ht="12" x14ac:dyDescent="0.2">
      <c r="A1306" s="31" t="s">
        <v>822</v>
      </c>
      <c r="B1306" s="39">
        <v>71027</v>
      </c>
      <c r="C1306" s="42" t="s">
        <v>3815</v>
      </c>
      <c r="D1306" s="10" t="s">
        <v>86</v>
      </c>
      <c r="E1306" s="10" t="s">
        <v>501</v>
      </c>
      <c r="F1306" s="1" t="s">
        <v>311</v>
      </c>
      <c r="G1306" s="1" t="s">
        <v>1312</v>
      </c>
      <c r="N1306" s="8"/>
      <c r="O1306" s="12" t="s">
        <v>755</v>
      </c>
      <c r="P1306" s="1">
        <v>61</v>
      </c>
      <c r="AB1306" s="1">
        <v>871</v>
      </c>
      <c r="AC1306" s="82"/>
      <c r="AD1306" s="12" t="s">
        <v>756</v>
      </c>
      <c r="AE1306" s="39" t="str">
        <f t="shared" si="164"/>
        <v>6321</v>
      </c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8"/>
      <c r="AR1306" s="34" t="s">
        <v>94</v>
      </c>
      <c r="AS1306" s="34" t="s">
        <v>94</v>
      </c>
      <c r="AT1306" s="85"/>
      <c r="AU1306" s="12" t="s">
        <v>1935</v>
      </c>
      <c r="AW1306" s="90">
        <v>4</v>
      </c>
      <c r="AX1306" s="23">
        <f>VLOOKUP(AW1306,색인!$N$14:$O$19,2,FALSE)</f>
        <v>3</v>
      </c>
      <c r="AY1306" s="90" t="str">
        <f>"T"&amp;O1306&amp;"_"&amp;AX1306&amp;"옵션_"&amp;VLOOKUP(E1306,색인!$J$25:$K$29,2,FALSE)</f>
        <v>T6_3옵션_보조장비</v>
      </c>
      <c r="AZ1306" s="90">
        <f>VLOOKUP(G1306,색인!$J$32:$K$45,2,FALSE)</f>
        <v>2</v>
      </c>
      <c r="BA1306" s="90" t="str">
        <f>_xlfn.IFNA(VLOOKUP(AY1306,표1[[검색용]:[OptionGroupIndex'[']22]],EquipItemTable!AZ1306,FALSE),"옵션고정안함")</f>
        <v>6321</v>
      </c>
    </row>
    <row r="1307" spans="1:53" s="1" customFormat="1" ht="12" x14ac:dyDescent="0.2">
      <c r="A1307" s="31" t="s">
        <v>823</v>
      </c>
      <c r="B1307" s="39">
        <v>71038</v>
      </c>
      <c r="C1307" s="42" t="s">
        <v>3800</v>
      </c>
      <c r="D1307" s="10" t="s">
        <v>86</v>
      </c>
      <c r="E1307" s="10" t="s">
        <v>501</v>
      </c>
      <c r="F1307" s="1" t="s">
        <v>311</v>
      </c>
      <c r="G1307" s="1" t="s">
        <v>1312</v>
      </c>
      <c r="N1307" s="8"/>
      <c r="O1307" s="12" t="s">
        <v>747</v>
      </c>
      <c r="P1307" s="1">
        <v>61</v>
      </c>
      <c r="AB1307" s="1">
        <v>954</v>
      </c>
      <c r="AC1307" s="82"/>
      <c r="AD1307" s="12" t="s">
        <v>748</v>
      </c>
      <c r="AE1307" s="39" t="str">
        <f>BA1307</f>
        <v>6421</v>
      </c>
      <c r="AF1307" s="12"/>
      <c r="AG1307" s="12"/>
      <c r="AH1307" s="12"/>
      <c r="AI1307" s="12"/>
      <c r="AJ1307" s="12"/>
      <c r="AK1307" s="12"/>
      <c r="AL1307" s="12"/>
      <c r="AM1307" s="12"/>
      <c r="AN1307" s="12" t="s">
        <v>554</v>
      </c>
      <c r="AO1307" s="12"/>
      <c r="AP1307" s="12"/>
      <c r="AQ1307" s="8"/>
      <c r="AR1307" s="34" t="s">
        <v>94</v>
      </c>
      <c r="AS1307" s="34" t="s">
        <v>94</v>
      </c>
      <c r="AT1307" s="85"/>
      <c r="AU1307" s="12" t="s">
        <v>1936</v>
      </c>
      <c r="AW1307" s="90">
        <v>6</v>
      </c>
      <c r="AX1307" s="23">
        <f>VLOOKUP(AW1307,색인!$N$14:$O$19,2,FALSE)</f>
        <v>4</v>
      </c>
      <c r="AY1307" s="23" t="str">
        <f>"T"&amp;O1307&amp;"_"&amp;AX1307&amp;"옵션_"&amp;VLOOKUP(E1307,색인!$J$25:$K$29,2,FALSE)</f>
        <v>T6_4옵션_보조장비</v>
      </c>
      <c r="AZ1307" s="23">
        <f>VLOOKUP(G1307,색인!$J$32:$K$45,2,FALSE)</f>
        <v>2</v>
      </c>
      <c r="BA1307" s="23" t="str">
        <f>_xlfn.IFNA(VLOOKUP(AY1307,표1[[검색용]:[OptionGroupIndex'[']22]],EquipItemTable!AZ1307,FALSE),"옵션고정안함")</f>
        <v>6421</v>
      </c>
    </row>
    <row r="1308" spans="1:53" s="1" customFormat="1" ht="12" x14ac:dyDescent="0.2">
      <c r="A1308" s="31" t="s">
        <v>1099</v>
      </c>
      <c r="B1308" s="39">
        <v>71039</v>
      </c>
      <c r="C1308" s="42" t="s">
        <v>3801</v>
      </c>
      <c r="D1308" s="10" t="s">
        <v>86</v>
      </c>
      <c r="E1308" s="10" t="s">
        <v>501</v>
      </c>
      <c r="F1308" s="1" t="s">
        <v>311</v>
      </c>
      <c r="G1308" s="1" t="s">
        <v>1312</v>
      </c>
      <c r="N1308" s="8"/>
      <c r="O1308" s="12" t="s">
        <v>747</v>
      </c>
      <c r="P1308" s="1">
        <v>61</v>
      </c>
      <c r="AB1308" s="1">
        <v>954</v>
      </c>
      <c r="AC1308" s="82"/>
      <c r="AD1308" s="12" t="s">
        <v>336</v>
      </c>
      <c r="AE1308" s="39" t="str">
        <f>BA1308</f>
        <v>6421</v>
      </c>
      <c r="AF1308" s="12"/>
      <c r="AG1308" s="12"/>
      <c r="AH1308" s="12"/>
      <c r="AI1308" s="12"/>
      <c r="AJ1308" s="12"/>
      <c r="AK1308" s="12"/>
      <c r="AL1308" s="12"/>
      <c r="AM1308" s="12"/>
      <c r="AN1308" s="12" t="s">
        <v>1192</v>
      </c>
      <c r="AO1308" s="12"/>
      <c r="AP1308" s="12"/>
      <c r="AQ1308" s="8"/>
      <c r="AR1308" s="34" t="s">
        <v>94</v>
      </c>
      <c r="AS1308" s="34" t="s">
        <v>94</v>
      </c>
      <c r="AT1308" s="85"/>
      <c r="AU1308" s="12" t="s">
        <v>1936</v>
      </c>
      <c r="AW1308" s="90">
        <v>6</v>
      </c>
      <c r="AX1308" s="23">
        <f>VLOOKUP(AW1308,색인!$N$14:$O$19,2,FALSE)</f>
        <v>4</v>
      </c>
      <c r="AY1308" s="23" t="str">
        <f>"T"&amp;O1308&amp;"_"&amp;AX1308&amp;"옵션_"&amp;VLOOKUP(E1308,색인!$J$25:$K$29,2,FALSE)</f>
        <v>T6_4옵션_보조장비</v>
      </c>
      <c r="AZ1308" s="23">
        <f>VLOOKUP(G1308,색인!$J$32:$K$45,2,FALSE)</f>
        <v>2</v>
      </c>
      <c r="BA1308" s="23" t="str">
        <f>_xlfn.IFNA(VLOOKUP(AY1308,표1[[검색용]:[OptionGroupIndex'[']22]],EquipItemTable!AZ1308,FALSE),"옵션고정안함")</f>
        <v>6421</v>
      </c>
    </row>
    <row r="1309" spans="1:53" s="1" customFormat="1" ht="12" x14ac:dyDescent="0.2">
      <c r="A1309" s="31" t="s">
        <v>1100</v>
      </c>
      <c r="B1309" s="39">
        <v>71040</v>
      </c>
      <c r="C1309" s="42" t="s">
        <v>3802</v>
      </c>
      <c r="D1309" s="10" t="s">
        <v>86</v>
      </c>
      <c r="E1309" s="10" t="s">
        <v>501</v>
      </c>
      <c r="F1309" s="1" t="s">
        <v>311</v>
      </c>
      <c r="G1309" s="1" t="s">
        <v>1312</v>
      </c>
      <c r="N1309" s="8"/>
      <c r="O1309" s="12" t="s">
        <v>747</v>
      </c>
      <c r="P1309" s="1">
        <v>61</v>
      </c>
      <c r="AB1309" s="1">
        <v>954</v>
      </c>
      <c r="AC1309" s="82"/>
      <c r="AD1309" s="12" t="s">
        <v>336</v>
      </c>
      <c r="AE1309" s="39" t="str">
        <f>BA1309</f>
        <v>6421</v>
      </c>
      <c r="AF1309" s="12"/>
      <c r="AG1309" s="12"/>
      <c r="AH1309" s="12"/>
      <c r="AI1309" s="12"/>
      <c r="AJ1309" s="12"/>
      <c r="AK1309" s="12"/>
      <c r="AL1309" s="12"/>
      <c r="AM1309" s="12"/>
      <c r="AN1309" s="12" t="s">
        <v>369</v>
      </c>
      <c r="AO1309" s="12"/>
      <c r="AP1309" s="12"/>
      <c r="AQ1309" s="8"/>
      <c r="AR1309" s="34" t="s">
        <v>94</v>
      </c>
      <c r="AS1309" s="34" t="s">
        <v>94</v>
      </c>
      <c r="AT1309" s="85"/>
      <c r="AU1309" s="12" t="s">
        <v>1936</v>
      </c>
      <c r="AW1309" s="90">
        <v>6</v>
      </c>
      <c r="AX1309" s="23">
        <f>VLOOKUP(AW1309,색인!$N$14:$O$19,2,FALSE)</f>
        <v>4</v>
      </c>
      <c r="AY1309" s="23" t="str">
        <f>"T"&amp;O1309&amp;"_"&amp;AX1309&amp;"옵션_"&amp;VLOOKUP(E1309,색인!$J$25:$K$29,2,FALSE)</f>
        <v>T6_4옵션_보조장비</v>
      </c>
      <c r="AZ1309" s="23">
        <f>VLOOKUP(G1309,색인!$J$32:$K$45,2,FALSE)</f>
        <v>2</v>
      </c>
      <c r="BA1309" s="23" t="str">
        <f>_xlfn.IFNA(VLOOKUP(AY1309,표1[[검색용]:[OptionGroupIndex'[']22]],EquipItemTable!AZ1309,FALSE),"옵션고정안함")</f>
        <v>6421</v>
      </c>
    </row>
    <row r="1310" spans="1:53" s="1" customFormat="1" ht="12" x14ac:dyDescent="0.2">
      <c r="A1310" s="31" t="s">
        <v>1101</v>
      </c>
      <c r="B1310" s="39">
        <v>71028</v>
      </c>
      <c r="C1310" s="42" t="s">
        <v>3803</v>
      </c>
      <c r="D1310" s="10" t="s">
        <v>86</v>
      </c>
      <c r="E1310" s="10" t="s">
        <v>501</v>
      </c>
      <c r="F1310" s="1" t="s">
        <v>311</v>
      </c>
      <c r="G1310" s="1" t="s">
        <v>1312</v>
      </c>
      <c r="N1310" s="8"/>
      <c r="O1310" s="12" t="s">
        <v>747</v>
      </c>
      <c r="P1310" s="1">
        <v>61</v>
      </c>
      <c r="AB1310" s="1">
        <v>954</v>
      </c>
      <c r="AC1310" s="82"/>
      <c r="AD1310" s="12" t="s">
        <v>336</v>
      </c>
      <c r="AE1310" s="39" t="str">
        <f>BA1310</f>
        <v>6421</v>
      </c>
      <c r="AF1310" s="12"/>
      <c r="AG1310" s="12"/>
      <c r="AH1310" s="12"/>
      <c r="AI1310" s="12"/>
      <c r="AJ1310" s="12"/>
      <c r="AK1310" s="12"/>
      <c r="AL1310" s="12"/>
      <c r="AM1310" s="12"/>
      <c r="AN1310" s="12" t="s">
        <v>1194</v>
      </c>
      <c r="AO1310" s="12"/>
      <c r="AP1310" s="12"/>
      <c r="AQ1310" s="8"/>
      <c r="AR1310" s="34" t="s">
        <v>94</v>
      </c>
      <c r="AS1310" s="34" t="s">
        <v>94</v>
      </c>
      <c r="AT1310" s="85"/>
      <c r="AU1310" s="12" t="s">
        <v>1936</v>
      </c>
      <c r="AW1310" s="90">
        <v>6</v>
      </c>
      <c r="AX1310" s="23">
        <f>VLOOKUP(AW1310,색인!$N$14:$O$19,2,FALSE)</f>
        <v>4</v>
      </c>
      <c r="AY1310" s="23" t="str">
        <f>"T"&amp;O1310&amp;"_"&amp;AX1310&amp;"옵션_"&amp;VLOOKUP(E1310,색인!$J$25:$K$29,2,FALSE)</f>
        <v>T6_4옵션_보조장비</v>
      </c>
      <c r="AZ1310" s="23">
        <f>VLOOKUP(G1310,색인!$J$32:$K$45,2,FALSE)</f>
        <v>2</v>
      </c>
      <c r="BA1310" s="23" t="str">
        <f>_xlfn.IFNA(VLOOKUP(AY1310,표1[[검색용]:[OptionGroupIndex'[']22]],EquipItemTable!AZ1310,FALSE),"옵션고정안함")</f>
        <v>6421</v>
      </c>
    </row>
    <row r="1311" spans="1:53" ht="12" customHeight="1" x14ac:dyDescent="0.2">
      <c r="A1311" s="13" t="s">
        <v>694</v>
      </c>
      <c r="B1311" s="39">
        <v>71401</v>
      </c>
      <c r="C1311" s="42" t="s">
        <v>3816</v>
      </c>
      <c r="D1311" s="10" t="s">
        <v>86</v>
      </c>
      <c r="E1311" s="10" t="s">
        <v>501</v>
      </c>
      <c r="F1311" s="1" t="s">
        <v>311</v>
      </c>
      <c r="G1311" s="1" t="s">
        <v>1312</v>
      </c>
      <c r="H1311" s="1"/>
      <c r="I1311" s="1"/>
      <c r="J1311" s="1"/>
      <c r="K1311" s="1"/>
      <c r="L1311" s="1"/>
      <c r="M1311" s="1"/>
      <c r="O1311" s="12" t="s">
        <v>94</v>
      </c>
      <c r="P1311" s="1">
        <v>1</v>
      </c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>
        <v>39</v>
      </c>
      <c r="AC1311" s="82"/>
      <c r="AD1311" s="12" t="s">
        <v>868</v>
      </c>
      <c r="AE1311" s="39" t="str">
        <f t="shared" ref="AE1311:AE1321" si="165">BA1311</f>
        <v>1321</v>
      </c>
      <c r="AN1311" s="12" t="s">
        <v>2833</v>
      </c>
      <c r="AR1311" s="34" t="s">
        <v>94</v>
      </c>
      <c r="AS1311" s="34" t="s">
        <v>94</v>
      </c>
      <c r="AU1311" s="12" t="s">
        <v>1937</v>
      </c>
      <c r="AV1311" s="13"/>
      <c r="AW1311" s="39">
        <v>5</v>
      </c>
      <c r="AX1311" s="12">
        <f>VLOOKUP(AW1311,색인!$N$14:$O$19,2,FALSE)</f>
        <v>3</v>
      </c>
      <c r="AY1311" s="39" t="str">
        <f>"T"&amp;O1311&amp;"_"&amp;AX1311&amp;"옵션_"&amp;VLOOKUP(E1311,색인!$J$25:$K$29,2,FALSE)</f>
        <v>T1_3옵션_보조장비</v>
      </c>
      <c r="AZ1311" s="39">
        <f>VLOOKUP(G1311,색인!$J$32:$K$45,2,FALSE)</f>
        <v>2</v>
      </c>
      <c r="BA1311" s="39" t="str">
        <f>_xlfn.IFNA(VLOOKUP(AY1311,표1[[검색용]:[OptionGroupIndex'[']22]],EquipItemTable!AZ1311,FALSE),"옵션고정안함")</f>
        <v>1321</v>
      </c>
    </row>
    <row r="1312" spans="1:53" ht="12" customHeight="1" x14ac:dyDescent="0.2">
      <c r="A1312" s="13" t="s">
        <v>695</v>
      </c>
      <c r="B1312" s="39">
        <v>71402</v>
      </c>
      <c r="C1312" s="42" t="s">
        <v>3816</v>
      </c>
      <c r="D1312" s="10" t="s">
        <v>86</v>
      </c>
      <c r="E1312" s="10" t="s">
        <v>501</v>
      </c>
      <c r="F1312" s="1" t="s">
        <v>311</v>
      </c>
      <c r="G1312" s="1" t="s">
        <v>1312</v>
      </c>
      <c r="H1312" s="1"/>
      <c r="I1312" s="1"/>
      <c r="J1312" s="1"/>
      <c r="K1312" s="1"/>
      <c r="L1312" s="1"/>
      <c r="M1312" s="1"/>
      <c r="O1312" s="12" t="s">
        <v>95</v>
      </c>
      <c r="P1312" s="1">
        <v>21</v>
      </c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>
        <v>87</v>
      </c>
      <c r="AC1312" s="82"/>
      <c r="AD1312" s="12" t="s">
        <v>868</v>
      </c>
      <c r="AE1312" s="39" t="str">
        <f t="shared" si="165"/>
        <v>2321</v>
      </c>
      <c r="AN1312" s="12" t="s">
        <v>2833</v>
      </c>
      <c r="AR1312" s="34" t="s">
        <v>94</v>
      </c>
      <c r="AS1312" s="34" t="s">
        <v>94</v>
      </c>
      <c r="AU1312" s="12" t="s">
        <v>1937</v>
      </c>
      <c r="AV1312" s="13"/>
      <c r="AW1312" s="39">
        <v>5</v>
      </c>
      <c r="AX1312" s="12">
        <f>VLOOKUP(AW1312,색인!$N$14:$O$19,2,FALSE)</f>
        <v>3</v>
      </c>
      <c r="AY1312" s="39" t="str">
        <f>"T"&amp;O1312&amp;"_"&amp;AX1312&amp;"옵션_"&amp;VLOOKUP(E1312,색인!$J$25:$K$29,2,FALSE)</f>
        <v>T2_3옵션_보조장비</v>
      </c>
      <c r="AZ1312" s="39">
        <f>VLOOKUP(G1312,색인!$J$32:$K$45,2,FALSE)</f>
        <v>2</v>
      </c>
      <c r="BA1312" s="39" t="str">
        <f>_xlfn.IFNA(VLOOKUP(AY1312,표1[[검색용]:[OptionGroupIndex'[']22]],EquipItemTable!AZ1312,FALSE),"옵션고정안함")</f>
        <v>2321</v>
      </c>
    </row>
    <row r="1313" spans="1:53" ht="12" customHeight="1" x14ac:dyDescent="0.2">
      <c r="A1313" s="13" t="s">
        <v>696</v>
      </c>
      <c r="B1313" s="39">
        <v>71403</v>
      </c>
      <c r="C1313" s="42" t="s">
        <v>3816</v>
      </c>
      <c r="D1313" s="10" t="s">
        <v>2967</v>
      </c>
      <c r="E1313" s="10" t="s">
        <v>101</v>
      </c>
      <c r="F1313" s="1" t="s">
        <v>311</v>
      </c>
      <c r="G1313" s="1" t="s">
        <v>1312</v>
      </c>
      <c r="H1313" s="1"/>
      <c r="I1313" s="1"/>
      <c r="J1313" s="1"/>
      <c r="K1313" s="1"/>
      <c r="L1313" s="1"/>
      <c r="M1313" s="1"/>
      <c r="N1313" s="81"/>
      <c r="O1313" s="12" t="s">
        <v>96</v>
      </c>
      <c r="P1313" s="1">
        <v>31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">
        <v>178</v>
      </c>
      <c r="AC1313" s="82"/>
      <c r="AD1313" s="23" t="s">
        <v>52</v>
      </c>
      <c r="AE1313" s="90" t="str">
        <f t="shared" si="165"/>
        <v>3321</v>
      </c>
      <c r="AF1313" s="23"/>
      <c r="AI1313" s="23"/>
      <c r="AJ1313" s="23"/>
      <c r="AK1313" s="23"/>
      <c r="AL1313" s="23"/>
      <c r="AM1313" s="23"/>
      <c r="AN1313" s="12" t="s">
        <v>2833</v>
      </c>
      <c r="AO1313" s="23"/>
      <c r="AP1313" s="23"/>
      <c r="AQ1313" s="81"/>
      <c r="AR1313" s="83">
        <v>1</v>
      </c>
      <c r="AS1313" s="83">
        <v>1</v>
      </c>
      <c r="AT1313" s="81"/>
      <c r="AU1313" s="12" t="s">
        <v>1937</v>
      </c>
      <c r="AV1313" s="13"/>
      <c r="AW1313" s="39">
        <v>5</v>
      </c>
      <c r="AX1313" s="12">
        <f>VLOOKUP(AW1313,색인!$N$14:$O$19,2,FALSE)</f>
        <v>3</v>
      </c>
      <c r="AY1313" s="39" t="str">
        <f>"T"&amp;O1313&amp;"_"&amp;AX1313&amp;"옵션_"&amp;VLOOKUP(E1313,색인!$J$25:$K$29,2,FALSE)</f>
        <v>T3_3옵션_보조장비</v>
      </c>
      <c r="AZ1313" s="39">
        <f>VLOOKUP(G1313,색인!$J$32:$K$45,2,FALSE)</f>
        <v>2</v>
      </c>
      <c r="BA1313" s="39" t="str">
        <f>_xlfn.IFNA(VLOOKUP(AY1313,표1[[검색용]:[OptionGroupIndex'[']22]],EquipItemTable!AZ1313,FALSE),"옵션고정안함")</f>
        <v>3321</v>
      </c>
    </row>
    <row r="1314" spans="1:53" ht="12" customHeight="1" x14ac:dyDescent="0.2">
      <c r="A1314" s="13" t="s">
        <v>697</v>
      </c>
      <c r="B1314" s="39">
        <v>71404</v>
      </c>
      <c r="C1314" s="42" t="s">
        <v>3816</v>
      </c>
      <c r="D1314" s="10" t="s">
        <v>2967</v>
      </c>
      <c r="E1314" s="10" t="s">
        <v>101</v>
      </c>
      <c r="F1314" s="1" t="s">
        <v>311</v>
      </c>
      <c r="G1314" s="1" t="s">
        <v>1312</v>
      </c>
      <c r="H1314" s="1"/>
      <c r="I1314" s="1"/>
      <c r="J1314" s="1"/>
      <c r="K1314" s="1"/>
      <c r="L1314" s="1"/>
      <c r="M1314" s="1"/>
      <c r="O1314" s="12" t="s">
        <v>97</v>
      </c>
      <c r="P1314" s="1">
        <v>41</v>
      </c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>
        <v>349</v>
      </c>
      <c r="AC1314" s="82"/>
      <c r="AD1314" s="12" t="s">
        <v>52</v>
      </c>
      <c r="AE1314" s="39" t="str">
        <f t="shared" si="165"/>
        <v>4321</v>
      </c>
      <c r="AN1314" s="12" t="s">
        <v>2833</v>
      </c>
      <c r="AR1314" s="34" t="s">
        <v>94</v>
      </c>
      <c r="AS1314" s="34" t="s">
        <v>94</v>
      </c>
      <c r="AU1314" s="12" t="s">
        <v>1937</v>
      </c>
      <c r="AV1314" s="13"/>
      <c r="AW1314" s="39">
        <v>5</v>
      </c>
      <c r="AX1314" s="12">
        <f>VLOOKUP(AW1314,색인!$N$14:$O$19,2,FALSE)</f>
        <v>3</v>
      </c>
      <c r="AY1314" s="39" t="str">
        <f>"T"&amp;O1314&amp;"_"&amp;AX1314&amp;"옵션_"&amp;VLOOKUP(E1314,색인!$J$25:$K$29,2,FALSE)</f>
        <v>T4_3옵션_보조장비</v>
      </c>
      <c r="AZ1314" s="39">
        <f>VLOOKUP(G1314,색인!$J$32:$K$45,2,FALSE)</f>
        <v>2</v>
      </c>
      <c r="BA1314" s="39" t="str">
        <f>_xlfn.IFNA(VLOOKUP(AY1314,표1[[검색용]:[OptionGroupIndex'[']22]],EquipItemTable!AZ1314,FALSE),"옵션고정안함")</f>
        <v>4321</v>
      </c>
    </row>
    <row r="1315" spans="1:53" ht="12" customHeight="1" x14ac:dyDescent="0.2">
      <c r="A1315" s="13" t="s">
        <v>698</v>
      </c>
      <c r="B1315" s="39">
        <v>71405</v>
      </c>
      <c r="C1315" s="42" t="s">
        <v>3816</v>
      </c>
      <c r="D1315" s="10" t="s">
        <v>86</v>
      </c>
      <c r="E1315" s="10" t="s">
        <v>501</v>
      </c>
      <c r="F1315" s="1" t="s">
        <v>311</v>
      </c>
      <c r="G1315" s="1" t="s">
        <v>1312</v>
      </c>
      <c r="H1315" s="1"/>
      <c r="I1315" s="1"/>
      <c r="J1315" s="1"/>
      <c r="K1315" s="1"/>
      <c r="L1315" s="1"/>
      <c r="M1315" s="1"/>
      <c r="O1315" s="12" t="s">
        <v>430</v>
      </c>
      <c r="P1315" s="1">
        <v>51</v>
      </c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>
        <v>657</v>
      </c>
      <c r="AC1315" s="82"/>
      <c r="AD1315" s="12" t="s">
        <v>98</v>
      </c>
      <c r="AE1315" s="39" t="str">
        <f t="shared" si="165"/>
        <v>5321</v>
      </c>
      <c r="AN1315" s="12" t="s">
        <v>2833</v>
      </c>
      <c r="AR1315" s="34" t="s">
        <v>94</v>
      </c>
      <c r="AS1315" s="34" t="s">
        <v>94</v>
      </c>
      <c r="AU1315" s="12" t="s">
        <v>1937</v>
      </c>
      <c r="AV1315" s="13"/>
      <c r="AW1315" s="39">
        <v>5</v>
      </c>
      <c r="AX1315" s="12">
        <f>VLOOKUP(AW1315,색인!$N$14:$O$19,2,FALSE)</f>
        <v>3</v>
      </c>
      <c r="AY1315" s="39" t="str">
        <f>"T"&amp;O1315&amp;"_"&amp;AX1315&amp;"옵션_"&amp;VLOOKUP(E1315,색인!$J$25:$K$29,2,FALSE)</f>
        <v>T5_3옵션_보조장비</v>
      </c>
      <c r="AZ1315" s="39">
        <f>VLOOKUP(G1315,색인!$J$32:$K$45,2,FALSE)</f>
        <v>2</v>
      </c>
      <c r="BA1315" s="39" t="str">
        <f>_xlfn.IFNA(VLOOKUP(AY1315,표1[[검색용]:[OptionGroupIndex'[']22]],EquipItemTable!AZ1315,FALSE),"옵션고정안함")</f>
        <v>5321</v>
      </c>
    </row>
    <row r="1316" spans="1:53" s="1" customFormat="1" ht="12" x14ac:dyDescent="0.2">
      <c r="A1316" s="13" t="s">
        <v>824</v>
      </c>
      <c r="B1316" s="39">
        <v>71406</v>
      </c>
      <c r="C1316" s="42" t="s">
        <v>3816</v>
      </c>
      <c r="D1316" s="10" t="s">
        <v>86</v>
      </c>
      <c r="E1316" s="10" t="s">
        <v>501</v>
      </c>
      <c r="F1316" s="1" t="s">
        <v>311</v>
      </c>
      <c r="G1316" s="1" t="s">
        <v>1312</v>
      </c>
      <c r="N1316" s="8"/>
      <c r="O1316" s="12" t="s">
        <v>747</v>
      </c>
      <c r="P1316" s="1">
        <v>61</v>
      </c>
      <c r="AB1316" s="1">
        <v>958</v>
      </c>
      <c r="AC1316" s="82"/>
      <c r="AD1316" s="12" t="s">
        <v>864</v>
      </c>
      <c r="AE1316" s="39" t="str">
        <f t="shared" si="165"/>
        <v>6321</v>
      </c>
      <c r="AF1316" s="12"/>
      <c r="AG1316" s="12"/>
      <c r="AH1316" s="12"/>
      <c r="AI1316" s="12"/>
      <c r="AJ1316" s="12"/>
      <c r="AK1316" s="12"/>
      <c r="AL1316" s="12"/>
      <c r="AM1316" s="12"/>
      <c r="AN1316" s="12" t="s">
        <v>2833</v>
      </c>
      <c r="AO1316" s="12"/>
      <c r="AP1316" s="12"/>
      <c r="AQ1316" s="8"/>
      <c r="AR1316" s="34" t="s">
        <v>865</v>
      </c>
      <c r="AS1316" s="34" t="s">
        <v>865</v>
      </c>
      <c r="AT1316" s="85"/>
      <c r="AU1316" s="12" t="s">
        <v>1937</v>
      </c>
      <c r="AW1316" s="90">
        <v>5</v>
      </c>
      <c r="AX1316" s="23">
        <f>VLOOKUP(AW1316,색인!$N$14:$O$19,2,FALSE)</f>
        <v>3</v>
      </c>
      <c r="AY1316" s="90" t="str">
        <f>"T"&amp;O1316&amp;"_"&amp;AX1316&amp;"옵션_"&amp;VLOOKUP(E1316,색인!$J$25:$K$29,2,FALSE)</f>
        <v>T6_3옵션_보조장비</v>
      </c>
      <c r="AZ1316" s="90">
        <f>VLOOKUP(G1316,색인!$J$32:$K$45,2,FALSE)</f>
        <v>2</v>
      </c>
      <c r="BA1316" s="90" t="str">
        <f>_xlfn.IFNA(VLOOKUP(AY1316,표1[[검색용]:[OptionGroupIndex'[']22]],EquipItemTable!AZ1316,FALSE),"옵션고정안함")</f>
        <v>6321</v>
      </c>
    </row>
    <row r="1317" spans="1:53" s="1" customFormat="1" ht="12" x14ac:dyDescent="0.2">
      <c r="A1317" s="13" t="s">
        <v>1259</v>
      </c>
      <c r="B1317" s="39">
        <v>71407</v>
      </c>
      <c r="C1317" s="42" t="s">
        <v>3817</v>
      </c>
      <c r="D1317" s="10" t="s">
        <v>86</v>
      </c>
      <c r="E1317" s="10" t="s">
        <v>501</v>
      </c>
      <c r="F1317" s="1" t="s">
        <v>311</v>
      </c>
      <c r="G1317" s="1" t="s">
        <v>1312</v>
      </c>
      <c r="N1317" s="8"/>
      <c r="O1317" s="12" t="s">
        <v>747</v>
      </c>
      <c r="P1317" s="1">
        <v>61</v>
      </c>
      <c r="AB1317" s="1">
        <v>958</v>
      </c>
      <c r="AC1317" s="82"/>
      <c r="AD1317" s="12" t="s">
        <v>864</v>
      </c>
      <c r="AE1317" s="39" t="str">
        <f t="shared" si="165"/>
        <v>6321</v>
      </c>
      <c r="AF1317" s="12"/>
      <c r="AG1317" s="12"/>
      <c r="AH1317" s="12"/>
      <c r="AI1317" s="12"/>
      <c r="AJ1317" s="12"/>
      <c r="AK1317" s="12"/>
      <c r="AL1317" s="12"/>
      <c r="AM1317" s="12"/>
      <c r="AN1317" s="12" t="s">
        <v>1228</v>
      </c>
      <c r="AO1317" s="12"/>
      <c r="AP1317" s="12"/>
      <c r="AQ1317" s="8"/>
      <c r="AR1317" s="34" t="s">
        <v>865</v>
      </c>
      <c r="AS1317" s="34" t="s">
        <v>865</v>
      </c>
      <c r="AT1317" s="85"/>
      <c r="AU1317" s="12" t="s">
        <v>1937</v>
      </c>
      <c r="AW1317" s="90">
        <v>5</v>
      </c>
      <c r="AX1317" s="23">
        <f>VLOOKUP(AW1317,색인!$N$14:$O$19,2,FALSE)</f>
        <v>3</v>
      </c>
      <c r="AY1317" s="90" t="str">
        <f>"T"&amp;O1317&amp;"_"&amp;AX1317&amp;"옵션_"&amp;VLOOKUP(E1317,색인!$J$25:$K$29,2,FALSE)</f>
        <v>T6_3옵션_보조장비</v>
      </c>
      <c r="AZ1317" s="90">
        <f>VLOOKUP(G1317,색인!$J$32:$K$45,2,FALSE)</f>
        <v>2</v>
      </c>
      <c r="BA1317" s="90" t="str">
        <f>_xlfn.IFNA(VLOOKUP(AY1317,표1[[검색용]:[OptionGroupIndex'[']22]],EquipItemTable!AZ1317,FALSE),"옵션고정안함")</f>
        <v>6321</v>
      </c>
    </row>
    <row r="1318" spans="1:53" s="1" customFormat="1" ht="12" x14ac:dyDescent="0.2">
      <c r="A1318" s="13" t="s">
        <v>1260</v>
      </c>
      <c r="B1318" s="39">
        <v>71408</v>
      </c>
      <c r="C1318" s="42" t="s">
        <v>3818</v>
      </c>
      <c r="D1318" s="10" t="s">
        <v>86</v>
      </c>
      <c r="E1318" s="10" t="s">
        <v>501</v>
      </c>
      <c r="F1318" s="1" t="s">
        <v>311</v>
      </c>
      <c r="G1318" s="1" t="s">
        <v>1312</v>
      </c>
      <c r="J1318" s="27"/>
      <c r="K1318" s="27"/>
      <c r="L1318" s="27"/>
      <c r="M1318" s="27"/>
      <c r="N1318" s="8"/>
      <c r="O1318" s="12" t="s">
        <v>747</v>
      </c>
      <c r="P1318" s="1">
        <v>61</v>
      </c>
      <c r="AB1318" s="1">
        <v>958</v>
      </c>
      <c r="AC1318" s="82"/>
      <c r="AD1318" s="12" t="s">
        <v>864</v>
      </c>
      <c r="AE1318" s="39" t="str">
        <f t="shared" si="165"/>
        <v>6321</v>
      </c>
      <c r="AF1318" s="12"/>
      <c r="AG1318" s="29"/>
      <c r="AH1318" s="29"/>
      <c r="AI1318" s="12"/>
      <c r="AJ1318" s="12"/>
      <c r="AK1318" s="12"/>
      <c r="AL1318" s="12"/>
      <c r="AM1318" s="12"/>
      <c r="AN1318" s="12" t="s">
        <v>1213</v>
      </c>
      <c r="AO1318" s="12"/>
      <c r="AP1318" s="12"/>
      <c r="AQ1318" s="8"/>
      <c r="AR1318" s="34" t="s">
        <v>865</v>
      </c>
      <c r="AS1318" s="34" t="s">
        <v>865</v>
      </c>
      <c r="AT1318" s="85"/>
      <c r="AU1318" s="12" t="s">
        <v>1937</v>
      </c>
      <c r="AW1318" s="90">
        <v>5</v>
      </c>
      <c r="AX1318" s="23">
        <f>VLOOKUP(AW1318,색인!$N$14:$O$19,2,FALSE)</f>
        <v>3</v>
      </c>
      <c r="AY1318" s="90" t="str">
        <f>"T"&amp;O1318&amp;"_"&amp;AX1318&amp;"옵션_"&amp;VLOOKUP(E1318,색인!$J$25:$K$29,2,FALSE)</f>
        <v>T6_3옵션_보조장비</v>
      </c>
      <c r="AZ1318" s="90">
        <f>VLOOKUP(G1318,색인!$J$32:$K$45,2,FALSE)</f>
        <v>2</v>
      </c>
      <c r="BA1318" s="90" t="str">
        <f>_xlfn.IFNA(VLOOKUP(AY1318,표1[[검색용]:[OptionGroupIndex'[']22]],EquipItemTable!AZ1318,FALSE),"옵션고정안함")</f>
        <v>6321</v>
      </c>
    </row>
    <row r="1319" spans="1:53" s="1" customFormat="1" ht="12" x14ac:dyDescent="0.2">
      <c r="A1319" s="13" t="s">
        <v>1261</v>
      </c>
      <c r="B1319" s="39">
        <v>71409</v>
      </c>
      <c r="C1319" s="42" t="s">
        <v>3819</v>
      </c>
      <c r="D1319" s="10" t="s">
        <v>86</v>
      </c>
      <c r="E1319" s="10" t="s">
        <v>501</v>
      </c>
      <c r="F1319" s="1" t="s">
        <v>311</v>
      </c>
      <c r="G1319" s="1" t="s">
        <v>1312</v>
      </c>
      <c r="J1319" s="27"/>
      <c r="K1319" s="27"/>
      <c r="L1319" s="27"/>
      <c r="M1319" s="27"/>
      <c r="N1319" s="8"/>
      <c r="O1319" s="12" t="s">
        <v>747</v>
      </c>
      <c r="P1319" s="1">
        <v>61</v>
      </c>
      <c r="AB1319" s="1">
        <v>958</v>
      </c>
      <c r="AC1319" s="82"/>
      <c r="AD1319" s="12" t="s">
        <v>864</v>
      </c>
      <c r="AE1319" s="39" t="str">
        <f t="shared" si="165"/>
        <v>6321</v>
      </c>
      <c r="AF1319" s="12"/>
      <c r="AG1319" s="29"/>
      <c r="AH1319" s="29"/>
      <c r="AI1319" s="12"/>
      <c r="AJ1319" s="12"/>
      <c r="AK1319" s="12"/>
      <c r="AL1319" s="12"/>
      <c r="AM1319" s="12"/>
      <c r="AN1319" s="12" t="s">
        <v>1214</v>
      </c>
      <c r="AO1319" s="12"/>
      <c r="AP1319" s="12"/>
      <c r="AQ1319" s="8"/>
      <c r="AR1319" s="34" t="s">
        <v>865</v>
      </c>
      <c r="AS1319" s="34" t="s">
        <v>865</v>
      </c>
      <c r="AT1319" s="85"/>
      <c r="AU1319" s="12" t="s">
        <v>1937</v>
      </c>
      <c r="AW1319" s="90">
        <v>5</v>
      </c>
      <c r="AX1319" s="23">
        <f>VLOOKUP(AW1319,색인!$N$14:$O$19,2,FALSE)</f>
        <v>3</v>
      </c>
      <c r="AY1319" s="90" t="str">
        <f>"T"&amp;O1319&amp;"_"&amp;AX1319&amp;"옵션_"&amp;VLOOKUP(E1319,색인!$J$25:$K$29,2,FALSE)</f>
        <v>T6_3옵션_보조장비</v>
      </c>
      <c r="AZ1319" s="90">
        <f>VLOOKUP(G1319,색인!$J$32:$K$45,2,FALSE)</f>
        <v>2</v>
      </c>
      <c r="BA1319" s="90" t="str">
        <f>_xlfn.IFNA(VLOOKUP(AY1319,표1[[검색용]:[OptionGroupIndex'[']22]],EquipItemTable!AZ1319,FALSE),"옵션고정안함")</f>
        <v>6321</v>
      </c>
    </row>
    <row r="1320" spans="1:53" s="1" customFormat="1" ht="12" x14ac:dyDescent="0.2">
      <c r="A1320" s="13" t="s">
        <v>1262</v>
      </c>
      <c r="B1320" s="39">
        <v>71410</v>
      </c>
      <c r="C1320" s="42" t="s">
        <v>3820</v>
      </c>
      <c r="D1320" s="10" t="s">
        <v>86</v>
      </c>
      <c r="E1320" s="10" t="s">
        <v>501</v>
      </c>
      <c r="F1320" s="1" t="s">
        <v>311</v>
      </c>
      <c r="G1320" s="1" t="s">
        <v>1312</v>
      </c>
      <c r="J1320" s="27"/>
      <c r="K1320" s="27"/>
      <c r="L1320" s="27"/>
      <c r="M1320" s="27"/>
      <c r="N1320" s="8"/>
      <c r="O1320" s="12" t="s">
        <v>747</v>
      </c>
      <c r="P1320" s="1">
        <v>61</v>
      </c>
      <c r="AB1320" s="1">
        <v>958</v>
      </c>
      <c r="AC1320" s="82"/>
      <c r="AD1320" s="12" t="s">
        <v>864</v>
      </c>
      <c r="AE1320" s="39" t="str">
        <f t="shared" si="165"/>
        <v>6321</v>
      </c>
      <c r="AF1320" s="12"/>
      <c r="AG1320" s="29"/>
      <c r="AH1320" s="29"/>
      <c r="AI1320" s="12"/>
      <c r="AJ1320" s="12"/>
      <c r="AK1320" s="12"/>
      <c r="AL1320" s="12"/>
      <c r="AM1320" s="12"/>
      <c r="AN1320" s="12" t="s">
        <v>1215</v>
      </c>
      <c r="AO1320" s="12"/>
      <c r="AP1320" s="12"/>
      <c r="AQ1320" s="8"/>
      <c r="AR1320" s="34" t="s">
        <v>865</v>
      </c>
      <c r="AS1320" s="34" t="s">
        <v>865</v>
      </c>
      <c r="AT1320" s="85"/>
      <c r="AU1320" s="12" t="s">
        <v>1937</v>
      </c>
      <c r="AW1320" s="90">
        <v>5</v>
      </c>
      <c r="AX1320" s="23">
        <f>VLOOKUP(AW1320,색인!$N$14:$O$19,2,FALSE)</f>
        <v>3</v>
      </c>
      <c r="AY1320" s="90" t="str">
        <f>"T"&amp;O1320&amp;"_"&amp;AX1320&amp;"옵션_"&amp;VLOOKUP(E1320,색인!$J$25:$K$29,2,FALSE)</f>
        <v>T6_3옵션_보조장비</v>
      </c>
      <c r="AZ1320" s="90">
        <f>VLOOKUP(G1320,색인!$J$32:$K$45,2,FALSE)</f>
        <v>2</v>
      </c>
      <c r="BA1320" s="90" t="str">
        <f>_xlfn.IFNA(VLOOKUP(AY1320,표1[[검색용]:[OptionGroupIndex'[']22]],EquipItemTable!AZ1320,FALSE),"옵션고정안함")</f>
        <v>6321</v>
      </c>
    </row>
    <row r="1321" spans="1:53" s="1" customFormat="1" ht="12" x14ac:dyDescent="0.2">
      <c r="A1321" s="13" t="s">
        <v>1263</v>
      </c>
      <c r="B1321" s="39">
        <v>71411</v>
      </c>
      <c r="C1321" s="42" t="s">
        <v>3821</v>
      </c>
      <c r="D1321" s="10" t="s">
        <v>86</v>
      </c>
      <c r="E1321" s="10" t="s">
        <v>501</v>
      </c>
      <c r="F1321" s="1" t="s">
        <v>311</v>
      </c>
      <c r="G1321" s="1" t="s">
        <v>1312</v>
      </c>
      <c r="J1321" s="27"/>
      <c r="K1321" s="27"/>
      <c r="L1321" s="27"/>
      <c r="M1321" s="27"/>
      <c r="N1321" s="8"/>
      <c r="O1321" s="12" t="s">
        <v>747</v>
      </c>
      <c r="P1321" s="1">
        <v>61</v>
      </c>
      <c r="AB1321" s="1">
        <v>958</v>
      </c>
      <c r="AC1321" s="82"/>
      <c r="AD1321" s="12" t="s">
        <v>864</v>
      </c>
      <c r="AE1321" s="39" t="str">
        <f t="shared" si="165"/>
        <v>6321</v>
      </c>
      <c r="AF1321" s="12"/>
      <c r="AG1321" s="29"/>
      <c r="AH1321" s="29"/>
      <c r="AI1321" s="12"/>
      <c r="AJ1321" s="12"/>
      <c r="AK1321" s="12"/>
      <c r="AL1321" s="12"/>
      <c r="AM1321" s="12"/>
      <c r="AN1321" s="12" t="s">
        <v>1216</v>
      </c>
      <c r="AO1321" s="12"/>
      <c r="AP1321" s="12"/>
      <c r="AQ1321" s="8"/>
      <c r="AR1321" s="34" t="s">
        <v>865</v>
      </c>
      <c r="AS1321" s="34" t="s">
        <v>865</v>
      </c>
      <c r="AT1321" s="85"/>
      <c r="AU1321" s="12" t="s">
        <v>1937</v>
      </c>
      <c r="AW1321" s="90">
        <v>5</v>
      </c>
      <c r="AX1321" s="23">
        <f>VLOOKUP(AW1321,색인!$N$14:$O$19,2,FALSE)</f>
        <v>3</v>
      </c>
      <c r="AY1321" s="90" t="str">
        <f>"T"&amp;O1321&amp;"_"&amp;AX1321&amp;"옵션_"&amp;VLOOKUP(E1321,색인!$J$25:$K$29,2,FALSE)</f>
        <v>T6_3옵션_보조장비</v>
      </c>
      <c r="AZ1321" s="90">
        <f>VLOOKUP(G1321,색인!$J$32:$K$45,2,FALSE)</f>
        <v>2</v>
      </c>
      <c r="BA1321" s="90" t="str">
        <f>_xlfn.IFNA(VLOOKUP(AY1321,표1[[검색용]:[OptionGroupIndex'[']22]],EquipItemTable!AZ1321,FALSE),"옵션고정안함")</f>
        <v>6321</v>
      </c>
    </row>
    <row r="1322" spans="1:53" s="1" customFormat="1" ht="12" x14ac:dyDescent="0.2">
      <c r="A1322" s="24" t="s">
        <v>903</v>
      </c>
      <c r="B1322" s="39">
        <v>71601</v>
      </c>
      <c r="C1322" s="42" t="e">
        <v>#N/A</v>
      </c>
      <c r="D1322" s="10" t="s">
        <v>86</v>
      </c>
      <c r="E1322" s="10" t="s">
        <v>501</v>
      </c>
      <c r="F1322" s="1" t="s">
        <v>311</v>
      </c>
      <c r="G1322" s="1" t="s">
        <v>1312</v>
      </c>
      <c r="J1322" s="27"/>
      <c r="K1322" s="27"/>
      <c r="L1322" s="27"/>
      <c r="M1322" s="27"/>
      <c r="N1322" s="8"/>
      <c r="O1322" s="12" t="s">
        <v>881</v>
      </c>
      <c r="P1322" s="1">
        <v>31</v>
      </c>
      <c r="AB1322" s="1">
        <v>220</v>
      </c>
      <c r="AC1322" s="82"/>
      <c r="AD1322" s="12" t="s">
        <v>99</v>
      </c>
      <c r="AE1322" s="12" t="s">
        <v>881</v>
      </c>
      <c r="AF1322" s="12"/>
      <c r="AG1322" s="29"/>
      <c r="AH1322" s="29"/>
      <c r="AQ1322" s="85"/>
      <c r="AR1322" s="1">
        <v>1</v>
      </c>
      <c r="AS1322" s="1">
        <v>1</v>
      </c>
      <c r="AT1322" s="85"/>
      <c r="AU1322" s="12" t="s">
        <v>1938</v>
      </c>
      <c r="AW1322" s="90">
        <v>7</v>
      </c>
      <c r="AX1322" s="23"/>
      <c r="AY1322" s="23"/>
      <c r="AZ1322" s="23"/>
      <c r="BA1322" s="23"/>
    </row>
    <row r="1323" spans="1:53" s="1" customFormat="1" ht="12" x14ac:dyDescent="0.2">
      <c r="A1323" s="24" t="s">
        <v>904</v>
      </c>
      <c r="B1323" s="39">
        <v>71602</v>
      </c>
      <c r="C1323" s="42" t="e">
        <v>#N/A</v>
      </c>
      <c r="D1323" s="10" t="s">
        <v>86</v>
      </c>
      <c r="E1323" s="10" t="s">
        <v>501</v>
      </c>
      <c r="F1323" s="1" t="s">
        <v>311</v>
      </c>
      <c r="G1323" s="1" t="s">
        <v>1312</v>
      </c>
      <c r="J1323" s="27"/>
      <c r="K1323" s="27"/>
      <c r="L1323" s="27"/>
      <c r="M1323" s="27"/>
      <c r="N1323" s="8"/>
      <c r="O1323" s="12" t="s">
        <v>882</v>
      </c>
      <c r="P1323" s="1">
        <v>41</v>
      </c>
      <c r="AB1323" s="1">
        <v>426</v>
      </c>
      <c r="AC1323" s="82"/>
      <c r="AD1323" s="12" t="s">
        <v>99</v>
      </c>
      <c r="AE1323" s="12" t="s">
        <v>551</v>
      </c>
      <c r="AF1323" s="12"/>
      <c r="AG1323" s="29"/>
      <c r="AH1323" s="29"/>
      <c r="AQ1323" s="85"/>
      <c r="AR1323" s="1">
        <v>1</v>
      </c>
      <c r="AS1323" s="1">
        <v>1</v>
      </c>
      <c r="AT1323" s="85"/>
      <c r="AU1323" s="12" t="s">
        <v>1938</v>
      </c>
      <c r="AW1323" s="90">
        <v>7</v>
      </c>
      <c r="AX1323" s="23"/>
      <c r="AY1323" s="23"/>
      <c r="AZ1323" s="23"/>
      <c r="BA1323" s="23"/>
    </row>
    <row r="1324" spans="1:53" s="1" customFormat="1" ht="12" x14ac:dyDescent="0.2">
      <c r="A1324" s="24" t="s">
        <v>905</v>
      </c>
      <c r="B1324" s="39">
        <v>71603</v>
      </c>
      <c r="C1324" s="42" t="e">
        <v>#N/A</v>
      </c>
      <c r="D1324" s="10" t="s">
        <v>86</v>
      </c>
      <c r="E1324" s="10" t="s">
        <v>501</v>
      </c>
      <c r="F1324" s="1" t="s">
        <v>311</v>
      </c>
      <c r="G1324" s="1" t="s">
        <v>1312</v>
      </c>
      <c r="J1324" s="27"/>
      <c r="K1324" s="27"/>
      <c r="L1324" s="27"/>
      <c r="M1324" s="27"/>
      <c r="N1324" s="8"/>
      <c r="O1324" s="12" t="s">
        <v>430</v>
      </c>
      <c r="P1324" s="1">
        <v>51</v>
      </c>
      <c r="AB1324" s="1">
        <v>793</v>
      </c>
      <c r="AC1324" s="82"/>
      <c r="AD1324" s="12" t="s">
        <v>99</v>
      </c>
      <c r="AE1324" s="12" t="s">
        <v>430</v>
      </c>
      <c r="AF1324" s="12"/>
      <c r="AG1324" s="29"/>
      <c r="AH1324" s="29"/>
      <c r="AQ1324" s="85"/>
      <c r="AR1324" s="1">
        <v>1</v>
      </c>
      <c r="AS1324" s="1">
        <v>1</v>
      </c>
      <c r="AT1324" s="85"/>
      <c r="AU1324" s="12" t="s">
        <v>1938</v>
      </c>
      <c r="AW1324" s="90">
        <v>7</v>
      </c>
      <c r="AX1324" s="23"/>
      <c r="AY1324" s="23"/>
      <c r="AZ1324" s="23"/>
      <c r="BA1324" s="23"/>
    </row>
    <row r="1325" spans="1:53" s="1" customFormat="1" ht="12" x14ac:dyDescent="0.2">
      <c r="A1325" s="24" t="s">
        <v>906</v>
      </c>
      <c r="B1325" s="39">
        <v>71604</v>
      </c>
      <c r="C1325" s="42" t="e">
        <v>#N/A</v>
      </c>
      <c r="D1325" s="10" t="s">
        <v>86</v>
      </c>
      <c r="E1325" s="10" t="s">
        <v>501</v>
      </c>
      <c r="F1325" s="1" t="s">
        <v>311</v>
      </c>
      <c r="G1325" s="1" t="s">
        <v>1312</v>
      </c>
      <c r="J1325" s="27"/>
      <c r="K1325" s="27"/>
      <c r="L1325" s="27"/>
      <c r="M1325" s="27"/>
      <c r="N1325" s="8"/>
      <c r="O1325" s="12" t="s">
        <v>747</v>
      </c>
      <c r="P1325" s="1">
        <v>61</v>
      </c>
      <c r="AB1325" s="1">
        <v>1096</v>
      </c>
      <c r="AC1325" s="82"/>
      <c r="AD1325" s="12" t="s">
        <v>99</v>
      </c>
      <c r="AE1325" s="12" t="s">
        <v>430</v>
      </c>
      <c r="AF1325" s="12"/>
      <c r="AG1325" s="29"/>
      <c r="AH1325" s="29"/>
      <c r="AQ1325" s="85"/>
      <c r="AR1325" s="1">
        <v>1</v>
      </c>
      <c r="AS1325" s="1">
        <v>1</v>
      </c>
      <c r="AT1325" s="85"/>
      <c r="AU1325" s="12" t="s">
        <v>1938</v>
      </c>
      <c r="AW1325" s="90">
        <v>7</v>
      </c>
      <c r="AX1325" s="23"/>
      <c r="AY1325" s="23"/>
      <c r="AZ1325" s="23"/>
      <c r="BA1325" s="23"/>
    </row>
    <row r="1326" spans="1:53" s="1" customFormat="1" ht="12" x14ac:dyDescent="0.2">
      <c r="A1326" s="13" t="s">
        <v>1186</v>
      </c>
      <c r="B1326" s="39">
        <v>371001</v>
      </c>
      <c r="C1326" s="42" t="s">
        <v>3822</v>
      </c>
      <c r="D1326" s="10" t="s">
        <v>86</v>
      </c>
      <c r="E1326" s="10" t="s">
        <v>501</v>
      </c>
      <c r="F1326" s="1" t="s">
        <v>311</v>
      </c>
      <c r="G1326" s="1" t="s">
        <v>1312</v>
      </c>
      <c r="J1326" s="27"/>
      <c r="K1326" s="27"/>
      <c r="L1326" s="27"/>
      <c r="M1326" s="27"/>
      <c r="N1326" s="8"/>
      <c r="O1326" s="12" t="s">
        <v>747</v>
      </c>
      <c r="P1326" s="1">
        <v>61</v>
      </c>
      <c r="AB1326" s="1">
        <v>958</v>
      </c>
      <c r="AC1326" s="82"/>
      <c r="AD1326" s="12" t="s">
        <v>864</v>
      </c>
      <c r="AE1326" s="39" t="str">
        <f>BA1326</f>
        <v>6321</v>
      </c>
      <c r="AF1326" s="12"/>
      <c r="AG1326" s="29"/>
      <c r="AH1326" s="29"/>
      <c r="AI1326" s="12"/>
      <c r="AJ1326" s="12"/>
      <c r="AK1326" s="12"/>
      <c r="AL1326" s="12"/>
      <c r="AM1326" s="12"/>
      <c r="AN1326" s="12" t="s">
        <v>1199</v>
      </c>
      <c r="AO1326" s="12"/>
      <c r="AP1326" s="12"/>
      <c r="AQ1326" s="8"/>
      <c r="AR1326" s="34" t="s">
        <v>543</v>
      </c>
      <c r="AS1326" s="34" t="s">
        <v>543</v>
      </c>
      <c r="AT1326" s="85"/>
      <c r="AU1326" s="12" t="s">
        <v>1937</v>
      </c>
      <c r="AW1326" s="90">
        <v>5</v>
      </c>
      <c r="AX1326" s="23">
        <f>VLOOKUP(AW1326,색인!$N$14:$O$19,2,FALSE)</f>
        <v>3</v>
      </c>
      <c r="AY1326" s="90" t="str">
        <f>"T"&amp;O1326&amp;"_"&amp;AX1326&amp;"옵션_"&amp;VLOOKUP(E1326,색인!$J$25:$K$29,2,FALSE)</f>
        <v>T6_3옵션_보조장비</v>
      </c>
      <c r="AZ1326" s="90">
        <f>VLOOKUP(G1326,색인!$J$32:$K$45,2,FALSE)</f>
        <v>2</v>
      </c>
      <c r="BA1326" s="90" t="str">
        <f>_xlfn.IFNA(VLOOKUP(AY1326,표1[[검색용]:[OptionGroupIndex'[']22]],EquipItemTable!AZ1326,FALSE),"옵션고정안함")</f>
        <v>6321</v>
      </c>
    </row>
    <row r="1327" spans="1:53" s="1" customFormat="1" ht="12" x14ac:dyDescent="0.2">
      <c r="A1327" s="31" t="s">
        <v>1511</v>
      </c>
      <c r="B1327" s="39">
        <v>371002</v>
      </c>
      <c r="C1327" s="42" t="s">
        <v>3823</v>
      </c>
      <c r="D1327" s="10" t="s">
        <v>86</v>
      </c>
      <c r="E1327" s="10" t="s">
        <v>501</v>
      </c>
      <c r="F1327" s="1" t="s">
        <v>311</v>
      </c>
      <c r="G1327" s="1" t="s">
        <v>1312</v>
      </c>
      <c r="J1327" s="27"/>
      <c r="K1327" s="27"/>
      <c r="L1327" s="27"/>
      <c r="M1327" s="27"/>
      <c r="N1327" s="8"/>
      <c r="O1327" s="12" t="s">
        <v>747</v>
      </c>
      <c r="P1327" s="1">
        <v>61</v>
      </c>
      <c r="AB1327" s="1">
        <v>954</v>
      </c>
      <c r="AC1327" s="82"/>
      <c r="AD1327" s="12" t="s">
        <v>98</v>
      </c>
      <c r="AE1327" s="39" t="s">
        <v>430</v>
      </c>
      <c r="AF1327" s="12"/>
      <c r="AG1327" s="29"/>
      <c r="AH1327" s="29"/>
      <c r="AI1327" s="12"/>
      <c r="AJ1327" s="12"/>
      <c r="AK1327" s="12"/>
      <c r="AL1327" s="12"/>
      <c r="AM1327" s="12"/>
      <c r="AN1327" s="12" t="s">
        <v>1296</v>
      </c>
      <c r="AO1327" s="12"/>
      <c r="AP1327" s="12"/>
      <c r="AQ1327" s="8"/>
      <c r="AR1327" s="34" t="s">
        <v>94</v>
      </c>
      <c r="AS1327" s="34" t="s">
        <v>94</v>
      </c>
      <c r="AT1327" s="85"/>
      <c r="AU1327" s="12" t="s">
        <v>1936</v>
      </c>
      <c r="AW1327" s="90">
        <v>6</v>
      </c>
      <c r="AX1327" s="23">
        <f>VLOOKUP(AW1327,색인!$N$14:$O$19,2,FALSE)</f>
        <v>4</v>
      </c>
      <c r="AY1327" s="23" t="str">
        <f>"T"&amp;O1327&amp;"_"&amp;AX1327&amp;"옵션_"&amp;VLOOKUP(E1327,색인!$J$25:$K$29,2,FALSE)</f>
        <v>T6_4옵션_보조장비</v>
      </c>
      <c r="AZ1327" s="23">
        <f>VLOOKUP(G1327,색인!$J$32:$K$45,2,FALSE)</f>
        <v>2</v>
      </c>
      <c r="BA1327" s="23" t="str">
        <f>_xlfn.IFNA(VLOOKUP(AY1327,표1[[검색용]:[OptionGroupIndex'[']22]],EquipItemTable!AZ1327,FALSE),"옵션고정안함")</f>
        <v>6421</v>
      </c>
    </row>
    <row r="1328" spans="1:53" s="27" customFormat="1" ht="12" x14ac:dyDescent="0.2">
      <c r="A1328" s="25" t="s">
        <v>1512</v>
      </c>
      <c r="B1328" s="39">
        <v>71412</v>
      </c>
      <c r="C1328" s="42" t="s">
        <v>3824</v>
      </c>
      <c r="D1328" s="26" t="s">
        <v>86</v>
      </c>
      <c r="E1328" s="26" t="s">
        <v>501</v>
      </c>
      <c r="F1328" s="27" t="s">
        <v>311</v>
      </c>
      <c r="G1328" s="27" t="s">
        <v>1472</v>
      </c>
      <c r="N1328" s="8"/>
      <c r="O1328" s="29" t="s">
        <v>1338</v>
      </c>
      <c r="P1328" s="27">
        <v>71</v>
      </c>
      <c r="AB1328" s="27">
        <v>932</v>
      </c>
      <c r="AC1328" s="82"/>
      <c r="AD1328" s="29" t="s">
        <v>1377</v>
      </c>
      <c r="AE1328" s="29" t="s">
        <v>1337</v>
      </c>
      <c r="AF1328" s="29"/>
      <c r="AG1328" s="29"/>
      <c r="AH1328" s="29"/>
      <c r="AQ1328" s="85"/>
      <c r="AR1328" s="27">
        <v>1</v>
      </c>
      <c r="AS1328" s="27">
        <v>1</v>
      </c>
      <c r="AT1328" s="85"/>
      <c r="AU1328" s="29">
        <v>1001</v>
      </c>
      <c r="AW1328" s="91">
        <v>1</v>
      </c>
      <c r="AX1328" s="93"/>
      <c r="AY1328" s="93"/>
      <c r="AZ1328" s="93"/>
      <c r="BA1328" s="93"/>
    </row>
    <row r="1329" spans="1:53" s="27" customFormat="1" ht="12" x14ac:dyDescent="0.2">
      <c r="A1329" s="25" t="s">
        <v>1513</v>
      </c>
      <c r="B1329" s="39">
        <v>71413</v>
      </c>
      <c r="C1329" s="42" t="s">
        <v>3825</v>
      </c>
      <c r="D1329" s="26" t="s">
        <v>86</v>
      </c>
      <c r="E1329" s="26" t="s">
        <v>501</v>
      </c>
      <c r="F1329" s="27" t="s">
        <v>311</v>
      </c>
      <c r="G1329" s="27" t="s">
        <v>1472</v>
      </c>
      <c r="N1329" s="8"/>
      <c r="O1329" s="29" t="s">
        <v>1338</v>
      </c>
      <c r="P1329" s="27">
        <v>71</v>
      </c>
      <c r="AB1329" s="27">
        <v>1086</v>
      </c>
      <c r="AC1329" s="82"/>
      <c r="AD1329" s="29" t="s">
        <v>1377</v>
      </c>
      <c r="AE1329" s="92" t="str">
        <f t="shared" ref="AE1329:AE1338" si="166">BA1329</f>
        <v>7121</v>
      </c>
      <c r="AF1329" s="29"/>
      <c r="AG1329" s="29"/>
      <c r="AH1329" s="29"/>
      <c r="AQ1329" s="85"/>
      <c r="AR1329" s="27">
        <v>1</v>
      </c>
      <c r="AS1329" s="27">
        <v>1</v>
      </c>
      <c r="AT1329" s="85"/>
      <c r="AU1329" s="29" t="s">
        <v>1939</v>
      </c>
      <c r="AW1329" s="91">
        <v>2</v>
      </c>
      <c r="AX1329" s="93">
        <f>VLOOKUP(AW1329,색인!$N$14:$O$19,2,FALSE)</f>
        <v>1</v>
      </c>
      <c r="AY1329" s="91" t="str">
        <f>"T"&amp;O1329&amp;"_"&amp;AX1329&amp;"옵션_"&amp;VLOOKUP(E1329,색인!$J$25:$K$29,2,FALSE)</f>
        <v>T7_1옵션_보조장비</v>
      </c>
      <c r="AZ1329" s="91">
        <f>VLOOKUP(G1329,색인!$J$32:$K$45,2,FALSE)</f>
        <v>2</v>
      </c>
      <c r="BA1329" s="91" t="str">
        <f>_xlfn.IFNA(VLOOKUP(AY1329,표1[[검색용]:[OptionGroupIndex'[']22]],EquipItemTable!AZ1329,FALSE),"옵션고정안함")</f>
        <v>7121</v>
      </c>
    </row>
    <row r="1330" spans="1:53" s="27" customFormat="1" ht="12" x14ac:dyDescent="0.2">
      <c r="A1330" s="25" t="s">
        <v>1514</v>
      </c>
      <c r="B1330" s="39">
        <v>71414</v>
      </c>
      <c r="C1330" s="42" t="s">
        <v>3826</v>
      </c>
      <c r="D1330" s="26" t="s">
        <v>86</v>
      </c>
      <c r="E1330" s="26" t="s">
        <v>501</v>
      </c>
      <c r="F1330" s="27" t="s">
        <v>311</v>
      </c>
      <c r="G1330" s="27" t="s">
        <v>1472</v>
      </c>
      <c r="N1330" s="8"/>
      <c r="O1330" s="29" t="s">
        <v>1338</v>
      </c>
      <c r="P1330" s="27">
        <v>71</v>
      </c>
      <c r="AB1330" s="27">
        <v>1145</v>
      </c>
      <c r="AC1330" s="82"/>
      <c r="AD1330" s="29" t="s">
        <v>1377</v>
      </c>
      <c r="AE1330" s="92" t="str">
        <f t="shared" si="166"/>
        <v>7221</v>
      </c>
      <c r="AF1330" s="29"/>
      <c r="AG1330" s="29"/>
      <c r="AH1330" s="29"/>
      <c r="AQ1330" s="85"/>
      <c r="AR1330" s="27">
        <v>1</v>
      </c>
      <c r="AS1330" s="27">
        <v>1</v>
      </c>
      <c r="AT1330" s="85"/>
      <c r="AU1330" s="29" t="s">
        <v>1940</v>
      </c>
      <c r="AW1330" s="91">
        <v>3</v>
      </c>
      <c r="AX1330" s="93">
        <f>VLOOKUP(AW1330,색인!$N$14:$O$19,2,FALSE)</f>
        <v>2</v>
      </c>
      <c r="AY1330" s="91" t="str">
        <f>"T"&amp;O1330&amp;"_"&amp;AX1330&amp;"옵션_"&amp;VLOOKUP(E1330,색인!$J$25:$K$29,2,FALSE)</f>
        <v>T7_2옵션_보조장비</v>
      </c>
      <c r="AZ1330" s="91">
        <f>VLOOKUP(G1330,색인!$J$32:$K$45,2,FALSE)</f>
        <v>2</v>
      </c>
      <c r="BA1330" s="91" t="str">
        <f>_xlfn.IFNA(VLOOKUP(AY1330,표1[[검색용]:[OptionGroupIndex'[']22]],EquipItemTable!AZ1330,FALSE),"옵션고정안함")</f>
        <v>7221</v>
      </c>
    </row>
    <row r="1331" spans="1:53" s="27" customFormat="1" ht="12" x14ac:dyDescent="0.2">
      <c r="A1331" s="25" t="s">
        <v>1515</v>
      </c>
      <c r="B1331" s="39">
        <v>71415</v>
      </c>
      <c r="C1331" s="42" t="s">
        <v>3827</v>
      </c>
      <c r="D1331" s="26" t="s">
        <v>86</v>
      </c>
      <c r="E1331" s="26" t="s">
        <v>501</v>
      </c>
      <c r="F1331" s="27" t="s">
        <v>311</v>
      </c>
      <c r="G1331" s="27" t="s">
        <v>1472</v>
      </c>
      <c r="N1331" s="8"/>
      <c r="O1331" s="29" t="s">
        <v>1338</v>
      </c>
      <c r="P1331" s="27">
        <v>71</v>
      </c>
      <c r="AB1331" s="27">
        <v>1251</v>
      </c>
      <c r="AC1331" s="82"/>
      <c r="AD1331" s="29" t="s">
        <v>1377</v>
      </c>
      <c r="AE1331" s="92" t="str">
        <f t="shared" si="166"/>
        <v>7321</v>
      </c>
      <c r="AF1331" s="29"/>
      <c r="AG1331" s="29"/>
      <c r="AH1331" s="29"/>
      <c r="AQ1331" s="85"/>
      <c r="AR1331" s="27">
        <v>1</v>
      </c>
      <c r="AS1331" s="27">
        <v>1</v>
      </c>
      <c r="AT1331" s="85"/>
      <c r="AU1331" s="29" t="s">
        <v>1941</v>
      </c>
      <c r="AW1331" s="91">
        <v>4</v>
      </c>
      <c r="AX1331" s="93">
        <f>VLOOKUP(AW1331,색인!$N$14:$O$19,2,FALSE)</f>
        <v>3</v>
      </c>
      <c r="AY1331" s="91" t="str">
        <f>"T"&amp;O1331&amp;"_"&amp;AX1331&amp;"옵션_"&amp;VLOOKUP(E1331,색인!$J$25:$K$29,2,FALSE)</f>
        <v>T7_3옵션_보조장비</v>
      </c>
      <c r="AZ1331" s="91">
        <f>VLOOKUP(G1331,색인!$J$32:$K$45,2,FALSE)</f>
        <v>2</v>
      </c>
      <c r="BA1331" s="91" t="str">
        <f>_xlfn.IFNA(VLOOKUP(AY1331,표1[[검색용]:[OptionGroupIndex'[']22]],EquipItemTable!AZ1331,FALSE),"옵션고정안함")</f>
        <v>7321</v>
      </c>
    </row>
    <row r="1332" spans="1:53" s="27" customFormat="1" ht="12" x14ac:dyDescent="0.2">
      <c r="A1332" s="25" t="s">
        <v>1516</v>
      </c>
      <c r="B1332" s="39">
        <v>71416</v>
      </c>
      <c r="C1332" s="42" t="s">
        <v>3816</v>
      </c>
      <c r="D1332" s="26" t="s">
        <v>86</v>
      </c>
      <c r="E1332" s="26" t="s">
        <v>501</v>
      </c>
      <c r="F1332" s="27" t="s">
        <v>311</v>
      </c>
      <c r="G1332" s="27" t="s">
        <v>1472</v>
      </c>
      <c r="N1332" s="8"/>
      <c r="O1332" s="29" t="s">
        <v>1338</v>
      </c>
      <c r="P1332" s="27">
        <v>71</v>
      </c>
      <c r="AB1332" s="27">
        <v>1376</v>
      </c>
      <c r="AC1332" s="82"/>
      <c r="AD1332" s="29" t="s">
        <v>1377</v>
      </c>
      <c r="AE1332" s="92" t="str">
        <f t="shared" si="166"/>
        <v>7321</v>
      </c>
      <c r="AF1332" s="29"/>
      <c r="AG1332" s="29"/>
      <c r="AH1332" s="29"/>
      <c r="AN1332" s="27">
        <v>103</v>
      </c>
      <c r="AQ1332" s="85"/>
      <c r="AR1332" s="27">
        <v>1</v>
      </c>
      <c r="AS1332" s="27">
        <v>1</v>
      </c>
      <c r="AT1332" s="85"/>
      <c r="AU1332" s="29" t="s">
        <v>1942</v>
      </c>
      <c r="AW1332" s="91">
        <v>5</v>
      </c>
      <c r="AX1332" s="93">
        <f>VLOOKUP(AW1332,색인!$N$14:$O$19,2,FALSE)</f>
        <v>3</v>
      </c>
      <c r="AY1332" s="91" t="str">
        <f>"T"&amp;O1332&amp;"_"&amp;AX1332&amp;"옵션_"&amp;VLOOKUP(E1332,색인!$J$25:$K$29,2,FALSE)</f>
        <v>T7_3옵션_보조장비</v>
      </c>
      <c r="AZ1332" s="91">
        <f>VLOOKUP(G1332,색인!$J$32:$K$45,2,FALSE)</f>
        <v>2</v>
      </c>
      <c r="BA1332" s="91" t="str">
        <f>_xlfn.IFNA(VLOOKUP(AY1332,표1[[검색용]:[OptionGroupIndex'[']22]],EquipItemTable!AZ1332,FALSE),"옵션고정안함")</f>
        <v>7321</v>
      </c>
    </row>
    <row r="1333" spans="1:53" s="27" customFormat="1" ht="12" x14ac:dyDescent="0.2">
      <c r="A1333" s="25" t="s">
        <v>1517</v>
      </c>
      <c r="B1333" s="39">
        <v>71417</v>
      </c>
      <c r="C1333" s="42" t="s">
        <v>3818</v>
      </c>
      <c r="D1333" s="26" t="s">
        <v>86</v>
      </c>
      <c r="E1333" s="26" t="s">
        <v>501</v>
      </c>
      <c r="F1333" s="27" t="s">
        <v>311</v>
      </c>
      <c r="G1333" s="27" t="s">
        <v>1472</v>
      </c>
      <c r="N1333" s="8"/>
      <c r="O1333" s="29" t="s">
        <v>1338</v>
      </c>
      <c r="P1333" s="27">
        <v>71</v>
      </c>
      <c r="AB1333" s="27">
        <v>1376</v>
      </c>
      <c r="AC1333" s="82"/>
      <c r="AD1333" s="29" t="s">
        <v>1377</v>
      </c>
      <c r="AE1333" s="92" t="str">
        <f t="shared" si="166"/>
        <v>7321</v>
      </c>
      <c r="AF1333" s="29"/>
      <c r="AG1333" s="29"/>
      <c r="AH1333" s="29"/>
      <c r="AN1333" s="27">
        <v>202</v>
      </c>
      <c r="AQ1333" s="85"/>
      <c r="AR1333" s="27">
        <v>1</v>
      </c>
      <c r="AS1333" s="27">
        <v>1</v>
      </c>
      <c r="AT1333" s="85"/>
      <c r="AU1333" s="29" t="s">
        <v>1942</v>
      </c>
      <c r="AW1333" s="91">
        <v>5</v>
      </c>
      <c r="AX1333" s="93">
        <f>VLOOKUP(AW1333,색인!$N$14:$O$19,2,FALSE)</f>
        <v>3</v>
      </c>
      <c r="AY1333" s="91" t="str">
        <f>"T"&amp;O1333&amp;"_"&amp;AX1333&amp;"옵션_"&amp;VLOOKUP(E1333,색인!$J$25:$K$29,2,FALSE)</f>
        <v>T7_3옵션_보조장비</v>
      </c>
      <c r="AZ1333" s="91">
        <f>VLOOKUP(G1333,색인!$J$32:$K$45,2,FALSE)</f>
        <v>2</v>
      </c>
      <c r="BA1333" s="91" t="str">
        <f>_xlfn.IFNA(VLOOKUP(AY1333,표1[[검색용]:[OptionGroupIndex'[']22]],EquipItemTable!AZ1333,FALSE),"옵션고정안함")</f>
        <v>7321</v>
      </c>
    </row>
    <row r="1334" spans="1:53" s="27" customFormat="1" ht="12" x14ac:dyDescent="0.2">
      <c r="A1334" s="25" t="s">
        <v>1518</v>
      </c>
      <c r="B1334" s="39">
        <v>71418</v>
      </c>
      <c r="C1334" s="42" t="s">
        <v>3819</v>
      </c>
      <c r="D1334" s="26" t="s">
        <v>86</v>
      </c>
      <c r="E1334" s="26" t="s">
        <v>501</v>
      </c>
      <c r="F1334" s="27" t="s">
        <v>311</v>
      </c>
      <c r="G1334" s="27" t="s">
        <v>1472</v>
      </c>
      <c r="N1334" s="8"/>
      <c r="O1334" s="29" t="s">
        <v>1338</v>
      </c>
      <c r="P1334" s="27">
        <v>71</v>
      </c>
      <c r="AB1334" s="27">
        <v>1376</v>
      </c>
      <c r="AC1334" s="82"/>
      <c r="AD1334" s="29" t="s">
        <v>1377</v>
      </c>
      <c r="AE1334" s="92" t="str">
        <f t="shared" si="166"/>
        <v>7321</v>
      </c>
      <c r="AF1334" s="29"/>
      <c r="AG1334" s="29"/>
      <c r="AH1334" s="29"/>
      <c r="AN1334" s="27">
        <v>203</v>
      </c>
      <c r="AQ1334" s="85"/>
      <c r="AR1334" s="27">
        <v>1</v>
      </c>
      <c r="AS1334" s="27">
        <v>1</v>
      </c>
      <c r="AT1334" s="85"/>
      <c r="AU1334" s="29" t="s">
        <v>1942</v>
      </c>
      <c r="AW1334" s="91">
        <v>5</v>
      </c>
      <c r="AX1334" s="93">
        <f>VLOOKUP(AW1334,색인!$N$14:$O$19,2,FALSE)</f>
        <v>3</v>
      </c>
      <c r="AY1334" s="91" t="str">
        <f>"T"&amp;O1334&amp;"_"&amp;AX1334&amp;"옵션_"&amp;VLOOKUP(E1334,색인!$J$25:$K$29,2,FALSE)</f>
        <v>T7_3옵션_보조장비</v>
      </c>
      <c r="AZ1334" s="91">
        <f>VLOOKUP(G1334,색인!$J$32:$K$45,2,FALSE)</f>
        <v>2</v>
      </c>
      <c r="BA1334" s="91" t="str">
        <f>_xlfn.IFNA(VLOOKUP(AY1334,표1[[검색용]:[OptionGroupIndex'[']22]],EquipItemTable!AZ1334,FALSE),"옵션고정안함")</f>
        <v>7321</v>
      </c>
    </row>
    <row r="1335" spans="1:53" s="27" customFormat="1" ht="12" x14ac:dyDescent="0.2">
      <c r="A1335" s="25" t="s">
        <v>1519</v>
      </c>
      <c r="B1335" s="39">
        <v>71419</v>
      </c>
      <c r="C1335" s="42" t="s">
        <v>3820</v>
      </c>
      <c r="D1335" s="26" t="s">
        <v>86</v>
      </c>
      <c r="E1335" s="26" t="s">
        <v>501</v>
      </c>
      <c r="F1335" s="27" t="s">
        <v>311</v>
      </c>
      <c r="G1335" s="27" t="s">
        <v>1472</v>
      </c>
      <c r="N1335" s="8"/>
      <c r="O1335" s="29" t="s">
        <v>1338</v>
      </c>
      <c r="P1335" s="27">
        <v>71</v>
      </c>
      <c r="AB1335" s="27">
        <v>1376</v>
      </c>
      <c r="AC1335" s="82"/>
      <c r="AD1335" s="29" t="s">
        <v>1377</v>
      </c>
      <c r="AE1335" s="92" t="str">
        <f t="shared" si="166"/>
        <v>7321</v>
      </c>
      <c r="AF1335" s="29"/>
      <c r="AG1335" s="29"/>
      <c r="AH1335" s="29"/>
      <c r="AN1335" s="27">
        <v>204</v>
      </c>
      <c r="AQ1335" s="85"/>
      <c r="AR1335" s="27">
        <v>1</v>
      </c>
      <c r="AS1335" s="27">
        <v>1</v>
      </c>
      <c r="AT1335" s="85"/>
      <c r="AU1335" s="29" t="s">
        <v>1942</v>
      </c>
      <c r="AW1335" s="91">
        <v>5</v>
      </c>
      <c r="AX1335" s="93">
        <f>VLOOKUP(AW1335,색인!$N$14:$O$19,2,FALSE)</f>
        <v>3</v>
      </c>
      <c r="AY1335" s="91" t="str">
        <f>"T"&amp;O1335&amp;"_"&amp;AX1335&amp;"옵션_"&amp;VLOOKUP(E1335,색인!$J$25:$K$29,2,FALSE)</f>
        <v>T7_3옵션_보조장비</v>
      </c>
      <c r="AZ1335" s="91">
        <f>VLOOKUP(G1335,색인!$J$32:$K$45,2,FALSE)</f>
        <v>2</v>
      </c>
      <c r="BA1335" s="91" t="str">
        <f>_xlfn.IFNA(VLOOKUP(AY1335,표1[[검색용]:[OptionGroupIndex'[']22]],EquipItemTable!AZ1335,FALSE),"옵션고정안함")</f>
        <v>7321</v>
      </c>
    </row>
    <row r="1336" spans="1:53" s="27" customFormat="1" ht="12" x14ac:dyDescent="0.2">
      <c r="A1336" s="25" t="s">
        <v>1520</v>
      </c>
      <c r="B1336" s="39">
        <v>71420</v>
      </c>
      <c r="C1336" s="42" t="s">
        <v>3821</v>
      </c>
      <c r="D1336" s="26" t="s">
        <v>86</v>
      </c>
      <c r="E1336" s="26" t="s">
        <v>501</v>
      </c>
      <c r="F1336" s="27" t="s">
        <v>311</v>
      </c>
      <c r="G1336" s="27" t="s">
        <v>1472</v>
      </c>
      <c r="J1336" s="1"/>
      <c r="K1336" s="1"/>
      <c r="L1336" s="1"/>
      <c r="M1336" s="1"/>
      <c r="N1336" s="8"/>
      <c r="O1336" s="29" t="s">
        <v>1338</v>
      </c>
      <c r="P1336" s="27">
        <v>71</v>
      </c>
      <c r="AB1336" s="27">
        <v>1376</v>
      </c>
      <c r="AC1336" s="82"/>
      <c r="AD1336" s="29" t="s">
        <v>1377</v>
      </c>
      <c r="AE1336" s="92" t="str">
        <f t="shared" si="166"/>
        <v>7321</v>
      </c>
      <c r="AF1336" s="29"/>
      <c r="AG1336" s="12"/>
      <c r="AH1336" s="12"/>
      <c r="AN1336" s="27">
        <v>205</v>
      </c>
      <c r="AQ1336" s="85"/>
      <c r="AR1336" s="27">
        <v>1</v>
      </c>
      <c r="AS1336" s="27">
        <v>1</v>
      </c>
      <c r="AT1336" s="85"/>
      <c r="AU1336" s="29" t="s">
        <v>1942</v>
      </c>
      <c r="AW1336" s="91">
        <v>5</v>
      </c>
      <c r="AX1336" s="93">
        <f>VLOOKUP(AW1336,색인!$N$14:$O$19,2,FALSE)</f>
        <v>3</v>
      </c>
      <c r="AY1336" s="91" t="str">
        <f>"T"&amp;O1336&amp;"_"&amp;AX1336&amp;"옵션_"&amp;VLOOKUP(E1336,색인!$J$25:$K$29,2,FALSE)</f>
        <v>T7_3옵션_보조장비</v>
      </c>
      <c r="AZ1336" s="91">
        <f>VLOOKUP(G1336,색인!$J$32:$K$45,2,FALSE)</f>
        <v>2</v>
      </c>
      <c r="BA1336" s="91" t="str">
        <f>_xlfn.IFNA(VLOOKUP(AY1336,표1[[검색용]:[OptionGroupIndex'[']22]],EquipItemTable!AZ1336,FALSE),"옵션고정안함")</f>
        <v>7321</v>
      </c>
    </row>
    <row r="1337" spans="1:53" s="27" customFormat="1" ht="12" x14ac:dyDescent="0.2">
      <c r="A1337" s="25" t="s">
        <v>1521</v>
      </c>
      <c r="B1337" s="39">
        <v>71421</v>
      </c>
      <c r="C1337" s="42" t="s">
        <v>3828</v>
      </c>
      <c r="D1337" s="26" t="s">
        <v>86</v>
      </c>
      <c r="E1337" s="26" t="s">
        <v>501</v>
      </c>
      <c r="F1337" s="27" t="s">
        <v>311</v>
      </c>
      <c r="G1337" s="27" t="s">
        <v>1472</v>
      </c>
      <c r="J1337" s="1"/>
      <c r="K1337" s="1"/>
      <c r="L1337" s="1"/>
      <c r="M1337" s="1"/>
      <c r="N1337" s="8"/>
      <c r="O1337" s="29" t="s">
        <v>1338</v>
      </c>
      <c r="P1337" s="27">
        <v>71</v>
      </c>
      <c r="AB1337" s="27">
        <v>1376</v>
      </c>
      <c r="AC1337" s="82"/>
      <c r="AD1337" s="29" t="s">
        <v>1377</v>
      </c>
      <c r="AE1337" s="92" t="str">
        <f t="shared" si="166"/>
        <v>7321</v>
      </c>
      <c r="AF1337" s="29"/>
      <c r="AG1337" s="12"/>
      <c r="AH1337" s="12"/>
      <c r="AN1337" s="27">
        <v>206</v>
      </c>
      <c r="AQ1337" s="85"/>
      <c r="AR1337" s="27">
        <v>1</v>
      </c>
      <c r="AS1337" s="27">
        <v>1</v>
      </c>
      <c r="AT1337" s="85"/>
      <c r="AU1337" s="29" t="s">
        <v>1942</v>
      </c>
      <c r="AW1337" s="91">
        <v>5</v>
      </c>
      <c r="AX1337" s="93">
        <f>VLOOKUP(AW1337,색인!$N$14:$O$19,2,FALSE)</f>
        <v>3</v>
      </c>
      <c r="AY1337" s="91" t="str">
        <f>"T"&amp;O1337&amp;"_"&amp;AX1337&amp;"옵션_"&amp;VLOOKUP(E1337,색인!$J$25:$K$29,2,FALSE)</f>
        <v>T7_3옵션_보조장비</v>
      </c>
      <c r="AZ1337" s="91">
        <f>VLOOKUP(G1337,색인!$J$32:$K$45,2,FALSE)</f>
        <v>2</v>
      </c>
      <c r="BA1337" s="91" t="str">
        <f>_xlfn.IFNA(VLOOKUP(AY1337,표1[[검색용]:[OptionGroupIndex'[']22]],EquipItemTable!AZ1337,FALSE),"옵션고정안함")</f>
        <v>7321</v>
      </c>
    </row>
    <row r="1338" spans="1:53" s="27" customFormat="1" ht="12" x14ac:dyDescent="0.2">
      <c r="A1338" s="25" t="s">
        <v>1522</v>
      </c>
      <c r="B1338" s="39">
        <v>71422</v>
      </c>
      <c r="C1338" s="42" t="s">
        <v>3829</v>
      </c>
      <c r="D1338" s="26" t="s">
        <v>86</v>
      </c>
      <c r="E1338" s="26" t="s">
        <v>501</v>
      </c>
      <c r="F1338" s="27" t="s">
        <v>311</v>
      </c>
      <c r="G1338" s="27" t="s">
        <v>1472</v>
      </c>
      <c r="J1338" s="1"/>
      <c r="K1338" s="1"/>
      <c r="L1338" s="1"/>
      <c r="M1338" s="1"/>
      <c r="N1338" s="8"/>
      <c r="O1338" s="29" t="s">
        <v>1338</v>
      </c>
      <c r="P1338" s="27">
        <v>71</v>
      </c>
      <c r="AB1338" s="27">
        <v>1376</v>
      </c>
      <c r="AC1338" s="82"/>
      <c r="AD1338" s="29" t="s">
        <v>1377</v>
      </c>
      <c r="AE1338" s="92" t="str">
        <f t="shared" si="166"/>
        <v>7321</v>
      </c>
      <c r="AF1338" s="29"/>
      <c r="AG1338" s="12"/>
      <c r="AH1338" s="12"/>
      <c r="AN1338" s="27">
        <v>207</v>
      </c>
      <c r="AQ1338" s="85"/>
      <c r="AR1338" s="27">
        <v>1</v>
      </c>
      <c r="AS1338" s="27">
        <v>1</v>
      </c>
      <c r="AT1338" s="85"/>
      <c r="AU1338" s="29" t="s">
        <v>1942</v>
      </c>
      <c r="AW1338" s="91">
        <v>5</v>
      </c>
      <c r="AX1338" s="93">
        <f>VLOOKUP(AW1338,색인!$N$14:$O$19,2,FALSE)</f>
        <v>3</v>
      </c>
      <c r="AY1338" s="91" t="str">
        <f>"T"&amp;O1338&amp;"_"&amp;AX1338&amp;"옵션_"&amp;VLOOKUP(E1338,색인!$J$25:$K$29,2,FALSE)</f>
        <v>T7_3옵션_보조장비</v>
      </c>
      <c r="AZ1338" s="91">
        <f>VLOOKUP(G1338,색인!$J$32:$K$45,2,FALSE)</f>
        <v>2</v>
      </c>
      <c r="BA1338" s="91" t="str">
        <f>_xlfn.IFNA(VLOOKUP(AY1338,표1[[검색용]:[OptionGroupIndex'[']22]],EquipItemTable!AZ1338,FALSE),"옵션고정안함")</f>
        <v>7321</v>
      </c>
    </row>
    <row r="1339" spans="1:53" s="27" customFormat="1" ht="12" x14ac:dyDescent="0.2">
      <c r="A1339" s="25" t="s">
        <v>1523</v>
      </c>
      <c r="B1339" s="39">
        <v>71423</v>
      </c>
      <c r="C1339" s="42" t="s">
        <v>3800</v>
      </c>
      <c r="D1339" s="26" t="s">
        <v>86</v>
      </c>
      <c r="E1339" s="26" t="s">
        <v>501</v>
      </c>
      <c r="F1339" s="27" t="s">
        <v>311</v>
      </c>
      <c r="G1339" s="27" t="s">
        <v>1472</v>
      </c>
      <c r="J1339" s="1"/>
      <c r="K1339" s="1"/>
      <c r="L1339" s="1"/>
      <c r="M1339" s="1"/>
      <c r="N1339" s="8"/>
      <c r="O1339" s="29" t="s">
        <v>1338</v>
      </c>
      <c r="P1339" s="27">
        <v>71</v>
      </c>
      <c r="AB1339" s="27">
        <v>1421</v>
      </c>
      <c r="AC1339" s="82"/>
      <c r="AD1339" s="29" t="s">
        <v>1377</v>
      </c>
      <c r="AE1339" s="92" t="str">
        <f>BA1339</f>
        <v>7421</v>
      </c>
      <c r="AF1339" s="29" t="s">
        <v>2185</v>
      </c>
      <c r="AG1339" s="12"/>
      <c r="AH1339" s="12"/>
      <c r="AN1339" s="27">
        <v>1</v>
      </c>
      <c r="AQ1339" s="85"/>
      <c r="AR1339" s="27">
        <v>1</v>
      </c>
      <c r="AS1339" s="27">
        <v>1</v>
      </c>
      <c r="AT1339" s="85"/>
      <c r="AU1339" s="12" t="s">
        <v>1936</v>
      </c>
      <c r="AW1339" s="91">
        <v>6</v>
      </c>
      <c r="AX1339" s="93">
        <f>VLOOKUP(AW1339,색인!$N$14:$O$19,2,FALSE)</f>
        <v>4</v>
      </c>
      <c r="AY1339" s="93" t="str">
        <f>"T"&amp;O1339&amp;"_"&amp;AX1339&amp;"옵션_"&amp;VLOOKUP(E1339,색인!$J$25:$K$29,2,FALSE)</f>
        <v>T7_4옵션_보조장비</v>
      </c>
      <c r="AZ1339" s="93">
        <f>VLOOKUP(G1339,색인!$J$32:$K$45,2,FALSE)</f>
        <v>2</v>
      </c>
      <c r="BA1339" s="93" t="str">
        <f>_xlfn.IFNA(VLOOKUP(AY1339,표1[[검색용]:[OptionGroupIndex'[']22]],EquipItemTable!AZ1339,FALSE),"옵션고정안함")</f>
        <v>7421</v>
      </c>
    </row>
    <row r="1340" spans="1:53" s="27" customFormat="1" ht="12" x14ac:dyDescent="0.2">
      <c r="A1340" s="25" t="s">
        <v>1524</v>
      </c>
      <c r="B1340" s="39">
        <v>71424</v>
      </c>
      <c r="C1340" s="42" t="s">
        <v>3801</v>
      </c>
      <c r="D1340" s="26" t="s">
        <v>86</v>
      </c>
      <c r="E1340" s="26" t="s">
        <v>501</v>
      </c>
      <c r="F1340" s="27" t="s">
        <v>311</v>
      </c>
      <c r="G1340" s="27" t="s">
        <v>1472</v>
      </c>
      <c r="J1340" s="1"/>
      <c r="K1340" s="1"/>
      <c r="L1340" s="1"/>
      <c r="M1340" s="1"/>
      <c r="N1340" s="8"/>
      <c r="O1340" s="29" t="s">
        <v>1338</v>
      </c>
      <c r="P1340" s="27">
        <v>71</v>
      </c>
      <c r="AB1340" s="27">
        <v>1421</v>
      </c>
      <c r="AC1340" s="82"/>
      <c r="AD1340" s="29" t="s">
        <v>1377</v>
      </c>
      <c r="AE1340" s="92" t="str">
        <f>BA1340</f>
        <v>7421</v>
      </c>
      <c r="AF1340" s="29" t="s">
        <v>2185</v>
      </c>
      <c r="AG1340" s="12"/>
      <c r="AH1340" s="12"/>
      <c r="AN1340" s="27">
        <v>2</v>
      </c>
      <c r="AQ1340" s="85"/>
      <c r="AR1340" s="27">
        <v>1</v>
      </c>
      <c r="AS1340" s="27">
        <v>1</v>
      </c>
      <c r="AT1340" s="85"/>
      <c r="AU1340" s="12" t="s">
        <v>1936</v>
      </c>
      <c r="AW1340" s="91">
        <v>6</v>
      </c>
      <c r="AX1340" s="93">
        <f>VLOOKUP(AW1340,색인!$N$14:$O$19,2,FALSE)</f>
        <v>4</v>
      </c>
      <c r="AY1340" s="93" t="str">
        <f>"T"&amp;O1340&amp;"_"&amp;AX1340&amp;"옵션_"&amp;VLOOKUP(E1340,색인!$J$25:$K$29,2,FALSE)</f>
        <v>T7_4옵션_보조장비</v>
      </c>
      <c r="AZ1340" s="93">
        <f>VLOOKUP(G1340,색인!$J$32:$K$45,2,FALSE)</f>
        <v>2</v>
      </c>
      <c r="BA1340" s="93" t="str">
        <f>_xlfn.IFNA(VLOOKUP(AY1340,표1[[검색용]:[OptionGroupIndex'[']22]],EquipItemTable!AZ1340,FALSE),"옵션고정안함")</f>
        <v>7421</v>
      </c>
    </row>
    <row r="1341" spans="1:53" s="27" customFormat="1" ht="12" x14ac:dyDescent="0.2">
      <c r="A1341" s="25" t="s">
        <v>1525</v>
      </c>
      <c r="B1341" s="39">
        <v>71425</v>
      </c>
      <c r="C1341" s="42" t="s">
        <v>3802</v>
      </c>
      <c r="D1341" s="26" t="s">
        <v>86</v>
      </c>
      <c r="E1341" s="26" t="s">
        <v>501</v>
      </c>
      <c r="F1341" s="27" t="s">
        <v>311</v>
      </c>
      <c r="G1341" s="27" t="s">
        <v>1472</v>
      </c>
      <c r="J1341" s="1"/>
      <c r="K1341" s="1"/>
      <c r="L1341" s="1"/>
      <c r="M1341" s="1"/>
      <c r="N1341" s="8"/>
      <c r="O1341" s="29" t="s">
        <v>1338</v>
      </c>
      <c r="P1341" s="27">
        <v>71</v>
      </c>
      <c r="AB1341" s="27">
        <v>1421</v>
      </c>
      <c r="AC1341" s="82"/>
      <c r="AD1341" s="29" t="s">
        <v>1377</v>
      </c>
      <c r="AE1341" s="92" t="str">
        <f>BA1341</f>
        <v>7421</v>
      </c>
      <c r="AF1341" s="29" t="s">
        <v>2185</v>
      </c>
      <c r="AG1341" s="12"/>
      <c r="AH1341" s="12"/>
      <c r="AN1341" s="27">
        <v>3</v>
      </c>
      <c r="AQ1341" s="85"/>
      <c r="AR1341" s="27">
        <v>1</v>
      </c>
      <c r="AS1341" s="27">
        <v>1</v>
      </c>
      <c r="AT1341" s="85"/>
      <c r="AU1341" s="12" t="s">
        <v>1936</v>
      </c>
      <c r="AW1341" s="91">
        <v>6</v>
      </c>
      <c r="AX1341" s="93">
        <f>VLOOKUP(AW1341,색인!$N$14:$O$19,2,FALSE)</f>
        <v>4</v>
      </c>
      <c r="AY1341" s="93" t="str">
        <f>"T"&amp;O1341&amp;"_"&amp;AX1341&amp;"옵션_"&amp;VLOOKUP(E1341,색인!$J$25:$K$29,2,FALSE)</f>
        <v>T7_4옵션_보조장비</v>
      </c>
      <c r="AZ1341" s="93">
        <f>VLOOKUP(G1341,색인!$J$32:$K$45,2,FALSE)</f>
        <v>2</v>
      </c>
      <c r="BA1341" s="93" t="str">
        <f>_xlfn.IFNA(VLOOKUP(AY1341,표1[[검색용]:[OptionGroupIndex'[']22]],EquipItemTable!AZ1341,FALSE),"옵션고정안함")</f>
        <v>7421</v>
      </c>
    </row>
    <row r="1342" spans="1:53" s="27" customFormat="1" ht="12" x14ac:dyDescent="0.2">
      <c r="A1342" s="25" t="s">
        <v>1526</v>
      </c>
      <c r="B1342" s="39">
        <v>71426</v>
      </c>
      <c r="C1342" s="42" t="s">
        <v>3803</v>
      </c>
      <c r="D1342" s="26" t="s">
        <v>86</v>
      </c>
      <c r="E1342" s="26" t="s">
        <v>501</v>
      </c>
      <c r="F1342" s="27" t="s">
        <v>311</v>
      </c>
      <c r="G1342" s="27" t="s">
        <v>1472</v>
      </c>
      <c r="J1342" s="1"/>
      <c r="K1342" s="1"/>
      <c r="L1342" s="1"/>
      <c r="M1342" s="1"/>
      <c r="N1342" s="8"/>
      <c r="O1342" s="29" t="s">
        <v>1338</v>
      </c>
      <c r="P1342" s="27">
        <v>71</v>
      </c>
      <c r="AB1342" s="27">
        <v>1421</v>
      </c>
      <c r="AC1342" s="82"/>
      <c r="AD1342" s="29" t="s">
        <v>1377</v>
      </c>
      <c r="AE1342" s="92" t="str">
        <f>BA1342</f>
        <v>7421</v>
      </c>
      <c r="AF1342" s="29" t="s">
        <v>2185</v>
      </c>
      <c r="AG1342" s="12"/>
      <c r="AH1342" s="12"/>
      <c r="AN1342" s="27">
        <v>4</v>
      </c>
      <c r="AQ1342" s="85"/>
      <c r="AR1342" s="27">
        <v>1</v>
      </c>
      <c r="AS1342" s="27">
        <v>1</v>
      </c>
      <c r="AT1342" s="85"/>
      <c r="AU1342" s="12" t="s">
        <v>1936</v>
      </c>
      <c r="AW1342" s="91">
        <v>6</v>
      </c>
      <c r="AX1342" s="93">
        <f>VLOOKUP(AW1342,색인!$N$14:$O$19,2,FALSE)</f>
        <v>4</v>
      </c>
      <c r="AY1342" s="93" t="str">
        <f>"T"&amp;O1342&amp;"_"&amp;AX1342&amp;"옵션_"&amp;VLOOKUP(E1342,색인!$J$25:$K$29,2,FALSE)</f>
        <v>T7_4옵션_보조장비</v>
      </c>
      <c r="AZ1342" s="93">
        <f>VLOOKUP(G1342,색인!$J$32:$K$45,2,FALSE)</f>
        <v>2</v>
      </c>
      <c r="BA1342" s="93" t="str">
        <f>_xlfn.IFNA(VLOOKUP(AY1342,표1[[검색용]:[OptionGroupIndex'[']22]],EquipItemTable!AZ1342,FALSE),"옵션고정안함")</f>
        <v>7421</v>
      </c>
    </row>
    <row r="1343" spans="1:53" s="27" customFormat="1" ht="12" x14ac:dyDescent="0.2">
      <c r="A1343" s="30" t="s">
        <v>1527</v>
      </c>
      <c r="B1343" s="39">
        <v>71605</v>
      </c>
      <c r="C1343" s="42" t="e">
        <v>#N/A</v>
      </c>
      <c r="D1343" s="26" t="s">
        <v>86</v>
      </c>
      <c r="E1343" s="26" t="s">
        <v>501</v>
      </c>
      <c r="F1343" s="27" t="s">
        <v>311</v>
      </c>
      <c r="G1343" s="27" t="s">
        <v>1472</v>
      </c>
      <c r="J1343" s="1"/>
      <c r="K1343" s="1"/>
      <c r="L1343" s="1"/>
      <c r="M1343" s="1"/>
      <c r="N1343" s="8"/>
      <c r="O1343" s="29" t="s">
        <v>1338</v>
      </c>
      <c r="P1343" s="27">
        <v>71</v>
      </c>
      <c r="AB1343" s="27">
        <v>1421</v>
      </c>
      <c r="AC1343" s="82"/>
      <c r="AD1343" s="29" t="s">
        <v>1377</v>
      </c>
      <c r="AE1343" s="29" t="s">
        <v>1337</v>
      </c>
      <c r="AF1343" s="29"/>
      <c r="AG1343" s="12"/>
      <c r="AH1343" s="12"/>
      <c r="AQ1343" s="85"/>
      <c r="AR1343" s="27">
        <v>1</v>
      </c>
      <c r="AS1343" s="27">
        <v>1</v>
      </c>
      <c r="AT1343" s="85"/>
      <c r="AU1343" s="29" t="s">
        <v>1944</v>
      </c>
      <c r="AW1343" s="91">
        <v>7</v>
      </c>
      <c r="AX1343" s="93"/>
      <c r="AY1343" s="93"/>
      <c r="AZ1343" s="93"/>
      <c r="BA1343" s="93"/>
    </row>
    <row r="1344" spans="1:53" s="27" customFormat="1" ht="12" x14ac:dyDescent="0.2">
      <c r="A1344" s="25" t="s">
        <v>1528</v>
      </c>
      <c r="B1344" s="39">
        <v>371003</v>
      </c>
      <c r="C1344" s="42" t="s">
        <v>3822</v>
      </c>
      <c r="D1344" s="26" t="s">
        <v>86</v>
      </c>
      <c r="E1344" s="26" t="s">
        <v>501</v>
      </c>
      <c r="F1344" s="27" t="s">
        <v>311</v>
      </c>
      <c r="G1344" s="27" t="s">
        <v>1472</v>
      </c>
      <c r="J1344" s="1"/>
      <c r="K1344" s="1"/>
      <c r="L1344" s="1"/>
      <c r="M1344" s="1"/>
      <c r="N1344" s="8"/>
      <c r="O1344" s="29" t="s">
        <v>1338</v>
      </c>
      <c r="P1344" s="27">
        <v>71</v>
      </c>
      <c r="AB1344" s="27">
        <v>1376</v>
      </c>
      <c r="AC1344" s="82"/>
      <c r="AD1344" s="29" t="s">
        <v>1377</v>
      </c>
      <c r="AE1344" s="92" t="str">
        <f>BA1344</f>
        <v>7321</v>
      </c>
      <c r="AF1344" s="29"/>
      <c r="AG1344" s="23"/>
      <c r="AH1344" s="23"/>
      <c r="AN1344" s="27">
        <v>101</v>
      </c>
      <c r="AQ1344" s="85"/>
      <c r="AR1344" s="27">
        <v>1</v>
      </c>
      <c r="AS1344" s="27">
        <v>1</v>
      </c>
      <c r="AT1344" s="85"/>
      <c r="AU1344" s="29" t="s">
        <v>1942</v>
      </c>
      <c r="AW1344" s="91">
        <v>5</v>
      </c>
      <c r="AX1344" s="93">
        <f>VLOOKUP(AW1344,색인!$N$14:$O$19,2,FALSE)</f>
        <v>3</v>
      </c>
      <c r="AY1344" s="91" t="str">
        <f>"T"&amp;O1344&amp;"_"&amp;AX1344&amp;"옵션_"&amp;VLOOKUP(E1344,색인!$J$25:$K$29,2,FALSE)</f>
        <v>T7_3옵션_보조장비</v>
      </c>
      <c r="AZ1344" s="91">
        <f>VLOOKUP(G1344,색인!$J$32:$K$45,2,FALSE)</f>
        <v>2</v>
      </c>
      <c r="BA1344" s="91" t="str">
        <f>_xlfn.IFNA(VLOOKUP(AY1344,표1[[검색용]:[OptionGroupIndex'[']22]],EquipItemTable!AZ1344,FALSE),"옵션고정안함")</f>
        <v>7321</v>
      </c>
    </row>
    <row r="1345" spans="1:53" s="27" customFormat="1" ht="12" x14ac:dyDescent="0.2">
      <c r="A1345" s="25" t="s">
        <v>1529</v>
      </c>
      <c r="B1345" s="39">
        <v>371004</v>
      </c>
      <c r="C1345" s="42" t="s">
        <v>3823</v>
      </c>
      <c r="D1345" s="26" t="s">
        <v>86</v>
      </c>
      <c r="E1345" s="26" t="s">
        <v>501</v>
      </c>
      <c r="F1345" s="27" t="s">
        <v>311</v>
      </c>
      <c r="G1345" s="27" t="s">
        <v>1472</v>
      </c>
      <c r="J1345" s="1"/>
      <c r="K1345" s="1"/>
      <c r="L1345" s="1"/>
      <c r="M1345" s="1"/>
      <c r="N1345" s="8"/>
      <c r="O1345" s="29" t="s">
        <v>1338</v>
      </c>
      <c r="P1345" s="27">
        <v>71</v>
      </c>
      <c r="AB1345" s="27">
        <v>1421</v>
      </c>
      <c r="AC1345" s="82"/>
      <c r="AD1345" s="29" t="s">
        <v>1377</v>
      </c>
      <c r="AE1345" s="92" t="s">
        <v>2189</v>
      </c>
      <c r="AF1345" s="29" t="s">
        <v>2185</v>
      </c>
      <c r="AG1345" s="23"/>
      <c r="AH1345" s="23"/>
      <c r="AN1345" s="27">
        <v>102</v>
      </c>
      <c r="AQ1345" s="85"/>
      <c r="AR1345" s="27">
        <v>1</v>
      </c>
      <c r="AS1345" s="27">
        <v>1</v>
      </c>
      <c r="AT1345" s="85"/>
      <c r="AU1345" s="29" t="s">
        <v>1943</v>
      </c>
      <c r="AW1345" s="91">
        <v>6</v>
      </c>
      <c r="AX1345" s="93">
        <f>VLOOKUP(AW1345,색인!$N$14:$O$19,2,FALSE)</f>
        <v>4</v>
      </c>
      <c r="AY1345" s="93" t="str">
        <f>"T"&amp;O1345&amp;"_"&amp;AX1345&amp;"옵션_"&amp;VLOOKUP(E1345,색인!$J$25:$K$29,2,FALSE)</f>
        <v>T7_4옵션_보조장비</v>
      </c>
      <c r="AZ1345" s="93">
        <f>VLOOKUP(G1345,색인!$J$32:$K$45,2,FALSE)</f>
        <v>2</v>
      </c>
      <c r="BA1345" s="93" t="str">
        <f>_xlfn.IFNA(VLOOKUP(AY1345,표1[[검색용]:[OptionGroupIndex'[']22]],EquipItemTable!AZ1345,FALSE),"옵션고정안함")</f>
        <v>7421</v>
      </c>
    </row>
    <row r="1346" spans="1:53" ht="12" customHeight="1" x14ac:dyDescent="0.2">
      <c r="A1346" s="13" t="s">
        <v>236</v>
      </c>
      <c r="B1346" s="39">
        <v>72001</v>
      </c>
      <c r="C1346" s="42" t="s">
        <v>3830</v>
      </c>
      <c r="D1346" s="10" t="s">
        <v>2968</v>
      </c>
      <c r="E1346" s="10" t="s">
        <v>101</v>
      </c>
      <c r="F1346" s="1" t="s">
        <v>472</v>
      </c>
      <c r="G1346" s="1" t="s">
        <v>1313</v>
      </c>
      <c r="H1346" s="1"/>
      <c r="I1346" s="1"/>
      <c r="J1346" s="1"/>
      <c r="K1346" s="1"/>
      <c r="L1346" s="1"/>
      <c r="M1346" s="1"/>
      <c r="O1346" s="12" t="s">
        <v>94</v>
      </c>
      <c r="P1346" s="1">
        <v>1</v>
      </c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>
        <v>30</v>
      </c>
      <c r="AC1346" s="82"/>
      <c r="AD1346" s="12" t="s">
        <v>52</v>
      </c>
      <c r="AE1346" s="12" t="s">
        <v>94</v>
      </c>
      <c r="AG1346" s="23"/>
      <c r="AH1346" s="23"/>
      <c r="AN1346" s="12"/>
      <c r="AU1346" s="12" t="s">
        <v>1932</v>
      </c>
      <c r="AV1346" s="13"/>
      <c r="AW1346" s="39">
        <v>1</v>
      </c>
      <c r="AY1346" s="32"/>
      <c r="AZ1346" s="32"/>
      <c r="BA1346" s="32"/>
    </row>
    <row r="1347" spans="1:53" ht="12" customHeight="1" x14ac:dyDescent="0.2">
      <c r="A1347" s="13" t="s">
        <v>237</v>
      </c>
      <c r="B1347" s="39">
        <v>72002</v>
      </c>
      <c r="C1347" s="42" t="s">
        <v>3831</v>
      </c>
      <c r="D1347" s="10" t="s">
        <v>2968</v>
      </c>
      <c r="E1347" s="10" t="s">
        <v>101</v>
      </c>
      <c r="F1347" s="1" t="s">
        <v>93</v>
      </c>
      <c r="G1347" s="1" t="s">
        <v>1313</v>
      </c>
      <c r="H1347" s="1"/>
      <c r="I1347" s="1"/>
      <c r="J1347" s="1"/>
      <c r="K1347" s="1"/>
      <c r="L1347" s="1"/>
      <c r="M1347" s="1"/>
      <c r="O1347" s="12" t="s">
        <v>94</v>
      </c>
      <c r="P1347" s="1">
        <v>1</v>
      </c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>
        <v>42</v>
      </c>
      <c r="AC1347" s="82"/>
      <c r="AD1347" s="12" t="s">
        <v>52</v>
      </c>
      <c r="AE1347" s="39" t="str">
        <f t="shared" ref="AE1347:AE1349" si="167">BA1347</f>
        <v>1121</v>
      </c>
      <c r="AG1347" s="23"/>
      <c r="AH1347" s="23"/>
      <c r="AN1347" s="12"/>
      <c r="AU1347" s="12" t="s">
        <v>1933</v>
      </c>
      <c r="AV1347" s="13"/>
      <c r="AW1347" s="39">
        <v>2</v>
      </c>
      <c r="AX1347" s="12">
        <f>VLOOKUP(AW1347,색인!$N$14:$O$19,2,FALSE)</f>
        <v>1</v>
      </c>
      <c r="AY1347" s="39" t="str">
        <f>"T"&amp;O1347&amp;"_"&amp;AX1347&amp;"옵션_"&amp;VLOOKUP(E1347,색인!$J$25:$K$29,2,FALSE)</f>
        <v>T1_1옵션_보조장비</v>
      </c>
      <c r="AZ1347" s="39">
        <f>VLOOKUP(G1347,색인!$J$32:$K$45,2,FALSE)</f>
        <v>2</v>
      </c>
      <c r="BA1347" s="39" t="str">
        <f>_xlfn.IFNA(VLOOKUP(AY1347,표1[[검색용]:[OptionGroupIndex'[']22]],EquipItemTable!AZ1347,FALSE),"옵션고정안함")</f>
        <v>1121</v>
      </c>
    </row>
    <row r="1348" spans="1:53" ht="12" customHeight="1" x14ac:dyDescent="0.2">
      <c r="A1348" s="13" t="s">
        <v>238</v>
      </c>
      <c r="B1348" s="39">
        <v>72003</v>
      </c>
      <c r="C1348" s="42" t="s">
        <v>3832</v>
      </c>
      <c r="D1348" s="10" t="s">
        <v>2968</v>
      </c>
      <c r="E1348" s="10" t="s">
        <v>101</v>
      </c>
      <c r="F1348" s="1" t="s">
        <v>93</v>
      </c>
      <c r="G1348" s="1" t="s">
        <v>1313</v>
      </c>
      <c r="H1348" s="1"/>
      <c r="I1348" s="1"/>
      <c r="J1348" s="1"/>
      <c r="K1348" s="1"/>
      <c r="L1348" s="1"/>
      <c r="M1348" s="1"/>
      <c r="O1348" s="12" t="s">
        <v>94</v>
      </c>
      <c r="P1348" s="1">
        <v>1</v>
      </c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>
        <v>54</v>
      </c>
      <c r="AC1348" s="82"/>
      <c r="AD1348" s="12" t="s">
        <v>52</v>
      </c>
      <c r="AE1348" s="39" t="str">
        <f t="shared" si="167"/>
        <v>1221</v>
      </c>
      <c r="AG1348" s="23"/>
      <c r="AH1348" s="23"/>
      <c r="AN1348" s="12"/>
      <c r="AR1348" s="34" t="s">
        <v>94</v>
      </c>
      <c r="AS1348" s="34" t="s">
        <v>94</v>
      </c>
      <c r="AU1348" s="12" t="s">
        <v>1934</v>
      </c>
      <c r="AV1348" s="13"/>
      <c r="AW1348" s="39">
        <v>3</v>
      </c>
      <c r="AX1348" s="12">
        <f>VLOOKUP(AW1348,색인!$N$14:$O$19,2,FALSE)</f>
        <v>2</v>
      </c>
      <c r="AY1348" s="39" t="str">
        <f>"T"&amp;O1348&amp;"_"&amp;AX1348&amp;"옵션_"&amp;VLOOKUP(E1348,색인!$J$25:$K$29,2,FALSE)</f>
        <v>T1_2옵션_보조장비</v>
      </c>
      <c r="AZ1348" s="39">
        <f>VLOOKUP(G1348,색인!$J$32:$K$45,2,FALSE)</f>
        <v>2</v>
      </c>
      <c r="BA1348" s="39" t="str">
        <f>_xlfn.IFNA(VLOOKUP(AY1348,표1[[검색용]:[OptionGroupIndex'[']22]],EquipItemTable!AZ1348,FALSE),"옵션고정안함")</f>
        <v>1221</v>
      </c>
    </row>
    <row r="1349" spans="1:53" ht="12" customHeight="1" x14ac:dyDescent="0.2">
      <c r="A1349" s="13" t="s">
        <v>509</v>
      </c>
      <c r="B1349" s="39">
        <v>72004</v>
      </c>
      <c r="C1349" s="42" t="s">
        <v>3833</v>
      </c>
      <c r="D1349" s="10" t="s">
        <v>2968</v>
      </c>
      <c r="E1349" s="10" t="s">
        <v>101</v>
      </c>
      <c r="F1349" s="1" t="s">
        <v>471</v>
      </c>
      <c r="G1349" s="1" t="s">
        <v>1313</v>
      </c>
      <c r="H1349" s="1"/>
      <c r="I1349" s="1"/>
      <c r="J1349" s="1"/>
      <c r="K1349" s="1"/>
      <c r="L1349" s="1"/>
      <c r="M1349" s="1"/>
      <c r="O1349" s="12" t="s">
        <v>428</v>
      </c>
      <c r="P1349" s="1">
        <v>1</v>
      </c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>
        <v>70</v>
      </c>
      <c r="AC1349" s="82"/>
      <c r="AE1349" s="39" t="str">
        <f t="shared" si="167"/>
        <v>1321</v>
      </c>
      <c r="AG1349" s="23"/>
      <c r="AH1349" s="23"/>
      <c r="AN1349" s="12"/>
      <c r="AR1349" s="34" t="s">
        <v>543</v>
      </c>
      <c r="AS1349" s="34" t="s">
        <v>543</v>
      </c>
      <c r="AU1349" s="12" t="s">
        <v>1935</v>
      </c>
      <c r="AV1349" s="13"/>
      <c r="AW1349" s="39">
        <v>4</v>
      </c>
      <c r="AX1349" s="12">
        <f>VLOOKUP(AW1349,색인!$N$14:$O$19,2,FALSE)</f>
        <v>3</v>
      </c>
      <c r="AY1349" s="39" t="str">
        <f>"T"&amp;O1349&amp;"_"&amp;AX1349&amp;"옵션_"&amp;VLOOKUP(E1349,색인!$J$25:$K$29,2,FALSE)</f>
        <v>T1_3옵션_보조장비</v>
      </c>
      <c r="AZ1349" s="39">
        <f>VLOOKUP(G1349,색인!$J$32:$K$45,2,FALSE)</f>
        <v>2</v>
      </c>
      <c r="BA1349" s="39" t="str">
        <f>_xlfn.IFNA(VLOOKUP(AY1349,표1[[검색용]:[OptionGroupIndex'[']22]],EquipItemTable!AZ1349,FALSE),"옵션고정안함")</f>
        <v>1321</v>
      </c>
    </row>
    <row r="1350" spans="1:53" ht="12" customHeight="1" x14ac:dyDescent="0.2">
      <c r="A1350" s="13" t="s">
        <v>239</v>
      </c>
      <c r="B1350" s="39">
        <v>72005</v>
      </c>
      <c r="C1350" s="42" t="s">
        <v>3834</v>
      </c>
      <c r="D1350" s="10" t="s">
        <v>2968</v>
      </c>
      <c r="E1350" s="10" t="s">
        <v>101</v>
      </c>
      <c r="F1350" s="1" t="s">
        <v>93</v>
      </c>
      <c r="G1350" s="1" t="s">
        <v>1313</v>
      </c>
      <c r="H1350" s="1"/>
      <c r="I1350" s="1"/>
      <c r="J1350" s="1"/>
      <c r="K1350" s="1"/>
      <c r="L1350" s="1"/>
      <c r="M1350" s="1"/>
      <c r="O1350" s="12" t="s">
        <v>95</v>
      </c>
      <c r="P1350" s="1">
        <v>21</v>
      </c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>
        <v>81</v>
      </c>
      <c r="AC1350" s="82"/>
      <c r="AD1350" s="12" t="s">
        <v>52</v>
      </c>
      <c r="AE1350" s="12" t="s">
        <v>550</v>
      </c>
      <c r="AG1350" s="23"/>
      <c r="AH1350" s="23"/>
      <c r="AN1350" s="12"/>
      <c r="AU1350" s="12" t="s">
        <v>1932</v>
      </c>
      <c r="AV1350" s="13"/>
      <c r="AW1350" s="39">
        <v>1</v>
      </c>
      <c r="AY1350" s="32"/>
      <c r="AZ1350" s="32"/>
      <c r="BA1350" s="32"/>
    </row>
    <row r="1351" spans="1:53" ht="12" customHeight="1" x14ac:dyDescent="0.2">
      <c r="A1351" s="13" t="s">
        <v>240</v>
      </c>
      <c r="B1351" s="39">
        <v>72006</v>
      </c>
      <c r="C1351" s="42" t="s">
        <v>3835</v>
      </c>
      <c r="D1351" s="10" t="s">
        <v>2968</v>
      </c>
      <c r="E1351" s="10" t="s">
        <v>101</v>
      </c>
      <c r="F1351" s="1" t="s">
        <v>93</v>
      </c>
      <c r="G1351" s="1" t="s">
        <v>1313</v>
      </c>
      <c r="H1351" s="1"/>
      <c r="I1351" s="1"/>
      <c r="J1351" s="1"/>
      <c r="K1351" s="1"/>
      <c r="L1351" s="1"/>
      <c r="M1351" s="1"/>
      <c r="O1351" s="12" t="s">
        <v>95</v>
      </c>
      <c r="P1351" s="1">
        <v>21</v>
      </c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>
        <v>105</v>
      </c>
      <c r="AC1351" s="82"/>
      <c r="AD1351" s="12" t="s">
        <v>52</v>
      </c>
      <c r="AE1351" s="39" t="str">
        <f t="shared" ref="AE1351:AE1353" si="168">BA1351</f>
        <v>2121</v>
      </c>
      <c r="AG1351" s="23"/>
      <c r="AH1351" s="23"/>
      <c r="AN1351" s="12"/>
      <c r="AU1351" s="12" t="s">
        <v>1933</v>
      </c>
      <c r="AV1351" s="13"/>
      <c r="AW1351" s="39">
        <v>2</v>
      </c>
      <c r="AX1351" s="12">
        <f>VLOOKUP(AW1351,색인!$N$14:$O$19,2,FALSE)</f>
        <v>1</v>
      </c>
      <c r="AY1351" s="39" t="str">
        <f>"T"&amp;O1351&amp;"_"&amp;AX1351&amp;"옵션_"&amp;VLOOKUP(E1351,색인!$J$25:$K$29,2,FALSE)</f>
        <v>T2_1옵션_보조장비</v>
      </c>
      <c r="AZ1351" s="39">
        <f>VLOOKUP(G1351,색인!$J$32:$K$45,2,FALSE)</f>
        <v>2</v>
      </c>
      <c r="BA1351" s="39" t="str">
        <f>_xlfn.IFNA(VLOOKUP(AY1351,표1[[검색용]:[OptionGroupIndex'[']22]],EquipItemTable!AZ1351,FALSE),"옵션고정안함")</f>
        <v>2121</v>
      </c>
    </row>
    <row r="1352" spans="1:53" ht="12" customHeight="1" x14ac:dyDescent="0.2">
      <c r="A1352" s="13" t="s">
        <v>241</v>
      </c>
      <c r="B1352" s="39">
        <v>72007</v>
      </c>
      <c r="C1352" s="42" t="s">
        <v>3836</v>
      </c>
      <c r="D1352" s="10" t="s">
        <v>2968</v>
      </c>
      <c r="E1352" s="10" t="s">
        <v>101</v>
      </c>
      <c r="F1352" s="1" t="s">
        <v>93</v>
      </c>
      <c r="G1352" s="1" t="s">
        <v>1313</v>
      </c>
      <c r="H1352" s="1"/>
      <c r="I1352" s="1"/>
      <c r="J1352" s="1"/>
      <c r="K1352" s="1"/>
      <c r="L1352" s="1"/>
      <c r="M1352" s="1"/>
      <c r="O1352" s="12" t="s">
        <v>95</v>
      </c>
      <c r="P1352" s="1">
        <v>21</v>
      </c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>
        <v>130</v>
      </c>
      <c r="AC1352" s="82"/>
      <c r="AD1352" s="12" t="s">
        <v>52</v>
      </c>
      <c r="AE1352" s="39" t="str">
        <f t="shared" si="168"/>
        <v>2221</v>
      </c>
      <c r="AG1352" s="23"/>
      <c r="AH1352" s="23"/>
      <c r="AN1352" s="12"/>
      <c r="AR1352" s="34" t="s">
        <v>94</v>
      </c>
      <c r="AS1352" s="34" t="s">
        <v>94</v>
      </c>
      <c r="AU1352" s="12" t="s">
        <v>1934</v>
      </c>
      <c r="AV1352" s="13"/>
      <c r="AW1352" s="39">
        <v>3</v>
      </c>
      <c r="AX1352" s="12">
        <f>VLOOKUP(AW1352,색인!$N$14:$O$19,2,FALSE)</f>
        <v>2</v>
      </c>
      <c r="AY1352" s="39" t="str">
        <f>"T"&amp;O1352&amp;"_"&amp;AX1352&amp;"옵션_"&amp;VLOOKUP(E1352,색인!$J$25:$K$29,2,FALSE)</f>
        <v>T2_2옵션_보조장비</v>
      </c>
      <c r="AZ1352" s="39">
        <f>VLOOKUP(G1352,색인!$J$32:$K$45,2,FALSE)</f>
        <v>2</v>
      </c>
      <c r="BA1352" s="39" t="str">
        <f>_xlfn.IFNA(VLOOKUP(AY1352,표1[[검색용]:[OptionGroupIndex'[']22]],EquipItemTable!AZ1352,FALSE),"옵션고정안함")</f>
        <v>2221</v>
      </c>
    </row>
    <row r="1353" spans="1:53" ht="12" customHeight="1" x14ac:dyDescent="0.2">
      <c r="A1353" s="13" t="s">
        <v>510</v>
      </c>
      <c r="B1353" s="39">
        <v>72008</v>
      </c>
      <c r="C1353" s="42" t="s">
        <v>3837</v>
      </c>
      <c r="D1353" s="10" t="s">
        <v>2968</v>
      </c>
      <c r="E1353" s="10" t="s">
        <v>101</v>
      </c>
      <c r="F1353" s="1" t="s">
        <v>471</v>
      </c>
      <c r="G1353" s="1" t="s">
        <v>1313</v>
      </c>
      <c r="H1353" s="1"/>
      <c r="I1353" s="1"/>
      <c r="J1353" s="1"/>
      <c r="K1353" s="1"/>
      <c r="L1353" s="1"/>
      <c r="M1353" s="1"/>
      <c r="O1353" s="12" t="s">
        <v>429</v>
      </c>
      <c r="P1353" s="1">
        <v>21</v>
      </c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>
        <v>157</v>
      </c>
      <c r="AC1353" s="82"/>
      <c r="AE1353" s="39" t="str">
        <f t="shared" si="168"/>
        <v>2321</v>
      </c>
      <c r="AG1353" s="23"/>
      <c r="AH1353" s="23"/>
      <c r="AN1353" s="12"/>
      <c r="AR1353" s="34" t="s">
        <v>543</v>
      </c>
      <c r="AS1353" s="34" t="s">
        <v>543</v>
      </c>
      <c r="AU1353" s="12" t="s">
        <v>1935</v>
      </c>
      <c r="AV1353" s="13"/>
      <c r="AW1353" s="39">
        <v>4</v>
      </c>
      <c r="AX1353" s="12">
        <f>VLOOKUP(AW1353,색인!$N$14:$O$19,2,FALSE)</f>
        <v>3</v>
      </c>
      <c r="AY1353" s="39" t="str">
        <f>"T"&amp;O1353&amp;"_"&amp;AX1353&amp;"옵션_"&amp;VLOOKUP(E1353,색인!$J$25:$K$29,2,FALSE)</f>
        <v>T2_3옵션_보조장비</v>
      </c>
      <c r="AZ1353" s="39">
        <f>VLOOKUP(G1353,색인!$J$32:$K$45,2,FALSE)</f>
        <v>2</v>
      </c>
      <c r="BA1353" s="39" t="str">
        <f>_xlfn.IFNA(VLOOKUP(AY1353,표1[[검색용]:[OptionGroupIndex'[']22]],EquipItemTable!AZ1353,FALSE),"옵션고정안함")</f>
        <v>2321</v>
      </c>
    </row>
    <row r="1354" spans="1:53" ht="12" customHeight="1" x14ac:dyDescent="0.2">
      <c r="A1354" s="13" t="s">
        <v>242</v>
      </c>
      <c r="B1354" s="39">
        <v>72009</v>
      </c>
      <c r="C1354" s="42" t="s">
        <v>3838</v>
      </c>
      <c r="D1354" s="10" t="s">
        <v>2968</v>
      </c>
      <c r="E1354" s="10" t="s">
        <v>101</v>
      </c>
      <c r="F1354" s="1" t="s">
        <v>93</v>
      </c>
      <c r="G1354" s="1" t="s">
        <v>1313</v>
      </c>
      <c r="H1354" s="1"/>
      <c r="I1354" s="1"/>
      <c r="J1354" s="1"/>
      <c r="K1354" s="1"/>
      <c r="L1354" s="1"/>
      <c r="M1354" s="1"/>
      <c r="N1354" s="81"/>
      <c r="O1354" s="12" t="s">
        <v>96</v>
      </c>
      <c r="P1354" s="1">
        <v>31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>
        <v>180</v>
      </c>
      <c r="AC1354" s="82"/>
      <c r="AD1354" s="23" t="s">
        <v>52</v>
      </c>
      <c r="AE1354" s="23">
        <v>3</v>
      </c>
      <c r="AF1354" s="23"/>
      <c r="AG1354" s="23"/>
      <c r="AH1354" s="23"/>
      <c r="AI1354" s="23"/>
      <c r="AJ1354" s="23"/>
      <c r="AK1354" s="23"/>
      <c r="AL1354" s="23"/>
      <c r="AM1354" s="23"/>
      <c r="AN1354" s="23"/>
      <c r="AO1354" s="23"/>
      <c r="AP1354" s="23"/>
      <c r="AQ1354" s="81"/>
      <c r="AR1354" s="83"/>
      <c r="AS1354" s="83"/>
      <c r="AT1354" s="81"/>
      <c r="AU1354" s="12" t="s">
        <v>1932</v>
      </c>
      <c r="AV1354" s="13"/>
      <c r="AW1354" s="39">
        <v>1</v>
      </c>
      <c r="AY1354" s="32"/>
      <c r="AZ1354" s="32"/>
      <c r="BA1354" s="32"/>
    </row>
    <row r="1355" spans="1:53" ht="12" customHeight="1" x14ac:dyDescent="0.2">
      <c r="A1355" s="13" t="s">
        <v>243</v>
      </c>
      <c r="B1355" s="39">
        <v>72010</v>
      </c>
      <c r="C1355" s="42" t="s">
        <v>3839</v>
      </c>
      <c r="D1355" s="10" t="s">
        <v>2968</v>
      </c>
      <c r="E1355" s="10" t="s">
        <v>101</v>
      </c>
      <c r="F1355" s="1" t="s">
        <v>93</v>
      </c>
      <c r="G1355" s="1" t="s">
        <v>1313</v>
      </c>
      <c r="H1355" s="1"/>
      <c r="I1355" s="1"/>
      <c r="J1355" s="1"/>
      <c r="K1355" s="1"/>
      <c r="L1355" s="1"/>
      <c r="M1355" s="1"/>
      <c r="N1355" s="81"/>
      <c r="O1355" s="12" t="s">
        <v>96</v>
      </c>
      <c r="P1355" s="1">
        <v>31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>
        <v>229</v>
      </c>
      <c r="AC1355" s="82"/>
      <c r="AD1355" s="23" t="s">
        <v>52</v>
      </c>
      <c r="AE1355" s="90" t="str">
        <f t="shared" ref="AE1355:AE1357" si="169">BA1355</f>
        <v>3121</v>
      </c>
      <c r="AF1355" s="23"/>
      <c r="AI1355" s="23"/>
      <c r="AJ1355" s="23"/>
      <c r="AK1355" s="23"/>
      <c r="AL1355" s="23"/>
      <c r="AM1355" s="23"/>
      <c r="AN1355" s="23"/>
      <c r="AO1355" s="23"/>
      <c r="AP1355" s="23"/>
      <c r="AQ1355" s="81"/>
      <c r="AR1355" s="83"/>
      <c r="AS1355" s="83"/>
      <c r="AT1355" s="81"/>
      <c r="AU1355" s="12" t="s">
        <v>1933</v>
      </c>
      <c r="AV1355" s="13"/>
      <c r="AW1355" s="39">
        <v>2</v>
      </c>
      <c r="AX1355" s="12">
        <f>VLOOKUP(AW1355,색인!$N$14:$O$19,2,FALSE)</f>
        <v>1</v>
      </c>
      <c r="AY1355" s="39" t="str">
        <f>"T"&amp;O1355&amp;"_"&amp;AX1355&amp;"옵션_"&amp;VLOOKUP(E1355,색인!$J$25:$K$29,2,FALSE)</f>
        <v>T3_1옵션_보조장비</v>
      </c>
      <c r="AZ1355" s="39">
        <f>VLOOKUP(G1355,색인!$J$32:$K$45,2,FALSE)</f>
        <v>2</v>
      </c>
      <c r="BA1355" s="39" t="str">
        <f>_xlfn.IFNA(VLOOKUP(AY1355,표1[[검색용]:[OptionGroupIndex'[']22]],EquipItemTable!AZ1355,FALSE),"옵션고정안함")</f>
        <v>3121</v>
      </c>
    </row>
    <row r="1356" spans="1:53" ht="12" customHeight="1" x14ac:dyDescent="0.2">
      <c r="A1356" s="13" t="s">
        <v>244</v>
      </c>
      <c r="B1356" s="39">
        <v>72011</v>
      </c>
      <c r="C1356" s="42" t="s">
        <v>3840</v>
      </c>
      <c r="D1356" s="10" t="s">
        <v>2968</v>
      </c>
      <c r="E1356" s="10" t="s">
        <v>101</v>
      </c>
      <c r="F1356" s="1" t="s">
        <v>93</v>
      </c>
      <c r="G1356" s="1" t="s">
        <v>1313</v>
      </c>
      <c r="H1356" s="1"/>
      <c r="I1356" s="1"/>
      <c r="J1356" s="1"/>
      <c r="K1356" s="1"/>
      <c r="L1356" s="1"/>
      <c r="M1356" s="1"/>
      <c r="N1356" s="81"/>
      <c r="O1356" s="12" t="s">
        <v>96</v>
      </c>
      <c r="P1356" s="1">
        <v>31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>
        <v>273</v>
      </c>
      <c r="AC1356" s="82"/>
      <c r="AD1356" s="23" t="s">
        <v>52</v>
      </c>
      <c r="AE1356" s="90" t="str">
        <f t="shared" si="169"/>
        <v>3221</v>
      </c>
      <c r="AF1356" s="23"/>
      <c r="AI1356" s="23"/>
      <c r="AJ1356" s="23"/>
      <c r="AK1356" s="23"/>
      <c r="AL1356" s="23"/>
      <c r="AM1356" s="23"/>
      <c r="AN1356" s="23"/>
      <c r="AO1356" s="23"/>
      <c r="AP1356" s="23"/>
      <c r="AQ1356" s="81"/>
      <c r="AR1356" s="83">
        <v>1</v>
      </c>
      <c r="AS1356" s="83">
        <v>1</v>
      </c>
      <c r="AT1356" s="81"/>
      <c r="AU1356" s="12" t="s">
        <v>1934</v>
      </c>
      <c r="AV1356" s="13"/>
      <c r="AW1356" s="39">
        <v>3</v>
      </c>
      <c r="AX1356" s="12">
        <f>VLOOKUP(AW1356,색인!$N$14:$O$19,2,FALSE)</f>
        <v>2</v>
      </c>
      <c r="AY1356" s="39" t="str">
        <f>"T"&amp;O1356&amp;"_"&amp;AX1356&amp;"옵션_"&amp;VLOOKUP(E1356,색인!$J$25:$K$29,2,FALSE)</f>
        <v>T3_2옵션_보조장비</v>
      </c>
      <c r="AZ1356" s="39">
        <f>VLOOKUP(G1356,색인!$J$32:$K$45,2,FALSE)</f>
        <v>2</v>
      </c>
      <c r="BA1356" s="39" t="str">
        <f>_xlfn.IFNA(VLOOKUP(AY1356,표1[[검색용]:[OptionGroupIndex'[']22]],EquipItemTable!AZ1356,FALSE),"옵션고정안함")</f>
        <v>3221</v>
      </c>
    </row>
    <row r="1357" spans="1:53" ht="12" customHeight="1" x14ac:dyDescent="0.2">
      <c r="A1357" s="13" t="s">
        <v>245</v>
      </c>
      <c r="B1357" s="39">
        <v>72012</v>
      </c>
      <c r="C1357" s="42" t="s">
        <v>3841</v>
      </c>
      <c r="D1357" s="10" t="s">
        <v>2968</v>
      </c>
      <c r="E1357" s="10" t="s">
        <v>101</v>
      </c>
      <c r="F1357" s="1" t="s">
        <v>93</v>
      </c>
      <c r="G1357" s="1" t="s">
        <v>1313</v>
      </c>
      <c r="H1357" s="1"/>
      <c r="I1357" s="1"/>
      <c r="J1357" s="1"/>
      <c r="K1357" s="1"/>
      <c r="L1357" s="1"/>
      <c r="M1357" s="1"/>
      <c r="N1357" s="81"/>
      <c r="O1357" s="12" t="s">
        <v>96</v>
      </c>
      <c r="P1357" s="1">
        <v>31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>
        <v>325</v>
      </c>
      <c r="AC1357" s="82"/>
      <c r="AD1357" s="23" t="s">
        <v>52</v>
      </c>
      <c r="AE1357" s="90" t="str">
        <f t="shared" si="169"/>
        <v>3321</v>
      </c>
      <c r="AF1357" s="23"/>
      <c r="AI1357" s="23"/>
      <c r="AJ1357" s="23"/>
      <c r="AK1357" s="23"/>
      <c r="AL1357" s="23"/>
      <c r="AM1357" s="23"/>
      <c r="AN1357" s="23"/>
      <c r="AO1357" s="23"/>
      <c r="AP1357" s="23"/>
      <c r="AQ1357" s="81"/>
      <c r="AR1357" s="83">
        <v>1</v>
      </c>
      <c r="AS1357" s="83">
        <v>1</v>
      </c>
      <c r="AT1357" s="81"/>
      <c r="AU1357" s="12" t="s">
        <v>1935</v>
      </c>
      <c r="AV1357" s="13"/>
      <c r="AW1357" s="39">
        <v>4</v>
      </c>
      <c r="AX1357" s="12">
        <f>VLOOKUP(AW1357,색인!$N$14:$O$19,2,FALSE)</f>
        <v>3</v>
      </c>
      <c r="AY1357" s="39" t="str">
        <f>"T"&amp;O1357&amp;"_"&amp;AX1357&amp;"옵션_"&amp;VLOOKUP(E1357,색인!$J$25:$K$29,2,FALSE)</f>
        <v>T3_3옵션_보조장비</v>
      </c>
      <c r="AZ1357" s="39">
        <f>VLOOKUP(G1357,색인!$J$32:$K$45,2,FALSE)</f>
        <v>2</v>
      </c>
      <c r="BA1357" s="39" t="str">
        <f>_xlfn.IFNA(VLOOKUP(AY1357,표1[[검색용]:[OptionGroupIndex'[']22]],EquipItemTable!AZ1357,FALSE),"옵션고정안함")</f>
        <v>3321</v>
      </c>
    </row>
    <row r="1358" spans="1:53" ht="14.1" customHeight="1" x14ac:dyDescent="0.2">
      <c r="A1358" s="13" t="s">
        <v>589</v>
      </c>
      <c r="B1358" s="39">
        <v>72029</v>
      </c>
      <c r="C1358" s="42" t="s">
        <v>3842</v>
      </c>
      <c r="D1358" s="10" t="s">
        <v>2968</v>
      </c>
      <c r="E1358" s="10" t="s">
        <v>101</v>
      </c>
      <c r="F1358" s="1" t="s">
        <v>93</v>
      </c>
      <c r="G1358" s="1" t="s">
        <v>1313</v>
      </c>
      <c r="H1358" s="1"/>
      <c r="I1358" s="1"/>
      <c r="J1358" s="1"/>
      <c r="K1358" s="1"/>
      <c r="L1358" s="1"/>
      <c r="M1358" s="1"/>
      <c r="N1358" s="81"/>
      <c r="O1358" s="12" t="s">
        <v>96</v>
      </c>
      <c r="P1358" s="1">
        <v>31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>
        <v>384</v>
      </c>
      <c r="AC1358" s="82"/>
      <c r="AD1358" s="23" t="s">
        <v>52</v>
      </c>
      <c r="AE1358" s="23">
        <v>3</v>
      </c>
      <c r="AF1358" s="23"/>
      <c r="AI1358" s="23"/>
      <c r="AJ1358" s="23"/>
      <c r="AK1358" s="23"/>
      <c r="AL1358" s="23"/>
      <c r="AM1358" s="23"/>
      <c r="AN1358" s="23">
        <v>1</v>
      </c>
      <c r="AO1358" s="23"/>
      <c r="AP1358" s="23"/>
      <c r="AQ1358" s="81"/>
      <c r="AR1358" s="83">
        <v>1</v>
      </c>
      <c r="AS1358" s="83">
        <v>1</v>
      </c>
      <c r="AT1358" s="81"/>
      <c r="AU1358" s="12" t="s">
        <v>1936</v>
      </c>
      <c r="AV1358" s="13"/>
      <c r="AW1358" s="39">
        <v>6</v>
      </c>
      <c r="AX1358" s="12">
        <f>VLOOKUP(AW1358,색인!$N$14:$O$19,2,FALSE)</f>
        <v>4</v>
      </c>
      <c r="AY1358" s="32" t="str">
        <f>"T"&amp;O1358&amp;"_"&amp;AX1358&amp;"옵션_"&amp;VLOOKUP(E1358,색인!$J$25:$K$29,2,FALSE)</f>
        <v>T3_4옵션_보조장비</v>
      </c>
      <c r="AZ1358" s="32">
        <f>VLOOKUP(G1358,색인!$J$32:$K$45,2,FALSE)</f>
        <v>2</v>
      </c>
      <c r="BA1358" s="32" t="str">
        <f>_xlfn.IFNA(VLOOKUP(AY1358,표1[[검색용]:[OptionGroupIndex'[']22]],EquipItemTable!AZ1358,FALSE),"옵션고정안함")</f>
        <v>옵션고정안함</v>
      </c>
    </row>
    <row r="1359" spans="1:53" ht="14.1" customHeight="1" x14ac:dyDescent="0.2">
      <c r="A1359" s="13" t="s">
        <v>1102</v>
      </c>
      <c r="B1359" s="39">
        <v>72030</v>
      </c>
      <c r="C1359" s="42" t="s">
        <v>3843</v>
      </c>
      <c r="D1359" s="10" t="s">
        <v>2968</v>
      </c>
      <c r="E1359" s="10" t="s">
        <v>101</v>
      </c>
      <c r="F1359" s="1" t="s">
        <v>93</v>
      </c>
      <c r="G1359" s="1" t="s">
        <v>1313</v>
      </c>
      <c r="H1359" s="1"/>
      <c r="I1359" s="1"/>
      <c r="J1359" s="1"/>
      <c r="K1359" s="1"/>
      <c r="L1359" s="1"/>
      <c r="M1359" s="1"/>
      <c r="N1359" s="81"/>
      <c r="O1359" s="12" t="s">
        <v>96</v>
      </c>
      <c r="P1359" s="1">
        <v>31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>
        <v>384</v>
      </c>
      <c r="AC1359" s="82"/>
      <c r="AD1359" s="23" t="s">
        <v>52</v>
      </c>
      <c r="AE1359" s="23">
        <v>3</v>
      </c>
      <c r="AF1359" s="23"/>
      <c r="AI1359" s="23"/>
      <c r="AJ1359" s="23"/>
      <c r="AK1359" s="23"/>
      <c r="AL1359" s="23"/>
      <c r="AM1359" s="23"/>
      <c r="AN1359" s="23">
        <v>2</v>
      </c>
      <c r="AO1359" s="23"/>
      <c r="AP1359" s="23"/>
      <c r="AQ1359" s="81"/>
      <c r="AR1359" s="83">
        <v>1</v>
      </c>
      <c r="AS1359" s="83">
        <v>1</v>
      </c>
      <c r="AT1359" s="81"/>
      <c r="AU1359" s="12" t="s">
        <v>1936</v>
      </c>
      <c r="AV1359" s="13"/>
      <c r="AW1359" s="39">
        <v>6</v>
      </c>
      <c r="AX1359" s="12">
        <f>VLOOKUP(AW1359,색인!$N$14:$O$19,2,FALSE)</f>
        <v>4</v>
      </c>
      <c r="AY1359" s="32" t="str">
        <f>"T"&amp;O1359&amp;"_"&amp;AX1359&amp;"옵션_"&amp;VLOOKUP(E1359,색인!$J$25:$K$29,2,FALSE)</f>
        <v>T3_4옵션_보조장비</v>
      </c>
      <c r="AZ1359" s="32">
        <f>VLOOKUP(G1359,색인!$J$32:$K$45,2,FALSE)</f>
        <v>2</v>
      </c>
      <c r="BA1359" s="32" t="str">
        <f>_xlfn.IFNA(VLOOKUP(AY1359,표1[[검색용]:[OptionGroupIndex'[']22]],EquipItemTable!AZ1359,FALSE),"옵션고정안함")</f>
        <v>옵션고정안함</v>
      </c>
    </row>
    <row r="1360" spans="1:53" ht="14.1" customHeight="1" x14ac:dyDescent="0.2">
      <c r="A1360" s="13" t="s">
        <v>1103</v>
      </c>
      <c r="B1360" s="39">
        <v>72031</v>
      </c>
      <c r="C1360" s="42" t="s">
        <v>3844</v>
      </c>
      <c r="D1360" s="10" t="s">
        <v>2968</v>
      </c>
      <c r="E1360" s="10" t="s">
        <v>101</v>
      </c>
      <c r="F1360" s="1" t="s">
        <v>93</v>
      </c>
      <c r="G1360" s="1" t="s">
        <v>1313</v>
      </c>
      <c r="H1360" s="1"/>
      <c r="I1360" s="1"/>
      <c r="J1360" s="1"/>
      <c r="K1360" s="1"/>
      <c r="L1360" s="1"/>
      <c r="M1360" s="1"/>
      <c r="N1360" s="81"/>
      <c r="O1360" s="12" t="s">
        <v>96</v>
      </c>
      <c r="P1360" s="1">
        <v>31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>
        <v>384</v>
      </c>
      <c r="AC1360" s="82"/>
      <c r="AD1360" s="23" t="s">
        <v>52</v>
      </c>
      <c r="AE1360" s="23">
        <v>3</v>
      </c>
      <c r="AF1360" s="23"/>
      <c r="AI1360" s="23"/>
      <c r="AJ1360" s="23"/>
      <c r="AK1360" s="23"/>
      <c r="AL1360" s="23"/>
      <c r="AM1360" s="23"/>
      <c r="AN1360" s="23">
        <v>3</v>
      </c>
      <c r="AO1360" s="23"/>
      <c r="AP1360" s="23"/>
      <c r="AQ1360" s="81"/>
      <c r="AR1360" s="83">
        <v>1</v>
      </c>
      <c r="AS1360" s="83">
        <v>1</v>
      </c>
      <c r="AT1360" s="81"/>
      <c r="AU1360" s="12" t="s">
        <v>1936</v>
      </c>
      <c r="AV1360" s="13"/>
      <c r="AW1360" s="39">
        <v>6</v>
      </c>
      <c r="AX1360" s="12">
        <f>VLOOKUP(AW1360,색인!$N$14:$O$19,2,FALSE)</f>
        <v>4</v>
      </c>
      <c r="AY1360" s="32" t="str">
        <f>"T"&amp;O1360&amp;"_"&amp;AX1360&amp;"옵션_"&amp;VLOOKUP(E1360,색인!$J$25:$K$29,2,FALSE)</f>
        <v>T3_4옵션_보조장비</v>
      </c>
      <c r="AZ1360" s="32">
        <f>VLOOKUP(G1360,색인!$J$32:$K$45,2,FALSE)</f>
        <v>2</v>
      </c>
      <c r="BA1360" s="32" t="str">
        <f>_xlfn.IFNA(VLOOKUP(AY1360,표1[[검색용]:[OptionGroupIndex'[']22]],EquipItemTable!AZ1360,FALSE),"옵션고정안함")</f>
        <v>옵션고정안함</v>
      </c>
    </row>
    <row r="1361" spans="1:53" ht="14.1" customHeight="1" x14ac:dyDescent="0.2">
      <c r="A1361" s="13" t="s">
        <v>1104</v>
      </c>
      <c r="B1361" s="39">
        <v>72021</v>
      </c>
      <c r="C1361" s="42" t="s">
        <v>3845</v>
      </c>
      <c r="D1361" s="10" t="s">
        <v>2968</v>
      </c>
      <c r="E1361" s="10" t="s">
        <v>101</v>
      </c>
      <c r="F1361" s="1" t="s">
        <v>93</v>
      </c>
      <c r="G1361" s="1" t="s">
        <v>1313</v>
      </c>
      <c r="H1361" s="1"/>
      <c r="I1361" s="1"/>
      <c r="J1361" s="1"/>
      <c r="K1361" s="1"/>
      <c r="L1361" s="1"/>
      <c r="M1361" s="1"/>
      <c r="N1361" s="81"/>
      <c r="O1361" s="12" t="s">
        <v>96</v>
      </c>
      <c r="P1361" s="1">
        <v>31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>
        <v>384</v>
      </c>
      <c r="AC1361" s="82"/>
      <c r="AD1361" s="23" t="s">
        <v>52</v>
      </c>
      <c r="AE1361" s="23">
        <v>3</v>
      </c>
      <c r="AF1361" s="23"/>
      <c r="AI1361" s="23"/>
      <c r="AJ1361" s="23"/>
      <c r="AK1361" s="23"/>
      <c r="AL1361" s="23"/>
      <c r="AM1361" s="23"/>
      <c r="AN1361" s="23">
        <v>4</v>
      </c>
      <c r="AO1361" s="23"/>
      <c r="AP1361" s="23"/>
      <c r="AQ1361" s="81"/>
      <c r="AR1361" s="83">
        <v>1</v>
      </c>
      <c r="AS1361" s="83">
        <v>1</v>
      </c>
      <c r="AT1361" s="81"/>
      <c r="AU1361" s="12" t="s">
        <v>1936</v>
      </c>
      <c r="AV1361" s="13"/>
      <c r="AW1361" s="39">
        <v>6</v>
      </c>
      <c r="AX1361" s="12">
        <f>VLOOKUP(AW1361,색인!$N$14:$O$19,2,FALSE)</f>
        <v>4</v>
      </c>
      <c r="AY1361" s="32" t="str">
        <f>"T"&amp;O1361&amp;"_"&amp;AX1361&amp;"옵션_"&amp;VLOOKUP(E1361,색인!$J$25:$K$29,2,FALSE)</f>
        <v>T3_4옵션_보조장비</v>
      </c>
      <c r="AZ1361" s="32">
        <f>VLOOKUP(G1361,색인!$J$32:$K$45,2,FALSE)</f>
        <v>2</v>
      </c>
      <c r="BA1361" s="32" t="str">
        <f>_xlfn.IFNA(VLOOKUP(AY1361,표1[[검색용]:[OptionGroupIndex'[']22]],EquipItemTable!AZ1361,FALSE),"옵션고정안함")</f>
        <v>옵션고정안함</v>
      </c>
    </row>
    <row r="1362" spans="1:53" ht="12" customHeight="1" x14ac:dyDescent="0.2">
      <c r="A1362" s="13" t="s">
        <v>246</v>
      </c>
      <c r="B1362" s="39">
        <v>72013</v>
      </c>
      <c r="C1362" s="42" t="s">
        <v>3846</v>
      </c>
      <c r="D1362" s="10" t="s">
        <v>2968</v>
      </c>
      <c r="E1362" s="10" t="s">
        <v>101</v>
      </c>
      <c r="F1362" s="1" t="s">
        <v>93</v>
      </c>
      <c r="G1362" s="1" t="s">
        <v>1313</v>
      </c>
      <c r="H1362" s="1"/>
      <c r="I1362" s="1"/>
      <c r="J1362" s="1"/>
      <c r="K1362" s="1"/>
      <c r="L1362" s="1"/>
      <c r="M1362" s="1"/>
      <c r="N1362" s="81"/>
      <c r="O1362" s="12" t="s">
        <v>97</v>
      </c>
      <c r="P1362" s="1">
        <v>41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>
        <v>373</v>
      </c>
      <c r="AC1362" s="82"/>
      <c r="AD1362" s="23" t="s">
        <v>52</v>
      </c>
      <c r="AE1362" s="23">
        <v>4</v>
      </c>
      <c r="AF1362" s="23"/>
      <c r="AI1362" s="23"/>
      <c r="AJ1362" s="23"/>
      <c r="AK1362" s="23"/>
      <c r="AL1362" s="23"/>
      <c r="AM1362" s="23"/>
      <c r="AN1362" s="23"/>
      <c r="AO1362" s="23"/>
      <c r="AP1362" s="23"/>
      <c r="AQ1362" s="81"/>
      <c r="AR1362" s="83"/>
      <c r="AS1362" s="83"/>
      <c r="AT1362" s="81"/>
      <c r="AU1362" s="12" t="s">
        <v>1932</v>
      </c>
      <c r="AV1362" s="13"/>
      <c r="AW1362" s="39">
        <v>1</v>
      </c>
      <c r="AY1362" s="32"/>
      <c r="AZ1362" s="32"/>
      <c r="BA1362" s="32"/>
    </row>
    <row r="1363" spans="1:53" ht="12" customHeight="1" x14ac:dyDescent="0.2">
      <c r="A1363" s="13" t="s">
        <v>247</v>
      </c>
      <c r="B1363" s="39">
        <v>72014</v>
      </c>
      <c r="C1363" s="42" t="s">
        <v>3847</v>
      </c>
      <c r="D1363" s="10" t="s">
        <v>2968</v>
      </c>
      <c r="E1363" s="10" t="s">
        <v>101</v>
      </c>
      <c r="F1363" s="1" t="s">
        <v>93</v>
      </c>
      <c r="G1363" s="1" t="s">
        <v>1313</v>
      </c>
      <c r="H1363" s="1"/>
      <c r="I1363" s="1"/>
      <c r="J1363" s="1"/>
      <c r="K1363" s="1"/>
      <c r="L1363" s="1"/>
      <c r="M1363" s="1"/>
      <c r="N1363" s="81"/>
      <c r="O1363" s="12" t="s">
        <v>97</v>
      </c>
      <c r="P1363" s="1">
        <v>41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>
        <v>462</v>
      </c>
      <c r="AC1363" s="82"/>
      <c r="AD1363" s="23" t="s">
        <v>52</v>
      </c>
      <c r="AE1363" s="90" t="str">
        <f t="shared" ref="AE1363:AE1365" si="170">BA1363</f>
        <v>4121</v>
      </c>
      <c r="AF1363" s="23"/>
      <c r="AI1363" s="23"/>
      <c r="AJ1363" s="23"/>
      <c r="AK1363" s="23"/>
      <c r="AL1363" s="23"/>
      <c r="AM1363" s="23"/>
      <c r="AN1363" s="23"/>
      <c r="AO1363" s="23"/>
      <c r="AP1363" s="23"/>
      <c r="AQ1363" s="81"/>
      <c r="AR1363" s="83"/>
      <c r="AS1363" s="83"/>
      <c r="AT1363" s="81"/>
      <c r="AU1363" s="12" t="s">
        <v>1933</v>
      </c>
      <c r="AV1363" s="13"/>
      <c r="AW1363" s="39">
        <v>2</v>
      </c>
      <c r="AX1363" s="12">
        <f>VLOOKUP(AW1363,색인!$N$14:$O$19,2,FALSE)</f>
        <v>1</v>
      </c>
      <c r="AY1363" s="39" t="str">
        <f>"T"&amp;O1363&amp;"_"&amp;AX1363&amp;"옵션_"&amp;VLOOKUP(E1363,색인!$J$25:$K$29,2,FALSE)</f>
        <v>T4_1옵션_보조장비</v>
      </c>
      <c r="AZ1363" s="39">
        <f>VLOOKUP(G1363,색인!$J$32:$K$45,2,FALSE)</f>
        <v>2</v>
      </c>
      <c r="BA1363" s="39" t="str">
        <f>_xlfn.IFNA(VLOOKUP(AY1363,표1[[검색용]:[OptionGroupIndex'[']22]],EquipItemTable!AZ1363,FALSE),"옵션고정안함")</f>
        <v>4121</v>
      </c>
    </row>
    <row r="1364" spans="1:53" ht="12" customHeight="1" x14ac:dyDescent="0.2">
      <c r="A1364" s="13" t="s">
        <v>248</v>
      </c>
      <c r="B1364" s="39">
        <v>72015</v>
      </c>
      <c r="C1364" s="42" t="s">
        <v>3848</v>
      </c>
      <c r="D1364" s="10" t="s">
        <v>2968</v>
      </c>
      <c r="E1364" s="10" t="s">
        <v>101</v>
      </c>
      <c r="F1364" s="1" t="s">
        <v>93</v>
      </c>
      <c r="G1364" s="1" t="s">
        <v>1313</v>
      </c>
      <c r="H1364" s="1"/>
      <c r="I1364" s="1"/>
      <c r="J1364" s="1"/>
      <c r="K1364" s="1"/>
      <c r="L1364" s="1"/>
      <c r="M1364" s="1"/>
      <c r="N1364" s="81"/>
      <c r="O1364" s="12" t="s">
        <v>97</v>
      </c>
      <c r="P1364" s="1">
        <v>41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>
        <v>540</v>
      </c>
      <c r="AC1364" s="82"/>
      <c r="AD1364" s="23" t="s">
        <v>52</v>
      </c>
      <c r="AE1364" s="90" t="str">
        <f t="shared" si="170"/>
        <v>4221</v>
      </c>
      <c r="AF1364" s="23"/>
      <c r="AI1364" s="23"/>
      <c r="AJ1364" s="23"/>
      <c r="AK1364" s="23"/>
      <c r="AL1364" s="23"/>
      <c r="AM1364" s="23"/>
      <c r="AN1364" s="23"/>
      <c r="AO1364" s="23"/>
      <c r="AP1364" s="23"/>
      <c r="AQ1364" s="81"/>
      <c r="AR1364" s="83">
        <v>1</v>
      </c>
      <c r="AS1364" s="83">
        <v>1</v>
      </c>
      <c r="AT1364" s="81"/>
      <c r="AU1364" s="12" t="s">
        <v>1934</v>
      </c>
      <c r="AV1364" s="13"/>
      <c r="AW1364" s="39">
        <v>3</v>
      </c>
      <c r="AX1364" s="12">
        <f>VLOOKUP(AW1364,색인!$N$14:$O$19,2,FALSE)</f>
        <v>2</v>
      </c>
      <c r="AY1364" s="39" t="str">
        <f>"T"&amp;O1364&amp;"_"&amp;AX1364&amp;"옵션_"&amp;VLOOKUP(E1364,색인!$J$25:$K$29,2,FALSE)</f>
        <v>T4_2옵션_보조장비</v>
      </c>
      <c r="AZ1364" s="39">
        <f>VLOOKUP(G1364,색인!$J$32:$K$45,2,FALSE)</f>
        <v>2</v>
      </c>
      <c r="BA1364" s="39" t="str">
        <f>_xlfn.IFNA(VLOOKUP(AY1364,표1[[검색용]:[OptionGroupIndex'[']22]],EquipItemTable!AZ1364,FALSE),"옵션고정안함")</f>
        <v>4221</v>
      </c>
    </row>
    <row r="1365" spans="1:53" ht="12" customHeight="1" x14ac:dyDescent="0.2">
      <c r="A1365" s="13" t="s">
        <v>249</v>
      </c>
      <c r="B1365" s="39">
        <v>72016</v>
      </c>
      <c r="C1365" s="42" t="s">
        <v>3849</v>
      </c>
      <c r="D1365" s="10" t="s">
        <v>2968</v>
      </c>
      <c r="E1365" s="10" t="s">
        <v>101</v>
      </c>
      <c r="F1365" s="1" t="s">
        <v>93</v>
      </c>
      <c r="G1365" s="1" t="s">
        <v>1313</v>
      </c>
      <c r="H1365" s="1"/>
      <c r="I1365" s="1"/>
      <c r="J1365" s="1"/>
      <c r="K1365" s="1"/>
      <c r="L1365" s="1"/>
      <c r="M1365" s="1"/>
      <c r="O1365" s="12" t="s">
        <v>97</v>
      </c>
      <c r="P1365" s="1">
        <v>41</v>
      </c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>
        <v>633</v>
      </c>
      <c r="AC1365" s="82"/>
      <c r="AD1365" s="12" t="s">
        <v>52</v>
      </c>
      <c r="AE1365" s="39" t="str">
        <f t="shared" si="170"/>
        <v>4321</v>
      </c>
      <c r="AN1365" s="12"/>
      <c r="AR1365" s="34" t="s">
        <v>94</v>
      </c>
      <c r="AS1365" s="34" t="s">
        <v>94</v>
      </c>
      <c r="AU1365" s="12" t="s">
        <v>1935</v>
      </c>
      <c r="AV1365" s="13"/>
      <c r="AW1365" s="39">
        <v>4</v>
      </c>
      <c r="AX1365" s="12">
        <f>VLOOKUP(AW1365,색인!$N$14:$O$19,2,FALSE)</f>
        <v>3</v>
      </c>
      <c r="AY1365" s="39" t="str">
        <f>"T"&amp;O1365&amp;"_"&amp;AX1365&amp;"옵션_"&amp;VLOOKUP(E1365,색인!$J$25:$K$29,2,FALSE)</f>
        <v>T4_3옵션_보조장비</v>
      </c>
      <c r="AZ1365" s="39">
        <f>VLOOKUP(G1365,색인!$J$32:$K$45,2,FALSE)</f>
        <v>2</v>
      </c>
      <c r="BA1365" s="39" t="str">
        <f>_xlfn.IFNA(VLOOKUP(AY1365,표1[[검색용]:[OptionGroupIndex'[']22]],EquipItemTable!AZ1365,FALSE),"옵션고정안함")</f>
        <v>4321</v>
      </c>
    </row>
    <row r="1366" spans="1:53" ht="14.1" customHeight="1" x14ac:dyDescent="0.2">
      <c r="A1366" s="13" t="s">
        <v>590</v>
      </c>
      <c r="B1366" s="39">
        <v>72032</v>
      </c>
      <c r="C1366" s="42" t="s">
        <v>3842</v>
      </c>
      <c r="D1366" s="10" t="s">
        <v>2968</v>
      </c>
      <c r="E1366" s="10" t="s">
        <v>101</v>
      </c>
      <c r="F1366" s="1" t="s">
        <v>93</v>
      </c>
      <c r="G1366" s="1" t="s">
        <v>1313</v>
      </c>
      <c r="H1366" s="1"/>
      <c r="I1366" s="1"/>
      <c r="J1366" s="1"/>
      <c r="K1366" s="1"/>
      <c r="L1366" s="1"/>
      <c r="M1366" s="1"/>
      <c r="O1366" s="12" t="s">
        <v>97</v>
      </c>
      <c r="P1366" s="1">
        <v>41</v>
      </c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>
        <v>736</v>
      </c>
      <c r="AC1366" s="82"/>
      <c r="AD1366" s="12" t="s">
        <v>52</v>
      </c>
      <c r="AE1366" s="12" t="s">
        <v>97</v>
      </c>
      <c r="AN1366" s="12" t="s">
        <v>554</v>
      </c>
      <c r="AR1366" s="34" t="s">
        <v>94</v>
      </c>
      <c r="AS1366" s="34" t="s">
        <v>94</v>
      </c>
      <c r="AU1366" s="12" t="s">
        <v>1936</v>
      </c>
      <c r="AV1366" s="13"/>
      <c r="AW1366" s="39">
        <v>6</v>
      </c>
      <c r="AX1366" s="12">
        <f>VLOOKUP(AW1366,색인!$N$14:$O$19,2,FALSE)</f>
        <v>4</v>
      </c>
      <c r="AY1366" s="32" t="str">
        <f>"T"&amp;O1366&amp;"_"&amp;AX1366&amp;"옵션_"&amp;VLOOKUP(E1366,색인!$J$25:$K$29,2,FALSE)</f>
        <v>T4_4옵션_보조장비</v>
      </c>
      <c r="AZ1366" s="32">
        <f>VLOOKUP(G1366,색인!$J$32:$K$45,2,FALSE)</f>
        <v>2</v>
      </c>
      <c r="BA1366" s="32" t="str">
        <f>_xlfn.IFNA(VLOOKUP(AY1366,표1[[검색용]:[OptionGroupIndex'[']22]],EquipItemTable!AZ1366,FALSE),"옵션고정안함")</f>
        <v>옵션고정안함</v>
      </c>
    </row>
    <row r="1367" spans="1:53" ht="14.1" customHeight="1" x14ac:dyDescent="0.2">
      <c r="A1367" s="13" t="s">
        <v>1105</v>
      </c>
      <c r="B1367" s="39">
        <v>72033</v>
      </c>
      <c r="C1367" s="42" t="s">
        <v>3843</v>
      </c>
      <c r="D1367" s="10" t="s">
        <v>2968</v>
      </c>
      <c r="E1367" s="10" t="s">
        <v>101</v>
      </c>
      <c r="F1367" s="1" t="s">
        <v>93</v>
      </c>
      <c r="G1367" s="1" t="s">
        <v>1313</v>
      </c>
      <c r="H1367" s="1"/>
      <c r="I1367" s="1"/>
      <c r="J1367" s="1"/>
      <c r="K1367" s="1"/>
      <c r="L1367" s="1"/>
      <c r="M1367" s="1"/>
      <c r="O1367" s="12" t="s">
        <v>97</v>
      </c>
      <c r="P1367" s="1">
        <v>41</v>
      </c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>
        <v>736</v>
      </c>
      <c r="AC1367" s="82"/>
      <c r="AD1367" s="12" t="s">
        <v>52</v>
      </c>
      <c r="AE1367" s="12" t="s">
        <v>97</v>
      </c>
      <c r="AN1367" s="12" t="s">
        <v>1192</v>
      </c>
      <c r="AR1367" s="34" t="s">
        <v>94</v>
      </c>
      <c r="AS1367" s="34" t="s">
        <v>94</v>
      </c>
      <c r="AU1367" s="12" t="s">
        <v>1936</v>
      </c>
      <c r="AV1367" s="13"/>
      <c r="AW1367" s="39">
        <v>6</v>
      </c>
      <c r="AX1367" s="12">
        <f>VLOOKUP(AW1367,색인!$N$14:$O$19,2,FALSE)</f>
        <v>4</v>
      </c>
      <c r="AY1367" s="32" t="str">
        <f>"T"&amp;O1367&amp;"_"&amp;AX1367&amp;"옵션_"&amp;VLOOKUP(E1367,색인!$J$25:$K$29,2,FALSE)</f>
        <v>T4_4옵션_보조장비</v>
      </c>
      <c r="AZ1367" s="32">
        <f>VLOOKUP(G1367,색인!$J$32:$K$45,2,FALSE)</f>
        <v>2</v>
      </c>
      <c r="BA1367" s="32" t="str">
        <f>_xlfn.IFNA(VLOOKUP(AY1367,표1[[검색용]:[OptionGroupIndex'[']22]],EquipItemTable!AZ1367,FALSE),"옵션고정안함")</f>
        <v>옵션고정안함</v>
      </c>
    </row>
    <row r="1368" spans="1:53" ht="14.1" customHeight="1" x14ac:dyDescent="0.2">
      <c r="A1368" s="13" t="s">
        <v>1106</v>
      </c>
      <c r="B1368" s="39">
        <v>72034</v>
      </c>
      <c r="C1368" s="42" t="s">
        <v>3844</v>
      </c>
      <c r="D1368" s="10" t="s">
        <v>2968</v>
      </c>
      <c r="E1368" s="10" t="s">
        <v>101</v>
      </c>
      <c r="F1368" s="1" t="s">
        <v>93</v>
      </c>
      <c r="G1368" s="1" t="s">
        <v>1313</v>
      </c>
      <c r="H1368" s="1"/>
      <c r="I1368" s="1"/>
      <c r="J1368" s="1"/>
      <c r="K1368" s="1"/>
      <c r="L1368" s="1"/>
      <c r="M1368" s="1"/>
      <c r="O1368" s="12" t="s">
        <v>97</v>
      </c>
      <c r="P1368" s="1">
        <v>41</v>
      </c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>
        <v>736</v>
      </c>
      <c r="AC1368" s="82"/>
      <c r="AD1368" s="12" t="s">
        <v>52</v>
      </c>
      <c r="AE1368" s="12" t="s">
        <v>97</v>
      </c>
      <c r="AN1368" s="12" t="s">
        <v>369</v>
      </c>
      <c r="AR1368" s="34" t="s">
        <v>94</v>
      </c>
      <c r="AS1368" s="34" t="s">
        <v>94</v>
      </c>
      <c r="AU1368" s="12" t="s">
        <v>1936</v>
      </c>
      <c r="AV1368" s="13"/>
      <c r="AW1368" s="39">
        <v>6</v>
      </c>
      <c r="AX1368" s="12">
        <f>VLOOKUP(AW1368,색인!$N$14:$O$19,2,FALSE)</f>
        <v>4</v>
      </c>
      <c r="AY1368" s="32" t="str">
        <f>"T"&amp;O1368&amp;"_"&amp;AX1368&amp;"옵션_"&amp;VLOOKUP(E1368,색인!$J$25:$K$29,2,FALSE)</f>
        <v>T4_4옵션_보조장비</v>
      </c>
      <c r="AZ1368" s="32">
        <f>VLOOKUP(G1368,색인!$J$32:$K$45,2,FALSE)</f>
        <v>2</v>
      </c>
      <c r="BA1368" s="32" t="str">
        <f>_xlfn.IFNA(VLOOKUP(AY1368,표1[[검색용]:[OptionGroupIndex'[']22]],EquipItemTable!AZ1368,FALSE),"옵션고정안함")</f>
        <v>옵션고정안함</v>
      </c>
    </row>
    <row r="1369" spans="1:53" ht="14.1" customHeight="1" x14ac:dyDescent="0.2">
      <c r="A1369" s="13" t="s">
        <v>1107</v>
      </c>
      <c r="B1369" s="39">
        <v>72022</v>
      </c>
      <c r="C1369" s="42" t="s">
        <v>3845</v>
      </c>
      <c r="D1369" s="10" t="s">
        <v>2968</v>
      </c>
      <c r="E1369" s="10" t="s">
        <v>101</v>
      </c>
      <c r="F1369" s="1" t="s">
        <v>93</v>
      </c>
      <c r="G1369" s="1" t="s">
        <v>1313</v>
      </c>
      <c r="H1369" s="1"/>
      <c r="I1369" s="1"/>
      <c r="J1369" s="1"/>
      <c r="K1369" s="1"/>
      <c r="L1369" s="1"/>
      <c r="M1369" s="1"/>
      <c r="O1369" s="12" t="s">
        <v>97</v>
      </c>
      <c r="P1369" s="1">
        <v>41</v>
      </c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>
        <v>736</v>
      </c>
      <c r="AC1369" s="82"/>
      <c r="AD1369" s="12" t="s">
        <v>52</v>
      </c>
      <c r="AE1369" s="12" t="s">
        <v>97</v>
      </c>
      <c r="AN1369" s="12" t="s">
        <v>1194</v>
      </c>
      <c r="AR1369" s="34" t="s">
        <v>94</v>
      </c>
      <c r="AS1369" s="34" t="s">
        <v>94</v>
      </c>
      <c r="AU1369" s="12" t="s">
        <v>1936</v>
      </c>
      <c r="AV1369" s="13"/>
      <c r="AW1369" s="39">
        <v>6</v>
      </c>
      <c r="AX1369" s="12">
        <f>VLOOKUP(AW1369,색인!$N$14:$O$19,2,FALSE)</f>
        <v>4</v>
      </c>
      <c r="AY1369" s="32" t="str">
        <f>"T"&amp;O1369&amp;"_"&amp;AX1369&amp;"옵션_"&amp;VLOOKUP(E1369,색인!$J$25:$K$29,2,FALSE)</f>
        <v>T4_4옵션_보조장비</v>
      </c>
      <c r="AZ1369" s="32">
        <f>VLOOKUP(G1369,색인!$J$32:$K$45,2,FALSE)</f>
        <v>2</v>
      </c>
      <c r="BA1369" s="32" t="str">
        <f>_xlfn.IFNA(VLOOKUP(AY1369,표1[[검색용]:[OptionGroupIndex'[']22]],EquipItemTable!AZ1369,FALSE),"옵션고정안함")</f>
        <v>옵션고정안함</v>
      </c>
    </row>
    <row r="1370" spans="1:53" ht="12" customHeight="1" x14ac:dyDescent="0.2">
      <c r="A1370" s="13" t="s">
        <v>511</v>
      </c>
      <c r="B1370" s="39">
        <v>72017</v>
      </c>
      <c r="C1370" s="42" t="s">
        <v>3850</v>
      </c>
      <c r="D1370" s="10" t="s">
        <v>2968</v>
      </c>
      <c r="E1370" s="10" t="s">
        <v>101</v>
      </c>
      <c r="F1370" s="1" t="s">
        <v>471</v>
      </c>
      <c r="G1370" s="1" t="s">
        <v>1313</v>
      </c>
      <c r="H1370" s="1"/>
      <c r="I1370" s="1"/>
      <c r="J1370" s="1"/>
      <c r="K1370" s="1"/>
      <c r="L1370" s="1"/>
      <c r="M1370" s="1"/>
      <c r="O1370" s="12" t="s">
        <v>430</v>
      </c>
      <c r="P1370" s="1">
        <v>51</v>
      </c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>
        <v>726</v>
      </c>
      <c r="AC1370" s="82"/>
      <c r="AD1370" s="12" t="s">
        <v>542</v>
      </c>
      <c r="AE1370" s="12" t="s">
        <v>552</v>
      </c>
      <c r="AN1370" s="12"/>
      <c r="AU1370" s="12" t="s">
        <v>1932</v>
      </c>
      <c r="AV1370" s="13"/>
      <c r="AW1370" s="39">
        <v>1</v>
      </c>
      <c r="AY1370" s="32"/>
      <c r="AZ1370" s="32"/>
      <c r="BA1370" s="32"/>
    </row>
    <row r="1371" spans="1:53" ht="12" customHeight="1" x14ac:dyDescent="0.2">
      <c r="A1371" s="13" t="s">
        <v>512</v>
      </c>
      <c r="B1371" s="39">
        <v>72018</v>
      </c>
      <c r="C1371" s="42" t="s">
        <v>3851</v>
      </c>
      <c r="D1371" s="10" t="s">
        <v>2968</v>
      </c>
      <c r="E1371" s="10" t="s">
        <v>101</v>
      </c>
      <c r="F1371" s="1" t="s">
        <v>471</v>
      </c>
      <c r="G1371" s="1" t="s">
        <v>1313</v>
      </c>
      <c r="H1371" s="1"/>
      <c r="I1371" s="1"/>
      <c r="J1371" s="1"/>
      <c r="K1371" s="1"/>
      <c r="L1371" s="1"/>
      <c r="M1371" s="1"/>
      <c r="O1371" s="12" t="s">
        <v>430</v>
      </c>
      <c r="P1371" s="1">
        <v>51</v>
      </c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>
        <v>886</v>
      </c>
      <c r="AC1371" s="82"/>
      <c r="AD1371" s="12" t="s">
        <v>542</v>
      </c>
      <c r="AE1371" s="39" t="str">
        <f t="shared" ref="AE1371:AE1373" si="171">BA1371</f>
        <v>5121</v>
      </c>
      <c r="AN1371" s="12"/>
      <c r="AU1371" s="12" t="s">
        <v>1933</v>
      </c>
      <c r="AV1371" s="13"/>
      <c r="AW1371" s="39">
        <v>2</v>
      </c>
      <c r="AX1371" s="12">
        <f>VLOOKUP(AW1371,색인!$N$14:$O$19,2,FALSE)</f>
        <v>1</v>
      </c>
      <c r="AY1371" s="39" t="str">
        <f>"T"&amp;O1371&amp;"_"&amp;AX1371&amp;"옵션_"&amp;VLOOKUP(E1371,색인!$J$25:$K$29,2,FALSE)</f>
        <v>T5_1옵션_보조장비</v>
      </c>
      <c r="AZ1371" s="39">
        <f>VLOOKUP(G1371,색인!$J$32:$K$45,2,FALSE)</f>
        <v>2</v>
      </c>
      <c r="BA1371" s="39" t="str">
        <f>_xlfn.IFNA(VLOOKUP(AY1371,표1[[검색용]:[OptionGroupIndex'[']22]],EquipItemTable!AZ1371,FALSE),"옵션고정안함")</f>
        <v>5121</v>
      </c>
    </row>
    <row r="1372" spans="1:53" ht="12" customHeight="1" x14ac:dyDescent="0.2">
      <c r="A1372" s="13" t="s">
        <v>513</v>
      </c>
      <c r="B1372" s="39">
        <v>72019</v>
      </c>
      <c r="C1372" s="42" t="s">
        <v>3852</v>
      </c>
      <c r="D1372" s="10" t="s">
        <v>2968</v>
      </c>
      <c r="E1372" s="10" t="s">
        <v>101</v>
      </c>
      <c r="F1372" s="1" t="s">
        <v>471</v>
      </c>
      <c r="G1372" s="1" t="s">
        <v>1313</v>
      </c>
      <c r="H1372" s="1"/>
      <c r="I1372" s="1"/>
      <c r="J1372" s="1"/>
      <c r="K1372" s="1"/>
      <c r="L1372" s="1"/>
      <c r="M1372" s="1"/>
      <c r="O1372" s="12" t="s">
        <v>430</v>
      </c>
      <c r="P1372" s="1">
        <v>51</v>
      </c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>
        <v>1030</v>
      </c>
      <c r="AC1372" s="82"/>
      <c r="AD1372" s="12" t="s">
        <v>542</v>
      </c>
      <c r="AE1372" s="39" t="str">
        <f t="shared" si="171"/>
        <v>5221</v>
      </c>
      <c r="AN1372" s="12"/>
      <c r="AR1372" s="34" t="s">
        <v>543</v>
      </c>
      <c r="AS1372" s="34" t="s">
        <v>543</v>
      </c>
      <c r="AU1372" s="12" t="s">
        <v>1934</v>
      </c>
      <c r="AV1372" s="13"/>
      <c r="AW1372" s="39">
        <v>3</v>
      </c>
      <c r="AX1372" s="12">
        <f>VLOOKUP(AW1372,색인!$N$14:$O$19,2,FALSE)</f>
        <v>2</v>
      </c>
      <c r="AY1372" s="39" t="str">
        <f>"T"&amp;O1372&amp;"_"&amp;AX1372&amp;"옵션_"&amp;VLOOKUP(E1372,색인!$J$25:$K$29,2,FALSE)</f>
        <v>T5_2옵션_보조장비</v>
      </c>
      <c r="AZ1372" s="39">
        <f>VLOOKUP(G1372,색인!$J$32:$K$45,2,FALSE)</f>
        <v>2</v>
      </c>
      <c r="BA1372" s="39" t="str">
        <f>_xlfn.IFNA(VLOOKUP(AY1372,표1[[검색용]:[OptionGroupIndex'[']22]],EquipItemTable!AZ1372,FALSE),"옵션고정안함")</f>
        <v>5221</v>
      </c>
    </row>
    <row r="1373" spans="1:53" ht="12" customHeight="1" x14ac:dyDescent="0.2">
      <c r="A1373" s="13" t="s">
        <v>514</v>
      </c>
      <c r="B1373" s="39">
        <v>72020</v>
      </c>
      <c r="C1373" s="42" t="s">
        <v>3853</v>
      </c>
      <c r="D1373" s="10" t="s">
        <v>2968</v>
      </c>
      <c r="E1373" s="10" t="s">
        <v>101</v>
      </c>
      <c r="F1373" s="1" t="s">
        <v>471</v>
      </c>
      <c r="G1373" s="1" t="s">
        <v>1313</v>
      </c>
      <c r="H1373" s="1"/>
      <c r="I1373" s="1"/>
      <c r="J1373" s="1"/>
      <c r="K1373" s="1"/>
      <c r="L1373" s="1"/>
      <c r="M1373" s="1"/>
      <c r="O1373" s="12" t="s">
        <v>430</v>
      </c>
      <c r="P1373" s="1">
        <v>51</v>
      </c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>
        <v>1194</v>
      </c>
      <c r="AC1373" s="82"/>
      <c r="AD1373" s="12" t="s">
        <v>542</v>
      </c>
      <c r="AE1373" s="39" t="str">
        <f t="shared" si="171"/>
        <v>5321</v>
      </c>
      <c r="AN1373" s="12"/>
      <c r="AR1373" s="34" t="s">
        <v>543</v>
      </c>
      <c r="AS1373" s="34" t="s">
        <v>543</v>
      </c>
      <c r="AU1373" s="12" t="s">
        <v>1935</v>
      </c>
      <c r="AV1373" s="13"/>
      <c r="AW1373" s="39">
        <v>4</v>
      </c>
      <c r="AX1373" s="12">
        <f>VLOOKUP(AW1373,색인!$N$14:$O$19,2,FALSE)</f>
        <v>3</v>
      </c>
      <c r="AY1373" s="39" t="str">
        <f>"T"&amp;O1373&amp;"_"&amp;AX1373&amp;"옵션_"&amp;VLOOKUP(E1373,색인!$J$25:$K$29,2,FALSE)</f>
        <v>T5_3옵션_보조장비</v>
      </c>
      <c r="AZ1373" s="39">
        <f>VLOOKUP(G1373,색인!$J$32:$K$45,2,FALSE)</f>
        <v>2</v>
      </c>
      <c r="BA1373" s="39" t="str">
        <f>_xlfn.IFNA(VLOOKUP(AY1373,표1[[검색용]:[OptionGroupIndex'[']22]],EquipItemTable!AZ1373,FALSE),"옵션고정안함")</f>
        <v>5321</v>
      </c>
    </row>
    <row r="1374" spans="1:53" ht="14.1" customHeight="1" x14ac:dyDescent="0.2">
      <c r="A1374" s="13" t="s">
        <v>591</v>
      </c>
      <c r="B1374" s="39">
        <v>72035</v>
      </c>
      <c r="C1374" s="42" t="s">
        <v>3842</v>
      </c>
      <c r="D1374" s="10" t="s">
        <v>2968</v>
      </c>
      <c r="E1374" s="10" t="s">
        <v>101</v>
      </c>
      <c r="F1374" s="1" t="s">
        <v>471</v>
      </c>
      <c r="G1374" s="1" t="s">
        <v>1313</v>
      </c>
      <c r="H1374" s="1"/>
      <c r="I1374" s="1"/>
      <c r="J1374" s="1"/>
      <c r="K1374" s="1"/>
      <c r="L1374" s="1"/>
      <c r="M1374" s="1"/>
      <c r="O1374" s="12" t="s">
        <v>430</v>
      </c>
      <c r="P1374" s="1">
        <v>51</v>
      </c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>
        <v>1377</v>
      </c>
      <c r="AC1374" s="82"/>
      <c r="AD1374" s="12" t="s">
        <v>98</v>
      </c>
      <c r="AE1374" s="12" t="s">
        <v>529</v>
      </c>
      <c r="AN1374" s="12" t="s">
        <v>554</v>
      </c>
      <c r="AR1374" s="34" t="s">
        <v>94</v>
      </c>
      <c r="AS1374" s="34" t="s">
        <v>94</v>
      </c>
      <c r="AU1374" s="12" t="s">
        <v>1936</v>
      </c>
      <c r="AV1374" s="13"/>
      <c r="AW1374" s="39">
        <v>6</v>
      </c>
      <c r="AX1374" s="12">
        <f>VLOOKUP(AW1374,색인!$N$14:$O$19,2,FALSE)</f>
        <v>4</v>
      </c>
      <c r="AY1374" s="32" t="str">
        <f>"T"&amp;O1374&amp;"_"&amp;AX1374&amp;"옵션_"&amp;VLOOKUP(E1374,색인!$J$25:$K$29,2,FALSE)</f>
        <v>T5_4옵션_보조장비</v>
      </c>
      <c r="AZ1374" s="32">
        <f>VLOOKUP(G1374,색인!$J$32:$K$45,2,FALSE)</f>
        <v>2</v>
      </c>
      <c r="BA1374" s="32" t="str">
        <f>_xlfn.IFNA(VLOOKUP(AY1374,표1[[검색용]:[OptionGroupIndex'[']22]],EquipItemTable!AZ1374,FALSE),"옵션고정안함")</f>
        <v>옵션고정안함</v>
      </c>
    </row>
    <row r="1375" spans="1:53" ht="14.1" customHeight="1" x14ac:dyDescent="0.2">
      <c r="A1375" s="13" t="s">
        <v>1108</v>
      </c>
      <c r="B1375" s="39">
        <v>72036</v>
      </c>
      <c r="C1375" s="42" t="s">
        <v>3843</v>
      </c>
      <c r="D1375" s="10" t="s">
        <v>2968</v>
      </c>
      <c r="E1375" s="10" t="s">
        <v>101</v>
      </c>
      <c r="F1375" s="1" t="s">
        <v>471</v>
      </c>
      <c r="G1375" s="1" t="s">
        <v>1313</v>
      </c>
      <c r="H1375" s="1"/>
      <c r="I1375" s="1"/>
      <c r="J1375" s="1"/>
      <c r="K1375" s="1"/>
      <c r="L1375" s="1"/>
      <c r="M1375" s="1"/>
      <c r="O1375" s="12" t="s">
        <v>430</v>
      </c>
      <c r="P1375" s="1">
        <v>51</v>
      </c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>
        <v>1377</v>
      </c>
      <c r="AC1375" s="82"/>
      <c r="AD1375" s="12" t="s">
        <v>98</v>
      </c>
      <c r="AE1375" s="12" t="s">
        <v>430</v>
      </c>
      <c r="AN1375" s="12" t="s">
        <v>1192</v>
      </c>
      <c r="AR1375" s="34" t="s">
        <v>94</v>
      </c>
      <c r="AS1375" s="34" t="s">
        <v>94</v>
      </c>
      <c r="AU1375" s="12" t="s">
        <v>1936</v>
      </c>
      <c r="AV1375" s="13"/>
      <c r="AW1375" s="39">
        <v>6</v>
      </c>
      <c r="AX1375" s="12">
        <f>VLOOKUP(AW1375,색인!$N$14:$O$19,2,FALSE)</f>
        <v>4</v>
      </c>
      <c r="AY1375" s="32" t="str">
        <f>"T"&amp;O1375&amp;"_"&amp;AX1375&amp;"옵션_"&amp;VLOOKUP(E1375,색인!$J$25:$K$29,2,FALSE)</f>
        <v>T5_4옵션_보조장비</v>
      </c>
      <c r="AZ1375" s="32">
        <f>VLOOKUP(G1375,색인!$J$32:$K$45,2,FALSE)</f>
        <v>2</v>
      </c>
      <c r="BA1375" s="32" t="str">
        <f>_xlfn.IFNA(VLOOKUP(AY1375,표1[[검색용]:[OptionGroupIndex'[']22]],EquipItemTable!AZ1375,FALSE),"옵션고정안함")</f>
        <v>옵션고정안함</v>
      </c>
    </row>
    <row r="1376" spans="1:53" ht="14.1" customHeight="1" x14ac:dyDescent="0.2">
      <c r="A1376" s="13" t="s">
        <v>1109</v>
      </c>
      <c r="B1376" s="39">
        <v>72037</v>
      </c>
      <c r="C1376" s="42" t="s">
        <v>3844</v>
      </c>
      <c r="D1376" s="10" t="s">
        <v>2968</v>
      </c>
      <c r="E1376" s="10" t="s">
        <v>101</v>
      </c>
      <c r="F1376" s="1" t="s">
        <v>471</v>
      </c>
      <c r="G1376" s="1" t="s">
        <v>1313</v>
      </c>
      <c r="H1376" s="1"/>
      <c r="I1376" s="1"/>
      <c r="J1376" s="1"/>
      <c r="K1376" s="1"/>
      <c r="L1376" s="1"/>
      <c r="M1376" s="1"/>
      <c r="O1376" s="12" t="s">
        <v>430</v>
      </c>
      <c r="P1376" s="1">
        <v>51</v>
      </c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>
        <v>1377</v>
      </c>
      <c r="AC1376" s="82"/>
      <c r="AD1376" s="12" t="s">
        <v>98</v>
      </c>
      <c r="AE1376" s="12" t="s">
        <v>430</v>
      </c>
      <c r="AN1376" s="12" t="s">
        <v>369</v>
      </c>
      <c r="AR1376" s="34" t="s">
        <v>94</v>
      </c>
      <c r="AS1376" s="34" t="s">
        <v>94</v>
      </c>
      <c r="AU1376" s="12" t="s">
        <v>1936</v>
      </c>
      <c r="AV1376" s="13"/>
      <c r="AW1376" s="39">
        <v>6</v>
      </c>
      <c r="AX1376" s="12">
        <f>VLOOKUP(AW1376,색인!$N$14:$O$19,2,FALSE)</f>
        <v>4</v>
      </c>
      <c r="AY1376" s="32" t="str">
        <f>"T"&amp;O1376&amp;"_"&amp;AX1376&amp;"옵션_"&amp;VLOOKUP(E1376,색인!$J$25:$K$29,2,FALSE)</f>
        <v>T5_4옵션_보조장비</v>
      </c>
      <c r="AZ1376" s="32">
        <f>VLOOKUP(G1376,색인!$J$32:$K$45,2,FALSE)</f>
        <v>2</v>
      </c>
      <c r="BA1376" s="32" t="str">
        <f>_xlfn.IFNA(VLOOKUP(AY1376,표1[[검색용]:[OptionGroupIndex'[']22]],EquipItemTable!AZ1376,FALSE),"옵션고정안함")</f>
        <v>옵션고정안함</v>
      </c>
    </row>
    <row r="1377" spans="1:53" ht="14.1" customHeight="1" x14ac:dyDescent="0.2">
      <c r="A1377" s="13" t="s">
        <v>1110</v>
      </c>
      <c r="B1377" s="39">
        <v>72023</v>
      </c>
      <c r="C1377" s="42" t="s">
        <v>3845</v>
      </c>
      <c r="D1377" s="10" t="s">
        <v>2968</v>
      </c>
      <c r="E1377" s="10" t="s">
        <v>101</v>
      </c>
      <c r="F1377" s="1" t="s">
        <v>471</v>
      </c>
      <c r="G1377" s="1" t="s">
        <v>1313</v>
      </c>
      <c r="H1377" s="1"/>
      <c r="I1377" s="1"/>
      <c r="J1377" s="1"/>
      <c r="K1377" s="1"/>
      <c r="L1377" s="1"/>
      <c r="M1377" s="1"/>
      <c r="O1377" s="12" t="s">
        <v>430</v>
      </c>
      <c r="P1377" s="1">
        <v>51</v>
      </c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>
        <v>1377</v>
      </c>
      <c r="AC1377" s="82"/>
      <c r="AD1377" s="12" t="s">
        <v>98</v>
      </c>
      <c r="AE1377" s="12" t="s">
        <v>430</v>
      </c>
      <c r="AN1377" s="12" t="s">
        <v>1194</v>
      </c>
      <c r="AR1377" s="34" t="s">
        <v>94</v>
      </c>
      <c r="AS1377" s="34" t="s">
        <v>94</v>
      </c>
      <c r="AU1377" s="12" t="s">
        <v>1936</v>
      </c>
      <c r="AV1377" s="13"/>
      <c r="AW1377" s="39">
        <v>6</v>
      </c>
      <c r="AX1377" s="12">
        <f>VLOOKUP(AW1377,색인!$N$14:$O$19,2,FALSE)</f>
        <v>4</v>
      </c>
      <c r="AY1377" s="32" t="str">
        <f>"T"&amp;O1377&amp;"_"&amp;AX1377&amp;"옵션_"&amp;VLOOKUP(E1377,색인!$J$25:$K$29,2,FALSE)</f>
        <v>T5_4옵션_보조장비</v>
      </c>
      <c r="AZ1377" s="32">
        <f>VLOOKUP(G1377,색인!$J$32:$K$45,2,FALSE)</f>
        <v>2</v>
      </c>
      <c r="BA1377" s="32" t="str">
        <f>_xlfn.IFNA(VLOOKUP(AY1377,표1[[검색용]:[OptionGroupIndex'[']22]],EquipItemTable!AZ1377,FALSE),"옵션고정안함")</f>
        <v>옵션고정안함</v>
      </c>
    </row>
    <row r="1378" spans="1:53" s="1" customFormat="1" ht="12" x14ac:dyDescent="0.2">
      <c r="A1378" s="1" t="s">
        <v>825</v>
      </c>
      <c r="B1378" s="39">
        <v>72024</v>
      </c>
      <c r="C1378" s="42" t="s">
        <v>3854</v>
      </c>
      <c r="D1378" s="10" t="s">
        <v>2968</v>
      </c>
      <c r="E1378" s="10" t="s">
        <v>826</v>
      </c>
      <c r="F1378" s="1" t="s">
        <v>471</v>
      </c>
      <c r="G1378" s="1" t="s">
        <v>1313</v>
      </c>
      <c r="N1378" s="8"/>
      <c r="O1378" s="12" t="s">
        <v>755</v>
      </c>
      <c r="P1378" s="1">
        <v>61</v>
      </c>
      <c r="AB1378" s="1">
        <v>1269</v>
      </c>
      <c r="AC1378" s="82"/>
      <c r="AD1378" s="12" t="s">
        <v>756</v>
      </c>
      <c r="AE1378" s="12" t="s">
        <v>529</v>
      </c>
      <c r="AF1378" s="12"/>
      <c r="AG1378" s="23"/>
      <c r="AH1378" s="23"/>
      <c r="AI1378" s="12"/>
      <c r="AJ1378" s="12"/>
      <c r="AK1378" s="12"/>
      <c r="AL1378" s="12"/>
      <c r="AM1378" s="12"/>
      <c r="AN1378" s="12"/>
      <c r="AO1378" s="12"/>
      <c r="AP1378" s="12"/>
      <c r="AQ1378" s="8"/>
      <c r="AR1378" s="34"/>
      <c r="AS1378" s="34"/>
      <c r="AT1378" s="85"/>
      <c r="AU1378" s="12" t="s">
        <v>1932</v>
      </c>
      <c r="AW1378" s="39">
        <v>1</v>
      </c>
      <c r="AX1378" s="12"/>
      <c r="AY1378" s="32"/>
      <c r="AZ1378" s="32"/>
      <c r="BA1378" s="32"/>
    </row>
    <row r="1379" spans="1:53" s="1" customFormat="1" ht="12" x14ac:dyDescent="0.2">
      <c r="A1379" s="1" t="s">
        <v>827</v>
      </c>
      <c r="B1379" s="39">
        <v>72025</v>
      </c>
      <c r="C1379" s="42" t="s">
        <v>3855</v>
      </c>
      <c r="D1379" s="10" t="s">
        <v>2968</v>
      </c>
      <c r="E1379" s="10" t="s">
        <v>826</v>
      </c>
      <c r="F1379" s="1" t="s">
        <v>471</v>
      </c>
      <c r="G1379" s="1" t="s">
        <v>1313</v>
      </c>
      <c r="N1379" s="8"/>
      <c r="O1379" s="12" t="s">
        <v>755</v>
      </c>
      <c r="P1379" s="1">
        <v>61</v>
      </c>
      <c r="AB1379" s="1">
        <v>1437</v>
      </c>
      <c r="AC1379" s="82"/>
      <c r="AD1379" s="12" t="s">
        <v>756</v>
      </c>
      <c r="AE1379" s="39" t="str">
        <f t="shared" ref="AE1379:AE1381" si="172">BA1379</f>
        <v>6121</v>
      </c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8"/>
      <c r="AR1379" s="34"/>
      <c r="AS1379" s="34"/>
      <c r="AT1379" s="85"/>
      <c r="AU1379" s="12" t="s">
        <v>1933</v>
      </c>
      <c r="AW1379" s="39">
        <v>2</v>
      </c>
      <c r="AX1379" s="12">
        <f>VLOOKUP(AW1379,색인!$N$14:$O$19,2,FALSE)</f>
        <v>1</v>
      </c>
      <c r="AY1379" s="32" t="str">
        <f>"T"&amp;O1379&amp;"_"&amp;AX1379&amp;"옵션_"&amp;VLOOKUP(E1379,색인!$J$25:$K$29,2,FALSE)</f>
        <v>T6_1옵션_보조장비</v>
      </c>
      <c r="AZ1379" s="32">
        <f>VLOOKUP(G1379,색인!$J$32:$K$45,2,FALSE)</f>
        <v>2</v>
      </c>
      <c r="BA1379" s="32" t="str">
        <f>_xlfn.IFNA(VLOOKUP(AY1379,표1[[검색용]:[OptionGroupIndex'[']22]],EquipItemTable!AZ1379,FALSE),"옵션고정안함")</f>
        <v>6121</v>
      </c>
    </row>
    <row r="1380" spans="1:53" s="1" customFormat="1" ht="12" x14ac:dyDescent="0.2">
      <c r="A1380" s="1" t="s">
        <v>828</v>
      </c>
      <c r="B1380" s="39">
        <v>72026</v>
      </c>
      <c r="C1380" s="42" t="s">
        <v>3856</v>
      </c>
      <c r="D1380" s="10" t="s">
        <v>2968</v>
      </c>
      <c r="E1380" s="10" t="s">
        <v>829</v>
      </c>
      <c r="F1380" s="1" t="s">
        <v>471</v>
      </c>
      <c r="G1380" s="1" t="s">
        <v>1313</v>
      </c>
      <c r="N1380" s="8"/>
      <c r="O1380" s="12" t="s">
        <v>747</v>
      </c>
      <c r="P1380" s="1">
        <v>61</v>
      </c>
      <c r="AB1380" s="1">
        <v>1582</v>
      </c>
      <c r="AC1380" s="82"/>
      <c r="AD1380" s="12" t="s">
        <v>748</v>
      </c>
      <c r="AE1380" s="39" t="str">
        <f t="shared" si="172"/>
        <v>6221</v>
      </c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8"/>
      <c r="AR1380" s="34" t="s">
        <v>94</v>
      </c>
      <c r="AS1380" s="34" t="s">
        <v>94</v>
      </c>
      <c r="AT1380" s="85"/>
      <c r="AU1380" s="12" t="s">
        <v>1934</v>
      </c>
      <c r="AW1380" s="39">
        <v>3</v>
      </c>
      <c r="AX1380" s="12">
        <f>VLOOKUP(AW1380,색인!$N$14:$O$19,2,FALSE)</f>
        <v>2</v>
      </c>
      <c r="AY1380" s="32" t="str">
        <f>"T"&amp;O1380&amp;"_"&amp;AX1380&amp;"옵션_"&amp;VLOOKUP(E1380,색인!$J$25:$K$29,2,FALSE)</f>
        <v>T6_2옵션_보조장비</v>
      </c>
      <c r="AZ1380" s="32">
        <f>VLOOKUP(G1380,색인!$J$32:$K$45,2,FALSE)</f>
        <v>2</v>
      </c>
      <c r="BA1380" s="32" t="str">
        <f>_xlfn.IFNA(VLOOKUP(AY1380,표1[[검색용]:[OptionGroupIndex'[']22]],EquipItemTable!AZ1380,FALSE),"옵션고정안함")</f>
        <v>6221</v>
      </c>
    </row>
    <row r="1381" spans="1:53" s="1" customFormat="1" ht="12" x14ac:dyDescent="0.2">
      <c r="A1381" s="1" t="s">
        <v>830</v>
      </c>
      <c r="B1381" s="39">
        <v>72027</v>
      </c>
      <c r="C1381" s="42" t="s">
        <v>3857</v>
      </c>
      <c r="D1381" s="10" t="s">
        <v>2968</v>
      </c>
      <c r="E1381" s="10" t="s">
        <v>829</v>
      </c>
      <c r="F1381" s="1" t="s">
        <v>471</v>
      </c>
      <c r="G1381" s="1" t="s">
        <v>1313</v>
      </c>
      <c r="N1381" s="8"/>
      <c r="O1381" s="12" t="s">
        <v>747</v>
      </c>
      <c r="P1381" s="1">
        <v>61</v>
      </c>
      <c r="AB1381" s="1">
        <v>1741</v>
      </c>
      <c r="AC1381" s="82"/>
      <c r="AD1381" s="12" t="s">
        <v>748</v>
      </c>
      <c r="AE1381" s="39" t="str">
        <f t="shared" si="172"/>
        <v>6321</v>
      </c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8"/>
      <c r="AR1381" s="34" t="s">
        <v>94</v>
      </c>
      <c r="AS1381" s="34" t="s">
        <v>94</v>
      </c>
      <c r="AT1381" s="85"/>
      <c r="AU1381" s="12" t="s">
        <v>1935</v>
      </c>
      <c r="AW1381" s="39">
        <v>4</v>
      </c>
      <c r="AX1381" s="12">
        <f>VLOOKUP(AW1381,색인!$N$14:$O$19,2,FALSE)</f>
        <v>3</v>
      </c>
      <c r="AY1381" s="32" t="str">
        <f>"T"&amp;O1381&amp;"_"&amp;AX1381&amp;"옵션_"&amp;VLOOKUP(E1381,색인!$J$25:$K$29,2,FALSE)</f>
        <v>T6_3옵션_보조장비</v>
      </c>
      <c r="AZ1381" s="32">
        <f>VLOOKUP(G1381,색인!$J$32:$K$45,2,FALSE)</f>
        <v>2</v>
      </c>
      <c r="BA1381" s="32" t="str">
        <f>_xlfn.IFNA(VLOOKUP(AY1381,표1[[검색용]:[OptionGroupIndex'[']22]],EquipItemTable!AZ1381,FALSE),"옵션고정안함")</f>
        <v>6321</v>
      </c>
    </row>
    <row r="1382" spans="1:53" s="1" customFormat="1" ht="12" x14ac:dyDescent="0.2">
      <c r="A1382" s="1" t="s">
        <v>831</v>
      </c>
      <c r="B1382" s="39">
        <v>72038</v>
      </c>
      <c r="C1382" s="42" t="s">
        <v>3842</v>
      </c>
      <c r="D1382" s="10" t="s">
        <v>2968</v>
      </c>
      <c r="E1382" s="10" t="s">
        <v>829</v>
      </c>
      <c r="F1382" s="1" t="s">
        <v>471</v>
      </c>
      <c r="G1382" s="1" t="s">
        <v>1313</v>
      </c>
      <c r="N1382" s="8"/>
      <c r="O1382" s="12" t="s">
        <v>747</v>
      </c>
      <c r="P1382" s="1">
        <v>61</v>
      </c>
      <c r="AB1382" s="1">
        <v>1906</v>
      </c>
      <c r="AC1382" s="82"/>
      <c r="AD1382" s="12" t="s">
        <v>748</v>
      </c>
      <c r="AE1382" s="39" t="str">
        <f>BA1382</f>
        <v>6421</v>
      </c>
      <c r="AF1382" s="12"/>
      <c r="AG1382" s="12"/>
      <c r="AH1382" s="12"/>
      <c r="AI1382" s="12"/>
      <c r="AJ1382" s="12"/>
      <c r="AK1382" s="12"/>
      <c r="AL1382" s="12"/>
      <c r="AM1382" s="12"/>
      <c r="AN1382" s="12" t="s">
        <v>554</v>
      </c>
      <c r="AO1382" s="12"/>
      <c r="AP1382" s="12"/>
      <c r="AQ1382" s="8"/>
      <c r="AR1382" s="34" t="s">
        <v>94</v>
      </c>
      <c r="AS1382" s="34" t="s">
        <v>94</v>
      </c>
      <c r="AT1382" s="85"/>
      <c r="AU1382" s="12" t="s">
        <v>1936</v>
      </c>
      <c r="AW1382" s="39">
        <v>6</v>
      </c>
      <c r="AX1382" s="12">
        <f>VLOOKUP(AW1382,색인!$N$14:$O$19,2,FALSE)</f>
        <v>4</v>
      </c>
      <c r="AY1382" s="32" t="str">
        <f>"T"&amp;O1382&amp;"_"&amp;AX1382&amp;"옵션_"&amp;VLOOKUP(E1382,색인!$J$25:$K$29,2,FALSE)</f>
        <v>T6_4옵션_보조장비</v>
      </c>
      <c r="AZ1382" s="32">
        <f>VLOOKUP(G1382,색인!$J$32:$K$45,2,FALSE)</f>
        <v>2</v>
      </c>
      <c r="BA1382" s="32" t="str">
        <f>_xlfn.IFNA(VLOOKUP(AY1382,표1[[검색용]:[OptionGroupIndex'[']22]],EquipItemTable!AZ1382,FALSE),"옵션고정안함")</f>
        <v>6421</v>
      </c>
    </row>
    <row r="1383" spans="1:53" s="1" customFormat="1" ht="12" x14ac:dyDescent="0.2">
      <c r="A1383" s="1" t="s">
        <v>1111</v>
      </c>
      <c r="B1383" s="39">
        <v>72039</v>
      </c>
      <c r="C1383" s="42" t="s">
        <v>3843</v>
      </c>
      <c r="D1383" s="10" t="s">
        <v>2968</v>
      </c>
      <c r="E1383" s="10" t="s">
        <v>502</v>
      </c>
      <c r="F1383" s="1" t="s">
        <v>471</v>
      </c>
      <c r="G1383" s="1" t="s">
        <v>1313</v>
      </c>
      <c r="N1383" s="8"/>
      <c r="O1383" s="12" t="s">
        <v>747</v>
      </c>
      <c r="P1383" s="1">
        <v>61</v>
      </c>
      <c r="AB1383" s="1">
        <v>1906</v>
      </c>
      <c r="AC1383" s="82"/>
      <c r="AD1383" s="12" t="s">
        <v>336</v>
      </c>
      <c r="AE1383" s="39" t="str">
        <f>BA1383</f>
        <v>6421</v>
      </c>
      <c r="AF1383" s="12"/>
      <c r="AG1383" s="12"/>
      <c r="AH1383" s="12"/>
      <c r="AI1383" s="12"/>
      <c r="AJ1383" s="12"/>
      <c r="AK1383" s="12"/>
      <c r="AL1383" s="12"/>
      <c r="AM1383" s="12"/>
      <c r="AN1383" s="12" t="s">
        <v>1192</v>
      </c>
      <c r="AO1383" s="12"/>
      <c r="AP1383" s="12"/>
      <c r="AQ1383" s="8"/>
      <c r="AR1383" s="34" t="s">
        <v>94</v>
      </c>
      <c r="AS1383" s="34" t="s">
        <v>94</v>
      </c>
      <c r="AT1383" s="85"/>
      <c r="AU1383" s="12" t="s">
        <v>1936</v>
      </c>
      <c r="AW1383" s="39">
        <v>6</v>
      </c>
      <c r="AX1383" s="12">
        <f>VLOOKUP(AW1383,색인!$N$14:$O$19,2,FALSE)</f>
        <v>4</v>
      </c>
      <c r="AY1383" s="32" t="str">
        <f>"T"&amp;O1383&amp;"_"&amp;AX1383&amp;"옵션_"&amp;VLOOKUP(E1383,색인!$J$25:$K$29,2,FALSE)</f>
        <v>T6_4옵션_보조장비</v>
      </c>
      <c r="AZ1383" s="32">
        <f>VLOOKUP(G1383,색인!$J$32:$K$45,2,FALSE)</f>
        <v>2</v>
      </c>
      <c r="BA1383" s="32" t="str">
        <f>_xlfn.IFNA(VLOOKUP(AY1383,표1[[검색용]:[OptionGroupIndex'[']22]],EquipItemTable!AZ1383,FALSE),"옵션고정안함")</f>
        <v>6421</v>
      </c>
    </row>
    <row r="1384" spans="1:53" s="1" customFormat="1" ht="12" x14ac:dyDescent="0.2">
      <c r="A1384" s="1" t="s">
        <v>1112</v>
      </c>
      <c r="B1384" s="39">
        <v>72040</v>
      </c>
      <c r="C1384" s="42" t="s">
        <v>3844</v>
      </c>
      <c r="D1384" s="10" t="s">
        <v>2968</v>
      </c>
      <c r="E1384" s="10" t="s">
        <v>502</v>
      </c>
      <c r="F1384" s="1" t="s">
        <v>471</v>
      </c>
      <c r="G1384" s="1" t="s">
        <v>1313</v>
      </c>
      <c r="N1384" s="8"/>
      <c r="O1384" s="12" t="s">
        <v>747</v>
      </c>
      <c r="P1384" s="1">
        <v>61</v>
      </c>
      <c r="AB1384" s="1">
        <v>1906</v>
      </c>
      <c r="AC1384" s="82"/>
      <c r="AD1384" s="12" t="s">
        <v>336</v>
      </c>
      <c r="AE1384" s="39" t="str">
        <f>BA1384</f>
        <v>6421</v>
      </c>
      <c r="AF1384" s="12"/>
      <c r="AG1384" s="12"/>
      <c r="AH1384" s="12"/>
      <c r="AI1384" s="12"/>
      <c r="AJ1384" s="12"/>
      <c r="AK1384" s="12"/>
      <c r="AL1384" s="12"/>
      <c r="AM1384" s="12"/>
      <c r="AN1384" s="12" t="s">
        <v>369</v>
      </c>
      <c r="AO1384" s="12"/>
      <c r="AP1384" s="12"/>
      <c r="AQ1384" s="8"/>
      <c r="AR1384" s="34" t="s">
        <v>94</v>
      </c>
      <c r="AS1384" s="34" t="s">
        <v>94</v>
      </c>
      <c r="AT1384" s="85"/>
      <c r="AU1384" s="12" t="s">
        <v>1936</v>
      </c>
      <c r="AW1384" s="39">
        <v>6</v>
      </c>
      <c r="AX1384" s="12">
        <f>VLOOKUP(AW1384,색인!$N$14:$O$19,2,FALSE)</f>
        <v>4</v>
      </c>
      <c r="AY1384" s="32" t="str">
        <f>"T"&amp;O1384&amp;"_"&amp;AX1384&amp;"옵션_"&amp;VLOOKUP(E1384,색인!$J$25:$K$29,2,FALSE)</f>
        <v>T6_4옵션_보조장비</v>
      </c>
      <c r="AZ1384" s="32">
        <f>VLOOKUP(G1384,색인!$J$32:$K$45,2,FALSE)</f>
        <v>2</v>
      </c>
      <c r="BA1384" s="32" t="str">
        <f>_xlfn.IFNA(VLOOKUP(AY1384,표1[[검색용]:[OptionGroupIndex'[']22]],EquipItemTable!AZ1384,FALSE),"옵션고정안함")</f>
        <v>6421</v>
      </c>
    </row>
    <row r="1385" spans="1:53" s="1" customFormat="1" ht="12" x14ac:dyDescent="0.2">
      <c r="A1385" s="1" t="s">
        <v>1113</v>
      </c>
      <c r="B1385" s="39">
        <v>72028</v>
      </c>
      <c r="C1385" s="42" t="s">
        <v>3845</v>
      </c>
      <c r="D1385" s="10" t="s">
        <v>2968</v>
      </c>
      <c r="E1385" s="10" t="s">
        <v>502</v>
      </c>
      <c r="F1385" s="1" t="s">
        <v>471</v>
      </c>
      <c r="G1385" s="1" t="s">
        <v>1313</v>
      </c>
      <c r="N1385" s="8"/>
      <c r="O1385" s="12" t="s">
        <v>747</v>
      </c>
      <c r="P1385" s="1">
        <v>61</v>
      </c>
      <c r="AB1385" s="1">
        <v>1906</v>
      </c>
      <c r="AC1385" s="82"/>
      <c r="AD1385" s="12" t="s">
        <v>336</v>
      </c>
      <c r="AE1385" s="39" t="str">
        <f>BA1385</f>
        <v>6421</v>
      </c>
      <c r="AF1385" s="12"/>
      <c r="AG1385" s="12"/>
      <c r="AH1385" s="12"/>
      <c r="AI1385" s="12"/>
      <c r="AJ1385" s="12"/>
      <c r="AK1385" s="12"/>
      <c r="AL1385" s="12"/>
      <c r="AM1385" s="12"/>
      <c r="AN1385" s="12" t="s">
        <v>1194</v>
      </c>
      <c r="AO1385" s="12"/>
      <c r="AP1385" s="12"/>
      <c r="AQ1385" s="8"/>
      <c r="AR1385" s="34" t="s">
        <v>94</v>
      </c>
      <c r="AS1385" s="34" t="s">
        <v>94</v>
      </c>
      <c r="AT1385" s="85"/>
      <c r="AU1385" s="12" t="s">
        <v>1936</v>
      </c>
      <c r="AW1385" s="39">
        <v>6</v>
      </c>
      <c r="AX1385" s="12">
        <f>VLOOKUP(AW1385,색인!$N$14:$O$19,2,FALSE)</f>
        <v>4</v>
      </c>
      <c r="AY1385" s="32" t="str">
        <f>"T"&amp;O1385&amp;"_"&amp;AX1385&amp;"옵션_"&amp;VLOOKUP(E1385,색인!$J$25:$K$29,2,FALSE)</f>
        <v>T6_4옵션_보조장비</v>
      </c>
      <c r="AZ1385" s="32">
        <f>VLOOKUP(G1385,색인!$J$32:$K$45,2,FALSE)</f>
        <v>2</v>
      </c>
      <c r="BA1385" s="32" t="str">
        <f>_xlfn.IFNA(VLOOKUP(AY1385,표1[[검색용]:[OptionGroupIndex'[']22]],EquipItemTable!AZ1385,FALSE),"옵션고정안함")</f>
        <v>6421</v>
      </c>
    </row>
    <row r="1386" spans="1:53" ht="12" customHeight="1" x14ac:dyDescent="0.2">
      <c r="A1386" s="13" t="s">
        <v>699</v>
      </c>
      <c r="B1386" s="39">
        <v>72401</v>
      </c>
      <c r="C1386" s="42" t="s">
        <v>3858</v>
      </c>
      <c r="D1386" s="10" t="s">
        <v>2968</v>
      </c>
      <c r="E1386" s="10" t="s">
        <v>101</v>
      </c>
      <c r="F1386" s="1" t="s">
        <v>471</v>
      </c>
      <c r="G1386" s="1" t="s">
        <v>1313</v>
      </c>
      <c r="H1386" s="1"/>
      <c r="I1386" s="1"/>
      <c r="J1386" s="1"/>
      <c r="K1386" s="1"/>
      <c r="L1386" s="1"/>
      <c r="M1386" s="1"/>
      <c r="O1386" s="12" t="s">
        <v>94</v>
      </c>
      <c r="P1386" s="1">
        <v>1</v>
      </c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>
        <v>76</v>
      </c>
      <c r="AC1386" s="82"/>
      <c r="AD1386" s="12" t="s">
        <v>868</v>
      </c>
      <c r="AE1386" s="39" t="str">
        <f t="shared" ref="AE1386:AE1396" si="173">BA1386</f>
        <v>1321</v>
      </c>
      <c r="AN1386" s="12" t="s">
        <v>2833</v>
      </c>
      <c r="AR1386" s="34" t="s">
        <v>94</v>
      </c>
      <c r="AS1386" s="34" t="s">
        <v>94</v>
      </c>
      <c r="AU1386" s="12" t="s">
        <v>1937</v>
      </c>
      <c r="AV1386" s="13"/>
      <c r="AW1386" s="39">
        <v>5</v>
      </c>
      <c r="AX1386" s="12">
        <f>VLOOKUP(AW1386,색인!$N$14:$O$19,2,FALSE)</f>
        <v>3</v>
      </c>
      <c r="AY1386" s="32" t="str">
        <f>"T"&amp;O1386&amp;"_"&amp;AX1386&amp;"옵션_"&amp;VLOOKUP(E1386,색인!$J$25:$K$29,2,FALSE)</f>
        <v>T1_3옵션_보조장비</v>
      </c>
      <c r="AZ1386" s="32">
        <f>VLOOKUP(G1386,색인!$J$32:$K$45,2,FALSE)</f>
        <v>2</v>
      </c>
      <c r="BA1386" s="32" t="str">
        <f>_xlfn.IFNA(VLOOKUP(AY1386,표1[[검색용]:[OptionGroupIndex'[']22]],EquipItemTable!AZ1386,FALSE),"옵션고정안함")</f>
        <v>1321</v>
      </c>
    </row>
    <row r="1387" spans="1:53" ht="12" customHeight="1" x14ac:dyDescent="0.2">
      <c r="A1387" s="13" t="s">
        <v>700</v>
      </c>
      <c r="B1387" s="39">
        <v>72402</v>
      </c>
      <c r="C1387" s="42" t="s">
        <v>3858</v>
      </c>
      <c r="D1387" s="10" t="s">
        <v>2968</v>
      </c>
      <c r="E1387" s="10" t="s">
        <v>101</v>
      </c>
      <c r="F1387" s="1" t="s">
        <v>471</v>
      </c>
      <c r="G1387" s="1" t="s">
        <v>1313</v>
      </c>
      <c r="H1387" s="1"/>
      <c r="I1387" s="1"/>
      <c r="J1387" s="1"/>
      <c r="K1387" s="1"/>
      <c r="L1387" s="1"/>
      <c r="M1387" s="1"/>
      <c r="O1387" s="12" t="s">
        <v>95</v>
      </c>
      <c r="P1387" s="1">
        <v>21</v>
      </c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>
        <v>172</v>
      </c>
      <c r="AC1387" s="82"/>
      <c r="AD1387" s="12" t="s">
        <v>868</v>
      </c>
      <c r="AE1387" s="39" t="str">
        <f t="shared" si="173"/>
        <v>2321</v>
      </c>
      <c r="AN1387" s="12" t="s">
        <v>2833</v>
      </c>
      <c r="AR1387" s="34" t="s">
        <v>94</v>
      </c>
      <c r="AS1387" s="34" t="s">
        <v>94</v>
      </c>
      <c r="AU1387" s="12" t="s">
        <v>1937</v>
      </c>
      <c r="AV1387" s="13"/>
      <c r="AW1387" s="39">
        <v>5</v>
      </c>
      <c r="AX1387" s="12">
        <f>VLOOKUP(AW1387,색인!$N$14:$O$19,2,FALSE)</f>
        <v>3</v>
      </c>
      <c r="AY1387" s="32" t="str">
        <f>"T"&amp;O1387&amp;"_"&amp;AX1387&amp;"옵션_"&amp;VLOOKUP(E1387,색인!$J$25:$K$29,2,FALSE)</f>
        <v>T2_3옵션_보조장비</v>
      </c>
      <c r="AZ1387" s="32">
        <f>VLOOKUP(G1387,색인!$J$32:$K$45,2,FALSE)</f>
        <v>2</v>
      </c>
      <c r="BA1387" s="32" t="str">
        <f>_xlfn.IFNA(VLOOKUP(AY1387,표1[[검색용]:[OptionGroupIndex'[']22]],EquipItemTable!AZ1387,FALSE),"옵션고정안함")</f>
        <v>2321</v>
      </c>
    </row>
    <row r="1388" spans="1:53" ht="12" customHeight="1" x14ac:dyDescent="0.2">
      <c r="A1388" s="13" t="s">
        <v>701</v>
      </c>
      <c r="B1388" s="39">
        <v>72403</v>
      </c>
      <c r="C1388" s="42" t="s">
        <v>3858</v>
      </c>
      <c r="D1388" s="10" t="s">
        <v>2968</v>
      </c>
      <c r="E1388" s="10" t="s">
        <v>101</v>
      </c>
      <c r="F1388" s="1" t="s">
        <v>93</v>
      </c>
      <c r="G1388" s="1" t="s">
        <v>1313</v>
      </c>
      <c r="H1388" s="1"/>
      <c r="I1388" s="1"/>
      <c r="J1388" s="1"/>
      <c r="K1388" s="1"/>
      <c r="L1388" s="1"/>
      <c r="M1388" s="1"/>
      <c r="N1388" s="81"/>
      <c r="O1388" s="12" t="s">
        <v>96</v>
      </c>
      <c r="P1388" s="1">
        <v>31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">
        <v>357</v>
      </c>
      <c r="AC1388" s="82"/>
      <c r="AD1388" s="23" t="s">
        <v>52</v>
      </c>
      <c r="AE1388" s="90" t="str">
        <f t="shared" si="173"/>
        <v>3321</v>
      </c>
      <c r="AF1388" s="23"/>
      <c r="AI1388" s="23"/>
      <c r="AJ1388" s="23"/>
      <c r="AK1388" s="23"/>
      <c r="AL1388" s="23"/>
      <c r="AM1388" s="23"/>
      <c r="AN1388" s="12" t="s">
        <v>2833</v>
      </c>
      <c r="AO1388" s="23"/>
      <c r="AP1388" s="23"/>
      <c r="AQ1388" s="81"/>
      <c r="AR1388" s="83">
        <v>1</v>
      </c>
      <c r="AS1388" s="83">
        <v>1</v>
      </c>
      <c r="AT1388" s="81"/>
      <c r="AU1388" s="12" t="s">
        <v>1937</v>
      </c>
      <c r="AV1388" s="13"/>
      <c r="AW1388" s="39">
        <v>5</v>
      </c>
      <c r="AX1388" s="12">
        <f>VLOOKUP(AW1388,색인!$N$14:$O$19,2,FALSE)</f>
        <v>3</v>
      </c>
      <c r="AY1388" s="32" t="str">
        <f>"T"&amp;O1388&amp;"_"&amp;AX1388&amp;"옵션_"&amp;VLOOKUP(E1388,색인!$J$25:$K$29,2,FALSE)</f>
        <v>T3_3옵션_보조장비</v>
      </c>
      <c r="AZ1388" s="32">
        <f>VLOOKUP(G1388,색인!$J$32:$K$45,2,FALSE)</f>
        <v>2</v>
      </c>
      <c r="BA1388" s="32" t="str">
        <f>_xlfn.IFNA(VLOOKUP(AY1388,표1[[검색용]:[OptionGroupIndex'[']22]],EquipItemTable!AZ1388,FALSE),"옵션고정안함")</f>
        <v>3321</v>
      </c>
    </row>
    <row r="1389" spans="1:53" ht="12" customHeight="1" x14ac:dyDescent="0.2">
      <c r="A1389" s="13" t="s">
        <v>702</v>
      </c>
      <c r="B1389" s="39">
        <v>72404</v>
      </c>
      <c r="C1389" s="42" t="s">
        <v>3858</v>
      </c>
      <c r="D1389" s="10" t="s">
        <v>2968</v>
      </c>
      <c r="E1389" s="10" t="s">
        <v>101</v>
      </c>
      <c r="F1389" s="1" t="s">
        <v>93</v>
      </c>
      <c r="G1389" s="1" t="s">
        <v>1313</v>
      </c>
      <c r="H1389" s="1"/>
      <c r="I1389" s="1"/>
      <c r="J1389" s="1"/>
      <c r="K1389" s="1"/>
      <c r="L1389" s="1"/>
      <c r="M1389" s="1"/>
      <c r="O1389" s="12" t="s">
        <v>97</v>
      </c>
      <c r="P1389" s="1">
        <v>41</v>
      </c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>
        <v>696</v>
      </c>
      <c r="AC1389" s="82"/>
      <c r="AD1389" s="12" t="s">
        <v>52</v>
      </c>
      <c r="AE1389" s="39" t="str">
        <f t="shared" si="173"/>
        <v>4321</v>
      </c>
      <c r="AN1389" s="12" t="s">
        <v>2833</v>
      </c>
      <c r="AR1389" s="34" t="s">
        <v>94</v>
      </c>
      <c r="AS1389" s="34" t="s">
        <v>94</v>
      </c>
      <c r="AU1389" s="12" t="s">
        <v>1937</v>
      </c>
      <c r="AV1389" s="13"/>
      <c r="AW1389" s="39">
        <v>5</v>
      </c>
      <c r="AX1389" s="12">
        <f>VLOOKUP(AW1389,색인!$N$14:$O$19,2,FALSE)</f>
        <v>3</v>
      </c>
      <c r="AY1389" s="32" t="str">
        <f>"T"&amp;O1389&amp;"_"&amp;AX1389&amp;"옵션_"&amp;VLOOKUP(E1389,색인!$J$25:$K$29,2,FALSE)</f>
        <v>T4_3옵션_보조장비</v>
      </c>
      <c r="AZ1389" s="32">
        <f>VLOOKUP(G1389,색인!$J$32:$K$45,2,FALSE)</f>
        <v>2</v>
      </c>
      <c r="BA1389" s="32" t="str">
        <f>_xlfn.IFNA(VLOOKUP(AY1389,표1[[검색용]:[OptionGroupIndex'[']22]],EquipItemTable!AZ1389,FALSE),"옵션고정안함")</f>
        <v>4321</v>
      </c>
    </row>
    <row r="1390" spans="1:53" ht="12" customHeight="1" x14ac:dyDescent="0.2">
      <c r="A1390" s="13" t="s">
        <v>703</v>
      </c>
      <c r="B1390" s="39">
        <v>72405</v>
      </c>
      <c r="C1390" s="42" t="s">
        <v>3858</v>
      </c>
      <c r="D1390" s="10" t="s">
        <v>2968</v>
      </c>
      <c r="E1390" s="10" t="s">
        <v>101</v>
      </c>
      <c r="F1390" s="1" t="s">
        <v>471</v>
      </c>
      <c r="G1390" s="1" t="s">
        <v>1313</v>
      </c>
      <c r="H1390" s="1"/>
      <c r="I1390" s="1"/>
      <c r="J1390" s="1"/>
      <c r="K1390" s="1"/>
      <c r="L1390" s="1"/>
      <c r="M1390" s="1"/>
      <c r="O1390" s="12" t="s">
        <v>430</v>
      </c>
      <c r="P1390" s="1">
        <v>51</v>
      </c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>
        <v>1312</v>
      </c>
      <c r="AC1390" s="82"/>
      <c r="AD1390" s="12" t="s">
        <v>98</v>
      </c>
      <c r="AE1390" s="39" t="str">
        <f t="shared" si="173"/>
        <v>5321</v>
      </c>
      <c r="AN1390" s="12" t="s">
        <v>2833</v>
      </c>
      <c r="AR1390" s="34" t="s">
        <v>94</v>
      </c>
      <c r="AS1390" s="34" t="s">
        <v>94</v>
      </c>
      <c r="AU1390" s="12" t="s">
        <v>1937</v>
      </c>
      <c r="AV1390" s="13"/>
      <c r="AW1390" s="39">
        <v>5</v>
      </c>
      <c r="AX1390" s="12">
        <f>VLOOKUP(AW1390,색인!$N$14:$O$19,2,FALSE)</f>
        <v>3</v>
      </c>
      <c r="AY1390" s="32" t="str">
        <f>"T"&amp;O1390&amp;"_"&amp;AX1390&amp;"옵션_"&amp;VLOOKUP(E1390,색인!$J$25:$K$29,2,FALSE)</f>
        <v>T5_3옵션_보조장비</v>
      </c>
      <c r="AZ1390" s="32">
        <f>VLOOKUP(G1390,색인!$J$32:$K$45,2,FALSE)</f>
        <v>2</v>
      </c>
      <c r="BA1390" s="32" t="str">
        <f>_xlfn.IFNA(VLOOKUP(AY1390,표1[[검색용]:[OptionGroupIndex'[']22]],EquipItemTable!AZ1390,FALSE),"옵션고정안함")</f>
        <v>5321</v>
      </c>
    </row>
    <row r="1391" spans="1:53" s="1" customFormat="1" ht="12" x14ac:dyDescent="0.2">
      <c r="A1391" s="1" t="s">
        <v>832</v>
      </c>
      <c r="B1391" s="39">
        <v>72406</v>
      </c>
      <c r="C1391" s="42" t="s">
        <v>3858</v>
      </c>
      <c r="D1391" s="10" t="s">
        <v>2968</v>
      </c>
      <c r="E1391" s="10" t="s">
        <v>829</v>
      </c>
      <c r="F1391" s="1" t="s">
        <v>471</v>
      </c>
      <c r="G1391" s="1" t="s">
        <v>1313</v>
      </c>
      <c r="N1391" s="8"/>
      <c r="O1391" s="12" t="s">
        <v>747</v>
      </c>
      <c r="P1391" s="1">
        <v>61</v>
      </c>
      <c r="AB1391" s="1">
        <v>1915</v>
      </c>
      <c r="AC1391" s="82"/>
      <c r="AD1391" s="12" t="s">
        <v>748</v>
      </c>
      <c r="AE1391" s="39" t="str">
        <f t="shared" si="173"/>
        <v>6321</v>
      </c>
      <c r="AF1391" s="12"/>
      <c r="AG1391" s="12"/>
      <c r="AH1391" s="12"/>
      <c r="AI1391" s="12"/>
      <c r="AJ1391" s="12"/>
      <c r="AK1391" s="12"/>
      <c r="AL1391" s="12"/>
      <c r="AM1391" s="12"/>
      <c r="AN1391" s="12" t="s">
        <v>2833</v>
      </c>
      <c r="AO1391" s="12"/>
      <c r="AP1391" s="12"/>
      <c r="AQ1391" s="8"/>
      <c r="AR1391" s="34" t="s">
        <v>865</v>
      </c>
      <c r="AS1391" s="34" t="s">
        <v>865</v>
      </c>
      <c r="AT1391" s="85"/>
      <c r="AU1391" s="12" t="s">
        <v>1937</v>
      </c>
      <c r="AW1391" s="39">
        <v>5</v>
      </c>
      <c r="AX1391" s="12">
        <f>VLOOKUP(AW1391,색인!$N$14:$O$19,2,FALSE)</f>
        <v>3</v>
      </c>
      <c r="AY1391" s="32" t="str">
        <f>"T"&amp;O1391&amp;"_"&amp;AX1391&amp;"옵션_"&amp;VLOOKUP(E1391,색인!$J$25:$K$29,2,FALSE)</f>
        <v>T6_3옵션_보조장비</v>
      </c>
      <c r="AZ1391" s="32">
        <f>VLOOKUP(G1391,색인!$J$32:$K$45,2,FALSE)</f>
        <v>2</v>
      </c>
      <c r="BA1391" s="32" t="str">
        <f>_xlfn.IFNA(VLOOKUP(AY1391,표1[[검색용]:[OptionGroupIndex'[']22]],EquipItemTable!AZ1391,FALSE),"옵션고정안함")</f>
        <v>6321</v>
      </c>
    </row>
    <row r="1392" spans="1:53" s="1" customFormat="1" ht="12" x14ac:dyDescent="0.2">
      <c r="A1392" s="1" t="s">
        <v>1264</v>
      </c>
      <c r="B1392" s="39">
        <v>72407</v>
      </c>
      <c r="C1392" s="42" t="s">
        <v>3859</v>
      </c>
      <c r="D1392" s="10" t="s">
        <v>2968</v>
      </c>
      <c r="E1392" s="10" t="s">
        <v>829</v>
      </c>
      <c r="F1392" s="1" t="s">
        <v>471</v>
      </c>
      <c r="G1392" s="1" t="s">
        <v>1313</v>
      </c>
      <c r="N1392" s="8"/>
      <c r="O1392" s="12" t="s">
        <v>747</v>
      </c>
      <c r="P1392" s="1">
        <v>61</v>
      </c>
      <c r="AB1392" s="1">
        <v>1915</v>
      </c>
      <c r="AC1392" s="82"/>
      <c r="AD1392" s="12" t="s">
        <v>336</v>
      </c>
      <c r="AE1392" s="39" t="str">
        <f t="shared" si="173"/>
        <v>6321</v>
      </c>
      <c r="AF1392" s="12"/>
      <c r="AG1392" s="12"/>
      <c r="AH1392" s="12"/>
      <c r="AI1392" s="12"/>
      <c r="AJ1392" s="12"/>
      <c r="AK1392" s="12"/>
      <c r="AL1392" s="12"/>
      <c r="AM1392" s="12"/>
      <c r="AN1392" s="12" t="s">
        <v>1228</v>
      </c>
      <c r="AO1392" s="12"/>
      <c r="AP1392" s="12"/>
      <c r="AQ1392" s="8"/>
      <c r="AR1392" s="34" t="s">
        <v>865</v>
      </c>
      <c r="AS1392" s="34" t="s">
        <v>865</v>
      </c>
      <c r="AT1392" s="85"/>
      <c r="AU1392" s="12" t="s">
        <v>1937</v>
      </c>
      <c r="AW1392" s="39">
        <v>5</v>
      </c>
      <c r="AX1392" s="12">
        <f>VLOOKUP(AW1392,색인!$N$14:$O$19,2,FALSE)</f>
        <v>3</v>
      </c>
      <c r="AY1392" s="32" t="str">
        <f>"T"&amp;O1392&amp;"_"&amp;AX1392&amp;"옵션_"&amp;VLOOKUP(E1392,색인!$J$25:$K$29,2,FALSE)</f>
        <v>T6_3옵션_보조장비</v>
      </c>
      <c r="AZ1392" s="32">
        <f>VLOOKUP(G1392,색인!$J$32:$K$45,2,FALSE)</f>
        <v>2</v>
      </c>
      <c r="BA1392" s="32" t="str">
        <f>_xlfn.IFNA(VLOOKUP(AY1392,표1[[검색용]:[OptionGroupIndex'[']22]],EquipItemTable!AZ1392,FALSE),"옵션고정안함")</f>
        <v>6321</v>
      </c>
    </row>
    <row r="1393" spans="1:53" s="1" customFormat="1" ht="12" x14ac:dyDescent="0.2">
      <c r="A1393" s="1" t="s">
        <v>1265</v>
      </c>
      <c r="B1393" s="39">
        <v>72408</v>
      </c>
      <c r="C1393" s="42" t="s">
        <v>3860</v>
      </c>
      <c r="D1393" s="10" t="s">
        <v>2968</v>
      </c>
      <c r="E1393" s="10" t="s">
        <v>829</v>
      </c>
      <c r="F1393" s="1" t="s">
        <v>471</v>
      </c>
      <c r="G1393" s="1" t="s">
        <v>1313</v>
      </c>
      <c r="J1393" s="27"/>
      <c r="K1393" s="27"/>
      <c r="L1393" s="27"/>
      <c r="M1393" s="27"/>
      <c r="N1393" s="8"/>
      <c r="O1393" s="12" t="s">
        <v>747</v>
      </c>
      <c r="P1393" s="1">
        <v>61</v>
      </c>
      <c r="AB1393" s="1">
        <v>1915</v>
      </c>
      <c r="AC1393" s="82"/>
      <c r="AD1393" s="12" t="s">
        <v>336</v>
      </c>
      <c r="AE1393" s="39" t="str">
        <f t="shared" si="173"/>
        <v>6321</v>
      </c>
      <c r="AF1393" s="12"/>
      <c r="AG1393" s="29"/>
      <c r="AH1393" s="29"/>
      <c r="AI1393" s="12"/>
      <c r="AJ1393" s="12"/>
      <c r="AK1393" s="12"/>
      <c r="AL1393" s="12"/>
      <c r="AM1393" s="12"/>
      <c r="AN1393" s="12" t="s">
        <v>1213</v>
      </c>
      <c r="AO1393" s="12"/>
      <c r="AP1393" s="12"/>
      <c r="AQ1393" s="8"/>
      <c r="AR1393" s="34" t="s">
        <v>865</v>
      </c>
      <c r="AS1393" s="34" t="s">
        <v>865</v>
      </c>
      <c r="AT1393" s="85"/>
      <c r="AU1393" s="12" t="s">
        <v>1937</v>
      </c>
      <c r="AW1393" s="39">
        <v>5</v>
      </c>
      <c r="AX1393" s="12">
        <f>VLOOKUP(AW1393,색인!$N$14:$O$19,2,FALSE)</f>
        <v>3</v>
      </c>
      <c r="AY1393" s="32" t="str">
        <f>"T"&amp;O1393&amp;"_"&amp;AX1393&amp;"옵션_"&amp;VLOOKUP(E1393,색인!$J$25:$K$29,2,FALSE)</f>
        <v>T6_3옵션_보조장비</v>
      </c>
      <c r="AZ1393" s="32">
        <f>VLOOKUP(G1393,색인!$J$32:$K$45,2,FALSE)</f>
        <v>2</v>
      </c>
      <c r="BA1393" s="32" t="str">
        <f>_xlfn.IFNA(VLOOKUP(AY1393,표1[[검색용]:[OptionGroupIndex'[']22]],EquipItemTable!AZ1393,FALSE),"옵션고정안함")</f>
        <v>6321</v>
      </c>
    </row>
    <row r="1394" spans="1:53" s="1" customFormat="1" ht="12" x14ac:dyDescent="0.2">
      <c r="A1394" s="1" t="s">
        <v>1266</v>
      </c>
      <c r="B1394" s="39">
        <v>72409</v>
      </c>
      <c r="C1394" s="42" t="s">
        <v>3861</v>
      </c>
      <c r="D1394" s="10" t="s">
        <v>2968</v>
      </c>
      <c r="E1394" s="10" t="s">
        <v>829</v>
      </c>
      <c r="F1394" s="1" t="s">
        <v>471</v>
      </c>
      <c r="G1394" s="1" t="s">
        <v>1313</v>
      </c>
      <c r="J1394" s="27"/>
      <c r="K1394" s="27"/>
      <c r="L1394" s="27"/>
      <c r="M1394" s="27"/>
      <c r="N1394" s="8"/>
      <c r="O1394" s="12" t="s">
        <v>747</v>
      </c>
      <c r="P1394" s="1">
        <v>61</v>
      </c>
      <c r="AB1394" s="1">
        <v>1915</v>
      </c>
      <c r="AC1394" s="82"/>
      <c r="AD1394" s="12" t="s">
        <v>336</v>
      </c>
      <c r="AE1394" s="39" t="str">
        <f t="shared" si="173"/>
        <v>6321</v>
      </c>
      <c r="AF1394" s="12"/>
      <c r="AG1394" s="29"/>
      <c r="AH1394" s="29"/>
      <c r="AI1394" s="12"/>
      <c r="AJ1394" s="12"/>
      <c r="AK1394" s="12"/>
      <c r="AL1394" s="12"/>
      <c r="AM1394" s="12"/>
      <c r="AN1394" s="12" t="s">
        <v>1214</v>
      </c>
      <c r="AO1394" s="12"/>
      <c r="AP1394" s="12"/>
      <c r="AQ1394" s="8"/>
      <c r="AR1394" s="34" t="s">
        <v>865</v>
      </c>
      <c r="AS1394" s="34" t="s">
        <v>865</v>
      </c>
      <c r="AT1394" s="85"/>
      <c r="AU1394" s="12" t="s">
        <v>1937</v>
      </c>
      <c r="AW1394" s="39">
        <v>5</v>
      </c>
      <c r="AX1394" s="12">
        <f>VLOOKUP(AW1394,색인!$N$14:$O$19,2,FALSE)</f>
        <v>3</v>
      </c>
      <c r="AY1394" s="32" t="str">
        <f>"T"&amp;O1394&amp;"_"&amp;AX1394&amp;"옵션_"&amp;VLOOKUP(E1394,색인!$J$25:$K$29,2,FALSE)</f>
        <v>T6_3옵션_보조장비</v>
      </c>
      <c r="AZ1394" s="32">
        <f>VLOOKUP(G1394,색인!$J$32:$K$45,2,FALSE)</f>
        <v>2</v>
      </c>
      <c r="BA1394" s="32" t="str">
        <f>_xlfn.IFNA(VLOOKUP(AY1394,표1[[검색용]:[OptionGroupIndex'[']22]],EquipItemTable!AZ1394,FALSE),"옵션고정안함")</f>
        <v>6321</v>
      </c>
    </row>
    <row r="1395" spans="1:53" s="1" customFormat="1" ht="12" x14ac:dyDescent="0.2">
      <c r="A1395" s="1" t="s">
        <v>1267</v>
      </c>
      <c r="B1395" s="39">
        <v>72410</v>
      </c>
      <c r="C1395" s="42" t="s">
        <v>3862</v>
      </c>
      <c r="D1395" s="10" t="s">
        <v>2968</v>
      </c>
      <c r="E1395" s="10" t="s">
        <v>829</v>
      </c>
      <c r="F1395" s="1" t="s">
        <v>471</v>
      </c>
      <c r="G1395" s="1" t="s">
        <v>1313</v>
      </c>
      <c r="J1395" s="27"/>
      <c r="K1395" s="27"/>
      <c r="L1395" s="27"/>
      <c r="M1395" s="27"/>
      <c r="N1395" s="8"/>
      <c r="O1395" s="12" t="s">
        <v>747</v>
      </c>
      <c r="P1395" s="1">
        <v>61</v>
      </c>
      <c r="AB1395" s="1">
        <v>1915</v>
      </c>
      <c r="AC1395" s="82"/>
      <c r="AD1395" s="12" t="s">
        <v>336</v>
      </c>
      <c r="AE1395" s="39" t="str">
        <f t="shared" si="173"/>
        <v>6321</v>
      </c>
      <c r="AF1395" s="12"/>
      <c r="AG1395" s="29"/>
      <c r="AH1395" s="29"/>
      <c r="AI1395" s="12"/>
      <c r="AJ1395" s="12"/>
      <c r="AK1395" s="12"/>
      <c r="AL1395" s="12"/>
      <c r="AM1395" s="12"/>
      <c r="AN1395" s="12" t="s">
        <v>1215</v>
      </c>
      <c r="AO1395" s="12"/>
      <c r="AP1395" s="12"/>
      <c r="AQ1395" s="8"/>
      <c r="AR1395" s="34" t="s">
        <v>865</v>
      </c>
      <c r="AS1395" s="34" t="s">
        <v>865</v>
      </c>
      <c r="AT1395" s="85"/>
      <c r="AU1395" s="12" t="s">
        <v>1937</v>
      </c>
      <c r="AW1395" s="39">
        <v>5</v>
      </c>
      <c r="AX1395" s="12">
        <f>VLOOKUP(AW1395,색인!$N$14:$O$19,2,FALSE)</f>
        <v>3</v>
      </c>
      <c r="AY1395" s="32" t="str">
        <f>"T"&amp;O1395&amp;"_"&amp;AX1395&amp;"옵션_"&amp;VLOOKUP(E1395,색인!$J$25:$K$29,2,FALSE)</f>
        <v>T6_3옵션_보조장비</v>
      </c>
      <c r="AZ1395" s="32">
        <f>VLOOKUP(G1395,색인!$J$32:$K$45,2,FALSE)</f>
        <v>2</v>
      </c>
      <c r="BA1395" s="32" t="str">
        <f>_xlfn.IFNA(VLOOKUP(AY1395,표1[[검색용]:[OptionGroupIndex'[']22]],EquipItemTable!AZ1395,FALSE),"옵션고정안함")</f>
        <v>6321</v>
      </c>
    </row>
    <row r="1396" spans="1:53" s="1" customFormat="1" ht="12" x14ac:dyDescent="0.2">
      <c r="A1396" s="1" t="s">
        <v>1268</v>
      </c>
      <c r="B1396" s="39">
        <v>72411</v>
      </c>
      <c r="C1396" s="42" t="s">
        <v>3863</v>
      </c>
      <c r="D1396" s="10" t="s">
        <v>2968</v>
      </c>
      <c r="E1396" s="10" t="s">
        <v>829</v>
      </c>
      <c r="F1396" s="1" t="s">
        <v>471</v>
      </c>
      <c r="G1396" s="1" t="s">
        <v>1313</v>
      </c>
      <c r="J1396" s="27"/>
      <c r="K1396" s="27"/>
      <c r="L1396" s="27"/>
      <c r="M1396" s="27"/>
      <c r="N1396" s="8"/>
      <c r="O1396" s="12" t="s">
        <v>747</v>
      </c>
      <c r="P1396" s="1">
        <v>61</v>
      </c>
      <c r="AB1396" s="1">
        <v>1915</v>
      </c>
      <c r="AC1396" s="82"/>
      <c r="AD1396" s="12" t="s">
        <v>336</v>
      </c>
      <c r="AE1396" s="39" t="str">
        <f t="shared" si="173"/>
        <v>6321</v>
      </c>
      <c r="AF1396" s="12"/>
      <c r="AG1396" s="29"/>
      <c r="AH1396" s="29"/>
      <c r="AI1396" s="12"/>
      <c r="AJ1396" s="12"/>
      <c r="AK1396" s="12"/>
      <c r="AL1396" s="12"/>
      <c r="AM1396" s="12"/>
      <c r="AN1396" s="12" t="s">
        <v>1216</v>
      </c>
      <c r="AO1396" s="12"/>
      <c r="AP1396" s="12"/>
      <c r="AQ1396" s="8"/>
      <c r="AR1396" s="34" t="s">
        <v>865</v>
      </c>
      <c r="AS1396" s="34" t="s">
        <v>865</v>
      </c>
      <c r="AT1396" s="85"/>
      <c r="AU1396" s="12" t="s">
        <v>1937</v>
      </c>
      <c r="AW1396" s="39">
        <v>5</v>
      </c>
      <c r="AX1396" s="12">
        <f>VLOOKUP(AW1396,색인!$N$14:$O$19,2,FALSE)</f>
        <v>3</v>
      </c>
      <c r="AY1396" s="32" t="str">
        <f>"T"&amp;O1396&amp;"_"&amp;AX1396&amp;"옵션_"&amp;VLOOKUP(E1396,색인!$J$25:$K$29,2,FALSE)</f>
        <v>T6_3옵션_보조장비</v>
      </c>
      <c r="AZ1396" s="32">
        <f>VLOOKUP(G1396,색인!$J$32:$K$45,2,FALSE)</f>
        <v>2</v>
      </c>
      <c r="BA1396" s="32" t="str">
        <f>_xlfn.IFNA(VLOOKUP(AY1396,표1[[검색용]:[OptionGroupIndex'[']22]],EquipItemTable!AZ1396,FALSE),"옵션고정안함")</f>
        <v>6321</v>
      </c>
    </row>
    <row r="1397" spans="1:53" s="1" customFormat="1" ht="12" x14ac:dyDescent="0.2">
      <c r="A1397" s="24" t="s">
        <v>899</v>
      </c>
      <c r="B1397" s="39">
        <v>72601</v>
      </c>
      <c r="C1397" s="42" t="e">
        <v>#N/A</v>
      </c>
      <c r="D1397" s="10" t="s">
        <v>87</v>
      </c>
      <c r="E1397" s="10" t="s">
        <v>501</v>
      </c>
      <c r="F1397" s="1" t="s">
        <v>471</v>
      </c>
      <c r="G1397" s="1" t="s">
        <v>1313</v>
      </c>
      <c r="J1397" s="27"/>
      <c r="K1397" s="27"/>
      <c r="L1397" s="27"/>
      <c r="M1397" s="27"/>
      <c r="N1397" s="8"/>
      <c r="O1397" s="12" t="s">
        <v>881</v>
      </c>
      <c r="P1397" s="1">
        <v>31</v>
      </c>
      <c r="AB1397" s="1">
        <v>441</v>
      </c>
      <c r="AC1397" s="82"/>
      <c r="AD1397" s="12" t="s">
        <v>99</v>
      </c>
      <c r="AE1397" s="12" t="s">
        <v>881</v>
      </c>
      <c r="AF1397" s="12"/>
      <c r="AG1397" s="29"/>
      <c r="AH1397" s="29"/>
      <c r="AQ1397" s="85"/>
      <c r="AR1397" s="1">
        <v>1</v>
      </c>
      <c r="AS1397" s="1">
        <v>1</v>
      </c>
      <c r="AT1397" s="85"/>
      <c r="AU1397" s="12" t="s">
        <v>1938</v>
      </c>
      <c r="AW1397" s="39">
        <v>7</v>
      </c>
      <c r="AX1397" s="12"/>
      <c r="AY1397" s="32"/>
      <c r="AZ1397" s="32"/>
      <c r="BA1397" s="32"/>
    </row>
    <row r="1398" spans="1:53" s="1" customFormat="1" ht="12" x14ac:dyDescent="0.2">
      <c r="A1398" s="24" t="s">
        <v>900</v>
      </c>
      <c r="B1398" s="39">
        <v>72602</v>
      </c>
      <c r="C1398" s="42" t="e">
        <v>#N/A</v>
      </c>
      <c r="D1398" s="10" t="s">
        <v>87</v>
      </c>
      <c r="E1398" s="10" t="s">
        <v>501</v>
      </c>
      <c r="F1398" s="1" t="s">
        <v>471</v>
      </c>
      <c r="G1398" s="1" t="s">
        <v>1313</v>
      </c>
      <c r="J1398" s="27"/>
      <c r="K1398" s="27"/>
      <c r="L1398" s="27"/>
      <c r="M1398" s="27"/>
      <c r="N1398" s="8"/>
      <c r="O1398" s="12" t="s">
        <v>882</v>
      </c>
      <c r="P1398" s="1">
        <v>41</v>
      </c>
      <c r="AB1398" s="1">
        <v>846</v>
      </c>
      <c r="AC1398" s="82"/>
      <c r="AD1398" s="12" t="s">
        <v>99</v>
      </c>
      <c r="AE1398" s="12" t="s">
        <v>551</v>
      </c>
      <c r="AF1398" s="12"/>
      <c r="AG1398" s="29"/>
      <c r="AH1398" s="29"/>
      <c r="AQ1398" s="85"/>
      <c r="AR1398" s="1">
        <v>1</v>
      </c>
      <c r="AS1398" s="1">
        <v>1</v>
      </c>
      <c r="AT1398" s="85"/>
      <c r="AU1398" s="12" t="s">
        <v>1938</v>
      </c>
      <c r="AW1398" s="39">
        <v>7</v>
      </c>
      <c r="AX1398" s="12"/>
      <c r="AY1398" s="32"/>
      <c r="AZ1398" s="32"/>
      <c r="BA1398" s="32"/>
    </row>
    <row r="1399" spans="1:53" s="1" customFormat="1" ht="12" x14ac:dyDescent="0.2">
      <c r="A1399" s="24" t="s">
        <v>901</v>
      </c>
      <c r="B1399" s="39">
        <v>72603</v>
      </c>
      <c r="C1399" s="42" t="e">
        <v>#N/A</v>
      </c>
      <c r="D1399" s="10" t="s">
        <v>87</v>
      </c>
      <c r="E1399" s="10" t="s">
        <v>501</v>
      </c>
      <c r="F1399" s="1" t="s">
        <v>471</v>
      </c>
      <c r="G1399" s="1" t="s">
        <v>1313</v>
      </c>
      <c r="J1399" s="27"/>
      <c r="K1399" s="27"/>
      <c r="L1399" s="27"/>
      <c r="M1399" s="27"/>
      <c r="N1399" s="8"/>
      <c r="O1399" s="12" t="s">
        <v>430</v>
      </c>
      <c r="P1399" s="1">
        <v>51</v>
      </c>
      <c r="AB1399" s="1">
        <v>1582</v>
      </c>
      <c r="AC1399" s="82"/>
      <c r="AD1399" s="12" t="s">
        <v>99</v>
      </c>
      <c r="AE1399" s="12" t="s">
        <v>430</v>
      </c>
      <c r="AF1399" s="12"/>
      <c r="AG1399" s="29"/>
      <c r="AH1399" s="29"/>
      <c r="AQ1399" s="85"/>
      <c r="AR1399" s="1">
        <v>1</v>
      </c>
      <c r="AS1399" s="1">
        <v>1</v>
      </c>
      <c r="AT1399" s="85"/>
      <c r="AU1399" s="12" t="s">
        <v>1938</v>
      </c>
      <c r="AW1399" s="39">
        <v>7</v>
      </c>
      <c r="AX1399" s="12"/>
      <c r="AY1399" s="32"/>
      <c r="AZ1399" s="32"/>
      <c r="BA1399" s="32"/>
    </row>
    <row r="1400" spans="1:53" s="1" customFormat="1" ht="12" x14ac:dyDescent="0.2">
      <c r="A1400" s="24" t="s">
        <v>902</v>
      </c>
      <c r="B1400" s="39">
        <v>72604</v>
      </c>
      <c r="C1400" s="42" t="e">
        <v>#N/A</v>
      </c>
      <c r="D1400" s="10" t="s">
        <v>87</v>
      </c>
      <c r="E1400" s="10" t="s">
        <v>501</v>
      </c>
      <c r="F1400" s="1" t="s">
        <v>471</v>
      </c>
      <c r="G1400" s="1" t="s">
        <v>1313</v>
      </c>
      <c r="J1400" s="27"/>
      <c r="K1400" s="27"/>
      <c r="L1400" s="27"/>
      <c r="M1400" s="27"/>
      <c r="N1400" s="8"/>
      <c r="O1400" s="12" t="s">
        <v>747</v>
      </c>
      <c r="P1400" s="1">
        <v>61</v>
      </c>
      <c r="AB1400" s="1">
        <v>2191</v>
      </c>
      <c r="AC1400" s="82"/>
      <c r="AD1400" s="12" t="s">
        <v>99</v>
      </c>
      <c r="AE1400" s="12" t="s">
        <v>430</v>
      </c>
      <c r="AF1400" s="12"/>
      <c r="AG1400" s="29"/>
      <c r="AH1400" s="29"/>
      <c r="AQ1400" s="85"/>
      <c r="AR1400" s="1">
        <v>1</v>
      </c>
      <c r="AS1400" s="1">
        <v>1</v>
      </c>
      <c r="AT1400" s="85"/>
      <c r="AU1400" s="12" t="s">
        <v>1938</v>
      </c>
      <c r="AW1400" s="39">
        <v>7</v>
      </c>
      <c r="AX1400" s="12"/>
      <c r="AY1400" s="32"/>
      <c r="AZ1400" s="32"/>
      <c r="BA1400" s="32"/>
    </row>
    <row r="1401" spans="1:53" s="1" customFormat="1" ht="12" x14ac:dyDescent="0.2">
      <c r="A1401" s="1" t="s">
        <v>1187</v>
      </c>
      <c r="B1401" s="39">
        <v>372001</v>
      </c>
      <c r="C1401" s="42" t="s">
        <v>3864</v>
      </c>
      <c r="D1401" s="10" t="s">
        <v>2968</v>
      </c>
      <c r="E1401" s="10" t="s">
        <v>826</v>
      </c>
      <c r="F1401" s="1" t="s">
        <v>471</v>
      </c>
      <c r="G1401" s="1" t="s">
        <v>1313</v>
      </c>
      <c r="J1401" s="27"/>
      <c r="K1401" s="27"/>
      <c r="L1401" s="27"/>
      <c r="M1401" s="27"/>
      <c r="N1401" s="8"/>
      <c r="O1401" s="12" t="s">
        <v>747</v>
      </c>
      <c r="P1401" s="1">
        <v>61</v>
      </c>
      <c r="AB1401" s="1">
        <v>1915</v>
      </c>
      <c r="AC1401" s="82"/>
      <c r="AD1401" s="12" t="s">
        <v>98</v>
      </c>
      <c r="AE1401" s="39" t="str">
        <f>BA1401</f>
        <v>6321</v>
      </c>
      <c r="AF1401" s="12"/>
      <c r="AG1401" s="29"/>
      <c r="AH1401" s="29"/>
      <c r="AI1401" s="12"/>
      <c r="AJ1401" s="12"/>
      <c r="AK1401" s="12"/>
      <c r="AL1401" s="12"/>
      <c r="AM1401" s="12"/>
      <c r="AN1401" s="12" t="s">
        <v>1199</v>
      </c>
      <c r="AO1401" s="12"/>
      <c r="AP1401" s="12"/>
      <c r="AQ1401" s="8"/>
      <c r="AR1401" s="34" t="s">
        <v>543</v>
      </c>
      <c r="AS1401" s="34" t="s">
        <v>543</v>
      </c>
      <c r="AT1401" s="85"/>
      <c r="AU1401" s="12" t="s">
        <v>1937</v>
      </c>
      <c r="AW1401" s="39">
        <v>5</v>
      </c>
      <c r="AX1401" s="12">
        <f>VLOOKUP(AW1401,색인!$N$14:$O$19,2,FALSE)</f>
        <v>3</v>
      </c>
      <c r="AY1401" s="32" t="str">
        <f>"T"&amp;O1401&amp;"_"&amp;AX1401&amp;"옵션_"&amp;VLOOKUP(E1401,색인!$J$25:$K$29,2,FALSE)</f>
        <v>T6_3옵션_보조장비</v>
      </c>
      <c r="AZ1401" s="32">
        <f>VLOOKUP(G1401,색인!$J$32:$K$45,2,FALSE)</f>
        <v>2</v>
      </c>
      <c r="BA1401" s="32" t="str">
        <f>_xlfn.IFNA(VLOOKUP(AY1401,표1[[검색용]:[OptionGroupIndex'[']22]],EquipItemTable!AZ1401,FALSE),"옵션고정안함")</f>
        <v>6321</v>
      </c>
    </row>
    <row r="1402" spans="1:53" s="1" customFormat="1" ht="12" x14ac:dyDescent="0.2">
      <c r="A1402" s="1" t="s">
        <v>1530</v>
      </c>
      <c r="B1402" s="39">
        <v>372002</v>
      </c>
      <c r="C1402" s="42" t="s">
        <v>3865</v>
      </c>
      <c r="D1402" s="10" t="s">
        <v>2968</v>
      </c>
      <c r="E1402" s="10" t="s">
        <v>826</v>
      </c>
      <c r="F1402" s="1" t="s">
        <v>471</v>
      </c>
      <c r="G1402" s="1" t="s">
        <v>1313</v>
      </c>
      <c r="J1402" s="27"/>
      <c r="K1402" s="27"/>
      <c r="L1402" s="27"/>
      <c r="M1402" s="27"/>
      <c r="N1402" s="8"/>
      <c r="O1402" s="12" t="s">
        <v>747</v>
      </c>
      <c r="P1402" s="1">
        <v>61</v>
      </c>
      <c r="AB1402" s="1">
        <v>1906</v>
      </c>
      <c r="AC1402" s="82"/>
      <c r="AD1402" s="12" t="s">
        <v>98</v>
      </c>
      <c r="AE1402" s="39" t="s">
        <v>430</v>
      </c>
      <c r="AF1402" s="12"/>
      <c r="AG1402" s="29"/>
      <c r="AH1402" s="29"/>
      <c r="AI1402" s="12"/>
      <c r="AJ1402" s="12"/>
      <c r="AK1402" s="12"/>
      <c r="AL1402" s="12"/>
      <c r="AM1402" s="12"/>
      <c r="AN1402" s="12" t="s">
        <v>1296</v>
      </c>
      <c r="AO1402" s="12"/>
      <c r="AP1402" s="12"/>
      <c r="AQ1402" s="8"/>
      <c r="AR1402" s="34" t="s">
        <v>94</v>
      </c>
      <c r="AS1402" s="34" t="s">
        <v>94</v>
      </c>
      <c r="AT1402" s="85"/>
      <c r="AU1402" s="12" t="s">
        <v>1936</v>
      </c>
      <c r="AW1402" s="39">
        <v>6</v>
      </c>
      <c r="AX1402" s="12">
        <f>VLOOKUP(AW1402,색인!$N$14:$O$19,2,FALSE)</f>
        <v>4</v>
      </c>
      <c r="AY1402" s="32" t="str">
        <f>"T"&amp;O1402&amp;"_"&amp;AX1402&amp;"옵션_"&amp;VLOOKUP(E1402,색인!$J$25:$K$29,2,FALSE)</f>
        <v>T6_4옵션_보조장비</v>
      </c>
      <c r="AZ1402" s="32">
        <f>VLOOKUP(G1402,색인!$J$32:$K$45,2,FALSE)</f>
        <v>2</v>
      </c>
      <c r="BA1402" s="32" t="str">
        <f>_xlfn.IFNA(VLOOKUP(AY1402,표1[[검색용]:[OptionGroupIndex'[']22]],EquipItemTable!AZ1402,FALSE),"옵션고정안함")</f>
        <v>6421</v>
      </c>
    </row>
    <row r="1403" spans="1:53" s="27" customFormat="1" ht="12" x14ac:dyDescent="0.2">
      <c r="A1403" s="25" t="s">
        <v>1531</v>
      </c>
      <c r="B1403" s="39">
        <v>72412</v>
      </c>
      <c r="C1403" s="42" t="s">
        <v>3866</v>
      </c>
      <c r="D1403" s="26" t="s">
        <v>87</v>
      </c>
      <c r="E1403" s="26" t="s">
        <v>501</v>
      </c>
      <c r="F1403" s="27" t="s">
        <v>471</v>
      </c>
      <c r="G1403" s="27" t="s">
        <v>1491</v>
      </c>
      <c r="N1403" s="8"/>
      <c r="O1403" s="29" t="s">
        <v>1338</v>
      </c>
      <c r="P1403" s="27">
        <v>71</v>
      </c>
      <c r="AB1403" s="27">
        <v>1864</v>
      </c>
      <c r="AC1403" s="82"/>
      <c r="AD1403" s="29" t="s">
        <v>1377</v>
      </c>
      <c r="AE1403" s="29" t="s">
        <v>1337</v>
      </c>
      <c r="AF1403" s="29"/>
      <c r="AG1403" s="29"/>
      <c r="AH1403" s="29"/>
      <c r="AQ1403" s="85"/>
      <c r="AR1403" s="27">
        <v>1</v>
      </c>
      <c r="AS1403" s="27">
        <v>1</v>
      </c>
      <c r="AT1403" s="85"/>
      <c r="AU1403" s="29">
        <v>1001</v>
      </c>
      <c r="AW1403" s="39">
        <v>1</v>
      </c>
      <c r="AX1403" s="12"/>
      <c r="AY1403" s="32"/>
      <c r="AZ1403" s="32"/>
      <c r="BA1403" s="32"/>
    </row>
    <row r="1404" spans="1:53" s="27" customFormat="1" ht="12" x14ac:dyDescent="0.2">
      <c r="A1404" s="25" t="s">
        <v>1532</v>
      </c>
      <c r="B1404" s="39">
        <v>72413</v>
      </c>
      <c r="C1404" s="42" t="s">
        <v>3867</v>
      </c>
      <c r="D1404" s="26" t="s">
        <v>87</v>
      </c>
      <c r="E1404" s="26" t="s">
        <v>501</v>
      </c>
      <c r="F1404" s="27" t="s">
        <v>471</v>
      </c>
      <c r="G1404" s="27" t="s">
        <v>1491</v>
      </c>
      <c r="N1404" s="8"/>
      <c r="O1404" s="29" t="s">
        <v>1338</v>
      </c>
      <c r="P1404" s="27">
        <v>71</v>
      </c>
      <c r="AB1404" s="27">
        <v>2169</v>
      </c>
      <c r="AC1404" s="82"/>
      <c r="AD1404" s="29" t="s">
        <v>1377</v>
      </c>
      <c r="AE1404" s="92" t="str">
        <f t="shared" ref="AE1404:AE1413" si="174">BA1404</f>
        <v>7121</v>
      </c>
      <c r="AF1404" s="29"/>
      <c r="AG1404" s="29"/>
      <c r="AH1404" s="29"/>
      <c r="AQ1404" s="85"/>
      <c r="AR1404" s="27">
        <v>1</v>
      </c>
      <c r="AS1404" s="27">
        <v>1</v>
      </c>
      <c r="AT1404" s="85"/>
      <c r="AU1404" s="29" t="s">
        <v>1939</v>
      </c>
      <c r="AW1404" s="39">
        <v>2</v>
      </c>
      <c r="AX1404" s="12">
        <f>VLOOKUP(AW1404,색인!$N$14:$O$19,2,FALSE)</f>
        <v>1</v>
      </c>
      <c r="AY1404" s="32" t="str">
        <f>"T"&amp;O1404&amp;"_"&amp;AX1404&amp;"옵션_"&amp;VLOOKUP(E1404,색인!$J$25:$K$29,2,FALSE)</f>
        <v>T7_1옵션_보조장비</v>
      </c>
      <c r="AZ1404" s="32">
        <f>VLOOKUP(G1404,색인!$J$32:$K$45,2,FALSE)</f>
        <v>2</v>
      </c>
      <c r="BA1404" s="32" t="str">
        <f>_xlfn.IFNA(VLOOKUP(AY1404,표1[[검색용]:[OptionGroupIndex'[']22]],EquipItemTable!AZ1404,FALSE),"옵션고정안함")</f>
        <v>7121</v>
      </c>
    </row>
    <row r="1405" spans="1:53" s="27" customFormat="1" ht="12" x14ac:dyDescent="0.2">
      <c r="A1405" s="25" t="s">
        <v>1533</v>
      </c>
      <c r="B1405" s="39">
        <v>72414</v>
      </c>
      <c r="C1405" s="42" t="s">
        <v>3868</v>
      </c>
      <c r="D1405" s="26" t="s">
        <v>87</v>
      </c>
      <c r="E1405" s="26" t="s">
        <v>501</v>
      </c>
      <c r="F1405" s="27" t="s">
        <v>471</v>
      </c>
      <c r="G1405" s="27" t="s">
        <v>1491</v>
      </c>
      <c r="N1405" s="8"/>
      <c r="O1405" s="29" t="s">
        <v>1338</v>
      </c>
      <c r="P1405" s="27">
        <v>71</v>
      </c>
      <c r="AB1405" s="27">
        <v>2289</v>
      </c>
      <c r="AC1405" s="82"/>
      <c r="AD1405" s="29" t="s">
        <v>1377</v>
      </c>
      <c r="AE1405" s="92" t="str">
        <f t="shared" si="174"/>
        <v>7221</v>
      </c>
      <c r="AF1405" s="29"/>
      <c r="AG1405" s="29"/>
      <c r="AH1405" s="29"/>
      <c r="AQ1405" s="85"/>
      <c r="AR1405" s="27">
        <v>1</v>
      </c>
      <c r="AS1405" s="27">
        <v>1</v>
      </c>
      <c r="AT1405" s="85"/>
      <c r="AU1405" s="29" t="s">
        <v>1940</v>
      </c>
      <c r="AW1405" s="39">
        <v>3</v>
      </c>
      <c r="AX1405" s="12">
        <f>VLOOKUP(AW1405,색인!$N$14:$O$19,2,FALSE)</f>
        <v>2</v>
      </c>
      <c r="AY1405" s="32" t="str">
        <f>"T"&amp;O1405&amp;"_"&amp;AX1405&amp;"옵션_"&amp;VLOOKUP(E1405,색인!$J$25:$K$29,2,FALSE)</f>
        <v>T7_2옵션_보조장비</v>
      </c>
      <c r="AZ1405" s="32">
        <f>VLOOKUP(G1405,색인!$J$32:$K$45,2,FALSE)</f>
        <v>2</v>
      </c>
      <c r="BA1405" s="32" t="str">
        <f>_xlfn.IFNA(VLOOKUP(AY1405,표1[[검색용]:[OptionGroupIndex'[']22]],EquipItemTable!AZ1405,FALSE),"옵션고정안함")</f>
        <v>7221</v>
      </c>
    </row>
    <row r="1406" spans="1:53" s="27" customFormat="1" ht="12" x14ac:dyDescent="0.2">
      <c r="A1406" s="25" t="s">
        <v>1534</v>
      </c>
      <c r="B1406" s="39">
        <v>72415</v>
      </c>
      <c r="C1406" s="42" t="s">
        <v>3869</v>
      </c>
      <c r="D1406" s="26" t="s">
        <v>87</v>
      </c>
      <c r="E1406" s="26" t="s">
        <v>501</v>
      </c>
      <c r="F1406" s="27" t="s">
        <v>471</v>
      </c>
      <c r="G1406" s="27" t="s">
        <v>1491</v>
      </c>
      <c r="N1406" s="8"/>
      <c r="O1406" s="29" t="s">
        <v>1338</v>
      </c>
      <c r="P1406" s="27">
        <v>71</v>
      </c>
      <c r="AB1406" s="27">
        <v>2502</v>
      </c>
      <c r="AC1406" s="82"/>
      <c r="AD1406" s="29" t="s">
        <v>1377</v>
      </c>
      <c r="AE1406" s="92" t="str">
        <f t="shared" si="174"/>
        <v>7321</v>
      </c>
      <c r="AF1406" s="29"/>
      <c r="AG1406" s="29"/>
      <c r="AH1406" s="29"/>
      <c r="AQ1406" s="85"/>
      <c r="AR1406" s="27">
        <v>1</v>
      </c>
      <c r="AS1406" s="27">
        <v>1</v>
      </c>
      <c r="AT1406" s="85"/>
      <c r="AU1406" s="29" t="s">
        <v>1941</v>
      </c>
      <c r="AW1406" s="39">
        <v>4</v>
      </c>
      <c r="AX1406" s="12">
        <f>VLOOKUP(AW1406,색인!$N$14:$O$19,2,FALSE)</f>
        <v>3</v>
      </c>
      <c r="AY1406" s="32" t="str">
        <f>"T"&amp;O1406&amp;"_"&amp;AX1406&amp;"옵션_"&amp;VLOOKUP(E1406,색인!$J$25:$K$29,2,FALSE)</f>
        <v>T7_3옵션_보조장비</v>
      </c>
      <c r="AZ1406" s="32">
        <f>VLOOKUP(G1406,색인!$J$32:$K$45,2,FALSE)</f>
        <v>2</v>
      </c>
      <c r="BA1406" s="32" t="str">
        <f>_xlfn.IFNA(VLOOKUP(AY1406,표1[[검색용]:[OptionGroupIndex'[']22]],EquipItemTable!AZ1406,FALSE),"옵션고정안함")</f>
        <v>7321</v>
      </c>
    </row>
    <row r="1407" spans="1:53" s="27" customFormat="1" ht="12" x14ac:dyDescent="0.2">
      <c r="A1407" s="25" t="s">
        <v>1535</v>
      </c>
      <c r="B1407" s="39">
        <v>72416</v>
      </c>
      <c r="C1407" s="42" t="s">
        <v>3858</v>
      </c>
      <c r="D1407" s="26" t="s">
        <v>87</v>
      </c>
      <c r="E1407" s="26" t="s">
        <v>501</v>
      </c>
      <c r="F1407" s="27" t="s">
        <v>471</v>
      </c>
      <c r="G1407" s="27" t="s">
        <v>1491</v>
      </c>
      <c r="N1407" s="8"/>
      <c r="O1407" s="29" t="s">
        <v>1338</v>
      </c>
      <c r="P1407" s="27">
        <v>71</v>
      </c>
      <c r="AB1407" s="27">
        <v>2752</v>
      </c>
      <c r="AC1407" s="82"/>
      <c r="AD1407" s="29" t="s">
        <v>1377</v>
      </c>
      <c r="AE1407" s="92" t="str">
        <f t="shared" si="174"/>
        <v>7321</v>
      </c>
      <c r="AF1407" s="29"/>
      <c r="AG1407" s="29"/>
      <c r="AH1407" s="29"/>
      <c r="AN1407" s="27">
        <v>103</v>
      </c>
      <c r="AQ1407" s="85"/>
      <c r="AR1407" s="27">
        <v>1</v>
      </c>
      <c r="AS1407" s="27">
        <v>1</v>
      </c>
      <c r="AT1407" s="85"/>
      <c r="AU1407" s="29" t="s">
        <v>1942</v>
      </c>
      <c r="AW1407" s="39">
        <v>5</v>
      </c>
      <c r="AX1407" s="12">
        <f>VLOOKUP(AW1407,색인!$N$14:$O$19,2,FALSE)</f>
        <v>3</v>
      </c>
      <c r="AY1407" s="32" t="str">
        <f>"T"&amp;O1407&amp;"_"&amp;AX1407&amp;"옵션_"&amp;VLOOKUP(E1407,색인!$J$25:$K$29,2,FALSE)</f>
        <v>T7_3옵션_보조장비</v>
      </c>
      <c r="AZ1407" s="32">
        <f>VLOOKUP(G1407,색인!$J$32:$K$45,2,FALSE)</f>
        <v>2</v>
      </c>
      <c r="BA1407" s="32" t="str">
        <f>_xlfn.IFNA(VLOOKUP(AY1407,표1[[검색용]:[OptionGroupIndex'[']22]],EquipItemTable!AZ1407,FALSE),"옵션고정안함")</f>
        <v>7321</v>
      </c>
    </row>
    <row r="1408" spans="1:53" s="27" customFormat="1" ht="12" x14ac:dyDescent="0.2">
      <c r="A1408" s="25" t="s">
        <v>1536</v>
      </c>
      <c r="B1408" s="39">
        <v>72417</v>
      </c>
      <c r="C1408" s="42" t="s">
        <v>3860</v>
      </c>
      <c r="D1408" s="26" t="s">
        <v>87</v>
      </c>
      <c r="E1408" s="26" t="s">
        <v>501</v>
      </c>
      <c r="F1408" s="27" t="s">
        <v>471</v>
      </c>
      <c r="G1408" s="27" t="s">
        <v>1491</v>
      </c>
      <c r="N1408" s="8"/>
      <c r="O1408" s="29" t="s">
        <v>1338</v>
      </c>
      <c r="P1408" s="27">
        <v>71</v>
      </c>
      <c r="AB1408" s="27">
        <v>2752</v>
      </c>
      <c r="AC1408" s="82"/>
      <c r="AD1408" s="29" t="s">
        <v>1377</v>
      </c>
      <c r="AE1408" s="92" t="str">
        <f t="shared" si="174"/>
        <v>7321</v>
      </c>
      <c r="AF1408" s="29"/>
      <c r="AG1408" s="29"/>
      <c r="AH1408" s="29"/>
      <c r="AN1408" s="27">
        <v>202</v>
      </c>
      <c r="AQ1408" s="85"/>
      <c r="AR1408" s="27">
        <v>1</v>
      </c>
      <c r="AS1408" s="27">
        <v>1</v>
      </c>
      <c r="AT1408" s="85"/>
      <c r="AU1408" s="29" t="s">
        <v>1942</v>
      </c>
      <c r="AW1408" s="39">
        <v>5</v>
      </c>
      <c r="AX1408" s="12">
        <f>VLOOKUP(AW1408,색인!$N$14:$O$19,2,FALSE)</f>
        <v>3</v>
      </c>
      <c r="AY1408" s="32" t="str">
        <f>"T"&amp;O1408&amp;"_"&amp;AX1408&amp;"옵션_"&amp;VLOOKUP(E1408,색인!$J$25:$K$29,2,FALSE)</f>
        <v>T7_3옵션_보조장비</v>
      </c>
      <c r="AZ1408" s="32">
        <f>VLOOKUP(G1408,색인!$J$32:$K$45,2,FALSE)</f>
        <v>2</v>
      </c>
      <c r="BA1408" s="32" t="str">
        <f>_xlfn.IFNA(VLOOKUP(AY1408,표1[[검색용]:[OptionGroupIndex'[']22]],EquipItemTable!AZ1408,FALSE),"옵션고정안함")</f>
        <v>7321</v>
      </c>
    </row>
    <row r="1409" spans="1:53" s="27" customFormat="1" ht="12" x14ac:dyDescent="0.2">
      <c r="A1409" s="25" t="s">
        <v>1537</v>
      </c>
      <c r="B1409" s="39">
        <v>72418</v>
      </c>
      <c r="C1409" s="42" t="s">
        <v>3861</v>
      </c>
      <c r="D1409" s="26" t="s">
        <v>87</v>
      </c>
      <c r="E1409" s="26" t="s">
        <v>501</v>
      </c>
      <c r="F1409" s="27" t="s">
        <v>471</v>
      </c>
      <c r="G1409" s="27" t="s">
        <v>1491</v>
      </c>
      <c r="N1409" s="8"/>
      <c r="O1409" s="29" t="s">
        <v>1338</v>
      </c>
      <c r="P1409" s="27">
        <v>71</v>
      </c>
      <c r="AB1409" s="27">
        <v>2752</v>
      </c>
      <c r="AC1409" s="82"/>
      <c r="AD1409" s="29" t="s">
        <v>1377</v>
      </c>
      <c r="AE1409" s="92" t="str">
        <f t="shared" si="174"/>
        <v>7321</v>
      </c>
      <c r="AF1409" s="29"/>
      <c r="AG1409" s="29"/>
      <c r="AH1409" s="29"/>
      <c r="AN1409" s="27">
        <v>203</v>
      </c>
      <c r="AQ1409" s="85"/>
      <c r="AR1409" s="27">
        <v>1</v>
      </c>
      <c r="AS1409" s="27">
        <v>1</v>
      </c>
      <c r="AT1409" s="85"/>
      <c r="AU1409" s="29" t="s">
        <v>1942</v>
      </c>
      <c r="AW1409" s="39">
        <v>5</v>
      </c>
      <c r="AX1409" s="12">
        <f>VLOOKUP(AW1409,색인!$N$14:$O$19,2,FALSE)</f>
        <v>3</v>
      </c>
      <c r="AY1409" s="32" t="str">
        <f>"T"&amp;O1409&amp;"_"&amp;AX1409&amp;"옵션_"&amp;VLOOKUP(E1409,색인!$J$25:$K$29,2,FALSE)</f>
        <v>T7_3옵션_보조장비</v>
      </c>
      <c r="AZ1409" s="32">
        <f>VLOOKUP(G1409,색인!$J$32:$K$45,2,FALSE)</f>
        <v>2</v>
      </c>
      <c r="BA1409" s="32" t="str">
        <f>_xlfn.IFNA(VLOOKUP(AY1409,표1[[검색용]:[OptionGroupIndex'[']22]],EquipItemTable!AZ1409,FALSE),"옵션고정안함")</f>
        <v>7321</v>
      </c>
    </row>
    <row r="1410" spans="1:53" s="27" customFormat="1" ht="12" x14ac:dyDescent="0.2">
      <c r="A1410" s="25" t="s">
        <v>1538</v>
      </c>
      <c r="B1410" s="39">
        <v>72419</v>
      </c>
      <c r="C1410" s="42" t="s">
        <v>3862</v>
      </c>
      <c r="D1410" s="26" t="s">
        <v>87</v>
      </c>
      <c r="E1410" s="26" t="s">
        <v>501</v>
      </c>
      <c r="F1410" s="27" t="s">
        <v>471</v>
      </c>
      <c r="G1410" s="27" t="s">
        <v>1491</v>
      </c>
      <c r="N1410" s="8"/>
      <c r="O1410" s="29" t="s">
        <v>1338</v>
      </c>
      <c r="P1410" s="27">
        <v>71</v>
      </c>
      <c r="AB1410" s="27">
        <v>2752</v>
      </c>
      <c r="AC1410" s="82"/>
      <c r="AD1410" s="29" t="s">
        <v>1377</v>
      </c>
      <c r="AE1410" s="92" t="str">
        <f t="shared" si="174"/>
        <v>7321</v>
      </c>
      <c r="AF1410" s="29"/>
      <c r="AG1410" s="29"/>
      <c r="AH1410" s="29"/>
      <c r="AN1410" s="27">
        <v>204</v>
      </c>
      <c r="AQ1410" s="85"/>
      <c r="AR1410" s="27">
        <v>1</v>
      </c>
      <c r="AS1410" s="27">
        <v>1</v>
      </c>
      <c r="AT1410" s="85"/>
      <c r="AU1410" s="29" t="s">
        <v>1942</v>
      </c>
      <c r="AW1410" s="39">
        <v>5</v>
      </c>
      <c r="AX1410" s="12">
        <f>VLOOKUP(AW1410,색인!$N$14:$O$19,2,FALSE)</f>
        <v>3</v>
      </c>
      <c r="AY1410" s="32" t="str">
        <f>"T"&amp;O1410&amp;"_"&amp;AX1410&amp;"옵션_"&amp;VLOOKUP(E1410,색인!$J$25:$K$29,2,FALSE)</f>
        <v>T7_3옵션_보조장비</v>
      </c>
      <c r="AZ1410" s="32">
        <f>VLOOKUP(G1410,색인!$J$32:$K$45,2,FALSE)</f>
        <v>2</v>
      </c>
      <c r="BA1410" s="32" t="str">
        <f>_xlfn.IFNA(VLOOKUP(AY1410,표1[[검색용]:[OptionGroupIndex'[']22]],EquipItemTable!AZ1410,FALSE),"옵션고정안함")</f>
        <v>7321</v>
      </c>
    </row>
    <row r="1411" spans="1:53" s="27" customFormat="1" ht="12" x14ac:dyDescent="0.2">
      <c r="A1411" s="25" t="s">
        <v>1539</v>
      </c>
      <c r="B1411" s="39">
        <v>72420</v>
      </c>
      <c r="C1411" s="42" t="s">
        <v>3863</v>
      </c>
      <c r="D1411" s="26" t="s">
        <v>87</v>
      </c>
      <c r="E1411" s="26" t="s">
        <v>501</v>
      </c>
      <c r="F1411" s="27" t="s">
        <v>471</v>
      </c>
      <c r="G1411" s="27" t="s">
        <v>1491</v>
      </c>
      <c r="J1411" s="1"/>
      <c r="K1411" s="1"/>
      <c r="L1411" s="1"/>
      <c r="M1411" s="1"/>
      <c r="N1411" s="8"/>
      <c r="O1411" s="29" t="s">
        <v>1338</v>
      </c>
      <c r="P1411" s="27">
        <v>71</v>
      </c>
      <c r="AB1411" s="27">
        <v>2752</v>
      </c>
      <c r="AC1411" s="82"/>
      <c r="AD1411" s="29" t="s">
        <v>1377</v>
      </c>
      <c r="AE1411" s="92" t="str">
        <f t="shared" si="174"/>
        <v>7321</v>
      </c>
      <c r="AF1411" s="29"/>
      <c r="AG1411" s="12"/>
      <c r="AH1411" s="12"/>
      <c r="AN1411" s="27">
        <v>205</v>
      </c>
      <c r="AQ1411" s="85"/>
      <c r="AR1411" s="27">
        <v>1</v>
      </c>
      <c r="AS1411" s="27">
        <v>1</v>
      </c>
      <c r="AT1411" s="85"/>
      <c r="AU1411" s="29" t="s">
        <v>1942</v>
      </c>
      <c r="AW1411" s="39">
        <v>5</v>
      </c>
      <c r="AX1411" s="12">
        <f>VLOOKUP(AW1411,색인!$N$14:$O$19,2,FALSE)</f>
        <v>3</v>
      </c>
      <c r="AY1411" s="32" t="str">
        <f>"T"&amp;O1411&amp;"_"&amp;AX1411&amp;"옵션_"&amp;VLOOKUP(E1411,색인!$J$25:$K$29,2,FALSE)</f>
        <v>T7_3옵션_보조장비</v>
      </c>
      <c r="AZ1411" s="32">
        <f>VLOOKUP(G1411,색인!$J$32:$K$45,2,FALSE)</f>
        <v>2</v>
      </c>
      <c r="BA1411" s="32" t="str">
        <f>_xlfn.IFNA(VLOOKUP(AY1411,표1[[검색용]:[OptionGroupIndex'[']22]],EquipItemTable!AZ1411,FALSE),"옵션고정안함")</f>
        <v>7321</v>
      </c>
    </row>
    <row r="1412" spans="1:53" s="27" customFormat="1" ht="12" x14ac:dyDescent="0.2">
      <c r="A1412" s="25" t="s">
        <v>1540</v>
      </c>
      <c r="B1412" s="39">
        <v>72421</v>
      </c>
      <c r="C1412" s="42" t="s">
        <v>3870</v>
      </c>
      <c r="D1412" s="26" t="s">
        <v>87</v>
      </c>
      <c r="E1412" s="26" t="s">
        <v>501</v>
      </c>
      <c r="F1412" s="27" t="s">
        <v>471</v>
      </c>
      <c r="G1412" s="27" t="s">
        <v>1491</v>
      </c>
      <c r="J1412" s="1"/>
      <c r="K1412" s="1"/>
      <c r="L1412" s="1"/>
      <c r="M1412" s="1"/>
      <c r="N1412" s="8"/>
      <c r="O1412" s="29" t="s">
        <v>1338</v>
      </c>
      <c r="P1412" s="27">
        <v>71</v>
      </c>
      <c r="AB1412" s="27">
        <v>2752</v>
      </c>
      <c r="AC1412" s="82"/>
      <c r="AD1412" s="29" t="s">
        <v>1377</v>
      </c>
      <c r="AE1412" s="92" t="str">
        <f t="shared" si="174"/>
        <v>7321</v>
      </c>
      <c r="AF1412" s="29"/>
      <c r="AG1412" s="12"/>
      <c r="AH1412" s="12"/>
      <c r="AN1412" s="27">
        <v>206</v>
      </c>
      <c r="AQ1412" s="85"/>
      <c r="AR1412" s="27">
        <v>1</v>
      </c>
      <c r="AS1412" s="27">
        <v>1</v>
      </c>
      <c r="AT1412" s="85"/>
      <c r="AU1412" s="29" t="s">
        <v>1942</v>
      </c>
      <c r="AW1412" s="39">
        <v>5</v>
      </c>
      <c r="AX1412" s="12">
        <f>VLOOKUP(AW1412,색인!$N$14:$O$19,2,FALSE)</f>
        <v>3</v>
      </c>
      <c r="AY1412" s="32" t="str">
        <f>"T"&amp;O1412&amp;"_"&amp;AX1412&amp;"옵션_"&amp;VLOOKUP(E1412,색인!$J$25:$K$29,2,FALSE)</f>
        <v>T7_3옵션_보조장비</v>
      </c>
      <c r="AZ1412" s="32">
        <f>VLOOKUP(G1412,색인!$J$32:$K$45,2,FALSE)</f>
        <v>2</v>
      </c>
      <c r="BA1412" s="32" t="str">
        <f>_xlfn.IFNA(VLOOKUP(AY1412,표1[[검색용]:[OptionGroupIndex'[']22]],EquipItemTable!AZ1412,FALSE),"옵션고정안함")</f>
        <v>7321</v>
      </c>
    </row>
    <row r="1413" spans="1:53" s="27" customFormat="1" ht="12" x14ac:dyDescent="0.2">
      <c r="A1413" s="25" t="s">
        <v>1541</v>
      </c>
      <c r="B1413" s="39">
        <v>72422</v>
      </c>
      <c r="C1413" s="42" t="s">
        <v>3871</v>
      </c>
      <c r="D1413" s="26" t="s">
        <v>87</v>
      </c>
      <c r="E1413" s="26" t="s">
        <v>501</v>
      </c>
      <c r="F1413" s="27" t="s">
        <v>471</v>
      </c>
      <c r="G1413" s="27" t="s">
        <v>1491</v>
      </c>
      <c r="J1413" s="1"/>
      <c r="K1413" s="1"/>
      <c r="L1413" s="1"/>
      <c r="M1413" s="1"/>
      <c r="N1413" s="8"/>
      <c r="O1413" s="29" t="s">
        <v>1338</v>
      </c>
      <c r="P1413" s="27">
        <v>71</v>
      </c>
      <c r="AB1413" s="27">
        <v>2752</v>
      </c>
      <c r="AC1413" s="82"/>
      <c r="AD1413" s="29" t="s">
        <v>1377</v>
      </c>
      <c r="AE1413" s="92" t="str">
        <f t="shared" si="174"/>
        <v>7321</v>
      </c>
      <c r="AF1413" s="29"/>
      <c r="AG1413" s="12"/>
      <c r="AH1413" s="12"/>
      <c r="AN1413" s="27">
        <v>207</v>
      </c>
      <c r="AQ1413" s="85"/>
      <c r="AR1413" s="27">
        <v>1</v>
      </c>
      <c r="AS1413" s="27">
        <v>1</v>
      </c>
      <c r="AT1413" s="85"/>
      <c r="AU1413" s="29" t="s">
        <v>1942</v>
      </c>
      <c r="AW1413" s="39">
        <v>5</v>
      </c>
      <c r="AX1413" s="12">
        <f>VLOOKUP(AW1413,색인!$N$14:$O$19,2,FALSE)</f>
        <v>3</v>
      </c>
      <c r="AY1413" s="32" t="str">
        <f>"T"&amp;O1413&amp;"_"&amp;AX1413&amp;"옵션_"&amp;VLOOKUP(E1413,색인!$J$25:$K$29,2,FALSE)</f>
        <v>T7_3옵션_보조장비</v>
      </c>
      <c r="AZ1413" s="32">
        <f>VLOOKUP(G1413,색인!$J$32:$K$45,2,FALSE)</f>
        <v>2</v>
      </c>
      <c r="BA1413" s="32" t="str">
        <f>_xlfn.IFNA(VLOOKUP(AY1413,표1[[검색용]:[OptionGroupIndex'[']22]],EquipItemTable!AZ1413,FALSE),"옵션고정안함")</f>
        <v>7321</v>
      </c>
    </row>
    <row r="1414" spans="1:53" s="27" customFormat="1" ht="12" x14ac:dyDescent="0.2">
      <c r="A1414" s="25" t="s">
        <v>1542</v>
      </c>
      <c r="B1414" s="39">
        <v>72423</v>
      </c>
      <c r="C1414" s="42" t="s">
        <v>3842</v>
      </c>
      <c r="D1414" s="26" t="s">
        <v>87</v>
      </c>
      <c r="E1414" s="26" t="s">
        <v>501</v>
      </c>
      <c r="F1414" s="27" t="s">
        <v>471</v>
      </c>
      <c r="G1414" s="27" t="s">
        <v>1491</v>
      </c>
      <c r="J1414" s="1"/>
      <c r="K1414" s="1"/>
      <c r="L1414" s="1"/>
      <c r="M1414" s="1"/>
      <c r="N1414" s="8"/>
      <c r="O1414" s="29" t="s">
        <v>1338</v>
      </c>
      <c r="P1414" s="27">
        <v>71</v>
      </c>
      <c r="AB1414" s="27">
        <v>2841</v>
      </c>
      <c r="AC1414" s="82"/>
      <c r="AD1414" s="29" t="s">
        <v>1377</v>
      </c>
      <c r="AE1414" s="92" t="str">
        <f>BA1414</f>
        <v>7421</v>
      </c>
      <c r="AF1414" s="29" t="s">
        <v>2185</v>
      </c>
      <c r="AG1414" s="12"/>
      <c r="AH1414" s="12"/>
      <c r="AN1414" s="27">
        <v>1</v>
      </c>
      <c r="AQ1414" s="85"/>
      <c r="AR1414" s="27">
        <v>1</v>
      </c>
      <c r="AS1414" s="27">
        <v>1</v>
      </c>
      <c r="AT1414" s="85"/>
      <c r="AU1414" s="12" t="s">
        <v>1936</v>
      </c>
      <c r="AW1414" s="39">
        <v>6</v>
      </c>
      <c r="AX1414" s="12">
        <f>VLOOKUP(AW1414,색인!$N$14:$O$19,2,FALSE)</f>
        <v>4</v>
      </c>
      <c r="AY1414" s="32" t="str">
        <f>"T"&amp;O1414&amp;"_"&amp;AX1414&amp;"옵션_"&amp;VLOOKUP(E1414,색인!$J$25:$K$29,2,FALSE)</f>
        <v>T7_4옵션_보조장비</v>
      </c>
      <c r="AZ1414" s="32">
        <f>VLOOKUP(G1414,색인!$J$32:$K$45,2,FALSE)</f>
        <v>2</v>
      </c>
      <c r="BA1414" s="32" t="str">
        <f>_xlfn.IFNA(VLOOKUP(AY1414,표1[[검색용]:[OptionGroupIndex'[']22]],EquipItemTable!AZ1414,FALSE),"옵션고정안함")</f>
        <v>7421</v>
      </c>
    </row>
    <row r="1415" spans="1:53" s="27" customFormat="1" ht="12" x14ac:dyDescent="0.2">
      <c r="A1415" s="25" t="s">
        <v>1543</v>
      </c>
      <c r="B1415" s="39">
        <v>72424</v>
      </c>
      <c r="C1415" s="42" t="s">
        <v>3843</v>
      </c>
      <c r="D1415" s="26" t="s">
        <v>87</v>
      </c>
      <c r="E1415" s="26" t="s">
        <v>501</v>
      </c>
      <c r="F1415" s="27" t="s">
        <v>471</v>
      </c>
      <c r="G1415" s="27" t="s">
        <v>1491</v>
      </c>
      <c r="J1415" s="1"/>
      <c r="K1415" s="1"/>
      <c r="L1415" s="1"/>
      <c r="M1415" s="1"/>
      <c r="N1415" s="8"/>
      <c r="O1415" s="29" t="s">
        <v>1338</v>
      </c>
      <c r="P1415" s="27">
        <v>71</v>
      </c>
      <c r="AB1415" s="27">
        <v>2841</v>
      </c>
      <c r="AC1415" s="82"/>
      <c r="AD1415" s="29" t="s">
        <v>1377</v>
      </c>
      <c r="AE1415" s="92" t="str">
        <f>BA1415</f>
        <v>7421</v>
      </c>
      <c r="AF1415" s="29" t="s">
        <v>2185</v>
      </c>
      <c r="AG1415" s="12"/>
      <c r="AH1415" s="12"/>
      <c r="AN1415" s="27">
        <v>2</v>
      </c>
      <c r="AQ1415" s="85"/>
      <c r="AR1415" s="27">
        <v>1</v>
      </c>
      <c r="AS1415" s="27">
        <v>1</v>
      </c>
      <c r="AT1415" s="85"/>
      <c r="AU1415" s="12" t="s">
        <v>1936</v>
      </c>
      <c r="AW1415" s="39">
        <v>6</v>
      </c>
      <c r="AX1415" s="12">
        <f>VLOOKUP(AW1415,색인!$N$14:$O$19,2,FALSE)</f>
        <v>4</v>
      </c>
      <c r="AY1415" s="32" t="str">
        <f>"T"&amp;O1415&amp;"_"&amp;AX1415&amp;"옵션_"&amp;VLOOKUP(E1415,색인!$J$25:$K$29,2,FALSE)</f>
        <v>T7_4옵션_보조장비</v>
      </c>
      <c r="AZ1415" s="32">
        <f>VLOOKUP(G1415,색인!$J$32:$K$45,2,FALSE)</f>
        <v>2</v>
      </c>
      <c r="BA1415" s="32" t="str">
        <f>_xlfn.IFNA(VLOOKUP(AY1415,표1[[검색용]:[OptionGroupIndex'[']22]],EquipItemTable!AZ1415,FALSE),"옵션고정안함")</f>
        <v>7421</v>
      </c>
    </row>
    <row r="1416" spans="1:53" s="27" customFormat="1" ht="12" x14ac:dyDescent="0.2">
      <c r="A1416" s="25" t="s">
        <v>1544</v>
      </c>
      <c r="B1416" s="39">
        <v>72425</v>
      </c>
      <c r="C1416" s="42" t="s">
        <v>3844</v>
      </c>
      <c r="D1416" s="26" t="s">
        <v>87</v>
      </c>
      <c r="E1416" s="26" t="s">
        <v>501</v>
      </c>
      <c r="F1416" s="27" t="s">
        <v>471</v>
      </c>
      <c r="G1416" s="27" t="s">
        <v>1491</v>
      </c>
      <c r="J1416" s="1"/>
      <c r="K1416" s="1"/>
      <c r="L1416" s="1"/>
      <c r="M1416" s="1"/>
      <c r="N1416" s="8"/>
      <c r="O1416" s="29" t="s">
        <v>1338</v>
      </c>
      <c r="P1416" s="27">
        <v>71</v>
      </c>
      <c r="AB1416" s="27">
        <v>2841</v>
      </c>
      <c r="AC1416" s="82"/>
      <c r="AD1416" s="29" t="s">
        <v>1377</v>
      </c>
      <c r="AE1416" s="92" t="str">
        <f>BA1416</f>
        <v>7421</v>
      </c>
      <c r="AF1416" s="29" t="s">
        <v>2185</v>
      </c>
      <c r="AG1416" s="12"/>
      <c r="AH1416" s="12"/>
      <c r="AN1416" s="27">
        <v>3</v>
      </c>
      <c r="AQ1416" s="85"/>
      <c r="AR1416" s="27">
        <v>1</v>
      </c>
      <c r="AS1416" s="27">
        <v>1</v>
      </c>
      <c r="AT1416" s="85"/>
      <c r="AU1416" s="12" t="s">
        <v>1936</v>
      </c>
      <c r="AW1416" s="39">
        <v>6</v>
      </c>
      <c r="AX1416" s="12">
        <f>VLOOKUP(AW1416,색인!$N$14:$O$19,2,FALSE)</f>
        <v>4</v>
      </c>
      <c r="AY1416" s="32" t="str">
        <f>"T"&amp;O1416&amp;"_"&amp;AX1416&amp;"옵션_"&amp;VLOOKUP(E1416,색인!$J$25:$K$29,2,FALSE)</f>
        <v>T7_4옵션_보조장비</v>
      </c>
      <c r="AZ1416" s="32">
        <f>VLOOKUP(G1416,색인!$J$32:$K$45,2,FALSE)</f>
        <v>2</v>
      </c>
      <c r="BA1416" s="32" t="str">
        <f>_xlfn.IFNA(VLOOKUP(AY1416,표1[[검색용]:[OptionGroupIndex'[']22]],EquipItemTable!AZ1416,FALSE),"옵션고정안함")</f>
        <v>7421</v>
      </c>
    </row>
    <row r="1417" spans="1:53" s="27" customFormat="1" ht="12" x14ac:dyDescent="0.2">
      <c r="A1417" s="25" t="s">
        <v>1545</v>
      </c>
      <c r="B1417" s="39">
        <v>72426</v>
      </c>
      <c r="C1417" s="42" t="s">
        <v>3845</v>
      </c>
      <c r="D1417" s="26" t="s">
        <v>87</v>
      </c>
      <c r="E1417" s="26" t="s">
        <v>501</v>
      </c>
      <c r="F1417" s="27" t="s">
        <v>471</v>
      </c>
      <c r="G1417" s="27" t="s">
        <v>1491</v>
      </c>
      <c r="J1417" s="1"/>
      <c r="K1417" s="1"/>
      <c r="L1417" s="1"/>
      <c r="M1417" s="1"/>
      <c r="N1417" s="8"/>
      <c r="O1417" s="29" t="s">
        <v>1338</v>
      </c>
      <c r="P1417" s="27">
        <v>71</v>
      </c>
      <c r="AB1417" s="27">
        <v>2841</v>
      </c>
      <c r="AC1417" s="82"/>
      <c r="AD1417" s="29" t="s">
        <v>1377</v>
      </c>
      <c r="AE1417" s="92" t="str">
        <f>BA1417</f>
        <v>7421</v>
      </c>
      <c r="AF1417" s="29" t="s">
        <v>2185</v>
      </c>
      <c r="AG1417" s="12"/>
      <c r="AH1417" s="12"/>
      <c r="AN1417" s="27">
        <v>4</v>
      </c>
      <c r="AQ1417" s="85"/>
      <c r="AR1417" s="27">
        <v>1</v>
      </c>
      <c r="AS1417" s="27">
        <v>1</v>
      </c>
      <c r="AT1417" s="85"/>
      <c r="AU1417" s="12" t="s">
        <v>1936</v>
      </c>
      <c r="AW1417" s="39">
        <v>6</v>
      </c>
      <c r="AX1417" s="12">
        <f>VLOOKUP(AW1417,색인!$N$14:$O$19,2,FALSE)</f>
        <v>4</v>
      </c>
      <c r="AY1417" s="32" t="str">
        <f>"T"&amp;O1417&amp;"_"&amp;AX1417&amp;"옵션_"&amp;VLOOKUP(E1417,색인!$J$25:$K$29,2,FALSE)</f>
        <v>T7_4옵션_보조장비</v>
      </c>
      <c r="AZ1417" s="32">
        <f>VLOOKUP(G1417,색인!$J$32:$K$45,2,FALSE)</f>
        <v>2</v>
      </c>
      <c r="BA1417" s="32" t="str">
        <f>_xlfn.IFNA(VLOOKUP(AY1417,표1[[검색용]:[OptionGroupIndex'[']22]],EquipItemTable!AZ1417,FALSE),"옵션고정안함")</f>
        <v>7421</v>
      </c>
    </row>
    <row r="1418" spans="1:53" s="27" customFormat="1" ht="12" x14ac:dyDescent="0.2">
      <c r="A1418" s="30" t="s">
        <v>1546</v>
      </c>
      <c r="B1418" s="39">
        <v>72605</v>
      </c>
      <c r="C1418" s="42" t="e">
        <v>#N/A</v>
      </c>
      <c r="D1418" s="26" t="s">
        <v>87</v>
      </c>
      <c r="E1418" s="26" t="s">
        <v>501</v>
      </c>
      <c r="F1418" s="27" t="s">
        <v>471</v>
      </c>
      <c r="G1418" s="27" t="s">
        <v>1491</v>
      </c>
      <c r="J1418" s="1"/>
      <c r="K1418" s="1"/>
      <c r="L1418" s="1"/>
      <c r="M1418" s="1"/>
      <c r="N1418" s="8"/>
      <c r="O1418" s="29" t="s">
        <v>1338</v>
      </c>
      <c r="P1418" s="27">
        <v>71</v>
      </c>
      <c r="AB1418" s="27">
        <v>2841</v>
      </c>
      <c r="AC1418" s="82"/>
      <c r="AD1418" s="29" t="s">
        <v>1377</v>
      </c>
      <c r="AE1418" s="29" t="s">
        <v>1337</v>
      </c>
      <c r="AF1418" s="29"/>
      <c r="AG1418" s="12"/>
      <c r="AH1418" s="12"/>
      <c r="AQ1418" s="85"/>
      <c r="AR1418" s="27">
        <v>1</v>
      </c>
      <c r="AS1418" s="27">
        <v>1</v>
      </c>
      <c r="AT1418" s="85"/>
      <c r="AU1418" s="29" t="s">
        <v>1944</v>
      </c>
      <c r="AW1418" s="39">
        <v>7</v>
      </c>
      <c r="AX1418" s="12"/>
      <c r="AY1418" s="32"/>
      <c r="AZ1418" s="32"/>
      <c r="BA1418" s="32"/>
    </row>
    <row r="1419" spans="1:53" s="27" customFormat="1" ht="12" x14ac:dyDescent="0.2">
      <c r="A1419" s="25" t="s">
        <v>1547</v>
      </c>
      <c r="B1419" s="39">
        <v>372003</v>
      </c>
      <c r="C1419" s="42" t="s">
        <v>3864</v>
      </c>
      <c r="D1419" s="26" t="s">
        <v>87</v>
      </c>
      <c r="E1419" s="26" t="s">
        <v>501</v>
      </c>
      <c r="F1419" s="27" t="s">
        <v>471</v>
      </c>
      <c r="G1419" s="27" t="s">
        <v>1491</v>
      </c>
      <c r="J1419" s="1"/>
      <c r="K1419" s="1"/>
      <c r="L1419" s="1"/>
      <c r="M1419" s="1"/>
      <c r="N1419" s="8"/>
      <c r="O1419" s="29" t="s">
        <v>1338</v>
      </c>
      <c r="P1419" s="27">
        <v>71</v>
      </c>
      <c r="AB1419" s="27">
        <v>2752</v>
      </c>
      <c r="AC1419" s="82"/>
      <c r="AD1419" s="29" t="s">
        <v>1377</v>
      </c>
      <c r="AE1419" s="92" t="str">
        <f>BA1419</f>
        <v>7321</v>
      </c>
      <c r="AF1419" s="29"/>
      <c r="AG1419" s="23"/>
      <c r="AH1419" s="23"/>
      <c r="AN1419" s="27">
        <v>101</v>
      </c>
      <c r="AQ1419" s="85"/>
      <c r="AR1419" s="27">
        <v>1</v>
      </c>
      <c r="AS1419" s="27">
        <v>1</v>
      </c>
      <c r="AT1419" s="85"/>
      <c r="AU1419" s="29" t="s">
        <v>1942</v>
      </c>
      <c r="AW1419" s="39">
        <v>5</v>
      </c>
      <c r="AX1419" s="12">
        <f>VLOOKUP(AW1419,색인!$N$14:$O$19,2,FALSE)</f>
        <v>3</v>
      </c>
      <c r="AY1419" s="32" t="str">
        <f>"T"&amp;O1419&amp;"_"&amp;AX1419&amp;"옵션_"&amp;VLOOKUP(E1419,색인!$J$25:$K$29,2,FALSE)</f>
        <v>T7_3옵션_보조장비</v>
      </c>
      <c r="AZ1419" s="32">
        <f>VLOOKUP(G1419,색인!$J$32:$K$45,2,FALSE)</f>
        <v>2</v>
      </c>
      <c r="BA1419" s="32" t="str">
        <f>_xlfn.IFNA(VLOOKUP(AY1419,표1[[검색용]:[OptionGroupIndex'[']22]],EquipItemTable!AZ1419,FALSE),"옵션고정안함")</f>
        <v>7321</v>
      </c>
    </row>
    <row r="1420" spans="1:53" s="27" customFormat="1" ht="12" x14ac:dyDescent="0.2">
      <c r="A1420" s="25" t="s">
        <v>1548</v>
      </c>
      <c r="B1420" s="39">
        <v>372004</v>
      </c>
      <c r="C1420" s="42" t="s">
        <v>3865</v>
      </c>
      <c r="D1420" s="26" t="s">
        <v>87</v>
      </c>
      <c r="E1420" s="26" t="s">
        <v>501</v>
      </c>
      <c r="F1420" s="27" t="s">
        <v>471</v>
      </c>
      <c r="G1420" s="27" t="s">
        <v>1491</v>
      </c>
      <c r="J1420" s="1"/>
      <c r="K1420" s="1"/>
      <c r="L1420" s="1"/>
      <c r="M1420" s="1"/>
      <c r="N1420" s="8"/>
      <c r="O1420" s="29" t="s">
        <v>1338</v>
      </c>
      <c r="P1420" s="27">
        <v>71</v>
      </c>
      <c r="AB1420" s="27">
        <v>2841</v>
      </c>
      <c r="AC1420" s="82"/>
      <c r="AD1420" s="29" t="s">
        <v>1377</v>
      </c>
      <c r="AE1420" s="92" t="s">
        <v>2190</v>
      </c>
      <c r="AF1420" s="29" t="s">
        <v>2185</v>
      </c>
      <c r="AG1420" s="23"/>
      <c r="AH1420" s="23"/>
      <c r="AN1420" s="27">
        <v>102</v>
      </c>
      <c r="AQ1420" s="85"/>
      <c r="AR1420" s="27">
        <v>1</v>
      </c>
      <c r="AS1420" s="27">
        <v>1</v>
      </c>
      <c r="AT1420" s="85"/>
      <c r="AU1420" s="29" t="s">
        <v>1943</v>
      </c>
      <c r="AW1420" s="39">
        <v>6</v>
      </c>
      <c r="AX1420" s="12">
        <f>VLOOKUP(AW1420,색인!$N$14:$O$19,2,FALSE)</f>
        <v>4</v>
      </c>
      <c r="AY1420" s="32" t="str">
        <f>"T"&amp;O1420&amp;"_"&amp;AX1420&amp;"옵션_"&amp;VLOOKUP(E1420,색인!$J$25:$K$29,2,FALSE)</f>
        <v>T7_4옵션_보조장비</v>
      </c>
      <c r="AZ1420" s="32">
        <f>VLOOKUP(G1420,색인!$J$32:$K$45,2,FALSE)</f>
        <v>2</v>
      </c>
      <c r="BA1420" s="32" t="str">
        <f>_xlfn.IFNA(VLOOKUP(AY1420,표1[[검색용]:[OptionGroupIndex'[']22]],EquipItemTable!AZ1420,FALSE),"옵션고정안함")</f>
        <v>7421</v>
      </c>
    </row>
    <row r="1421" spans="1:53" ht="12" customHeight="1" x14ac:dyDescent="0.2">
      <c r="A1421" s="10" t="s">
        <v>253</v>
      </c>
      <c r="B1421" s="39">
        <v>80001</v>
      </c>
      <c r="C1421" s="42" t="s">
        <v>3872</v>
      </c>
      <c r="D1421" s="10" t="s">
        <v>2946</v>
      </c>
      <c r="E1421" s="10" t="s">
        <v>2</v>
      </c>
      <c r="F1421" s="1" t="s">
        <v>522</v>
      </c>
      <c r="G1421" s="1" t="s">
        <v>1314</v>
      </c>
      <c r="H1421" s="1"/>
      <c r="I1421" s="1"/>
      <c r="J1421" s="1"/>
      <c r="K1421" s="1"/>
      <c r="L1421" s="1"/>
      <c r="M1421" s="1"/>
      <c r="O1421" s="12" t="s">
        <v>94</v>
      </c>
      <c r="P1421" s="1">
        <v>1</v>
      </c>
      <c r="Q1421" s="1"/>
      <c r="R1421" s="1"/>
      <c r="S1421" s="1"/>
      <c r="T1421" s="1"/>
      <c r="U1421" s="1"/>
      <c r="V1421" s="1"/>
      <c r="W1421" s="1"/>
      <c r="X1421" s="1"/>
      <c r="Y1421" s="20">
        <v>1826.1999999999998</v>
      </c>
      <c r="Z1421" s="1"/>
      <c r="AA1421" s="1"/>
      <c r="AB1421" s="1"/>
      <c r="AC1421" s="82"/>
      <c r="AD1421" s="12" t="s">
        <v>52</v>
      </c>
      <c r="AE1421" s="12" t="s">
        <v>94</v>
      </c>
      <c r="AG1421" s="23"/>
      <c r="AH1421" s="23"/>
      <c r="AN1421" s="12"/>
      <c r="AU1421" s="12" t="s">
        <v>1932</v>
      </c>
      <c r="AV1421" s="13"/>
      <c r="AW1421" s="39">
        <v>1</v>
      </c>
      <c r="AY1421" s="32"/>
      <c r="AZ1421" s="32"/>
      <c r="BA1421" s="32"/>
    </row>
    <row r="1422" spans="1:53" ht="12" customHeight="1" x14ac:dyDescent="0.2">
      <c r="A1422" s="10" t="s">
        <v>254</v>
      </c>
      <c r="B1422" s="39">
        <v>80002</v>
      </c>
      <c r="C1422" s="42" t="s">
        <v>3873</v>
      </c>
      <c r="D1422" s="10" t="s">
        <v>2946</v>
      </c>
      <c r="E1422" s="10" t="s">
        <v>2</v>
      </c>
      <c r="F1422" s="1" t="s">
        <v>312</v>
      </c>
      <c r="G1422" s="1" t="s">
        <v>1314</v>
      </c>
      <c r="H1422" s="1"/>
      <c r="I1422" s="1"/>
      <c r="J1422" s="1"/>
      <c r="K1422" s="1"/>
      <c r="L1422" s="1"/>
      <c r="M1422" s="1"/>
      <c r="O1422" s="12" t="s">
        <v>94</v>
      </c>
      <c r="P1422" s="1">
        <v>1</v>
      </c>
      <c r="Q1422" s="1"/>
      <c r="R1422" s="1"/>
      <c r="S1422" s="1"/>
      <c r="T1422" s="1"/>
      <c r="U1422" s="1"/>
      <c r="V1422" s="1"/>
      <c r="W1422" s="1"/>
      <c r="X1422" s="1"/>
      <c r="Y1422" s="20">
        <v>2622</v>
      </c>
      <c r="Z1422" s="1"/>
      <c r="AA1422" s="1"/>
      <c r="AB1422" s="1"/>
      <c r="AC1422" s="82"/>
      <c r="AD1422" s="12" t="s">
        <v>52</v>
      </c>
      <c r="AE1422" s="39" t="str">
        <f t="shared" ref="AE1422:AE1424" si="175">BA1422</f>
        <v>1131,1132</v>
      </c>
      <c r="AG1422" s="23"/>
      <c r="AH1422" s="23"/>
      <c r="AN1422" s="12"/>
      <c r="AU1422" s="12" t="s">
        <v>1939</v>
      </c>
      <c r="AV1422" s="13"/>
      <c r="AW1422" s="39">
        <v>2</v>
      </c>
      <c r="AX1422" s="12">
        <f>VLOOKUP(AW1422,색인!$N$14:$O$19,2,FALSE)</f>
        <v>1</v>
      </c>
      <c r="AY1422" s="32" t="str">
        <f>"T"&amp;O1422&amp;"_"&amp;AX1422&amp;"옵션_"&amp;VLOOKUP(E1422,색인!$J$25:$K$29,2,FALSE)</f>
        <v>T1_1옵션_장신구</v>
      </c>
      <c r="AZ1422" s="32">
        <f>VLOOKUP(G1422,색인!$J$32:$K$45,2,FALSE)</f>
        <v>4</v>
      </c>
      <c r="BA1422" s="32" t="str">
        <f>_xlfn.IFNA(VLOOKUP(AY1422,표1[[검색용]:[OptionGroupIndex'[']22]],EquipItemTable!AZ1422,FALSE),"옵션고정안함")</f>
        <v>1131,1132</v>
      </c>
    </row>
    <row r="1423" spans="1:53" ht="12" customHeight="1" x14ac:dyDescent="0.2">
      <c r="A1423" s="10" t="s">
        <v>255</v>
      </c>
      <c r="B1423" s="39">
        <v>80003</v>
      </c>
      <c r="C1423" s="42" t="s">
        <v>3874</v>
      </c>
      <c r="D1423" s="10" t="s">
        <v>2946</v>
      </c>
      <c r="E1423" s="10" t="s">
        <v>2</v>
      </c>
      <c r="F1423" s="1" t="s">
        <v>312</v>
      </c>
      <c r="G1423" s="1" t="s">
        <v>1314</v>
      </c>
      <c r="H1423" s="1"/>
      <c r="I1423" s="1"/>
      <c r="J1423" s="1"/>
      <c r="K1423" s="1"/>
      <c r="L1423" s="1"/>
      <c r="M1423" s="1"/>
      <c r="O1423" s="12" t="s">
        <v>94</v>
      </c>
      <c r="P1423" s="1">
        <v>1</v>
      </c>
      <c r="Q1423" s="1"/>
      <c r="R1423" s="1"/>
      <c r="S1423" s="1"/>
      <c r="T1423" s="1"/>
      <c r="U1423" s="1"/>
      <c r="V1423" s="1"/>
      <c r="W1423" s="1"/>
      <c r="X1423" s="1"/>
      <c r="Y1423" s="84">
        <v>3449.9999999999995</v>
      </c>
      <c r="Z1423" s="1"/>
      <c r="AA1423" s="1"/>
      <c r="AB1423" s="1"/>
      <c r="AC1423" s="82"/>
      <c r="AD1423" s="12" t="s">
        <v>52</v>
      </c>
      <c r="AE1423" s="39" t="str">
        <f t="shared" si="175"/>
        <v>1231,1232</v>
      </c>
      <c r="AG1423" s="23"/>
      <c r="AH1423" s="23"/>
      <c r="AN1423" s="12"/>
      <c r="AU1423" s="12" t="s">
        <v>1940</v>
      </c>
      <c r="AV1423" s="13"/>
      <c r="AW1423" s="39">
        <v>3</v>
      </c>
      <c r="AX1423" s="12">
        <f>VLOOKUP(AW1423,색인!$N$14:$O$19,2,FALSE)</f>
        <v>2</v>
      </c>
      <c r="AY1423" s="32" t="str">
        <f>"T"&amp;O1423&amp;"_"&amp;AX1423&amp;"옵션_"&amp;VLOOKUP(E1423,색인!$J$25:$K$29,2,FALSE)</f>
        <v>T1_2옵션_장신구</v>
      </c>
      <c r="AZ1423" s="32">
        <f>VLOOKUP(G1423,색인!$J$32:$K$45,2,FALSE)</f>
        <v>4</v>
      </c>
      <c r="BA1423" s="32" t="str">
        <f>_xlfn.IFNA(VLOOKUP(AY1423,표1[[검색용]:[OptionGroupIndex'[']22]],EquipItemTable!AZ1423,FALSE),"옵션고정안함")</f>
        <v>1231,1232</v>
      </c>
    </row>
    <row r="1424" spans="1:53" ht="12" customHeight="1" x14ac:dyDescent="0.2">
      <c r="A1424" s="10" t="s">
        <v>515</v>
      </c>
      <c r="B1424" s="39">
        <v>80004</v>
      </c>
      <c r="C1424" s="42" t="s">
        <v>3875</v>
      </c>
      <c r="D1424" s="10" t="s">
        <v>2946</v>
      </c>
      <c r="E1424" s="10" t="s">
        <v>2</v>
      </c>
      <c r="F1424" s="1" t="s">
        <v>312</v>
      </c>
      <c r="G1424" s="1" t="s">
        <v>1314</v>
      </c>
      <c r="H1424" s="1"/>
      <c r="I1424" s="1"/>
      <c r="J1424" s="1"/>
      <c r="K1424" s="1"/>
      <c r="L1424" s="1"/>
      <c r="M1424" s="1"/>
      <c r="O1424" s="12" t="s">
        <v>428</v>
      </c>
      <c r="P1424" s="1">
        <v>1</v>
      </c>
      <c r="Q1424" s="1"/>
      <c r="R1424" s="1"/>
      <c r="S1424" s="1"/>
      <c r="T1424" s="1"/>
      <c r="U1424" s="1"/>
      <c r="V1424" s="1"/>
      <c r="W1424" s="1"/>
      <c r="X1424" s="1"/>
      <c r="Y1424" s="84">
        <v>4416</v>
      </c>
      <c r="Z1424" s="1"/>
      <c r="AA1424" s="1"/>
      <c r="AB1424" s="1"/>
      <c r="AC1424" s="82"/>
      <c r="AE1424" s="39" t="str">
        <f t="shared" si="175"/>
        <v>1331,1332</v>
      </c>
      <c r="AG1424" s="23"/>
      <c r="AH1424" s="23"/>
      <c r="AN1424" s="12"/>
      <c r="AU1424" s="12" t="s">
        <v>1941</v>
      </c>
      <c r="AV1424" s="13"/>
      <c r="AW1424" s="39">
        <v>4</v>
      </c>
      <c r="AX1424" s="12">
        <f>VLOOKUP(AW1424,색인!$N$14:$O$19,2,FALSE)</f>
        <v>3</v>
      </c>
      <c r="AY1424" s="32" t="str">
        <f>"T"&amp;O1424&amp;"_"&amp;AX1424&amp;"옵션_"&amp;VLOOKUP(E1424,색인!$J$25:$K$29,2,FALSE)</f>
        <v>T1_3옵션_장신구</v>
      </c>
      <c r="AZ1424" s="32">
        <f>VLOOKUP(G1424,색인!$J$32:$K$45,2,FALSE)</f>
        <v>4</v>
      </c>
      <c r="BA1424" s="32" t="str">
        <f>_xlfn.IFNA(VLOOKUP(AY1424,표1[[검색용]:[OptionGroupIndex'[']22]],EquipItemTable!AZ1424,FALSE),"옵션고정안함")</f>
        <v>1331,1332</v>
      </c>
    </row>
    <row r="1425" spans="1:53" ht="12" customHeight="1" x14ac:dyDescent="0.2">
      <c r="A1425" s="10" t="s">
        <v>256</v>
      </c>
      <c r="B1425" s="39">
        <v>80005</v>
      </c>
      <c r="C1425" s="42" t="s">
        <v>3876</v>
      </c>
      <c r="D1425" s="10" t="s">
        <v>2946</v>
      </c>
      <c r="E1425" s="10" t="s">
        <v>2</v>
      </c>
      <c r="F1425" s="1" t="s">
        <v>312</v>
      </c>
      <c r="G1425" s="1" t="s">
        <v>1314</v>
      </c>
      <c r="H1425" s="1"/>
      <c r="I1425" s="1"/>
      <c r="J1425" s="1"/>
      <c r="K1425" s="1"/>
      <c r="L1425" s="1"/>
      <c r="M1425" s="1"/>
      <c r="O1425" s="12" t="s">
        <v>95</v>
      </c>
      <c r="P1425" s="1">
        <v>21</v>
      </c>
      <c r="Q1425" s="1"/>
      <c r="R1425" s="1"/>
      <c r="S1425" s="1"/>
      <c r="T1425" s="1"/>
      <c r="U1425" s="1"/>
      <c r="V1425" s="1"/>
      <c r="W1425" s="13"/>
      <c r="X1425" s="13"/>
      <c r="Y1425" s="84">
        <v>5071.5</v>
      </c>
      <c r="Z1425" s="1"/>
      <c r="AA1425" s="1"/>
      <c r="AB1425" s="1"/>
      <c r="AC1425" s="82"/>
      <c r="AD1425" s="12" t="s">
        <v>52</v>
      </c>
      <c r="AE1425" s="12" t="s">
        <v>550</v>
      </c>
      <c r="AG1425" s="23"/>
      <c r="AH1425" s="23"/>
      <c r="AN1425" s="12"/>
      <c r="AU1425" s="12" t="s">
        <v>1932</v>
      </c>
      <c r="AV1425" s="13" t="s">
        <v>5</v>
      </c>
      <c r="AW1425" s="39">
        <v>1</v>
      </c>
      <c r="AY1425" s="32"/>
      <c r="AZ1425" s="32"/>
      <c r="BA1425" s="32"/>
    </row>
    <row r="1426" spans="1:53" ht="12" customHeight="1" x14ac:dyDescent="0.2">
      <c r="A1426" s="10" t="s">
        <v>257</v>
      </c>
      <c r="B1426" s="39">
        <v>80006</v>
      </c>
      <c r="C1426" s="42" t="s">
        <v>5</v>
      </c>
      <c r="D1426" s="10" t="s">
        <v>2946</v>
      </c>
      <c r="E1426" s="10" t="s">
        <v>2</v>
      </c>
      <c r="F1426" s="1" t="s">
        <v>312</v>
      </c>
      <c r="G1426" s="1" t="s">
        <v>1314</v>
      </c>
      <c r="H1426" s="1"/>
      <c r="I1426" s="1"/>
      <c r="J1426" s="1"/>
      <c r="K1426" s="1"/>
      <c r="L1426" s="1"/>
      <c r="M1426" s="1"/>
      <c r="O1426" s="12" t="s">
        <v>95</v>
      </c>
      <c r="P1426" s="1">
        <v>21</v>
      </c>
      <c r="Q1426" s="1"/>
      <c r="R1426" s="1"/>
      <c r="S1426" s="1"/>
      <c r="T1426" s="1"/>
      <c r="U1426" s="1"/>
      <c r="V1426" s="1"/>
      <c r="W1426" s="13"/>
      <c r="X1426" s="13"/>
      <c r="Y1426" s="84">
        <v>6658.4999999999991</v>
      </c>
      <c r="Z1426" s="1"/>
      <c r="AA1426" s="1"/>
      <c r="AB1426" s="1"/>
      <c r="AC1426" s="82"/>
      <c r="AD1426" s="12" t="s">
        <v>52</v>
      </c>
      <c r="AE1426" s="39" t="str">
        <f t="shared" ref="AE1426:AE1428" si="176">BA1426</f>
        <v>2131,2132</v>
      </c>
      <c r="AN1426" s="12"/>
      <c r="AU1426" s="12" t="s">
        <v>1939</v>
      </c>
      <c r="AV1426" s="13"/>
      <c r="AW1426" s="39">
        <v>2</v>
      </c>
      <c r="AX1426" s="12">
        <f>VLOOKUP(AW1426,색인!$N$14:$O$19,2,FALSE)</f>
        <v>1</v>
      </c>
      <c r="AY1426" s="32" t="str">
        <f>"T"&amp;O1426&amp;"_"&amp;AX1426&amp;"옵션_"&amp;VLOOKUP(E1426,색인!$J$25:$K$29,2,FALSE)</f>
        <v>T2_1옵션_장신구</v>
      </c>
      <c r="AZ1426" s="32">
        <f>VLOOKUP(G1426,색인!$J$32:$K$45,2,FALSE)</f>
        <v>4</v>
      </c>
      <c r="BA1426" s="32" t="str">
        <f>_xlfn.IFNA(VLOOKUP(AY1426,표1[[검색용]:[OptionGroupIndex'[']22]],EquipItemTable!AZ1426,FALSE),"옵션고정안함")</f>
        <v>2131,2132</v>
      </c>
    </row>
    <row r="1427" spans="1:53" ht="12" customHeight="1" x14ac:dyDescent="0.2">
      <c r="A1427" s="10" t="s">
        <v>258</v>
      </c>
      <c r="B1427" s="39">
        <v>80007</v>
      </c>
      <c r="C1427" s="42" t="s">
        <v>3877</v>
      </c>
      <c r="D1427" s="10" t="s">
        <v>2946</v>
      </c>
      <c r="E1427" s="10" t="s">
        <v>2</v>
      </c>
      <c r="F1427" s="1" t="s">
        <v>312</v>
      </c>
      <c r="G1427" s="1" t="s">
        <v>1314</v>
      </c>
      <c r="H1427" s="1"/>
      <c r="I1427" s="1"/>
      <c r="J1427" s="1"/>
      <c r="K1427" s="1"/>
      <c r="L1427" s="1"/>
      <c r="M1427" s="1"/>
      <c r="O1427" s="12" t="s">
        <v>95</v>
      </c>
      <c r="P1427" s="1">
        <v>21</v>
      </c>
      <c r="Q1427" s="1"/>
      <c r="R1427" s="1"/>
      <c r="S1427" s="1"/>
      <c r="T1427" s="1"/>
      <c r="U1427" s="1"/>
      <c r="V1427" s="1"/>
      <c r="W1427" s="13"/>
      <c r="X1427" s="13"/>
      <c r="Y1427" s="84">
        <v>8215.5999999999985</v>
      </c>
      <c r="Z1427" s="1"/>
      <c r="AA1427" s="1"/>
      <c r="AB1427" s="1"/>
      <c r="AC1427" s="82"/>
      <c r="AD1427" s="12" t="s">
        <v>52</v>
      </c>
      <c r="AE1427" s="39" t="str">
        <f t="shared" si="176"/>
        <v>2231,2232</v>
      </c>
      <c r="AN1427" s="12"/>
      <c r="AU1427" s="12" t="s">
        <v>1940</v>
      </c>
      <c r="AV1427" s="13" t="s">
        <v>3</v>
      </c>
      <c r="AW1427" s="39">
        <v>3</v>
      </c>
      <c r="AX1427" s="12">
        <f>VLOOKUP(AW1427,색인!$N$14:$O$19,2,FALSE)</f>
        <v>2</v>
      </c>
      <c r="AY1427" s="32" t="str">
        <f>"T"&amp;O1427&amp;"_"&amp;AX1427&amp;"옵션_"&amp;VLOOKUP(E1427,색인!$J$25:$K$29,2,FALSE)</f>
        <v>T2_2옵션_장신구</v>
      </c>
      <c r="AZ1427" s="32">
        <f>VLOOKUP(G1427,색인!$J$32:$K$45,2,FALSE)</f>
        <v>4</v>
      </c>
      <c r="BA1427" s="32" t="str">
        <f>_xlfn.IFNA(VLOOKUP(AY1427,표1[[검색용]:[OptionGroupIndex'[']22]],EquipItemTable!AZ1427,FALSE),"옵션고정안함")</f>
        <v>2231,2232</v>
      </c>
    </row>
    <row r="1428" spans="1:53" ht="12" customHeight="1" x14ac:dyDescent="0.2">
      <c r="A1428" s="10" t="s">
        <v>516</v>
      </c>
      <c r="B1428" s="39">
        <v>80008</v>
      </c>
      <c r="C1428" s="42" t="s">
        <v>3878</v>
      </c>
      <c r="D1428" s="10" t="s">
        <v>2946</v>
      </c>
      <c r="E1428" s="10" t="s">
        <v>2</v>
      </c>
      <c r="F1428" s="1" t="s">
        <v>312</v>
      </c>
      <c r="G1428" s="1" t="s">
        <v>1314</v>
      </c>
      <c r="H1428" s="1"/>
      <c r="I1428" s="1"/>
      <c r="J1428" s="1"/>
      <c r="K1428" s="1"/>
      <c r="L1428" s="1"/>
      <c r="M1428" s="1"/>
      <c r="O1428" s="12" t="s">
        <v>429</v>
      </c>
      <c r="P1428" s="1">
        <v>21</v>
      </c>
      <c r="Q1428" s="1"/>
      <c r="R1428" s="1"/>
      <c r="S1428" s="1"/>
      <c r="T1428" s="1"/>
      <c r="U1428" s="1"/>
      <c r="V1428" s="1"/>
      <c r="W1428" s="13"/>
      <c r="X1428" s="13"/>
      <c r="Y1428" s="84">
        <v>10014.199999999999</v>
      </c>
      <c r="Z1428" s="1"/>
      <c r="AA1428" s="1"/>
      <c r="AB1428" s="1"/>
      <c r="AC1428" s="82"/>
      <c r="AE1428" s="39" t="str">
        <f t="shared" si="176"/>
        <v>2331,2332</v>
      </c>
      <c r="AN1428" s="12"/>
      <c r="AU1428" s="12" t="s">
        <v>1941</v>
      </c>
      <c r="AV1428" s="13"/>
      <c r="AW1428" s="39">
        <v>4</v>
      </c>
      <c r="AX1428" s="12">
        <f>VLOOKUP(AW1428,색인!$N$14:$O$19,2,FALSE)</f>
        <v>3</v>
      </c>
      <c r="AY1428" s="32" t="str">
        <f>"T"&amp;O1428&amp;"_"&amp;AX1428&amp;"옵션_"&amp;VLOOKUP(E1428,색인!$J$25:$K$29,2,FALSE)</f>
        <v>T2_3옵션_장신구</v>
      </c>
      <c r="AZ1428" s="32">
        <f>VLOOKUP(G1428,색인!$J$32:$K$45,2,FALSE)</f>
        <v>4</v>
      </c>
      <c r="BA1428" s="32" t="str">
        <f>_xlfn.IFNA(VLOOKUP(AY1428,표1[[검색용]:[OptionGroupIndex'[']22]],EquipItemTable!AZ1428,FALSE),"옵션고정안함")</f>
        <v>2331,2332</v>
      </c>
    </row>
    <row r="1429" spans="1:53" ht="12" customHeight="1" x14ac:dyDescent="0.2">
      <c r="A1429" s="10" t="s">
        <v>259</v>
      </c>
      <c r="B1429" s="39">
        <v>80009</v>
      </c>
      <c r="C1429" s="42" t="s">
        <v>3879</v>
      </c>
      <c r="D1429" s="10" t="s">
        <v>2946</v>
      </c>
      <c r="E1429" s="10" t="s">
        <v>2</v>
      </c>
      <c r="F1429" s="1" t="s">
        <v>312</v>
      </c>
      <c r="G1429" s="1" t="s">
        <v>1314</v>
      </c>
      <c r="H1429" s="1"/>
      <c r="I1429" s="1"/>
      <c r="J1429" s="1"/>
      <c r="K1429" s="1"/>
      <c r="L1429" s="1"/>
      <c r="M1429" s="1"/>
      <c r="N1429" s="81"/>
      <c r="O1429" s="12" t="s">
        <v>96</v>
      </c>
      <c r="P1429" s="1">
        <v>31</v>
      </c>
      <c r="Q1429" s="13"/>
      <c r="R1429" s="13"/>
      <c r="S1429" s="13"/>
      <c r="T1429" s="13"/>
      <c r="U1429" s="13"/>
      <c r="V1429" s="13"/>
      <c r="W1429" s="13"/>
      <c r="X1429" s="13"/>
      <c r="Y1429" s="84">
        <v>11500</v>
      </c>
      <c r="Z1429" s="13"/>
      <c r="AA1429" s="13"/>
      <c r="AB1429" s="13"/>
      <c r="AC1429" s="82"/>
      <c r="AD1429" s="23" t="s">
        <v>52</v>
      </c>
      <c r="AE1429" s="23">
        <v>3</v>
      </c>
      <c r="AF1429" s="23"/>
      <c r="AI1429" s="23"/>
      <c r="AJ1429" s="23"/>
      <c r="AK1429" s="23"/>
      <c r="AL1429" s="23"/>
      <c r="AM1429" s="23"/>
      <c r="AN1429" s="23"/>
      <c r="AO1429" s="23"/>
      <c r="AP1429" s="23"/>
      <c r="AQ1429" s="81"/>
      <c r="AR1429" s="83"/>
      <c r="AS1429" s="83"/>
      <c r="AT1429" s="81"/>
      <c r="AU1429" s="12" t="s">
        <v>1932</v>
      </c>
      <c r="AV1429" s="13"/>
      <c r="AW1429" s="39">
        <v>1</v>
      </c>
      <c r="AY1429" s="32"/>
      <c r="AZ1429" s="32"/>
      <c r="BA1429" s="32"/>
    </row>
    <row r="1430" spans="1:53" ht="12" customHeight="1" x14ac:dyDescent="0.2">
      <c r="A1430" s="10" t="s">
        <v>260</v>
      </c>
      <c r="B1430" s="39">
        <v>80010</v>
      </c>
      <c r="C1430" s="42" t="s">
        <v>3880</v>
      </c>
      <c r="D1430" s="10" t="s">
        <v>2946</v>
      </c>
      <c r="E1430" s="10" t="s">
        <v>2</v>
      </c>
      <c r="F1430" s="1" t="s">
        <v>312</v>
      </c>
      <c r="G1430" s="1" t="s">
        <v>1314</v>
      </c>
      <c r="H1430" s="1"/>
      <c r="I1430" s="1"/>
      <c r="J1430" s="1"/>
      <c r="K1430" s="1"/>
      <c r="L1430" s="1"/>
      <c r="M1430" s="1"/>
      <c r="N1430" s="81"/>
      <c r="O1430" s="12" t="s">
        <v>96</v>
      </c>
      <c r="P1430" s="1">
        <v>31</v>
      </c>
      <c r="Q1430" s="13"/>
      <c r="R1430" s="13"/>
      <c r="S1430" s="13"/>
      <c r="T1430" s="13"/>
      <c r="U1430" s="13"/>
      <c r="V1430" s="13"/>
      <c r="W1430" s="13"/>
      <c r="X1430" s="13"/>
      <c r="Y1430" s="84">
        <v>14533.699999999999</v>
      </c>
      <c r="Z1430" s="13"/>
      <c r="AA1430" s="13"/>
      <c r="AB1430" s="13"/>
      <c r="AC1430" s="82"/>
      <c r="AD1430" s="23" t="s">
        <v>52</v>
      </c>
      <c r="AE1430" s="90" t="str">
        <f t="shared" ref="AE1430:AE1432" si="177">BA1430</f>
        <v>3131,3132</v>
      </c>
      <c r="AF1430" s="23"/>
      <c r="AI1430" s="23"/>
      <c r="AJ1430" s="23"/>
      <c r="AK1430" s="23"/>
      <c r="AL1430" s="23"/>
      <c r="AM1430" s="23"/>
      <c r="AN1430" s="23"/>
      <c r="AO1430" s="23"/>
      <c r="AP1430" s="23"/>
      <c r="AQ1430" s="81"/>
      <c r="AR1430" s="83"/>
      <c r="AS1430" s="83"/>
      <c r="AT1430" s="81"/>
      <c r="AU1430" s="12" t="s">
        <v>1939</v>
      </c>
      <c r="AV1430" s="13"/>
      <c r="AW1430" s="39">
        <v>2</v>
      </c>
      <c r="AX1430" s="12">
        <f>VLOOKUP(AW1430,색인!$N$14:$O$19,2,FALSE)</f>
        <v>1</v>
      </c>
      <c r="AY1430" s="32" t="str">
        <f>"T"&amp;O1430&amp;"_"&amp;AX1430&amp;"옵션_"&amp;VLOOKUP(E1430,색인!$J$25:$K$29,2,FALSE)</f>
        <v>T3_1옵션_장신구</v>
      </c>
      <c r="AZ1430" s="32">
        <f>VLOOKUP(G1430,색인!$J$32:$K$45,2,FALSE)</f>
        <v>4</v>
      </c>
      <c r="BA1430" s="32" t="str">
        <f>_xlfn.IFNA(VLOOKUP(AY1430,표1[[검색용]:[OptionGroupIndex'[']22]],EquipItemTable!AZ1430,FALSE),"옵션고정안함")</f>
        <v>3131,3132</v>
      </c>
    </row>
    <row r="1431" spans="1:53" ht="12" customHeight="1" x14ac:dyDescent="0.2">
      <c r="A1431" s="10" t="s">
        <v>261</v>
      </c>
      <c r="B1431" s="39">
        <v>80011</v>
      </c>
      <c r="C1431" s="42" t="s">
        <v>3881</v>
      </c>
      <c r="D1431" s="10" t="s">
        <v>2946</v>
      </c>
      <c r="E1431" s="10" t="s">
        <v>2</v>
      </c>
      <c r="F1431" s="1" t="s">
        <v>312</v>
      </c>
      <c r="G1431" s="1" t="s">
        <v>1314</v>
      </c>
      <c r="H1431" s="1"/>
      <c r="I1431" s="1"/>
      <c r="J1431" s="1"/>
      <c r="K1431" s="1"/>
      <c r="L1431" s="1"/>
      <c r="M1431" s="1"/>
      <c r="N1431" s="81"/>
      <c r="O1431" s="12" t="s">
        <v>96</v>
      </c>
      <c r="P1431" s="1">
        <v>31</v>
      </c>
      <c r="Q1431" s="13"/>
      <c r="R1431" s="13"/>
      <c r="S1431" s="13"/>
      <c r="T1431" s="13"/>
      <c r="U1431" s="13"/>
      <c r="V1431" s="13"/>
      <c r="W1431" s="13"/>
      <c r="X1431" s="13"/>
      <c r="Y1431" s="84">
        <v>17388</v>
      </c>
      <c r="Z1431" s="13"/>
      <c r="AA1431" s="13"/>
      <c r="AB1431" s="13"/>
      <c r="AC1431" s="82"/>
      <c r="AD1431" s="23" t="s">
        <v>52</v>
      </c>
      <c r="AE1431" s="90" t="str">
        <f t="shared" si="177"/>
        <v>3231,3232</v>
      </c>
      <c r="AF1431" s="23"/>
      <c r="AI1431" s="23"/>
      <c r="AJ1431" s="23"/>
      <c r="AK1431" s="23"/>
      <c r="AL1431" s="23"/>
      <c r="AM1431" s="23"/>
      <c r="AN1431" s="23"/>
      <c r="AO1431" s="23"/>
      <c r="AP1431" s="23"/>
      <c r="AQ1431" s="81"/>
      <c r="AR1431" s="83"/>
      <c r="AS1431" s="83"/>
      <c r="AT1431" s="81"/>
      <c r="AU1431" s="12" t="s">
        <v>1940</v>
      </c>
      <c r="AV1431" s="13"/>
      <c r="AW1431" s="39">
        <v>3</v>
      </c>
      <c r="AX1431" s="12">
        <f>VLOOKUP(AW1431,색인!$N$14:$O$19,2,FALSE)</f>
        <v>2</v>
      </c>
      <c r="AY1431" s="32" t="str">
        <f>"T"&amp;O1431&amp;"_"&amp;AX1431&amp;"옵션_"&amp;VLOOKUP(E1431,색인!$J$25:$K$29,2,FALSE)</f>
        <v>T3_2옵션_장신구</v>
      </c>
      <c r="AZ1431" s="32">
        <f>VLOOKUP(G1431,색인!$J$32:$K$45,2,FALSE)</f>
        <v>4</v>
      </c>
      <c r="BA1431" s="32" t="str">
        <f>_xlfn.IFNA(VLOOKUP(AY1431,표1[[검색용]:[OptionGroupIndex'[']22]],EquipItemTable!AZ1431,FALSE),"옵션고정안함")</f>
        <v>3231,3232</v>
      </c>
    </row>
    <row r="1432" spans="1:53" ht="12" customHeight="1" x14ac:dyDescent="0.2">
      <c r="A1432" s="10" t="s">
        <v>262</v>
      </c>
      <c r="B1432" s="39">
        <v>80012</v>
      </c>
      <c r="C1432" s="42" t="s">
        <v>3882</v>
      </c>
      <c r="D1432" s="10" t="s">
        <v>2946</v>
      </c>
      <c r="E1432" s="10" t="s">
        <v>2</v>
      </c>
      <c r="F1432" s="1" t="s">
        <v>312</v>
      </c>
      <c r="G1432" s="1" t="s">
        <v>1314</v>
      </c>
      <c r="H1432" s="1"/>
      <c r="I1432" s="1"/>
      <c r="J1432" s="1"/>
      <c r="K1432" s="1"/>
      <c r="L1432" s="1"/>
      <c r="M1432" s="1"/>
      <c r="N1432" s="81"/>
      <c r="O1432" s="12" t="s">
        <v>96</v>
      </c>
      <c r="P1432" s="1">
        <v>31</v>
      </c>
      <c r="Q1432" s="13"/>
      <c r="R1432" s="13"/>
      <c r="S1432" s="13"/>
      <c r="T1432" s="13"/>
      <c r="U1432" s="13"/>
      <c r="V1432" s="13"/>
      <c r="W1432" s="13"/>
      <c r="X1432" s="13"/>
      <c r="Y1432" s="84">
        <v>20660.899999999998</v>
      </c>
      <c r="Z1432" s="13"/>
      <c r="AA1432" s="13"/>
      <c r="AB1432" s="13"/>
      <c r="AC1432" s="82"/>
      <c r="AD1432" s="23" t="s">
        <v>52</v>
      </c>
      <c r="AE1432" s="90" t="str">
        <f t="shared" si="177"/>
        <v>3331,3332</v>
      </c>
      <c r="AF1432" s="23"/>
      <c r="AI1432" s="23"/>
      <c r="AJ1432" s="23"/>
      <c r="AK1432" s="23"/>
      <c r="AL1432" s="23"/>
      <c r="AM1432" s="23"/>
      <c r="AN1432" s="23"/>
      <c r="AO1432" s="23"/>
      <c r="AP1432" s="23"/>
      <c r="AQ1432" s="81"/>
      <c r="AR1432" s="83"/>
      <c r="AS1432" s="83"/>
      <c r="AT1432" s="81"/>
      <c r="AU1432" s="12" t="s">
        <v>1941</v>
      </c>
      <c r="AV1432" s="13" t="s">
        <v>6</v>
      </c>
      <c r="AW1432" s="39">
        <v>4</v>
      </c>
      <c r="AX1432" s="12">
        <f>VLOOKUP(AW1432,색인!$N$14:$O$19,2,FALSE)</f>
        <v>3</v>
      </c>
      <c r="AY1432" s="32" t="str">
        <f>"T"&amp;O1432&amp;"_"&amp;AX1432&amp;"옵션_"&amp;VLOOKUP(E1432,색인!$J$25:$K$29,2,FALSE)</f>
        <v>T3_3옵션_장신구</v>
      </c>
      <c r="AZ1432" s="32">
        <f>VLOOKUP(G1432,색인!$J$32:$K$45,2,FALSE)</f>
        <v>4</v>
      </c>
      <c r="BA1432" s="32" t="str">
        <f>_xlfn.IFNA(VLOOKUP(AY1432,표1[[검색용]:[OptionGroupIndex'[']22]],EquipItemTable!AZ1432,FALSE),"옵션고정안함")</f>
        <v>3331,3332</v>
      </c>
    </row>
    <row r="1433" spans="1:53" ht="12" customHeight="1" x14ac:dyDescent="0.2">
      <c r="A1433" s="10" t="s">
        <v>263</v>
      </c>
      <c r="B1433" s="39">
        <v>80013</v>
      </c>
      <c r="C1433" s="42" t="s">
        <v>3883</v>
      </c>
      <c r="D1433" s="10" t="s">
        <v>2946</v>
      </c>
      <c r="E1433" s="10" t="s">
        <v>2</v>
      </c>
      <c r="F1433" s="1" t="s">
        <v>312</v>
      </c>
      <c r="G1433" s="1" t="s">
        <v>1314</v>
      </c>
      <c r="H1433" s="1"/>
      <c r="I1433" s="1"/>
      <c r="J1433" s="1"/>
      <c r="K1433" s="1"/>
      <c r="L1433" s="1"/>
      <c r="M1433" s="1"/>
      <c r="N1433" s="81"/>
      <c r="O1433" s="12" t="s">
        <v>97</v>
      </c>
      <c r="P1433" s="1">
        <v>41</v>
      </c>
      <c r="Q1433" s="13"/>
      <c r="R1433" s="13"/>
      <c r="S1433" s="13"/>
      <c r="T1433" s="13"/>
      <c r="U1433" s="13"/>
      <c r="V1433" s="13"/>
      <c r="W1433" s="13"/>
      <c r="X1433" s="13"/>
      <c r="Y1433" s="84">
        <v>23733.699999999997</v>
      </c>
      <c r="Z1433" s="13"/>
      <c r="AA1433" s="13"/>
      <c r="AB1433" s="13"/>
      <c r="AC1433" s="82"/>
      <c r="AD1433" s="23" t="s">
        <v>52</v>
      </c>
      <c r="AE1433" s="23">
        <v>4</v>
      </c>
      <c r="AF1433" s="23"/>
      <c r="AI1433" s="23"/>
      <c r="AJ1433" s="23"/>
      <c r="AK1433" s="23"/>
      <c r="AL1433" s="23"/>
      <c r="AM1433" s="23"/>
      <c r="AN1433" s="23"/>
      <c r="AO1433" s="23"/>
      <c r="AP1433" s="23"/>
      <c r="AQ1433" s="81"/>
      <c r="AR1433" s="83"/>
      <c r="AS1433" s="83"/>
      <c r="AT1433" s="81"/>
      <c r="AU1433" s="12" t="s">
        <v>1932</v>
      </c>
      <c r="AV1433" s="13"/>
      <c r="AW1433" s="39">
        <v>1</v>
      </c>
      <c r="AY1433" s="32"/>
      <c r="AZ1433" s="32"/>
      <c r="BA1433" s="32"/>
    </row>
    <row r="1434" spans="1:53" ht="12" customHeight="1" x14ac:dyDescent="0.2">
      <c r="A1434" s="10" t="s">
        <v>264</v>
      </c>
      <c r="B1434" s="39">
        <v>80014</v>
      </c>
      <c r="C1434" s="42" t="s">
        <v>3884</v>
      </c>
      <c r="D1434" s="10" t="s">
        <v>2946</v>
      </c>
      <c r="E1434" s="10" t="s">
        <v>2</v>
      </c>
      <c r="F1434" s="1" t="s">
        <v>312</v>
      </c>
      <c r="G1434" s="1" t="s">
        <v>1314</v>
      </c>
      <c r="H1434" s="1"/>
      <c r="I1434" s="1"/>
      <c r="J1434" s="1"/>
      <c r="K1434" s="1"/>
      <c r="L1434" s="1"/>
      <c r="M1434" s="1"/>
      <c r="N1434" s="81"/>
      <c r="O1434" s="12" t="s">
        <v>97</v>
      </c>
      <c r="P1434" s="1">
        <v>41</v>
      </c>
      <c r="Q1434" s="13"/>
      <c r="R1434" s="13"/>
      <c r="S1434" s="13"/>
      <c r="T1434" s="13"/>
      <c r="U1434" s="13"/>
      <c r="V1434" s="13"/>
      <c r="W1434" s="13"/>
      <c r="X1434" s="13"/>
      <c r="Y1434" s="84">
        <v>29359.499999999996</v>
      </c>
      <c r="Z1434" s="13"/>
      <c r="AA1434" s="13"/>
      <c r="AB1434" s="13"/>
      <c r="AC1434" s="82"/>
      <c r="AD1434" s="23" t="s">
        <v>52</v>
      </c>
      <c r="AE1434" s="90" t="str">
        <f t="shared" ref="AE1434:AE1436" si="178">BA1434</f>
        <v>4131,4132</v>
      </c>
      <c r="AF1434" s="23"/>
      <c r="AI1434" s="23"/>
      <c r="AJ1434" s="23"/>
      <c r="AK1434" s="23"/>
      <c r="AL1434" s="23"/>
      <c r="AM1434" s="23"/>
      <c r="AN1434" s="23"/>
      <c r="AO1434" s="23"/>
      <c r="AP1434" s="23"/>
      <c r="AQ1434" s="81"/>
      <c r="AR1434" s="83"/>
      <c r="AS1434" s="83"/>
      <c r="AT1434" s="81"/>
      <c r="AU1434" s="12" t="s">
        <v>1939</v>
      </c>
      <c r="AV1434" s="13"/>
      <c r="AW1434" s="39">
        <v>2</v>
      </c>
      <c r="AX1434" s="12">
        <f>VLOOKUP(AW1434,색인!$N$14:$O$19,2,FALSE)</f>
        <v>1</v>
      </c>
      <c r="AY1434" s="32" t="str">
        <f>"T"&amp;O1434&amp;"_"&amp;AX1434&amp;"옵션_"&amp;VLOOKUP(E1434,색인!$J$25:$K$29,2,FALSE)</f>
        <v>T4_1옵션_장신구</v>
      </c>
      <c r="AZ1434" s="32">
        <f>VLOOKUP(G1434,색인!$J$32:$K$45,2,FALSE)</f>
        <v>4</v>
      </c>
      <c r="BA1434" s="32" t="str">
        <f>_xlfn.IFNA(VLOOKUP(AY1434,표1[[검색용]:[OptionGroupIndex'[']22]],EquipItemTable!AZ1434,FALSE),"옵션고정안함")</f>
        <v>4131,4132</v>
      </c>
    </row>
    <row r="1435" spans="1:53" ht="16.5" customHeight="1" x14ac:dyDescent="0.2">
      <c r="A1435" s="10" t="s">
        <v>265</v>
      </c>
      <c r="B1435" s="39">
        <v>80015</v>
      </c>
      <c r="C1435" s="42" t="s">
        <v>3885</v>
      </c>
      <c r="D1435" s="10" t="s">
        <v>2946</v>
      </c>
      <c r="E1435" s="10" t="s">
        <v>2</v>
      </c>
      <c r="F1435" s="1" t="s">
        <v>312</v>
      </c>
      <c r="G1435" s="1" t="s">
        <v>1314</v>
      </c>
      <c r="H1435" s="1"/>
      <c r="I1435" s="1"/>
      <c r="J1435" s="13"/>
      <c r="K1435" s="13"/>
      <c r="L1435" s="13"/>
      <c r="M1435" s="13"/>
      <c r="N1435" s="81"/>
      <c r="O1435" s="12" t="s">
        <v>97</v>
      </c>
      <c r="P1435" s="1">
        <v>41</v>
      </c>
      <c r="Q1435" s="13"/>
      <c r="R1435" s="13"/>
      <c r="S1435" s="13"/>
      <c r="T1435" s="13"/>
      <c r="U1435" s="13"/>
      <c r="V1435" s="13"/>
      <c r="W1435" s="13"/>
      <c r="X1435" s="13"/>
      <c r="Y1435" s="84">
        <v>34500</v>
      </c>
      <c r="Z1435" s="13"/>
      <c r="AA1435" s="13"/>
      <c r="AB1435" s="13"/>
      <c r="AC1435" s="82"/>
      <c r="AD1435" s="23" t="s">
        <v>52</v>
      </c>
      <c r="AE1435" s="90" t="str">
        <f t="shared" si="178"/>
        <v>4231,4232</v>
      </c>
      <c r="AF1435" s="23"/>
      <c r="AG1435" s="32"/>
      <c r="AH1435" s="32"/>
      <c r="AI1435" s="23"/>
      <c r="AJ1435" s="23"/>
      <c r="AK1435" s="23"/>
      <c r="AL1435" s="23"/>
      <c r="AM1435" s="23"/>
      <c r="AN1435" s="23"/>
      <c r="AO1435" s="23"/>
      <c r="AP1435" s="23"/>
      <c r="AQ1435" s="81"/>
      <c r="AR1435" s="83"/>
      <c r="AS1435" s="83"/>
      <c r="AT1435" s="81"/>
      <c r="AU1435" s="12" t="s">
        <v>1940</v>
      </c>
      <c r="AV1435" s="13"/>
      <c r="AW1435" s="39">
        <v>3</v>
      </c>
      <c r="AX1435" s="12">
        <f>VLOOKUP(AW1435,색인!$N$14:$O$19,2,FALSE)</f>
        <v>2</v>
      </c>
      <c r="AY1435" s="32" t="str">
        <f>"T"&amp;O1435&amp;"_"&amp;AX1435&amp;"옵션_"&amp;VLOOKUP(E1435,색인!$J$25:$K$29,2,FALSE)</f>
        <v>T4_2옵션_장신구</v>
      </c>
      <c r="AZ1435" s="32">
        <f>VLOOKUP(G1435,색인!$J$32:$K$45,2,FALSE)</f>
        <v>4</v>
      </c>
      <c r="BA1435" s="32" t="str">
        <f>_xlfn.IFNA(VLOOKUP(AY1435,표1[[검색용]:[OptionGroupIndex'[']22]],EquipItemTable!AZ1435,FALSE),"옵션고정안함")</f>
        <v>4231,4232</v>
      </c>
    </row>
    <row r="1436" spans="1:53" ht="16.5" customHeight="1" x14ac:dyDescent="0.2">
      <c r="A1436" s="10" t="s">
        <v>266</v>
      </c>
      <c r="B1436" s="39">
        <v>80016</v>
      </c>
      <c r="C1436" s="42" t="s">
        <v>3315</v>
      </c>
      <c r="D1436" s="10" t="s">
        <v>2946</v>
      </c>
      <c r="E1436" s="10" t="s">
        <v>2</v>
      </c>
      <c r="F1436" s="1" t="s">
        <v>312</v>
      </c>
      <c r="G1436" s="1" t="s">
        <v>1314</v>
      </c>
      <c r="H1436" s="1"/>
      <c r="I1436" s="1"/>
      <c r="J1436" s="13"/>
      <c r="K1436" s="13"/>
      <c r="L1436" s="13"/>
      <c r="M1436" s="13"/>
      <c r="O1436" s="12" t="s">
        <v>97</v>
      </c>
      <c r="P1436" s="1">
        <v>41</v>
      </c>
      <c r="Q1436" s="1"/>
      <c r="R1436" s="1"/>
      <c r="S1436" s="1"/>
      <c r="T1436" s="1"/>
      <c r="U1436" s="1"/>
      <c r="V1436" s="1"/>
      <c r="W1436" s="13"/>
      <c r="X1436" s="13"/>
      <c r="Y1436" s="84">
        <v>40365</v>
      </c>
      <c r="Z1436" s="1"/>
      <c r="AA1436" s="1"/>
      <c r="AB1436" s="1"/>
      <c r="AC1436" s="82"/>
      <c r="AD1436" s="12" t="s">
        <v>52</v>
      </c>
      <c r="AE1436" s="39" t="str">
        <f t="shared" si="178"/>
        <v>4331,4332</v>
      </c>
      <c r="AG1436" s="32"/>
      <c r="AH1436" s="32"/>
      <c r="AN1436" s="12"/>
      <c r="AU1436" s="12" t="s">
        <v>1941</v>
      </c>
      <c r="AV1436" s="13"/>
      <c r="AW1436" s="39">
        <v>4</v>
      </c>
      <c r="AX1436" s="12">
        <f>VLOOKUP(AW1436,색인!$N$14:$O$19,2,FALSE)</f>
        <v>3</v>
      </c>
      <c r="AY1436" s="32" t="str">
        <f>"T"&amp;O1436&amp;"_"&amp;AX1436&amp;"옵션_"&amp;VLOOKUP(E1436,색인!$J$25:$K$29,2,FALSE)</f>
        <v>T4_3옵션_장신구</v>
      </c>
      <c r="AZ1436" s="32">
        <f>VLOOKUP(G1436,색인!$J$32:$K$45,2,FALSE)</f>
        <v>4</v>
      </c>
      <c r="BA1436" s="32" t="str">
        <f>_xlfn.IFNA(VLOOKUP(AY1436,표1[[검색용]:[OptionGroupIndex'[']22]],EquipItemTable!AZ1436,FALSE),"옵션고정안함")</f>
        <v>4331,4332</v>
      </c>
    </row>
    <row r="1437" spans="1:53" ht="16.5" customHeight="1" x14ac:dyDescent="0.2">
      <c r="A1437" s="10" t="s">
        <v>517</v>
      </c>
      <c r="B1437" s="39">
        <v>80017</v>
      </c>
      <c r="C1437" s="42" t="s">
        <v>3886</v>
      </c>
      <c r="D1437" s="10" t="s">
        <v>2946</v>
      </c>
      <c r="E1437" s="10" t="s">
        <v>2</v>
      </c>
      <c r="F1437" s="1" t="s">
        <v>312</v>
      </c>
      <c r="G1437" s="1" t="s">
        <v>1314</v>
      </c>
      <c r="H1437" s="1"/>
      <c r="I1437" s="1"/>
      <c r="J1437" s="13"/>
      <c r="K1437" s="13"/>
      <c r="L1437" s="13"/>
      <c r="M1437" s="13"/>
      <c r="O1437" s="12" t="s">
        <v>430</v>
      </c>
      <c r="P1437" s="1">
        <v>51</v>
      </c>
      <c r="Q1437" s="1"/>
      <c r="R1437" s="1"/>
      <c r="S1437" s="1"/>
      <c r="T1437" s="1"/>
      <c r="U1437" s="1"/>
      <c r="V1437" s="1"/>
      <c r="W1437" s="13"/>
      <c r="X1437" s="13"/>
      <c r="Y1437" s="84">
        <v>46368</v>
      </c>
      <c r="Z1437" s="1"/>
      <c r="AA1437" s="1"/>
      <c r="AB1437" s="1"/>
      <c r="AC1437" s="82"/>
      <c r="AD1437" s="12" t="s">
        <v>542</v>
      </c>
      <c r="AE1437" s="12" t="s">
        <v>552</v>
      </c>
      <c r="AG1437" s="32"/>
      <c r="AH1437" s="32"/>
      <c r="AN1437" s="12"/>
      <c r="AU1437" s="12" t="s">
        <v>1932</v>
      </c>
      <c r="AV1437" s="13"/>
      <c r="AW1437" s="39">
        <v>1</v>
      </c>
      <c r="AY1437" s="32"/>
      <c r="AZ1437" s="32"/>
      <c r="BA1437" s="32"/>
    </row>
    <row r="1438" spans="1:53" ht="16.5" customHeight="1" x14ac:dyDescent="0.2">
      <c r="A1438" s="10" t="s">
        <v>518</v>
      </c>
      <c r="B1438" s="39">
        <v>80018</v>
      </c>
      <c r="C1438" s="42" t="s">
        <v>3887</v>
      </c>
      <c r="D1438" s="10" t="s">
        <v>2946</v>
      </c>
      <c r="E1438" s="10" t="s">
        <v>2</v>
      </c>
      <c r="F1438" s="1" t="s">
        <v>312</v>
      </c>
      <c r="G1438" s="1" t="s">
        <v>1314</v>
      </c>
      <c r="H1438" s="1"/>
      <c r="I1438" s="1"/>
      <c r="J1438" s="13"/>
      <c r="K1438" s="13"/>
      <c r="L1438" s="13"/>
      <c r="M1438" s="13"/>
      <c r="O1438" s="12" t="s">
        <v>430</v>
      </c>
      <c r="P1438" s="1">
        <v>51</v>
      </c>
      <c r="Q1438" s="1"/>
      <c r="R1438" s="1"/>
      <c r="S1438" s="1"/>
      <c r="T1438" s="1"/>
      <c r="U1438" s="1"/>
      <c r="V1438" s="1"/>
      <c r="W1438" s="13"/>
      <c r="X1438" s="13"/>
      <c r="Y1438" s="84">
        <v>56593.799999999996</v>
      </c>
      <c r="Z1438" s="1"/>
      <c r="AA1438" s="1"/>
      <c r="AB1438" s="1"/>
      <c r="AC1438" s="82"/>
      <c r="AD1438" s="12" t="s">
        <v>542</v>
      </c>
      <c r="AE1438" s="39" t="str">
        <f t="shared" ref="AE1438:AE1440" si="179">BA1438</f>
        <v>5131,5132</v>
      </c>
      <c r="AG1438" s="32"/>
      <c r="AH1438" s="32"/>
      <c r="AN1438" s="12"/>
      <c r="AU1438" s="12" t="s">
        <v>1939</v>
      </c>
      <c r="AV1438" s="13"/>
      <c r="AW1438" s="39">
        <v>2</v>
      </c>
      <c r="AX1438" s="12">
        <f>VLOOKUP(AW1438,색인!$N$14:$O$19,2,FALSE)</f>
        <v>1</v>
      </c>
      <c r="AY1438" s="32" t="str">
        <f>"T"&amp;O1438&amp;"_"&amp;AX1438&amp;"옵션_"&amp;VLOOKUP(E1438,색인!$J$25:$K$29,2,FALSE)</f>
        <v>T5_1옵션_장신구</v>
      </c>
      <c r="AZ1438" s="32">
        <f>VLOOKUP(G1438,색인!$J$32:$K$45,2,FALSE)</f>
        <v>4</v>
      </c>
      <c r="BA1438" s="32" t="str">
        <f>_xlfn.IFNA(VLOOKUP(AY1438,표1[[검색용]:[OptionGroupIndex'[']22]],EquipItemTable!AZ1438,FALSE),"옵션고정안함")</f>
        <v>5131,5132</v>
      </c>
    </row>
    <row r="1439" spans="1:53" ht="16.5" customHeight="1" x14ac:dyDescent="0.2">
      <c r="A1439" s="10" t="s">
        <v>519</v>
      </c>
      <c r="B1439" s="39">
        <v>80019</v>
      </c>
      <c r="C1439" s="42" t="s">
        <v>3888</v>
      </c>
      <c r="D1439" s="10" t="s">
        <v>2946</v>
      </c>
      <c r="E1439" s="10" t="s">
        <v>2</v>
      </c>
      <c r="F1439" s="1" t="s">
        <v>312</v>
      </c>
      <c r="G1439" s="1" t="s">
        <v>1314</v>
      </c>
      <c r="H1439" s="1"/>
      <c r="I1439" s="1"/>
      <c r="J1439" s="13"/>
      <c r="K1439" s="13"/>
      <c r="L1439" s="13"/>
      <c r="M1439" s="13"/>
      <c r="O1439" s="12" t="s">
        <v>430</v>
      </c>
      <c r="P1439" s="1">
        <v>51</v>
      </c>
      <c r="Q1439" s="1"/>
      <c r="R1439" s="1"/>
      <c r="S1439" s="1"/>
      <c r="T1439" s="1"/>
      <c r="U1439" s="1"/>
      <c r="V1439" s="1"/>
      <c r="W1439" s="13"/>
      <c r="X1439" s="13"/>
      <c r="Y1439" s="84">
        <v>65722.5</v>
      </c>
      <c r="Z1439" s="1"/>
      <c r="AA1439" s="1"/>
      <c r="AB1439" s="1"/>
      <c r="AC1439" s="82"/>
      <c r="AD1439" s="12" t="s">
        <v>542</v>
      </c>
      <c r="AE1439" s="39" t="str">
        <f t="shared" si="179"/>
        <v>5231,5232</v>
      </c>
      <c r="AG1439" s="32"/>
      <c r="AH1439" s="32"/>
      <c r="AN1439" s="12"/>
      <c r="AU1439" s="12" t="s">
        <v>1940</v>
      </c>
      <c r="AV1439" s="13"/>
      <c r="AW1439" s="39">
        <v>3</v>
      </c>
      <c r="AX1439" s="12">
        <f>VLOOKUP(AW1439,색인!$N$14:$O$19,2,FALSE)</f>
        <v>2</v>
      </c>
      <c r="AY1439" s="32" t="str">
        <f>"T"&amp;O1439&amp;"_"&amp;AX1439&amp;"옵션_"&amp;VLOOKUP(E1439,색인!$J$25:$K$29,2,FALSE)</f>
        <v>T5_2옵션_장신구</v>
      </c>
      <c r="AZ1439" s="32">
        <f>VLOOKUP(G1439,색인!$J$32:$K$45,2,FALSE)</f>
        <v>4</v>
      </c>
      <c r="BA1439" s="32" t="str">
        <f>_xlfn.IFNA(VLOOKUP(AY1439,표1[[검색용]:[OptionGroupIndex'[']22]],EquipItemTable!AZ1439,FALSE),"옵션고정안함")</f>
        <v>5231,5232</v>
      </c>
    </row>
    <row r="1440" spans="1:53" ht="16.5" customHeight="1" x14ac:dyDescent="0.2">
      <c r="A1440" s="10" t="s">
        <v>520</v>
      </c>
      <c r="B1440" s="39">
        <v>80020</v>
      </c>
      <c r="C1440" s="42" t="s">
        <v>3889</v>
      </c>
      <c r="D1440" s="10" t="s">
        <v>2946</v>
      </c>
      <c r="E1440" s="10" t="s">
        <v>2</v>
      </c>
      <c r="F1440" s="1" t="s">
        <v>312</v>
      </c>
      <c r="G1440" s="1" t="s">
        <v>1314</v>
      </c>
      <c r="H1440" s="1"/>
      <c r="I1440" s="1"/>
      <c r="J1440" s="13"/>
      <c r="K1440" s="13"/>
      <c r="L1440" s="13"/>
      <c r="M1440" s="13"/>
      <c r="O1440" s="12" t="s">
        <v>430</v>
      </c>
      <c r="P1440" s="1">
        <v>51</v>
      </c>
      <c r="Q1440" s="1"/>
      <c r="R1440" s="1"/>
      <c r="S1440" s="1"/>
      <c r="T1440" s="1"/>
      <c r="U1440" s="1"/>
      <c r="V1440" s="1"/>
      <c r="W1440" s="13"/>
      <c r="X1440" s="13"/>
      <c r="Y1440" s="84">
        <v>76088.599999999991</v>
      </c>
      <c r="Z1440" s="1"/>
      <c r="AA1440" s="1"/>
      <c r="AB1440" s="1"/>
      <c r="AC1440" s="82"/>
      <c r="AD1440" s="12" t="s">
        <v>542</v>
      </c>
      <c r="AE1440" s="39" t="str">
        <f t="shared" si="179"/>
        <v>5331,5332</v>
      </c>
      <c r="AG1440" s="32"/>
      <c r="AH1440" s="32"/>
      <c r="AN1440" s="12"/>
      <c r="AU1440" s="12" t="s">
        <v>1941</v>
      </c>
      <c r="AV1440" s="13"/>
      <c r="AW1440" s="39">
        <v>4</v>
      </c>
      <c r="AX1440" s="12">
        <f>VLOOKUP(AW1440,색인!$N$14:$O$19,2,FALSE)</f>
        <v>3</v>
      </c>
      <c r="AY1440" s="32" t="str">
        <f>"T"&amp;O1440&amp;"_"&amp;AX1440&amp;"옵션_"&amp;VLOOKUP(E1440,색인!$J$25:$K$29,2,FALSE)</f>
        <v>T5_3옵션_장신구</v>
      </c>
      <c r="AZ1440" s="32">
        <f>VLOOKUP(G1440,색인!$J$32:$K$45,2,FALSE)</f>
        <v>4</v>
      </c>
      <c r="BA1440" s="32" t="str">
        <f>_xlfn.IFNA(VLOOKUP(AY1440,표1[[검색용]:[OptionGroupIndex'[']22]],EquipItemTable!AZ1440,FALSE),"옵션고정안함")</f>
        <v>5331,5332</v>
      </c>
    </row>
    <row r="1441" spans="1:53" s="1" customFormat="1" ht="12" x14ac:dyDescent="0.2">
      <c r="A1441" s="10" t="s">
        <v>833</v>
      </c>
      <c r="B1441" s="39">
        <v>80021</v>
      </c>
      <c r="C1441" s="42" t="s">
        <v>3890</v>
      </c>
      <c r="D1441" s="10" t="s">
        <v>2946</v>
      </c>
      <c r="E1441" s="10" t="s">
        <v>2</v>
      </c>
      <c r="F1441" s="1" t="s">
        <v>312</v>
      </c>
      <c r="G1441" s="1" t="s">
        <v>1314</v>
      </c>
      <c r="J1441" s="13"/>
      <c r="K1441" s="13"/>
      <c r="L1441" s="13"/>
      <c r="M1441" s="13"/>
      <c r="N1441" s="8"/>
      <c r="O1441" s="12" t="s">
        <v>755</v>
      </c>
      <c r="P1441" s="1">
        <v>61</v>
      </c>
      <c r="W1441" s="13"/>
      <c r="X1441" s="13"/>
      <c r="Y1441" s="84">
        <v>80911.7</v>
      </c>
      <c r="AC1441" s="82"/>
      <c r="AD1441" s="12" t="s">
        <v>756</v>
      </c>
      <c r="AE1441" s="12" t="s">
        <v>529</v>
      </c>
      <c r="AF1441" s="12"/>
      <c r="AG1441" s="32"/>
      <c r="AH1441" s="32"/>
      <c r="AI1441" s="12"/>
      <c r="AJ1441" s="12"/>
      <c r="AK1441" s="12"/>
      <c r="AL1441" s="12"/>
      <c r="AM1441" s="12"/>
      <c r="AN1441" s="12"/>
      <c r="AO1441" s="12"/>
      <c r="AP1441" s="12"/>
      <c r="AQ1441" s="8"/>
      <c r="AR1441" s="34"/>
      <c r="AS1441" s="34"/>
      <c r="AT1441" s="85"/>
      <c r="AU1441" s="12" t="s">
        <v>1932</v>
      </c>
      <c r="AW1441" s="39">
        <v>1</v>
      </c>
      <c r="AX1441" s="12"/>
      <c r="AY1441" s="32"/>
      <c r="AZ1441" s="32"/>
      <c r="BA1441" s="32"/>
    </row>
    <row r="1442" spans="1:53" s="1" customFormat="1" ht="12" x14ac:dyDescent="0.2">
      <c r="A1442" s="10" t="s">
        <v>834</v>
      </c>
      <c r="B1442" s="39">
        <v>80022</v>
      </c>
      <c r="C1442" s="42" t="s">
        <v>3891</v>
      </c>
      <c r="D1442" s="10" t="s">
        <v>2946</v>
      </c>
      <c r="E1442" s="10" t="s">
        <v>2</v>
      </c>
      <c r="F1442" s="1" t="s">
        <v>312</v>
      </c>
      <c r="G1442" s="1" t="s">
        <v>1314</v>
      </c>
      <c r="J1442" s="13"/>
      <c r="K1442" s="13"/>
      <c r="L1442" s="13"/>
      <c r="M1442" s="13"/>
      <c r="N1442" s="8"/>
      <c r="O1442" s="12" t="s">
        <v>755</v>
      </c>
      <c r="P1442" s="1">
        <v>61</v>
      </c>
      <c r="W1442" s="13"/>
      <c r="X1442" s="13"/>
      <c r="Y1442" s="84">
        <v>91535.4</v>
      </c>
      <c r="AC1442" s="82"/>
      <c r="AD1442" s="12" t="s">
        <v>756</v>
      </c>
      <c r="AE1442" s="39" t="str">
        <f t="shared" ref="AE1442:AE1444" si="180">BA1442</f>
        <v>6131,6132</v>
      </c>
      <c r="AF1442" s="12"/>
      <c r="AG1442" s="32"/>
      <c r="AH1442" s="32"/>
      <c r="AI1442" s="12"/>
      <c r="AJ1442" s="12"/>
      <c r="AK1442" s="12"/>
      <c r="AL1442" s="12"/>
      <c r="AM1442" s="12"/>
      <c r="AN1442" s="12"/>
      <c r="AO1442" s="12"/>
      <c r="AP1442" s="12"/>
      <c r="AQ1442" s="8"/>
      <c r="AR1442" s="34"/>
      <c r="AS1442" s="34"/>
      <c r="AT1442" s="85"/>
      <c r="AU1442" s="12" t="s">
        <v>1939</v>
      </c>
      <c r="AW1442" s="39">
        <v>2</v>
      </c>
      <c r="AX1442" s="12">
        <f>VLOOKUP(AW1442,색인!$N$14:$O$19,2,FALSE)</f>
        <v>1</v>
      </c>
      <c r="AY1442" s="32" t="str">
        <f>"T"&amp;O1442&amp;"_"&amp;AX1442&amp;"옵션_"&amp;VLOOKUP(E1442,색인!$J$25:$K$29,2,FALSE)</f>
        <v>T6_1옵션_장신구</v>
      </c>
      <c r="AZ1442" s="32">
        <f>VLOOKUP(G1442,색인!$J$32:$K$45,2,FALSE)</f>
        <v>4</v>
      </c>
      <c r="BA1442" s="32" t="str">
        <f>_xlfn.IFNA(VLOOKUP(AY1442,표1[[검색용]:[OptionGroupIndex'[']22]],EquipItemTable!AZ1442,FALSE),"옵션고정안함")</f>
        <v>6131,6132</v>
      </c>
    </row>
    <row r="1443" spans="1:53" s="1" customFormat="1" ht="12" x14ac:dyDescent="0.2">
      <c r="A1443" s="10" t="s">
        <v>835</v>
      </c>
      <c r="B1443" s="39">
        <v>80023</v>
      </c>
      <c r="C1443" s="42" t="s">
        <v>3892</v>
      </c>
      <c r="D1443" s="10" t="s">
        <v>2946</v>
      </c>
      <c r="E1443" s="10" t="s">
        <v>2</v>
      </c>
      <c r="F1443" s="1" t="s">
        <v>312</v>
      </c>
      <c r="G1443" s="1" t="s">
        <v>1314</v>
      </c>
      <c r="J1443" s="13"/>
      <c r="K1443" s="13"/>
      <c r="L1443" s="13"/>
      <c r="M1443" s="13"/>
      <c r="N1443" s="8"/>
      <c r="O1443" s="12" t="s">
        <v>755</v>
      </c>
      <c r="P1443" s="1">
        <v>61</v>
      </c>
      <c r="W1443" s="13"/>
      <c r="X1443" s="13"/>
      <c r="Y1443" s="84">
        <v>100912.49999999999</v>
      </c>
      <c r="AC1443" s="82"/>
      <c r="AD1443" s="12" t="s">
        <v>756</v>
      </c>
      <c r="AE1443" s="39" t="str">
        <f t="shared" si="180"/>
        <v>6231,6232</v>
      </c>
      <c r="AF1443" s="12"/>
      <c r="AG1443" s="32"/>
      <c r="AH1443" s="32"/>
      <c r="AI1443" s="12"/>
      <c r="AJ1443" s="12"/>
      <c r="AK1443" s="12"/>
      <c r="AL1443" s="12"/>
      <c r="AM1443" s="12"/>
      <c r="AN1443" s="12"/>
      <c r="AO1443" s="12"/>
      <c r="AP1443" s="12"/>
      <c r="AQ1443" s="8"/>
      <c r="AR1443" s="34"/>
      <c r="AS1443" s="34"/>
      <c r="AT1443" s="85"/>
      <c r="AU1443" s="12" t="s">
        <v>1940</v>
      </c>
      <c r="AW1443" s="39">
        <v>3</v>
      </c>
      <c r="AX1443" s="12">
        <f>VLOOKUP(AW1443,색인!$N$14:$O$19,2,FALSE)</f>
        <v>2</v>
      </c>
      <c r="AY1443" s="32" t="str">
        <f>"T"&amp;O1443&amp;"_"&amp;AX1443&amp;"옵션_"&amp;VLOOKUP(E1443,색인!$J$25:$K$29,2,FALSE)</f>
        <v>T6_2옵션_장신구</v>
      </c>
      <c r="AZ1443" s="32">
        <f>VLOOKUP(G1443,색인!$J$32:$K$45,2,FALSE)</f>
        <v>4</v>
      </c>
      <c r="BA1443" s="32" t="str">
        <f>_xlfn.IFNA(VLOOKUP(AY1443,표1[[검색용]:[OptionGroupIndex'[']22]],EquipItemTable!AZ1443,FALSE),"옵션고정안함")</f>
        <v>6231,6232</v>
      </c>
    </row>
    <row r="1444" spans="1:53" s="1" customFormat="1" ht="12" x14ac:dyDescent="0.2">
      <c r="A1444" s="10" t="s">
        <v>836</v>
      </c>
      <c r="B1444" s="39">
        <v>80024</v>
      </c>
      <c r="C1444" s="42" t="s">
        <v>3893</v>
      </c>
      <c r="D1444" s="10" t="s">
        <v>2946</v>
      </c>
      <c r="E1444" s="10" t="s">
        <v>2</v>
      </c>
      <c r="F1444" s="1" t="s">
        <v>312</v>
      </c>
      <c r="G1444" s="1" t="s">
        <v>1314</v>
      </c>
      <c r="J1444" s="13"/>
      <c r="K1444" s="13"/>
      <c r="L1444" s="13"/>
      <c r="M1444" s="13"/>
      <c r="N1444" s="8"/>
      <c r="O1444" s="12" t="s">
        <v>755</v>
      </c>
      <c r="P1444" s="1">
        <v>61</v>
      </c>
      <c r="W1444" s="13"/>
      <c r="X1444" s="13"/>
      <c r="Y1444" s="84">
        <v>110970.4</v>
      </c>
      <c r="AC1444" s="82"/>
      <c r="AD1444" s="12" t="s">
        <v>756</v>
      </c>
      <c r="AE1444" s="39" t="str">
        <f t="shared" si="180"/>
        <v>6331,6332</v>
      </c>
      <c r="AF1444" s="12"/>
      <c r="AG1444" s="32"/>
      <c r="AH1444" s="32"/>
      <c r="AI1444" s="12"/>
      <c r="AJ1444" s="12"/>
      <c r="AK1444" s="12"/>
      <c r="AL1444" s="12"/>
      <c r="AM1444" s="12"/>
      <c r="AN1444" s="12"/>
      <c r="AO1444" s="12"/>
      <c r="AP1444" s="12"/>
      <c r="AQ1444" s="8"/>
      <c r="AR1444" s="34"/>
      <c r="AS1444" s="34"/>
      <c r="AT1444" s="85"/>
      <c r="AU1444" s="12" t="s">
        <v>1941</v>
      </c>
      <c r="AW1444" s="39">
        <v>4</v>
      </c>
      <c r="AX1444" s="12">
        <f>VLOOKUP(AW1444,색인!$N$14:$O$19,2,FALSE)</f>
        <v>3</v>
      </c>
      <c r="AY1444" s="32" t="str">
        <f>"T"&amp;O1444&amp;"_"&amp;AX1444&amp;"옵션_"&amp;VLOOKUP(E1444,색인!$J$25:$K$29,2,FALSE)</f>
        <v>T6_3옵션_장신구</v>
      </c>
      <c r="AZ1444" s="32">
        <f>VLOOKUP(G1444,색인!$J$32:$K$45,2,FALSE)</f>
        <v>4</v>
      </c>
      <c r="BA1444" s="32" t="str">
        <f>_xlfn.IFNA(VLOOKUP(AY1444,표1[[검색용]:[OptionGroupIndex'[']22]],EquipItemTable!AZ1444,FALSE),"옵션고정안함")</f>
        <v>6331,6332</v>
      </c>
    </row>
    <row r="1445" spans="1:53" s="1" customFormat="1" ht="12" x14ac:dyDescent="0.2">
      <c r="A1445" s="13" t="s">
        <v>929</v>
      </c>
      <c r="B1445" s="39">
        <v>80105</v>
      </c>
      <c r="C1445" s="42" t="s">
        <v>3894</v>
      </c>
      <c r="D1445" s="10" t="s">
        <v>2946</v>
      </c>
      <c r="E1445" s="10" t="s">
        <v>2</v>
      </c>
      <c r="F1445" s="1" t="s">
        <v>312</v>
      </c>
      <c r="G1445" s="1" t="s">
        <v>1314</v>
      </c>
      <c r="I1445" s="13"/>
      <c r="J1445" s="13"/>
      <c r="K1445" s="13"/>
      <c r="L1445" s="13"/>
      <c r="M1445" s="13"/>
      <c r="N1445" s="81"/>
      <c r="O1445" s="32">
        <v>3</v>
      </c>
      <c r="P1445" s="23">
        <v>31</v>
      </c>
      <c r="Q1445" s="13"/>
      <c r="R1445" s="13"/>
      <c r="S1445" s="13"/>
      <c r="T1445" s="13"/>
      <c r="U1445" s="13"/>
      <c r="V1445" s="13"/>
      <c r="W1445" s="13"/>
      <c r="X1445" s="13"/>
      <c r="Y1445" s="84">
        <v>24404</v>
      </c>
      <c r="Z1445" s="13"/>
      <c r="AA1445" s="13"/>
      <c r="AB1445" s="13"/>
      <c r="AC1445" s="81"/>
      <c r="AD1445" s="23" t="s">
        <v>52</v>
      </c>
      <c r="AE1445" s="32">
        <v>5</v>
      </c>
      <c r="AF1445" s="32"/>
      <c r="AG1445" s="32"/>
      <c r="AH1445" s="32"/>
      <c r="AI1445" s="13"/>
      <c r="AJ1445" s="13"/>
      <c r="AK1445" s="13"/>
      <c r="AL1445" s="13"/>
      <c r="AM1445" s="13"/>
      <c r="AN1445" s="13">
        <v>1</v>
      </c>
      <c r="AO1445" s="13"/>
      <c r="AP1445" s="13"/>
      <c r="AQ1445" s="81"/>
      <c r="AR1445" s="83"/>
      <c r="AS1445" s="83"/>
      <c r="AT1445" s="85"/>
      <c r="AU1445" s="12" t="s">
        <v>1936</v>
      </c>
      <c r="AV1445" s="23" t="s">
        <v>933</v>
      </c>
      <c r="AW1445" s="39">
        <v>6</v>
      </c>
      <c r="AX1445" s="12">
        <f>VLOOKUP(AW1445,색인!$N$14:$O$19,2,FALSE)</f>
        <v>4</v>
      </c>
      <c r="AY1445" s="32" t="str">
        <f>"T"&amp;O1445&amp;"_"&amp;AX1445&amp;"옵션_"&amp;VLOOKUP(E1445,색인!$J$25:$K$29,2,FALSE)</f>
        <v>T3_4옵션_장신구</v>
      </c>
      <c r="AZ1445" s="32">
        <f>VLOOKUP(G1445,색인!$J$32:$K$45,2,FALSE)</f>
        <v>4</v>
      </c>
      <c r="BA1445" s="32" t="str">
        <f>_xlfn.IFNA(VLOOKUP(AY1445,표1[[검색용]:[OptionGroupIndex'[']22]],EquipItemTable!AZ1445,FALSE),"옵션고정안함")</f>
        <v>옵션고정안함</v>
      </c>
    </row>
    <row r="1446" spans="1:53" s="1" customFormat="1" ht="12" x14ac:dyDescent="0.2">
      <c r="A1446" s="13" t="s">
        <v>1114</v>
      </c>
      <c r="B1446" s="39">
        <v>80107</v>
      </c>
      <c r="C1446" s="42" t="s">
        <v>3895</v>
      </c>
      <c r="D1446" s="10" t="s">
        <v>2946</v>
      </c>
      <c r="E1446" s="10" t="s">
        <v>2</v>
      </c>
      <c r="F1446" s="1" t="s">
        <v>312</v>
      </c>
      <c r="G1446" s="1" t="s">
        <v>1314</v>
      </c>
      <c r="I1446" s="13"/>
      <c r="J1446" s="13"/>
      <c r="K1446" s="13"/>
      <c r="L1446" s="13"/>
      <c r="M1446" s="13"/>
      <c r="N1446" s="81"/>
      <c r="O1446" s="32">
        <v>3</v>
      </c>
      <c r="P1446" s="23">
        <v>31</v>
      </c>
      <c r="Q1446" s="13"/>
      <c r="R1446" s="13"/>
      <c r="S1446" s="13"/>
      <c r="T1446" s="13"/>
      <c r="U1446" s="13"/>
      <c r="V1446" s="13"/>
      <c r="W1446" s="13"/>
      <c r="X1446" s="13"/>
      <c r="Y1446" s="84">
        <v>24404</v>
      </c>
      <c r="Z1446" s="13"/>
      <c r="AA1446" s="13"/>
      <c r="AB1446" s="13"/>
      <c r="AC1446" s="81"/>
      <c r="AD1446" s="23" t="s">
        <v>52</v>
      </c>
      <c r="AE1446" s="32">
        <v>5</v>
      </c>
      <c r="AF1446" s="32"/>
      <c r="AG1446" s="32"/>
      <c r="AH1446" s="32"/>
      <c r="AI1446" s="13"/>
      <c r="AJ1446" s="13"/>
      <c r="AK1446" s="13"/>
      <c r="AL1446" s="13"/>
      <c r="AM1446" s="13"/>
      <c r="AN1446" s="13">
        <v>2</v>
      </c>
      <c r="AO1446" s="13"/>
      <c r="AP1446" s="13"/>
      <c r="AQ1446" s="81"/>
      <c r="AR1446" s="83"/>
      <c r="AS1446" s="83"/>
      <c r="AT1446" s="85"/>
      <c r="AU1446" s="12" t="s">
        <v>1936</v>
      </c>
      <c r="AV1446" s="23" t="s">
        <v>933</v>
      </c>
      <c r="AW1446" s="39">
        <v>6</v>
      </c>
      <c r="AX1446" s="12">
        <f>VLOOKUP(AW1446,색인!$N$14:$O$19,2,FALSE)</f>
        <v>4</v>
      </c>
      <c r="AY1446" s="32" t="str">
        <f>"T"&amp;O1446&amp;"_"&amp;AX1446&amp;"옵션_"&amp;VLOOKUP(E1446,색인!$J$25:$K$29,2,FALSE)</f>
        <v>T3_4옵션_장신구</v>
      </c>
      <c r="AZ1446" s="32">
        <f>VLOOKUP(G1446,색인!$J$32:$K$45,2,FALSE)</f>
        <v>4</v>
      </c>
      <c r="BA1446" s="32" t="str">
        <f>_xlfn.IFNA(VLOOKUP(AY1446,표1[[검색용]:[OptionGroupIndex'[']22]],EquipItemTable!AZ1446,FALSE),"옵션고정안함")</f>
        <v>옵션고정안함</v>
      </c>
    </row>
    <row r="1447" spans="1:53" s="1" customFormat="1" ht="12" x14ac:dyDescent="0.2">
      <c r="A1447" s="13" t="s">
        <v>1115</v>
      </c>
      <c r="B1447" s="39">
        <v>80106</v>
      </c>
      <c r="C1447" s="42" t="s">
        <v>3896</v>
      </c>
      <c r="D1447" s="10" t="s">
        <v>2946</v>
      </c>
      <c r="E1447" s="10" t="s">
        <v>2</v>
      </c>
      <c r="F1447" s="1" t="s">
        <v>312</v>
      </c>
      <c r="G1447" s="1" t="s">
        <v>1314</v>
      </c>
      <c r="I1447" s="13"/>
      <c r="J1447" s="13"/>
      <c r="K1447" s="13"/>
      <c r="L1447" s="13"/>
      <c r="M1447" s="13"/>
      <c r="N1447" s="81"/>
      <c r="O1447" s="32">
        <v>3</v>
      </c>
      <c r="P1447" s="23">
        <v>31</v>
      </c>
      <c r="Q1447" s="13"/>
      <c r="R1447" s="13"/>
      <c r="S1447" s="13"/>
      <c r="T1447" s="13"/>
      <c r="U1447" s="13"/>
      <c r="V1447" s="13"/>
      <c r="W1447" s="13"/>
      <c r="X1447" s="13"/>
      <c r="Y1447" s="84">
        <v>24404</v>
      </c>
      <c r="Z1447" s="13"/>
      <c r="AA1447" s="13"/>
      <c r="AB1447" s="13"/>
      <c r="AC1447" s="81"/>
      <c r="AD1447" s="23" t="s">
        <v>52</v>
      </c>
      <c r="AE1447" s="32">
        <v>5</v>
      </c>
      <c r="AF1447" s="32"/>
      <c r="AG1447" s="12"/>
      <c r="AH1447" s="12"/>
      <c r="AI1447" s="13"/>
      <c r="AJ1447" s="13"/>
      <c r="AK1447" s="13"/>
      <c r="AL1447" s="13"/>
      <c r="AM1447" s="13"/>
      <c r="AN1447" s="13">
        <v>3</v>
      </c>
      <c r="AO1447" s="13"/>
      <c r="AP1447" s="13"/>
      <c r="AQ1447" s="81"/>
      <c r="AR1447" s="83"/>
      <c r="AS1447" s="83"/>
      <c r="AT1447" s="85"/>
      <c r="AU1447" s="12" t="s">
        <v>1936</v>
      </c>
      <c r="AV1447" s="23" t="s">
        <v>933</v>
      </c>
      <c r="AW1447" s="39">
        <v>6</v>
      </c>
      <c r="AX1447" s="12">
        <f>VLOOKUP(AW1447,색인!$N$14:$O$19,2,FALSE)</f>
        <v>4</v>
      </c>
      <c r="AY1447" s="32" t="str">
        <f>"T"&amp;O1447&amp;"_"&amp;AX1447&amp;"옵션_"&amp;VLOOKUP(E1447,색인!$J$25:$K$29,2,FALSE)</f>
        <v>T3_4옵션_장신구</v>
      </c>
      <c r="AZ1447" s="32">
        <f>VLOOKUP(G1447,색인!$J$32:$K$45,2,FALSE)</f>
        <v>4</v>
      </c>
      <c r="BA1447" s="32" t="str">
        <f>_xlfn.IFNA(VLOOKUP(AY1447,표1[[검색용]:[OptionGroupIndex'[']22]],EquipItemTable!AZ1447,FALSE),"옵션고정안함")</f>
        <v>옵션고정안함</v>
      </c>
    </row>
    <row r="1448" spans="1:53" s="1" customFormat="1" ht="12" x14ac:dyDescent="0.2">
      <c r="A1448" s="13" t="s">
        <v>1116</v>
      </c>
      <c r="B1448" s="39">
        <v>80101</v>
      </c>
      <c r="C1448" s="42" t="s">
        <v>3897</v>
      </c>
      <c r="D1448" s="10" t="s">
        <v>2946</v>
      </c>
      <c r="E1448" s="10" t="s">
        <v>2</v>
      </c>
      <c r="F1448" s="1" t="s">
        <v>312</v>
      </c>
      <c r="G1448" s="1" t="s">
        <v>1314</v>
      </c>
      <c r="I1448" s="13"/>
      <c r="J1448" s="13"/>
      <c r="K1448" s="13"/>
      <c r="L1448" s="13"/>
      <c r="M1448" s="13"/>
      <c r="N1448" s="81"/>
      <c r="O1448" s="32">
        <v>3</v>
      </c>
      <c r="P1448" s="23">
        <v>31</v>
      </c>
      <c r="Q1448" s="13"/>
      <c r="R1448" s="13"/>
      <c r="S1448" s="13"/>
      <c r="T1448" s="13"/>
      <c r="U1448" s="13"/>
      <c r="V1448" s="13"/>
      <c r="W1448" s="13"/>
      <c r="X1448" s="13"/>
      <c r="Y1448" s="84">
        <v>24404</v>
      </c>
      <c r="Z1448" s="13"/>
      <c r="AA1448" s="13"/>
      <c r="AB1448" s="13"/>
      <c r="AC1448" s="81"/>
      <c r="AD1448" s="23" t="s">
        <v>52</v>
      </c>
      <c r="AE1448" s="32">
        <v>5</v>
      </c>
      <c r="AF1448" s="32"/>
      <c r="AG1448" s="12"/>
      <c r="AH1448" s="12"/>
      <c r="AI1448" s="13"/>
      <c r="AJ1448" s="13"/>
      <c r="AK1448" s="13"/>
      <c r="AL1448" s="13"/>
      <c r="AM1448" s="13"/>
      <c r="AN1448" s="13">
        <v>4</v>
      </c>
      <c r="AO1448" s="13"/>
      <c r="AP1448" s="13"/>
      <c r="AQ1448" s="81"/>
      <c r="AR1448" s="83"/>
      <c r="AS1448" s="83"/>
      <c r="AT1448" s="85"/>
      <c r="AU1448" s="12" t="s">
        <v>1936</v>
      </c>
      <c r="AV1448" s="23" t="s">
        <v>933</v>
      </c>
      <c r="AW1448" s="39">
        <v>6</v>
      </c>
      <c r="AX1448" s="12">
        <f>VLOOKUP(AW1448,색인!$N$14:$O$19,2,FALSE)</f>
        <v>4</v>
      </c>
      <c r="AY1448" s="32" t="str">
        <f>"T"&amp;O1448&amp;"_"&amp;AX1448&amp;"옵션_"&amp;VLOOKUP(E1448,색인!$J$25:$K$29,2,FALSE)</f>
        <v>T3_4옵션_장신구</v>
      </c>
      <c r="AZ1448" s="32">
        <f>VLOOKUP(G1448,색인!$J$32:$K$45,2,FALSE)</f>
        <v>4</v>
      </c>
      <c r="BA1448" s="32" t="str">
        <f>_xlfn.IFNA(VLOOKUP(AY1448,표1[[검색용]:[OptionGroupIndex'[']22]],EquipItemTable!AZ1448,FALSE),"옵션고정안함")</f>
        <v>옵션고정안함</v>
      </c>
    </row>
    <row r="1449" spans="1:53" s="1" customFormat="1" ht="12" x14ac:dyDescent="0.2">
      <c r="A1449" s="13" t="s">
        <v>930</v>
      </c>
      <c r="B1449" s="39">
        <v>80108</v>
      </c>
      <c r="C1449" s="42" t="s">
        <v>3894</v>
      </c>
      <c r="D1449" s="10" t="s">
        <v>2946</v>
      </c>
      <c r="E1449" s="10" t="s">
        <v>2</v>
      </c>
      <c r="F1449" s="1" t="s">
        <v>312</v>
      </c>
      <c r="G1449" s="1" t="s">
        <v>1314</v>
      </c>
      <c r="I1449" s="13"/>
      <c r="J1449" s="13"/>
      <c r="K1449" s="13"/>
      <c r="L1449" s="13"/>
      <c r="M1449" s="13"/>
      <c r="N1449" s="81"/>
      <c r="O1449" s="32">
        <v>4</v>
      </c>
      <c r="P1449" s="23">
        <v>41</v>
      </c>
      <c r="Q1449" s="13"/>
      <c r="R1449" s="13"/>
      <c r="S1449" s="13"/>
      <c r="T1449" s="13"/>
      <c r="U1449" s="13"/>
      <c r="V1449" s="13"/>
      <c r="W1449" s="13"/>
      <c r="X1449" s="13"/>
      <c r="Y1449" s="84">
        <v>47039</v>
      </c>
      <c r="Z1449" s="13"/>
      <c r="AA1449" s="13"/>
      <c r="AB1449" s="13"/>
      <c r="AC1449" s="81"/>
      <c r="AD1449" s="23" t="s">
        <v>52</v>
      </c>
      <c r="AE1449" s="32">
        <v>5</v>
      </c>
      <c r="AF1449" s="32"/>
      <c r="AG1449" s="12"/>
      <c r="AH1449" s="12"/>
      <c r="AI1449" s="13"/>
      <c r="AJ1449" s="13"/>
      <c r="AK1449" s="13"/>
      <c r="AL1449" s="13"/>
      <c r="AM1449" s="13"/>
      <c r="AN1449" s="13">
        <v>1</v>
      </c>
      <c r="AO1449" s="13"/>
      <c r="AP1449" s="13"/>
      <c r="AQ1449" s="81"/>
      <c r="AR1449" s="83"/>
      <c r="AS1449" s="83"/>
      <c r="AT1449" s="85"/>
      <c r="AU1449" s="12" t="s">
        <v>1936</v>
      </c>
      <c r="AW1449" s="39">
        <v>6</v>
      </c>
      <c r="AX1449" s="12">
        <f>VLOOKUP(AW1449,색인!$N$14:$O$19,2,FALSE)</f>
        <v>4</v>
      </c>
      <c r="AY1449" s="32" t="str">
        <f>"T"&amp;O1449&amp;"_"&amp;AX1449&amp;"옵션_"&amp;VLOOKUP(E1449,색인!$J$25:$K$29,2,FALSE)</f>
        <v>T4_4옵션_장신구</v>
      </c>
      <c r="AZ1449" s="32">
        <f>VLOOKUP(G1449,색인!$J$32:$K$45,2,FALSE)</f>
        <v>4</v>
      </c>
      <c r="BA1449" s="32" t="str">
        <f>_xlfn.IFNA(VLOOKUP(AY1449,표1[[검색용]:[OptionGroupIndex'[']22]],EquipItemTable!AZ1449,FALSE),"옵션고정안함")</f>
        <v>옵션고정안함</v>
      </c>
    </row>
    <row r="1450" spans="1:53" s="1" customFormat="1" ht="12" x14ac:dyDescent="0.2">
      <c r="A1450" s="13" t="s">
        <v>1117</v>
      </c>
      <c r="B1450" s="39">
        <v>80110</v>
      </c>
      <c r="C1450" s="42" t="s">
        <v>3895</v>
      </c>
      <c r="D1450" s="10" t="s">
        <v>2946</v>
      </c>
      <c r="E1450" s="10" t="s">
        <v>2</v>
      </c>
      <c r="F1450" s="1" t="s">
        <v>312</v>
      </c>
      <c r="G1450" s="1" t="s">
        <v>1314</v>
      </c>
      <c r="I1450" s="13"/>
      <c r="J1450" s="13"/>
      <c r="K1450" s="13"/>
      <c r="L1450" s="13"/>
      <c r="M1450" s="13"/>
      <c r="N1450" s="81"/>
      <c r="O1450" s="32">
        <v>4</v>
      </c>
      <c r="P1450" s="23">
        <v>41</v>
      </c>
      <c r="Q1450" s="13"/>
      <c r="R1450" s="13"/>
      <c r="S1450" s="13"/>
      <c r="T1450" s="13"/>
      <c r="U1450" s="13"/>
      <c r="V1450" s="13"/>
      <c r="W1450" s="13"/>
      <c r="X1450" s="13"/>
      <c r="Y1450" s="84">
        <v>47039</v>
      </c>
      <c r="Z1450" s="13"/>
      <c r="AA1450" s="13"/>
      <c r="AB1450" s="13"/>
      <c r="AC1450" s="81"/>
      <c r="AD1450" s="23" t="s">
        <v>52</v>
      </c>
      <c r="AE1450" s="32">
        <v>5</v>
      </c>
      <c r="AF1450" s="32"/>
      <c r="AG1450" s="12"/>
      <c r="AH1450" s="12"/>
      <c r="AI1450" s="13"/>
      <c r="AJ1450" s="13"/>
      <c r="AK1450" s="13"/>
      <c r="AL1450" s="13"/>
      <c r="AM1450" s="13"/>
      <c r="AN1450" s="13">
        <v>2</v>
      </c>
      <c r="AO1450" s="13"/>
      <c r="AP1450" s="13"/>
      <c r="AQ1450" s="81"/>
      <c r="AR1450" s="83"/>
      <c r="AS1450" s="83"/>
      <c r="AT1450" s="85"/>
      <c r="AU1450" s="12" t="s">
        <v>1936</v>
      </c>
      <c r="AW1450" s="39">
        <v>6</v>
      </c>
      <c r="AX1450" s="12">
        <f>VLOOKUP(AW1450,색인!$N$14:$O$19,2,FALSE)</f>
        <v>4</v>
      </c>
      <c r="AY1450" s="32" t="str">
        <f>"T"&amp;O1450&amp;"_"&amp;AX1450&amp;"옵션_"&amp;VLOOKUP(E1450,색인!$J$25:$K$29,2,FALSE)</f>
        <v>T4_4옵션_장신구</v>
      </c>
      <c r="AZ1450" s="32">
        <f>VLOOKUP(G1450,색인!$J$32:$K$45,2,FALSE)</f>
        <v>4</v>
      </c>
      <c r="BA1450" s="32" t="str">
        <f>_xlfn.IFNA(VLOOKUP(AY1450,표1[[검색용]:[OptionGroupIndex'[']22]],EquipItemTable!AZ1450,FALSE),"옵션고정안함")</f>
        <v>옵션고정안함</v>
      </c>
    </row>
    <row r="1451" spans="1:53" s="1" customFormat="1" ht="12" x14ac:dyDescent="0.2">
      <c r="A1451" s="13" t="s">
        <v>1118</v>
      </c>
      <c r="B1451" s="39">
        <v>80109</v>
      </c>
      <c r="C1451" s="42" t="s">
        <v>3896</v>
      </c>
      <c r="D1451" s="10" t="s">
        <v>2946</v>
      </c>
      <c r="E1451" s="10" t="s">
        <v>2</v>
      </c>
      <c r="F1451" s="1" t="s">
        <v>312</v>
      </c>
      <c r="G1451" s="1" t="s">
        <v>1314</v>
      </c>
      <c r="I1451" s="13"/>
      <c r="N1451" s="81"/>
      <c r="O1451" s="32">
        <v>4</v>
      </c>
      <c r="P1451" s="23">
        <v>41</v>
      </c>
      <c r="Q1451" s="13"/>
      <c r="R1451" s="13"/>
      <c r="S1451" s="13"/>
      <c r="T1451" s="13"/>
      <c r="U1451" s="13"/>
      <c r="V1451" s="13"/>
      <c r="W1451" s="13"/>
      <c r="X1451" s="13"/>
      <c r="Y1451" s="84">
        <v>47039</v>
      </c>
      <c r="Z1451" s="13"/>
      <c r="AA1451" s="13"/>
      <c r="AB1451" s="13"/>
      <c r="AC1451" s="81"/>
      <c r="AD1451" s="23" t="s">
        <v>52</v>
      </c>
      <c r="AE1451" s="32">
        <v>5</v>
      </c>
      <c r="AF1451" s="32"/>
      <c r="AG1451" s="12"/>
      <c r="AH1451" s="12"/>
      <c r="AI1451" s="13"/>
      <c r="AJ1451" s="13"/>
      <c r="AK1451" s="13"/>
      <c r="AL1451" s="13"/>
      <c r="AM1451" s="13"/>
      <c r="AN1451" s="13">
        <v>3</v>
      </c>
      <c r="AO1451" s="13"/>
      <c r="AP1451" s="13"/>
      <c r="AQ1451" s="81"/>
      <c r="AR1451" s="83"/>
      <c r="AS1451" s="83"/>
      <c r="AT1451" s="85"/>
      <c r="AU1451" s="12" t="s">
        <v>1936</v>
      </c>
      <c r="AW1451" s="39">
        <v>6</v>
      </c>
      <c r="AX1451" s="12">
        <f>VLOOKUP(AW1451,색인!$N$14:$O$19,2,FALSE)</f>
        <v>4</v>
      </c>
      <c r="AY1451" s="32" t="str">
        <f>"T"&amp;O1451&amp;"_"&amp;AX1451&amp;"옵션_"&amp;VLOOKUP(E1451,색인!$J$25:$K$29,2,FALSE)</f>
        <v>T4_4옵션_장신구</v>
      </c>
      <c r="AZ1451" s="32">
        <f>VLOOKUP(G1451,색인!$J$32:$K$45,2,FALSE)</f>
        <v>4</v>
      </c>
      <c r="BA1451" s="32" t="str">
        <f>_xlfn.IFNA(VLOOKUP(AY1451,표1[[검색용]:[OptionGroupIndex'[']22]],EquipItemTable!AZ1451,FALSE),"옵션고정안함")</f>
        <v>옵션고정안함</v>
      </c>
    </row>
    <row r="1452" spans="1:53" s="1" customFormat="1" ht="12" x14ac:dyDescent="0.2">
      <c r="A1452" s="13" t="s">
        <v>1119</v>
      </c>
      <c r="B1452" s="39">
        <v>80102</v>
      </c>
      <c r="C1452" s="42" t="s">
        <v>3897</v>
      </c>
      <c r="D1452" s="10" t="s">
        <v>2946</v>
      </c>
      <c r="E1452" s="10" t="s">
        <v>2</v>
      </c>
      <c r="F1452" s="1" t="s">
        <v>312</v>
      </c>
      <c r="G1452" s="1" t="s">
        <v>1314</v>
      </c>
      <c r="I1452" s="13"/>
      <c r="N1452" s="81"/>
      <c r="O1452" s="32">
        <v>4</v>
      </c>
      <c r="P1452" s="23">
        <v>41</v>
      </c>
      <c r="Q1452" s="13"/>
      <c r="R1452" s="13"/>
      <c r="S1452" s="13"/>
      <c r="T1452" s="13"/>
      <c r="U1452" s="13"/>
      <c r="V1452" s="13"/>
      <c r="W1452" s="13"/>
      <c r="X1452" s="13"/>
      <c r="Y1452" s="84">
        <v>47039</v>
      </c>
      <c r="Z1452" s="13"/>
      <c r="AA1452" s="13"/>
      <c r="AB1452" s="13"/>
      <c r="AC1452" s="81"/>
      <c r="AD1452" s="23" t="s">
        <v>52</v>
      </c>
      <c r="AE1452" s="32">
        <v>5</v>
      </c>
      <c r="AF1452" s="32"/>
      <c r="AG1452" s="12"/>
      <c r="AH1452" s="12"/>
      <c r="AI1452" s="13"/>
      <c r="AJ1452" s="13"/>
      <c r="AK1452" s="13"/>
      <c r="AL1452" s="13"/>
      <c r="AM1452" s="13"/>
      <c r="AN1452" s="13">
        <v>4</v>
      </c>
      <c r="AO1452" s="13"/>
      <c r="AP1452" s="13"/>
      <c r="AQ1452" s="81"/>
      <c r="AR1452" s="83"/>
      <c r="AS1452" s="83"/>
      <c r="AT1452" s="85"/>
      <c r="AU1452" s="12" t="s">
        <v>1936</v>
      </c>
      <c r="AW1452" s="39">
        <v>6</v>
      </c>
      <c r="AX1452" s="12">
        <f>VLOOKUP(AW1452,색인!$N$14:$O$19,2,FALSE)</f>
        <v>4</v>
      </c>
      <c r="AY1452" s="32" t="str">
        <f>"T"&amp;O1452&amp;"_"&amp;AX1452&amp;"옵션_"&amp;VLOOKUP(E1452,색인!$J$25:$K$29,2,FALSE)</f>
        <v>T4_4옵션_장신구</v>
      </c>
      <c r="AZ1452" s="32">
        <f>VLOOKUP(G1452,색인!$J$32:$K$45,2,FALSE)</f>
        <v>4</v>
      </c>
      <c r="BA1452" s="32" t="str">
        <f>_xlfn.IFNA(VLOOKUP(AY1452,표1[[검색용]:[OptionGroupIndex'[']22]],EquipItemTable!AZ1452,FALSE),"옵션고정안함")</f>
        <v>옵션고정안함</v>
      </c>
    </row>
    <row r="1453" spans="1:53" s="1" customFormat="1" ht="12" x14ac:dyDescent="0.2">
      <c r="A1453" s="13" t="s">
        <v>931</v>
      </c>
      <c r="B1453" s="39">
        <v>80111</v>
      </c>
      <c r="C1453" s="42" t="s">
        <v>3894</v>
      </c>
      <c r="D1453" s="10" t="s">
        <v>2946</v>
      </c>
      <c r="E1453" s="10" t="s">
        <v>2</v>
      </c>
      <c r="F1453" s="1" t="s">
        <v>312</v>
      </c>
      <c r="G1453" s="1" t="s">
        <v>1314</v>
      </c>
      <c r="I1453" s="13"/>
      <c r="N1453" s="81"/>
      <c r="O1453" s="32">
        <v>5</v>
      </c>
      <c r="P1453" s="23">
        <v>51</v>
      </c>
      <c r="Q1453" s="13"/>
      <c r="R1453" s="13"/>
      <c r="S1453" s="13"/>
      <c r="T1453" s="13"/>
      <c r="U1453" s="13"/>
      <c r="V1453" s="13"/>
      <c r="W1453" s="13"/>
      <c r="X1453" s="13"/>
      <c r="Y1453" s="84">
        <v>87848</v>
      </c>
      <c r="Z1453" s="13"/>
      <c r="AA1453" s="13"/>
      <c r="AB1453" s="13"/>
      <c r="AC1453" s="81"/>
      <c r="AD1453" s="23" t="s">
        <v>52</v>
      </c>
      <c r="AE1453" s="32">
        <v>5</v>
      </c>
      <c r="AF1453" s="32"/>
      <c r="AG1453" s="23"/>
      <c r="AH1453" s="23"/>
      <c r="AI1453" s="13"/>
      <c r="AJ1453" s="13"/>
      <c r="AK1453" s="13"/>
      <c r="AL1453" s="13"/>
      <c r="AM1453" s="13"/>
      <c r="AN1453" s="13">
        <v>1</v>
      </c>
      <c r="AO1453" s="13"/>
      <c r="AP1453" s="13"/>
      <c r="AQ1453" s="81"/>
      <c r="AR1453" s="83"/>
      <c r="AS1453" s="83"/>
      <c r="AT1453" s="85"/>
      <c r="AU1453" s="12" t="s">
        <v>1936</v>
      </c>
      <c r="AW1453" s="39">
        <v>6</v>
      </c>
      <c r="AX1453" s="12">
        <f>VLOOKUP(AW1453,색인!$N$14:$O$19,2,FALSE)</f>
        <v>4</v>
      </c>
      <c r="AY1453" s="32" t="str">
        <f>"T"&amp;O1453&amp;"_"&amp;AX1453&amp;"옵션_"&amp;VLOOKUP(E1453,색인!$J$25:$K$29,2,FALSE)</f>
        <v>T5_4옵션_장신구</v>
      </c>
      <c r="AZ1453" s="32">
        <f>VLOOKUP(G1453,색인!$J$32:$K$45,2,FALSE)</f>
        <v>4</v>
      </c>
      <c r="BA1453" s="32" t="str">
        <f>_xlfn.IFNA(VLOOKUP(AY1453,표1[[검색용]:[OptionGroupIndex'[']22]],EquipItemTable!AZ1453,FALSE),"옵션고정안함")</f>
        <v>옵션고정안함</v>
      </c>
    </row>
    <row r="1454" spans="1:53" s="1" customFormat="1" ht="12" x14ac:dyDescent="0.2">
      <c r="A1454" s="13" t="s">
        <v>1120</v>
      </c>
      <c r="B1454" s="39">
        <v>80113</v>
      </c>
      <c r="C1454" s="42" t="s">
        <v>3895</v>
      </c>
      <c r="D1454" s="10" t="s">
        <v>2946</v>
      </c>
      <c r="E1454" s="10" t="s">
        <v>2</v>
      </c>
      <c r="F1454" s="1" t="s">
        <v>312</v>
      </c>
      <c r="G1454" s="1" t="s">
        <v>1314</v>
      </c>
      <c r="I1454" s="13"/>
      <c r="N1454" s="81"/>
      <c r="O1454" s="32">
        <v>5</v>
      </c>
      <c r="P1454" s="23">
        <v>51</v>
      </c>
      <c r="Q1454" s="13"/>
      <c r="R1454" s="13"/>
      <c r="S1454" s="13"/>
      <c r="T1454" s="13"/>
      <c r="U1454" s="13"/>
      <c r="V1454" s="13"/>
      <c r="W1454" s="13"/>
      <c r="X1454" s="13"/>
      <c r="Y1454" s="84">
        <v>87848</v>
      </c>
      <c r="Z1454" s="13"/>
      <c r="AA1454" s="13"/>
      <c r="AB1454" s="13"/>
      <c r="AC1454" s="81"/>
      <c r="AD1454" s="23" t="s">
        <v>52</v>
      </c>
      <c r="AE1454" s="32">
        <v>5</v>
      </c>
      <c r="AF1454" s="32"/>
      <c r="AG1454" s="12"/>
      <c r="AH1454" s="12"/>
      <c r="AI1454" s="13"/>
      <c r="AJ1454" s="13"/>
      <c r="AK1454" s="13"/>
      <c r="AL1454" s="13"/>
      <c r="AM1454" s="13"/>
      <c r="AN1454" s="13">
        <v>2</v>
      </c>
      <c r="AO1454" s="13"/>
      <c r="AP1454" s="13"/>
      <c r="AQ1454" s="81"/>
      <c r="AR1454" s="83"/>
      <c r="AS1454" s="83"/>
      <c r="AT1454" s="85"/>
      <c r="AU1454" s="12" t="s">
        <v>1936</v>
      </c>
      <c r="AW1454" s="39">
        <v>6</v>
      </c>
      <c r="AX1454" s="12">
        <f>VLOOKUP(AW1454,색인!$N$14:$O$19,2,FALSE)</f>
        <v>4</v>
      </c>
      <c r="AY1454" s="32" t="str">
        <f>"T"&amp;O1454&amp;"_"&amp;AX1454&amp;"옵션_"&amp;VLOOKUP(E1454,색인!$J$25:$K$29,2,FALSE)</f>
        <v>T5_4옵션_장신구</v>
      </c>
      <c r="AZ1454" s="32">
        <f>VLOOKUP(G1454,색인!$J$32:$K$45,2,FALSE)</f>
        <v>4</v>
      </c>
      <c r="BA1454" s="32" t="str">
        <f>_xlfn.IFNA(VLOOKUP(AY1454,표1[[검색용]:[OptionGroupIndex'[']22]],EquipItemTable!AZ1454,FALSE),"옵션고정안함")</f>
        <v>옵션고정안함</v>
      </c>
    </row>
    <row r="1455" spans="1:53" s="1" customFormat="1" ht="12" x14ac:dyDescent="0.2">
      <c r="A1455" s="13" t="s">
        <v>1121</v>
      </c>
      <c r="B1455" s="39">
        <v>80112</v>
      </c>
      <c r="C1455" s="42" t="s">
        <v>3896</v>
      </c>
      <c r="D1455" s="10" t="s">
        <v>2946</v>
      </c>
      <c r="E1455" s="10" t="s">
        <v>2</v>
      </c>
      <c r="F1455" s="1" t="s">
        <v>312</v>
      </c>
      <c r="G1455" s="1" t="s">
        <v>1314</v>
      </c>
      <c r="I1455" s="13"/>
      <c r="N1455" s="81"/>
      <c r="O1455" s="32">
        <v>5</v>
      </c>
      <c r="P1455" s="23">
        <v>51</v>
      </c>
      <c r="Q1455" s="13"/>
      <c r="R1455" s="13"/>
      <c r="S1455" s="13"/>
      <c r="T1455" s="13"/>
      <c r="U1455" s="13"/>
      <c r="V1455" s="13"/>
      <c r="W1455" s="13"/>
      <c r="X1455" s="13"/>
      <c r="Y1455" s="84">
        <v>87848</v>
      </c>
      <c r="Z1455" s="13"/>
      <c r="AA1455" s="13"/>
      <c r="AB1455" s="13"/>
      <c r="AC1455" s="81"/>
      <c r="AD1455" s="23" t="s">
        <v>52</v>
      </c>
      <c r="AE1455" s="32">
        <v>5</v>
      </c>
      <c r="AF1455" s="32"/>
      <c r="AG1455" s="12"/>
      <c r="AH1455" s="12"/>
      <c r="AI1455" s="13"/>
      <c r="AJ1455" s="13"/>
      <c r="AK1455" s="13"/>
      <c r="AL1455" s="13"/>
      <c r="AM1455" s="13"/>
      <c r="AN1455" s="13">
        <v>3</v>
      </c>
      <c r="AO1455" s="13"/>
      <c r="AP1455" s="13"/>
      <c r="AQ1455" s="81"/>
      <c r="AR1455" s="83"/>
      <c r="AS1455" s="83"/>
      <c r="AT1455" s="85"/>
      <c r="AU1455" s="12" t="s">
        <v>1936</v>
      </c>
      <c r="AW1455" s="39">
        <v>6</v>
      </c>
      <c r="AX1455" s="12">
        <f>VLOOKUP(AW1455,색인!$N$14:$O$19,2,FALSE)</f>
        <v>4</v>
      </c>
      <c r="AY1455" s="32" t="str">
        <f>"T"&amp;O1455&amp;"_"&amp;AX1455&amp;"옵션_"&amp;VLOOKUP(E1455,색인!$J$25:$K$29,2,FALSE)</f>
        <v>T5_4옵션_장신구</v>
      </c>
      <c r="AZ1455" s="32">
        <f>VLOOKUP(G1455,색인!$J$32:$K$45,2,FALSE)</f>
        <v>4</v>
      </c>
      <c r="BA1455" s="32" t="str">
        <f>_xlfn.IFNA(VLOOKUP(AY1455,표1[[검색용]:[OptionGroupIndex'[']22]],EquipItemTable!AZ1455,FALSE),"옵션고정안함")</f>
        <v>옵션고정안함</v>
      </c>
    </row>
    <row r="1456" spans="1:53" s="1" customFormat="1" ht="12" x14ac:dyDescent="0.2">
      <c r="A1456" s="13" t="s">
        <v>1122</v>
      </c>
      <c r="B1456" s="39">
        <v>80103</v>
      </c>
      <c r="C1456" s="42" t="s">
        <v>3897</v>
      </c>
      <c r="D1456" s="10" t="s">
        <v>2946</v>
      </c>
      <c r="E1456" s="10" t="s">
        <v>2</v>
      </c>
      <c r="F1456" s="1" t="s">
        <v>312</v>
      </c>
      <c r="G1456" s="1" t="s">
        <v>1314</v>
      </c>
      <c r="I1456" s="13"/>
      <c r="N1456" s="81"/>
      <c r="O1456" s="32">
        <v>5</v>
      </c>
      <c r="P1456" s="23">
        <v>51</v>
      </c>
      <c r="Q1456" s="13"/>
      <c r="R1456" s="13"/>
      <c r="S1456" s="13"/>
      <c r="T1456" s="13"/>
      <c r="U1456" s="13"/>
      <c r="V1456" s="13"/>
      <c r="W1456" s="13"/>
      <c r="X1456" s="13"/>
      <c r="Y1456" s="84">
        <v>87848</v>
      </c>
      <c r="Z1456" s="13"/>
      <c r="AA1456" s="13"/>
      <c r="AB1456" s="13"/>
      <c r="AC1456" s="81"/>
      <c r="AD1456" s="23" t="s">
        <v>52</v>
      </c>
      <c r="AE1456" s="32">
        <v>5</v>
      </c>
      <c r="AF1456" s="32"/>
      <c r="AG1456" s="12"/>
      <c r="AH1456" s="12"/>
      <c r="AI1456" s="13"/>
      <c r="AJ1456" s="13"/>
      <c r="AK1456" s="13"/>
      <c r="AL1456" s="13"/>
      <c r="AM1456" s="13"/>
      <c r="AN1456" s="13">
        <v>4</v>
      </c>
      <c r="AO1456" s="13"/>
      <c r="AP1456" s="13"/>
      <c r="AQ1456" s="81"/>
      <c r="AR1456" s="83"/>
      <c r="AS1456" s="83"/>
      <c r="AT1456" s="85"/>
      <c r="AU1456" s="12" t="s">
        <v>1936</v>
      </c>
      <c r="AW1456" s="39">
        <v>6</v>
      </c>
      <c r="AX1456" s="12">
        <f>VLOOKUP(AW1456,색인!$N$14:$O$19,2,FALSE)</f>
        <v>4</v>
      </c>
      <c r="AY1456" s="32" t="str">
        <f>"T"&amp;O1456&amp;"_"&amp;AX1456&amp;"옵션_"&amp;VLOOKUP(E1456,색인!$J$25:$K$29,2,FALSE)</f>
        <v>T5_4옵션_장신구</v>
      </c>
      <c r="AZ1456" s="32">
        <f>VLOOKUP(G1456,색인!$J$32:$K$45,2,FALSE)</f>
        <v>4</v>
      </c>
      <c r="BA1456" s="32" t="str">
        <f>_xlfn.IFNA(VLOOKUP(AY1456,표1[[검색용]:[OptionGroupIndex'[']22]],EquipItemTable!AZ1456,FALSE),"옵션고정안함")</f>
        <v>옵션고정안함</v>
      </c>
    </row>
    <row r="1457" spans="1:53" s="1" customFormat="1" ht="12" x14ac:dyDescent="0.2">
      <c r="A1457" s="13" t="s">
        <v>932</v>
      </c>
      <c r="B1457" s="39">
        <v>80114</v>
      </c>
      <c r="C1457" s="42" t="s">
        <v>3894</v>
      </c>
      <c r="D1457" s="10" t="s">
        <v>2946</v>
      </c>
      <c r="E1457" s="10" t="s">
        <v>2</v>
      </c>
      <c r="F1457" s="1" t="s">
        <v>312</v>
      </c>
      <c r="G1457" s="1" t="s">
        <v>1314</v>
      </c>
      <c r="I1457" s="13"/>
      <c r="N1457" s="81"/>
      <c r="O1457" s="32">
        <v>6</v>
      </c>
      <c r="P1457" s="23">
        <v>61</v>
      </c>
      <c r="Q1457" s="13"/>
      <c r="R1457" s="13"/>
      <c r="S1457" s="13"/>
      <c r="T1457" s="13"/>
      <c r="U1457" s="13"/>
      <c r="V1457" s="13"/>
      <c r="W1457" s="13"/>
      <c r="X1457" s="13"/>
      <c r="Y1457" s="84">
        <v>127282</v>
      </c>
      <c r="Z1457" s="13"/>
      <c r="AA1457" s="13"/>
      <c r="AB1457" s="13"/>
      <c r="AC1457" s="81"/>
      <c r="AD1457" s="23" t="s">
        <v>52</v>
      </c>
      <c r="AE1457" s="39" t="str">
        <f>BA1457</f>
        <v>6431,6432</v>
      </c>
      <c r="AF1457" s="12"/>
      <c r="AG1457" s="12"/>
      <c r="AH1457" s="12"/>
      <c r="AI1457" s="13"/>
      <c r="AJ1457" s="13"/>
      <c r="AK1457" s="13"/>
      <c r="AL1457" s="13"/>
      <c r="AM1457" s="13"/>
      <c r="AN1457" s="13">
        <v>1</v>
      </c>
      <c r="AO1457" s="13"/>
      <c r="AP1457" s="13"/>
      <c r="AQ1457" s="81"/>
      <c r="AR1457" s="83"/>
      <c r="AS1457" s="83"/>
      <c r="AT1457" s="85"/>
      <c r="AU1457" s="12" t="s">
        <v>1936</v>
      </c>
      <c r="AW1457" s="39">
        <v>6</v>
      </c>
      <c r="AX1457" s="12">
        <f>VLOOKUP(AW1457,색인!$N$14:$O$19,2,FALSE)</f>
        <v>4</v>
      </c>
      <c r="AY1457" s="32" t="str">
        <f>"T"&amp;O1457&amp;"_"&amp;AX1457&amp;"옵션_"&amp;VLOOKUP(E1457,색인!$J$25:$K$29,2,FALSE)</f>
        <v>T6_4옵션_장신구</v>
      </c>
      <c r="AZ1457" s="32">
        <f>VLOOKUP(G1457,색인!$J$32:$K$45,2,FALSE)</f>
        <v>4</v>
      </c>
      <c r="BA1457" s="32" t="str">
        <f>_xlfn.IFNA(VLOOKUP(AY1457,표1[[검색용]:[OptionGroupIndex'[']22]],EquipItemTable!AZ1457,FALSE),"옵션고정안함")</f>
        <v>6431,6432</v>
      </c>
    </row>
    <row r="1458" spans="1:53" s="1" customFormat="1" ht="12" x14ac:dyDescent="0.2">
      <c r="A1458" s="13" t="s">
        <v>1123</v>
      </c>
      <c r="B1458" s="39">
        <v>80116</v>
      </c>
      <c r="C1458" s="42" t="s">
        <v>3895</v>
      </c>
      <c r="D1458" s="10" t="s">
        <v>2946</v>
      </c>
      <c r="E1458" s="10" t="s">
        <v>2</v>
      </c>
      <c r="F1458" s="1" t="s">
        <v>312</v>
      </c>
      <c r="G1458" s="1" t="s">
        <v>1314</v>
      </c>
      <c r="I1458" s="13"/>
      <c r="N1458" s="81"/>
      <c r="O1458" s="32">
        <v>6</v>
      </c>
      <c r="P1458" s="23">
        <v>61</v>
      </c>
      <c r="Q1458" s="13"/>
      <c r="R1458" s="13"/>
      <c r="S1458" s="13"/>
      <c r="T1458" s="13"/>
      <c r="U1458" s="13"/>
      <c r="V1458" s="13"/>
      <c r="W1458" s="13"/>
      <c r="X1458" s="13"/>
      <c r="Y1458" s="84">
        <v>127282</v>
      </c>
      <c r="Z1458" s="13"/>
      <c r="AA1458" s="13"/>
      <c r="AB1458" s="13"/>
      <c r="AC1458" s="81"/>
      <c r="AD1458" s="23" t="s">
        <v>52</v>
      </c>
      <c r="AE1458" s="39" t="str">
        <f>BA1458</f>
        <v>6431,6432</v>
      </c>
      <c r="AF1458" s="12"/>
      <c r="AG1458" s="12"/>
      <c r="AH1458" s="12"/>
      <c r="AI1458" s="13"/>
      <c r="AJ1458" s="13"/>
      <c r="AK1458" s="13"/>
      <c r="AL1458" s="13"/>
      <c r="AM1458" s="13"/>
      <c r="AN1458" s="13">
        <v>2</v>
      </c>
      <c r="AO1458" s="13"/>
      <c r="AP1458" s="13"/>
      <c r="AQ1458" s="81"/>
      <c r="AR1458" s="83"/>
      <c r="AS1458" s="83"/>
      <c r="AT1458" s="85"/>
      <c r="AU1458" s="12" t="s">
        <v>1936</v>
      </c>
      <c r="AW1458" s="39">
        <v>6</v>
      </c>
      <c r="AX1458" s="12">
        <f>VLOOKUP(AW1458,색인!$N$14:$O$19,2,FALSE)</f>
        <v>4</v>
      </c>
      <c r="AY1458" s="32" t="str">
        <f>"T"&amp;O1458&amp;"_"&amp;AX1458&amp;"옵션_"&amp;VLOOKUP(E1458,색인!$J$25:$K$29,2,FALSE)</f>
        <v>T6_4옵션_장신구</v>
      </c>
      <c r="AZ1458" s="32">
        <f>VLOOKUP(G1458,색인!$J$32:$K$45,2,FALSE)</f>
        <v>4</v>
      </c>
      <c r="BA1458" s="32" t="str">
        <f>_xlfn.IFNA(VLOOKUP(AY1458,표1[[검색용]:[OptionGroupIndex'[']22]],EquipItemTable!AZ1458,FALSE),"옵션고정안함")</f>
        <v>6431,6432</v>
      </c>
    </row>
    <row r="1459" spans="1:53" s="1" customFormat="1" ht="12" x14ac:dyDescent="0.2">
      <c r="A1459" s="13" t="s">
        <v>1124</v>
      </c>
      <c r="B1459" s="39">
        <v>80115</v>
      </c>
      <c r="C1459" s="42" t="s">
        <v>3896</v>
      </c>
      <c r="D1459" s="10" t="s">
        <v>2946</v>
      </c>
      <c r="E1459" s="10" t="s">
        <v>2</v>
      </c>
      <c r="F1459" s="1" t="s">
        <v>312</v>
      </c>
      <c r="G1459" s="1" t="s">
        <v>1314</v>
      </c>
      <c r="I1459" s="13"/>
      <c r="N1459" s="81"/>
      <c r="O1459" s="32">
        <v>6</v>
      </c>
      <c r="P1459" s="23">
        <v>61</v>
      </c>
      <c r="Q1459" s="13"/>
      <c r="R1459" s="13"/>
      <c r="S1459" s="13"/>
      <c r="T1459" s="13"/>
      <c r="U1459" s="13"/>
      <c r="V1459" s="13"/>
      <c r="W1459" s="13"/>
      <c r="X1459" s="13"/>
      <c r="Y1459" s="84">
        <v>127282</v>
      </c>
      <c r="Z1459" s="13"/>
      <c r="AA1459" s="13"/>
      <c r="AB1459" s="13"/>
      <c r="AC1459" s="81"/>
      <c r="AD1459" s="23" t="s">
        <v>52</v>
      </c>
      <c r="AE1459" s="39" t="str">
        <f>BA1459</f>
        <v>6431,6432</v>
      </c>
      <c r="AF1459" s="12"/>
      <c r="AG1459" s="12"/>
      <c r="AH1459" s="12"/>
      <c r="AI1459" s="13"/>
      <c r="AJ1459" s="13"/>
      <c r="AK1459" s="13"/>
      <c r="AL1459" s="13"/>
      <c r="AM1459" s="13"/>
      <c r="AN1459" s="13">
        <v>3</v>
      </c>
      <c r="AO1459" s="13"/>
      <c r="AP1459" s="13"/>
      <c r="AQ1459" s="81"/>
      <c r="AR1459" s="83"/>
      <c r="AS1459" s="83"/>
      <c r="AT1459" s="85"/>
      <c r="AU1459" s="12" t="s">
        <v>1936</v>
      </c>
      <c r="AW1459" s="39">
        <v>6</v>
      </c>
      <c r="AX1459" s="12">
        <f>VLOOKUP(AW1459,색인!$N$14:$O$19,2,FALSE)</f>
        <v>4</v>
      </c>
      <c r="AY1459" s="32" t="str">
        <f>"T"&amp;O1459&amp;"_"&amp;AX1459&amp;"옵션_"&amp;VLOOKUP(E1459,색인!$J$25:$K$29,2,FALSE)</f>
        <v>T6_4옵션_장신구</v>
      </c>
      <c r="AZ1459" s="32">
        <f>VLOOKUP(G1459,색인!$J$32:$K$45,2,FALSE)</f>
        <v>4</v>
      </c>
      <c r="BA1459" s="32" t="str">
        <f>_xlfn.IFNA(VLOOKUP(AY1459,표1[[검색용]:[OptionGroupIndex'[']22]],EquipItemTable!AZ1459,FALSE),"옵션고정안함")</f>
        <v>6431,6432</v>
      </c>
    </row>
    <row r="1460" spans="1:53" s="1" customFormat="1" ht="12" x14ac:dyDescent="0.2">
      <c r="A1460" s="13" t="s">
        <v>1125</v>
      </c>
      <c r="B1460" s="39">
        <v>80104</v>
      </c>
      <c r="C1460" s="42" t="s">
        <v>3897</v>
      </c>
      <c r="D1460" s="10" t="s">
        <v>2946</v>
      </c>
      <c r="E1460" s="10" t="s">
        <v>2</v>
      </c>
      <c r="F1460" s="1" t="s">
        <v>312</v>
      </c>
      <c r="G1460" s="1" t="s">
        <v>1314</v>
      </c>
      <c r="I1460" s="13"/>
      <c r="N1460" s="81"/>
      <c r="O1460" s="32">
        <v>6</v>
      </c>
      <c r="P1460" s="23">
        <v>61</v>
      </c>
      <c r="Q1460" s="13"/>
      <c r="R1460" s="13"/>
      <c r="S1460" s="13"/>
      <c r="T1460" s="13"/>
      <c r="U1460" s="13"/>
      <c r="V1460" s="13"/>
      <c r="W1460" s="13"/>
      <c r="X1460" s="13"/>
      <c r="Y1460" s="84">
        <v>127282</v>
      </c>
      <c r="Z1460" s="13"/>
      <c r="AA1460" s="13"/>
      <c r="AB1460" s="13"/>
      <c r="AC1460" s="81"/>
      <c r="AD1460" s="23" t="s">
        <v>52</v>
      </c>
      <c r="AE1460" s="39" t="str">
        <f>BA1460</f>
        <v>6431,6432</v>
      </c>
      <c r="AF1460" s="12"/>
      <c r="AG1460" s="12"/>
      <c r="AH1460" s="12"/>
      <c r="AI1460" s="13"/>
      <c r="AJ1460" s="13"/>
      <c r="AK1460" s="13"/>
      <c r="AL1460" s="13"/>
      <c r="AM1460" s="13"/>
      <c r="AN1460" s="13">
        <v>4</v>
      </c>
      <c r="AO1460" s="13"/>
      <c r="AP1460" s="13"/>
      <c r="AQ1460" s="81"/>
      <c r="AR1460" s="83"/>
      <c r="AS1460" s="83"/>
      <c r="AT1460" s="85"/>
      <c r="AU1460" s="12" t="s">
        <v>1936</v>
      </c>
      <c r="AW1460" s="39">
        <v>6</v>
      </c>
      <c r="AX1460" s="12">
        <f>VLOOKUP(AW1460,색인!$N$14:$O$19,2,FALSE)</f>
        <v>4</v>
      </c>
      <c r="AY1460" s="32" t="str">
        <f>"T"&amp;O1460&amp;"_"&amp;AX1460&amp;"옵션_"&amp;VLOOKUP(E1460,색인!$J$25:$K$29,2,FALSE)</f>
        <v>T6_4옵션_장신구</v>
      </c>
      <c r="AZ1460" s="32">
        <f>VLOOKUP(G1460,색인!$J$32:$K$45,2,FALSE)</f>
        <v>4</v>
      </c>
      <c r="BA1460" s="32" t="str">
        <f>_xlfn.IFNA(VLOOKUP(AY1460,표1[[검색용]:[OptionGroupIndex'[']22]],EquipItemTable!AZ1460,FALSE),"옵션고정안함")</f>
        <v>6431,6432</v>
      </c>
    </row>
    <row r="1461" spans="1:53" ht="12" customHeight="1" x14ac:dyDescent="0.2">
      <c r="A1461" s="10" t="s">
        <v>704</v>
      </c>
      <c r="B1461" s="39">
        <v>80401</v>
      </c>
      <c r="C1461" s="42" t="s">
        <v>3898</v>
      </c>
      <c r="D1461" s="10" t="s">
        <v>2946</v>
      </c>
      <c r="E1461" s="10" t="s">
        <v>2</v>
      </c>
      <c r="F1461" s="1" t="s">
        <v>312</v>
      </c>
      <c r="G1461" s="1" t="s">
        <v>1314</v>
      </c>
      <c r="H1461" s="1"/>
      <c r="I1461" s="1"/>
      <c r="J1461" s="1"/>
      <c r="K1461" s="1"/>
      <c r="L1461" s="1"/>
      <c r="M1461" s="1"/>
      <c r="O1461" s="12" t="s">
        <v>94</v>
      </c>
      <c r="P1461" s="1">
        <v>1</v>
      </c>
      <c r="Q1461" s="1"/>
      <c r="R1461" s="1"/>
      <c r="S1461" s="1"/>
      <c r="T1461" s="1"/>
      <c r="U1461" s="1"/>
      <c r="V1461" s="1"/>
      <c r="W1461" s="1"/>
      <c r="X1461" s="1"/>
      <c r="Y1461" s="20">
        <v>4857.5999999999995</v>
      </c>
      <c r="Z1461" s="1"/>
      <c r="AA1461" s="1"/>
      <c r="AB1461" s="1"/>
      <c r="AC1461" s="82"/>
      <c r="AD1461" s="12" t="s">
        <v>868</v>
      </c>
      <c r="AE1461" s="39" t="str">
        <f t="shared" ref="AE1461:AE1472" si="181">BA1461</f>
        <v>1331,1332</v>
      </c>
      <c r="AN1461" s="12" t="s">
        <v>2833</v>
      </c>
      <c r="AU1461" s="12" t="s">
        <v>1945</v>
      </c>
      <c r="AV1461" s="13"/>
      <c r="AW1461" s="39">
        <v>5</v>
      </c>
      <c r="AX1461" s="12">
        <f>VLOOKUP(AW1461,색인!$N$14:$O$19,2,FALSE)</f>
        <v>3</v>
      </c>
      <c r="AY1461" s="32" t="str">
        <f>"T"&amp;O1461&amp;"_"&amp;AX1461&amp;"옵션_"&amp;VLOOKUP(E1461,색인!$J$25:$K$29,2,FALSE)</f>
        <v>T1_3옵션_장신구</v>
      </c>
      <c r="AZ1461" s="32">
        <f>VLOOKUP(G1461,색인!$J$32:$K$45,2,FALSE)</f>
        <v>4</v>
      </c>
      <c r="BA1461" s="32" t="str">
        <f>_xlfn.IFNA(VLOOKUP(AY1461,표1[[검색용]:[OptionGroupIndex'[']22]],EquipItemTable!AZ1461,FALSE),"옵션고정안함")</f>
        <v>1331,1332</v>
      </c>
    </row>
    <row r="1462" spans="1:53" ht="12" customHeight="1" x14ac:dyDescent="0.2">
      <c r="A1462" s="10" t="s">
        <v>705</v>
      </c>
      <c r="B1462" s="39">
        <v>80402</v>
      </c>
      <c r="C1462" s="42" t="s">
        <v>3898</v>
      </c>
      <c r="D1462" s="10" t="s">
        <v>2946</v>
      </c>
      <c r="E1462" s="10" t="s">
        <v>2</v>
      </c>
      <c r="F1462" s="1" t="s">
        <v>312</v>
      </c>
      <c r="G1462" s="1" t="s">
        <v>1314</v>
      </c>
      <c r="H1462" s="1"/>
      <c r="I1462" s="1"/>
      <c r="J1462" s="1"/>
      <c r="K1462" s="1"/>
      <c r="L1462" s="1"/>
      <c r="M1462" s="1"/>
      <c r="O1462" s="12" t="s">
        <v>95</v>
      </c>
      <c r="P1462" s="1">
        <v>21</v>
      </c>
      <c r="Q1462" s="1"/>
      <c r="R1462" s="1"/>
      <c r="S1462" s="1"/>
      <c r="T1462" s="1"/>
      <c r="U1462" s="1"/>
      <c r="V1462" s="1"/>
      <c r="W1462" s="13"/>
      <c r="X1462" s="13"/>
      <c r="Y1462" s="20">
        <v>11014.699999999999</v>
      </c>
      <c r="Z1462" s="1"/>
      <c r="AA1462" s="1"/>
      <c r="AB1462" s="1"/>
      <c r="AC1462" s="82"/>
      <c r="AD1462" s="12" t="s">
        <v>868</v>
      </c>
      <c r="AE1462" s="39" t="str">
        <f t="shared" si="181"/>
        <v>2331,2332</v>
      </c>
      <c r="AN1462" s="12" t="s">
        <v>2833</v>
      </c>
      <c r="AU1462" s="12" t="s">
        <v>1945</v>
      </c>
      <c r="AV1462" s="13"/>
      <c r="AW1462" s="39">
        <v>5</v>
      </c>
      <c r="AX1462" s="12">
        <f>VLOOKUP(AW1462,색인!$N$14:$O$19,2,FALSE)</f>
        <v>3</v>
      </c>
      <c r="AY1462" s="32" t="str">
        <f>"T"&amp;O1462&amp;"_"&amp;AX1462&amp;"옵션_"&amp;VLOOKUP(E1462,색인!$J$25:$K$29,2,FALSE)</f>
        <v>T2_3옵션_장신구</v>
      </c>
      <c r="AZ1462" s="32">
        <f>VLOOKUP(G1462,색인!$J$32:$K$45,2,FALSE)</f>
        <v>4</v>
      </c>
      <c r="BA1462" s="32" t="str">
        <f>_xlfn.IFNA(VLOOKUP(AY1462,표1[[검색용]:[OptionGroupIndex'[']22]],EquipItemTable!AZ1462,FALSE),"옵션고정안함")</f>
        <v>2331,2332</v>
      </c>
    </row>
    <row r="1463" spans="1:53" ht="16.5" customHeight="1" x14ac:dyDescent="0.2">
      <c r="A1463" s="10" t="s">
        <v>706</v>
      </c>
      <c r="B1463" s="39">
        <v>80403</v>
      </c>
      <c r="C1463" s="42" t="s">
        <v>3898</v>
      </c>
      <c r="D1463" s="10" t="s">
        <v>2946</v>
      </c>
      <c r="E1463" s="10" t="s">
        <v>2</v>
      </c>
      <c r="F1463" s="1" t="s">
        <v>312</v>
      </c>
      <c r="G1463" s="1" t="s">
        <v>1314</v>
      </c>
      <c r="H1463" s="1"/>
      <c r="I1463" s="1"/>
      <c r="J1463" s="13"/>
      <c r="K1463" s="13"/>
      <c r="L1463" s="13"/>
      <c r="M1463" s="13"/>
      <c r="N1463" s="81"/>
      <c r="O1463" s="12" t="s">
        <v>96</v>
      </c>
      <c r="P1463" s="1">
        <v>31</v>
      </c>
      <c r="Q1463" s="13"/>
      <c r="R1463" s="13"/>
      <c r="S1463" s="13"/>
      <c r="T1463" s="13"/>
      <c r="U1463" s="13"/>
      <c r="V1463" s="13"/>
      <c r="W1463" s="13"/>
      <c r="X1463" s="13"/>
      <c r="Y1463" s="20">
        <v>22726.3</v>
      </c>
      <c r="Z1463" s="13"/>
      <c r="AA1463" s="13"/>
      <c r="AB1463" s="13"/>
      <c r="AC1463" s="82"/>
      <c r="AD1463" s="23" t="s">
        <v>52</v>
      </c>
      <c r="AE1463" s="90" t="str">
        <f t="shared" si="181"/>
        <v>3331,3332</v>
      </c>
      <c r="AF1463" s="23"/>
      <c r="AI1463" s="23"/>
      <c r="AJ1463" s="23"/>
      <c r="AK1463" s="23"/>
      <c r="AL1463" s="23"/>
      <c r="AM1463" s="23"/>
      <c r="AN1463" s="12" t="s">
        <v>2833</v>
      </c>
      <c r="AO1463" s="23"/>
      <c r="AP1463" s="23"/>
      <c r="AQ1463" s="81"/>
      <c r="AR1463" s="83"/>
      <c r="AS1463" s="83"/>
      <c r="AT1463" s="81"/>
      <c r="AU1463" s="12" t="s">
        <v>1945</v>
      </c>
      <c r="AV1463" s="13" t="s">
        <v>6</v>
      </c>
      <c r="AW1463" s="39">
        <v>5</v>
      </c>
      <c r="AX1463" s="12">
        <f>VLOOKUP(AW1463,색인!$N$14:$O$19,2,FALSE)</f>
        <v>3</v>
      </c>
      <c r="AY1463" s="32" t="str">
        <f>"T"&amp;O1463&amp;"_"&amp;AX1463&amp;"옵션_"&amp;VLOOKUP(E1463,색인!$J$25:$K$29,2,FALSE)</f>
        <v>T3_3옵션_장신구</v>
      </c>
      <c r="AZ1463" s="32">
        <f>VLOOKUP(G1463,색인!$J$32:$K$45,2,FALSE)</f>
        <v>4</v>
      </c>
      <c r="BA1463" s="32" t="str">
        <f>_xlfn.IFNA(VLOOKUP(AY1463,표1[[검색용]:[OptionGroupIndex'[']22]],EquipItemTable!AZ1463,FALSE),"옵션고정안함")</f>
        <v>3331,3332</v>
      </c>
    </row>
    <row r="1464" spans="1:53" ht="12" customHeight="1" x14ac:dyDescent="0.2">
      <c r="A1464" s="10" t="s">
        <v>707</v>
      </c>
      <c r="B1464" s="39">
        <v>80404</v>
      </c>
      <c r="C1464" s="42" t="s">
        <v>3898</v>
      </c>
      <c r="D1464" s="10" t="s">
        <v>2946</v>
      </c>
      <c r="E1464" s="10" t="s">
        <v>2</v>
      </c>
      <c r="F1464" s="1" t="s">
        <v>312</v>
      </c>
      <c r="G1464" s="1" t="s">
        <v>1314</v>
      </c>
      <c r="H1464" s="1"/>
      <c r="I1464" s="1"/>
      <c r="J1464" s="27"/>
      <c r="K1464" s="27"/>
      <c r="L1464" s="27"/>
      <c r="M1464" s="27"/>
      <c r="O1464" s="12" t="s">
        <v>97</v>
      </c>
      <c r="P1464" s="1">
        <v>41</v>
      </c>
      <c r="Q1464" s="1"/>
      <c r="R1464" s="1"/>
      <c r="S1464" s="1"/>
      <c r="T1464" s="1"/>
      <c r="U1464" s="1"/>
      <c r="V1464" s="1"/>
      <c r="W1464" s="13"/>
      <c r="X1464" s="13"/>
      <c r="Y1464" s="20">
        <v>44401.5</v>
      </c>
      <c r="Z1464" s="1"/>
      <c r="AA1464" s="1"/>
      <c r="AB1464" s="1"/>
      <c r="AC1464" s="82"/>
      <c r="AD1464" s="12" t="s">
        <v>52</v>
      </c>
      <c r="AE1464" s="39" t="str">
        <f t="shared" si="181"/>
        <v>4331,4332</v>
      </c>
      <c r="AG1464" s="29"/>
      <c r="AH1464" s="29"/>
      <c r="AN1464" s="12" t="s">
        <v>2833</v>
      </c>
      <c r="AU1464" s="12" t="s">
        <v>1945</v>
      </c>
      <c r="AV1464" s="13"/>
      <c r="AW1464" s="39">
        <v>5</v>
      </c>
      <c r="AX1464" s="12">
        <f>VLOOKUP(AW1464,색인!$N$14:$O$19,2,FALSE)</f>
        <v>3</v>
      </c>
      <c r="AY1464" s="32" t="str">
        <f>"T"&amp;O1464&amp;"_"&amp;AX1464&amp;"옵션_"&amp;VLOOKUP(E1464,색인!$J$25:$K$29,2,FALSE)</f>
        <v>T4_3옵션_장신구</v>
      </c>
      <c r="AZ1464" s="32">
        <f>VLOOKUP(G1464,색인!$J$32:$K$45,2,FALSE)</f>
        <v>4</v>
      </c>
      <c r="BA1464" s="32" t="str">
        <f>_xlfn.IFNA(VLOOKUP(AY1464,표1[[검색용]:[OptionGroupIndex'[']22]],EquipItemTable!AZ1464,FALSE),"옵션고정안함")</f>
        <v>4331,4332</v>
      </c>
    </row>
    <row r="1465" spans="1:53" ht="12" customHeight="1" x14ac:dyDescent="0.2">
      <c r="A1465" s="10" t="s">
        <v>708</v>
      </c>
      <c r="B1465" s="39">
        <v>80405</v>
      </c>
      <c r="C1465" s="42" t="s">
        <v>3898</v>
      </c>
      <c r="D1465" s="10" t="s">
        <v>2946</v>
      </c>
      <c r="E1465" s="10" t="s">
        <v>2</v>
      </c>
      <c r="F1465" s="1" t="s">
        <v>312</v>
      </c>
      <c r="G1465" s="1" t="s">
        <v>1314</v>
      </c>
      <c r="H1465" s="1"/>
      <c r="I1465" s="1"/>
      <c r="J1465" s="27"/>
      <c r="K1465" s="27"/>
      <c r="L1465" s="27"/>
      <c r="M1465" s="27"/>
      <c r="O1465" s="12" t="s">
        <v>430</v>
      </c>
      <c r="P1465" s="1">
        <v>51</v>
      </c>
      <c r="Q1465" s="1"/>
      <c r="R1465" s="1"/>
      <c r="S1465" s="1"/>
      <c r="T1465" s="1"/>
      <c r="U1465" s="1"/>
      <c r="V1465" s="1"/>
      <c r="W1465" s="13"/>
      <c r="X1465" s="13"/>
      <c r="Y1465" s="20">
        <v>83697</v>
      </c>
      <c r="Z1465" s="1"/>
      <c r="AA1465" s="1"/>
      <c r="AB1465" s="1"/>
      <c r="AC1465" s="82"/>
      <c r="AD1465" s="12" t="s">
        <v>98</v>
      </c>
      <c r="AE1465" s="39" t="str">
        <f t="shared" si="181"/>
        <v>5331,5332</v>
      </c>
      <c r="AG1465" s="29"/>
      <c r="AH1465" s="29"/>
      <c r="AN1465" s="12" t="s">
        <v>2833</v>
      </c>
      <c r="AU1465" s="12" t="s">
        <v>1945</v>
      </c>
      <c r="AV1465" s="13"/>
      <c r="AW1465" s="39">
        <v>5</v>
      </c>
      <c r="AX1465" s="12">
        <f>VLOOKUP(AW1465,색인!$N$14:$O$19,2,FALSE)</f>
        <v>3</v>
      </c>
      <c r="AY1465" s="32" t="str">
        <f>"T"&amp;O1465&amp;"_"&amp;AX1465&amp;"옵션_"&amp;VLOOKUP(E1465,색인!$J$25:$K$29,2,FALSE)</f>
        <v>T5_3옵션_장신구</v>
      </c>
      <c r="AZ1465" s="32">
        <f>VLOOKUP(G1465,색인!$J$32:$K$45,2,FALSE)</f>
        <v>4</v>
      </c>
      <c r="BA1465" s="32" t="str">
        <f>_xlfn.IFNA(VLOOKUP(AY1465,표1[[검색용]:[OptionGroupIndex'[']22]],EquipItemTable!AZ1465,FALSE),"옵션고정안함")</f>
        <v>5331,5332</v>
      </c>
    </row>
    <row r="1466" spans="1:53" s="1" customFormat="1" ht="12" x14ac:dyDescent="0.2">
      <c r="A1466" s="10" t="s">
        <v>837</v>
      </c>
      <c r="B1466" s="39">
        <v>80406</v>
      </c>
      <c r="C1466" s="42" t="s">
        <v>3898</v>
      </c>
      <c r="D1466" s="10" t="s">
        <v>2946</v>
      </c>
      <c r="E1466" s="10" t="s">
        <v>2</v>
      </c>
      <c r="F1466" s="1" t="s">
        <v>312</v>
      </c>
      <c r="G1466" s="1" t="s">
        <v>1314</v>
      </c>
      <c r="J1466" s="27"/>
      <c r="K1466" s="27"/>
      <c r="L1466" s="27"/>
      <c r="M1466" s="27"/>
      <c r="N1466" s="8"/>
      <c r="O1466" s="12" t="s">
        <v>755</v>
      </c>
      <c r="P1466" s="1">
        <v>61</v>
      </c>
      <c r="W1466" s="13"/>
      <c r="X1466" s="13"/>
      <c r="Y1466" s="20">
        <v>122065.59999999999</v>
      </c>
      <c r="AC1466" s="82"/>
      <c r="AD1466" s="12" t="s">
        <v>864</v>
      </c>
      <c r="AE1466" s="39" t="str">
        <f t="shared" si="181"/>
        <v>6331,6332</v>
      </c>
      <c r="AF1466" s="12"/>
      <c r="AG1466" s="29"/>
      <c r="AH1466" s="29"/>
      <c r="AI1466" s="12"/>
      <c r="AJ1466" s="12"/>
      <c r="AK1466" s="12"/>
      <c r="AL1466" s="12"/>
      <c r="AM1466" s="12"/>
      <c r="AN1466" s="12" t="s">
        <v>2833</v>
      </c>
      <c r="AO1466" s="12"/>
      <c r="AP1466" s="12"/>
      <c r="AQ1466" s="8"/>
      <c r="AR1466" s="34"/>
      <c r="AS1466" s="34"/>
      <c r="AT1466" s="85"/>
      <c r="AU1466" s="12" t="s">
        <v>1945</v>
      </c>
      <c r="AW1466" s="39">
        <v>5</v>
      </c>
      <c r="AX1466" s="12">
        <f>VLOOKUP(AW1466,색인!$N$14:$O$19,2,FALSE)</f>
        <v>3</v>
      </c>
      <c r="AY1466" s="32" t="str">
        <f>"T"&amp;O1466&amp;"_"&amp;AX1466&amp;"옵션_"&amp;VLOOKUP(E1466,색인!$J$25:$K$29,2,FALSE)</f>
        <v>T6_3옵션_장신구</v>
      </c>
      <c r="AZ1466" s="32">
        <f>VLOOKUP(G1466,색인!$J$32:$K$45,2,FALSE)</f>
        <v>4</v>
      </c>
      <c r="BA1466" s="32" t="str">
        <f>_xlfn.IFNA(VLOOKUP(AY1466,표1[[검색용]:[OptionGroupIndex'[']22]],EquipItemTable!AZ1466,FALSE),"옵션고정안함")</f>
        <v>6331,6332</v>
      </c>
    </row>
    <row r="1467" spans="1:53" s="1" customFormat="1" ht="12" x14ac:dyDescent="0.2">
      <c r="A1467" s="10" t="s">
        <v>1269</v>
      </c>
      <c r="B1467" s="39">
        <v>80407</v>
      </c>
      <c r="C1467" s="42" t="s">
        <v>3899</v>
      </c>
      <c r="D1467" s="10" t="s">
        <v>2946</v>
      </c>
      <c r="E1467" s="10" t="s">
        <v>2</v>
      </c>
      <c r="F1467" s="1" t="s">
        <v>312</v>
      </c>
      <c r="G1467" s="1" t="s">
        <v>1314</v>
      </c>
      <c r="J1467" s="27"/>
      <c r="K1467" s="27"/>
      <c r="L1467" s="27"/>
      <c r="M1467" s="27"/>
      <c r="N1467" s="8"/>
      <c r="O1467" s="12" t="s">
        <v>747</v>
      </c>
      <c r="P1467" s="1">
        <v>61</v>
      </c>
      <c r="W1467" s="13"/>
      <c r="X1467" s="13"/>
      <c r="Y1467" s="20">
        <v>122065.59999999999</v>
      </c>
      <c r="AC1467" s="82"/>
      <c r="AD1467" s="12" t="s">
        <v>864</v>
      </c>
      <c r="AE1467" s="39" t="str">
        <f t="shared" si="181"/>
        <v>6331,6332</v>
      </c>
      <c r="AF1467" s="12"/>
      <c r="AG1467" s="29"/>
      <c r="AH1467" s="29"/>
      <c r="AI1467" s="12"/>
      <c r="AJ1467" s="12"/>
      <c r="AK1467" s="12"/>
      <c r="AL1467" s="12"/>
      <c r="AM1467" s="12"/>
      <c r="AN1467" s="12" t="s">
        <v>1222</v>
      </c>
      <c r="AO1467" s="12"/>
      <c r="AP1467" s="12"/>
      <c r="AQ1467" s="8"/>
      <c r="AR1467" s="34"/>
      <c r="AS1467" s="34"/>
      <c r="AT1467" s="85"/>
      <c r="AU1467" s="12" t="s">
        <v>1945</v>
      </c>
      <c r="AW1467" s="39">
        <v>5</v>
      </c>
      <c r="AX1467" s="12">
        <f>VLOOKUP(AW1467,색인!$N$14:$O$19,2,FALSE)</f>
        <v>3</v>
      </c>
      <c r="AY1467" s="32" t="str">
        <f>"T"&amp;O1467&amp;"_"&amp;AX1467&amp;"옵션_"&amp;VLOOKUP(E1467,색인!$J$25:$K$29,2,FALSE)</f>
        <v>T6_3옵션_장신구</v>
      </c>
      <c r="AZ1467" s="32">
        <f>VLOOKUP(G1467,색인!$J$32:$K$45,2,FALSE)</f>
        <v>4</v>
      </c>
      <c r="BA1467" s="32" t="str">
        <f>_xlfn.IFNA(VLOOKUP(AY1467,표1[[검색용]:[OptionGroupIndex'[']22]],EquipItemTable!AZ1467,FALSE),"옵션고정안함")</f>
        <v>6331,6332</v>
      </c>
    </row>
    <row r="1468" spans="1:53" s="1" customFormat="1" ht="12" x14ac:dyDescent="0.2">
      <c r="A1468" s="10" t="s">
        <v>1270</v>
      </c>
      <c r="B1468" s="39">
        <v>80408</v>
      </c>
      <c r="C1468" s="42" t="s">
        <v>3900</v>
      </c>
      <c r="D1468" s="10" t="s">
        <v>2946</v>
      </c>
      <c r="E1468" s="10" t="s">
        <v>2</v>
      </c>
      <c r="F1468" s="1" t="s">
        <v>312</v>
      </c>
      <c r="G1468" s="1" t="s">
        <v>1314</v>
      </c>
      <c r="J1468" s="27"/>
      <c r="K1468" s="27"/>
      <c r="L1468" s="27"/>
      <c r="M1468" s="27"/>
      <c r="N1468" s="8"/>
      <c r="O1468" s="12" t="s">
        <v>747</v>
      </c>
      <c r="P1468" s="1">
        <v>61</v>
      </c>
      <c r="W1468" s="13"/>
      <c r="X1468" s="13"/>
      <c r="Y1468" s="20">
        <v>122065.59999999999</v>
      </c>
      <c r="AC1468" s="82"/>
      <c r="AD1468" s="12" t="s">
        <v>864</v>
      </c>
      <c r="AE1468" s="39" t="str">
        <f t="shared" si="181"/>
        <v>6331,6332</v>
      </c>
      <c r="AF1468" s="12"/>
      <c r="AG1468" s="29"/>
      <c r="AH1468" s="29"/>
      <c r="AI1468" s="12"/>
      <c r="AJ1468" s="12"/>
      <c r="AK1468" s="12"/>
      <c r="AL1468" s="12"/>
      <c r="AM1468" s="12"/>
      <c r="AN1468" s="12" t="s">
        <v>1213</v>
      </c>
      <c r="AO1468" s="12"/>
      <c r="AP1468" s="12"/>
      <c r="AQ1468" s="8"/>
      <c r="AR1468" s="34"/>
      <c r="AS1468" s="34"/>
      <c r="AT1468" s="85"/>
      <c r="AU1468" s="12" t="s">
        <v>1945</v>
      </c>
      <c r="AW1468" s="39">
        <v>5</v>
      </c>
      <c r="AX1468" s="12">
        <f>VLOOKUP(AW1468,색인!$N$14:$O$19,2,FALSE)</f>
        <v>3</v>
      </c>
      <c r="AY1468" s="32" t="str">
        <f>"T"&amp;O1468&amp;"_"&amp;AX1468&amp;"옵션_"&amp;VLOOKUP(E1468,색인!$J$25:$K$29,2,FALSE)</f>
        <v>T6_3옵션_장신구</v>
      </c>
      <c r="AZ1468" s="32">
        <f>VLOOKUP(G1468,색인!$J$32:$K$45,2,FALSE)</f>
        <v>4</v>
      </c>
      <c r="BA1468" s="32" t="str">
        <f>_xlfn.IFNA(VLOOKUP(AY1468,표1[[검색용]:[OptionGroupIndex'[']22]],EquipItemTable!AZ1468,FALSE),"옵션고정안함")</f>
        <v>6331,6332</v>
      </c>
    </row>
    <row r="1469" spans="1:53" s="1" customFormat="1" ht="12" x14ac:dyDescent="0.2">
      <c r="A1469" s="10" t="s">
        <v>1271</v>
      </c>
      <c r="B1469" s="39">
        <v>80409</v>
      </c>
      <c r="C1469" s="42" t="s">
        <v>3901</v>
      </c>
      <c r="D1469" s="10" t="s">
        <v>2946</v>
      </c>
      <c r="E1469" s="10" t="s">
        <v>2</v>
      </c>
      <c r="F1469" s="1" t="s">
        <v>312</v>
      </c>
      <c r="G1469" s="1" t="s">
        <v>1314</v>
      </c>
      <c r="J1469" s="27"/>
      <c r="K1469" s="27"/>
      <c r="L1469" s="27"/>
      <c r="M1469" s="27"/>
      <c r="N1469" s="8"/>
      <c r="O1469" s="12" t="s">
        <v>747</v>
      </c>
      <c r="P1469" s="1">
        <v>61</v>
      </c>
      <c r="W1469" s="13"/>
      <c r="X1469" s="13"/>
      <c r="Y1469" s="20">
        <v>122065.59999999999</v>
      </c>
      <c r="AC1469" s="82"/>
      <c r="AD1469" s="12" t="s">
        <v>864</v>
      </c>
      <c r="AE1469" s="39" t="str">
        <f t="shared" si="181"/>
        <v>6331,6332</v>
      </c>
      <c r="AF1469" s="12"/>
      <c r="AG1469" s="29"/>
      <c r="AH1469" s="29"/>
      <c r="AI1469" s="12"/>
      <c r="AJ1469" s="12"/>
      <c r="AK1469" s="12"/>
      <c r="AL1469" s="12"/>
      <c r="AM1469" s="12"/>
      <c r="AN1469" s="12" t="s">
        <v>1214</v>
      </c>
      <c r="AO1469" s="12"/>
      <c r="AP1469" s="12"/>
      <c r="AQ1469" s="8"/>
      <c r="AR1469" s="34"/>
      <c r="AS1469" s="34"/>
      <c r="AT1469" s="85"/>
      <c r="AU1469" s="12" t="s">
        <v>1945</v>
      </c>
      <c r="AW1469" s="39">
        <v>5</v>
      </c>
      <c r="AX1469" s="12">
        <f>VLOOKUP(AW1469,색인!$N$14:$O$19,2,FALSE)</f>
        <v>3</v>
      </c>
      <c r="AY1469" s="32" t="str">
        <f>"T"&amp;O1469&amp;"_"&amp;AX1469&amp;"옵션_"&amp;VLOOKUP(E1469,색인!$J$25:$K$29,2,FALSE)</f>
        <v>T6_3옵션_장신구</v>
      </c>
      <c r="AZ1469" s="32">
        <f>VLOOKUP(G1469,색인!$J$32:$K$45,2,FALSE)</f>
        <v>4</v>
      </c>
      <c r="BA1469" s="32" t="str">
        <f>_xlfn.IFNA(VLOOKUP(AY1469,표1[[검색용]:[OptionGroupIndex'[']22]],EquipItemTable!AZ1469,FALSE),"옵션고정안함")</f>
        <v>6331,6332</v>
      </c>
    </row>
    <row r="1470" spans="1:53" s="1" customFormat="1" ht="12" x14ac:dyDescent="0.2">
      <c r="A1470" s="10" t="s">
        <v>1272</v>
      </c>
      <c r="B1470" s="39">
        <v>80410</v>
      </c>
      <c r="C1470" s="42" t="s">
        <v>3902</v>
      </c>
      <c r="D1470" s="10" t="s">
        <v>2946</v>
      </c>
      <c r="E1470" s="10" t="s">
        <v>2</v>
      </c>
      <c r="F1470" s="1" t="s">
        <v>312</v>
      </c>
      <c r="G1470" s="1" t="s">
        <v>1314</v>
      </c>
      <c r="J1470" s="27"/>
      <c r="K1470" s="27"/>
      <c r="L1470" s="27"/>
      <c r="M1470" s="27"/>
      <c r="N1470" s="8"/>
      <c r="O1470" s="12" t="s">
        <v>747</v>
      </c>
      <c r="P1470" s="1">
        <v>61</v>
      </c>
      <c r="W1470" s="13"/>
      <c r="X1470" s="13"/>
      <c r="Y1470" s="20">
        <v>122065.59999999999</v>
      </c>
      <c r="AC1470" s="82"/>
      <c r="AD1470" s="12" t="s">
        <v>864</v>
      </c>
      <c r="AE1470" s="39" t="str">
        <f t="shared" si="181"/>
        <v>6331,6332</v>
      </c>
      <c r="AF1470" s="12"/>
      <c r="AG1470" s="29"/>
      <c r="AH1470" s="29"/>
      <c r="AI1470" s="12"/>
      <c r="AJ1470" s="12"/>
      <c r="AK1470" s="12"/>
      <c r="AL1470" s="12"/>
      <c r="AM1470" s="12"/>
      <c r="AN1470" s="12" t="s">
        <v>1215</v>
      </c>
      <c r="AO1470" s="12"/>
      <c r="AP1470" s="12"/>
      <c r="AQ1470" s="8"/>
      <c r="AR1470" s="34"/>
      <c r="AS1470" s="34"/>
      <c r="AT1470" s="85"/>
      <c r="AU1470" s="12" t="s">
        <v>1945</v>
      </c>
      <c r="AW1470" s="39">
        <v>5</v>
      </c>
      <c r="AX1470" s="12">
        <f>VLOOKUP(AW1470,색인!$N$14:$O$19,2,FALSE)</f>
        <v>3</v>
      </c>
      <c r="AY1470" s="32" t="str">
        <f>"T"&amp;O1470&amp;"_"&amp;AX1470&amp;"옵션_"&amp;VLOOKUP(E1470,색인!$J$25:$K$29,2,FALSE)</f>
        <v>T6_3옵션_장신구</v>
      </c>
      <c r="AZ1470" s="32">
        <f>VLOOKUP(G1470,색인!$J$32:$K$45,2,FALSE)</f>
        <v>4</v>
      </c>
      <c r="BA1470" s="32" t="str">
        <f>_xlfn.IFNA(VLOOKUP(AY1470,표1[[검색용]:[OptionGroupIndex'[']22]],EquipItemTable!AZ1470,FALSE),"옵션고정안함")</f>
        <v>6331,6332</v>
      </c>
    </row>
    <row r="1471" spans="1:53" s="1" customFormat="1" ht="12" x14ac:dyDescent="0.2">
      <c r="A1471" s="10" t="s">
        <v>1273</v>
      </c>
      <c r="B1471" s="39">
        <v>80411</v>
      </c>
      <c r="C1471" s="42" t="s">
        <v>3903</v>
      </c>
      <c r="D1471" s="10" t="s">
        <v>2946</v>
      </c>
      <c r="E1471" s="10" t="s">
        <v>2</v>
      </c>
      <c r="F1471" s="1" t="s">
        <v>312</v>
      </c>
      <c r="G1471" s="1" t="s">
        <v>1314</v>
      </c>
      <c r="J1471" s="27"/>
      <c r="K1471" s="27"/>
      <c r="L1471" s="27"/>
      <c r="M1471" s="27"/>
      <c r="N1471" s="8"/>
      <c r="O1471" s="12" t="s">
        <v>747</v>
      </c>
      <c r="P1471" s="1">
        <v>61</v>
      </c>
      <c r="W1471" s="13"/>
      <c r="X1471" s="13"/>
      <c r="Y1471" s="20">
        <v>122065.59999999999</v>
      </c>
      <c r="AC1471" s="82"/>
      <c r="AD1471" s="12" t="s">
        <v>864</v>
      </c>
      <c r="AE1471" s="39" t="str">
        <f t="shared" si="181"/>
        <v>6331,6332</v>
      </c>
      <c r="AF1471" s="12"/>
      <c r="AG1471" s="29"/>
      <c r="AH1471" s="29"/>
      <c r="AI1471" s="12"/>
      <c r="AJ1471" s="12"/>
      <c r="AK1471" s="12"/>
      <c r="AL1471" s="12"/>
      <c r="AM1471" s="12"/>
      <c r="AN1471" s="12" t="s">
        <v>1216</v>
      </c>
      <c r="AO1471" s="12"/>
      <c r="AP1471" s="12"/>
      <c r="AQ1471" s="8"/>
      <c r="AR1471" s="34"/>
      <c r="AS1471" s="34"/>
      <c r="AT1471" s="85"/>
      <c r="AU1471" s="12" t="s">
        <v>1945</v>
      </c>
      <c r="AW1471" s="39">
        <v>5</v>
      </c>
      <c r="AX1471" s="12">
        <f>VLOOKUP(AW1471,색인!$N$14:$O$19,2,FALSE)</f>
        <v>3</v>
      </c>
      <c r="AY1471" s="32" t="str">
        <f>"T"&amp;O1471&amp;"_"&amp;AX1471&amp;"옵션_"&amp;VLOOKUP(E1471,색인!$J$25:$K$29,2,FALSE)</f>
        <v>T6_3옵션_장신구</v>
      </c>
      <c r="AZ1471" s="32">
        <f>VLOOKUP(G1471,색인!$J$32:$K$45,2,FALSE)</f>
        <v>4</v>
      </c>
      <c r="BA1471" s="32" t="str">
        <f>_xlfn.IFNA(VLOOKUP(AY1471,표1[[검색용]:[OptionGroupIndex'[']22]],EquipItemTable!AZ1471,FALSE),"옵션고정안함")</f>
        <v>6331,6332</v>
      </c>
    </row>
    <row r="1472" spans="1:53" s="1" customFormat="1" ht="12" x14ac:dyDescent="0.2">
      <c r="A1472" s="10" t="s">
        <v>1549</v>
      </c>
      <c r="B1472" s="39">
        <v>380001</v>
      </c>
      <c r="C1472" s="42" t="s">
        <v>3904</v>
      </c>
      <c r="D1472" s="10" t="s">
        <v>2946</v>
      </c>
      <c r="E1472" s="10" t="s">
        <v>2</v>
      </c>
      <c r="F1472" s="1" t="s">
        <v>312</v>
      </c>
      <c r="G1472" s="1" t="s">
        <v>1314</v>
      </c>
      <c r="J1472" s="27"/>
      <c r="K1472" s="27"/>
      <c r="L1472" s="27"/>
      <c r="M1472" s="27"/>
      <c r="N1472" s="8"/>
      <c r="O1472" s="12" t="s">
        <v>755</v>
      </c>
      <c r="P1472" s="1">
        <v>61</v>
      </c>
      <c r="W1472" s="13"/>
      <c r="X1472" s="13"/>
      <c r="Y1472" s="20">
        <v>122065.59999999999</v>
      </c>
      <c r="AC1472" s="82"/>
      <c r="AD1472" s="12" t="s">
        <v>864</v>
      </c>
      <c r="AE1472" s="39" t="str">
        <f t="shared" si="181"/>
        <v>6331,6332</v>
      </c>
      <c r="AF1472" s="12"/>
      <c r="AG1472" s="29"/>
      <c r="AH1472" s="29"/>
      <c r="AI1472" s="12"/>
      <c r="AJ1472" s="12"/>
      <c r="AK1472" s="12"/>
      <c r="AL1472" s="12"/>
      <c r="AM1472" s="12"/>
      <c r="AN1472" s="12" t="s">
        <v>1200</v>
      </c>
      <c r="AO1472" s="12"/>
      <c r="AP1472" s="12"/>
      <c r="AQ1472" s="8"/>
      <c r="AR1472" s="34"/>
      <c r="AS1472" s="34"/>
      <c r="AT1472" s="85"/>
      <c r="AU1472" s="12" t="s">
        <v>1945</v>
      </c>
      <c r="AW1472" s="39">
        <v>5</v>
      </c>
      <c r="AX1472" s="12">
        <f>VLOOKUP(AW1472,색인!$N$14:$O$19,2,FALSE)</f>
        <v>3</v>
      </c>
      <c r="AY1472" s="32" t="str">
        <f>"T"&amp;O1472&amp;"_"&amp;AX1472&amp;"옵션_"&amp;VLOOKUP(E1472,색인!$J$25:$K$29,2,FALSE)</f>
        <v>T6_3옵션_장신구</v>
      </c>
      <c r="AZ1472" s="32">
        <f>VLOOKUP(G1472,색인!$J$32:$K$45,2,FALSE)</f>
        <v>4</v>
      </c>
      <c r="BA1472" s="32" t="str">
        <f>_xlfn.IFNA(VLOOKUP(AY1472,표1[[검색용]:[OptionGroupIndex'[']22]],EquipItemTable!AZ1472,FALSE),"옵션고정안함")</f>
        <v>6331,6332</v>
      </c>
    </row>
    <row r="1473" spans="1:53" s="1" customFormat="1" ht="12" x14ac:dyDescent="0.2">
      <c r="A1473" s="13" t="s">
        <v>1550</v>
      </c>
      <c r="B1473" s="39">
        <v>380002</v>
      </c>
      <c r="C1473" s="42" t="s">
        <v>3905</v>
      </c>
      <c r="D1473" s="10" t="s">
        <v>2946</v>
      </c>
      <c r="E1473" s="10" t="s">
        <v>2</v>
      </c>
      <c r="F1473" s="1" t="s">
        <v>312</v>
      </c>
      <c r="G1473" s="1" t="s">
        <v>1314</v>
      </c>
      <c r="I1473" s="13"/>
      <c r="J1473" s="27"/>
      <c r="K1473" s="27"/>
      <c r="L1473" s="27"/>
      <c r="M1473" s="27"/>
      <c r="N1473" s="81"/>
      <c r="O1473" s="32">
        <v>6</v>
      </c>
      <c r="P1473" s="23">
        <v>61</v>
      </c>
      <c r="Q1473" s="13"/>
      <c r="R1473" s="13"/>
      <c r="S1473" s="13"/>
      <c r="T1473" s="13"/>
      <c r="U1473" s="13"/>
      <c r="V1473" s="13"/>
      <c r="W1473" s="13"/>
      <c r="X1473" s="13"/>
      <c r="Y1473" s="84">
        <v>127282</v>
      </c>
      <c r="Z1473" s="13"/>
      <c r="AA1473" s="13"/>
      <c r="AB1473" s="13"/>
      <c r="AC1473" s="81"/>
      <c r="AD1473" s="23" t="s">
        <v>52</v>
      </c>
      <c r="AE1473" s="39">
        <v>5</v>
      </c>
      <c r="AF1473" s="12"/>
      <c r="AG1473" s="29"/>
      <c r="AH1473" s="29"/>
      <c r="AI1473" s="13"/>
      <c r="AJ1473" s="13"/>
      <c r="AK1473" s="13"/>
      <c r="AL1473" s="13"/>
      <c r="AM1473" s="13"/>
      <c r="AN1473" s="13">
        <v>102</v>
      </c>
      <c r="AO1473" s="13"/>
      <c r="AP1473" s="13"/>
      <c r="AQ1473" s="81"/>
      <c r="AR1473" s="83"/>
      <c r="AS1473" s="83"/>
      <c r="AT1473" s="85"/>
      <c r="AU1473" s="12" t="s">
        <v>1936</v>
      </c>
      <c r="AW1473" s="39">
        <v>6</v>
      </c>
      <c r="AX1473" s="12">
        <f>VLOOKUP(AW1473,색인!$N$14:$O$19,2,FALSE)</f>
        <v>4</v>
      </c>
      <c r="AY1473" s="32" t="str">
        <f>"T"&amp;O1473&amp;"_"&amp;AX1473&amp;"옵션_"&amp;VLOOKUP(E1473,색인!$J$25:$K$29,2,FALSE)</f>
        <v>T6_4옵션_장신구</v>
      </c>
      <c r="AZ1473" s="32">
        <f>VLOOKUP(G1473,색인!$J$32:$K$45,2,FALSE)</f>
        <v>4</v>
      </c>
      <c r="BA1473" s="32" t="str">
        <f>_xlfn.IFNA(VLOOKUP(AY1473,표1[[검색용]:[OptionGroupIndex'[']22]],EquipItemTable!AZ1473,FALSE),"옵션고정안함")</f>
        <v>6431,6432</v>
      </c>
    </row>
    <row r="1474" spans="1:53" s="27" customFormat="1" ht="12" x14ac:dyDescent="0.2">
      <c r="A1474" s="25" t="s">
        <v>1551</v>
      </c>
      <c r="B1474" s="39">
        <v>80412</v>
      </c>
      <c r="C1474" s="42" t="s">
        <v>3906</v>
      </c>
      <c r="D1474" s="26" t="s">
        <v>2946</v>
      </c>
      <c r="E1474" s="26" t="s">
        <v>2</v>
      </c>
      <c r="F1474" s="27" t="s">
        <v>312</v>
      </c>
      <c r="G1474" s="27" t="s">
        <v>1568</v>
      </c>
      <c r="N1474" s="8"/>
      <c r="O1474" s="29" t="s">
        <v>1338</v>
      </c>
      <c r="P1474" s="27">
        <v>71</v>
      </c>
      <c r="Y1474" s="27">
        <v>118931</v>
      </c>
      <c r="AB1474" s="28"/>
      <c r="AC1474" s="82"/>
      <c r="AD1474" s="29" t="s">
        <v>1377</v>
      </c>
      <c r="AE1474" s="29" t="s">
        <v>1337</v>
      </c>
      <c r="AF1474" s="29"/>
      <c r="AG1474" s="29"/>
      <c r="AH1474" s="29"/>
      <c r="AQ1474" s="85"/>
      <c r="AT1474" s="85"/>
      <c r="AU1474" s="29">
        <v>1001</v>
      </c>
      <c r="AW1474" s="39">
        <v>1</v>
      </c>
      <c r="AX1474" s="12"/>
      <c r="AY1474" s="32"/>
      <c r="AZ1474" s="32"/>
      <c r="BA1474" s="32"/>
    </row>
    <row r="1475" spans="1:53" s="27" customFormat="1" ht="12" x14ac:dyDescent="0.2">
      <c r="A1475" s="25" t="s">
        <v>1552</v>
      </c>
      <c r="B1475" s="39">
        <v>80413</v>
      </c>
      <c r="C1475" s="42" t="s">
        <v>3907</v>
      </c>
      <c r="D1475" s="26" t="s">
        <v>2946</v>
      </c>
      <c r="E1475" s="26" t="s">
        <v>2</v>
      </c>
      <c r="F1475" s="27" t="s">
        <v>312</v>
      </c>
      <c r="G1475" s="27" t="s">
        <v>1568</v>
      </c>
      <c r="N1475" s="8"/>
      <c r="O1475" s="29" t="s">
        <v>1338</v>
      </c>
      <c r="P1475" s="27">
        <v>71</v>
      </c>
      <c r="Y1475" s="27">
        <v>138391</v>
      </c>
      <c r="AB1475" s="28"/>
      <c r="AC1475" s="82"/>
      <c r="AD1475" s="29" t="s">
        <v>1377</v>
      </c>
      <c r="AE1475" s="92" t="str">
        <f t="shared" ref="AE1475:AE1484" si="182">BA1475</f>
        <v>7131,7132</v>
      </c>
      <c r="AF1475" s="29"/>
      <c r="AG1475" s="29"/>
      <c r="AH1475" s="29"/>
      <c r="AQ1475" s="85"/>
      <c r="AT1475" s="85"/>
      <c r="AU1475" s="29" t="s">
        <v>1939</v>
      </c>
      <c r="AW1475" s="39">
        <v>2</v>
      </c>
      <c r="AX1475" s="12">
        <f>VLOOKUP(AW1475,색인!$N$14:$O$19,2,FALSE)</f>
        <v>1</v>
      </c>
      <c r="AY1475" s="32" t="str">
        <f>"T"&amp;O1475&amp;"_"&amp;AX1475&amp;"옵션_"&amp;VLOOKUP(E1475,색인!$J$25:$K$29,2,FALSE)</f>
        <v>T7_1옵션_장신구</v>
      </c>
      <c r="AZ1475" s="32">
        <f>VLOOKUP(G1475,색인!$J$32:$K$45,2,FALSE)</f>
        <v>4</v>
      </c>
      <c r="BA1475" s="32" t="str">
        <f>_xlfn.IFNA(VLOOKUP(AY1475,표1[[검색용]:[OptionGroupIndex'[']22]],EquipItemTable!AZ1475,FALSE),"옵션고정안함")</f>
        <v>7131,7132</v>
      </c>
    </row>
    <row r="1476" spans="1:53" s="27" customFormat="1" ht="12" x14ac:dyDescent="0.2">
      <c r="A1476" s="25" t="s">
        <v>1553</v>
      </c>
      <c r="B1476" s="39">
        <v>80414</v>
      </c>
      <c r="C1476" s="42" t="s">
        <v>3908</v>
      </c>
      <c r="D1476" s="26" t="s">
        <v>2946</v>
      </c>
      <c r="E1476" s="26" t="s">
        <v>2</v>
      </c>
      <c r="F1476" s="27" t="s">
        <v>312</v>
      </c>
      <c r="G1476" s="27" t="s">
        <v>1568</v>
      </c>
      <c r="N1476" s="8"/>
      <c r="O1476" s="29" t="s">
        <v>1338</v>
      </c>
      <c r="P1476" s="27">
        <v>71</v>
      </c>
      <c r="Y1476" s="27">
        <v>146209</v>
      </c>
      <c r="AB1476" s="28"/>
      <c r="AC1476" s="82"/>
      <c r="AD1476" s="29" t="s">
        <v>1377</v>
      </c>
      <c r="AE1476" s="92" t="str">
        <f t="shared" si="182"/>
        <v>7231,7232</v>
      </c>
      <c r="AF1476" s="29"/>
      <c r="AG1476" s="29"/>
      <c r="AH1476" s="29"/>
      <c r="AQ1476" s="85"/>
      <c r="AT1476" s="85"/>
      <c r="AU1476" s="29" t="s">
        <v>1934</v>
      </c>
      <c r="AW1476" s="39">
        <v>3</v>
      </c>
      <c r="AX1476" s="12">
        <f>VLOOKUP(AW1476,색인!$N$14:$O$19,2,FALSE)</f>
        <v>2</v>
      </c>
      <c r="AY1476" s="32" t="str">
        <f>"T"&amp;O1476&amp;"_"&amp;AX1476&amp;"옵션_"&amp;VLOOKUP(E1476,색인!$J$25:$K$29,2,FALSE)</f>
        <v>T7_2옵션_장신구</v>
      </c>
      <c r="AZ1476" s="32">
        <f>VLOOKUP(G1476,색인!$J$32:$K$45,2,FALSE)</f>
        <v>4</v>
      </c>
      <c r="BA1476" s="32" t="str">
        <f>_xlfn.IFNA(VLOOKUP(AY1476,표1[[검색용]:[OptionGroupIndex'[']22]],EquipItemTable!AZ1476,FALSE),"옵션고정안함")</f>
        <v>7231,7232</v>
      </c>
    </row>
    <row r="1477" spans="1:53" s="27" customFormat="1" ht="12" x14ac:dyDescent="0.2">
      <c r="A1477" s="25" t="s">
        <v>1554</v>
      </c>
      <c r="B1477" s="39">
        <v>80415</v>
      </c>
      <c r="C1477" s="42" t="s">
        <v>3909</v>
      </c>
      <c r="D1477" s="26" t="s">
        <v>2946</v>
      </c>
      <c r="E1477" s="26" t="s">
        <v>2</v>
      </c>
      <c r="F1477" s="27" t="s">
        <v>312</v>
      </c>
      <c r="G1477" s="27" t="s">
        <v>1568</v>
      </c>
      <c r="N1477" s="8"/>
      <c r="O1477" s="29" t="s">
        <v>1338</v>
      </c>
      <c r="P1477" s="27">
        <v>71</v>
      </c>
      <c r="Y1477" s="27">
        <v>159780</v>
      </c>
      <c r="AB1477" s="28"/>
      <c r="AC1477" s="82"/>
      <c r="AD1477" s="29" t="s">
        <v>1377</v>
      </c>
      <c r="AE1477" s="92" t="str">
        <f t="shared" si="182"/>
        <v>7331,7332</v>
      </c>
      <c r="AF1477" s="29"/>
      <c r="AG1477" s="29"/>
      <c r="AH1477" s="29"/>
      <c r="AQ1477" s="85"/>
      <c r="AT1477" s="85"/>
      <c r="AU1477" s="29" t="s">
        <v>1935</v>
      </c>
      <c r="AW1477" s="39">
        <v>4</v>
      </c>
      <c r="AX1477" s="12">
        <f>VLOOKUP(AW1477,색인!$N$14:$O$19,2,FALSE)</f>
        <v>3</v>
      </c>
      <c r="AY1477" s="32" t="str">
        <f>"T"&amp;O1477&amp;"_"&amp;AX1477&amp;"옵션_"&amp;VLOOKUP(E1477,색인!$J$25:$K$29,2,FALSE)</f>
        <v>T7_3옵션_장신구</v>
      </c>
      <c r="AZ1477" s="32">
        <f>VLOOKUP(G1477,색인!$J$32:$K$45,2,FALSE)</f>
        <v>4</v>
      </c>
      <c r="BA1477" s="32" t="str">
        <f>_xlfn.IFNA(VLOOKUP(AY1477,표1[[검색용]:[OptionGroupIndex'[']22]],EquipItemTable!AZ1477,FALSE),"옵션고정안함")</f>
        <v>7331,7332</v>
      </c>
    </row>
    <row r="1478" spans="1:53" s="27" customFormat="1" ht="12" x14ac:dyDescent="0.2">
      <c r="A1478" s="25" t="s">
        <v>1555</v>
      </c>
      <c r="B1478" s="39">
        <v>80416</v>
      </c>
      <c r="C1478" s="42" t="s">
        <v>3898</v>
      </c>
      <c r="D1478" s="26" t="s">
        <v>2946</v>
      </c>
      <c r="E1478" s="26" t="s">
        <v>2</v>
      </c>
      <c r="F1478" s="27" t="s">
        <v>312</v>
      </c>
      <c r="G1478" s="27" t="s">
        <v>1568</v>
      </c>
      <c r="N1478" s="8"/>
      <c r="O1478" s="29" t="s">
        <v>1338</v>
      </c>
      <c r="P1478" s="27">
        <v>71</v>
      </c>
      <c r="Y1478" s="27">
        <v>175758</v>
      </c>
      <c r="AB1478" s="28"/>
      <c r="AC1478" s="82"/>
      <c r="AD1478" s="29" t="s">
        <v>1377</v>
      </c>
      <c r="AE1478" s="92" t="str">
        <f t="shared" si="182"/>
        <v>7331,7332</v>
      </c>
      <c r="AF1478" s="29"/>
      <c r="AG1478" s="29"/>
      <c r="AH1478" s="29"/>
      <c r="AN1478" s="27">
        <v>103</v>
      </c>
      <c r="AQ1478" s="85"/>
      <c r="AT1478" s="85"/>
      <c r="AU1478" s="29" t="s">
        <v>1945</v>
      </c>
      <c r="AW1478" s="39">
        <v>5</v>
      </c>
      <c r="AX1478" s="12">
        <f>VLOOKUP(AW1478,색인!$N$14:$O$19,2,FALSE)</f>
        <v>3</v>
      </c>
      <c r="AY1478" s="32" t="str">
        <f>"T"&amp;O1478&amp;"_"&amp;AX1478&amp;"옵션_"&amp;VLOOKUP(E1478,색인!$J$25:$K$29,2,FALSE)</f>
        <v>T7_3옵션_장신구</v>
      </c>
      <c r="AZ1478" s="32">
        <f>VLOOKUP(G1478,색인!$J$32:$K$45,2,FALSE)</f>
        <v>4</v>
      </c>
      <c r="BA1478" s="32" t="str">
        <f>_xlfn.IFNA(VLOOKUP(AY1478,표1[[검색용]:[OptionGroupIndex'[']22]],EquipItemTable!AZ1478,FALSE),"옵션고정안함")</f>
        <v>7331,7332</v>
      </c>
    </row>
    <row r="1479" spans="1:53" s="27" customFormat="1" ht="12" x14ac:dyDescent="0.2">
      <c r="A1479" s="25" t="s">
        <v>1556</v>
      </c>
      <c r="B1479" s="39">
        <v>80417</v>
      </c>
      <c r="C1479" s="42" t="s">
        <v>3900</v>
      </c>
      <c r="D1479" s="26" t="s">
        <v>2946</v>
      </c>
      <c r="E1479" s="26" t="s">
        <v>2</v>
      </c>
      <c r="F1479" s="27" t="s">
        <v>312</v>
      </c>
      <c r="G1479" s="27" t="s">
        <v>1568</v>
      </c>
      <c r="N1479" s="8"/>
      <c r="O1479" s="29" t="s">
        <v>1338</v>
      </c>
      <c r="P1479" s="27">
        <v>71</v>
      </c>
      <c r="Y1479" s="27">
        <v>175758</v>
      </c>
      <c r="AB1479" s="28"/>
      <c r="AC1479" s="82"/>
      <c r="AD1479" s="29" t="s">
        <v>1377</v>
      </c>
      <c r="AE1479" s="92" t="str">
        <f t="shared" si="182"/>
        <v>7331,7332</v>
      </c>
      <c r="AF1479" s="29"/>
      <c r="AG1479" s="29"/>
      <c r="AH1479" s="29"/>
      <c r="AN1479" s="27">
        <v>202</v>
      </c>
      <c r="AQ1479" s="85"/>
      <c r="AT1479" s="85"/>
      <c r="AU1479" s="29" t="s">
        <v>1945</v>
      </c>
      <c r="AW1479" s="39">
        <v>5</v>
      </c>
      <c r="AX1479" s="12">
        <f>VLOOKUP(AW1479,색인!$N$14:$O$19,2,FALSE)</f>
        <v>3</v>
      </c>
      <c r="AY1479" s="32" t="str">
        <f>"T"&amp;O1479&amp;"_"&amp;AX1479&amp;"옵션_"&amp;VLOOKUP(E1479,색인!$J$25:$K$29,2,FALSE)</f>
        <v>T7_3옵션_장신구</v>
      </c>
      <c r="AZ1479" s="32">
        <f>VLOOKUP(G1479,색인!$J$32:$K$45,2,FALSE)</f>
        <v>4</v>
      </c>
      <c r="BA1479" s="32" t="str">
        <f>_xlfn.IFNA(VLOOKUP(AY1479,표1[[검색용]:[OptionGroupIndex'[']22]],EquipItemTable!AZ1479,FALSE),"옵션고정안함")</f>
        <v>7331,7332</v>
      </c>
    </row>
    <row r="1480" spans="1:53" s="27" customFormat="1" ht="12" x14ac:dyDescent="0.2">
      <c r="A1480" s="25" t="s">
        <v>1557</v>
      </c>
      <c r="B1480" s="39">
        <v>80418</v>
      </c>
      <c r="C1480" s="42" t="s">
        <v>3901</v>
      </c>
      <c r="D1480" s="26" t="s">
        <v>2946</v>
      </c>
      <c r="E1480" s="26" t="s">
        <v>2</v>
      </c>
      <c r="F1480" s="27" t="s">
        <v>312</v>
      </c>
      <c r="G1480" s="27" t="s">
        <v>1568</v>
      </c>
      <c r="N1480" s="8"/>
      <c r="O1480" s="29" t="s">
        <v>1338</v>
      </c>
      <c r="P1480" s="27">
        <v>71</v>
      </c>
      <c r="Y1480" s="27">
        <v>175758</v>
      </c>
      <c r="AB1480" s="28"/>
      <c r="AC1480" s="82"/>
      <c r="AD1480" s="29" t="s">
        <v>1377</v>
      </c>
      <c r="AE1480" s="92" t="str">
        <f t="shared" si="182"/>
        <v>7331,7332</v>
      </c>
      <c r="AF1480" s="29"/>
      <c r="AG1480" s="29"/>
      <c r="AH1480" s="29"/>
      <c r="AN1480" s="27">
        <v>203</v>
      </c>
      <c r="AQ1480" s="85"/>
      <c r="AT1480" s="85"/>
      <c r="AU1480" s="29" t="s">
        <v>1945</v>
      </c>
      <c r="AW1480" s="39">
        <v>5</v>
      </c>
      <c r="AX1480" s="12">
        <f>VLOOKUP(AW1480,색인!$N$14:$O$19,2,FALSE)</f>
        <v>3</v>
      </c>
      <c r="AY1480" s="32" t="str">
        <f>"T"&amp;O1480&amp;"_"&amp;AX1480&amp;"옵션_"&amp;VLOOKUP(E1480,색인!$J$25:$K$29,2,FALSE)</f>
        <v>T7_3옵션_장신구</v>
      </c>
      <c r="AZ1480" s="32">
        <f>VLOOKUP(G1480,색인!$J$32:$K$45,2,FALSE)</f>
        <v>4</v>
      </c>
      <c r="BA1480" s="32" t="str">
        <f>_xlfn.IFNA(VLOOKUP(AY1480,표1[[검색용]:[OptionGroupIndex'[']22]],EquipItemTable!AZ1480,FALSE),"옵션고정안함")</f>
        <v>7331,7332</v>
      </c>
    </row>
    <row r="1481" spans="1:53" s="27" customFormat="1" ht="12" x14ac:dyDescent="0.2">
      <c r="A1481" s="25" t="s">
        <v>1558</v>
      </c>
      <c r="B1481" s="39">
        <v>80419</v>
      </c>
      <c r="C1481" s="42" t="s">
        <v>3902</v>
      </c>
      <c r="D1481" s="26" t="s">
        <v>2946</v>
      </c>
      <c r="E1481" s="26" t="s">
        <v>2</v>
      </c>
      <c r="F1481" s="27" t="s">
        <v>312</v>
      </c>
      <c r="G1481" s="27" t="s">
        <v>1568</v>
      </c>
      <c r="J1481" s="1"/>
      <c r="K1481" s="1"/>
      <c r="L1481" s="1"/>
      <c r="M1481" s="1"/>
      <c r="N1481" s="8"/>
      <c r="O1481" s="29" t="s">
        <v>1338</v>
      </c>
      <c r="P1481" s="27">
        <v>71</v>
      </c>
      <c r="Y1481" s="27">
        <v>175758</v>
      </c>
      <c r="AB1481" s="28"/>
      <c r="AC1481" s="82"/>
      <c r="AD1481" s="29" t="s">
        <v>1377</v>
      </c>
      <c r="AE1481" s="92" t="str">
        <f t="shared" si="182"/>
        <v>7331,7332</v>
      </c>
      <c r="AF1481" s="29"/>
      <c r="AG1481" s="12"/>
      <c r="AH1481" s="12"/>
      <c r="AN1481" s="27">
        <v>204</v>
      </c>
      <c r="AQ1481" s="85"/>
      <c r="AT1481" s="85"/>
      <c r="AU1481" s="29" t="s">
        <v>1945</v>
      </c>
      <c r="AW1481" s="39">
        <v>5</v>
      </c>
      <c r="AX1481" s="12">
        <f>VLOOKUP(AW1481,색인!$N$14:$O$19,2,FALSE)</f>
        <v>3</v>
      </c>
      <c r="AY1481" s="32" t="str">
        <f>"T"&amp;O1481&amp;"_"&amp;AX1481&amp;"옵션_"&amp;VLOOKUP(E1481,색인!$J$25:$K$29,2,FALSE)</f>
        <v>T7_3옵션_장신구</v>
      </c>
      <c r="AZ1481" s="32">
        <f>VLOOKUP(G1481,색인!$J$32:$K$45,2,FALSE)</f>
        <v>4</v>
      </c>
      <c r="BA1481" s="32" t="str">
        <f>_xlfn.IFNA(VLOOKUP(AY1481,표1[[검색용]:[OptionGroupIndex'[']22]],EquipItemTable!AZ1481,FALSE),"옵션고정안함")</f>
        <v>7331,7332</v>
      </c>
    </row>
    <row r="1482" spans="1:53" s="27" customFormat="1" ht="12" x14ac:dyDescent="0.2">
      <c r="A1482" s="25" t="s">
        <v>1559</v>
      </c>
      <c r="B1482" s="39">
        <v>80420</v>
      </c>
      <c r="C1482" s="42" t="s">
        <v>3903</v>
      </c>
      <c r="D1482" s="26" t="s">
        <v>2946</v>
      </c>
      <c r="E1482" s="26" t="s">
        <v>2</v>
      </c>
      <c r="F1482" s="27" t="s">
        <v>312</v>
      </c>
      <c r="G1482" s="27" t="s">
        <v>1568</v>
      </c>
      <c r="J1482" s="1"/>
      <c r="K1482" s="1"/>
      <c r="L1482" s="1"/>
      <c r="M1482" s="1"/>
      <c r="N1482" s="8"/>
      <c r="O1482" s="29" t="s">
        <v>1338</v>
      </c>
      <c r="P1482" s="27">
        <v>71</v>
      </c>
      <c r="Y1482" s="27">
        <v>175758</v>
      </c>
      <c r="AB1482" s="28"/>
      <c r="AC1482" s="82"/>
      <c r="AD1482" s="29" t="s">
        <v>1377</v>
      </c>
      <c r="AE1482" s="92" t="str">
        <f t="shared" si="182"/>
        <v>7331,7332</v>
      </c>
      <c r="AF1482" s="29"/>
      <c r="AG1482" s="12"/>
      <c r="AH1482" s="12"/>
      <c r="AN1482" s="27">
        <v>205</v>
      </c>
      <c r="AQ1482" s="85"/>
      <c r="AT1482" s="85"/>
      <c r="AU1482" s="29" t="s">
        <v>1945</v>
      </c>
      <c r="AW1482" s="39">
        <v>5</v>
      </c>
      <c r="AX1482" s="12">
        <f>VLOOKUP(AW1482,색인!$N$14:$O$19,2,FALSE)</f>
        <v>3</v>
      </c>
      <c r="AY1482" s="32" t="str">
        <f>"T"&amp;O1482&amp;"_"&amp;AX1482&amp;"옵션_"&amp;VLOOKUP(E1482,색인!$J$25:$K$29,2,FALSE)</f>
        <v>T7_3옵션_장신구</v>
      </c>
      <c r="AZ1482" s="32">
        <f>VLOOKUP(G1482,색인!$J$32:$K$45,2,FALSE)</f>
        <v>4</v>
      </c>
      <c r="BA1482" s="32" t="str">
        <f>_xlfn.IFNA(VLOOKUP(AY1482,표1[[검색용]:[OptionGroupIndex'[']22]],EquipItemTable!AZ1482,FALSE),"옵션고정안함")</f>
        <v>7331,7332</v>
      </c>
    </row>
    <row r="1483" spans="1:53" s="27" customFormat="1" ht="12" x14ac:dyDescent="0.2">
      <c r="A1483" s="25" t="s">
        <v>1560</v>
      </c>
      <c r="B1483" s="39">
        <v>80421</v>
      </c>
      <c r="C1483" s="42" t="s">
        <v>3910</v>
      </c>
      <c r="D1483" s="26" t="s">
        <v>2946</v>
      </c>
      <c r="E1483" s="26" t="s">
        <v>2</v>
      </c>
      <c r="F1483" s="27" t="s">
        <v>312</v>
      </c>
      <c r="G1483" s="27" t="s">
        <v>1568</v>
      </c>
      <c r="J1483" s="1"/>
      <c r="K1483" s="1"/>
      <c r="L1483" s="1"/>
      <c r="M1483" s="1"/>
      <c r="N1483" s="8"/>
      <c r="O1483" s="29" t="s">
        <v>1338</v>
      </c>
      <c r="P1483" s="27">
        <v>71</v>
      </c>
      <c r="Y1483" s="27">
        <v>175758</v>
      </c>
      <c r="AB1483" s="28"/>
      <c r="AC1483" s="82"/>
      <c r="AD1483" s="29" t="s">
        <v>1377</v>
      </c>
      <c r="AE1483" s="92" t="str">
        <f t="shared" si="182"/>
        <v>7331,7332</v>
      </c>
      <c r="AF1483" s="29"/>
      <c r="AG1483" s="12"/>
      <c r="AH1483" s="12"/>
      <c r="AN1483" s="27">
        <v>206</v>
      </c>
      <c r="AQ1483" s="85"/>
      <c r="AT1483" s="85"/>
      <c r="AU1483" s="29" t="s">
        <v>1945</v>
      </c>
      <c r="AW1483" s="39">
        <v>5</v>
      </c>
      <c r="AX1483" s="12">
        <f>VLOOKUP(AW1483,색인!$N$14:$O$19,2,FALSE)</f>
        <v>3</v>
      </c>
      <c r="AY1483" s="32" t="str">
        <f>"T"&amp;O1483&amp;"_"&amp;AX1483&amp;"옵션_"&amp;VLOOKUP(E1483,색인!$J$25:$K$29,2,FALSE)</f>
        <v>T7_3옵션_장신구</v>
      </c>
      <c r="AZ1483" s="32">
        <f>VLOOKUP(G1483,색인!$J$32:$K$45,2,FALSE)</f>
        <v>4</v>
      </c>
      <c r="BA1483" s="32" t="str">
        <f>_xlfn.IFNA(VLOOKUP(AY1483,표1[[검색용]:[OptionGroupIndex'[']22]],EquipItemTable!AZ1483,FALSE),"옵션고정안함")</f>
        <v>7331,7332</v>
      </c>
    </row>
    <row r="1484" spans="1:53" s="27" customFormat="1" ht="12" x14ac:dyDescent="0.2">
      <c r="A1484" s="25" t="s">
        <v>1561</v>
      </c>
      <c r="B1484" s="39">
        <v>80422</v>
      </c>
      <c r="C1484" s="42" t="s">
        <v>3911</v>
      </c>
      <c r="D1484" s="26" t="s">
        <v>2946</v>
      </c>
      <c r="E1484" s="26" t="s">
        <v>2</v>
      </c>
      <c r="F1484" s="27" t="s">
        <v>312</v>
      </c>
      <c r="G1484" s="27" t="s">
        <v>1568</v>
      </c>
      <c r="J1484" s="1"/>
      <c r="K1484" s="1"/>
      <c r="L1484" s="1"/>
      <c r="M1484" s="1"/>
      <c r="N1484" s="8"/>
      <c r="O1484" s="29" t="s">
        <v>1338</v>
      </c>
      <c r="P1484" s="27">
        <v>71</v>
      </c>
      <c r="Y1484" s="27">
        <v>175758</v>
      </c>
      <c r="AB1484" s="28"/>
      <c r="AC1484" s="82"/>
      <c r="AD1484" s="29" t="s">
        <v>1377</v>
      </c>
      <c r="AE1484" s="92" t="str">
        <f t="shared" si="182"/>
        <v>7331,7332</v>
      </c>
      <c r="AF1484" s="29"/>
      <c r="AG1484" s="12"/>
      <c r="AH1484" s="12"/>
      <c r="AN1484" s="27">
        <v>207</v>
      </c>
      <c r="AQ1484" s="85"/>
      <c r="AT1484" s="85"/>
      <c r="AU1484" s="29" t="s">
        <v>1945</v>
      </c>
      <c r="AW1484" s="39">
        <v>5</v>
      </c>
      <c r="AX1484" s="12">
        <f>VLOOKUP(AW1484,색인!$N$14:$O$19,2,FALSE)</f>
        <v>3</v>
      </c>
      <c r="AY1484" s="32" t="str">
        <f>"T"&amp;O1484&amp;"_"&amp;AX1484&amp;"옵션_"&amp;VLOOKUP(E1484,색인!$J$25:$K$29,2,FALSE)</f>
        <v>T7_3옵션_장신구</v>
      </c>
      <c r="AZ1484" s="32">
        <f>VLOOKUP(G1484,색인!$J$32:$K$45,2,FALSE)</f>
        <v>4</v>
      </c>
      <c r="BA1484" s="32" t="str">
        <f>_xlfn.IFNA(VLOOKUP(AY1484,표1[[검색용]:[OptionGroupIndex'[']22]],EquipItemTable!AZ1484,FALSE),"옵션고정안함")</f>
        <v>7331,7332</v>
      </c>
    </row>
    <row r="1485" spans="1:53" s="27" customFormat="1" ht="12" x14ac:dyDescent="0.2">
      <c r="A1485" s="25" t="s">
        <v>1562</v>
      </c>
      <c r="B1485" s="39">
        <v>80423</v>
      </c>
      <c r="C1485" s="42" t="s">
        <v>3894</v>
      </c>
      <c r="D1485" s="26" t="s">
        <v>2946</v>
      </c>
      <c r="E1485" s="26" t="s">
        <v>2</v>
      </c>
      <c r="F1485" s="27" t="s">
        <v>312</v>
      </c>
      <c r="G1485" s="27" t="s">
        <v>1568</v>
      </c>
      <c r="J1485" s="1"/>
      <c r="K1485" s="1"/>
      <c r="L1485" s="1"/>
      <c r="M1485" s="1"/>
      <c r="N1485" s="8"/>
      <c r="O1485" s="29" t="s">
        <v>1338</v>
      </c>
      <c r="P1485" s="27">
        <v>71</v>
      </c>
      <c r="Y1485" s="27">
        <v>181282</v>
      </c>
      <c r="AB1485" s="28"/>
      <c r="AC1485" s="82"/>
      <c r="AD1485" s="29" t="s">
        <v>1377</v>
      </c>
      <c r="AE1485" s="92" t="str">
        <f>BA1485</f>
        <v>7431,7432</v>
      </c>
      <c r="AF1485" s="29" t="s">
        <v>2185</v>
      </c>
      <c r="AG1485" s="12"/>
      <c r="AH1485" s="12"/>
      <c r="AN1485" s="27">
        <v>1</v>
      </c>
      <c r="AQ1485" s="85"/>
      <c r="AT1485" s="85"/>
      <c r="AU1485" s="12" t="s">
        <v>1936</v>
      </c>
      <c r="AW1485" s="39">
        <v>6</v>
      </c>
      <c r="AX1485" s="12">
        <f>VLOOKUP(AW1485,색인!$N$14:$O$19,2,FALSE)</f>
        <v>4</v>
      </c>
      <c r="AY1485" s="32" t="str">
        <f>"T"&amp;O1485&amp;"_"&amp;AX1485&amp;"옵션_"&amp;VLOOKUP(E1485,색인!$J$25:$K$29,2,FALSE)</f>
        <v>T7_4옵션_장신구</v>
      </c>
      <c r="AZ1485" s="32">
        <f>VLOOKUP(G1485,색인!$J$32:$K$45,2,FALSE)</f>
        <v>4</v>
      </c>
      <c r="BA1485" s="32" t="str">
        <f>_xlfn.IFNA(VLOOKUP(AY1485,표1[[검색용]:[OptionGroupIndex'[']22]],EquipItemTable!AZ1485,FALSE),"옵션고정안함")</f>
        <v>7431,7432</v>
      </c>
    </row>
    <row r="1486" spans="1:53" s="27" customFormat="1" ht="12" x14ac:dyDescent="0.2">
      <c r="A1486" s="25" t="s">
        <v>1563</v>
      </c>
      <c r="B1486" s="39">
        <v>80424</v>
      </c>
      <c r="C1486" s="42" t="s">
        <v>3895</v>
      </c>
      <c r="D1486" s="26" t="s">
        <v>2946</v>
      </c>
      <c r="E1486" s="26" t="s">
        <v>2</v>
      </c>
      <c r="F1486" s="27" t="s">
        <v>312</v>
      </c>
      <c r="G1486" s="27" t="s">
        <v>1568</v>
      </c>
      <c r="J1486" s="1"/>
      <c r="K1486" s="1"/>
      <c r="L1486" s="1"/>
      <c r="M1486" s="1"/>
      <c r="N1486" s="8"/>
      <c r="O1486" s="29" t="s">
        <v>1338</v>
      </c>
      <c r="P1486" s="27">
        <v>71</v>
      </c>
      <c r="Y1486" s="27">
        <v>181282</v>
      </c>
      <c r="AB1486" s="28"/>
      <c r="AC1486" s="82"/>
      <c r="AD1486" s="29" t="s">
        <v>1377</v>
      </c>
      <c r="AE1486" s="92" t="str">
        <f>BA1486</f>
        <v>7431,7432</v>
      </c>
      <c r="AF1486" s="29" t="s">
        <v>2185</v>
      </c>
      <c r="AG1486" s="12"/>
      <c r="AH1486" s="12"/>
      <c r="AN1486" s="27">
        <v>2</v>
      </c>
      <c r="AQ1486" s="85"/>
      <c r="AT1486" s="85"/>
      <c r="AU1486" s="12" t="s">
        <v>1936</v>
      </c>
      <c r="AW1486" s="39">
        <v>6</v>
      </c>
      <c r="AX1486" s="12">
        <f>VLOOKUP(AW1486,색인!$N$14:$O$19,2,FALSE)</f>
        <v>4</v>
      </c>
      <c r="AY1486" s="32" t="str">
        <f>"T"&amp;O1486&amp;"_"&amp;AX1486&amp;"옵션_"&amp;VLOOKUP(E1486,색인!$J$25:$K$29,2,FALSE)</f>
        <v>T7_4옵션_장신구</v>
      </c>
      <c r="AZ1486" s="32">
        <f>VLOOKUP(G1486,색인!$J$32:$K$45,2,FALSE)</f>
        <v>4</v>
      </c>
      <c r="BA1486" s="32" t="str">
        <f>_xlfn.IFNA(VLOOKUP(AY1486,표1[[검색용]:[OptionGroupIndex'[']22]],EquipItemTable!AZ1486,FALSE),"옵션고정안함")</f>
        <v>7431,7432</v>
      </c>
    </row>
    <row r="1487" spans="1:53" s="27" customFormat="1" ht="12" x14ac:dyDescent="0.2">
      <c r="A1487" s="25" t="s">
        <v>1564</v>
      </c>
      <c r="B1487" s="39">
        <v>80425</v>
      </c>
      <c r="C1487" s="42" t="s">
        <v>3896</v>
      </c>
      <c r="D1487" s="26" t="s">
        <v>2946</v>
      </c>
      <c r="E1487" s="26" t="s">
        <v>2</v>
      </c>
      <c r="F1487" s="27" t="s">
        <v>312</v>
      </c>
      <c r="G1487" s="27" t="s">
        <v>1568</v>
      </c>
      <c r="J1487" s="1"/>
      <c r="K1487" s="1"/>
      <c r="L1487" s="1"/>
      <c r="M1487" s="1"/>
      <c r="N1487" s="8"/>
      <c r="O1487" s="29" t="s">
        <v>1338</v>
      </c>
      <c r="P1487" s="27">
        <v>71</v>
      </c>
      <c r="Y1487" s="27">
        <v>181282</v>
      </c>
      <c r="AB1487" s="28"/>
      <c r="AC1487" s="82"/>
      <c r="AD1487" s="29" t="s">
        <v>1377</v>
      </c>
      <c r="AE1487" s="92" t="str">
        <f>BA1487</f>
        <v>7431,7432</v>
      </c>
      <c r="AF1487" s="29" t="s">
        <v>2185</v>
      </c>
      <c r="AG1487" s="12"/>
      <c r="AH1487" s="12"/>
      <c r="AN1487" s="27">
        <v>3</v>
      </c>
      <c r="AQ1487" s="85"/>
      <c r="AT1487" s="85"/>
      <c r="AU1487" s="12" t="s">
        <v>1936</v>
      </c>
      <c r="AW1487" s="39">
        <v>6</v>
      </c>
      <c r="AX1487" s="12">
        <f>VLOOKUP(AW1487,색인!$N$14:$O$19,2,FALSE)</f>
        <v>4</v>
      </c>
      <c r="AY1487" s="32" t="str">
        <f>"T"&amp;O1487&amp;"_"&amp;AX1487&amp;"옵션_"&amp;VLOOKUP(E1487,색인!$J$25:$K$29,2,FALSE)</f>
        <v>T7_4옵션_장신구</v>
      </c>
      <c r="AZ1487" s="32">
        <f>VLOOKUP(G1487,색인!$J$32:$K$45,2,FALSE)</f>
        <v>4</v>
      </c>
      <c r="BA1487" s="32" t="str">
        <f>_xlfn.IFNA(VLOOKUP(AY1487,표1[[검색용]:[OptionGroupIndex'[']22]],EquipItemTable!AZ1487,FALSE),"옵션고정안함")</f>
        <v>7431,7432</v>
      </c>
    </row>
    <row r="1488" spans="1:53" s="27" customFormat="1" ht="12" x14ac:dyDescent="0.2">
      <c r="A1488" s="25" t="s">
        <v>1565</v>
      </c>
      <c r="B1488" s="39">
        <v>80426</v>
      </c>
      <c r="C1488" s="42" t="s">
        <v>3897</v>
      </c>
      <c r="D1488" s="26" t="s">
        <v>2946</v>
      </c>
      <c r="E1488" s="26" t="s">
        <v>2</v>
      </c>
      <c r="F1488" s="27" t="s">
        <v>312</v>
      </c>
      <c r="G1488" s="27" t="s">
        <v>1568</v>
      </c>
      <c r="J1488" s="1"/>
      <c r="K1488" s="1"/>
      <c r="L1488" s="1"/>
      <c r="M1488" s="1"/>
      <c r="N1488" s="8"/>
      <c r="O1488" s="29" t="s">
        <v>1338</v>
      </c>
      <c r="P1488" s="27">
        <v>71</v>
      </c>
      <c r="Y1488" s="27">
        <v>181282</v>
      </c>
      <c r="AB1488" s="28"/>
      <c r="AC1488" s="82"/>
      <c r="AD1488" s="29" t="s">
        <v>1377</v>
      </c>
      <c r="AE1488" s="92" t="str">
        <f>BA1488</f>
        <v>7431,7432</v>
      </c>
      <c r="AF1488" s="29" t="s">
        <v>2185</v>
      </c>
      <c r="AG1488" s="12"/>
      <c r="AH1488" s="12"/>
      <c r="AN1488" s="27">
        <v>4</v>
      </c>
      <c r="AQ1488" s="85"/>
      <c r="AT1488" s="85"/>
      <c r="AU1488" s="12" t="s">
        <v>1936</v>
      </c>
      <c r="AW1488" s="39">
        <v>6</v>
      </c>
      <c r="AX1488" s="12">
        <f>VLOOKUP(AW1488,색인!$N$14:$O$19,2,FALSE)</f>
        <v>4</v>
      </c>
      <c r="AY1488" s="32" t="str">
        <f>"T"&amp;O1488&amp;"_"&amp;AX1488&amp;"옵션_"&amp;VLOOKUP(E1488,색인!$J$25:$K$29,2,FALSE)</f>
        <v>T7_4옵션_장신구</v>
      </c>
      <c r="AZ1488" s="32">
        <f>VLOOKUP(G1488,색인!$J$32:$K$45,2,FALSE)</f>
        <v>4</v>
      </c>
      <c r="BA1488" s="32" t="str">
        <f>_xlfn.IFNA(VLOOKUP(AY1488,표1[[검색용]:[OptionGroupIndex'[']22]],EquipItemTable!AZ1488,FALSE),"옵션고정안함")</f>
        <v>7431,7432</v>
      </c>
    </row>
    <row r="1489" spans="1:53" s="27" customFormat="1" ht="12" x14ac:dyDescent="0.2">
      <c r="A1489" s="25" t="s">
        <v>1566</v>
      </c>
      <c r="B1489" s="39">
        <v>380003</v>
      </c>
      <c r="C1489" s="42" t="s">
        <v>3904</v>
      </c>
      <c r="D1489" s="26" t="s">
        <v>2946</v>
      </c>
      <c r="E1489" s="26" t="s">
        <v>2</v>
      </c>
      <c r="F1489" s="27" t="s">
        <v>312</v>
      </c>
      <c r="G1489" s="27" t="s">
        <v>1568</v>
      </c>
      <c r="J1489" s="1"/>
      <c r="K1489" s="1"/>
      <c r="L1489" s="1"/>
      <c r="M1489" s="1"/>
      <c r="N1489" s="8"/>
      <c r="O1489" s="29" t="s">
        <v>1338</v>
      </c>
      <c r="P1489" s="27">
        <v>71</v>
      </c>
      <c r="Y1489" s="27">
        <v>175758</v>
      </c>
      <c r="AB1489" s="28"/>
      <c r="AC1489" s="82"/>
      <c r="AD1489" s="29" t="s">
        <v>1377</v>
      </c>
      <c r="AE1489" s="92" t="str">
        <f>BA1489</f>
        <v>7331,7332</v>
      </c>
      <c r="AF1489" s="29"/>
      <c r="AG1489" s="23"/>
      <c r="AH1489" s="23"/>
      <c r="AN1489" s="27">
        <v>101</v>
      </c>
      <c r="AQ1489" s="85"/>
      <c r="AT1489" s="85"/>
      <c r="AU1489" s="29" t="s">
        <v>1945</v>
      </c>
      <c r="AW1489" s="39">
        <v>5</v>
      </c>
      <c r="AX1489" s="12">
        <f>VLOOKUP(AW1489,색인!$N$14:$O$19,2,FALSE)</f>
        <v>3</v>
      </c>
      <c r="AY1489" s="32" t="str">
        <f>"T"&amp;O1489&amp;"_"&amp;AX1489&amp;"옵션_"&amp;VLOOKUP(E1489,색인!$J$25:$K$29,2,FALSE)</f>
        <v>T7_3옵션_장신구</v>
      </c>
      <c r="AZ1489" s="32">
        <f>VLOOKUP(G1489,색인!$J$32:$K$45,2,FALSE)</f>
        <v>4</v>
      </c>
      <c r="BA1489" s="32" t="str">
        <f>_xlfn.IFNA(VLOOKUP(AY1489,표1[[검색용]:[OptionGroupIndex'[']22]],EquipItemTable!AZ1489,FALSE),"옵션고정안함")</f>
        <v>7331,7332</v>
      </c>
    </row>
    <row r="1490" spans="1:53" s="27" customFormat="1" ht="12" x14ac:dyDescent="0.2">
      <c r="A1490" s="25" t="s">
        <v>1567</v>
      </c>
      <c r="B1490" s="39">
        <v>380004</v>
      </c>
      <c r="C1490" s="42" t="s">
        <v>3905</v>
      </c>
      <c r="D1490" s="26" t="s">
        <v>2946</v>
      </c>
      <c r="E1490" s="26" t="s">
        <v>2</v>
      </c>
      <c r="F1490" s="27" t="s">
        <v>312</v>
      </c>
      <c r="G1490" s="27" t="s">
        <v>1568</v>
      </c>
      <c r="J1490" s="1"/>
      <c r="K1490" s="1"/>
      <c r="L1490" s="1"/>
      <c r="M1490" s="1"/>
      <c r="N1490" s="8"/>
      <c r="O1490" s="29" t="s">
        <v>1338</v>
      </c>
      <c r="P1490" s="27">
        <v>71</v>
      </c>
      <c r="Y1490" s="27">
        <v>181282</v>
      </c>
      <c r="AB1490" s="28"/>
      <c r="AC1490" s="82"/>
      <c r="AD1490" s="29" t="s">
        <v>1377</v>
      </c>
      <c r="AE1490" s="92" t="s">
        <v>2189</v>
      </c>
      <c r="AF1490" s="29" t="s">
        <v>2185</v>
      </c>
      <c r="AG1490" s="23"/>
      <c r="AH1490" s="23"/>
      <c r="AN1490" s="27">
        <v>102</v>
      </c>
      <c r="AQ1490" s="85"/>
      <c r="AT1490" s="85"/>
      <c r="AU1490" s="29" t="s">
        <v>1936</v>
      </c>
      <c r="AW1490" s="39">
        <v>6</v>
      </c>
      <c r="AX1490" s="12">
        <f>VLOOKUP(AW1490,색인!$N$14:$O$19,2,FALSE)</f>
        <v>4</v>
      </c>
      <c r="AY1490" s="32" t="str">
        <f>"T"&amp;O1490&amp;"_"&amp;AX1490&amp;"옵션_"&amp;VLOOKUP(E1490,색인!$J$25:$K$29,2,FALSE)</f>
        <v>T7_4옵션_장신구</v>
      </c>
      <c r="AZ1490" s="32">
        <f>VLOOKUP(G1490,색인!$J$32:$K$45,2,FALSE)</f>
        <v>4</v>
      </c>
      <c r="BA1490" s="32" t="str">
        <f>_xlfn.IFNA(VLOOKUP(AY1490,표1[[검색용]:[OptionGroupIndex'[']22]],EquipItemTable!AZ1490,FALSE),"옵션고정안함")</f>
        <v>7431,7432</v>
      </c>
    </row>
    <row r="1491" spans="1:53" ht="12" customHeight="1" x14ac:dyDescent="0.2">
      <c r="A1491" s="10" t="s">
        <v>267</v>
      </c>
      <c r="B1491" s="39">
        <v>81001</v>
      </c>
      <c r="C1491" s="42" t="s">
        <v>3912</v>
      </c>
      <c r="D1491" s="10" t="s">
        <v>250</v>
      </c>
      <c r="E1491" s="10" t="s">
        <v>521</v>
      </c>
      <c r="F1491" s="1" t="s">
        <v>522</v>
      </c>
      <c r="G1491" s="1" t="s">
        <v>1315</v>
      </c>
      <c r="H1491" s="1"/>
      <c r="I1491" s="1"/>
      <c r="J1491" s="1"/>
      <c r="K1491" s="1"/>
      <c r="L1491" s="1"/>
      <c r="M1491" s="1"/>
      <c r="O1491" s="12" t="s">
        <v>94</v>
      </c>
      <c r="P1491" s="1">
        <v>1</v>
      </c>
      <c r="Q1491" s="1"/>
      <c r="R1491" s="1"/>
      <c r="S1491" s="1"/>
      <c r="T1491" s="1"/>
      <c r="U1491" s="1"/>
      <c r="V1491" s="1"/>
      <c r="W1491" s="1">
        <v>40</v>
      </c>
      <c r="X1491" s="1">
        <f t="shared" ref="X1491:X1510" si="183">W1491</f>
        <v>40</v>
      </c>
      <c r="Y1491" s="20"/>
      <c r="Z1491" s="1"/>
      <c r="AA1491" s="1"/>
      <c r="AB1491" s="1"/>
      <c r="AC1491" s="82"/>
      <c r="AD1491" s="12" t="s">
        <v>52</v>
      </c>
      <c r="AE1491" s="12" t="s">
        <v>94</v>
      </c>
      <c r="AG1491" s="23"/>
      <c r="AH1491" s="23"/>
      <c r="AN1491" s="12"/>
      <c r="AU1491" s="12" t="s">
        <v>1932</v>
      </c>
      <c r="AV1491" s="13" t="s">
        <v>4</v>
      </c>
      <c r="AW1491" s="39">
        <v>1</v>
      </c>
      <c r="AY1491" s="32"/>
      <c r="AZ1491" s="32"/>
      <c r="BA1491" s="32"/>
    </row>
    <row r="1492" spans="1:53" ht="12" customHeight="1" x14ac:dyDescent="0.2">
      <c r="A1492" s="10" t="s">
        <v>268</v>
      </c>
      <c r="B1492" s="39">
        <v>81002</v>
      </c>
      <c r="C1492" s="42" t="s">
        <v>3913</v>
      </c>
      <c r="D1492" s="10" t="s">
        <v>2947</v>
      </c>
      <c r="E1492" s="10" t="s">
        <v>2</v>
      </c>
      <c r="F1492" s="1" t="s">
        <v>312</v>
      </c>
      <c r="G1492" s="1" t="s">
        <v>1315</v>
      </c>
      <c r="H1492" s="1"/>
      <c r="I1492" s="1"/>
      <c r="J1492" s="1"/>
      <c r="K1492" s="1"/>
      <c r="L1492" s="1"/>
      <c r="M1492" s="1"/>
      <c r="O1492" s="12" t="s">
        <v>94</v>
      </c>
      <c r="P1492" s="1">
        <v>1</v>
      </c>
      <c r="Q1492" s="1"/>
      <c r="R1492" s="1"/>
      <c r="S1492" s="1"/>
      <c r="T1492" s="1"/>
      <c r="U1492" s="1"/>
      <c r="V1492" s="1"/>
      <c r="W1492" s="1">
        <v>58</v>
      </c>
      <c r="X1492" s="1">
        <f t="shared" si="183"/>
        <v>58</v>
      </c>
      <c r="Y1492" s="20"/>
      <c r="Z1492" s="1"/>
      <c r="AA1492" s="1"/>
      <c r="AB1492" s="1"/>
      <c r="AC1492" s="82"/>
      <c r="AD1492" s="12" t="s">
        <v>52</v>
      </c>
      <c r="AE1492" s="39" t="str">
        <f t="shared" ref="AE1492:AE1494" si="184">BA1492</f>
        <v>1131</v>
      </c>
      <c r="AG1492" s="23"/>
      <c r="AH1492" s="23"/>
      <c r="AN1492" s="12"/>
      <c r="AU1492" s="12" t="s">
        <v>1939</v>
      </c>
      <c r="AV1492" s="13"/>
      <c r="AW1492" s="39">
        <v>2</v>
      </c>
      <c r="AX1492" s="12">
        <f>VLOOKUP(AW1492,색인!$N$14:$O$19,2,FALSE)</f>
        <v>1</v>
      </c>
      <c r="AY1492" s="32" t="str">
        <f>"T"&amp;O1492&amp;"_"&amp;AX1492&amp;"옵션_"&amp;VLOOKUP(E1492,색인!$J$25:$K$29,2,FALSE)</f>
        <v>T1_1옵션_장신구</v>
      </c>
      <c r="AZ1492" s="32">
        <f>VLOOKUP(G1492,색인!$J$32:$K$45,2,FALSE)</f>
        <v>2</v>
      </c>
      <c r="BA1492" s="32" t="str">
        <f>_xlfn.IFNA(VLOOKUP(AY1492,표1[[검색용]:[OptionGroupIndex'[']22]],EquipItemTable!AZ1492,FALSE),"옵션고정안함")</f>
        <v>1131</v>
      </c>
    </row>
    <row r="1493" spans="1:53" ht="12" customHeight="1" x14ac:dyDescent="0.2">
      <c r="A1493" s="10" t="s">
        <v>269</v>
      </c>
      <c r="B1493" s="39">
        <v>81003</v>
      </c>
      <c r="C1493" s="42" t="s">
        <v>3914</v>
      </c>
      <c r="D1493" s="10" t="s">
        <v>2947</v>
      </c>
      <c r="E1493" s="10" t="s">
        <v>2</v>
      </c>
      <c r="F1493" s="1" t="s">
        <v>312</v>
      </c>
      <c r="G1493" s="1" t="s">
        <v>1315</v>
      </c>
      <c r="H1493" s="1"/>
      <c r="I1493" s="1"/>
      <c r="J1493" s="1"/>
      <c r="K1493" s="1"/>
      <c r="L1493" s="1"/>
      <c r="M1493" s="1"/>
      <c r="N1493" s="81"/>
      <c r="O1493" s="12" t="s">
        <v>94</v>
      </c>
      <c r="P1493" s="1">
        <v>1</v>
      </c>
      <c r="Q1493" s="13"/>
      <c r="R1493" s="13"/>
      <c r="S1493" s="13"/>
      <c r="T1493" s="13"/>
      <c r="U1493" s="13"/>
      <c r="V1493" s="13"/>
      <c r="W1493" s="1">
        <v>75</v>
      </c>
      <c r="X1493" s="1">
        <f t="shared" si="183"/>
        <v>75</v>
      </c>
      <c r="Y1493" s="84"/>
      <c r="Z1493" s="13"/>
      <c r="AA1493" s="13"/>
      <c r="AB1493" s="13"/>
      <c r="AC1493" s="82"/>
      <c r="AD1493" s="23" t="s">
        <v>52</v>
      </c>
      <c r="AE1493" s="39" t="str">
        <f t="shared" si="184"/>
        <v>1231</v>
      </c>
      <c r="AG1493" s="23"/>
      <c r="AH1493" s="23"/>
      <c r="AI1493" s="23"/>
      <c r="AJ1493" s="23"/>
      <c r="AK1493" s="23"/>
      <c r="AL1493" s="23"/>
      <c r="AM1493" s="23"/>
      <c r="AN1493" s="23"/>
      <c r="AO1493" s="23"/>
      <c r="AP1493" s="23"/>
      <c r="AQ1493" s="81"/>
      <c r="AT1493" s="81"/>
      <c r="AU1493" s="12" t="s">
        <v>1940</v>
      </c>
      <c r="AV1493" s="13"/>
      <c r="AW1493" s="39">
        <v>3</v>
      </c>
      <c r="AX1493" s="12">
        <f>VLOOKUP(AW1493,색인!$N$14:$O$19,2,FALSE)</f>
        <v>2</v>
      </c>
      <c r="AY1493" s="32" t="str">
        <f>"T"&amp;O1493&amp;"_"&amp;AX1493&amp;"옵션_"&amp;VLOOKUP(E1493,색인!$J$25:$K$29,2,FALSE)</f>
        <v>T1_2옵션_장신구</v>
      </c>
      <c r="AZ1493" s="32">
        <f>VLOOKUP(G1493,색인!$J$32:$K$45,2,FALSE)</f>
        <v>2</v>
      </c>
      <c r="BA1493" s="32" t="str">
        <f>_xlfn.IFNA(VLOOKUP(AY1493,표1[[검색용]:[OptionGroupIndex'[']22]],EquipItemTable!AZ1493,FALSE),"옵션고정안함")</f>
        <v>1231</v>
      </c>
    </row>
    <row r="1494" spans="1:53" ht="12" customHeight="1" x14ac:dyDescent="0.2">
      <c r="A1494" s="10" t="s">
        <v>523</v>
      </c>
      <c r="B1494" s="39">
        <v>81004</v>
      </c>
      <c r="C1494" s="42" t="s">
        <v>3915</v>
      </c>
      <c r="D1494" s="10" t="s">
        <v>2947</v>
      </c>
      <c r="E1494" s="10" t="s">
        <v>2</v>
      </c>
      <c r="F1494" s="1" t="s">
        <v>312</v>
      </c>
      <c r="G1494" s="1" t="s">
        <v>1315</v>
      </c>
      <c r="H1494" s="1"/>
      <c r="I1494" s="1"/>
      <c r="J1494" s="1"/>
      <c r="K1494" s="1"/>
      <c r="L1494" s="1"/>
      <c r="M1494" s="1"/>
      <c r="N1494" s="81"/>
      <c r="O1494" s="12" t="s">
        <v>428</v>
      </c>
      <c r="P1494" s="1">
        <v>1</v>
      </c>
      <c r="Q1494" s="13"/>
      <c r="R1494" s="13"/>
      <c r="S1494" s="13"/>
      <c r="T1494" s="13"/>
      <c r="U1494" s="13"/>
      <c r="V1494" s="13"/>
      <c r="W1494" s="1">
        <v>97</v>
      </c>
      <c r="X1494" s="1">
        <f t="shared" si="183"/>
        <v>97</v>
      </c>
      <c r="Y1494" s="84"/>
      <c r="Z1494" s="13"/>
      <c r="AA1494" s="13"/>
      <c r="AB1494" s="13"/>
      <c r="AC1494" s="82"/>
      <c r="AD1494" s="23"/>
      <c r="AE1494" s="39" t="str">
        <f t="shared" si="184"/>
        <v>1331</v>
      </c>
      <c r="AG1494" s="23"/>
      <c r="AH1494" s="23"/>
      <c r="AI1494" s="23"/>
      <c r="AJ1494" s="23"/>
      <c r="AK1494" s="23"/>
      <c r="AL1494" s="23"/>
      <c r="AM1494" s="23"/>
      <c r="AN1494" s="23"/>
      <c r="AO1494" s="23"/>
      <c r="AP1494" s="23"/>
      <c r="AQ1494" s="81"/>
      <c r="AT1494" s="81"/>
      <c r="AU1494" s="12" t="s">
        <v>1941</v>
      </c>
      <c r="AV1494" s="13"/>
      <c r="AW1494" s="39">
        <v>4</v>
      </c>
      <c r="AX1494" s="12">
        <f>VLOOKUP(AW1494,색인!$N$14:$O$19,2,FALSE)</f>
        <v>3</v>
      </c>
      <c r="AY1494" s="32" t="str">
        <f>"T"&amp;O1494&amp;"_"&amp;AX1494&amp;"옵션_"&amp;VLOOKUP(E1494,색인!$J$25:$K$29,2,FALSE)</f>
        <v>T1_3옵션_장신구</v>
      </c>
      <c r="AZ1494" s="32">
        <f>VLOOKUP(G1494,색인!$J$32:$K$45,2,FALSE)</f>
        <v>2</v>
      </c>
      <c r="BA1494" s="32" t="str">
        <f>_xlfn.IFNA(VLOOKUP(AY1494,표1[[검색용]:[OptionGroupIndex'[']22]],EquipItemTable!AZ1494,FALSE),"옵션고정안함")</f>
        <v>1331</v>
      </c>
    </row>
    <row r="1495" spans="1:53" ht="12" customHeight="1" x14ac:dyDescent="0.2">
      <c r="A1495" s="10" t="s">
        <v>270</v>
      </c>
      <c r="B1495" s="39">
        <v>81005</v>
      </c>
      <c r="C1495" s="42" t="s">
        <v>3916</v>
      </c>
      <c r="D1495" s="10" t="s">
        <v>2947</v>
      </c>
      <c r="E1495" s="10" t="s">
        <v>2</v>
      </c>
      <c r="F1495" s="1" t="s">
        <v>312</v>
      </c>
      <c r="G1495" s="1" t="s">
        <v>1315</v>
      </c>
      <c r="H1495" s="1"/>
      <c r="I1495" s="1"/>
      <c r="J1495" s="1"/>
      <c r="K1495" s="1"/>
      <c r="L1495" s="1"/>
      <c r="M1495" s="1"/>
      <c r="N1495" s="81"/>
      <c r="O1495" s="12" t="s">
        <v>95</v>
      </c>
      <c r="P1495" s="1">
        <v>21</v>
      </c>
      <c r="Q1495" s="13"/>
      <c r="R1495" s="13"/>
      <c r="S1495" s="13"/>
      <c r="T1495" s="13"/>
      <c r="U1495" s="13"/>
      <c r="V1495" s="13"/>
      <c r="W1495" s="1">
        <v>111</v>
      </c>
      <c r="X1495" s="1">
        <f t="shared" si="183"/>
        <v>111</v>
      </c>
      <c r="Y1495" s="84"/>
      <c r="Z1495" s="13"/>
      <c r="AA1495" s="13"/>
      <c r="AB1495" s="13"/>
      <c r="AC1495" s="82"/>
      <c r="AD1495" s="23" t="s">
        <v>52</v>
      </c>
      <c r="AE1495" s="12" t="s">
        <v>550</v>
      </c>
      <c r="AG1495" s="23"/>
      <c r="AH1495" s="23"/>
      <c r="AI1495" s="23"/>
      <c r="AJ1495" s="23"/>
      <c r="AK1495" s="23"/>
      <c r="AL1495" s="23"/>
      <c r="AM1495" s="23"/>
      <c r="AN1495" s="23"/>
      <c r="AO1495" s="23"/>
      <c r="AP1495" s="23"/>
      <c r="AQ1495" s="81"/>
      <c r="AT1495" s="81"/>
      <c r="AU1495" s="12" t="s">
        <v>1932</v>
      </c>
      <c r="AV1495" s="13"/>
      <c r="AW1495" s="39">
        <v>1</v>
      </c>
      <c r="AY1495" s="32"/>
      <c r="AZ1495" s="32"/>
      <c r="BA1495" s="32"/>
    </row>
    <row r="1496" spans="1:53" ht="12" customHeight="1" x14ac:dyDescent="0.2">
      <c r="A1496" s="10" t="s">
        <v>271</v>
      </c>
      <c r="B1496" s="39">
        <v>81006</v>
      </c>
      <c r="C1496" s="42" t="s">
        <v>3917</v>
      </c>
      <c r="D1496" s="10" t="s">
        <v>2947</v>
      </c>
      <c r="E1496" s="10" t="s">
        <v>2</v>
      </c>
      <c r="F1496" s="1" t="s">
        <v>312</v>
      </c>
      <c r="G1496" s="1" t="s">
        <v>1315</v>
      </c>
      <c r="H1496" s="1"/>
      <c r="I1496" s="1"/>
      <c r="J1496" s="1"/>
      <c r="K1496" s="1"/>
      <c r="L1496" s="1"/>
      <c r="M1496" s="1"/>
      <c r="N1496" s="81"/>
      <c r="O1496" s="12" t="s">
        <v>95</v>
      </c>
      <c r="P1496" s="1">
        <v>21</v>
      </c>
      <c r="Q1496" s="13"/>
      <c r="R1496" s="13"/>
      <c r="S1496" s="13"/>
      <c r="T1496" s="13"/>
      <c r="U1496" s="13"/>
      <c r="V1496" s="13"/>
      <c r="W1496" s="1">
        <v>145</v>
      </c>
      <c r="X1496" s="1">
        <f t="shared" si="183"/>
        <v>145</v>
      </c>
      <c r="Y1496" s="84"/>
      <c r="Z1496" s="13"/>
      <c r="AA1496" s="13"/>
      <c r="AB1496" s="13"/>
      <c r="AC1496" s="82"/>
      <c r="AD1496" s="23" t="s">
        <v>52</v>
      </c>
      <c r="AE1496" s="39" t="str">
        <f t="shared" ref="AE1496:AE1498" si="185">BA1496</f>
        <v>2131</v>
      </c>
      <c r="AI1496" s="23"/>
      <c r="AJ1496" s="23"/>
      <c r="AK1496" s="23"/>
      <c r="AL1496" s="23"/>
      <c r="AM1496" s="23"/>
      <c r="AN1496" s="23"/>
      <c r="AO1496" s="23"/>
      <c r="AP1496" s="23"/>
      <c r="AQ1496" s="81"/>
      <c r="AT1496" s="81"/>
      <c r="AU1496" s="12" t="s">
        <v>1939</v>
      </c>
      <c r="AV1496" s="13"/>
      <c r="AW1496" s="39">
        <v>2</v>
      </c>
      <c r="AX1496" s="12">
        <f>VLOOKUP(AW1496,색인!$N$14:$O$19,2,FALSE)</f>
        <v>1</v>
      </c>
      <c r="AY1496" s="32" t="str">
        <f>"T"&amp;O1496&amp;"_"&amp;AX1496&amp;"옵션_"&amp;VLOOKUP(E1496,색인!$J$25:$K$29,2,FALSE)</f>
        <v>T2_1옵션_장신구</v>
      </c>
      <c r="AZ1496" s="32">
        <f>VLOOKUP(G1496,색인!$J$32:$K$45,2,FALSE)</f>
        <v>2</v>
      </c>
      <c r="BA1496" s="32" t="str">
        <f>_xlfn.IFNA(VLOOKUP(AY1496,표1[[검색용]:[OptionGroupIndex'[']22]],EquipItemTable!AZ1496,FALSE),"옵션고정안함")</f>
        <v>2131</v>
      </c>
    </row>
    <row r="1497" spans="1:53" ht="12" customHeight="1" x14ac:dyDescent="0.2">
      <c r="A1497" s="10" t="s">
        <v>272</v>
      </c>
      <c r="B1497" s="39">
        <v>81007</v>
      </c>
      <c r="C1497" s="42" t="s">
        <v>3918</v>
      </c>
      <c r="D1497" s="10" t="s">
        <v>2947</v>
      </c>
      <c r="E1497" s="10" t="s">
        <v>2</v>
      </c>
      <c r="F1497" s="1" t="s">
        <v>312</v>
      </c>
      <c r="G1497" s="1" t="s">
        <v>1315</v>
      </c>
      <c r="H1497" s="1"/>
      <c r="I1497" s="1"/>
      <c r="J1497" s="1"/>
      <c r="K1497" s="1"/>
      <c r="L1497" s="1"/>
      <c r="M1497" s="1"/>
      <c r="N1497" s="81"/>
      <c r="O1497" s="12" t="s">
        <v>95</v>
      </c>
      <c r="P1497" s="1">
        <v>21</v>
      </c>
      <c r="Q1497" s="13"/>
      <c r="R1497" s="13"/>
      <c r="S1497" s="13"/>
      <c r="T1497" s="13"/>
      <c r="U1497" s="13"/>
      <c r="V1497" s="13"/>
      <c r="W1497" s="1">
        <v>179</v>
      </c>
      <c r="X1497" s="1">
        <f t="shared" si="183"/>
        <v>179</v>
      </c>
      <c r="Y1497" s="84"/>
      <c r="Z1497" s="13"/>
      <c r="AA1497" s="13"/>
      <c r="AB1497" s="13"/>
      <c r="AC1497" s="82"/>
      <c r="AD1497" s="23" t="s">
        <v>52</v>
      </c>
      <c r="AE1497" s="39" t="str">
        <f t="shared" si="185"/>
        <v>2231</v>
      </c>
      <c r="AI1497" s="23"/>
      <c r="AJ1497" s="23"/>
      <c r="AK1497" s="23"/>
      <c r="AL1497" s="23"/>
      <c r="AM1497" s="23"/>
      <c r="AN1497" s="23"/>
      <c r="AO1497" s="23"/>
      <c r="AP1497" s="23"/>
      <c r="AQ1497" s="81"/>
      <c r="AT1497" s="81"/>
      <c r="AU1497" s="12" t="s">
        <v>1940</v>
      </c>
      <c r="AV1497" s="13"/>
      <c r="AW1497" s="39">
        <v>3</v>
      </c>
      <c r="AX1497" s="12">
        <f>VLOOKUP(AW1497,색인!$N$14:$O$19,2,FALSE)</f>
        <v>2</v>
      </c>
      <c r="AY1497" s="32" t="str">
        <f>"T"&amp;O1497&amp;"_"&amp;AX1497&amp;"옵션_"&amp;VLOOKUP(E1497,색인!$J$25:$K$29,2,FALSE)</f>
        <v>T2_2옵션_장신구</v>
      </c>
      <c r="AZ1497" s="32">
        <f>VLOOKUP(G1497,색인!$J$32:$K$45,2,FALSE)</f>
        <v>2</v>
      </c>
      <c r="BA1497" s="32" t="str">
        <f>_xlfn.IFNA(VLOOKUP(AY1497,표1[[검색용]:[OptionGroupIndex'[']22]],EquipItemTable!AZ1497,FALSE),"옵션고정안함")</f>
        <v>2231</v>
      </c>
    </row>
    <row r="1498" spans="1:53" ht="12" customHeight="1" x14ac:dyDescent="0.2">
      <c r="A1498" s="10" t="s">
        <v>524</v>
      </c>
      <c r="B1498" s="39">
        <v>81008</v>
      </c>
      <c r="C1498" s="42" t="s">
        <v>3919</v>
      </c>
      <c r="D1498" s="10" t="s">
        <v>2947</v>
      </c>
      <c r="E1498" s="10" t="s">
        <v>2</v>
      </c>
      <c r="F1498" s="1" t="s">
        <v>312</v>
      </c>
      <c r="G1498" s="1" t="s">
        <v>1315</v>
      </c>
      <c r="H1498" s="1"/>
      <c r="I1498" s="1"/>
      <c r="J1498" s="1"/>
      <c r="K1498" s="1"/>
      <c r="L1498" s="1"/>
      <c r="M1498" s="1"/>
      <c r="N1498" s="81"/>
      <c r="O1498" s="12" t="s">
        <v>429</v>
      </c>
      <c r="P1498" s="1">
        <v>21</v>
      </c>
      <c r="Q1498" s="13"/>
      <c r="R1498" s="13"/>
      <c r="S1498" s="13"/>
      <c r="T1498" s="13"/>
      <c r="U1498" s="13"/>
      <c r="V1498" s="13"/>
      <c r="W1498" s="1">
        <v>219</v>
      </c>
      <c r="X1498" s="1">
        <f t="shared" si="183"/>
        <v>219</v>
      </c>
      <c r="Y1498" s="84"/>
      <c r="Z1498" s="13"/>
      <c r="AA1498" s="13"/>
      <c r="AB1498" s="13"/>
      <c r="AC1498" s="82"/>
      <c r="AD1498" s="23"/>
      <c r="AE1498" s="39" t="str">
        <f t="shared" si="185"/>
        <v>2331</v>
      </c>
      <c r="AI1498" s="23"/>
      <c r="AJ1498" s="23"/>
      <c r="AK1498" s="23"/>
      <c r="AL1498" s="23"/>
      <c r="AM1498" s="23"/>
      <c r="AN1498" s="23"/>
      <c r="AO1498" s="23"/>
      <c r="AP1498" s="23"/>
      <c r="AQ1498" s="81"/>
      <c r="AT1498" s="81"/>
      <c r="AU1498" s="12" t="s">
        <v>1941</v>
      </c>
      <c r="AV1498" s="13"/>
      <c r="AW1498" s="39">
        <v>4</v>
      </c>
      <c r="AX1498" s="12">
        <f>VLOOKUP(AW1498,색인!$N$14:$O$19,2,FALSE)</f>
        <v>3</v>
      </c>
      <c r="AY1498" s="32" t="str">
        <f>"T"&amp;O1498&amp;"_"&amp;AX1498&amp;"옵션_"&amp;VLOOKUP(E1498,색인!$J$25:$K$29,2,FALSE)</f>
        <v>T2_3옵션_장신구</v>
      </c>
      <c r="AZ1498" s="32">
        <f>VLOOKUP(G1498,색인!$J$32:$K$45,2,FALSE)</f>
        <v>2</v>
      </c>
      <c r="BA1498" s="32" t="str">
        <f>_xlfn.IFNA(VLOOKUP(AY1498,표1[[검색용]:[OptionGroupIndex'[']22]],EquipItemTable!AZ1498,FALSE),"옵션고정안함")</f>
        <v>2331</v>
      </c>
    </row>
    <row r="1499" spans="1:53" ht="12" customHeight="1" x14ac:dyDescent="0.2">
      <c r="A1499" s="10" t="s">
        <v>273</v>
      </c>
      <c r="B1499" s="39">
        <v>81009</v>
      </c>
      <c r="C1499" s="42" t="s">
        <v>3920</v>
      </c>
      <c r="D1499" s="10" t="s">
        <v>2947</v>
      </c>
      <c r="E1499" s="10" t="s">
        <v>2</v>
      </c>
      <c r="F1499" s="1" t="s">
        <v>312</v>
      </c>
      <c r="G1499" s="1" t="s">
        <v>1315</v>
      </c>
      <c r="H1499" s="1"/>
      <c r="I1499" s="1"/>
      <c r="J1499" s="1"/>
      <c r="K1499" s="1"/>
      <c r="L1499" s="1"/>
      <c r="M1499" s="1"/>
      <c r="N1499" s="81"/>
      <c r="O1499" s="12" t="s">
        <v>96</v>
      </c>
      <c r="P1499" s="1">
        <v>31</v>
      </c>
      <c r="Q1499" s="13"/>
      <c r="R1499" s="13"/>
      <c r="S1499" s="13"/>
      <c r="T1499" s="13"/>
      <c r="U1499" s="13"/>
      <c r="V1499" s="13"/>
      <c r="W1499" s="13">
        <v>250</v>
      </c>
      <c r="X1499" s="1">
        <f t="shared" si="183"/>
        <v>250</v>
      </c>
      <c r="Y1499" s="84"/>
      <c r="Z1499" s="13"/>
      <c r="AA1499" s="13"/>
      <c r="AB1499" s="13"/>
      <c r="AC1499" s="82"/>
      <c r="AD1499" s="23" t="s">
        <v>52</v>
      </c>
      <c r="AE1499" s="23">
        <v>3</v>
      </c>
      <c r="AF1499" s="23"/>
      <c r="AI1499" s="23"/>
      <c r="AJ1499" s="23"/>
      <c r="AK1499" s="23"/>
      <c r="AL1499" s="23"/>
      <c r="AM1499" s="23"/>
      <c r="AN1499" s="23"/>
      <c r="AO1499" s="23"/>
      <c r="AP1499" s="23"/>
      <c r="AQ1499" s="81"/>
      <c r="AR1499" s="83"/>
      <c r="AS1499" s="83"/>
      <c r="AT1499" s="81"/>
      <c r="AU1499" s="12" t="s">
        <v>1932</v>
      </c>
      <c r="AV1499" s="13"/>
      <c r="AW1499" s="39">
        <v>1</v>
      </c>
      <c r="AY1499" s="32"/>
      <c r="AZ1499" s="32"/>
      <c r="BA1499" s="32"/>
    </row>
    <row r="1500" spans="1:53" ht="12" customHeight="1" x14ac:dyDescent="0.2">
      <c r="A1500" s="10" t="s">
        <v>274</v>
      </c>
      <c r="B1500" s="39">
        <v>81010</v>
      </c>
      <c r="C1500" s="42" t="s">
        <v>3921</v>
      </c>
      <c r="D1500" s="10" t="s">
        <v>2947</v>
      </c>
      <c r="E1500" s="10" t="s">
        <v>2</v>
      </c>
      <c r="F1500" s="1" t="s">
        <v>312</v>
      </c>
      <c r="G1500" s="1" t="s">
        <v>1315</v>
      </c>
      <c r="H1500" s="1"/>
      <c r="I1500" s="1"/>
      <c r="J1500" s="1"/>
      <c r="K1500" s="1"/>
      <c r="L1500" s="1"/>
      <c r="M1500" s="1"/>
      <c r="N1500" s="81"/>
      <c r="O1500" s="12" t="s">
        <v>96</v>
      </c>
      <c r="P1500" s="1">
        <v>31</v>
      </c>
      <c r="Q1500" s="13"/>
      <c r="R1500" s="13"/>
      <c r="S1500" s="13"/>
      <c r="T1500" s="13"/>
      <c r="U1500" s="13"/>
      <c r="V1500" s="13"/>
      <c r="W1500" s="13">
        <v>317</v>
      </c>
      <c r="X1500" s="1">
        <f t="shared" si="183"/>
        <v>317</v>
      </c>
      <c r="Y1500" s="84"/>
      <c r="Z1500" s="13"/>
      <c r="AA1500" s="13"/>
      <c r="AB1500" s="13"/>
      <c r="AC1500" s="82"/>
      <c r="AD1500" s="23" t="s">
        <v>52</v>
      </c>
      <c r="AE1500" s="90" t="str">
        <f t="shared" ref="AE1500:AE1502" si="186">BA1500</f>
        <v>3131</v>
      </c>
      <c r="AF1500" s="23"/>
      <c r="AI1500" s="23"/>
      <c r="AJ1500" s="23"/>
      <c r="AK1500" s="23"/>
      <c r="AL1500" s="23"/>
      <c r="AM1500" s="23"/>
      <c r="AN1500" s="23"/>
      <c r="AO1500" s="23"/>
      <c r="AP1500" s="23"/>
      <c r="AQ1500" s="81"/>
      <c r="AR1500" s="83"/>
      <c r="AS1500" s="83"/>
      <c r="AT1500" s="81"/>
      <c r="AU1500" s="12" t="s">
        <v>1939</v>
      </c>
      <c r="AV1500" s="13"/>
      <c r="AW1500" s="39">
        <v>2</v>
      </c>
      <c r="AX1500" s="12">
        <f>VLOOKUP(AW1500,색인!$N$14:$O$19,2,FALSE)</f>
        <v>1</v>
      </c>
      <c r="AY1500" s="32" t="str">
        <f>"T"&amp;O1500&amp;"_"&amp;AX1500&amp;"옵션_"&amp;VLOOKUP(E1500,색인!$J$25:$K$29,2,FALSE)</f>
        <v>T3_1옵션_장신구</v>
      </c>
      <c r="AZ1500" s="32">
        <f>VLOOKUP(G1500,색인!$J$32:$K$45,2,FALSE)</f>
        <v>2</v>
      </c>
      <c r="BA1500" s="32" t="str">
        <f>_xlfn.IFNA(VLOOKUP(AY1500,표1[[검색용]:[OptionGroupIndex'[']22]],EquipItemTable!AZ1500,FALSE),"옵션고정안함")</f>
        <v>3131</v>
      </c>
    </row>
    <row r="1501" spans="1:53" ht="12" customHeight="1" x14ac:dyDescent="0.2">
      <c r="A1501" s="10" t="s">
        <v>275</v>
      </c>
      <c r="B1501" s="39">
        <v>81011</v>
      </c>
      <c r="C1501" s="42" t="s">
        <v>3922</v>
      </c>
      <c r="D1501" s="10" t="s">
        <v>2947</v>
      </c>
      <c r="E1501" s="10" t="s">
        <v>2</v>
      </c>
      <c r="F1501" s="1" t="s">
        <v>312</v>
      </c>
      <c r="G1501" s="1" t="s">
        <v>1315</v>
      </c>
      <c r="H1501" s="1"/>
      <c r="I1501" s="1"/>
      <c r="J1501" s="1"/>
      <c r="K1501" s="1"/>
      <c r="L1501" s="1"/>
      <c r="M1501" s="1"/>
      <c r="N1501" s="81"/>
      <c r="O1501" s="12" t="s">
        <v>96</v>
      </c>
      <c r="P1501" s="1">
        <v>31</v>
      </c>
      <c r="Q1501" s="13"/>
      <c r="R1501" s="13"/>
      <c r="S1501" s="13"/>
      <c r="T1501" s="13"/>
      <c r="U1501" s="13"/>
      <c r="V1501" s="13"/>
      <c r="W1501" s="13">
        <v>378</v>
      </c>
      <c r="X1501" s="1">
        <f t="shared" si="183"/>
        <v>378</v>
      </c>
      <c r="Y1501" s="84"/>
      <c r="Z1501" s="13"/>
      <c r="AA1501" s="13"/>
      <c r="AB1501" s="13"/>
      <c r="AC1501" s="82"/>
      <c r="AD1501" s="23" t="s">
        <v>52</v>
      </c>
      <c r="AE1501" s="90" t="str">
        <f t="shared" si="186"/>
        <v>3231</v>
      </c>
      <c r="AF1501" s="23"/>
      <c r="AI1501" s="23"/>
      <c r="AJ1501" s="23"/>
      <c r="AK1501" s="23"/>
      <c r="AL1501" s="23"/>
      <c r="AM1501" s="23"/>
      <c r="AN1501" s="23"/>
      <c r="AO1501" s="23"/>
      <c r="AP1501" s="23"/>
      <c r="AQ1501" s="81"/>
      <c r="AR1501" s="83"/>
      <c r="AS1501" s="83"/>
      <c r="AT1501" s="81"/>
      <c r="AU1501" s="12" t="s">
        <v>1940</v>
      </c>
      <c r="AV1501" s="13"/>
      <c r="AW1501" s="39">
        <v>3</v>
      </c>
      <c r="AX1501" s="12">
        <f>VLOOKUP(AW1501,색인!$N$14:$O$19,2,FALSE)</f>
        <v>2</v>
      </c>
      <c r="AY1501" s="32" t="str">
        <f>"T"&amp;O1501&amp;"_"&amp;AX1501&amp;"옵션_"&amp;VLOOKUP(E1501,색인!$J$25:$K$29,2,FALSE)</f>
        <v>T3_2옵션_장신구</v>
      </c>
      <c r="AZ1501" s="32">
        <f>VLOOKUP(G1501,색인!$J$32:$K$45,2,FALSE)</f>
        <v>2</v>
      </c>
      <c r="BA1501" s="32" t="str">
        <f>_xlfn.IFNA(VLOOKUP(AY1501,표1[[검색용]:[OptionGroupIndex'[']22]],EquipItemTable!AZ1501,FALSE),"옵션고정안함")</f>
        <v>3231</v>
      </c>
    </row>
    <row r="1502" spans="1:53" ht="12" customHeight="1" x14ac:dyDescent="0.2">
      <c r="A1502" s="10" t="s">
        <v>276</v>
      </c>
      <c r="B1502" s="39">
        <v>81012</v>
      </c>
      <c r="C1502" s="42" t="s">
        <v>3923</v>
      </c>
      <c r="D1502" s="10" t="s">
        <v>2947</v>
      </c>
      <c r="E1502" s="10" t="s">
        <v>2</v>
      </c>
      <c r="F1502" s="1" t="s">
        <v>312</v>
      </c>
      <c r="G1502" s="1" t="s">
        <v>1315</v>
      </c>
      <c r="H1502" s="1"/>
      <c r="I1502" s="1"/>
      <c r="J1502" s="1"/>
      <c r="K1502" s="1"/>
      <c r="L1502" s="1"/>
      <c r="M1502" s="1"/>
      <c r="N1502" s="81"/>
      <c r="O1502" s="12" t="s">
        <v>96</v>
      </c>
      <c r="P1502" s="1">
        <v>31</v>
      </c>
      <c r="Q1502" s="13"/>
      <c r="R1502" s="13"/>
      <c r="S1502" s="13"/>
      <c r="T1502" s="13"/>
      <c r="U1502" s="13"/>
      <c r="V1502" s="13"/>
      <c r="W1502" s="13">
        <v>451</v>
      </c>
      <c r="X1502" s="1">
        <f t="shared" si="183"/>
        <v>451</v>
      </c>
      <c r="Y1502" s="84"/>
      <c r="Z1502" s="13"/>
      <c r="AA1502" s="13"/>
      <c r="AB1502" s="13"/>
      <c r="AC1502" s="82"/>
      <c r="AD1502" s="23" t="s">
        <v>52</v>
      </c>
      <c r="AE1502" s="90" t="str">
        <f t="shared" si="186"/>
        <v>3331</v>
      </c>
      <c r="AF1502" s="23"/>
      <c r="AI1502" s="23"/>
      <c r="AJ1502" s="23"/>
      <c r="AK1502" s="23"/>
      <c r="AL1502" s="23"/>
      <c r="AM1502" s="23"/>
      <c r="AN1502" s="23"/>
      <c r="AO1502" s="23"/>
      <c r="AP1502" s="23"/>
      <c r="AQ1502" s="81"/>
      <c r="AR1502" s="83"/>
      <c r="AS1502" s="83"/>
      <c r="AT1502" s="81"/>
      <c r="AU1502" s="12" t="s">
        <v>1941</v>
      </c>
      <c r="AV1502" s="13"/>
      <c r="AW1502" s="39">
        <v>4</v>
      </c>
      <c r="AX1502" s="12">
        <f>VLOOKUP(AW1502,색인!$N$14:$O$19,2,FALSE)</f>
        <v>3</v>
      </c>
      <c r="AY1502" s="32" t="str">
        <f>"T"&amp;O1502&amp;"_"&amp;AX1502&amp;"옵션_"&amp;VLOOKUP(E1502,색인!$J$25:$K$29,2,FALSE)</f>
        <v>T3_3옵션_장신구</v>
      </c>
      <c r="AZ1502" s="32">
        <f>VLOOKUP(G1502,색인!$J$32:$K$45,2,FALSE)</f>
        <v>2</v>
      </c>
      <c r="BA1502" s="32" t="str">
        <f>_xlfn.IFNA(VLOOKUP(AY1502,표1[[검색용]:[OptionGroupIndex'[']22]],EquipItemTable!AZ1502,FALSE),"옵션고정안함")</f>
        <v>3331</v>
      </c>
    </row>
    <row r="1503" spans="1:53" ht="12" customHeight="1" x14ac:dyDescent="0.2">
      <c r="A1503" s="10" t="s">
        <v>277</v>
      </c>
      <c r="B1503" s="39">
        <v>81013</v>
      </c>
      <c r="C1503" s="42" t="s">
        <v>3924</v>
      </c>
      <c r="D1503" s="10" t="s">
        <v>2947</v>
      </c>
      <c r="E1503" s="10" t="s">
        <v>2</v>
      </c>
      <c r="F1503" s="1" t="s">
        <v>312</v>
      </c>
      <c r="G1503" s="1" t="s">
        <v>1315</v>
      </c>
      <c r="H1503" s="1"/>
      <c r="I1503" s="1"/>
      <c r="J1503" s="1"/>
      <c r="K1503" s="1"/>
      <c r="L1503" s="1"/>
      <c r="M1503" s="1"/>
      <c r="N1503" s="81"/>
      <c r="O1503" s="12" t="s">
        <v>97</v>
      </c>
      <c r="P1503" s="1">
        <v>41</v>
      </c>
      <c r="Q1503" s="13"/>
      <c r="R1503" s="13"/>
      <c r="S1503" s="13"/>
      <c r="T1503" s="13"/>
      <c r="U1503" s="13"/>
      <c r="V1503" s="13"/>
      <c r="W1503" s="13">
        <v>517</v>
      </c>
      <c r="X1503" s="1">
        <f t="shared" si="183"/>
        <v>517</v>
      </c>
      <c r="Y1503" s="84"/>
      <c r="Z1503" s="13"/>
      <c r="AA1503" s="13"/>
      <c r="AB1503" s="13"/>
      <c r="AC1503" s="82"/>
      <c r="AD1503" s="23" t="s">
        <v>52</v>
      </c>
      <c r="AE1503" s="23">
        <v>4</v>
      </c>
      <c r="AF1503" s="23"/>
      <c r="AI1503" s="23"/>
      <c r="AJ1503" s="23"/>
      <c r="AK1503" s="23"/>
      <c r="AL1503" s="23"/>
      <c r="AM1503" s="23"/>
      <c r="AN1503" s="23"/>
      <c r="AO1503" s="23"/>
      <c r="AP1503" s="23"/>
      <c r="AQ1503" s="81"/>
      <c r="AR1503" s="83"/>
      <c r="AS1503" s="83"/>
      <c r="AT1503" s="81"/>
      <c r="AU1503" s="12" t="s">
        <v>1932</v>
      </c>
      <c r="AV1503" s="13"/>
      <c r="AW1503" s="39">
        <v>1</v>
      </c>
      <c r="AY1503" s="32"/>
      <c r="AZ1503" s="32"/>
      <c r="BA1503" s="32"/>
    </row>
    <row r="1504" spans="1:53" ht="12" customHeight="1" x14ac:dyDescent="0.2">
      <c r="A1504" s="10" t="s">
        <v>278</v>
      </c>
      <c r="B1504" s="39">
        <v>81014</v>
      </c>
      <c r="C1504" s="42" t="s">
        <v>3925</v>
      </c>
      <c r="D1504" s="10" t="s">
        <v>2947</v>
      </c>
      <c r="E1504" s="10" t="s">
        <v>2</v>
      </c>
      <c r="F1504" s="1" t="s">
        <v>312</v>
      </c>
      <c r="G1504" s="1" t="s">
        <v>1315</v>
      </c>
      <c r="H1504" s="1"/>
      <c r="I1504" s="1"/>
      <c r="J1504" s="1"/>
      <c r="K1504" s="1"/>
      <c r="L1504" s="1"/>
      <c r="M1504" s="1"/>
      <c r="N1504" s="81"/>
      <c r="O1504" s="12" t="s">
        <v>97</v>
      </c>
      <c r="P1504" s="1">
        <v>41</v>
      </c>
      <c r="Q1504" s="13"/>
      <c r="R1504" s="13"/>
      <c r="S1504" s="13"/>
      <c r="T1504" s="13"/>
      <c r="U1504" s="13"/>
      <c r="V1504" s="13"/>
      <c r="W1504" s="13">
        <v>639</v>
      </c>
      <c r="X1504" s="1">
        <f t="shared" si="183"/>
        <v>639</v>
      </c>
      <c r="Y1504" s="84"/>
      <c r="Z1504" s="13"/>
      <c r="AA1504" s="13"/>
      <c r="AB1504" s="13"/>
      <c r="AC1504" s="82"/>
      <c r="AD1504" s="23" t="s">
        <v>52</v>
      </c>
      <c r="AE1504" s="90" t="str">
        <f t="shared" ref="AE1504:AE1506" si="187">BA1504</f>
        <v>4131</v>
      </c>
      <c r="AF1504" s="23"/>
      <c r="AI1504" s="23"/>
      <c r="AJ1504" s="23"/>
      <c r="AK1504" s="23"/>
      <c r="AL1504" s="23"/>
      <c r="AM1504" s="23"/>
      <c r="AN1504" s="23"/>
      <c r="AO1504" s="23"/>
      <c r="AP1504" s="23"/>
      <c r="AQ1504" s="81"/>
      <c r="AR1504" s="83"/>
      <c r="AS1504" s="83"/>
      <c r="AT1504" s="81"/>
      <c r="AU1504" s="12" t="s">
        <v>1939</v>
      </c>
      <c r="AV1504" s="13"/>
      <c r="AW1504" s="39">
        <v>2</v>
      </c>
      <c r="AX1504" s="12">
        <f>VLOOKUP(AW1504,색인!$N$14:$O$19,2,FALSE)</f>
        <v>1</v>
      </c>
      <c r="AY1504" s="32" t="str">
        <f>"T"&amp;O1504&amp;"_"&amp;AX1504&amp;"옵션_"&amp;VLOOKUP(E1504,색인!$J$25:$K$29,2,FALSE)</f>
        <v>T4_1옵션_장신구</v>
      </c>
      <c r="AZ1504" s="32">
        <f>VLOOKUP(G1504,색인!$J$32:$K$45,2,FALSE)</f>
        <v>2</v>
      </c>
      <c r="BA1504" s="32" t="str">
        <f>_xlfn.IFNA(VLOOKUP(AY1504,표1[[검색용]:[OptionGroupIndex'[']22]],EquipItemTable!AZ1504,FALSE),"옵션고정안함")</f>
        <v>4131</v>
      </c>
    </row>
    <row r="1505" spans="1:53" ht="12" customHeight="1" x14ac:dyDescent="0.2">
      <c r="A1505" s="10" t="s">
        <v>279</v>
      </c>
      <c r="B1505" s="39">
        <v>81015</v>
      </c>
      <c r="C1505" s="42" t="s">
        <v>3926</v>
      </c>
      <c r="D1505" s="10" t="s">
        <v>2947</v>
      </c>
      <c r="E1505" s="10" t="s">
        <v>2</v>
      </c>
      <c r="F1505" s="1" t="s">
        <v>312</v>
      </c>
      <c r="G1505" s="1" t="s">
        <v>1315</v>
      </c>
      <c r="H1505" s="1"/>
      <c r="I1505" s="1"/>
      <c r="J1505" s="1"/>
      <c r="K1505" s="1"/>
      <c r="L1505" s="1"/>
      <c r="M1505" s="1"/>
      <c r="N1505" s="81"/>
      <c r="O1505" s="12" t="s">
        <v>97</v>
      </c>
      <c r="P1505" s="1">
        <v>41</v>
      </c>
      <c r="Q1505" s="13"/>
      <c r="R1505" s="13"/>
      <c r="S1505" s="13"/>
      <c r="T1505" s="13"/>
      <c r="U1505" s="13"/>
      <c r="V1505" s="13"/>
      <c r="W1505" s="13">
        <v>750</v>
      </c>
      <c r="X1505" s="1">
        <f t="shared" si="183"/>
        <v>750</v>
      </c>
      <c r="Y1505" s="84"/>
      <c r="Z1505" s="13"/>
      <c r="AA1505" s="13"/>
      <c r="AB1505" s="13"/>
      <c r="AC1505" s="82"/>
      <c r="AD1505" s="23" t="s">
        <v>52</v>
      </c>
      <c r="AE1505" s="90" t="str">
        <f t="shared" si="187"/>
        <v>4231</v>
      </c>
      <c r="AF1505" s="23"/>
      <c r="AI1505" s="23"/>
      <c r="AJ1505" s="23"/>
      <c r="AK1505" s="23"/>
      <c r="AL1505" s="23"/>
      <c r="AM1505" s="23"/>
      <c r="AN1505" s="23"/>
      <c r="AO1505" s="23"/>
      <c r="AP1505" s="23"/>
      <c r="AQ1505" s="81"/>
      <c r="AR1505" s="83"/>
      <c r="AS1505" s="83"/>
      <c r="AT1505" s="81"/>
      <c r="AU1505" s="12" t="s">
        <v>1940</v>
      </c>
      <c r="AV1505" s="13"/>
      <c r="AW1505" s="39">
        <v>3</v>
      </c>
      <c r="AX1505" s="12">
        <f>VLOOKUP(AW1505,색인!$N$14:$O$19,2,FALSE)</f>
        <v>2</v>
      </c>
      <c r="AY1505" s="32" t="str">
        <f>"T"&amp;O1505&amp;"_"&amp;AX1505&amp;"옵션_"&amp;VLOOKUP(E1505,색인!$J$25:$K$29,2,FALSE)</f>
        <v>T4_2옵션_장신구</v>
      </c>
      <c r="AZ1505" s="32">
        <f>VLOOKUP(G1505,색인!$J$32:$K$45,2,FALSE)</f>
        <v>2</v>
      </c>
      <c r="BA1505" s="32" t="str">
        <f>_xlfn.IFNA(VLOOKUP(AY1505,표1[[검색용]:[OptionGroupIndex'[']22]],EquipItemTable!AZ1505,FALSE),"옵션고정안함")</f>
        <v>4231</v>
      </c>
    </row>
    <row r="1506" spans="1:53" ht="12" customHeight="1" x14ac:dyDescent="0.2">
      <c r="A1506" s="10" t="s">
        <v>280</v>
      </c>
      <c r="B1506" s="39">
        <v>81016</v>
      </c>
      <c r="C1506" s="42" t="s">
        <v>3927</v>
      </c>
      <c r="D1506" s="10" t="s">
        <v>2947</v>
      </c>
      <c r="E1506" s="10" t="s">
        <v>2</v>
      </c>
      <c r="F1506" s="1" t="s">
        <v>312</v>
      </c>
      <c r="G1506" s="1" t="s">
        <v>1315</v>
      </c>
      <c r="H1506" s="1"/>
      <c r="I1506" s="1"/>
      <c r="J1506" s="1"/>
      <c r="K1506" s="1"/>
      <c r="L1506" s="1"/>
      <c r="M1506" s="1"/>
      <c r="N1506" s="81"/>
      <c r="O1506" s="12" t="s">
        <v>97</v>
      </c>
      <c r="P1506" s="1">
        <v>41</v>
      </c>
      <c r="Q1506" s="13"/>
      <c r="R1506" s="13"/>
      <c r="S1506" s="13"/>
      <c r="T1506" s="13"/>
      <c r="U1506" s="13"/>
      <c r="V1506" s="13"/>
      <c r="W1506" s="1">
        <v>878</v>
      </c>
      <c r="X1506" s="1">
        <f t="shared" si="183"/>
        <v>878</v>
      </c>
      <c r="Y1506" s="84"/>
      <c r="Z1506" s="13"/>
      <c r="AA1506" s="13"/>
      <c r="AB1506" s="13"/>
      <c r="AC1506" s="82"/>
      <c r="AD1506" s="23" t="s">
        <v>52</v>
      </c>
      <c r="AE1506" s="39" t="str">
        <f t="shared" si="187"/>
        <v>4331</v>
      </c>
      <c r="AI1506" s="23"/>
      <c r="AJ1506" s="23"/>
      <c r="AK1506" s="23"/>
      <c r="AL1506" s="23"/>
      <c r="AM1506" s="23"/>
      <c r="AN1506" s="23"/>
      <c r="AO1506" s="23"/>
      <c r="AP1506" s="23"/>
      <c r="AQ1506" s="81"/>
      <c r="AT1506" s="81"/>
      <c r="AU1506" s="12" t="s">
        <v>1941</v>
      </c>
      <c r="AV1506" s="13"/>
      <c r="AW1506" s="39">
        <v>4</v>
      </c>
      <c r="AX1506" s="12">
        <f>VLOOKUP(AW1506,색인!$N$14:$O$19,2,FALSE)</f>
        <v>3</v>
      </c>
      <c r="AY1506" s="32" t="str">
        <f>"T"&amp;O1506&amp;"_"&amp;AX1506&amp;"옵션_"&amp;VLOOKUP(E1506,색인!$J$25:$K$29,2,FALSE)</f>
        <v>T4_3옵션_장신구</v>
      </c>
      <c r="AZ1506" s="32">
        <f>VLOOKUP(G1506,색인!$J$32:$K$45,2,FALSE)</f>
        <v>2</v>
      </c>
      <c r="BA1506" s="32" t="str">
        <f>_xlfn.IFNA(VLOOKUP(AY1506,표1[[검색용]:[OptionGroupIndex'[']22]],EquipItemTable!AZ1506,FALSE),"옵션고정안함")</f>
        <v>4331</v>
      </c>
    </row>
    <row r="1507" spans="1:53" ht="12" customHeight="1" x14ac:dyDescent="0.2">
      <c r="A1507" s="10" t="s">
        <v>526</v>
      </c>
      <c r="B1507" s="39">
        <v>81017</v>
      </c>
      <c r="C1507" s="42" t="s">
        <v>3928</v>
      </c>
      <c r="D1507" s="10" t="s">
        <v>2947</v>
      </c>
      <c r="E1507" s="10" t="s">
        <v>2</v>
      </c>
      <c r="F1507" s="1" t="s">
        <v>312</v>
      </c>
      <c r="G1507" s="1" t="s">
        <v>1315</v>
      </c>
      <c r="H1507" s="1"/>
      <c r="I1507" s="1"/>
      <c r="J1507" s="1"/>
      <c r="K1507" s="1"/>
      <c r="L1507" s="1"/>
      <c r="M1507" s="1"/>
      <c r="N1507" s="81"/>
      <c r="O1507" s="12" t="s">
        <v>529</v>
      </c>
      <c r="P1507" s="1">
        <v>51</v>
      </c>
      <c r="Q1507" s="13"/>
      <c r="R1507" s="13"/>
      <c r="S1507" s="13"/>
      <c r="T1507" s="13"/>
      <c r="U1507" s="13"/>
      <c r="V1507" s="13"/>
      <c r="W1507" s="1">
        <v>1008</v>
      </c>
      <c r="X1507" s="1">
        <f t="shared" si="183"/>
        <v>1008</v>
      </c>
      <c r="Y1507" s="84"/>
      <c r="Z1507" s="13"/>
      <c r="AA1507" s="13"/>
      <c r="AB1507" s="13"/>
      <c r="AC1507" s="82"/>
      <c r="AD1507" s="12" t="s">
        <v>542</v>
      </c>
      <c r="AE1507" s="12" t="s">
        <v>552</v>
      </c>
      <c r="AN1507" s="12"/>
      <c r="AT1507" s="81"/>
      <c r="AU1507" s="12" t="s">
        <v>1932</v>
      </c>
      <c r="AV1507" s="13"/>
      <c r="AW1507" s="39">
        <v>1</v>
      </c>
      <c r="AY1507" s="32"/>
      <c r="AZ1507" s="32"/>
      <c r="BA1507" s="32"/>
    </row>
    <row r="1508" spans="1:53" ht="12" customHeight="1" x14ac:dyDescent="0.2">
      <c r="A1508" s="10" t="s">
        <v>525</v>
      </c>
      <c r="B1508" s="39">
        <v>81018</v>
      </c>
      <c r="C1508" s="42" t="s">
        <v>3929</v>
      </c>
      <c r="D1508" s="10" t="s">
        <v>2947</v>
      </c>
      <c r="E1508" s="10" t="s">
        <v>2</v>
      </c>
      <c r="F1508" s="1" t="s">
        <v>312</v>
      </c>
      <c r="G1508" s="1" t="s">
        <v>1315</v>
      </c>
      <c r="H1508" s="1"/>
      <c r="I1508" s="1"/>
      <c r="J1508" s="1"/>
      <c r="K1508" s="1"/>
      <c r="L1508" s="1"/>
      <c r="M1508" s="1"/>
      <c r="N1508" s="81"/>
      <c r="O1508" s="12" t="s">
        <v>529</v>
      </c>
      <c r="P1508" s="1">
        <v>51</v>
      </c>
      <c r="Q1508" s="13"/>
      <c r="R1508" s="13"/>
      <c r="S1508" s="13"/>
      <c r="T1508" s="13"/>
      <c r="U1508" s="13"/>
      <c r="V1508" s="13"/>
      <c r="W1508" s="1">
        <v>1231</v>
      </c>
      <c r="X1508" s="1">
        <f t="shared" si="183"/>
        <v>1231</v>
      </c>
      <c r="Y1508" s="84"/>
      <c r="Z1508" s="13"/>
      <c r="AA1508" s="13"/>
      <c r="AB1508" s="13"/>
      <c r="AC1508" s="82"/>
      <c r="AD1508" s="12" t="s">
        <v>542</v>
      </c>
      <c r="AE1508" s="39" t="str">
        <f t="shared" ref="AE1508:AE1510" si="188">BA1508</f>
        <v>5131</v>
      </c>
      <c r="AN1508" s="12"/>
      <c r="AT1508" s="81"/>
      <c r="AU1508" s="12" t="s">
        <v>1939</v>
      </c>
      <c r="AV1508" s="13"/>
      <c r="AW1508" s="39">
        <v>2</v>
      </c>
      <c r="AX1508" s="12">
        <f>VLOOKUP(AW1508,색인!$N$14:$O$19,2,FALSE)</f>
        <v>1</v>
      </c>
      <c r="AY1508" s="32" t="str">
        <f>"T"&amp;O1508&amp;"_"&amp;AX1508&amp;"옵션_"&amp;VLOOKUP(E1508,색인!$J$25:$K$29,2,FALSE)</f>
        <v>T5_1옵션_장신구</v>
      </c>
      <c r="AZ1508" s="32">
        <f>VLOOKUP(G1508,색인!$J$32:$K$45,2,FALSE)</f>
        <v>2</v>
      </c>
      <c r="BA1508" s="32" t="str">
        <f>_xlfn.IFNA(VLOOKUP(AY1508,표1[[검색용]:[OptionGroupIndex'[']22]],EquipItemTable!AZ1508,FALSE),"옵션고정안함")</f>
        <v>5131</v>
      </c>
    </row>
    <row r="1509" spans="1:53" ht="12" customHeight="1" x14ac:dyDescent="0.2">
      <c r="A1509" s="10" t="s">
        <v>527</v>
      </c>
      <c r="B1509" s="39">
        <v>81019</v>
      </c>
      <c r="C1509" s="42" t="s">
        <v>3930</v>
      </c>
      <c r="D1509" s="10" t="s">
        <v>2947</v>
      </c>
      <c r="E1509" s="10" t="s">
        <v>2</v>
      </c>
      <c r="F1509" s="1" t="s">
        <v>312</v>
      </c>
      <c r="G1509" s="1" t="s">
        <v>1315</v>
      </c>
      <c r="H1509" s="1"/>
      <c r="I1509" s="1"/>
      <c r="J1509" s="1"/>
      <c r="K1509" s="1"/>
      <c r="L1509" s="1"/>
      <c r="M1509" s="1"/>
      <c r="N1509" s="81"/>
      <c r="O1509" s="12" t="s">
        <v>529</v>
      </c>
      <c r="P1509" s="1">
        <v>51</v>
      </c>
      <c r="Q1509" s="13"/>
      <c r="R1509" s="13"/>
      <c r="S1509" s="13"/>
      <c r="T1509" s="13"/>
      <c r="U1509" s="13"/>
      <c r="V1509" s="13"/>
      <c r="W1509" s="1">
        <v>1429</v>
      </c>
      <c r="X1509" s="1">
        <f t="shared" si="183"/>
        <v>1429</v>
      </c>
      <c r="Y1509" s="84"/>
      <c r="Z1509" s="13"/>
      <c r="AA1509" s="13"/>
      <c r="AB1509" s="13"/>
      <c r="AC1509" s="82"/>
      <c r="AD1509" s="12" t="s">
        <v>542</v>
      </c>
      <c r="AE1509" s="39" t="str">
        <f t="shared" si="188"/>
        <v>5231</v>
      </c>
      <c r="AN1509" s="12"/>
      <c r="AT1509" s="81"/>
      <c r="AU1509" s="12" t="s">
        <v>1940</v>
      </c>
      <c r="AV1509" s="13"/>
      <c r="AW1509" s="39">
        <v>3</v>
      </c>
      <c r="AX1509" s="12">
        <f>VLOOKUP(AW1509,색인!$N$14:$O$19,2,FALSE)</f>
        <v>2</v>
      </c>
      <c r="AY1509" s="32" t="str">
        <f>"T"&amp;O1509&amp;"_"&amp;AX1509&amp;"옵션_"&amp;VLOOKUP(E1509,색인!$J$25:$K$29,2,FALSE)</f>
        <v>T5_2옵션_장신구</v>
      </c>
      <c r="AZ1509" s="32">
        <f>VLOOKUP(G1509,색인!$J$32:$K$45,2,FALSE)</f>
        <v>2</v>
      </c>
      <c r="BA1509" s="32" t="str">
        <f>_xlfn.IFNA(VLOOKUP(AY1509,표1[[검색용]:[OptionGroupIndex'[']22]],EquipItemTable!AZ1509,FALSE),"옵션고정안함")</f>
        <v>5231</v>
      </c>
    </row>
    <row r="1510" spans="1:53" ht="12" customHeight="1" x14ac:dyDescent="0.2">
      <c r="A1510" s="10" t="s">
        <v>528</v>
      </c>
      <c r="B1510" s="39">
        <v>81020</v>
      </c>
      <c r="C1510" s="42" t="s">
        <v>3931</v>
      </c>
      <c r="D1510" s="10" t="s">
        <v>2947</v>
      </c>
      <c r="E1510" s="10" t="s">
        <v>2</v>
      </c>
      <c r="F1510" s="1" t="s">
        <v>312</v>
      </c>
      <c r="G1510" s="1" t="s">
        <v>1315</v>
      </c>
      <c r="H1510" s="1"/>
      <c r="I1510" s="1"/>
      <c r="J1510" s="1"/>
      <c r="K1510" s="1"/>
      <c r="L1510" s="1"/>
      <c r="M1510" s="1"/>
      <c r="N1510" s="81"/>
      <c r="O1510" s="12" t="s">
        <v>529</v>
      </c>
      <c r="P1510" s="1">
        <v>51</v>
      </c>
      <c r="Q1510" s="13"/>
      <c r="R1510" s="13"/>
      <c r="S1510" s="13"/>
      <c r="T1510" s="13"/>
      <c r="U1510" s="13"/>
      <c r="V1510" s="13"/>
      <c r="W1510" s="1">
        <v>1656</v>
      </c>
      <c r="X1510" s="1">
        <f t="shared" si="183"/>
        <v>1656</v>
      </c>
      <c r="Y1510" s="84"/>
      <c r="Z1510" s="13"/>
      <c r="AA1510" s="13"/>
      <c r="AB1510" s="13"/>
      <c r="AC1510" s="82"/>
      <c r="AD1510" s="12" t="s">
        <v>542</v>
      </c>
      <c r="AE1510" s="39" t="str">
        <f t="shared" si="188"/>
        <v>5331</v>
      </c>
      <c r="AN1510" s="12"/>
      <c r="AT1510" s="81"/>
      <c r="AU1510" s="12" t="s">
        <v>1941</v>
      </c>
      <c r="AV1510" s="13"/>
      <c r="AW1510" s="39">
        <v>4</v>
      </c>
      <c r="AX1510" s="12">
        <f>VLOOKUP(AW1510,색인!$N$14:$O$19,2,FALSE)</f>
        <v>3</v>
      </c>
      <c r="AY1510" s="32" t="str">
        <f>"T"&amp;O1510&amp;"_"&amp;AX1510&amp;"옵션_"&amp;VLOOKUP(E1510,색인!$J$25:$K$29,2,FALSE)</f>
        <v>T5_3옵션_장신구</v>
      </c>
      <c r="AZ1510" s="32">
        <f>VLOOKUP(G1510,색인!$J$32:$K$45,2,FALSE)</f>
        <v>2</v>
      </c>
      <c r="BA1510" s="32" t="str">
        <f>_xlfn.IFNA(VLOOKUP(AY1510,표1[[검색용]:[OptionGroupIndex'[']22]],EquipItemTable!AZ1510,FALSE),"옵션고정안함")</f>
        <v>5331</v>
      </c>
    </row>
    <row r="1511" spans="1:53" s="1" customFormat="1" ht="12" x14ac:dyDescent="0.2">
      <c r="A1511" s="10" t="s">
        <v>838</v>
      </c>
      <c r="B1511" s="39">
        <v>81021</v>
      </c>
      <c r="C1511" s="42" t="s">
        <v>3932</v>
      </c>
      <c r="D1511" s="10" t="s">
        <v>2947</v>
      </c>
      <c r="E1511" s="10" t="s">
        <v>2</v>
      </c>
      <c r="F1511" s="1" t="s">
        <v>312</v>
      </c>
      <c r="G1511" s="1" t="s">
        <v>1315</v>
      </c>
      <c r="N1511" s="81"/>
      <c r="O1511" s="12" t="s">
        <v>755</v>
      </c>
      <c r="P1511" s="1">
        <v>61</v>
      </c>
      <c r="Q1511" s="13"/>
      <c r="R1511" s="13"/>
      <c r="S1511" s="13"/>
      <c r="T1511" s="13"/>
      <c r="U1511" s="13"/>
      <c r="V1511" s="13"/>
      <c r="W1511" s="1">
        <v>1760</v>
      </c>
      <c r="X1511" s="1">
        <f t="shared" ref="X1511:X1527" si="189">W1511</f>
        <v>1760</v>
      </c>
      <c r="Y1511" s="84"/>
      <c r="Z1511" s="13"/>
      <c r="AA1511" s="13"/>
      <c r="AB1511" s="13"/>
      <c r="AC1511" s="82"/>
      <c r="AD1511" s="12" t="s">
        <v>756</v>
      </c>
      <c r="AE1511" s="12" t="s">
        <v>529</v>
      </c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8"/>
      <c r="AR1511" s="34"/>
      <c r="AS1511" s="34"/>
      <c r="AT1511" s="85"/>
      <c r="AU1511" s="12" t="s">
        <v>1932</v>
      </c>
      <c r="AW1511" s="39">
        <v>1</v>
      </c>
      <c r="AX1511" s="12"/>
      <c r="AY1511" s="32"/>
      <c r="AZ1511" s="32"/>
      <c r="BA1511" s="32"/>
    </row>
    <row r="1512" spans="1:53" s="1" customFormat="1" ht="12" x14ac:dyDescent="0.2">
      <c r="A1512" s="10" t="s">
        <v>839</v>
      </c>
      <c r="B1512" s="39">
        <v>81022</v>
      </c>
      <c r="C1512" s="42" t="s">
        <v>3933</v>
      </c>
      <c r="D1512" s="10" t="s">
        <v>2947</v>
      </c>
      <c r="E1512" s="10" t="s">
        <v>2</v>
      </c>
      <c r="F1512" s="1" t="s">
        <v>312</v>
      </c>
      <c r="G1512" s="1" t="s">
        <v>1315</v>
      </c>
      <c r="N1512" s="81"/>
      <c r="O1512" s="12" t="s">
        <v>755</v>
      </c>
      <c r="P1512" s="1">
        <v>61</v>
      </c>
      <c r="Q1512" s="13"/>
      <c r="R1512" s="13"/>
      <c r="S1512" s="13"/>
      <c r="T1512" s="13"/>
      <c r="U1512" s="13"/>
      <c r="V1512" s="13"/>
      <c r="W1512" s="1">
        <v>1991</v>
      </c>
      <c r="X1512" s="1">
        <f t="shared" si="189"/>
        <v>1991</v>
      </c>
      <c r="Y1512" s="84"/>
      <c r="Z1512" s="13"/>
      <c r="AA1512" s="13"/>
      <c r="AB1512" s="13"/>
      <c r="AC1512" s="82"/>
      <c r="AD1512" s="12" t="s">
        <v>756</v>
      </c>
      <c r="AE1512" s="39" t="str">
        <f t="shared" ref="AE1512:AE1514" si="190">BA1512</f>
        <v>6131</v>
      </c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8"/>
      <c r="AR1512" s="34"/>
      <c r="AS1512" s="34"/>
      <c r="AT1512" s="85"/>
      <c r="AU1512" s="12" t="s">
        <v>1939</v>
      </c>
      <c r="AW1512" s="39">
        <v>2</v>
      </c>
      <c r="AX1512" s="12">
        <f>VLOOKUP(AW1512,색인!$N$14:$O$19,2,FALSE)</f>
        <v>1</v>
      </c>
      <c r="AY1512" s="32" t="str">
        <f>"T"&amp;O1512&amp;"_"&amp;AX1512&amp;"옵션_"&amp;VLOOKUP(E1512,색인!$J$25:$K$29,2,FALSE)</f>
        <v>T6_1옵션_장신구</v>
      </c>
      <c r="AZ1512" s="32">
        <f>VLOOKUP(G1512,색인!$J$32:$K$45,2,FALSE)</f>
        <v>2</v>
      </c>
      <c r="BA1512" s="32" t="str">
        <f>_xlfn.IFNA(VLOOKUP(AY1512,표1[[검색용]:[OptionGroupIndex'[']22]],EquipItemTable!AZ1512,FALSE),"옵션고정안함")</f>
        <v>6131</v>
      </c>
    </row>
    <row r="1513" spans="1:53" s="1" customFormat="1" ht="12" x14ac:dyDescent="0.2">
      <c r="A1513" s="10" t="s">
        <v>840</v>
      </c>
      <c r="B1513" s="39">
        <v>81023</v>
      </c>
      <c r="C1513" s="42" t="s">
        <v>3934</v>
      </c>
      <c r="D1513" s="10" t="s">
        <v>2947</v>
      </c>
      <c r="E1513" s="10" t="s">
        <v>2</v>
      </c>
      <c r="F1513" s="1" t="s">
        <v>312</v>
      </c>
      <c r="G1513" s="1" t="s">
        <v>1315</v>
      </c>
      <c r="N1513" s="81"/>
      <c r="O1513" s="12" t="s">
        <v>755</v>
      </c>
      <c r="P1513" s="1">
        <v>61</v>
      </c>
      <c r="Q1513" s="13"/>
      <c r="R1513" s="13"/>
      <c r="S1513" s="13"/>
      <c r="T1513" s="13"/>
      <c r="U1513" s="13"/>
      <c r="V1513" s="13"/>
      <c r="W1513" s="1">
        <v>2195</v>
      </c>
      <c r="X1513" s="1">
        <f t="shared" si="189"/>
        <v>2195</v>
      </c>
      <c r="Y1513" s="84"/>
      <c r="Z1513" s="13"/>
      <c r="AA1513" s="13"/>
      <c r="AB1513" s="13"/>
      <c r="AC1513" s="82"/>
      <c r="AD1513" s="12" t="s">
        <v>756</v>
      </c>
      <c r="AE1513" s="39" t="str">
        <f t="shared" si="190"/>
        <v>6231</v>
      </c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8"/>
      <c r="AR1513" s="34"/>
      <c r="AS1513" s="34"/>
      <c r="AT1513" s="85"/>
      <c r="AU1513" s="12" t="s">
        <v>1940</v>
      </c>
      <c r="AW1513" s="39">
        <v>3</v>
      </c>
      <c r="AX1513" s="12">
        <f>VLOOKUP(AW1513,색인!$N$14:$O$19,2,FALSE)</f>
        <v>2</v>
      </c>
      <c r="AY1513" s="32" t="str">
        <f>"T"&amp;O1513&amp;"_"&amp;AX1513&amp;"옵션_"&amp;VLOOKUP(E1513,색인!$J$25:$K$29,2,FALSE)</f>
        <v>T6_2옵션_장신구</v>
      </c>
      <c r="AZ1513" s="32">
        <f>VLOOKUP(G1513,색인!$J$32:$K$45,2,FALSE)</f>
        <v>2</v>
      </c>
      <c r="BA1513" s="32" t="str">
        <f>_xlfn.IFNA(VLOOKUP(AY1513,표1[[검색용]:[OptionGroupIndex'[']22]],EquipItemTable!AZ1513,FALSE),"옵션고정안함")</f>
        <v>6231</v>
      </c>
    </row>
    <row r="1514" spans="1:53" s="1" customFormat="1" ht="12" x14ac:dyDescent="0.2">
      <c r="A1514" s="10" t="s">
        <v>841</v>
      </c>
      <c r="B1514" s="39">
        <v>81024</v>
      </c>
      <c r="C1514" s="42" t="s">
        <v>3935</v>
      </c>
      <c r="D1514" s="10" t="s">
        <v>2947</v>
      </c>
      <c r="E1514" s="10" t="s">
        <v>2</v>
      </c>
      <c r="F1514" s="1" t="s">
        <v>312</v>
      </c>
      <c r="G1514" s="1" t="s">
        <v>1315</v>
      </c>
      <c r="N1514" s="81"/>
      <c r="O1514" s="12" t="s">
        <v>755</v>
      </c>
      <c r="P1514" s="1">
        <v>61</v>
      </c>
      <c r="Q1514" s="13"/>
      <c r="R1514" s="13"/>
      <c r="S1514" s="13"/>
      <c r="T1514" s="13"/>
      <c r="U1514" s="13"/>
      <c r="V1514" s="13"/>
      <c r="W1514" s="1">
        <v>2413</v>
      </c>
      <c r="X1514" s="1">
        <f t="shared" si="189"/>
        <v>2413</v>
      </c>
      <c r="Y1514" s="84"/>
      <c r="Z1514" s="13"/>
      <c r="AA1514" s="13"/>
      <c r="AB1514" s="13"/>
      <c r="AC1514" s="82"/>
      <c r="AD1514" s="12" t="s">
        <v>756</v>
      </c>
      <c r="AE1514" s="39" t="str">
        <f t="shared" si="190"/>
        <v>6331</v>
      </c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8"/>
      <c r="AR1514" s="34"/>
      <c r="AS1514" s="34"/>
      <c r="AT1514" s="85"/>
      <c r="AU1514" s="12" t="s">
        <v>1941</v>
      </c>
      <c r="AW1514" s="39">
        <v>4</v>
      </c>
      <c r="AX1514" s="12">
        <f>VLOOKUP(AW1514,색인!$N$14:$O$19,2,FALSE)</f>
        <v>3</v>
      </c>
      <c r="AY1514" s="32" t="str">
        <f>"T"&amp;O1514&amp;"_"&amp;AX1514&amp;"옵션_"&amp;VLOOKUP(E1514,색인!$J$25:$K$29,2,FALSE)</f>
        <v>T6_3옵션_장신구</v>
      </c>
      <c r="AZ1514" s="32">
        <f>VLOOKUP(G1514,색인!$J$32:$K$45,2,FALSE)</f>
        <v>2</v>
      </c>
      <c r="BA1514" s="32" t="str">
        <f>_xlfn.IFNA(VLOOKUP(AY1514,표1[[검색용]:[OptionGroupIndex'[']22]],EquipItemTable!AZ1514,FALSE),"옵션고정안함")</f>
        <v>6331</v>
      </c>
    </row>
    <row r="1515" spans="1:53" s="1" customFormat="1" ht="12" x14ac:dyDescent="0.2">
      <c r="A1515" s="10" t="s">
        <v>934</v>
      </c>
      <c r="B1515" s="39">
        <v>81105</v>
      </c>
      <c r="C1515" s="42" t="s">
        <v>3936</v>
      </c>
      <c r="D1515" s="10" t="s">
        <v>2947</v>
      </c>
      <c r="E1515" s="10" t="s">
        <v>2</v>
      </c>
      <c r="F1515" s="1" t="s">
        <v>312</v>
      </c>
      <c r="G1515" s="1" t="s">
        <v>1315</v>
      </c>
      <c r="N1515" s="81"/>
      <c r="O1515" s="32">
        <v>3</v>
      </c>
      <c r="P1515" s="23">
        <v>31</v>
      </c>
      <c r="Q1515" s="13"/>
      <c r="R1515" s="13"/>
      <c r="S1515" s="13"/>
      <c r="T1515" s="13"/>
      <c r="U1515" s="13"/>
      <c r="V1515" s="13"/>
      <c r="W1515" s="1">
        <v>532</v>
      </c>
      <c r="X1515" s="1">
        <f t="shared" si="189"/>
        <v>532</v>
      </c>
      <c r="Y1515" s="84"/>
      <c r="Z1515" s="13"/>
      <c r="AA1515" s="13"/>
      <c r="AB1515" s="13"/>
      <c r="AC1515" s="82"/>
      <c r="AD1515" s="12" t="s">
        <v>939</v>
      </c>
      <c r="AE1515" s="12" t="s">
        <v>938</v>
      </c>
      <c r="AF1515" s="12"/>
      <c r="AG1515" s="12"/>
      <c r="AH1515" s="12"/>
      <c r="AI1515" s="12"/>
      <c r="AJ1515" s="12"/>
      <c r="AK1515" s="12"/>
      <c r="AL1515" s="12"/>
      <c r="AM1515" s="12"/>
      <c r="AN1515" s="12">
        <v>1</v>
      </c>
      <c r="AO1515" s="12"/>
      <c r="AP1515" s="12"/>
      <c r="AQ1515" s="8"/>
      <c r="AR1515" s="34"/>
      <c r="AS1515" s="34"/>
      <c r="AT1515" s="85"/>
      <c r="AU1515" s="12" t="s">
        <v>1936</v>
      </c>
      <c r="AW1515" s="39">
        <v>6</v>
      </c>
      <c r="AX1515" s="12">
        <f>VLOOKUP(AW1515,색인!$N$14:$O$19,2,FALSE)</f>
        <v>4</v>
      </c>
      <c r="AY1515" s="32" t="str">
        <f>"T"&amp;O1515&amp;"_"&amp;AX1515&amp;"옵션_"&amp;VLOOKUP(E1515,색인!$J$25:$K$29,2,FALSE)</f>
        <v>T3_4옵션_장신구</v>
      </c>
      <c r="AZ1515" s="32">
        <f>VLOOKUP(G1515,색인!$J$32:$K$45,2,FALSE)</f>
        <v>2</v>
      </c>
      <c r="BA1515" s="32" t="str">
        <f>_xlfn.IFNA(VLOOKUP(AY1515,표1[[검색용]:[OptionGroupIndex'[']22]],EquipItemTable!AZ1515,FALSE),"옵션고정안함")</f>
        <v>옵션고정안함</v>
      </c>
    </row>
    <row r="1516" spans="1:53" s="1" customFormat="1" ht="12" x14ac:dyDescent="0.2">
      <c r="A1516" s="10" t="s">
        <v>1126</v>
      </c>
      <c r="B1516" s="39">
        <v>81107</v>
      </c>
      <c r="C1516" s="42" t="s">
        <v>3937</v>
      </c>
      <c r="D1516" s="10" t="s">
        <v>2947</v>
      </c>
      <c r="E1516" s="10" t="s">
        <v>2</v>
      </c>
      <c r="F1516" s="1" t="s">
        <v>312</v>
      </c>
      <c r="G1516" s="1" t="s">
        <v>1315</v>
      </c>
      <c r="N1516" s="81"/>
      <c r="O1516" s="32">
        <v>3</v>
      </c>
      <c r="P1516" s="23">
        <v>31</v>
      </c>
      <c r="Q1516" s="13"/>
      <c r="R1516" s="13"/>
      <c r="S1516" s="13"/>
      <c r="T1516" s="13"/>
      <c r="U1516" s="13"/>
      <c r="V1516" s="13"/>
      <c r="W1516" s="1">
        <v>532</v>
      </c>
      <c r="X1516" s="1">
        <f t="shared" ref="X1516:X1518" si="191">W1516</f>
        <v>532</v>
      </c>
      <c r="Y1516" s="84"/>
      <c r="Z1516" s="13"/>
      <c r="AA1516" s="13"/>
      <c r="AB1516" s="13"/>
      <c r="AC1516" s="82"/>
      <c r="AD1516" s="12" t="s">
        <v>336</v>
      </c>
      <c r="AE1516" s="12" t="s">
        <v>430</v>
      </c>
      <c r="AF1516" s="12"/>
      <c r="AG1516" s="12"/>
      <c r="AH1516" s="12"/>
      <c r="AI1516" s="12"/>
      <c r="AJ1516" s="12"/>
      <c r="AK1516" s="12"/>
      <c r="AL1516" s="12"/>
      <c r="AM1516" s="12"/>
      <c r="AN1516" s="12">
        <v>2</v>
      </c>
      <c r="AO1516" s="12"/>
      <c r="AP1516" s="12"/>
      <c r="AQ1516" s="8"/>
      <c r="AR1516" s="34"/>
      <c r="AS1516" s="34"/>
      <c r="AT1516" s="85"/>
      <c r="AU1516" s="12" t="s">
        <v>1936</v>
      </c>
      <c r="AW1516" s="39">
        <v>6</v>
      </c>
      <c r="AX1516" s="12">
        <f>VLOOKUP(AW1516,색인!$N$14:$O$19,2,FALSE)</f>
        <v>4</v>
      </c>
      <c r="AY1516" s="32" t="str">
        <f>"T"&amp;O1516&amp;"_"&amp;AX1516&amp;"옵션_"&amp;VLOOKUP(E1516,색인!$J$25:$K$29,2,FALSE)</f>
        <v>T3_4옵션_장신구</v>
      </c>
      <c r="AZ1516" s="32">
        <f>VLOOKUP(G1516,색인!$J$32:$K$45,2,FALSE)</f>
        <v>2</v>
      </c>
      <c r="BA1516" s="32" t="str">
        <f>_xlfn.IFNA(VLOOKUP(AY1516,표1[[검색용]:[OptionGroupIndex'[']22]],EquipItemTable!AZ1516,FALSE),"옵션고정안함")</f>
        <v>옵션고정안함</v>
      </c>
    </row>
    <row r="1517" spans="1:53" s="1" customFormat="1" ht="12" x14ac:dyDescent="0.2">
      <c r="A1517" s="10" t="s">
        <v>1127</v>
      </c>
      <c r="B1517" s="39">
        <v>81106</v>
      </c>
      <c r="C1517" s="42" t="s">
        <v>3938</v>
      </c>
      <c r="D1517" s="10" t="s">
        <v>2947</v>
      </c>
      <c r="E1517" s="10" t="s">
        <v>2</v>
      </c>
      <c r="F1517" s="1" t="s">
        <v>312</v>
      </c>
      <c r="G1517" s="1" t="s">
        <v>1315</v>
      </c>
      <c r="N1517" s="81"/>
      <c r="O1517" s="32">
        <v>3</v>
      </c>
      <c r="P1517" s="23">
        <v>31</v>
      </c>
      <c r="Q1517" s="13"/>
      <c r="R1517" s="13"/>
      <c r="S1517" s="13"/>
      <c r="T1517" s="13"/>
      <c r="U1517" s="13"/>
      <c r="V1517" s="13"/>
      <c r="W1517" s="1">
        <v>532</v>
      </c>
      <c r="X1517" s="1">
        <f t="shared" si="191"/>
        <v>532</v>
      </c>
      <c r="Y1517" s="84"/>
      <c r="Z1517" s="13"/>
      <c r="AA1517" s="13"/>
      <c r="AB1517" s="13"/>
      <c r="AC1517" s="82"/>
      <c r="AD1517" s="12" t="s">
        <v>336</v>
      </c>
      <c r="AE1517" s="12" t="s">
        <v>430</v>
      </c>
      <c r="AF1517" s="12"/>
      <c r="AG1517" s="12"/>
      <c r="AH1517" s="12"/>
      <c r="AI1517" s="12"/>
      <c r="AJ1517" s="12"/>
      <c r="AK1517" s="12"/>
      <c r="AL1517" s="12"/>
      <c r="AM1517" s="12"/>
      <c r="AN1517" s="12">
        <v>3</v>
      </c>
      <c r="AO1517" s="12"/>
      <c r="AP1517" s="12"/>
      <c r="AQ1517" s="8"/>
      <c r="AR1517" s="34"/>
      <c r="AS1517" s="34"/>
      <c r="AT1517" s="85"/>
      <c r="AU1517" s="12" t="s">
        <v>1936</v>
      </c>
      <c r="AW1517" s="39">
        <v>6</v>
      </c>
      <c r="AX1517" s="12">
        <f>VLOOKUP(AW1517,색인!$N$14:$O$19,2,FALSE)</f>
        <v>4</v>
      </c>
      <c r="AY1517" s="32" t="str">
        <f>"T"&amp;O1517&amp;"_"&amp;AX1517&amp;"옵션_"&amp;VLOOKUP(E1517,색인!$J$25:$K$29,2,FALSE)</f>
        <v>T3_4옵션_장신구</v>
      </c>
      <c r="AZ1517" s="32">
        <f>VLOOKUP(G1517,색인!$J$32:$K$45,2,FALSE)</f>
        <v>2</v>
      </c>
      <c r="BA1517" s="32" t="str">
        <f>_xlfn.IFNA(VLOOKUP(AY1517,표1[[검색용]:[OptionGroupIndex'[']22]],EquipItemTable!AZ1517,FALSE),"옵션고정안함")</f>
        <v>옵션고정안함</v>
      </c>
    </row>
    <row r="1518" spans="1:53" s="1" customFormat="1" ht="12" x14ac:dyDescent="0.2">
      <c r="A1518" s="10" t="s">
        <v>1128</v>
      </c>
      <c r="B1518" s="39">
        <v>81101</v>
      </c>
      <c r="C1518" s="42" t="s">
        <v>3939</v>
      </c>
      <c r="D1518" s="10" t="s">
        <v>2947</v>
      </c>
      <c r="E1518" s="10" t="s">
        <v>2</v>
      </c>
      <c r="F1518" s="1" t="s">
        <v>312</v>
      </c>
      <c r="G1518" s="1" t="s">
        <v>1315</v>
      </c>
      <c r="N1518" s="81"/>
      <c r="O1518" s="32">
        <v>3</v>
      </c>
      <c r="P1518" s="23">
        <v>31</v>
      </c>
      <c r="Q1518" s="13"/>
      <c r="R1518" s="13"/>
      <c r="S1518" s="13"/>
      <c r="T1518" s="13"/>
      <c r="U1518" s="13"/>
      <c r="V1518" s="13"/>
      <c r="W1518" s="1">
        <v>532</v>
      </c>
      <c r="X1518" s="1">
        <f t="shared" si="191"/>
        <v>532</v>
      </c>
      <c r="Y1518" s="84"/>
      <c r="Z1518" s="13"/>
      <c r="AA1518" s="13"/>
      <c r="AB1518" s="13"/>
      <c r="AC1518" s="82"/>
      <c r="AD1518" s="12" t="s">
        <v>336</v>
      </c>
      <c r="AE1518" s="12" t="s">
        <v>430</v>
      </c>
      <c r="AF1518" s="12"/>
      <c r="AG1518" s="12"/>
      <c r="AH1518" s="12"/>
      <c r="AI1518" s="12"/>
      <c r="AJ1518" s="12"/>
      <c r="AK1518" s="12"/>
      <c r="AL1518" s="12"/>
      <c r="AM1518" s="12"/>
      <c r="AN1518" s="12">
        <v>4</v>
      </c>
      <c r="AO1518" s="12"/>
      <c r="AP1518" s="12"/>
      <c r="AQ1518" s="8"/>
      <c r="AR1518" s="34"/>
      <c r="AS1518" s="34"/>
      <c r="AT1518" s="85"/>
      <c r="AU1518" s="12" t="s">
        <v>1936</v>
      </c>
      <c r="AW1518" s="39">
        <v>6</v>
      </c>
      <c r="AX1518" s="12">
        <f>VLOOKUP(AW1518,색인!$N$14:$O$19,2,FALSE)</f>
        <v>4</v>
      </c>
      <c r="AY1518" s="32" t="str">
        <f>"T"&amp;O1518&amp;"_"&amp;AX1518&amp;"옵션_"&amp;VLOOKUP(E1518,색인!$J$25:$K$29,2,FALSE)</f>
        <v>T3_4옵션_장신구</v>
      </c>
      <c r="AZ1518" s="32">
        <f>VLOOKUP(G1518,색인!$J$32:$K$45,2,FALSE)</f>
        <v>2</v>
      </c>
      <c r="BA1518" s="32" t="str">
        <f>_xlfn.IFNA(VLOOKUP(AY1518,표1[[검색용]:[OptionGroupIndex'[']22]],EquipItemTable!AZ1518,FALSE),"옵션고정안함")</f>
        <v>옵션고정안함</v>
      </c>
    </row>
    <row r="1519" spans="1:53" s="1" customFormat="1" ht="12" x14ac:dyDescent="0.2">
      <c r="A1519" s="10" t="s">
        <v>935</v>
      </c>
      <c r="B1519" s="39">
        <v>81108</v>
      </c>
      <c r="C1519" s="42" t="s">
        <v>3936</v>
      </c>
      <c r="D1519" s="10" t="s">
        <v>2947</v>
      </c>
      <c r="E1519" s="10" t="s">
        <v>2</v>
      </c>
      <c r="F1519" s="1" t="s">
        <v>312</v>
      </c>
      <c r="G1519" s="1" t="s">
        <v>1315</v>
      </c>
      <c r="N1519" s="81"/>
      <c r="O1519" s="32">
        <v>4</v>
      </c>
      <c r="P1519" s="23">
        <v>41</v>
      </c>
      <c r="Q1519" s="13"/>
      <c r="R1519" s="13"/>
      <c r="S1519" s="13"/>
      <c r="T1519" s="13"/>
      <c r="U1519" s="13"/>
      <c r="V1519" s="13"/>
      <c r="W1519" s="1">
        <v>1025</v>
      </c>
      <c r="X1519" s="1">
        <f t="shared" si="189"/>
        <v>1025</v>
      </c>
      <c r="Y1519" s="84"/>
      <c r="Z1519" s="13"/>
      <c r="AA1519" s="13"/>
      <c r="AB1519" s="13"/>
      <c r="AC1519" s="82"/>
      <c r="AD1519" s="12" t="s">
        <v>939</v>
      </c>
      <c r="AE1519" s="12" t="s">
        <v>938</v>
      </c>
      <c r="AF1519" s="12"/>
      <c r="AG1519" s="12"/>
      <c r="AH1519" s="12"/>
      <c r="AI1519" s="12"/>
      <c r="AJ1519" s="12"/>
      <c r="AK1519" s="12"/>
      <c r="AL1519" s="12"/>
      <c r="AM1519" s="12"/>
      <c r="AN1519" s="12">
        <v>1</v>
      </c>
      <c r="AO1519" s="12"/>
      <c r="AP1519" s="12"/>
      <c r="AQ1519" s="8"/>
      <c r="AR1519" s="34"/>
      <c r="AS1519" s="34"/>
      <c r="AT1519" s="85"/>
      <c r="AU1519" s="12" t="s">
        <v>1936</v>
      </c>
      <c r="AV1519" s="1" t="s">
        <v>940</v>
      </c>
      <c r="AW1519" s="39">
        <v>6</v>
      </c>
      <c r="AX1519" s="12">
        <f>VLOOKUP(AW1519,색인!$N$14:$O$19,2,FALSE)</f>
        <v>4</v>
      </c>
      <c r="AY1519" s="32" t="str">
        <f>"T"&amp;O1519&amp;"_"&amp;AX1519&amp;"옵션_"&amp;VLOOKUP(E1519,색인!$J$25:$K$29,2,FALSE)</f>
        <v>T4_4옵션_장신구</v>
      </c>
      <c r="AZ1519" s="32">
        <f>VLOOKUP(G1519,색인!$J$32:$K$45,2,FALSE)</f>
        <v>2</v>
      </c>
      <c r="BA1519" s="32" t="str">
        <f>_xlfn.IFNA(VLOOKUP(AY1519,표1[[검색용]:[OptionGroupIndex'[']22]],EquipItemTable!AZ1519,FALSE),"옵션고정안함")</f>
        <v>옵션고정안함</v>
      </c>
    </row>
    <row r="1520" spans="1:53" s="1" customFormat="1" ht="12" x14ac:dyDescent="0.2">
      <c r="A1520" s="10" t="s">
        <v>1129</v>
      </c>
      <c r="B1520" s="39">
        <v>81110</v>
      </c>
      <c r="C1520" s="42" t="s">
        <v>3937</v>
      </c>
      <c r="D1520" s="10" t="s">
        <v>2947</v>
      </c>
      <c r="E1520" s="10" t="s">
        <v>2</v>
      </c>
      <c r="F1520" s="1" t="s">
        <v>312</v>
      </c>
      <c r="G1520" s="1" t="s">
        <v>1315</v>
      </c>
      <c r="N1520" s="81"/>
      <c r="O1520" s="32">
        <v>4</v>
      </c>
      <c r="P1520" s="23">
        <v>41</v>
      </c>
      <c r="Q1520" s="13"/>
      <c r="R1520" s="13"/>
      <c r="S1520" s="13"/>
      <c r="T1520" s="13"/>
      <c r="U1520" s="13"/>
      <c r="V1520" s="13"/>
      <c r="W1520" s="1">
        <v>1025</v>
      </c>
      <c r="X1520" s="1">
        <f t="shared" ref="X1520:X1522" si="192">W1520</f>
        <v>1025</v>
      </c>
      <c r="Y1520" s="84"/>
      <c r="Z1520" s="13"/>
      <c r="AA1520" s="13"/>
      <c r="AB1520" s="13"/>
      <c r="AC1520" s="82"/>
      <c r="AD1520" s="12" t="s">
        <v>336</v>
      </c>
      <c r="AE1520" s="12" t="s">
        <v>430</v>
      </c>
      <c r="AF1520" s="12"/>
      <c r="AG1520" s="12"/>
      <c r="AH1520" s="12"/>
      <c r="AI1520" s="12"/>
      <c r="AJ1520" s="12"/>
      <c r="AK1520" s="12"/>
      <c r="AL1520" s="12"/>
      <c r="AM1520" s="12"/>
      <c r="AN1520" s="12">
        <v>2</v>
      </c>
      <c r="AO1520" s="12"/>
      <c r="AP1520" s="12"/>
      <c r="AQ1520" s="8"/>
      <c r="AR1520" s="34"/>
      <c r="AS1520" s="34"/>
      <c r="AT1520" s="85"/>
      <c r="AU1520" s="12" t="s">
        <v>1936</v>
      </c>
      <c r="AV1520" s="1" t="s">
        <v>940</v>
      </c>
      <c r="AW1520" s="39">
        <v>6</v>
      </c>
      <c r="AX1520" s="12">
        <f>VLOOKUP(AW1520,색인!$N$14:$O$19,2,FALSE)</f>
        <v>4</v>
      </c>
      <c r="AY1520" s="32" t="str">
        <f>"T"&amp;O1520&amp;"_"&amp;AX1520&amp;"옵션_"&amp;VLOOKUP(E1520,색인!$J$25:$K$29,2,FALSE)</f>
        <v>T4_4옵션_장신구</v>
      </c>
      <c r="AZ1520" s="32">
        <f>VLOOKUP(G1520,색인!$J$32:$K$45,2,FALSE)</f>
        <v>2</v>
      </c>
      <c r="BA1520" s="32" t="str">
        <f>_xlfn.IFNA(VLOOKUP(AY1520,표1[[검색용]:[OptionGroupIndex'[']22]],EquipItemTable!AZ1520,FALSE),"옵션고정안함")</f>
        <v>옵션고정안함</v>
      </c>
    </row>
    <row r="1521" spans="1:53" s="1" customFormat="1" ht="12" x14ac:dyDescent="0.2">
      <c r="A1521" s="10" t="s">
        <v>1130</v>
      </c>
      <c r="B1521" s="39">
        <v>81109</v>
      </c>
      <c r="C1521" s="42" t="s">
        <v>3938</v>
      </c>
      <c r="D1521" s="10" t="s">
        <v>2947</v>
      </c>
      <c r="E1521" s="10" t="s">
        <v>2</v>
      </c>
      <c r="F1521" s="1" t="s">
        <v>312</v>
      </c>
      <c r="G1521" s="1" t="s">
        <v>1315</v>
      </c>
      <c r="N1521" s="81"/>
      <c r="O1521" s="32">
        <v>4</v>
      </c>
      <c r="P1521" s="23">
        <v>41</v>
      </c>
      <c r="Q1521" s="13"/>
      <c r="R1521" s="13"/>
      <c r="S1521" s="13"/>
      <c r="T1521" s="13"/>
      <c r="U1521" s="13"/>
      <c r="V1521" s="13"/>
      <c r="W1521" s="1">
        <v>1025</v>
      </c>
      <c r="X1521" s="1">
        <f t="shared" si="192"/>
        <v>1025</v>
      </c>
      <c r="Y1521" s="84"/>
      <c r="Z1521" s="13"/>
      <c r="AA1521" s="13"/>
      <c r="AB1521" s="13"/>
      <c r="AC1521" s="82"/>
      <c r="AD1521" s="12" t="s">
        <v>336</v>
      </c>
      <c r="AE1521" s="12" t="s">
        <v>430</v>
      </c>
      <c r="AF1521" s="12"/>
      <c r="AG1521" s="12"/>
      <c r="AH1521" s="12"/>
      <c r="AI1521" s="12"/>
      <c r="AJ1521" s="12"/>
      <c r="AK1521" s="12"/>
      <c r="AL1521" s="12"/>
      <c r="AM1521" s="12"/>
      <c r="AN1521" s="12">
        <v>3</v>
      </c>
      <c r="AO1521" s="12"/>
      <c r="AP1521" s="12"/>
      <c r="AQ1521" s="8"/>
      <c r="AR1521" s="34"/>
      <c r="AS1521" s="34"/>
      <c r="AT1521" s="85"/>
      <c r="AU1521" s="12" t="s">
        <v>1936</v>
      </c>
      <c r="AV1521" s="1" t="s">
        <v>940</v>
      </c>
      <c r="AW1521" s="39">
        <v>6</v>
      </c>
      <c r="AX1521" s="12">
        <f>VLOOKUP(AW1521,색인!$N$14:$O$19,2,FALSE)</f>
        <v>4</v>
      </c>
      <c r="AY1521" s="32" t="str">
        <f>"T"&amp;O1521&amp;"_"&amp;AX1521&amp;"옵션_"&amp;VLOOKUP(E1521,색인!$J$25:$K$29,2,FALSE)</f>
        <v>T4_4옵션_장신구</v>
      </c>
      <c r="AZ1521" s="32">
        <f>VLOOKUP(G1521,색인!$J$32:$K$45,2,FALSE)</f>
        <v>2</v>
      </c>
      <c r="BA1521" s="32" t="str">
        <f>_xlfn.IFNA(VLOOKUP(AY1521,표1[[검색용]:[OptionGroupIndex'[']22]],EquipItemTable!AZ1521,FALSE),"옵션고정안함")</f>
        <v>옵션고정안함</v>
      </c>
    </row>
    <row r="1522" spans="1:53" s="1" customFormat="1" ht="12" x14ac:dyDescent="0.2">
      <c r="A1522" s="10" t="s">
        <v>1131</v>
      </c>
      <c r="B1522" s="39">
        <v>81102</v>
      </c>
      <c r="C1522" s="42" t="s">
        <v>3939</v>
      </c>
      <c r="D1522" s="10" t="s">
        <v>2947</v>
      </c>
      <c r="E1522" s="10" t="s">
        <v>2</v>
      </c>
      <c r="F1522" s="1" t="s">
        <v>312</v>
      </c>
      <c r="G1522" s="1" t="s">
        <v>1315</v>
      </c>
      <c r="N1522" s="81"/>
      <c r="O1522" s="32">
        <v>4</v>
      </c>
      <c r="P1522" s="23">
        <v>41</v>
      </c>
      <c r="Q1522" s="13"/>
      <c r="R1522" s="13"/>
      <c r="S1522" s="13"/>
      <c r="T1522" s="13"/>
      <c r="U1522" s="13"/>
      <c r="V1522" s="13"/>
      <c r="W1522" s="1">
        <v>1025</v>
      </c>
      <c r="X1522" s="1">
        <f t="shared" si="192"/>
        <v>1025</v>
      </c>
      <c r="Y1522" s="84"/>
      <c r="Z1522" s="13"/>
      <c r="AA1522" s="13"/>
      <c r="AB1522" s="13"/>
      <c r="AC1522" s="82"/>
      <c r="AD1522" s="12" t="s">
        <v>336</v>
      </c>
      <c r="AE1522" s="12" t="s">
        <v>430</v>
      </c>
      <c r="AF1522" s="12"/>
      <c r="AG1522" s="12"/>
      <c r="AH1522" s="12"/>
      <c r="AI1522" s="12"/>
      <c r="AJ1522" s="12"/>
      <c r="AK1522" s="12"/>
      <c r="AL1522" s="12"/>
      <c r="AM1522" s="12"/>
      <c r="AN1522" s="12">
        <v>4</v>
      </c>
      <c r="AO1522" s="12"/>
      <c r="AP1522" s="12"/>
      <c r="AQ1522" s="8"/>
      <c r="AR1522" s="34"/>
      <c r="AS1522" s="34"/>
      <c r="AT1522" s="85"/>
      <c r="AU1522" s="12" t="s">
        <v>1936</v>
      </c>
      <c r="AV1522" s="1" t="s">
        <v>940</v>
      </c>
      <c r="AW1522" s="39">
        <v>6</v>
      </c>
      <c r="AX1522" s="12">
        <f>VLOOKUP(AW1522,색인!$N$14:$O$19,2,FALSE)</f>
        <v>4</v>
      </c>
      <c r="AY1522" s="32" t="str">
        <f>"T"&amp;O1522&amp;"_"&amp;AX1522&amp;"옵션_"&amp;VLOOKUP(E1522,색인!$J$25:$K$29,2,FALSE)</f>
        <v>T4_4옵션_장신구</v>
      </c>
      <c r="AZ1522" s="32">
        <f>VLOOKUP(G1522,색인!$J$32:$K$45,2,FALSE)</f>
        <v>2</v>
      </c>
      <c r="BA1522" s="32" t="str">
        <f>_xlfn.IFNA(VLOOKUP(AY1522,표1[[검색용]:[OptionGroupIndex'[']22]],EquipItemTable!AZ1522,FALSE),"옵션고정안함")</f>
        <v>옵션고정안함</v>
      </c>
    </row>
    <row r="1523" spans="1:53" s="1" customFormat="1" ht="12" x14ac:dyDescent="0.2">
      <c r="A1523" s="10" t="s">
        <v>936</v>
      </c>
      <c r="B1523" s="39">
        <v>81111</v>
      </c>
      <c r="C1523" s="42" t="s">
        <v>3936</v>
      </c>
      <c r="D1523" s="10" t="s">
        <v>2947</v>
      </c>
      <c r="E1523" s="10" t="s">
        <v>2</v>
      </c>
      <c r="F1523" s="1" t="s">
        <v>312</v>
      </c>
      <c r="G1523" s="1" t="s">
        <v>1315</v>
      </c>
      <c r="N1523" s="81"/>
      <c r="O1523" s="32">
        <v>5</v>
      </c>
      <c r="P1523" s="23">
        <v>51</v>
      </c>
      <c r="Q1523" s="13"/>
      <c r="R1523" s="13"/>
      <c r="S1523" s="13"/>
      <c r="T1523" s="13"/>
      <c r="U1523" s="13"/>
      <c r="V1523" s="13"/>
      <c r="W1523" s="1">
        <v>1910</v>
      </c>
      <c r="X1523" s="1">
        <f t="shared" si="189"/>
        <v>1910</v>
      </c>
      <c r="Y1523" s="84"/>
      <c r="Z1523" s="13"/>
      <c r="AA1523" s="13"/>
      <c r="AB1523" s="13"/>
      <c r="AC1523" s="82"/>
      <c r="AD1523" s="12" t="s">
        <v>939</v>
      </c>
      <c r="AE1523" s="12" t="s">
        <v>938</v>
      </c>
      <c r="AF1523" s="12"/>
      <c r="AG1523" s="12"/>
      <c r="AH1523" s="12"/>
      <c r="AI1523" s="12"/>
      <c r="AJ1523" s="12"/>
      <c r="AK1523" s="12"/>
      <c r="AL1523" s="12"/>
      <c r="AM1523" s="12"/>
      <c r="AN1523" s="12">
        <v>1</v>
      </c>
      <c r="AO1523" s="12"/>
      <c r="AP1523" s="12"/>
      <c r="AQ1523" s="8"/>
      <c r="AR1523" s="34"/>
      <c r="AS1523" s="34"/>
      <c r="AT1523" s="85"/>
      <c r="AU1523" s="12" t="s">
        <v>1936</v>
      </c>
      <c r="AW1523" s="39">
        <v>6</v>
      </c>
      <c r="AX1523" s="12">
        <f>VLOOKUP(AW1523,색인!$N$14:$O$19,2,FALSE)</f>
        <v>4</v>
      </c>
      <c r="AY1523" s="32" t="str">
        <f>"T"&amp;O1523&amp;"_"&amp;AX1523&amp;"옵션_"&amp;VLOOKUP(E1523,색인!$J$25:$K$29,2,FALSE)</f>
        <v>T5_4옵션_장신구</v>
      </c>
      <c r="AZ1523" s="32">
        <f>VLOOKUP(G1523,색인!$J$32:$K$45,2,FALSE)</f>
        <v>2</v>
      </c>
      <c r="BA1523" s="32" t="str">
        <f>_xlfn.IFNA(VLOOKUP(AY1523,표1[[검색용]:[OptionGroupIndex'[']22]],EquipItemTable!AZ1523,FALSE),"옵션고정안함")</f>
        <v>옵션고정안함</v>
      </c>
    </row>
    <row r="1524" spans="1:53" s="1" customFormat="1" ht="12" x14ac:dyDescent="0.2">
      <c r="A1524" s="10" t="s">
        <v>1132</v>
      </c>
      <c r="B1524" s="39">
        <v>81113</v>
      </c>
      <c r="C1524" s="42" t="s">
        <v>3937</v>
      </c>
      <c r="D1524" s="10" t="s">
        <v>2947</v>
      </c>
      <c r="E1524" s="10" t="s">
        <v>2</v>
      </c>
      <c r="F1524" s="1" t="s">
        <v>312</v>
      </c>
      <c r="G1524" s="1" t="s">
        <v>1315</v>
      </c>
      <c r="N1524" s="81"/>
      <c r="O1524" s="32">
        <v>5</v>
      </c>
      <c r="P1524" s="23">
        <v>51</v>
      </c>
      <c r="Q1524" s="13"/>
      <c r="R1524" s="13"/>
      <c r="S1524" s="13"/>
      <c r="T1524" s="13"/>
      <c r="U1524" s="13"/>
      <c r="V1524" s="13"/>
      <c r="W1524" s="1">
        <v>1910</v>
      </c>
      <c r="X1524" s="1">
        <f t="shared" ref="X1524:X1526" si="193">W1524</f>
        <v>1910</v>
      </c>
      <c r="Y1524" s="84"/>
      <c r="Z1524" s="13"/>
      <c r="AA1524" s="13"/>
      <c r="AB1524" s="13"/>
      <c r="AC1524" s="82"/>
      <c r="AD1524" s="12" t="s">
        <v>336</v>
      </c>
      <c r="AE1524" s="12" t="s">
        <v>430</v>
      </c>
      <c r="AF1524" s="12"/>
      <c r="AG1524" s="23"/>
      <c r="AH1524" s="23"/>
      <c r="AI1524" s="12"/>
      <c r="AJ1524" s="12"/>
      <c r="AK1524" s="12"/>
      <c r="AL1524" s="12"/>
      <c r="AM1524" s="12"/>
      <c r="AN1524" s="12">
        <v>2</v>
      </c>
      <c r="AO1524" s="12"/>
      <c r="AP1524" s="12"/>
      <c r="AQ1524" s="8"/>
      <c r="AR1524" s="34"/>
      <c r="AS1524" s="34"/>
      <c r="AT1524" s="85"/>
      <c r="AU1524" s="12" t="s">
        <v>1936</v>
      </c>
      <c r="AW1524" s="39">
        <v>6</v>
      </c>
      <c r="AX1524" s="12">
        <f>VLOOKUP(AW1524,색인!$N$14:$O$19,2,FALSE)</f>
        <v>4</v>
      </c>
      <c r="AY1524" s="32" t="str">
        <f>"T"&amp;O1524&amp;"_"&amp;AX1524&amp;"옵션_"&amp;VLOOKUP(E1524,색인!$J$25:$K$29,2,FALSE)</f>
        <v>T5_4옵션_장신구</v>
      </c>
      <c r="AZ1524" s="32">
        <f>VLOOKUP(G1524,색인!$J$32:$K$45,2,FALSE)</f>
        <v>2</v>
      </c>
      <c r="BA1524" s="32" t="str">
        <f>_xlfn.IFNA(VLOOKUP(AY1524,표1[[검색용]:[OptionGroupIndex'[']22]],EquipItemTable!AZ1524,FALSE),"옵션고정안함")</f>
        <v>옵션고정안함</v>
      </c>
    </row>
    <row r="1525" spans="1:53" s="1" customFormat="1" ht="12" x14ac:dyDescent="0.2">
      <c r="A1525" s="10" t="s">
        <v>1133</v>
      </c>
      <c r="B1525" s="39">
        <v>81112</v>
      </c>
      <c r="C1525" s="42" t="s">
        <v>3938</v>
      </c>
      <c r="D1525" s="10" t="s">
        <v>2947</v>
      </c>
      <c r="E1525" s="10" t="s">
        <v>2</v>
      </c>
      <c r="F1525" s="1" t="s">
        <v>312</v>
      </c>
      <c r="G1525" s="1" t="s">
        <v>1315</v>
      </c>
      <c r="N1525" s="81"/>
      <c r="O1525" s="32">
        <v>5</v>
      </c>
      <c r="P1525" s="23">
        <v>51</v>
      </c>
      <c r="Q1525" s="13"/>
      <c r="R1525" s="13"/>
      <c r="S1525" s="13"/>
      <c r="T1525" s="13"/>
      <c r="U1525" s="13"/>
      <c r="V1525" s="13"/>
      <c r="W1525" s="1">
        <v>1910</v>
      </c>
      <c r="X1525" s="1">
        <f t="shared" si="193"/>
        <v>1910</v>
      </c>
      <c r="Y1525" s="84"/>
      <c r="Z1525" s="13"/>
      <c r="AA1525" s="13"/>
      <c r="AB1525" s="13"/>
      <c r="AC1525" s="82"/>
      <c r="AD1525" s="12" t="s">
        <v>336</v>
      </c>
      <c r="AE1525" s="12" t="s">
        <v>430</v>
      </c>
      <c r="AF1525" s="12"/>
      <c r="AG1525" s="12"/>
      <c r="AH1525" s="12"/>
      <c r="AI1525" s="12"/>
      <c r="AJ1525" s="12"/>
      <c r="AK1525" s="12"/>
      <c r="AL1525" s="12"/>
      <c r="AM1525" s="12"/>
      <c r="AN1525" s="12">
        <v>3</v>
      </c>
      <c r="AO1525" s="12"/>
      <c r="AP1525" s="12"/>
      <c r="AQ1525" s="8"/>
      <c r="AR1525" s="34"/>
      <c r="AS1525" s="34"/>
      <c r="AT1525" s="85"/>
      <c r="AU1525" s="12" t="s">
        <v>1936</v>
      </c>
      <c r="AW1525" s="39">
        <v>6</v>
      </c>
      <c r="AX1525" s="12">
        <f>VLOOKUP(AW1525,색인!$N$14:$O$19,2,FALSE)</f>
        <v>4</v>
      </c>
      <c r="AY1525" s="32" t="str">
        <f>"T"&amp;O1525&amp;"_"&amp;AX1525&amp;"옵션_"&amp;VLOOKUP(E1525,색인!$J$25:$K$29,2,FALSE)</f>
        <v>T5_4옵션_장신구</v>
      </c>
      <c r="AZ1525" s="32">
        <f>VLOOKUP(G1525,색인!$J$32:$K$45,2,FALSE)</f>
        <v>2</v>
      </c>
      <c r="BA1525" s="32" t="str">
        <f>_xlfn.IFNA(VLOOKUP(AY1525,표1[[검색용]:[OptionGroupIndex'[']22]],EquipItemTable!AZ1525,FALSE),"옵션고정안함")</f>
        <v>옵션고정안함</v>
      </c>
    </row>
    <row r="1526" spans="1:53" s="1" customFormat="1" ht="12" x14ac:dyDescent="0.2">
      <c r="A1526" s="10" t="s">
        <v>1134</v>
      </c>
      <c r="B1526" s="39">
        <v>81103</v>
      </c>
      <c r="C1526" s="42" t="s">
        <v>3939</v>
      </c>
      <c r="D1526" s="10" t="s">
        <v>2947</v>
      </c>
      <c r="E1526" s="10" t="s">
        <v>2</v>
      </c>
      <c r="F1526" s="1" t="s">
        <v>312</v>
      </c>
      <c r="G1526" s="1" t="s">
        <v>1315</v>
      </c>
      <c r="N1526" s="81"/>
      <c r="O1526" s="32">
        <v>5</v>
      </c>
      <c r="P1526" s="23">
        <v>51</v>
      </c>
      <c r="Q1526" s="13"/>
      <c r="R1526" s="13"/>
      <c r="S1526" s="13"/>
      <c r="T1526" s="13"/>
      <c r="U1526" s="13"/>
      <c r="V1526" s="13"/>
      <c r="W1526" s="1">
        <v>1910</v>
      </c>
      <c r="X1526" s="1">
        <f t="shared" si="193"/>
        <v>1910</v>
      </c>
      <c r="Y1526" s="84"/>
      <c r="Z1526" s="13"/>
      <c r="AA1526" s="13"/>
      <c r="AB1526" s="13"/>
      <c r="AC1526" s="82"/>
      <c r="AD1526" s="12" t="s">
        <v>336</v>
      </c>
      <c r="AE1526" s="12" t="s">
        <v>430</v>
      </c>
      <c r="AF1526" s="12"/>
      <c r="AG1526" s="12"/>
      <c r="AH1526" s="12"/>
      <c r="AI1526" s="12"/>
      <c r="AJ1526" s="12"/>
      <c r="AK1526" s="12"/>
      <c r="AL1526" s="12"/>
      <c r="AM1526" s="12"/>
      <c r="AN1526" s="12">
        <v>4</v>
      </c>
      <c r="AO1526" s="12"/>
      <c r="AP1526" s="12"/>
      <c r="AQ1526" s="8"/>
      <c r="AR1526" s="34"/>
      <c r="AS1526" s="34"/>
      <c r="AT1526" s="85"/>
      <c r="AU1526" s="12" t="s">
        <v>1936</v>
      </c>
      <c r="AW1526" s="39">
        <v>6</v>
      </c>
      <c r="AX1526" s="12">
        <f>VLOOKUP(AW1526,색인!$N$14:$O$19,2,FALSE)</f>
        <v>4</v>
      </c>
      <c r="AY1526" s="32" t="str">
        <f>"T"&amp;O1526&amp;"_"&amp;AX1526&amp;"옵션_"&amp;VLOOKUP(E1526,색인!$J$25:$K$29,2,FALSE)</f>
        <v>T5_4옵션_장신구</v>
      </c>
      <c r="AZ1526" s="32">
        <f>VLOOKUP(G1526,색인!$J$32:$K$45,2,FALSE)</f>
        <v>2</v>
      </c>
      <c r="BA1526" s="32" t="str">
        <f>_xlfn.IFNA(VLOOKUP(AY1526,표1[[검색용]:[OptionGroupIndex'[']22]],EquipItemTable!AZ1526,FALSE),"옵션고정안함")</f>
        <v>옵션고정안함</v>
      </c>
    </row>
    <row r="1527" spans="1:53" s="1" customFormat="1" ht="12" x14ac:dyDescent="0.2">
      <c r="A1527" s="10" t="s">
        <v>937</v>
      </c>
      <c r="B1527" s="39">
        <v>81114</v>
      </c>
      <c r="C1527" s="42" t="s">
        <v>3936</v>
      </c>
      <c r="D1527" s="10" t="s">
        <v>2947</v>
      </c>
      <c r="E1527" s="10" t="s">
        <v>2</v>
      </c>
      <c r="F1527" s="1" t="s">
        <v>312</v>
      </c>
      <c r="G1527" s="1" t="s">
        <v>1315</v>
      </c>
      <c r="N1527" s="81"/>
      <c r="O1527" s="32">
        <v>6</v>
      </c>
      <c r="P1527" s="23">
        <v>61</v>
      </c>
      <c r="Q1527" s="13"/>
      <c r="R1527" s="13"/>
      <c r="S1527" s="13"/>
      <c r="T1527" s="13"/>
      <c r="U1527" s="13"/>
      <c r="V1527" s="13"/>
      <c r="W1527" s="1">
        <v>2769</v>
      </c>
      <c r="X1527" s="1">
        <f t="shared" si="189"/>
        <v>2769</v>
      </c>
      <c r="Y1527" s="84"/>
      <c r="Z1527" s="13"/>
      <c r="AA1527" s="13"/>
      <c r="AB1527" s="13"/>
      <c r="AC1527" s="82"/>
      <c r="AD1527" s="12" t="s">
        <v>939</v>
      </c>
      <c r="AE1527" s="39" t="str">
        <f>BA1527</f>
        <v>6431</v>
      </c>
      <c r="AF1527" s="12"/>
      <c r="AG1527" s="12"/>
      <c r="AH1527" s="12"/>
      <c r="AI1527" s="12"/>
      <c r="AJ1527" s="12"/>
      <c r="AK1527" s="12"/>
      <c r="AL1527" s="12"/>
      <c r="AM1527" s="12"/>
      <c r="AN1527" s="12">
        <v>1</v>
      </c>
      <c r="AO1527" s="12"/>
      <c r="AP1527" s="12"/>
      <c r="AQ1527" s="8"/>
      <c r="AR1527" s="34"/>
      <c r="AS1527" s="34"/>
      <c r="AT1527" s="85"/>
      <c r="AU1527" s="12" t="s">
        <v>1936</v>
      </c>
      <c r="AW1527" s="39">
        <v>6</v>
      </c>
      <c r="AX1527" s="12">
        <f>VLOOKUP(AW1527,색인!$N$14:$O$19,2,FALSE)</f>
        <v>4</v>
      </c>
      <c r="AY1527" s="32" t="str">
        <f>"T"&amp;O1527&amp;"_"&amp;AX1527&amp;"옵션_"&amp;VLOOKUP(E1527,색인!$J$25:$K$29,2,FALSE)</f>
        <v>T6_4옵션_장신구</v>
      </c>
      <c r="AZ1527" s="32">
        <f>VLOOKUP(G1527,색인!$J$32:$K$45,2,FALSE)</f>
        <v>2</v>
      </c>
      <c r="BA1527" s="32" t="str">
        <f>_xlfn.IFNA(VLOOKUP(AY1527,표1[[검색용]:[OptionGroupIndex'[']22]],EquipItemTable!AZ1527,FALSE),"옵션고정안함")</f>
        <v>6431</v>
      </c>
    </row>
    <row r="1528" spans="1:53" s="1" customFormat="1" ht="12" x14ac:dyDescent="0.2">
      <c r="A1528" s="10" t="s">
        <v>1165</v>
      </c>
      <c r="B1528" s="39">
        <v>81116</v>
      </c>
      <c r="C1528" s="42" t="s">
        <v>3937</v>
      </c>
      <c r="D1528" s="10" t="s">
        <v>2947</v>
      </c>
      <c r="E1528" s="10" t="s">
        <v>2</v>
      </c>
      <c r="F1528" s="1" t="s">
        <v>312</v>
      </c>
      <c r="G1528" s="1" t="s">
        <v>1315</v>
      </c>
      <c r="N1528" s="81"/>
      <c r="O1528" s="32">
        <v>6</v>
      </c>
      <c r="P1528" s="23">
        <v>61</v>
      </c>
      <c r="Q1528" s="13"/>
      <c r="R1528" s="13"/>
      <c r="S1528" s="13"/>
      <c r="T1528" s="13"/>
      <c r="U1528" s="13"/>
      <c r="V1528" s="13"/>
      <c r="W1528" s="1">
        <v>2769</v>
      </c>
      <c r="X1528" s="1">
        <f t="shared" ref="X1528:X1530" si="194">W1528</f>
        <v>2769</v>
      </c>
      <c r="Y1528" s="84"/>
      <c r="Z1528" s="13"/>
      <c r="AA1528" s="13"/>
      <c r="AB1528" s="13"/>
      <c r="AC1528" s="82"/>
      <c r="AD1528" s="12" t="s">
        <v>336</v>
      </c>
      <c r="AE1528" s="39" t="str">
        <f>BA1528</f>
        <v>6431</v>
      </c>
      <c r="AF1528" s="12"/>
      <c r="AG1528" s="12"/>
      <c r="AH1528" s="12"/>
      <c r="AI1528" s="12"/>
      <c r="AJ1528" s="12"/>
      <c r="AK1528" s="12"/>
      <c r="AL1528" s="12"/>
      <c r="AM1528" s="12"/>
      <c r="AN1528" s="12">
        <v>2</v>
      </c>
      <c r="AO1528" s="12"/>
      <c r="AP1528" s="12"/>
      <c r="AQ1528" s="8"/>
      <c r="AR1528" s="34"/>
      <c r="AS1528" s="34"/>
      <c r="AT1528" s="85"/>
      <c r="AU1528" s="12" t="s">
        <v>1936</v>
      </c>
      <c r="AW1528" s="39">
        <v>6</v>
      </c>
      <c r="AX1528" s="12">
        <f>VLOOKUP(AW1528,색인!$N$14:$O$19,2,FALSE)</f>
        <v>4</v>
      </c>
      <c r="AY1528" s="32" t="str">
        <f>"T"&amp;O1528&amp;"_"&amp;AX1528&amp;"옵션_"&amp;VLOOKUP(E1528,색인!$J$25:$K$29,2,FALSE)</f>
        <v>T6_4옵션_장신구</v>
      </c>
      <c r="AZ1528" s="32">
        <f>VLOOKUP(G1528,색인!$J$32:$K$45,2,FALSE)</f>
        <v>2</v>
      </c>
      <c r="BA1528" s="32" t="str">
        <f>_xlfn.IFNA(VLOOKUP(AY1528,표1[[검색용]:[OptionGroupIndex'[']22]],EquipItemTable!AZ1528,FALSE),"옵션고정안함")</f>
        <v>6431</v>
      </c>
    </row>
    <row r="1529" spans="1:53" s="1" customFormat="1" ht="12" x14ac:dyDescent="0.2">
      <c r="A1529" s="10" t="s">
        <v>1166</v>
      </c>
      <c r="B1529" s="39">
        <v>81115</v>
      </c>
      <c r="C1529" s="42" t="s">
        <v>3938</v>
      </c>
      <c r="D1529" s="10" t="s">
        <v>2947</v>
      </c>
      <c r="E1529" s="10" t="s">
        <v>2</v>
      </c>
      <c r="F1529" s="1" t="s">
        <v>312</v>
      </c>
      <c r="G1529" s="1" t="s">
        <v>1315</v>
      </c>
      <c r="N1529" s="81"/>
      <c r="O1529" s="32">
        <v>6</v>
      </c>
      <c r="P1529" s="23">
        <v>61</v>
      </c>
      <c r="Q1529" s="13"/>
      <c r="R1529" s="13"/>
      <c r="S1529" s="13"/>
      <c r="T1529" s="13"/>
      <c r="U1529" s="13"/>
      <c r="V1529" s="13"/>
      <c r="W1529" s="1">
        <v>2769</v>
      </c>
      <c r="X1529" s="1">
        <f t="shared" si="194"/>
        <v>2769</v>
      </c>
      <c r="Y1529" s="84"/>
      <c r="Z1529" s="13"/>
      <c r="AA1529" s="13"/>
      <c r="AB1529" s="13"/>
      <c r="AC1529" s="82"/>
      <c r="AD1529" s="12" t="s">
        <v>336</v>
      </c>
      <c r="AE1529" s="39" t="str">
        <f>BA1529</f>
        <v>6431</v>
      </c>
      <c r="AF1529" s="12"/>
      <c r="AG1529" s="12"/>
      <c r="AH1529" s="12"/>
      <c r="AI1529" s="12"/>
      <c r="AJ1529" s="12"/>
      <c r="AK1529" s="12"/>
      <c r="AL1529" s="12"/>
      <c r="AM1529" s="12"/>
      <c r="AN1529" s="12">
        <v>3</v>
      </c>
      <c r="AO1529" s="12"/>
      <c r="AP1529" s="12"/>
      <c r="AQ1529" s="8"/>
      <c r="AR1529" s="34"/>
      <c r="AS1529" s="34"/>
      <c r="AT1529" s="85"/>
      <c r="AU1529" s="12" t="s">
        <v>1936</v>
      </c>
      <c r="AW1529" s="39">
        <v>6</v>
      </c>
      <c r="AX1529" s="12">
        <f>VLOOKUP(AW1529,색인!$N$14:$O$19,2,FALSE)</f>
        <v>4</v>
      </c>
      <c r="AY1529" s="32" t="str">
        <f>"T"&amp;O1529&amp;"_"&amp;AX1529&amp;"옵션_"&amp;VLOOKUP(E1529,색인!$J$25:$K$29,2,FALSE)</f>
        <v>T6_4옵션_장신구</v>
      </c>
      <c r="AZ1529" s="32">
        <f>VLOOKUP(G1529,색인!$J$32:$K$45,2,FALSE)</f>
        <v>2</v>
      </c>
      <c r="BA1529" s="32" t="str">
        <f>_xlfn.IFNA(VLOOKUP(AY1529,표1[[검색용]:[OptionGroupIndex'[']22]],EquipItemTable!AZ1529,FALSE),"옵션고정안함")</f>
        <v>6431</v>
      </c>
    </row>
    <row r="1530" spans="1:53" s="1" customFormat="1" ht="12" x14ac:dyDescent="0.2">
      <c r="A1530" s="10" t="s">
        <v>1167</v>
      </c>
      <c r="B1530" s="39">
        <v>81104</v>
      </c>
      <c r="C1530" s="42" t="s">
        <v>3939</v>
      </c>
      <c r="D1530" s="10" t="s">
        <v>2947</v>
      </c>
      <c r="E1530" s="10" t="s">
        <v>2</v>
      </c>
      <c r="F1530" s="1" t="s">
        <v>312</v>
      </c>
      <c r="G1530" s="1" t="s">
        <v>1315</v>
      </c>
      <c r="N1530" s="81"/>
      <c r="O1530" s="32">
        <v>6</v>
      </c>
      <c r="P1530" s="23">
        <v>61</v>
      </c>
      <c r="Q1530" s="13"/>
      <c r="R1530" s="13"/>
      <c r="S1530" s="13"/>
      <c r="T1530" s="13"/>
      <c r="U1530" s="13"/>
      <c r="V1530" s="13"/>
      <c r="W1530" s="1">
        <v>2769</v>
      </c>
      <c r="X1530" s="1">
        <f t="shared" si="194"/>
        <v>2769</v>
      </c>
      <c r="Y1530" s="84"/>
      <c r="Z1530" s="13"/>
      <c r="AA1530" s="13"/>
      <c r="AB1530" s="13"/>
      <c r="AC1530" s="82"/>
      <c r="AD1530" s="12" t="s">
        <v>336</v>
      </c>
      <c r="AE1530" s="39" t="str">
        <f>BA1530</f>
        <v>6431</v>
      </c>
      <c r="AF1530" s="12"/>
      <c r="AG1530" s="12"/>
      <c r="AH1530" s="12"/>
      <c r="AI1530" s="12"/>
      <c r="AJ1530" s="12"/>
      <c r="AK1530" s="12"/>
      <c r="AL1530" s="12"/>
      <c r="AM1530" s="12"/>
      <c r="AN1530" s="12">
        <v>4</v>
      </c>
      <c r="AO1530" s="12"/>
      <c r="AP1530" s="12"/>
      <c r="AQ1530" s="8"/>
      <c r="AR1530" s="34"/>
      <c r="AS1530" s="34"/>
      <c r="AT1530" s="85"/>
      <c r="AU1530" s="12" t="s">
        <v>1936</v>
      </c>
      <c r="AW1530" s="39">
        <v>6</v>
      </c>
      <c r="AX1530" s="12">
        <f>VLOOKUP(AW1530,색인!$N$14:$O$19,2,FALSE)</f>
        <v>4</v>
      </c>
      <c r="AY1530" s="32" t="str">
        <f>"T"&amp;O1530&amp;"_"&amp;AX1530&amp;"옵션_"&amp;VLOOKUP(E1530,색인!$J$25:$K$29,2,FALSE)</f>
        <v>T6_4옵션_장신구</v>
      </c>
      <c r="AZ1530" s="32">
        <f>VLOOKUP(G1530,색인!$J$32:$K$45,2,FALSE)</f>
        <v>2</v>
      </c>
      <c r="BA1530" s="32" t="str">
        <f>_xlfn.IFNA(VLOOKUP(AY1530,표1[[검색용]:[OptionGroupIndex'[']22]],EquipItemTable!AZ1530,FALSE),"옵션고정안함")</f>
        <v>6431</v>
      </c>
    </row>
    <row r="1531" spans="1:53" s="1" customFormat="1" ht="12" x14ac:dyDescent="0.2">
      <c r="A1531" s="10" t="s">
        <v>2446</v>
      </c>
      <c r="B1531" s="39">
        <v>81427</v>
      </c>
      <c r="C1531" s="42" t="e">
        <v>#N/A</v>
      </c>
      <c r="D1531" s="10" t="s">
        <v>2947</v>
      </c>
      <c r="E1531" s="10" t="s">
        <v>2</v>
      </c>
      <c r="F1531" s="1" t="s">
        <v>312</v>
      </c>
      <c r="G1531" s="1" t="s">
        <v>1315</v>
      </c>
      <c r="N1531" s="81"/>
      <c r="O1531" s="32">
        <v>6</v>
      </c>
      <c r="P1531" s="23">
        <v>61</v>
      </c>
      <c r="Q1531" s="13"/>
      <c r="R1531" s="13"/>
      <c r="S1531" s="13"/>
      <c r="T1531" s="13"/>
      <c r="U1531" s="13"/>
      <c r="V1531" s="13"/>
      <c r="W1531" s="1">
        <v>2769</v>
      </c>
      <c r="X1531" s="1">
        <f t="shared" ref="X1531" si="195">W1531</f>
        <v>2769</v>
      </c>
      <c r="Y1531" s="84"/>
      <c r="Z1531" s="13"/>
      <c r="AA1531" s="13"/>
      <c r="AB1531" s="13"/>
      <c r="AC1531" s="82"/>
      <c r="AD1531" s="12" t="s">
        <v>336</v>
      </c>
      <c r="AE1531" s="39" t="s">
        <v>430</v>
      </c>
      <c r="AF1531" s="12"/>
      <c r="AG1531" s="12"/>
      <c r="AH1531" s="12"/>
      <c r="AI1531" s="12"/>
      <c r="AJ1531" s="12"/>
      <c r="AK1531" s="12"/>
      <c r="AL1531" s="12"/>
      <c r="AM1531" s="12"/>
      <c r="AN1531" s="12">
        <v>4</v>
      </c>
      <c r="AO1531" s="12"/>
      <c r="AP1531" s="12"/>
      <c r="AQ1531" s="8"/>
      <c r="AR1531" s="34"/>
      <c r="AS1531" s="34"/>
      <c r="AT1531" s="85"/>
      <c r="AU1531" s="12" t="s">
        <v>1936</v>
      </c>
      <c r="AV1531" s="1" t="s">
        <v>2447</v>
      </c>
      <c r="AW1531" s="39">
        <v>6</v>
      </c>
      <c r="AX1531" s="12">
        <f>VLOOKUP(AW1531,색인!$N$14:$O$19,2,FALSE)</f>
        <v>4</v>
      </c>
      <c r="AY1531" s="32" t="str">
        <f>"T"&amp;O1531&amp;"_"&amp;AX1531&amp;"옵션_"&amp;VLOOKUP(E1531,색인!$J$25:$K$29,2,FALSE)</f>
        <v>T6_4옵션_장신구</v>
      </c>
      <c r="AZ1531" s="32">
        <f>VLOOKUP(G1531,색인!$J$32:$K$45,2,FALSE)</f>
        <v>2</v>
      </c>
      <c r="BA1531" s="32" t="str">
        <f>_xlfn.IFNA(VLOOKUP(AY1531,표1[[검색용]:[OptionGroupIndex'[']22]],EquipItemTable!AZ1531,FALSE),"옵션고정안함")</f>
        <v>6431</v>
      </c>
    </row>
    <row r="1532" spans="1:53" ht="12" customHeight="1" x14ac:dyDescent="0.2">
      <c r="A1532" s="10" t="s">
        <v>709</v>
      </c>
      <c r="B1532" s="39">
        <v>81401</v>
      </c>
      <c r="C1532" s="42" t="s">
        <v>3940</v>
      </c>
      <c r="D1532" s="10" t="s">
        <v>2947</v>
      </c>
      <c r="E1532" s="10" t="s">
        <v>2</v>
      </c>
      <c r="F1532" s="1" t="s">
        <v>312</v>
      </c>
      <c r="G1532" s="1" t="s">
        <v>1315</v>
      </c>
      <c r="H1532" s="1"/>
      <c r="I1532" s="1"/>
      <c r="J1532" s="1"/>
      <c r="K1532" s="1"/>
      <c r="L1532" s="1"/>
      <c r="M1532" s="1"/>
      <c r="N1532" s="81"/>
      <c r="O1532" s="12" t="s">
        <v>94</v>
      </c>
      <c r="P1532" s="1">
        <v>1</v>
      </c>
      <c r="Q1532" s="13"/>
      <c r="R1532" s="13"/>
      <c r="S1532" s="13"/>
      <c r="T1532" s="13"/>
      <c r="U1532" s="13"/>
      <c r="V1532" s="13"/>
      <c r="W1532" s="1">
        <f>ROUNDDOWN(W1494*1.1,0)</f>
        <v>106</v>
      </c>
      <c r="X1532" s="1">
        <f t="shared" ref="X1532:X1536" si="196">W1532</f>
        <v>106</v>
      </c>
      <c r="Y1532" s="84"/>
      <c r="Z1532" s="13"/>
      <c r="AA1532" s="13"/>
      <c r="AB1532" s="13"/>
      <c r="AC1532" s="82"/>
      <c r="AD1532" s="23">
        <v>0</v>
      </c>
      <c r="AE1532" s="39" t="str">
        <f t="shared" ref="AE1532:AE1543" si="197">BA1532</f>
        <v>1331</v>
      </c>
      <c r="AI1532" s="23"/>
      <c r="AJ1532" s="23"/>
      <c r="AK1532" s="23"/>
      <c r="AL1532" s="23"/>
      <c r="AM1532" s="23"/>
      <c r="AN1532" s="23">
        <v>103</v>
      </c>
      <c r="AO1532" s="23"/>
      <c r="AP1532" s="23"/>
      <c r="AQ1532" s="81"/>
      <c r="AT1532" s="81"/>
      <c r="AU1532" s="12" t="s">
        <v>1945</v>
      </c>
      <c r="AV1532" s="13"/>
      <c r="AW1532" s="39">
        <v>5</v>
      </c>
      <c r="AX1532" s="12">
        <f>VLOOKUP(AW1532,색인!$N$14:$O$19,2,FALSE)</f>
        <v>3</v>
      </c>
      <c r="AY1532" s="32" t="str">
        <f>"T"&amp;O1532&amp;"_"&amp;AX1532&amp;"옵션_"&amp;VLOOKUP(E1532,색인!$J$25:$K$29,2,FALSE)</f>
        <v>T1_3옵션_장신구</v>
      </c>
      <c r="AZ1532" s="32">
        <f>VLOOKUP(G1532,색인!$J$32:$K$45,2,FALSE)</f>
        <v>2</v>
      </c>
      <c r="BA1532" s="32" t="str">
        <f>_xlfn.IFNA(VLOOKUP(AY1532,표1[[검색용]:[OptionGroupIndex'[']22]],EquipItemTable!AZ1532,FALSE),"옵션고정안함")</f>
        <v>1331</v>
      </c>
    </row>
    <row r="1533" spans="1:53" ht="12" customHeight="1" x14ac:dyDescent="0.2">
      <c r="A1533" s="10" t="s">
        <v>710</v>
      </c>
      <c r="B1533" s="39">
        <v>81402</v>
      </c>
      <c r="C1533" s="42" t="s">
        <v>3940</v>
      </c>
      <c r="D1533" s="10" t="s">
        <v>2947</v>
      </c>
      <c r="E1533" s="10" t="s">
        <v>2</v>
      </c>
      <c r="F1533" s="1" t="s">
        <v>312</v>
      </c>
      <c r="G1533" s="1" t="s">
        <v>1315</v>
      </c>
      <c r="H1533" s="1"/>
      <c r="I1533" s="1"/>
      <c r="J1533" s="1"/>
      <c r="K1533" s="1"/>
      <c r="L1533" s="1"/>
      <c r="M1533" s="1"/>
      <c r="N1533" s="81"/>
      <c r="O1533" s="12" t="s">
        <v>95</v>
      </c>
      <c r="P1533" s="1">
        <v>21</v>
      </c>
      <c r="Q1533" s="13"/>
      <c r="R1533" s="13"/>
      <c r="S1533" s="13"/>
      <c r="T1533" s="13"/>
      <c r="U1533" s="13"/>
      <c r="V1533" s="13"/>
      <c r="W1533" s="1">
        <f>ROUNDDOWN(W1498*1.1,0)</f>
        <v>240</v>
      </c>
      <c r="X1533" s="1">
        <f t="shared" si="196"/>
        <v>240</v>
      </c>
      <c r="Y1533" s="84"/>
      <c r="Z1533" s="13"/>
      <c r="AA1533" s="13"/>
      <c r="AB1533" s="13"/>
      <c r="AC1533" s="82"/>
      <c r="AD1533" s="23">
        <v>0</v>
      </c>
      <c r="AE1533" s="39" t="str">
        <f t="shared" si="197"/>
        <v>2331</v>
      </c>
      <c r="AI1533" s="23"/>
      <c r="AJ1533" s="23"/>
      <c r="AK1533" s="23"/>
      <c r="AL1533" s="23"/>
      <c r="AM1533" s="23"/>
      <c r="AN1533" s="23">
        <v>103</v>
      </c>
      <c r="AO1533" s="23"/>
      <c r="AP1533" s="23"/>
      <c r="AQ1533" s="81"/>
      <c r="AT1533" s="81"/>
      <c r="AU1533" s="12" t="s">
        <v>1945</v>
      </c>
      <c r="AV1533" s="13"/>
      <c r="AW1533" s="39">
        <v>5</v>
      </c>
      <c r="AX1533" s="12">
        <f>VLOOKUP(AW1533,색인!$N$14:$O$19,2,FALSE)</f>
        <v>3</v>
      </c>
      <c r="AY1533" s="32" t="str">
        <f>"T"&amp;O1533&amp;"_"&amp;AX1533&amp;"옵션_"&amp;VLOOKUP(E1533,색인!$J$25:$K$29,2,FALSE)</f>
        <v>T2_3옵션_장신구</v>
      </c>
      <c r="AZ1533" s="32">
        <f>VLOOKUP(G1533,색인!$J$32:$K$45,2,FALSE)</f>
        <v>2</v>
      </c>
      <c r="BA1533" s="32" t="str">
        <f>_xlfn.IFNA(VLOOKUP(AY1533,표1[[검색용]:[OptionGroupIndex'[']22]],EquipItemTable!AZ1533,FALSE),"옵션고정안함")</f>
        <v>2331</v>
      </c>
    </row>
    <row r="1534" spans="1:53" ht="12" customHeight="1" x14ac:dyDescent="0.2">
      <c r="A1534" s="10" t="s">
        <v>711</v>
      </c>
      <c r="B1534" s="39">
        <v>81403</v>
      </c>
      <c r="C1534" s="42" t="s">
        <v>3940</v>
      </c>
      <c r="D1534" s="10" t="s">
        <v>2947</v>
      </c>
      <c r="E1534" s="10" t="s">
        <v>2</v>
      </c>
      <c r="F1534" s="1" t="s">
        <v>312</v>
      </c>
      <c r="G1534" s="1" t="s">
        <v>1315</v>
      </c>
      <c r="H1534" s="1"/>
      <c r="I1534" s="1"/>
      <c r="J1534" s="1"/>
      <c r="K1534" s="1"/>
      <c r="L1534" s="1"/>
      <c r="M1534" s="1"/>
      <c r="N1534" s="81"/>
      <c r="O1534" s="12" t="s">
        <v>96</v>
      </c>
      <c r="P1534" s="1">
        <v>31</v>
      </c>
      <c r="Q1534" s="13"/>
      <c r="R1534" s="13"/>
      <c r="S1534" s="13"/>
      <c r="T1534" s="13"/>
      <c r="U1534" s="13"/>
      <c r="V1534" s="13"/>
      <c r="W1534" s="1">
        <f>ROUNDDOWN(W1502*1.1,0)</f>
        <v>496</v>
      </c>
      <c r="X1534" s="1">
        <f t="shared" si="196"/>
        <v>496</v>
      </c>
      <c r="Y1534" s="84"/>
      <c r="Z1534" s="13"/>
      <c r="AA1534" s="13"/>
      <c r="AB1534" s="13"/>
      <c r="AC1534" s="82"/>
      <c r="AD1534" s="23" t="s">
        <v>52</v>
      </c>
      <c r="AE1534" s="90" t="str">
        <f t="shared" si="197"/>
        <v>3331</v>
      </c>
      <c r="AF1534" s="23"/>
      <c r="AI1534" s="23"/>
      <c r="AJ1534" s="23"/>
      <c r="AK1534" s="23"/>
      <c r="AL1534" s="23"/>
      <c r="AM1534" s="23"/>
      <c r="AN1534" s="23">
        <v>103</v>
      </c>
      <c r="AO1534" s="23"/>
      <c r="AP1534" s="23"/>
      <c r="AQ1534" s="81"/>
      <c r="AR1534" s="83"/>
      <c r="AS1534" s="83"/>
      <c r="AT1534" s="81"/>
      <c r="AU1534" s="12" t="s">
        <v>1945</v>
      </c>
      <c r="AV1534" s="13"/>
      <c r="AW1534" s="39">
        <v>5</v>
      </c>
      <c r="AX1534" s="12">
        <f>VLOOKUP(AW1534,색인!$N$14:$O$19,2,FALSE)</f>
        <v>3</v>
      </c>
      <c r="AY1534" s="32" t="str">
        <f>"T"&amp;O1534&amp;"_"&amp;AX1534&amp;"옵션_"&amp;VLOOKUP(E1534,색인!$J$25:$K$29,2,FALSE)</f>
        <v>T3_3옵션_장신구</v>
      </c>
      <c r="AZ1534" s="32">
        <f>VLOOKUP(G1534,색인!$J$32:$K$45,2,FALSE)</f>
        <v>2</v>
      </c>
      <c r="BA1534" s="32" t="str">
        <f>_xlfn.IFNA(VLOOKUP(AY1534,표1[[검색용]:[OptionGroupIndex'[']22]],EquipItemTable!AZ1534,FALSE),"옵션고정안함")</f>
        <v>3331</v>
      </c>
    </row>
    <row r="1535" spans="1:53" ht="12" customHeight="1" x14ac:dyDescent="0.2">
      <c r="A1535" s="10" t="s">
        <v>712</v>
      </c>
      <c r="B1535" s="39">
        <v>81404</v>
      </c>
      <c r="C1535" s="42" t="s">
        <v>3940</v>
      </c>
      <c r="D1535" s="10" t="s">
        <v>2947</v>
      </c>
      <c r="E1535" s="10" t="s">
        <v>2</v>
      </c>
      <c r="F1535" s="1" t="s">
        <v>312</v>
      </c>
      <c r="G1535" s="1" t="s">
        <v>1315</v>
      </c>
      <c r="H1535" s="1"/>
      <c r="I1535" s="1"/>
      <c r="J1535" s="27"/>
      <c r="K1535" s="27"/>
      <c r="L1535" s="27"/>
      <c r="M1535" s="27"/>
      <c r="N1535" s="81"/>
      <c r="O1535" s="12" t="s">
        <v>97</v>
      </c>
      <c r="P1535" s="1">
        <v>41</v>
      </c>
      <c r="Q1535" s="13"/>
      <c r="R1535" s="13"/>
      <c r="S1535" s="13"/>
      <c r="T1535" s="13"/>
      <c r="U1535" s="13"/>
      <c r="V1535" s="13"/>
      <c r="W1535" s="1">
        <f>ROUNDDOWN(W1506*1.1,0)</f>
        <v>965</v>
      </c>
      <c r="X1535" s="1">
        <f t="shared" si="196"/>
        <v>965</v>
      </c>
      <c r="Y1535" s="84"/>
      <c r="Z1535" s="13"/>
      <c r="AA1535" s="13"/>
      <c r="AB1535" s="13"/>
      <c r="AC1535" s="82"/>
      <c r="AD1535" s="23" t="s">
        <v>52</v>
      </c>
      <c r="AE1535" s="39" t="str">
        <f t="shared" si="197"/>
        <v>4331</v>
      </c>
      <c r="AG1535" s="29"/>
      <c r="AH1535" s="29"/>
      <c r="AI1535" s="23"/>
      <c r="AJ1535" s="23"/>
      <c r="AK1535" s="23"/>
      <c r="AL1535" s="23"/>
      <c r="AM1535" s="23"/>
      <c r="AN1535" s="23">
        <v>103</v>
      </c>
      <c r="AO1535" s="23"/>
      <c r="AP1535" s="23"/>
      <c r="AQ1535" s="81"/>
      <c r="AT1535" s="81"/>
      <c r="AU1535" s="12" t="s">
        <v>1945</v>
      </c>
      <c r="AV1535" s="13"/>
      <c r="AW1535" s="39">
        <v>5</v>
      </c>
      <c r="AX1535" s="12">
        <f>VLOOKUP(AW1535,색인!$N$14:$O$19,2,FALSE)</f>
        <v>3</v>
      </c>
      <c r="AY1535" s="32" t="str">
        <f>"T"&amp;O1535&amp;"_"&amp;AX1535&amp;"옵션_"&amp;VLOOKUP(E1535,색인!$J$25:$K$29,2,FALSE)</f>
        <v>T4_3옵션_장신구</v>
      </c>
      <c r="AZ1535" s="32">
        <f>VLOOKUP(G1535,색인!$J$32:$K$45,2,FALSE)</f>
        <v>2</v>
      </c>
      <c r="BA1535" s="32" t="str">
        <f>_xlfn.IFNA(VLOOKUP(AY1535,표1[[검색용]:[OptionGroupIndex'[']22]],EquipItemTable!AZ1535,FALSE),"옵션고정안함")</f>
        <v>4331</v>
      </c>
    </row>
    <row r="1536" spans="1:53" ht="12" customHeight="1" x14ac:dyDescent="0.2">
      <c r="A1536" s="10" t="s">
        <v>713</v>
      </c>
      <c r="B1536" s="39">
        <v>81405</v>
      </c>
      <c r="C1536" s="42" t="s">
        <v>3940</v>
      </c>
      <c r="D1536" s="10" t="s">
        <v>2947</v>
      </c>
      <c r="E1536" s="10" t="s">
        <v>2</v>
      </c>
      <c r="F1536" s="1" t="s">
        <v>312</v>
      </c>
      <c r="G1536" s="1" t="s">
        <v>1315</v>
      </c>
      <c r="H1536" s="1"/>
      <c r="I1536" s="1"/>
      <c r="J1536" s="27"/>
      <c r="K1536" s="27"/>
      <c r="L1536" s="27"/>
      <c r="M1536" s="27"/>
      <c r="N1536" s="81"/>
      <c r="O1536" s="12" t="s">
        <v>430</v>
      </c>
      <c r="P1536" s="1">
        <v>51</v>
      </c>
      <c r="Q1536" s="13"/>
      <c r="R1536" s="13"/>
      <c r="S1536" s="13"/>
      <c r="T1536" s="13"/>
      <c r="U1536" s="13"/>
      <c r="V1536" s="13"/>
      <c r="W1536" s="1">
        <f>ROUNDDOWN(W1510*1.1,0)</f>
        <v>1821</v>
      </c>
      <c r="X1536" s="1">
        <f t="shared" si="196"/>
        <v>1821</v>
      </c>
      <c r="Y1536" s="84"/>
      <c r="Z1536" s="13"/>
      <c r="AA1536" s="13"/>
      <c r="AB1536" s="13"/>
      <c r="AC1536" s="82"/>
      <c r="AD1536" s="12" t="s">
        <v>98</v>
      </c>
      <c r="AE1536" s="39" t="str">
        <f t="shared" si="197"/>
        <v>5331</v>
      </c>
      <c r="AG1536" s="29"/>
      <c r="AH1536" s="29"/>
      <c r="AN1536" s="23">
        <v>103</v>
      </c>
      <c r="AT1536" s="81"/>
      <c r="AU1536" s="12" t="s">
        <v>1945</v>
      </c>
      <c r="AV1536" s="13"/>
      <c r="AW1536" s="39">
        <v>5</v>
      </c>
      <c r="AX1536" s="12">
        <f>VLOOKUP(AW1536,색인!$N$14:$O$19,2,FALSE)</f>
        <v>3</v>
      </c>
      <c r="AY1536" s="32" t="str">
        <f>"T"&amp;O1536&amp;"_"&amp;AX1536&amp;"옵션_"&amp;VLOOKUP(E1536,색인!$J$25:$K$29,2,FALSE)</f>
        <v>T5_3옵션_장신구</v>
      </c>
      <c r="AZ1536" s="32">
        <f>VLOOKUP(G1536,색인!$J$32:$K$45,2,FALSE)</f>
        <v>2</v>
      </c>
      <c r="BA1536" s="32" t="str">
        <f>_xlfn.IFNA(VLOOKUP(AY1536,표1[[검색용]:[OptionGroupIndex'[']22]],EquipItemTable!AZ1536,FALSE),"옵션고정안함")</f>
        <v>5331</v>
      </c>
    </row>
    <row r="1537" spans="1:53" s="1" customFormat="1" ht="12" x14ac:dyDescent="0.2">
      <c r="A1537" s="10" t="s">
        <v>842</v>
      </c>
      <c r="B1537" s="39">
        <v>81406</v>
      </c>
      <c r="C1537" s="42" t="s">
        <v>3940</v>
      </c>
      <c r="D1537" s="10" t="s">
        <v>2947</v>
      </c>
      <c r="E1537" s="10" t="s">
        <v>2</v>
      </c>
      <c r="F1537" s="1" t="s">
        <v>312</v>
      </c>
      <c r="G1537" s="1" t="s">
        <v>1315</v>
      </c>
      <c r="J1537" s="27"/>
      <c r="K1537" s="27"/>
      <c r="L1537" s="27"/>
      <c r="M1537" s="27"/>
      <c r="N1537" s="81"/>
      <c r="O1537" s="12" t="s">
        <v>755</v>
      </c>
      <c r="P1537" s="1">
        <v>61</v>
      </c>
      <c r="Q1537" s="13"/>
      <c r="R1537" s="13"/>
      <c r="S1537" s="13"/>
      <c r="T1537" s="13"/>
      <c r="U1537" s="13"/>
      <c r="V1537" s="13"/>
      <c r="W1537" s="1">
        <v>2649</v>
      </c>
      <c r="X1537" s="1">
        <f t="shared" ref="X1537" si="198">W1537</f>
        <v>2649</v>
      </c>
      <c r="Y1537" s="84"/>
      <c r="Z1537" s="13"/>
      <c r="AA1537" s="13"/>
      <c r="AB1537" s="13"/>
      <c r="AC1537" s="82"/>
      <c r="AD1537" s="12" t="s">
        <v>864</v>
      </c>
      <c r="AE1537" s="39" t="str">
        <f t="shared" si="197"/>
        <v>6331</v>
      </c>
      <c r="AF1537" s="12"/>
      <c r="AG1537" s="29"/>
      <c r="AH1537" s="29"/>
      <c r="AI1537" s="12"/>
      <c r="AJ1537" s="12"/>
      <c r="AK1537" s="12"/>
      <c r="AL1537" s="12"/>
      <c r="AM1537" s="12"/>
      <c r="AN1537" s="23">
        <v>103</v>
      </c>
      <c r="AO1537" s="12"/>
      <c r="AP1537" s="12"/>
      <c r="AQ1537" s="8"/>
      <c r="AR1537" s="34"/>
      <c r="AS1537" s="34"/>
      <c r="AT1537" s="85"/>
      <c r="AU1537" s="12" t="s">
        <v>1945</v>
      </c>
      <c r="AW1537" s="39">
        <v>5</v>
      </c>
      <c r="AX1537" s="12">
        <f>VLOOKUP(AW1537,색인!$N$14:$O$19,2,FALSE)</f>
        <v>3</v>
      </c>
      <c r="AY1537" s="32" t="str">
        <f>"T"&amp;O1537&amp;"_"&amp;AX1537&amp;"옵션_"&amp;VLOOKUP(E1537,색인!$J$25:$K$29,2,FALSE)</f>
        <v>T6_3옵션_장신구</v>
      </c>
      <c r="AZ1537" s="32">
        <f>VLOOKUP(G1537,색인!$J$32:$K$45,2,FALSE)</f>
        <v>2</v>
      </c>
      <c r="BA1537" s="32" t="str">
        <f>_xlfn.IFNA(VLOOKUP(AY1537,표1[[검색용]:[OptionGroupIndex'[']22]],EquipItemTable!AZ1537,FALSE),"옵션고정안함")</f>
        <v>6331</v>
      </c>
    </row>
    <row r="1538" spans="1:53" s="1" customFormat="1" ht="12" x14ac:dyDescent="0.2">
      <c r="A1538" s="10" t="s">
        <v>1274</v>
      </c>
      <c r="B1538" s="39">
        <v>81407</v>
      </c>
      <c r="C1538" s="42" t="s">
        <v>3941</v>
      </c>
      <c r="D1538" s="10" t="s">
        <v>2947</v>
      </c>
      <c r="E1538" s="10" t="s">
        <v>2</v>
      </c>
      <c r="F1538" s="1" t="s">
        <v>312</v>
      </c>
      <c r="G1538" s="1" t="s">
        <v>1315</v>
      </c>
      <c r="J1538" s="27"/>
      <c r="K1538" s="27"/>
      <c r="L1538" s="27"/>
      <c r="M1538" s="27"/>
      <c r="N1538" s="81"/>
      <c r="O1538" s="12" t="s">
        <v>747</v>
      </c>
      <c r="P1538" s="1">
        <v>61</v>
      </c>
      <c r="Q1538" s="13"/>
      <c r="R1538" s="13"/>
      <c r="S1538" s="13"/>
      <c r="T1538" s="13"/>
      <c r="U1538" s="13"/>
      <c r="V1538" s="13"/>
      <c r="W1538" s="1">
        <v>2649</v>
      </c>
      <c r="X1538" s="1">
        <f t="shared" ref="X1538:X1542" si="199">W1538</f>
        <v>2649</v>
      </c>
      <c r="Y1538" s="84"/>
      <c r="Z1538" s="13"/>
      <c r="AA1538" s="13"/>
      <c r="AB1538" s="13"/>
      <c r="AC1538" s="82"/>
      <c r="AD1538" s="12" t="s">
        <v>864</v>
      </c>
      <c r="AE1538" s="39" t="str">
        <f t="shared" si="197"/>
        <v>6331</v>
      </c>
      <c r="AF1538" s="12"/>
      <c r="AG1538" s="29"/>
      <c r="AH1538" s="29"/>
      <c r="AI1538" s="12"/>
      <c r="AJ1538" s="12"/>
      <c r="AK1538" s="12"/>
      <c r="AL1538" s="12"/>
      <c r="AM1538" s="12"/>
      <c r="AN1538" s="12" t="s">
        <v>1228</v>
      </c>
      <c r="AO1538" s="12"/>
      <c r="AP1538" s="12"/>
      <c r="AQ1538" s="8"/>
      <c r="AR1538" s="34"/>
      <c r="AS1538" s="34"/>
      <c r="AT1538" s="85"/>
      <c r="AU1538" s="12" t="s">
        <v>1945</v>
      </c>
      <c r="AW1538" s="39">
        <v>5</v>
      </c>
      <c r="AX1538" s="12">
        <f>VLOOKUP(AW1538,색인!$N$14:$O$19,2,FALSE)</f>
        <v>3</v>
      </c>
      <c r="AY1538" s="32" t="str">
        <f>"T"&amp;O1538&amp;"_"&amp;AX1538&amp;"옵션_"&amp;VLOOKUP(E1538,색인!$J$25:$K$29,2,FALSE)</f>
        <v>T6_3옵션_장신구</v>
      </c>
      <c r="AZ1538" s="32">
        <f>VLOOKUP(G1538,색인!$J$32:$K$45,2,FALSE)</f>
        <v>2</v>
      </c>
      <c r="BA1538" s="32" t="str">
        <f>_xlfn.IFNA(VLOOKUP(AY1538,표1[[검색용]:[OptionGroupIndex'[']22]],EquipItemTable!AZ1538,FALSE),"옵션고정안함")</f>
        <v>6331</v>
      </c>
    </row>
    <row r="1539" spans="1:53" s="1" customFormat="1" ht="12" x14ac:dyDescent="0.2">
      <c r="A1539" s="10" t="s">
        <v>1275</v>
      </c>
      <c r="B1539" s="39">
        <v>81408</v>
      </c>
      <c r="C1539" s="42" t="s">
        <v>3942</v>
      </c>
      <c r="D1539" s="10" t="s">
        <v>2947</v>
      </c>
      <c r="E1539" s="10" t="s">
        <v>2</v>
      </c>
      <c r="F1539" s="1" t="s">
        <v>312</v>
      </c>
      <c r="G1539" s="1" t="s">
        <v>1315</v>
      </c>
      <c r="J1539" s="27"/>
      <c r="K1539" s="27"/>
      <c r="L1539" s="27"/>
      <c r="M1539" s="27"/>
      <c r="N1539" s="81"/>
      <c r="O1539" s="12" t="s">
        <v>747</v>
      </c>
      <c r="P1539" s="1">
        <v>61</v>
      </c>
      <c r="Q1539" s="13"/>
      <c r="R1539" s="13"/>
      <c r="S1539" s="13"/>
      <c r="T1539" s="13"/>
      <c r="U1539" s="13"/>
      <c r="V1539" s="13"/>
      <c r="W1539" s="1">
        <v>2649</v>
      </c>
      <c r="X1539" s="1">
        <f t="shared" si="199"/>
        <v>2649</v>
      </c>
      <c r="Y1539" s="84"/>
      <c r="Z1539" s="13"/>
      <c r="AA1539" s="13"/>
      <c r="AB1539" s="13"/>
      <c r="AC1539" s="82"/>
      <c r="AD1539" s="12" t="s">
        <v>864</v>
      </c>
      <c r="AE1539" s="39" t="str">
        <f t="shared" si="197"/>
        <v>6331</v>
      </c>
      <c r="AF1539" s="12"/>
      <c r="AG1539" s="29"/>
      <c r="AH1539" s="29"/>
      <c r="AI1539" s="12"/>
      <c r="AJ1539" s="12"/>
      <c r="AK1539" s="12"/>
      <c r="AL1539" s="12"/>
      <c r="AM1539" s="12"/>
      <c r="AN1539" s="12" t="s">
        <v>1213</v>
      </c>
      <c r="AO1539" s="12"/>
      <c r="AP1539" s="12"/>
      <c r="AQ1539" s="8"/>
      <c r="AR1539" s="34"/>
      <c r="AS1539" s="34"/>
      <c r="AT1539" s="85"/>
      <c r="AU1539" s="12" t="s">
        <v>1945</v>
      </c>
      <c r="AW1539" s="39">
        <v>5</v>
      </c>
      <c r="AX1539" s="12">
        <f>VLOOKUP(AW1539,색인!$N$14:$O$19,2,FALSE)</f>
        <v>3</v>
      </c>
      <c r="AY1539" s="32" t="str">
        <f>"T"&amp;O1539&amp;"_"&amp;AX1539&amp;"옵션_"&amp;VLOOKUP(E1539,색인!$J$25:$K$29,2,FALSE)</f>
        <v>T6_3옵션_장신구</v>
      </c>
      <c r="AZ1539" s="32">
        <f>VLOOKUP(G1539,색인!$J$32:$K$45,2,FALSE)</f>
        <v>2</v>
      </c>
      <c r="BA1539" s="32" t="str">
        <f>_xlfn.IFNA(VLOOKUP(AY1539,표1[[검색용]:[OptionGroupIndex'[']22]],EquipItemTable!AZ1539,FALSE),"옵션고정안함")</f>
        <v>6331</v>
      </c>
    </row>
    <row r="1540" spans="1:53" s="1" customFormat="1" ht="12" x14ac:dyDescent="0.2">
      <c r="A1540" s="10" t="s">
        <v>1276</v>
      </c>
      <c r="B1540" s="39">
        <v>81409</v>
      </c>
      <c r="C1540" s="42" t="s">
        <v>3943</v>
      </c>
      <c r="D1540" s="10" t="s">
        <v>2947</v>
      </c>
      <c r="E1540" s="10" t="s">
        <v>2</v>
      </c>
      <c r="F1540" s="1" t="s">
        <v>312</v>
      </c>
      <c r="G1540" s="1" t="s">
        <v>1315</v>
      </c>
      <c r="J1540" s="27"/>
      <c r="K1540" s="27"/>
      <c r="L1540" s="27"/>
      <c r="M1540" s="27"/>
      <c r="N1540" s="81"/>
      <c r="O1540" s="12" t="s">
        <v>747</v>
      </c>
      <c r="P1540" s="1">
        <v>61</v>
      </c>
      <c r="Q1540" s="13"/>
      <c r="R1540" s="13"/>
      <c r="S1540" s="13"/>
      <c r="T1540" s="13"/>
      <c r="U1540" s="13"/>
      <c r="V1540" s="13"/>
      <c r="W1540" s="1">
        <v>2649</v>
      </c>
      <c r="X1540" s="1">
        <f t="shared" si="199"/>
        <v>2649</v>
      </c>
      <c r="Y1540" s="84"/>
      <c r="Z1540" s="13"/>
      <c r="AA1540" s="13"/>
      <c r="AB1540" s="13"/>
      <c r="AC1540" s="82"/>
      <c r="AD1540" s="12" t="s">
        <v>864</v>
      </c>
      <c r="AE1540" s="39" t="str">
        <f t="shared" si="197"/>
        <v>6331</v>
      </c>
      <c r="AF1540" s="12"/>
      <c r="AG1540" s="29"/>
      <c r="AH1540" s="29"/>
      <c r="AI1540" s="12"/>
      <c r="AJ1540" s="12"/>
      <c r="AK1540" s="12"/>
      <c r="AL1540" s="12"/>
      <c r="AM1540" s="12"/>
      <c r="AN1540" s="12" t="s">
        <v>1214</v>
      </c>
      <c r="AO1540" s="12"/>
      <c r="AP1540" s="12"/>
      <c r="AQ1540" s="8"/>
      <c r="AR1540" s="34"/>
      <c r="AS1540" s="34"/>
      <c r="AT1540" s="85"/>
      <c r="AU1540" s="12" t="s">
        <v>1945</v>
      </c>
      <c r="AW1540" s="39">
        <v>5</v>
      </c>
      <c r="AX1540" s="12">
        <f>VLOOKUP(AW1540,색인!$N$14:$O$19,2,FALSE)</f>
        <v>3</v>
      </c>
      <c r="AY1540" s="32" t="str">
        <f>"T"&amp;O1540&amp;"_"&amp;AX1540&amp;"옵션_"&amp;VLOOKUP(E1540,색인!$J$25:$K$29,2,FALSE)</f>
        <v>T6_3옵션_장신구</v>
      </c>
      <c r="AZ1540" s="32">
        <f>VLOOKUP(G1540,색인!$J$32:$K$45,2,FALSE)</f>
        <v>2</v>
      </c>
      <c r="BA1540" s="32" t="str">
        <f>_xlfn.IFNA(VLOOKUP(AY1540,표1[[검색용]:[OptionGroupIndex'[']22]],EquipItemTable!AZ1540,FALSE),"옵션고정안함")</f>
        <v>6331</v>
      </c>
    </row>
    <row r="1541" spans="1:53" s="1" customFormat="1" ht="12" x14ac:dyDescent="0.2">
      <c r="A1541" s="10" t="s">
        <v>1277</v>
      </c>
      <c r="B1541" s="39">
        <v>81410</v>
      </c>
      <c r="C1541" s="42" t="s">
        <v>3944</v>
      </c>
      <c r="D1541" s="10" t="s">
        <v>2947</v>
      </c>
      <c r="E1541" s="10" t="s">
        <v>2</v>
      </c>
      <c r="F1541" s="1" t="s">
        <v>312</v>
      </c>
      <c r="G1541" s="1" t="s">
        <v>1315</v>
      </c>
      <c r="J1541" s="27"/>
      <c r="K1541" s="27"/>
      <c r="L1541" s="27"/>
      <c r="M1541" s="27"/>
      <c r="N1541" s="81"/>
      <c r="O1541" s="12" t="s">
        <v>747</v>
      </c>
      <c r="P1541" s="1">
        <v>61</v>
      </c>
      <c r="Q1541" s="13"/>
      <c r="R1541" s="13"/>
      <c r="S1541" s="13"/>
      <c r="T1541" s="13"/>
      <c r="U1541" s="13"/>
      <c r="V1541" s="13"/>
      <c r="W1541" s="1">
        <v>2649</v>
      </c>
      <c r="X1541" s="1">
        <f t="shared" si="199"/>
        <v>2649</v>
      </c>
      <c r="Y1541" s="84"/>
      <c r="Z1541" s="13"/>
      <c r="AA1541" s="13"/>
      <c r="AB1541" s="13"/>
      <c r="AC1541" s="82"/>
      <c r="AD1541" s="12" t="s">
        <v>864</v>
      </c>
      <c r="AE1541" s="39" t="str">
        <f t="shared" si="197"/>
        <v>6331</v>
      </c>
      <c r="AF1541" s="12"/>
      <c r="AG1541" s="29"/>
      <c r="AH1541" s="29"/>
      <c r="AI1541" s="12"/>
      <c r="AJ1541" s="12"/>
      <c r="AK1541" s="12"/>
      <c r="AL1541" s="12"/>
      <c r="AM1541" s="12"/>
      <c r="AN1541" s="12" t="s">
        <v>1215</v>
      </c>
      <c r="AO1541" s="12"/>
      <c r="AP1541" s="12"/>
      <c r="AQ1541" s="8"/>
      <c r="AR1541" s="34"/>
      <c r="AS1541" s="34"/>
      <c r="AT1541" s="85"/>
      <c r="AU1541" s="12" t="s">
        <v>1945</v>
      </c>
      <c r="AW1541" s="39">
        <v>5</v>
      </c>
      <c r="AX1541" s="12">
        <f>VLOOKUP(AW1541,색인!$N$14:$O$19,2,FALSE)</f>
        <v>3</v>
      </c>
      <c r="AY1541" s="32" t="str">
        <f>"T"&amp;O1541&amp;"_"&amp;AX1541&amp;"옵션_"&amp;VLOOKUP(E1541,색인!$J$25:$K$29,2,FALSE)</f>
        <v>T6_3옵션_장신구</v>
      </c>
      <c r="AZ1541" s="32">
        <f>VLOOKUP(G1541,색인!$J$32:$K$45,2,FALSE)</f>
        <v>2</v>
      </c>
      <c r="BA1541" s="32" t="str">
        <f>_xlfn.IFNA(VLOOKUP(AY1541,표1[[검색용]:[OptionGroupIndex'[']22]],EquipItemTable!AZ1541,FALSE),"옵션고정안함")</f>
        <v>6331</v>
      </c>
    </row>
    <row r="1542" spans="1:53" s="1" customFormat="1" ht="12" x14ac:dyDescent="0.2">
      <c r="A1542" s="10" t="s">
        <v>1278</v>
      </c>
      <c r="B1542" s="39">
        <v>81411</v>
      </c>
      <c r="C1542" s="42" t="s">
        <v>3945</v>
      </c>
      <c r="D1542" s="10" t="s">
        <v>2947</v>
      </c>
      <c r="E1542" s="10" t="s">
        <v>2</v>
      </c>
      <c r="F1542" s="1" t="s">
        <v>312</v>
      </c>
      <c r="G1542" s="1" t="s">
        <v>1315</v>
      </c>
      <c r="J1542" s="27"/>
      <c r="K1542" s="27"/>
      <c r="L1542" s="27"/>
      <c r="M1542" s="27"/>
      <c r="N1542" s="81"/>
      <c r="O1542" s="12" t="s">
        <v>747</v>
      </c>
      <c r="P1542" s="1">
        <v>61</v>
      </c>
      <c r="Q1542" s="13"/>
      <c r="R1542" s="13"/>
      <c r="S1542" s="13"/>
      <c r="T1542" s="13"/>
      <c r="U1542" s="13"/>
      <c r="V1542" s="13"/>
      <c r="W1542" s="1">
        <v>2649</v>
      </c>
      <c r="X1542" s="1">
        <f t="shared" si="199"/>
        <v>2649</v>
      </c>
      <c r="Y1542" s="84"/>
      <c r="Z1542" s="13"/>
      <c r="AA1542" s="13"/>
      <c r="AB1542" s="13"/>
      <c r="AC1542" s="82"/>
      <c r="AD1542" s="12" t="s">
        <v>864</v>
      </c>
      <c r="AE1542" s="39" t="str">
        <f t="shared" si="197"/>
        <v>6331</v>
      </c>
      <c r="AF1542" s="12"/>
      <c r="AG1542" s="29"/>
      <c r="AH1542" s="29"/>
      <c r="AI1542" s="12"/>
      <c r="AJ1542" s="12"/>
      <c r="AK1542" s="12"/>
      <c r="AL1542" s="12"/>
      <c r="AM1542" s="12"/>
      <c r="AN1542" s="12" t="s">
        <v>1216</v>
      </c>
      <c r="AO1542" s="12"/>
      <c r="AP1542" s="12"/>
      <c r="AQ1542" s="8"/>
      <c r="AR1542" s="34"/>
      <c r="AS1542" s="34"/>
      <c r="AT1542" s="85"/>
      <c r="AU1542" s="12" t="s">
        <v>1945</v>
      </c>
      <c r="AW1542" s="39">
        <v>5</v>
      </c>
      <c r="AX1542" s="12">
        <f>VLOOKUP(AW1542,색인!$N$14:$O$19,2,FALSE)</f>
        <v>3</v>
      </c>
      <c r="AY1542" s="32" t="str">
        <f>"T"&amp;O1542&amp;"_"&amp;AX1542&amp;"옵션_"&amp;VLOOKUP(E1542,색인!$J$25:$K$29,2,FALSE)</f>
        <v>T6_3옵션_장신구</v>
      </c>
      <c r="AZ1542" s="32">
        <f>VLOOKUP(G1542,색인!$J$32:$K$45,2,FALSE)</f>
        <v>2</v>
      </c>
      <c r="BA1542" s="32" t="str">
        <f>_xlfn.IFNA(VLOOKUP(AY1542,표1[[검색용]:[OptionGroupIndex'[']22]],EquipItemTable!AZ1542,FALSE),"옵션고정안함")</f>
        <v>6331</v>
      </c>
    </row>
    <row r="1543" spans="1:53" s="1" customFormat="1" ht="12" x14ac:dyDescent="0.2">
      <c r="A1543" s="10" t="s">
        <v>1188</v>
      </c>
      <c r="B1543" s="39">
        <v>381001</v>
      </c>
      <c r="C1543" s="42" t="s">
        <v>3946</v>
      </c>
      <c r="D1543" s="10" t="s">
        <v>2947</v>
      </c>
      <c r="E1543" s="10" t="s">
        <v>2</v>
      </c>
      <c r="F1543" s="1" t="s">
        <v>312</v>
      </c>
      <c r="G1543" s="1" t="s">
        <v>1315</v>
      </c>
      <c r="J1543" s="27"/>
      <c r="K1543" s="27"/>
      <c r="L1543" s="27"/>
      <c r="M1543" s="27"/>
      <c r="N1543" s="81"/>
      <c r="O1543" s="12" t="s">
        <v>755</v>
      </c>
      <c r="P1543" s="1">
        <v>61</v>
      </c>
      <c r="Q1543" s="13"/>
      <c r="R1543" s="13"/>
      <c r="S1543" s="13"/>
      <c r="T1543" s="13"/>
      <c r="U1543" s="13"/>
      <c r="V1543" s="13"/>
      <c r="W1543" s="1">
        <v>2649</v>
      </c>
      <c r="X1543" s="1">
        <f t="shared" ref="X1543:X1544" si="200">W1543</f>
        <v>2649</v>
      </c>
      <c r="Y1543" s="84"/>
      <c r="Z1543" s="13"/>
      <c r="AA1543" s="13"/>
      <c r="AB1543" s="13"/>
      <c r="AC1543" s="82"/>
      <c r="AD1543" s="12" t="s">
        <v>864</v>
      </c>
      <c r="AE1543" s="39" t="str">
        <f t="shared" si="197"/>
        <v>6331</v>
      </c>
      <c r="AF1543" s="12"/>
      <c r="AG1543" s="29"/>
      <c r="AH1543" s="29"/>
      <c r="AI1543" s="12"/>
      <c r="AJ1543" s="12"/>
      <c r="AK1543" s="12"/>
      <c r="AL1543" s="12"/>
      <c r="AM1543" s="12"/>
      <c r="AN1543" s="12" t="s">
        <v>1199</v>
      </c>
      <c r="AO1543" s="12"/>
      <c r="AP1543" s="12"/>
      <c r="AQ1543" s="8"/>
      <c r="AR1543" s="34"/>
      <c r="AS1543" s="34"/>
      <c r="AT1543" s="85"/>
      <c r="AU1543" s="12" t="s">
        <v>1945</v>
      </c>
      <c r="AW1543" s="39">
        <v>5</v>
      </c>
      <c r="AX1543" s="12">
        <f>VLOOKUP(AW1543,색인!$N$14:$O$19,2,FALSE)</f>
        <v>3</v>
      </c>
      <c r="AY1543" s="32" t="str">
        <f>"T"&amp;O1543&amp;"_"&amp;AX1543&amp;"옵션_"&amp;VLOOKUP(E1543,색인!$J$25:$K$29,2,FALSE)</f>
        <v>T6_3옵션_장신구</v>
      </c>
      <c r="AZ1543" s="32">
        <f>VLOOKUP(G1543,색인!$J$32:$K$45,2,FALSE)</f>
        <v>2</v>
      </c>
      <c r="BA1543" s="32" t="str">
        <f>_xlfn.IFNA(VLOOKUP(AY1543,표1[[검색용]:[OptionGroupIndex'[']22]],EquipItemTable!AZ1543,FALSE),"옵션고정안함")</f>
        <v>6331</v>
      </c>
    </row>
    <row r="1544" spans="1:53" s="1" customFormat="1" ht="12" x14ac:dyDescent="0.2">
      <c r="A1544" s="10" t="s">
        <v>1569</v>
      </c>
      <c r="B1544" s="39">
        <v>381002</v>
      </c>
      <c r="C1544" s="42" t="s">
        <v>3947</v>
      </c>
      <c r="D1544" s="10" t="s">
        <v>2947</v>
      </c>
      <c r="E1544" s="10" t="s">
        <v>2</v>
      </c>
      <c r="F1544" s="1" t="s">
        <v>312</v>
      </c>
      <c r="G1544" s="1" t="s">
        <v>1315</v>
      </c>
      <c r="J1544" s="27"/>
      <c r="K1544" s="27"/>
      <c r="L1544" s="27"/>
      <c r="M1544" s="27"/>
      <c r="N1544" s="81"/>
      <c r="O1544" s="32">
        <v>6</v>
      </c>
      <c r="P1544" s="23">
        <v>61</v>
      </c>
      <c r="Q1544" s="13"/>
      <c r="R1544" s="13"/>
      <c r="S1544" s="13"/>
      <c r="T1544" s="13"/>
      <c r="U1544" s="13"/>
      <c r="V1544" s="13"/>
      <c r="W1544" s="1">
        <v>2769</v>
      </c>
      <c r="X1544" s="1">
        <f t="shared" si="200"/>
        <v>2769</v>
      </c>
      <c r="Y1544" s="84"/>
      <c r="Z1544" s="13"/>
      <c r="AA1544" s="13"/>
      <c r="AB1544" s="13"/>
      <c r="AC1544" s="82"/>
      <c r="AD1544" s="12" t="s">
        <v>98</v>
      </c>
      <c r="AE1544" s="39" t="s">
        <v>552</v>
      </c>
      <c r="AF1544" s="12"/>
      <c r="AG1544" s="29"/>
      <c r="AH1544" s="29"/>
      <c r="AI1544" s="12"/>
      <c r="AJ1544" s="12"/>
      <c r="AK1544" s="12"/>
      <c r="AL1544" s="12"/>
      <c r="AM1544" s="12"/>
      <c r="AN1544" s="12" t="s">
        <v>1295</v>
      </c>
      <c r="AO1544" s="12"/>
      <c r="AP1544" s="12"/>
      <c r="AQ1544" s="8"/>
      <c r="AR1544" s="34"/>
      <c r="AS1544" s="34"/>
      <c r="AT1544" s="85"/>
      <c r="AU1544" s="12" t="s">
        <v>1936</v>
      </c>
      <c r="AW1544" s="39">
        <v>6</v>
      </c>
      <c r="AX1544" s="12">
        <f>VLOOKUP(AW1544,색인!$N$14:$O$19,2,FALSE)</f>
        <v>4</v>
      </c>
      <c r="AY1544" s="32" t="str">
        <f>"T"&amp;O1544&amp;"_"&amp;AX1544&amp;"옵션_"&amp;VLOOKUP(E1544,색인!$J$25:$K$29,2,FALSE)</f>
        <v>T6_4옵션_장신구</v>
      </c>
      <c r="AZ1544" s="32">
        <f>VLOOKUP(G1544,색인!$J$32:$K$45,2,FALSE)</f>
        <v>2</v>
      </c>
      <c r="BA1544" s="32" t="str">
        <f>_xlfn.IFNA(VLOOKUP(AY1544,표1[[검색용]:[OptionGroupIndex'[']22]],EquipItemTable!AZ1544,FALSE),"옵션고정안함")</f>
        <v>6431</v>
      </c>
    </row>
    <row r="1545" spans="1:53" s="27" customFormat="1" ht="12" x14ac:dyDescent="0.2">
      <c r="A1545" s="25" t="s">
        <v>1570</v>
      </c>
      <c r="B1545" s="39">
        <v>81412</v>
      </c>
      <c r="C1545" s="42" t="s">
        <v>3948</v>
      </c>
      <c r="D1545" s="26" t="s">
        <v>2947</v>
      </c>
      <c r="E1545" s="26" t="s">
        <v>2</v>
      </c>
      <c r="F1545" s="27" t="s">
        <v>312</v>
      </c>
      <c r="G1545" s="27" t="s">
        <v>1587</v>
      </c>
      <c r="N1545" s="8"/>
      <c r="O1545" s="29" t="s">
        <v>1338</v>
      </c>
      <c r="P1545" s="27">
        <v>71</v>
      </c>
      <c r="W1545" s="27">
        <v>2586</v>
      </c>
      <c r="X1545" s="27">
        <v>2586</v>
      </c>
      <c r="AB1545" s="28"/>
      <c r="AC1545" s="82"/>
      <c r="AD1545" s="29" t="s">
        <v>1377</v>
      </c>
      <c r="AE1545" s="29" t="s">
        <v>1337</v>
      </c>
      <c r="AF1545" s="29"/>
      <c r="AG1545" s="29"/>
      <c r="AH1545" s="29"/>
      <c r="AQ1545" s="85"/>
      <c r="AT1545" s="85"/>
      <c r="AU1545" s="29">
        <v>1001</v>
      </c>
      <c r="AW1545" s="39">
        <v>1</v>
      </c>
      <c r="AX1545" s="12"/>
      <c r="AY1545" s="32"/>
      <c r="AZ1545" s="32"/>
      <c r="BA1545" s="32"/>
    </row>
    <row r="1546" spans="1:53" s="27" customFormat="1" ht="12" x14ac:dyDescent="0.2">
      <c r="A1546" s="25" t="s">
        <v>1571</v>
      </c>
      <c r="B1546" s="39">
        <v>81413</v>
      </c>
      <c r="C1546" s="42" t="s">
        <v>3949</v>
      </c>
      <c r="D1546" s="26" t="s">
        <v>2947</v>
      </c>
      <c r="E1546" s="26" t="s">
        <v>2</v>
      </c>
      <c r="F1546" s="27" t="s">
        <v>312</v>
      </c>
      <c r="G1546" s="27" t="s">
        <v>1587</v>
      </c>
      <c r="N1546" s="8"/>
      <c r="O1546" s="29" t="s">
        <v>1338</v>
      </c>
      <c r="P1546" s="27">
        <v>71</v>
      </c>
      <c r="W1546" s="27">
        <v>3010</v>
      </c>
      <c r="X1546" s="27">
        <v>3010</v>
      </c>
      <c r="AB1546" s="28"/>
      <c r="AC1546" s="82"/>
      <c r="AD1546" s="29" t="s">
        <v>1377</v>
      </c>
      <c r="AE1546" s="92" t="str">
        <f t="shared" ref="AE1546:AE1555" si="201">BA1546</f>
        <v>7131</v>
      </c>
      <c r="AF1546" s="29"/>
      <c r="AG1546" s="29"/>
      <c r="AH1546" s="29"/>
      <c r="AQ1546" s="85"/>
      <c r="AT1546" s="85"/>
      <c r="AU1546" s="29" t="s">
        <v>1939</v>
      </c>
      <c r="AW1546" s="39">
        <v>2</v>
      </c>
      <c r="AX1546" s="12">
        <f>VLOOKUP(AW1546,색인!$N$14:$O$19,2,FALSE)</f>
        <v>1</v>
      </c>
      <c r="AY1546" s="32" t="str">
        <f>"T"&amp;O1546&amp;"_"&amp;AX1546&amp;"옵션_"&amp;VLOOKUP(E1546,색인!$J$25:$K$29,2,FALSE)</f>
        <v>T7_1옵션_장신구</v>
      </c>
      <c r="AZ1546" s="32">
        <f>VLOOKUP(G1546,색인!$J$32:$K$45,2,FALSE)</f>
        <v>2</v>
      </c>
      <c r="BA1546" s="32" t="str">
        <f>_xlfn.IFNA(VLOOKUP(AY1546,표1[[검색용]:[OptionGroupIndex'[']22]],EquipItemTable!AZ1546,FALSE),"옵션고정안함")</f>
        <v>7131</v>
      </c>
    </row>
    <row r="1547" spans="1:53" s="27" customFormat="1" ht="12" x14ac:dyDescent="0.2">
      <c r="A1547" s="25" t="s">
        <v>1572</v>
      </c>
      <c r="B1547" s="39">
        <v>81414</v>
      </c>
      <c r="C1547" s="42" t="s">
        <v>3950</v>
      </c>
      <c r="D1547" s="26" t="s">
        <v>2947</v>
      </c>
      <c r="E1547" s="26" t="s">
        <v>2</v>
      </c>
      <c r="F1547" s="27" t="s">
        <v>312</v>
      </c>
      <c r="G1547" s="27" t="s">
        <v>1587</v>
      </c>
      <c r="N1547" s="8"/>
      <c r="O1547" s="29" t="s">
        <v>1338</v>
      </c>
      <c r="P1547" s="27">
        <v>71</v>
      </c>
      <c r="W1547" s="27">
        <v>3180</v>
      </c>
      <c r="X1547" s="27">
        <v>3180</v>
      </c>
      <c r="AB1547" s="28"/>
      <c r="AC1547" s="82"/>
      <c r="AD1547" s="29" t="s">
        <v>1377</v>
      </c>
      <c r="AE1547" s="92" t="str">
        <f t="shared" si="201"/>
        <v>7231</v>
      </c>
      <c r="AF1547" s="29"/>
      <c r="AG1547" s="29"/>
      <c r="AH1547" s="29"/>
      <c r="AQ1547" s="85"/>
      <c r="AT1547" s="85"/>
      <c r="AU1547" s="29" t="s">
        <v>1934</v>
      </c>
      <c r="AW1547" s="39">
        <v>3</v>
      </c>
      <c r="AX1547" s="12">
        <f>VLOOKUP(AW1547,색인!$N$14:$O$19,2,FALSE)</f>
        <v>2</v>
      </c>
      <c r="AY1547" s="32" t="str">
        <f>"T"&amp;O1547&amp;"_"&amp;AX1547&amp;"옵션_"&amp;VLOOKUP(E1547,색인!$J$25:$K$29,2,FALSE)</f>
        <v>T7_2옵션_장신구</v>
      </c>
      <c r="AZ1547" s="32">
        <f>VLOOKUP(G1547,색인!$J$32:$K$45,2,FALSE)</f>
        <v>2</v>
      </c>
      <c r="BA1547" s="32" t="str">
        <f>_xlfn.IFNA(VLOOKUP(AY1547,표1[[검색용]:[OptionGroupIndex'[']22]],EquipItemTable!AZ1547,FALSE),"옵션고정안함")</f>
        <v>7231</v>
      </c>
    </row>
    <row r="1548" spans="1:53" s="27" customFormat="1" ht="12" x14ac:dyDescent="0.2">
      <c r="A1548" s="25" t="s">
        <v>1573</v>
      </c>
      <c r="B1548" s="39">
        <v>81415</v>
      </c>
      <c r="C1548" s="42" t="s">
        <v>3951</v>
      </c>
      <c r="D1548" s="26" t="s">
        <v>2947</v>
      </c>
      <c r="E1548" s="26" t="s">
        <v>2</v>
      </c>
      <c r="F1548" s="27" t="s">
        <v>312</v>
      </c>
      <c r="G1548" s="27" t="s">
        <v>1587</v>
      </c>
      <c r="N1548" s="8"/>
      <c r="O1548" s="29" t="s">
        <v>1338</v>
      </c>
      <c r="P1548" s="27">
        <v>71</v>
      </c>
      <c r="W1548" s="27">
        <v>3474</v>
      </c>
      <c r="X1548" s="27">
        <v>3474</v>
      </c>
      <c r="AB1548" s="28"/>
      <c r="AC1548" s="82"/>
      <c r="AD1548" s="29" t="s">
        <v>1377</v>
      </c>
      <c r="AE1548" s="92" t="str">
        <f t="shared" si="201"/>
        <v>7331</v>
      </c>
      <c r="AF1548" s="29"/>
      <c r="AG1548" s="29"/>
      <c r="AH1548" s="29"/>
      <c r="AQ1548" s="85"/>
      <c r="AT1548" s="85"/>
      <c r="AU1548" s="29" t="s">
        <v>1935</v>
      </c>
      <c r="AW1548" s="39">
        <v>4</v>
      </c>
      <c r="AX1548" s="12">
        <f>VLOOKUP(AW1548,색인!$N$14:$O$19,2,FALSE)</f>
        <v>3</v>
      </c>
      <c r="AY1548" s="32" t="str">
        <f>"T"&amp;O1548&amp;"_"&amp;AX1548&amp;"옵션_"&amp;VLOOKUP(E1548,색인!$J$25:$K$29,2,FALSE)</f>
        <v>T7_3옵션_장신구</v>
      </c>
      <c r="AZ1548" s="32">
        <f>VLOOKUP(G1548,색인!$J$32:$K$45,2,FALSE)</f>
        <v>2</v>
      </c>
      <c r="BA1548" s="32" t="str">
        <f>_xlfn.IFNA(VLOOKUP(AY1548,표1[[검색용]:[OptionGroupIndex'[']22]],EquipItemTable!AZ1548,FALSE),"옵션고정안함")</f>
        <v>7331</v>
      </c>
    </row>
    <row r="1549" spans="1:53" s="27" customFormat="1" ht="12" x14ac:dyDescent="0.2">
      <c r="A1549" s="25" t="s">
        <v>1574</v>
      </c>
      <c r="B1549" s="39">
        <v>81416</v>
      </c>
      <c r="C1549" s="42" t="s">
        <v>3940</v>
      </c>
      <c r="D1549" s="26" t="s">
        <v>2947</v>
      </c>
      <c r="E1549" s="26" t="s">
        <v>2</v>
      </c>
      <c r="F1549" s="27" t="s">
        <v>312</v>
      </c>
      <c r="G1549" s="27" t="s">
        <v>1587</v>
      </c>
      <c r="N1549" s="8"/>
      <c r="O1549" s="29" t="s">
        <v>1338</v>
      </c>
      <c r="P1549" s="27">
        <v>71</v>
      </c>
      <c r="W1549" s="27">
        <v>3821</v>
      </c>
      <c r="X1549" s="27">
        <v>3821</v>
      </c>
      <c r="AB1549" s="28"/>
      <c r="AC1549" s="82"/>
      <c r="AD1549" s="29" t="s">
        <v>1377</v>
      </c>
      <c r="AE1549" s="92" t="str">
        <f t="shared" si="201"/>
        <v>7331</v>
      </c>
      <c r="AF1549" s="29"/>
      <c r="AG1549" s="29"/>
      <c r="AH1549" s="29"/>
      <c r="AN1549" s="27">
        <v>103</v>
      </c>
      <c r="AQ1549" s="85"/>
      <c r="AT1549" s="85"/>
      <c r="AU1549" s="29" t="s">
        <v>1945</v>
      </c>
      <c r="AW1549" s="39">
        <v>5</v>
      </c>
      <c r="AX1549" s="12">
        <f>VLOOKUP(AW1549,색인!$N$14:$O$19,2,FALSE)</f>
        <v>3</v>
      </c>
      <c r="AY1549" s="32" t="str">
        <f>"T"&amp;O1549&amp;"_"&amp;AX1549&amp;"옵션_"&amp;VLOOKUP(E1549,색인!$J$25:$K$29,2,FALSE)</f>
        <v>T7_3옵션_장신구</v>
      </c>
      <c r="AZ1549" s="32">
        <f>VLOOKUP(G1549,색인!$J$32:$K$45,2,FALSE)</f>
        <v>2</v>
      </c>
      <c r="BA1549" s="32" t="str">
        <f>_xlfn.IFNA(VLOOKUP(AY1549,표1[[검색용]:[OptionGroupIndex'[']22]],EquipItemTable!AZ1549,FALSE),"옵션고정안함")</f>
        <v>7331</v>
      </c>
    </row>
    <row r="1550" spans="1:53" s="27" customFormat="1" ht="12" x14ac:dyDescent="0.2">
      <c r="A1550" s="25" t="s">
        <v>1575</v>
      </c>
      <c r="B1550" s="39">
        <v>81417</v>
      </c>
      <c r="C1550" s="42" t="s">
        <v>3942</v>
      </c>
      <c r="D1550" s="26" t="s">
        <v>2947</v>
      </c>
      <c r="E1550" s="26" t="s">
        <v>2</v>
      </c>
      <c r="F1550" s="27" t="s">
        <v>312</v>
      </c>
      <c r="G1550" s="27" t="s">
        <v>1587</v>
      </c>
      <c r="N1550" s="8"/>
      <c r="O1550" s="29" t="s">
        <v>1338</v>
      </c>
      <c r="P1550" s="27">
        <v>71</v>
      </c>
      <c r="W1550" s="27">
        <v>3821</v>
      </c>
      <c r="X1550" s="27">
        <v>3821</v>
      </c>
      <c r="AB1550" s="28"/>
      <c r="AC1550" s="82"/>
      <c r="AD1550" s="29" t="s">
        <v>1377</v>
      </c>
      <c r="AE1550" s="92" t="str">
        <f t="shared" si="201"/>
        <v>7331</v>
      </c>
      <c r="AF1550" s="29"/>
      <c r="AG1550" s="29"/>
      <c r="AH1550" s="29"/>
      <c r="AN1550" s="27">
        <v>202</v>
      </c>
      <c r="AQ1550" s="85"/>
      <c r="AT1550" s="85"/>
      <c r="AU1550" s="29" t="s">
        <v>1945</v>
      </c>
      <c r="AW1550" s="39">
        <v>5</v>
      </c>
      <c r="AX1550" s="12">
        <f>VLOOKUP(AW1550,색인!$N$14:$O$19,2,FALSE)</f>
        <v>3</v>
      </c>
      <c r="AY1550" s="32" t="str">
        <f>"T"&amp;O1550&amp;"_"&amp;AX1550&amp;"옵션_"&amp;VLOOKUP(E1550,색인!$J$25:$K$29,2,FALSE)</f>
        <v>T7_3옵션_장신구</v>
      </c>
      <c r="AZ1550" s="32">
        <f>VLOOKUP(G1550,색인!$J$32:$K$45,2,FALSE)</f>
        <v>2</v>
      </c>
      <c r="BA1550" s="32" t="str">
        <f>_xlfn.IFNA(VLOOKUP(AY1550,표1[[검색용]:[OptionGroupIndex'[']22]],EquipItemTable!AZ1550,FALSE),"옵션고정안함")</f>
        <v>7331</v>
      </c>
    </row>
    <row r="1551" spans="1:53" s="27" customFormat="1" ht="12" x14ac:dyDescent="0.2">
      <c r="A1551" s="25" t="s">
        <v>1576</v>
      </c>
      <c r="B1551" s="39">
        <v>81418</v>
      </c>
      <c r="C1551" s="42" t="s">
        <v>3943</v>
      </c>
      <c r="D1551" s="26" t="s">
        <v>2947</v>
      </c>
      <c r="E1551" s="26" t="s">
        <v>2</v>
      </c>
      <c r="F1551" s="27" t="s">
        <v>312</v>
      </c>
      <c r="G1551" s="27" t="s">
        <v>1587</v>
      </c>
      <c r="N1551" s="8"/>
      <c r="O1551" s="29" t="s">
        <v>1338</v>
      </c>
      <c r="P1551" s="27">
        <v>71</v>
      </c>
      <c r="W1551" s="27">
        <v>3821</v>
      </c>
      <c r="X1551" s="27">
        <v>3821</v>
      </c>
      <c r="AB1551" s="28"/>
      <c r="AC1551" s="82"/>
      <c r="AD1551" s="29" t="s">
        <v>1377</v>
      </c>
      <c r="AE1551" s="92" t="str">
        <f t="shared" si="201"/>
        <v>7331</v>
      </c>
      <c r="AF1551" s="29"/>
      <c r="AG1551" s="29"/>
      <c r="AH1551" s="29"/>
      <c r="AN1551" s="27">
        <v>203</v>
      </c>
      <c r="AQ1551" s="85"/>
      <c r="AT1551" s="85"/>
      <c r="AU1551" s="29" t="s">
        <v>1945</v>
      </c>
      <c r="AW1551" s="39">
        <v>5</v>
      </c>
      <c r="AX1551" s="12">
        <f>VLOOKUP(AW1551,색인!$N$14:$O$19,2,FALSE)</f>
        <v>3</v>
      </c>
      <c r="AY1551" s="32" t="str">
        <f>"T"&amp;O1551&amp;"_"&amp;AX1551&amp;"옵션_"&amp;VLOOKUP(E1551,색인!$J$25:$K$29,2,FALSE)</f>
        <v>T7_3옵션_장신구</v>
      </c>
      <c r="AZ1551" s="32">
        <f>VLOOKUP(G1551,색인!$J$32:$K$45,2,FALSE)</f>
        <v>2</v>
      </c>
      <c r="BA1551" s="32" t="str">
        <f>_xlfn.IFNA(VLOOKUP(AY1551,표1[[검색용]:[OptionGroupIndex'[']22]],EquipItemTable!AZ1551,FALSE),"옵션고정안함")</f>
        <v>7331</v>
      </c>
    </row>
    <row r="1552" spans="1:53" s="27" customFormat="1" ht="12" x14ac:dyDescent="0.2">
      <c r="A1552" s="25" t="s">
        <v>1577</v>
      </c>
      <c r="B1552" s="39">
        <v>81419</v>
      </c>
      <c r="C1552" s="42" t="s">
        <v>3944</v>
      </c>
      <c r="D1552" s="26" t="s">
        <v>2947</v>
      </c>
      <c r="E1552" s="26" t="s">
        <v>2</v>
      </c>
      <c r="F1552" s="27" t="s">
        <v>312</v>
      </c>
      <c r="G1552" s="27" t="s">
        <v>1587</v>
      </c>
      <c r="J1552" s="1"/>
      <c r="K1552" s="1"/>
      <c r="L1552" s="1"/>
      <c r="M1552" s="1"/>
      <c r="N1552" s="8"/>
      <c r="O1552" s="29" t="s">
        <v>1338</v>
      </c>
      <c r="P1552" s="27">
        <v>71</v>
      </c>
      <c r="W1552" s="27">
        <v>3821</v>
      </c>
      <c r="X1552" s="27">
        <v>3821</v>
      </c>
      <c r="AB1552" s="28"/>
      <c r="AC1552" s="82"/>
      <c r="AD1552" s="29" t="s">
        <v>1377</v>
      </c>
      <c r="AE1552" s="92" t="str">
        <f t="shared" si="201"/>
        <v>7331</v>
      </c>
      <c r="AF1552" s="29"/>
      <c r="AG1552" s="12"/>
      <c r="AH1552" s="12"/>
      <c r="AN1552" s="27">
        <v>204</v>
      </c>
      <c r="AQ1552" s="85"/>
      <c r="AT1552" s="85"/>
      <c r="AU1552" s="29" t="s">
        <v>1945</v>
      </c>
      <c r="AW1552" s="39">
        <v>5</v>
      </c>
      <c r="AX1552" s="12">
        <f>VLOOKUP(AW1552,색인!$N$14:$O$19,2,FALSE)</f>
        <v>3</v>
      </c>
      <c r="AY1552" s="32" t="str">
        <f>"T"&amp;O1552&amp;"_"&amp;AX1552&amp;"옵션_"&amp;VLOOKUP(E1552,색인!$J$25:$K$29,2,FALSE)</f>
        <v>T7_3옵션_장신구</v>
      </c>
      <c r="AZ1552" s="32">
        <f>VLOOKUP(G1552,색인!$J$32:$K$45,2,FALSE)</f>
        <v>2</v>
      </c>
      <c r="BA1552" s="32" t="str">
        <f>_xlfn.IFNA(VLOOKUP(AY1552,표1[[검색용]:[OptionGroupIndex'[']22]],EquipItemTable!AZ1552,FALSE),"옵션고정안함")</f>
        <v>7331</v>
      </c>
    </row>
    <row r="1553" spans="1:53" s="27" customFormat="1" ht="12" x14ac:dyDescent="0.2">
      <c r="A1553" s="25" t="s">
        <v>1578</v>
      </c>
      <c r="B1553" s="39">
        <v>81420</v>
      </c>
      <c r="C1553" s="42" t="s">
        <v>3945</v>
      </c>
      <c r="D1553" s="26" t="s">
        <v>2947</v>
      </c>
      <c r="E1553" s="26" t="s">
        <v>2</v>
      </c>
      <c r="F1553" s="27" t="s">
        <v>312</v>
      </c>
      <c r="G1553" s="27" t="s">
        <v>1587</v>
      </c>
      <c r="J1553" s="1"/>
      <c r="K1553" s="1"/>
      <c r="L1553" s="1"/>
      <c r="M1553" s="1"/>
      <c r="N1553" s="8"/>
      <c r="O1553" s="29" t="s">
        <v>1338</v>
      </c>
      <c r="P1553" s="27">
        <v>71</v>
      </c>
      <c r="W1553" s="27">
        <v>3821</v>
      </c>
      <c r="X1553" s="27">
        <v>3821</v>
      </c>
      <c r="AB1553" s="28"/>
      <c r="AC1553" s="82"/>
      <c r="AD1553" s="29" t="s">
        <v>1377</v>
      </c>
      <c r="AE1553" s="92" t="str">
        <f t="shared" si="201"/>
        <v>7331</v>
      </c>
      <c r="AF1553" s="29"/>
      <c r="AG1553" s="12"/>
      <c r="AH1553" s="12"/>
      <c r="AN1553" s="27">
        <v>205</v>
      </c>
      <c r="AQ1553" s="85"/>
      <c r="AT1553" s="85"/>
      <c r="AU1553" s="29" t="s">
        <v>1945</v>
      </c>
      <c r="AW1553" s="39">
        <v>5</v>
      </c>
      <c r="AX1553" s="12">
        <f>VLOOKUP(AW1553,색인!$N$14:$O$19,2,FALSE)</f>
        <v>3</v>
      </c>
      <c r="AY1553" s="32" t="str">
        <f>"T"&amp;O1553&amp;"_"&amp;AX1553&amp;"옵션_"&amp;VLOOKUP(E1553,색인!$J$25:$K$29,2,FALSE)</f>
        <v>T7_3옵션_장신구</v>
      </c>
      <c r="AZ1553" s="32">
        <f>VLOOKUP(G1553,색인!$J$32:$K$45,2,FALSE)</f>
        <v>2</v>
      </c>
      <c r="BA1553" s="32" t="str">
        <f>_xlfn.IFNA(VLOOKUP(AY1553,표1[[검색용]:[OptionGroupIndex'[']22]],EquipItemTable!AZ1553,FALSE),"옵션고정안함")</f>
        <v>7331</v>
      </c>
    </row>
    <row r="1554" spans="1:53" s="27" customFormat="1" ht="12" x14ac:dyDescent="0.2">
      <c r="A1554" s="25" t="s">
        <v>1579</v>
      </c>
      <c r="B1554" s="39">
        <v>81421</v>
      </c>
      <c r="C1554" s="42" t="s">
        <v>3952</v>
      </c>
      <c r="D1554" s="26" t="s">
        <v>2947</v>
      </c>
      <c r="E1554" s="26" t="s">
        <v>2</v>
      </c>
      <c r="F1554" s="27" t="s">
        <v>312</v>
      </c>
      <c r="G1554" s="27" t="s">
        <v>1587</v>
      </c>
      <c r="J1554" s="1"/>
      <c r="K1554" s="1"/>
      <c r="L1554" s="1"/>
      <c r="M1554" s="1"/>
      <c r="N1554" s="8"/>
      <c r="O1554" s="29" t="s">
        <v>1338</v>
      </c>
      <c r="P1554" s="27">
        <v>71</v>
      </c>
      <c r="W1554" s="27">
        <v>3821</v>
      </c>
      <c r="X1554" s="27">
        <v>3821</v>
      </c>
      <c r="AB1554" s="28"/>
      <c r="AC1554" s="82"/>
      <c r="AD1554" s="29" t="s">
        <v>1377</v>
      </c>
      <c r="AE1554" s="92" t="str">
        <f t="shared" si="201"/>
        <v>7331</v>
      </c>
      <c r="AF1554" s="29"/>
      <c r="AG1554" s="12"/>
      <c r="AH1554" s="12"/>
      <c r="AN1554" s="27">
        <v>206</v>
      </c>
      <c r="AQ1554" s="85"/>
      <c r="AT1554" s="85"/>
      <c r="AU1554" s="29" t="s">
        <v>1945</v>
      </c>
      <c r="AW1554" s="39">
        <v>5</v>
      </c>
      <c r="AX1554" s="12">
        <f>VLOOKUP(AW1554,색인!$N$14:$O$19,2,FALSE)</f>
        <v>3</v>
      </c>
      <c r="AY1554" s="32" t="str">
        <f>"T"&amp;O1554&amp;"_"&amp;AX1554&amp;"옵션_"&amp;VLOOKUP(E1554,색인!$J$25:$K$29,2,FALSE)</f>
        <v>T7_3옵션_장신구</v>
      </c>
      <c r="AZ1554" s="32">
        <f>VLOOKUP(G1554,색인!$J$32:$K$45,2,FALSE)</f>
        <v>2</v>
      </c>
      <c r="BA1554" s="32" t="str">
        <f>_xlfn.IFNA(VLOOKUP(AY1554,표1[[검색용]:[OptionGroupIndex'[']22]],EquipItemTable!AZ1554,FALSE),"옵션고정안함")</f>
        <v>7331</v>
      </c>
    </row>
    <row r="1555" spans="1:53" s="27" customFormat="1" ht="12" x14ac:dyDescent="0.2">
      <c r="A1555" s="25" t="s">
        <v>1580</v>
      </c>
      <c r="B1555" s="39">
        <v>81422</v>
      </c>
      <c r="C1555" s="42" t="s">
        <v>3953</v>
      </c>
      <c r="D1555" s="26" t="s">
        <v>2947</v>
      </c>
      <c r="E1555" s="26" t="s">
        <v>2</v>
      </c>
      <c r="F1555" s="27" t="s">
        <v>312</v>
      </c>
      <c r="G1555" s="27" t="s">
        <v>1587</v>
      </c>
      <c r="J1555" s="1"/>
      <c r="K1555" s="1"/>
      <c r="L1555" s="1"/>
      <c r="M1555" s="1"/>
      <c r="N1555" s="8"/>
      <c r="O1555" s="29" t="s">
        <v>1338</v>
      </c>
      <c r="P1555" s="27">
        <v>71</v>
      </c>
      <c r="W1555" s="27">
        <v>3821</v>
      </c>
      <c r="X1555" s="27">
        <v>3821</v>
      </c>
      <c r="AB1555" s="28"/>
      <c r="AC1555" s="82"/>
      <c r="AD1555" s="29" t="s">
        <v>1377</v>
      </c>
      <c r="AE1555" s="92" t="str">
        <f t="shared" si="201"/>
        <v>7331</v>
      </c>
      <c r="AF1555" s="29"/>
      <c r="AG1555" s="12"/>
      <c r="AH1555" s="12"/>
      <c r="AN1555" s="27">
        <v>207</v>
      </c>
      <c r="AQ1555" s="85"/>
      <c r="AT1555" s="85"/>
      <c r="AU1555" s="29" t="s">
        <v>1945</v>
      </c>
      <c r="AW1555" s="39">
        <v>5</v>
      </c>
      <c r="AX1555" s="12">
        <f>VLOOKUP(AW1555,색인!$N$14:$O$19,2,FALSE)</f>
        <v>3</v>
      </c>
      <c r="AY1555" s="32" t="str">
        <f>"T"&amp;O1555&amp;"_"&amp;AX1555&amp;"옵션_"&amp;VLOOKUP(E1555,색인!$J$25:$K$29,2,FALSE)</f>
        <v>T7_3옵션_장신구</v>
      </c>
      <c r="AZ1555" s="32">
        <f>VLOOKUP(G1555,색인!$J$32:$K$45,2,FALSE)</f>
        <v>2</v>
      </c>
      <c r="BA1555" s="32" t="str">
        <f>_xlfn.IFNA(VLOOKUP(AY1555,표1[[검색용]:[OptionGroupIndex'[']22]],EquipItemTable!AZ1555,FALSE),"옵션고정안함")</f>
        <v>7331</v>
      </c>
    </row>
    <row r="1556" spans="1:53" s="27" customFormat="1" ht="12" x14ac:dyDescent="0.2">
      <c r="A1556" s="25" t="s">
        <v>1581</v>
      </c>
      <c r="B1556" s="39">
        <v>81423</v>
      </c>
      <c r="C1556" s="42" t="s">
        <v>3936</v>
      </c>
      <c r="D1556" s="26" t="s">
        <v>2947</v>
      </c>
      <c r="E1556" s="26" t="s">
        <v>2</v>
      </c>
      <c r="F1556" s="27" t="s">
        <v>312</v>
      </c>
      <c r="G1556" s="27" t="s">
        <v>1587</v>
      </c>
      <c r="J1556" s="1"/>
      <c r="K1556" s="1"/>
      <c r="L1556" s="1"/>
      <c r="M1556" s="1"/>
      <c r="N1556" s="8"/>
      <c r="O1556" s="29" t="s">
        <v>1338</v>
      </c>
      <c r="P1556" s="27">
        <v>71</v>
      </c>
      <c r="W1556" s="27">
        <v>3943</v>
      </c>
      <c r="X1556" s="27">
        <v>3943</v>
      </c>
      <c r="AB1556" s="28"/>
      <c r="AC1556" s="82"/>
      <c r="AD1556" s="29" t="s">
        <v>1377</v>
      </c>
      <c r="AE1556" s="92" t="str">
        <f>BA1556</f>
        <v>7431</v>
      </c>
      <c r="AF1556" s="29" t="s">
        <v>2185</v>
      </c>
      <c r="AG1556" s="12"/>
      <c r="AH1556" s="12"/>
      <c r="AN1556" s="27">
        <v>1</v>
      </c>
      <c r="AQ1556" s="85"/>
      <c r="AT1556" s="85"/>
      <c r="AU1556" s="12" t="s">
        <v>1936</v>
      </c>
      <c r="AW1556" s="39">
        <v>6</v>
      </c>
      <c r="AX1556" s="12">
        <f>VLOOKUP(AW1556,색인!$N$14:$O$19,2,FALSE)</f>
        <v>4</v>
      </c>
      <c r="AY1556" s="32" t="str">
        <f>"T"&amp;O1556&amp;"_"&amp;AX1556&amp;"옵션_"&amp;VLOOKUP(E1556,색인!$J$25:$K$29,2,FALSE)</f>
        <v>T7_4옵션_장신구</v>
      </c>
      <c r="AZ1556" s="32">
        <f>VLOOKUP(G1556,색인!$J$32:$K$45,2,FALSE)</f>
        <v>2</v>
      </c>
      <c r="BA1556" s="32" t="str">
        <f>_xlfn.IFNA(VLOOKUP(AY1556,표1[[검색용]:[OptionGroupIndex'[']22]],EquipItemTable!AZ1556,FALSE),"옵션고정안함")</f>
        <v>7431</v>
      </c>
    </row>
    <row r="1557" spans="1:53" s="27" customFormat="1" ht="12" x14ac:dyDescent="0.2">
      <c r="A1557" s="25" t="s">
        <v>1582</v>
      </c>
      <c r="B1557" s="39">
        <v>81424</v>
      </c>
      <c r="C1557" s="42" t="s">
        <v>3937</v>
      </c>
      <c r="D1557" s="26" t="s">
        <v>2947</v>
      </c>
      <c r="E1557" s="26" t="s">
        <v>2</v>
      </c>
      <c r="F1557" s="27" t="s">
        <v>312</v>
      </c>
      <c r="G1557" s="27" t="s">
        <v>1587</v>
      </c>
      <c r="J1557" s="1"/>
      <c r="K1557" s="1"/>
      <c r="L1557" s="1"/>
      <c r="M1557" s="1"/>
      <c r="N1557" s="8"/>
      <c r="O1557" s="29" t="s">
        <v>1338</v>
      </c>
      <c r="P1557" s="27">
        <v>71</v>
      </c>
      <c r="W1557" s="27">
        <v>3943</v>
      </c>
      <c r="X1557" s="27">
        <v>3943</v>
      </c>
      <c r="AB1557" s="28"/>
      <c r="AC1557" s="82"/>
      <c r="AD1557" s="29" t="s">
        <v>1377</v>
      </c>
      <c r="AE1557" s="92" t="str">
        <f>BA1557</f>
        <v>7431</v>
      </c>
      <c r="AF1557" s="29" t="s">
        <v>2185</v>
      </c>
      <c r="AG1557" s="12"/>
      <c r="AH1557" s="12"/>
      <c r="AN1557" s="27">
        <v>2</v>
      </c>
      <c r="AQ1557" s="85"/>
      <c r="AT1557" s="85"/>
      <c r="AU1557" s="12" t="s">
        <v>1936</v>
      </c>
      <c r="AW1557" s="39">
        <v>6</v>
      </c>
      <c r="AX1557" s="12">
        <f>VLOOKUP(AW1557,색인!$N$14:$O$19,2,FALSE)</f>
        <v>4</v>
      </c>
      <c r="AY1557" s="32" t="str">
        <f>"T"&amp;O1557&amp;"_"&amp;AX1557&amp;"옵션_"&amp;VLOOKUP(E1557,색인!$J$25:$K$29,2,FALSE)</f>
        <v>T7_4옵션_장신구</v>
      </c>
      <c r="AZ1557" s="32">
        <f>VLOOKUP(G1557,색인!$J$32:$K$45,2,FALSE)</f>
        <v>2</v>
      </c>
      <c r="BA1557" s="32" t="str">
        <f>_xlfn.IFNA(VLOOKUP(AY1557,표1[[검색용]:[OptionGroupIndex'[']22]],EquipItemTable!AZ1557,FALSE),"옵션고정안함")</f>
        <v>7431</v>
      </c>
    </row>
    <row r="1558" spans="1:53" s="27" customFormat="1" ht="12" x14ac:dyDescent="0.2">
      <c r="A1558" s="25" t="s">
        <v>1583</v>
      </c>
      <c r="B1558" s="39">
        <v>81425</v>
      </c>
      <c r="C1558" s="42" t="s">
        <v>3938</v>
      </c>
      <c r="D1558" s="26" t="s">
        <v>2947</v>
      </c>
      <c r="E1558" s="26" t="s">
        <v>2</v>
      </c>
      <c r="F1558" s="27" t="s">
        <v>312</v>
      </c>
      <c r="G1558" s="27" t="s">
        <v>1587</v>
      </c>
      <c r="J1558" s="1"/>
      <c r="K1558" s="1"/>
      <c r="L1558" s="1"/>
      <c r="M1558" s="1"/>
      <c r="N1558" s="8"/>
      <c r="O1558" s="29" t="s">
        <v>1338</v>
      </c>
      <c r="P1558" s="27">
        <v>71</v>
      </c>
      <c r="W1558" s="27">
        <v>3943</v>
      </c>
      <c r="X1558" s="27">
        <v>3943</v>
      </c>
      <c r="AB1558" s="28"/>
      <c r="AC1558" s="82"/>
      <c r="AD1558" s="29" t="s">
        <v>1377</v>
      </c>
      <c r="AE1558" s="92" t="str">
        <f>BA1558</f>
        <v>7431</v>
      </c>
      <c r="AF1558" s="29" t="s">
        <v>2185</v>
      </c>
      <c r="AG1558" s="12"/>
      <c r="AH1558" s="12"/>
      <c r="AN1558" s="27">
        <v>3</v>
      </c>
      <c r="AQ1558" s="85"/>
      <c r="AT1558" s="85"/>
      <c r="AU1558" s="12" t="s">
        <v>1936</v>
      </c>
      <c r="AW1558" s="39">
        <v>6</v>
      </c>
      <c r="AX1558" s="12">
        <f>VLOOKUP(AW1558,색인!$N$14:$O$19,2,FALSE)</f>
        <v>4</v>
      </c>
      <c r="AY1558" s="32" t="str">
        <f>"T"&amp;O1558&amp;"_"&amp;AX1558&amp;"옵션_"&amp;VLOOKUP(E1558,색인!$J$25:$K$29,2,FALSE)</f>
        <v>T7_4옵션_장신구</v>
      </c>
      <c r="AZ1558" s="32">
        <f>VLOOKUP(G1558,색인!$J$32:$K$45,2,FALSE)</f>
        <v>2</v>
      </c>
      <c r="BA1558" s="32" t="str">
        <f>_xlfn.IFNA(VLOOKUP(AY1558,표1[[검색용]:[OptionGroupIndex'[']22]],EquipItemTable!AZ1558,FALSE),"옵션고정안함")</f>
        <v>7431</v>
      </c>
    </row>
    <row r="1559" spans="1:53" s="27" customFormat="1" ht="12" x14ac:dyDescent="0.2">
      <c r="A1559" s="25" t="s">
        <v>1584</v>
      </c>
      <c r="B1559" s="39">
        <v>81426</v>
      </c>
      <c r="C1559" s="42" t="s">
        <v>3939</v>
      </c>
      <c r="D1559" s="26" t="s">
        <v>2947</v>
      </c>
      <c r="E1559" s="26" t="s">
        <v>2</v>
      </c>
      <c r="F1559" s="27" t="s">
        <v>312</v>
      </c>
      <c r="G1559" s="27" t="s">
        <v>1587</v>
      </c>
      <c r="J1559" s="1"/>
      <c r="K1559" s="1"/>
      <c r="L1559" s="1"/>
      <c r="M1559" s="1"/>
      <c r="N1559" s="8"/>
      <c r="O1559" s="29" t="s">
        <v>1338</v>
      </c>
      <c r="P1559" s="27">
        <v>71</v>
      </c>
      <c r="W1559" s="27">
        <v>3943</v>
      </c>
      <c r="X1559" s="27">
        <v>3943</v>
      </c>
      <c r="AB1559" s="28"/>
      <c r="AC1559" s="82"/>
      <c r="AD1559" s="29" t="s">
        <v>1377</v>
      </c>
      <c r="AE1559" s="92" t="str">
        <f>BA1559</f>
        <v>7431</v>
      </c>
      <c r="AF1559" s="29" t="s">
        <v>2185</v>
      </c>
      <c r="AG1559" s="12"/>
      <c r="AH1559" s="12"/>
      <c r="AN1559" s="27">
        <v>4</v>
      </c>
      <c r="AQ1559" s="85"/>
      <c r="AT1559" s="85"/>
      <c r="AU1559" s="12" t="s">
        <v>1936</v>
      </c>
      <c r="AW1559" s="39">
        <v>6</v>
      </c>
      <c r="AX1559" s="12">
        <f>VLOOKUP(AW1559,색인!$N$14:$O$19,2,FALSE)</f>
        <v>4</v>
      </c>
      <c r="AY1559" s="32" t="str">
        <f>"T"&amp;O1559&amp;"_"&amp;AX1559&amp;"옵션_"&amp;VLOOKUP(E1559,색인!$J$25:$K$29,2,FALSE)</f>
        <v>T7_4옵션_장신구</v>
      </c>
      <c r="AZ1559" s="32">
        <f>VLOOKUP(G1559,색인!$J$32:$K$45,2,FALSE)</f>
        <v>2</v>
      </c>
      <c r="BA1559" s="32" t="str">
        <f>_xlfn.IFNA(VLOOKUP(AY1559,표1[[검색용]:[OptionGroupIndex'[']22]],EquipItemTable!AZ1559,FALSE),"옵션고정안함")</f>
        <v>7431</v>
      </c>
    </row>
    <row r="1560" spans="1:53" s="27" customFormat="1" ht="12" x14ac:dyDescent="0.2">
      <c r="A1560" s="25" t="s">
        <v>1585</v>
      </c>
      <c r="B1560" s="39">
        <v>381003</v>
      </c>
      <c r="C1560" s="42" t="s">
        <v>3946</v>
      </c>
      <c r="D1560" s="26" t="s">
        <v>2947</v>
      </c>
      <c r="E1560" s="26" t="s">
        <v>2</v>
      </c>
      <c r="F1560" s="27" t="s">
        <v>312</v>
      </c>
      <c r="G1560" s="27" t="s">
        <v>1587</v>
      </c>
      <c r="J1560" s="1"/>
      <c r="K1560" s="1"/>
      <c r="L1560" s="1"/>
      <c r="M1560" s="1"/>
      <c r="N1560" s="8"/>
      <c r="O1560" s="29" t="s">
        <v>1338</v>
      </c>
      <c r="P1560" s="27">
        <v>71</v>
      </c>
      <c r="W1560" s="27">
        <v>3821</v>
      </c>
      <c r="X1560" s="27">
        <v>3821</v>
      </c>
      <c r="AB1560" s="28"/>
      <c r="AC1560" s="82"/>
      <c r="AD1560" s="29" t="s">
        <v>1377</v>
      </c>
      <c r="AE1560" s="92" t="str">
        <f>BA1560</f>
        <v>7331</v>
      </c>
      <c r="AF1560" s="29"/>
      <c r="AG1560" s="23"/>
      <c r="AH1560" s="23"/>
      <c r="AN1560" s="27">
        <v>101</v>
      </c>
      <c r="AQ1560" s="85"/>
      <c r="AT1560" s="85"/>
      <c r="AU1560" s="29" t="s">
        <v>1945</v>
      </c>
      <c r="AW1560" s="39">
        <v>5</v>
      </c>
      <c r="AX1560" s="12">
        <f>VLOOKUP(AW1560,색인!$N$14:$O$19,2,FALSE)</f>
        <v>3</v>
      </c>
      <c r="AY1560" s="32" t="str">
        <f>"T"&amp;O1560&amp;"_"&amp;AX1560&amp;"옵션_"&amp;VLOOKUP(E1560,색인!$J$25:$K$29,2,FALSE)</f>
        <v>T7_3옵션_장신구</v>
      </c>
      <c r="AZ1560" s="32">
        <f>VLOOKUP(G1560,색인!$J$32:$K$45,2,FALSE)</f>
        <v>2</v>
      </c>
      <c r="BA1560" s="32" t="str">
        <f>_xlfn.IFNA(VLOOKUP(AY1560,표1[[검색용]:[OptionGroupIndex'[']22]],EquipItemTable!AZ1560,FALSE),"옵션고정안함")</f>
        <v>7331</v>
      </c>
    </row>
    <row r="1561" spans="1:53" s="27" customFormat="1" ht="12" x14ac:dyDescent="0.2">
      <c r="A1561" s="25" t="s">
        <v>1586</v>
      </c>
      <c r="B1561" s="39">
        <v>381004</v>
      </c>
      <c r="C1561" s="42" t="s">
        <v>3947</v>
      </c>
      <c r="D1561" s="26" t="s">
        <v>2947</v>
      </c>
      <c r="E1561" s="26" t="s">
        <v>2</v>
      </c>
      <c r="F1561" s="27" t="s">
        <v>312</v>
      </c>
      <c r="G1561" s="27" t="s">
        <v>1587</v>
      </c>
      <c r="J1561" s="1"/>
      <c r="K1561" s="1"/>
      <c r="L1561" s="1"/>
      <c r="M1561" s="1"/>
      <c r="N1561" s="8"/>
      <c r="O1561" s="29" t="s">
        <v>1338</v>
      </c>
      <c r="P1561" s="27">
        <v>71</v>
      </c>
      <c r="W1561" s="27">
        <v>3943</v>
      </c>
      <c r="X1561" s="27">
        <v>3943</v>
      </c>
      <c r="AB1561" s="28"/>
      <c r="AC1561" s="82"/>
      <c r="AD1561" s="29" t="s">
        <v>1377</v>
      </c>
      <c r="AE1561" s="92" t="s">
        <v>2190</v>
      </c>
      <c r="AF1561" s="29" t="s">
        <v>2185</v>
      </c>
      <c r="AG1561" s="23"/>
      <c r="AH1561" s="23"/>
      <c r="AN1561" s="27">
        <v>102</v>
      </c>
      <c r="AQ1561" s="85"/>
      <c r="AT1561" s="85"/>
      <c r="AU1561" s="29" t="s">
        <v>1936</v>
      </c>
      <c r="AW1561" s="39">
        <v>6</v>
      </c>
      <c r="AX1561" s="12">
        <f>VLOOKUP(AW1561,색인!$N$14:$O$19,2,FALSE)</f>
        <v>4</v>
      </c>
      <c r="AY1561" s="32" t="str">
        <f>"T"&amp;O1561&amp;"_"&amp;AX1561&amp;"옵션_"&amp;VLOOKUP(E1561,색인!$J$25:$K$29,2,FALSE)</f>
        <v>T7_4옵션_장신구</v>
      </c>
      <c r="AZ1561" s="32">
        <f>VLOOKUP(G1561,색인!$J$32:$K$45,2,FALSE)</f>
        <v>2</v>
      </c>
      <c r="BA1561" s="32" t="str">
        <f>_xlfn.IFNA(VLOOKUP(AY1561,표1[[검색용]:[OptionGroupIndex'[']22]],EquipItemTable!AZ1561,FALSE),"옵션고정안함")</f>
        <v>7431</v>
      </c>
    </row>
    <row r="1562" spans="1:53" ht="12" x14ac:dyDescent="0.2">
      <c r="A1562" s="10" t="s">
        <v>281</v>
      </c>
      <c r="B1562" s="39">
        <v>82001</v>
      </c>
      <c r="C1562" s="42" t="s">
        <v>3954</v>
      </c>
      <c r="D1562" s="10" t="s">
        <v>251</v>
      </c>
      <c r="E1562" s="10" t="s">
        <v>521</v>
      </c>
      <c r="F1562" s="1" t="s">
        <v>522</v>
      </c>
      <c r="G1562" s="1" t="s">
        <v>1316</v>
      </c>
      <c r="H1562" s="1"/>
      <c r="I1562" s="1"/>
      <c r="J1562" s="1"/>
      <c r="K1562" s="1"/>
      <c r="L1562" s="1"/>
      <c r="M1562" s="1"/>
      <c r="O1562" s="12" t="s">
        <v>94</v>
      </c>
      <c r="P1562" s="1">
        <v>1</v>
      </c>
      <c r="Q1562" s="1"/>
      <c r="R1562" s="1"/>
      <c r="S1562" s="1"/>
      <c r="T1562" s="1"/>
      <c r="U1562" s="1"/>
      <c r="V1562" s="1"/>
      <c r="W1562" s="1"/>
      <c r="X1562" s="1"/>
      <c r="Y1562" s="20"/>
      <c r="Z1562" s="1"/>
      <c r="AA1562" s="1"/>
      <c r="AB1562" s="1">
        <v>30</v>
      </c>
      <c r="AC1562" s="82"/>
      <c r="AD1562" s="12" t="s">
        <v>52</v>
      </c>
      <c r="AE1562" s="12" t="s">
        <v>94</v>
      </c>
      <c r="AG1562" s="23"/>
      <c r="AH1562" s="23"/>
      <c r="AN1562" s="12"/>
      <c r="AU1562" s="12" t="s">
        <v>1932</v>
      </c>
      <c r="AV1562" s="13"/>
      <c r="AW1562" s="39">
        <v>1</v>
      </c>
      <c r="AY1562" s="32"/>
      <c r="AZ1562" s="32"/>
      <c r="BA1562" s="32"/>
    </row>
    <row r="1563" spans="1:53" ht="12" x14ac:dyDescent="0.2">
      <c r="A1563" s="10" t="s">
        <v>282</v>
      </c>
      <c r="B1563" s="39">
        <v>82002</v>
      </c>
      <c r="C1563" s="42" t="s">
        <v>3955</v>
      </c>
      <c r="D1563" s="10" t="s">
        <v>2948</v>
      </c>
      <c r="E1563" s="10" t="s">
        <v>2</v>
      </c>
      <c r="F1563" s="1" t="s">
        <v>312</v>
      </c>
      <c r="G1563" s="1" t="s">
        <v>1316</v>
      </c>
      <c r="H1563" s="1"/>
      <c r="I1563" s="1"/>
      <c r="J1563" s="1"/>
      <c r="K1563" s="1"/>
      <c r="L1563" s="1"/>
      <c r="M1563" s="1"/>
      <c r="O1563" s="12" t="s">
        <v>94</v>
      </c>
      <c r="P1563" s="1">
        <v>1</v>
      </c>
      <c r="Q1563" s="1"/>
      <c r="R1563" s="1"/>
      <c r="S1563" s="1"/>
      <c r="T1563" s="1"/>
      <c r="U1563" s="1"/>
      <c r="V1563" s="1"/>
      <c r="W1563" s="1"/>
      <c r="X1563" s="1"/>
      <c r="Y1563" s="20"/>
      <c r="Z1563" s="1"/>
      <c r="AA1563" s="1"/>
      <c r="AB1563" s="1">
        <v>42</v>
      </c>
      <c r="AC1563" s="82"/>
      <c r="AD1563" s="12" t="s">
        <v>52</v>
      </c>
      <c r="AE1563" s="39" t="str">
        <f t="shared" ref="AE1563:AE1565" si="202">BA1563</f>
        <v>1131,1132</v>
      </c>
      <c r="AG1563" s="23"/>
      <c r="AH1563" s="23"/>
      <c r="AN1563" s="12"/>
      <c r="AU1563" s="12" t="s">
        <v>1939</v>
      </c>
      <c r="AV1563" s="13"/>
      <c r="AW1563" s="39">
        <v>2</v>
      </c>
      <c r="AX1563" s="12">
        <f>VLOOKUP(AW1563,색인!$N$14:$O$19,2,FALSE)</f>
        <v>1</v>
      </c>
      <c r="AY1563" s="32" t="str">
        <f>"T"&amp;O1563&amp;"_"&amp;AX1563&amp;"옵션_"&amp;VLOOKUP(E1563,색인!$J$25:$K$29,2,FALSE)</f>
        <v>T1_1옵션_장신구</v>
      </c>
      <c r="AZ1563" s="32">
        <f>VLOOKUP(G1563,색인!$J$32:$K$45,2,FALSE)</f>
        <v>4</v>
      </c>
      <c r="BA1563" s="32" t="str">
        <f>_xlfn.IFNA(VLOOKUP(AY1563,표1[[검색용]:[OptionGroupIndex'[']22]],EquipItemTable!AZ1563,FALSE),"옵션고정안함")</f>
        <v>1131,1132</v>
      </c>
    </row>
    <row r="1564" spans="1:53" ht="12" x14ac:dyDescent="0.2">
      <c r="A1564" s="10" t="s">
        <v>283</v>
      </c>
      <c r="B1564" s="39">
        <v>82003</v>
      </c>
      <c r="C1564" s="42" t="s">
        <v>3956</v>
      </c>
      <c r="D1564" s="10" t="s">
        <v>2948</v>
      </c>
      <c r="E1564" s="10" t="s">
        <v>2</v>
      </c>
      <c r="F1564" s="1" t="s">
        <v>312</v>
      </c>
      <c r="G1564" s="1" t="s">
        <v>1316</v>
      </c>
      <c r="H1564" s="1"/>
      <c r="I1564" s="1"/>
      <c r="J1564" s="1"/>
      <c r="K1564" s="1"/>
      <c r="L1564" s="1"/>
      <c r="M1564" s="1"/>
      <c r="O1564" s="12" t="s">
        <v>94</v>
      </c>
      <c r="P1564" s="1">
        <v>1</v>
      </c>
      <c r="Q1564" s="1"/>
      <c r="R1564" s="1"/>
      <c r="S1564" s="1"/>
      <c r="T1564" s="1"/>
      <c r="U1564" s="1"/>
      <c r="V1564" s="1"/>
      <c r="W1564" s="1"/>
      <c r="X1564" s="1"/>
      <c r="Y1564" s="84"/>
      <c r="Z1564" s="1"/>
      <c r="AA1564" s="1"/>
      <c r="AB1564" s="1">
        <v>54</v>
      </c>
      <c r="AC1564" s="82"/>
      <c r="AD1564" s="12" t="s">
        <v>52</v>
      </c>
      <c r="AE1564" s="39" t="str">
        <f t="shared" si="202"/>
        <v>1231,1232</v>
      </c>
      <c r="AG1564" s="23"/>
      <c r="AH1564" s="23"/>
      <c r="AN1564" s="12"/>
      <c r="AU1564" s="12" t="s">
        <v>1940</v>
      </c>
      <c r="AV1564" s="13"/>
      <c r="AW1564" s="39">
        <v>3</v>
      </c>
      <c r="AX1564" s="12">
        <f>VLOOKUP(AW1564,색인!$N$14:$O$19,2,FALSE)</f>
        <v>2</v>
      </c>
      <c r="AY1564" s="32" t="str">
        <f>"T"&amp;O1564&amp;"_"&amp;AX1564&amp;"옵션_"&amp;VLOOKUP(E1564,색인!$J$25:$K$29,2,FALSE)</f>
        <v>T1_2옵션_장신구</v>
      </c>
      <c r="AZ1564" s="32">
        <f>VLOOKUP(G1564,색인!$J$32:$K$45,2,FALSE)</f>
        <v>4</v>
      </c>
      <c r="BA1564" s="32" t="str">
        <f>_xlfn.IFNA(VLOOKUP(AY1564,표1[[검색용]:[OptionGroupIndex'[']22]],EquipItemTable!AZ1564,FALSE),"옵션고정안함")</f>
        <v>1231,1232</v>
      </c>
    </row>
    <row r="1565" spans="1:53" ht="12" x14ac:dyDescent="0.2">
      <c r="A1565" s="10" t="s">
        <v>530</v>
      </c>
      <c r="B1565" s="39">
        <v>82004</v>
      </c>
      <c r="C1565" s="42" t="s">
        <v>3957</v>
      </c>
      <c r="D1565" s="10" t="s">
        <v>2948</v>
      </c>
      <c r="E1565" s="10" t="s">
        <v>2</v>
      </c>
      <c r="F1565" s="1" t="s">
        <v>312</v>
      </c>
      <c r="G1565" s="1" t="s">
        <v>1316</v>
      </c>
      <c r="H1565" s="1"/>
      <c r="I1565" s="1"/>
      <c r="J1565" s="1"/>
      <c r="K1565" s="1"/>
      <c r="L1565" s="1"/>
      <c r="M1565" s="1"/>
      <c r="O1565" s="12" t="s">
        <v>428</v>
      </c>
      <c r="P1565" s="1">
        <v>1</v>
      </c>
      <c r="Q1565" s="1"/>
      <c r="R1565" s="1"/>
      <c r="S1565" s="1"/>
      <c r="T1565" s="1"/>
      <c r="U1565" s="1"/>
      <c r="V1565" s="1"/>
      <c r="W1565" s="1"/>
      <c r="X1565" s="1"/>
      <c r="Y1565" s="84"/>
      <c r="Z1565" s="1"/>
      <c r="AA1565" s="1"/>
      <c r="AB1565" s="1">
        <v>70</v>
      </c>
      <c r="AC1565" s="82"/>
      <c r="AE1565" s="39" t="str">
        <f t="shared" si="202"/>
        <v>1331,1332</v>
      </c>
      <c r="AG1565" s="23"/>
      <c r="AH1565" s="23"/>
      <c r="AN1565" s="12"/>
      <c r="AU1565" s="12" t="s">
        <v>1941</v>
      </c>
      <c r="AV1565" s="13"/>
      <c r="AW1565" s="39">
        <v>4</v>
      </c>
      <c r="AX1565" s="12">
        <f>VLOOKUP(AW1565,색인!$N$14:$O$19,2,FALSE)</f>
        <v>3</v>
      </c>
      <c r="AY1565" s="32" t="str">
        <f>"T"&amp;O1565&amp;"_"&amp;AX1565&amp;"옵션_"&amp;VLOOKUP(E1565,색인!$J$25:$K$29,2,FALSE)</f>
        <v>T1_3옵션_장신구</v>
      </c>
      <c r="AZ1565" s="32">
        <f>VLOOKUP(G1565,색인!$J$32:$K$45,2,FALSE)</f>
        <v>4</v>
      </c>
      <c r="BA1565" s="32" t="str">
        <f>_xlfn.IFNA(VLOOKUP(AY1565,표1[[검색용]:[OptionGroupIndex'[']22]],EquipItemTable!AZ1565,FALSE),"옵션고정안함")</f>
        <v>1331,1332</v>
      </c>
    </row>
    <row r="1566" spans="1:53" ht="12" x14ac:dyDescent="0.2">
      <c r="A1566" s="10" t="s">
        <v>284</v>
      </c>
      <c r="B1566" s="39">
        <v>82005</v>
      </c>
      <c r="C1566" s="42" t="s">
        <v>3958</v>
      </c>
      <c r="D1566" s="10" t="s">
        <v>2948</v>
      </c>
      <c r="E1566" s="10" t="s">
        <v>2</v>
      </c>
      <c r="F1566" s="1" t="s">
        <v>312</v>
      </c>
      <c r="G1566" s="1" t="s">
        <v>1316</v>
      </c>
      <c r="H1566" s="1"/>
      <c r="I1566" s="1"/>
      <c r="J1566" s="1"/>
      <c r="K1566" s="1"/>
      <c r="L1566" s="1"/>
      <c r="M1566" s="1"/>
      <c r="O1566" s="12" t="s">
        <v>95</v>
      </c>
      <c r="P1566" s="1">
        <v>21</v>
      </c>
      <c r="Q1566" s="1"/>
      <c r="R1566" s="1"/>
      <c r="S1566" s="1"/>
      <c r="T1566" s="1"/>
      <c r="U1566" s="1"/>
      <c r="V1566" s="1"/>
      <c r="W1566" s="13"/>
      <c r="X1566" s="13"/>
      <c r="Y1566" s="84"/>
      <c r="Z1566" s="1"/>
      <c r="AA1566" s="1"/>
      <c r="AB1566" s="1">
        <v>81</v>
      </c>
      <c r="AC1566" s="82"/>
      <c r="AD1566" s="12" t="s">
        <v>52</v>
      </c>
      <c r="AE1566" s="12" t="s">
        <v>550</v>
      </c>
      <c r="AG1566" s="23"/>
      <c r="AH1566" s="23"/>
      <c r="AN1566" s="12"/>
      <c r="AU1566" s="12" t="s">
        <v>1932</v>
      </c>
      <c r="AV1566" s="13" t="s">
        <v>5</v>
      </c>
      <c r="AW1566" s="39">
        <v>1</v>
      </c>
      <c r="AY1566" s="32"/>
      <c r="AZ1566" s="32"/>
      <c r="BA1566" s="32"/>
    </row>
    <row r="1567" spans="1:53" ht="12" x14ac:dyDescent="0.2">
      <c r="A1567" s="10" t="s">
        <v>285</v>
      </c>
      <c r="B1567" s="39">
        <v>82006</v>
      </c>
      <c r="C1567" s="42" t="s">
        <v>3</v>
      </c>
      <c r="D1567" s="10" t="s">
        <v>2948</v>
      </c>
      <c r="E1567" s="10" t="s">
        <v>2</v>
      </c>
      <c r="F1567" s="1" t="s">
        <v>312</v>
      </c>
      <c r="G1567" s="1" t="s">
        <v>1316</v>
      </c>
      <c r="H1567" s="1"/>
      <c r="I1567" s="1"/>
      <c r="J1567" s="1"/>
      <c r="K1567" s="1"/>
      <c r="L1567" s="1"/>
      <c r="M1567" s="1"/>
      <c r="O1567" s="12" t="s">
        <v>95</v>
      </c>
      <c r="P1567" s="1">
        <v>21</v>
      </c>
      <c r="Q1567" s="1"/>
      <c r="R1567" s="1"/>
      <c r="S1567" s="1"/>
      <c r="T1567" s="1"/>
      <c r="U1567" s="1"/>
      <c r="V1567" s="1"/>
      <c r="W1567" s="13"/>
      <c r="X1567" s="13"/>
      <c r="Y1567" s="84"/>
      <c r="Z1567" s="1"/>
      <c r="AA1567" s="1"/>
      <c r="AB1567" s="1">
        <v>105</v>
      </c>
      <c r="AC1567" s="82"/>
      <c r="AD1567" s="12" t="s">
        <v>52</v>
      </c>
      <c r="AE1567" s="39" t="str">
        <f t="shared" ref="AE1567:AE1569" si="203">BA1567</f>
        <v>2131,2132</v>
      </c>
      <c r="AN1567" s="12"/>
      <c r="AU1567" s="12" t="s">
        <v>1939</v>
      </c>
      <c r="AV1567" s="13"/>
      <c r="AW1567" s="39">
        <v>2</v>
      </c>
      <c r="AX1567" s="12">
        <f>VLOOKUP(AW1567,색인!$N$14:$O$19,2,FALSE)</f>
        <v>1</v>
      </c>
      <c r="AY1567" s="32" t="str">
        <f>"T"&amp;O1567&amp;"_"&amp;AX1567&amp;"옵션_"&amp;VLOOKUP(E1567,색인!$J$25:$K$29,2,FALSE)</f>
        <v>T2_1옵션_장신구</v>
      </c>
      <c r="AZ1567" s="32">
        <f>VLOOKUP(G1567,색인!$J$32:$K$45,2,FALSE)</f>
        <v>4</v>
      </c>
      <c r="BA1567" s="32" t="str">
        <f>_xlfn.IFNA(VLOOKUP(AY1567,표1[[검색용]:[OptionGroupIndex'[']22]],EquipItemTable!AZ1567,FALSE),"옵션고정안함")</f>
        <v>2131,2132</v>
      </c>
    </row>
    <row r="1568" spans="1:53" ht="12" x14ac:dyDescent="0.2">
      <c r="A1568" s="10" t="s">
        <v>286</v>
      </c>
      <c r="B1568" s="39">
        <v>82007</v>
      </c>
      <c r="C1568" s="42" t="s">
        <v>3959</v>
      </c>
      <c r="D1568" s="10" t="s">
        <v>2948</v>
      </c>
      <c r="E1568" s="10" t="s">
        <v>2</v>
      </c>
      <c r="F1568" s="1" t="s">
        <v>312</v>
      </c>
      <c r="G1568" s="1" t="s">
        <v>1316</v>
      </c>
      <c r="H1568" s="1"/>
      <c r="I1568" s="1"/>
      <c r="J1568" s="1"/>
      <c r="K1568" s="1"/>
      <c r="L1568" s="1"/>
      <c r="M1568" s="1"/>
      <c r="O1568" s="12" t="s">
        <v>95</v>
      </c>
      <c r="P1568" s="1">
        <v>21</v>
      </c>
      <c r="Q1568" s="1"/>
      <c r="R1568" s="1"/>
      <c r="S1568" s="1"/>
      <c r="T1568" s="1"/>
      <c r="U1568" s="1"/>
      <c r="V1568" s="1"/>
      <c r="W1568" s="13"/>
      <c r="X1568" s="13"/>
      <c r="Y1568" s="84"/>
      <c r="Z1568" s="1"/>
      <c r="AA1568" s="1"/>
      <c r="AB1568" s="1">
        <v>130</v>
      </c>
      <c r="AC1568" s="82"/>
      <c r="AD1568" s="12" t="s">
        <v>52</v>
      </c>
      <c r="AE1568" s="39" t="str">
        <f t="shared" si="203"/>
        <v>2231,2232</v>
      </c>
      <c r="AN1568" s="12"/>
      <c r="AU1568" s="12" t="s">
        <v>1940</v>
      </c>
      <c r="AV1568" s="13" t="s">
        <v>3</v>
      </c>
      <c r="AW1568" s="39">
        <v>3</v>
      </c>
      <c r="AX1568" s="12">
        <f>VLOOKUP(AW1568,색인!$N$14:$O$19,2,FALSE)</f>
        <v>2</v>
      </c>
      <c r="AY1568" s="32" t="str">
        <f>"T"&amp;O1568&amp;"_"&amp;AX1568&amp;"옵션_"&amp;VLOOKUP(E1568,색인!$J$25:$K$29,2,FALSE)</f>
        <v>T2_2옵션_장신구</v>
      </c>
      <c r="AZ1568" s="32">
        <f>VLOOKUP(G1568,색인!$J$32:$K$45,2,FALSE)</f>
        <v>4</v>
      </c>
      <c r="BA1568" s="32" t="str">
        <f>_xlfn.IFNA(VLOOKUP(AY1568,표1[[검색용]:[OptionGroupIndex'[']22]],EquipItemTable!AZ1568,FALSE),"옵션고정안함")</f>
        <v>2231,2232</v>
      </c>
    </row>
    <row r="1569" spans="1:53" ht="12" x14ac:dyDescent="0.2">
      <c r="A1569" s="10" t="s">
        <v>531</v>
      </c>
      <c r="B1569" s="39">
        <v>82008</v>
      </c>
      <c r="C1569" s="42" t="s">
        <v>3960</v>
      </c>
      <c r="D1569" s="10" t="s">
        <v>2948</v>
      </c>
      <c r="E1569" s="10" t="s">
        <v>2</v>
      </c>
      <c r="F1569" s="1" t="s">
        <v>312</v>
      </c>
      <c r="G1569" s="1" t="s">
        <v>1316</v>
      </c>
      <c r="H1569" s="1"/>
      <c r="I1569" s="1"/>
      <c r="J1569" s="1"/>
      <c r="K1569" s="1"/>
      <c r="L1569" s="1"/>
      <c r="M1569" s="1"/>
      <c r="O1569" s="12" t="s">
        <v>429</v>
      </c>
      <c r="P1569" s="1">
        <v>21</v>
      </c>
      <c r="Q1569" s="1"/>
      <c r="R1569" s="1"/>
      <c r="S1569" s="1"/>
      <c r="T1569" s="1"/>
      <c r="U1569" s="1"/>
      <c r="V1569" s="1"/>
      <c r="W1569" s="13"/>
      <c r="X1569" s="13"/>
      <c r="Y1569" s="84"/>
      <c r="Z1569" s="1"/>
      <c r="AA1569" s="1"/>
      <c r="AB1569" s="1">
        <v>157</v>
      </c>
      <c r="AC1569" s="82"/>
      <c r="AE1569" s="39" t="str">
        <f t="shared" si="203"/>
        <v>2331,2332</v>
      </c>
      <c r="AN1569" s="12"/>
      <c r="AU1569" s="12" t="s">
        <v>1941</v>
      </c>
      <c r="AV1569" s="13"/>
      <c r="AW1569" s="39">
        <v>4</v>
      </c>
      <c r="AX1569" s="12">
        <f>VLOOKUP(AW1569,색인!$N$14:$O$19,2,FALSE)</f>
        <v>3</v>
      </c>
      <c r="AY1569" s="32" t="str">
        <f>"T"&amp;O1569&amp;"_"&amp;AX1569&amp;"옵션_"&amp;VLOOKUP(E1569,색인!$J$25:$K$29,2,FALSE)</f>
        <v>T2_3옵션_장신구</v>
      </c>
      <c r="AZ1569" s="32">
        <f>VLOOKUP(G1569,색인!$J$32:$K$45,2,FALSE)</f>
        <v>4</v>
      </c>
      <c r="BA1569" s="32" t="str">
        <f>_xlfn.IFNA(VLOOKUP(AY1569,표1[[검색용]:[OptionGroupIndex'[']22]],EquipItemTable!AZ1569,FALSE),"옵션고정안함")</f>
        <v>2331,2332</v>
      </c>
    </row>
    <row r="1570" spans="1:53" ht="12" x14ac:dyDescent="0.2">
      <c r="A1570" s="10" t="s">
        <v>287</v>
      </c>
      <c r="B1570" s="39">
        <v>82009</v>
      </c>
      <c r="C1570" s="42" t="s">
        <v>3961</v>
      </c>
      <c r="D1570" s="10" t="s">
        <v>2948</v>
      </c>
      <c r="E1570" s="10" t="s">
        <v>2</v>
      </c>
      <c r="F1570" s="1" t="s">
        <v>312</v>
      </c>
      <c r="G1570" s="1" t="s">
        <v>1316</v>
      </c>
      <c r="H1570" s="1"/>
      <c r="I1570" s="1"/>
      <c r="J1570" s="1"/>
      <c r="K1570" s="1"/>
      <c r="L1570" s="1"/>
      <c r="M1570" s="1"/>
      <c r="N1570" s="81"/>
      <c r="O1570" s="12" t="s">
        <v>96</v>
      </c>
      <c r="P1570" s="1">
        <v>31</v>
      </c>
      <c r="Q1570" s="13"/>
      <c r="R1570" s="13"/>
      <c r="S1570" s="13"/>
      <c r="T1570" s="13"/>
      <c r="U1570" s="13"/>
      <c r="V1570" s="13"/>
      <c r="W1570" s="13"/>
      <c r="X1570" s="13"/>
      <c r="Y1570" s="84"/>
      <c r="Z1570" s="13"/>
      <c r="AA1570" s="13"/>
      <c r="AB1570" s="13">
        <v>180</v>
      </c>
      <c r="AC1570" s="82"/>
      <c r="AD1570" s="23" t="s">
        <v>52</v>
      </c>
      <c r="AE1570" s="23">
        <v>3</v>
      </c>
      <c r="AF1570" s="23"/>
      <c r="AI1570" s="23"/>
      <c r="AJ1570" s="23"/>
      <c r="AK1570" s="23"/>
      <c r="AL1570" s="23"/>
      <c r="AM1570" s="23"/>
      <c r="AN1570" s="23"/>
      <c r="AO1570" s="23"/>
      <c r="AP1570" s="23"/>
      <c r="AQ1570" s="81"/>
      <c r="AR1570" s="83"/>
      <c r="AS1570" s="83"/>
      <c r="AT1570" s="81"/>
      <c r="AU1570" s="12" t="s">
        <v>1932</v>
      </c>
      <c r="AV1570" s="13"/>
      <c r="AW1570" s="39">
        <v>1</v>
      </c>
      <c r="AY1570" s="32"/>
      <c r="AZ1570" s="32"/>
      <c r="BA1570" s="32"/>
    </row>
    <row r="1571" spans="1:53" ht="12" x14ac:dyDescent="0.2">
      <c r="A1571" s="10" t="s">
        <v>288</v>
      </c>
      <c r="B1571" s="39">
        <v>82010</v>
      </c>
      <c r="C1571" s="42" t="s">
        <v>3962</v>
      </c>
      <c r="D1571" s="10" t="s">
        <v>2948</v>
      </c>
      <c r="E1571" s="10" t="s">
        <v>2</v>
      </c>
      <c r="F1571" s="1" t="s">
        <v>312</v>
      </c>
      <c r="G1571" s="1" t="s">
        <v>1316</v>
      </c>
      <c r="H1571" s="1"/>
      <c r="I1571" s="1"/>
      <c r="J1571" s="1"/>
      <c r="K1571" s="1"/>
      <c r="L1571" s="1"/>
      <c r="M1571" s="1"/>
      <c r="N1571" s="81"/>
      <c r="O1571" s="12" t="s">
        <v>96</v>
      </c>
      <c r="P1571" s="1">
        <v>31</v>
      </c>
      <c r="Q1571" s="13"/>
      <c r="R1571" s="13"/>
      <c r="S1571" s="13"/>
      <c r="T1571" s="13"/>
      <c r="U1571" s="13"/>
      <c r="V1571" s="13"/>
      <c r="W1571" s="13"/>
      <c r="X1571" s="13"/>
      <c r="Y1571" s="84"/>
      <c r="Z1571" s="13"/>
      <c r="AA1571" s="13"/>
      <c r="AB1571" s="13">
        <v>229</v>
      </c>
      <c r="AC1571" s="82"/>
      <c r="AD1571" s="23" t="s">
        <v>52</v>
      </c>
      <c r="AE1571" s="90" t="str">
        <f t="shared" ref="AE1571:AE1573" si="204">BA1571</f>
        <v>3131,3132</v>
      </c>
      <c r="AF1571" s="23"/>
      <c r="AI1571" s="23"/>
      <c r="AJ1571" s="23"/>
      <c r="AK1571" s="23"/>
      <c r="AL1571" s="23"/>
      <c r="AM1571" s="23"/>
      <c r="AN1571" s="23"/>
      <c r="AO1571" s="23"/>
      <c r="AP1571" s="23"/>
      <c r="AQ1571" s="81"/>
      <c r="AR1571" s="83"/>
      <c r="AS1571" s="83"/>
      <c r="AT1571" s="81"/>
      <c r="AU1571" s="12" t="s">
        <v>1939</v>
      </c>
      <c r="AV1571" s="13"/>
      <c r="AW1571" s="39">
        <v>2</v>
      </c>
      <c r="AX1571" s="12">
        <f>VLOOKUP(AW1571,색인!$N$14:$O$19,2,FALSE)</f>
        <v>1</v>
      </c>
      <c r="AY1571" s="32" t="str">
        <f>"T"&amp;O1571&amp;"_"&amp;AX1571&amp;"옵션_"&amp;VLOOKUP(E1571,색인!$J$25:$K$29,2,FALSE)</f>
        <v>T3_1옵션_장신구</v>
      </c>
      <c r="AZ1571" s="32">
        <f>VLOOKUP(G1571,색인!$J$32:$K$45,2,FALSE)</f>
        <v>4</v>
      </c>
      <c r="BA1571" s="32" t="str">
        <f>_xlfn.IFNA(VLOOKUP(AY1571,표1[[검색용]:[OptionGroupIndex'[']22]],EquipItemTable!AZ1571,FALSE),"옵션고정안함")</f>
        <v>3131,3132</v>
      </c>
    </row>
    <row r="1572" spans="1:53" ht="12" x14ac:dyDescent="0.2">
      <c r="A1572" s="10" t="s">
        <v>289</v>
      </c>
      <c r="B1572" s="39">
        <v>82011</v>
      </c>
      <c r="C1572" s="42" t="s">
        <v>3963</v>
      </c>
      <c r="D1572" s="10" t="s">
        <v>2948</v>
      </c>
      <c r="E1572" s="10" t="s">
        <v>2</v>
      </c>
      <c r="F1572" s="1" t="s">
        <v>312</v>
      </c>
      <c r="G1572" s="1" t="s">
        <v>1316</v>
      </c>
      <c r="H1572" s="1"/>
      <c r="I1572" s="1"/>
      <c r="J1572" s="1"/>
      <c r="K1572" s="1"/>
      <c r="L1572" s="1"/>
      <c r="M1572" s="1"/>
      <c r="N1572" s="81"/>
      <c r="O1572" s="12" t="s">
        <v>96</v>
      </c>
      <c r="P1572" s="1">
        <v>31</v>
      </c>
      <c r="Q1572" s="13"/>
      <c r="R1572" s="13"/>
      <c r="S1572" s="13"/>
      <c r="T1572" s="13"/>
      <c r="U1572" s="13"/>
      <c r="V1572" s="13"/>
      <c r="W1572" s="13"/>
      <c r="X1572" s="13"/>
      <c r="Y1572" s="84"/>
      <c r="Z1572" s="13"/>
      <c r="AA1572" s="13"/>
      <c r="AB1572" s="13">
        <v>273</v>
      </c>
      <c r="AC1572" s="82"/>
      <c r="AD1572" s="23" t="s">
        <v>52</v>
      </c>
      <c r="AE1572" s="90" t="str">
        <f t="shared" si="204"/>
        <v>3231,3232</v>
      </c>
      <c r="AF1572" s="23"/>
      <c r="AI1572" s="23"/>
      <c r="AJ1572" s="23"/>
      <c r="AK1572" s="23"/>
      <c r="AL1572" s="23"/>
      <c r="AM1572" s="23"/>
      <c r="AN1572" s="23"/>
      <c r="AO1572" s="23"/>
      <c r="AP1572" s="23"/>
      <c r="AQ1572" s="81"/>
      <c r="AR1572" s="83"/>
      <c r="AS1572" s="83"/>
      <c r="AT1572" s="81"/>
      <c r="AU1572" s="12" t="s">
        <v>1940</v>
      </c>
      <c r="AV1572" s="13"/>
      <c r="AW1572" s="39">
        <v>3</v>
      </c>
      <c r="AX1572" s="12">
        <f>VLOOKUP(AW1572,색인!$N$14:$O$19,2,FALSE)</f>
        <v>2</v>
      </c>
      <c r="AY1572" s="32" t="str">
        <f>"T"&amp;O1572&amp;"_"&amp;AX1572&amp;"옵션_"&amp;VLOOKUP(E1572,색인!$J$25:$K$29,2,FALSE)</f>
        <v>T3_2옵션_장신구</v>
      </c>
      <c r="AZ1572" s="32">
        <f>VLOOKUP(G1572,색인!$J$32:$K$45,2,FALSE)</f>
        <v>4</v>
      </c>
      <c r="BA1572" s="32" t="str">
        <f>_xlfn.IFNA(VLOOKUP(AY1572,표1[[검색용]:[OptionGroupIndex'[']22]],EquipItemTable!AZ1572,FALSE),"옵션고정안함")</f>
        <v>3231,3232</v>
      </c>
    </row>
    <row r="1573" spans="1:53" ht="12" x14ac:dyDescent="0.2">
      <c r="A1573" s="10" t="s">
        <v>290</v>
      </c>
      <c r="B1573" s="39">
        <v>82012</v>
      </c>
      <c r="C1573" s="42" t="s">
        <v>3964</v>
      </c>
      <c r="D1573" s="10" t="s">
        <v>2948</v>
      </c>
      <c r="E1573" s="10" t="s">
        <v>2</v>
      </c>
      <c r="F1573" s="1" t="s">
        <v>312</v>
      </c>
      <c r="G1573" s="1" t="s">
        <v>1316</v>
      </c>
      <c r="H1573" s="1"/>
      <c r="I1573" s="1"/>
      <c r="J1573" s="1"/>
      <c r="K1573" s="1"/>
      <c r="L1573" s="1"/>
      <c r="M1573" s="1"/>
      <c r="N1573" s="81"/>
      <c r="O1573" s="12" t="s">
        <v>96</v>
      </c>
      <c r="P1573" s="1">
        <v>31</v>
      </c>
      <c r="Q1573" s="13"/>
      <c r="R1573" s="13"/>
      <c r="S1573" s="13"/>
      <c r="T1573" s="13"/>
      <c r="U1573" s="13"/>
      <c r="V1573" s="13"/>
      <c r="W1573" s="13"/>
      <c r="X1573" s="13"/>
      <c r="Y1573" s="84"/>
      <c r="Z1573" s="13"/>
      <c r="AA1573" s="13"/>
      <c r="AB1573" s="13">
        <v>325</v>
      </c>
      <c r="AC1573" s="82"/>
      <c r="AD1573" s="23" t="s">
        <v>52</v>
      </c>
      <c r="AE1573" s="90" t="str">
        <f t="shared" si="204"/>
        <v>3331,3332</v>
      </c>
      <c r="AF1573" s="23"/>
      <c r="AI1573" s="23"/>
      <c r="AJ1573" s="23"/>
      <c r="AK1573" s="23"/>
      <c r="AL1573" s="23"/>
      <c r="AM1573" s="23"/>
      <c r="AN1573" s="23"/>
      <c r="AO1573" s="23"/>
      <c r="AP1573" s="23"/>
      <c r="AQ1573" s="81"/>
      <c r="AR1573" s="83"/>
      <c r="AS1573" s="83"/>
      <c r="AT1573" s="81"/>
      <c r="AU1573" s="12" t="s">
        <v>1941</v>
      </c>
      <c r="AV1573" s="13" t="s">
        <v>6</v>
      </c>
      <c r="AW1573" s="39">
        <v>4</v>
      </c>
      <c r="AX1573" s="12">
        <f>VLOOKUP(AW1573,색인!$N$14:$O$19,2,FALSE)</f>
        <v>3</v>
      </c>
      <c r="AY1573" s="32" t="str">
        <f>"T"&amp;O1573&amp;"_"&amp;AX1573&amp;"옵션_"&amp;VLOOKUP(E1573,색인!$J$25:$K$29,2,FALSE)</f>
        <v>T3_3옵션_장신구</v>
      </c>
      <c r="AZ1573" s="32">
        <f>VLOOKUP(G1573,색인!$J$32:$K$45,2,FALSE)</f>
        <v>4</v>
      </c>
      <c r="BA1573" s="32" t="str">
        <f>_xlfn.IFNA(VLOOKUP(AY1573,표1[[검색용]:[OptionGroupIndex'[']22]],EquipItemTable!AZ1573,FALSE),"옵션고정안함")</f>
        <v>3331,3332</v>
      </c>
    </row>
    <row r="1574" spans="1:53" ht="12" x14ac:dyDescent="0.2">
      <c r="A1574" s="10" t="s">
        <v>291</v>
      </c>
      <c r="B1574" s="39">
        <v>82013</v>
      </c>
      <c r="C1574" s="42" t="s">
        <v>3965</v>
      </c>
      <c r="D1574" s="10" t="s">
        <v>2948</v>
      </c>
      <c r="E1574" s="10" t="s">
        <v>2</v>
      </c>
      <c r="F1574" s="1" t="s">
        <v>312</v>
      </c>
      <c r="G1574" s="1" t="s">
        <v>1316</v>
      </c>
      <c r="H1574" s="1"/>
      <c r="I1574" s="1"/>
      <c r="J1574" s="1"/>
      <c r="K1574" s="1"/>
      <c r="L1574" s="1"/>
      <c r="M1574" s="1"/>
      <c r="N1574" s="81"/>
      <c r="O1574" s="12" t="s">
        <v>97</v>
      </c>
      <c r="P1574" s="1">
        <v>41</v>
      </c>
      <c r="Q1574" s="13"/>
      <c r="R1574" s="13"/>
      <c r="S1574" s="13"/>
      <c r="T1574" s="13"/>
      <c r="U1574" s="13"/>
      <c r="V1574" s="13"/>
      <c r="W1574" s="13"/>
      <c r="X1574" s="13"/>
      <c r="Y1574" s="84"/>
      <c r="Z1574" s="13"/>
      <c r="AA1574" s="13"/>
      <c r="AB1574" s="13">
        <v>373</v>
      </c>
      <c r="AC1574" s="82"/>
      <c r="AD1574" s="23" t="s">
        <v>52</v>
      </c>
      <c r="AE1574" s="23">
        <v>4</v>
      </c>
      <c r="AF1574" s="23"/>
      <c r="AI1574" s="23"/>
      <c r="AJ1574" s="23"/>
      <c r="AK1574" s="23"/>
      <c r="AL1574" s="23"/>
      <c r="AM1574" s="23"/>
      <c r="AN1574" s="23"/>
      <c r="AO1574" s="23"/>
      <c r="AP1574" s="23"/>
      <c r="AQ1574" s="81"/>
      <c r="AR1574" s="83"/>
      <c r="AS1574" s="83"/>
      <c r="AT1574" s="81"/>
      <c r="AU1574" s="12" t="s">
        <v>1932</v>
      </c>
      <c r="AV1574" s="13"/>
      <c r="AW1574" s="39">
        <v>1</v>
      </c>
      <c r="AY1574" s="32"/>
      <c r="AZ1574" s="32"/>
      <c r="BA1574" s="32"/>
    </row>
    <row r="1575" spans="1:53" ht="12" x14ac:dyDescent="0.2">
      <c r="A1575" s="10" t="s">
        <v>292</v>
      </c>
      <c r="B1575" s="39">
        <v>82014</v>
      </c>
      <c r="C1575" s="42" t="s">
        <v>3966</v>
      </c>
      <c r="D1575" s="10" t="s">
        <v>2948</v>
      </c>
      <c r="E1575" s="10" t="s">
        <v>2</v>
      </c>
      <c r="F1575" s="1" t="s">
        <v>312</v>
      </c>
      <c r="G1575" s="1" t="s">
        <v>1316</v>
      </c>
      <c r="H1575" s="1"/>
      <c r="I1575" s="1"/>
      <c r="J1575" s="1"/>
      <c r="K1575" s="1"/>
      <c r="L1575" s="1"/>
      <c r="M1575" s="1"/>
      <c r="N1575" s="81"/>
      <c r="O1575" s="12" t="s">
        <v>97</v>
      </c>
      <c r="P1575" s="1">
        <v>41</v>
      </c>
      <c r="Q1575" s="13"/>
      <c r="R1575" s="13"/>
      <c r="S1575" s="13"/>
      <c r="T1575" s="13"/>
      <c r="U1575" s="13"/>
      <c r="V1575" s="13"/>
      <c r="W1575" s="13"/>
      <c r="X1575" s="13"/>
      <c r="Y1575" s="84"/>
      <c r="Z1575" s="13"/>
      <c r="AA1575" s="13"/>
      <c r="AB1575" s="13">
        <v>462</v>
      </c>
      <c r="AC1575" s="82"/>
      <c r="AD1575" s="23" t="s">
        <v>52</v>
      </c>
      <c r="AE1575" s="90" t="str">
        <f t="shared" ref="AE1575:AE1577" si="205">BA1575</f>
        <v>4131,4132</v>
      </c>
      <c r="AF1575" s="23"/>
      <c r="AI1575" s="23"/>
      <c r="AJ1575" s="23"/>
      <c r="AK1575" s="23"/>
      <c r="AL1575" s="23"/>
      <c r="AM1575" s="23"/>
      <c r="AN1575" s="23"/>
      <c r="AO1575" s="23"/>
      <c r="AP1575" s="23"/>
      <c r="AQ1575" s="81"/>
      <c r="AR1575" s="83"/>
      <c r="AS1575" s="83"/>
      <c r="AT1575" s="81"/>
      <c r="AU1575" s="12" t="s">
        <v>1939</v>
      </c>
      <c r="AV1575" s="13"/>
      <c r="AW1575" s="39">
        <v>2</v>
      </c>
      <c r="AX1575" s="12">
        <f>VLOOKUP(AW1575,색인!$N$14:$O$19,2,FALSE)</f>
        <v>1</v>
      </c>
      <c r="AY1575" s="32" t="str">
        <f>"T"&amp;O1575&amp;"_"&amp;AX1575&amp;"옵션_"&amp;VLOOKUP(E1575,색인!$J$25:$K$29,2,FALSE)</f>
        <v>T4_1옵션_장신구</v>
      </c>
      <c r="AZ1575" s="32">
        <f>VLOOKUP(G1575,색인!$J$32:$K$45,2,FALSE)</f>
        <v>4</v>
      </c>
      <c r="BA1575" s="32" t="str">
        <f>_xlfn.IFNA(VLOOKUP(AY1575,표1[[검색용]:[OptionGroupIndex'[']22]],EquipItemTable!AZ1575,FALSE),"옵션고정안함")</f>
        <v>4131,4132</v>
      </c>
    </row>
    <row r="1576" spans="1:53" ht="12" x14ac:dyDescent="0.2">
      <c r="A1576" s="10" t="s">
        <v>293</v>
      </c>
      <c r="B1576" s="39">
        <v>82015</v>
      </c>
      <c r="C1576" s="42" t="s">
        <v>6</v>
      </c>
      <c r="D1576" s="10" t="s">
        <v>2948</v>
      </c>
      <c r="E1576" s="10" t="s">
        <v>2</v>
      </c>
      <c r="F1576" s="1" t="s">
        <v>312</v>
      </c>
      <c r="G1576" s="1" t="s">
        <v>1316</v>
      </c>
      <c r="H1576" s="1"/>
      <c r="I1576" s="1"/>
      <c r="J1576" s="1"/>
      <c r="K1576" s="1"/>
      <c r="L1576" s="1"/>
      <c r="M1576" s="1"/>
      <c r="N1576" s="81"/>
      <c r="O1576" s="12" t="s">
        <v>97</v>
      </c>
      <c r="P1576" s="1">
        <v>41</v>
      </c>
      <c r="Q1576" s="13"/>
      <c r="R1576" s="13"/>
      <c r="S1576" s="13"/>
      <c r="T1576" s="13"/>
      <c r="U1576" s="13"/>
      <c r="V1576" s="13"/>
      <c r="W1576" s="13"/>
      <c r="X1576" s="13"/>
      <c r="Y1576" s="84"/>
      <c r="Z1576" s="13"/>
      <c r="AA1576" s="13"/>
      <c r="AB1576" s="13">
        <v>540</v>
      </c>
      <c r="AC1576" s="82"/>
      <c r="AD1576" s="23" t="s">
        <v>52</v>
      </c>
      <c r="AE1576" s="90" t="str">
        <f t="shared" si="205"/>
        <v>4231,4232</v>
      </c>
      <c r="AF1576" s="23"/>
      <c r="AI1576" s="23"/>
      <c r="AJ1576" s="23"/>
      <c r="AK1576" s="23"/>
      <c r="AL1576" s="23"/>
      <c r="AM1576" s="23"/>
      <c r="AN1576" s="23"/>
      <c r="AO1576" s="23"/>
      <c r="AP1576" s="23"/>
      <c r="AQ1576" s="81"/>
      <c r="AR1576" s="83"/>
      <c r="AS1576" s="83"/>
      <c r="AT1576" s="81"/>
      <c r="AU1576" s="12" t="s">
        <v>1940</v>
      </c>
      <c r="AV1576" s="13"/>
      <c r="AW1576" s="39">
        <v>3</v>
      </c>
      <c r="AX1576" s="12">
        <f>VLOOKUP(AW1576,색인!$N$14:$O$19,2,FALSE)</f>
        <v>2</v>
      </c>
      <c r="AY1576" s="32" t="str">
        <f>"T"&amp;O1576&amp;"_"&amp;AX1576&amp;"옵션_"&amp;VLOOKUP(E1576,색인!$J$25:$K$29,2,FALSE)</f>
        <v>T4_2옵션_장신구</v>
      </c>
      <c r="AZ1576" s="32">
        <f>VLOOKUP(G1576,색인!$J$32:$K$45,2,FALSE)</f>
        <v>4</v>
      </c>
      <c r="BA1576" s="32" t="str">
        <f>_xlfn.IFNA(VLOOKUP(AY1576,표1[[검색용]:[OptionGroupIndex'[']22]],EquipItemTable!AZ1576,FALSE),"옵션고정안함")</f>
        <v>4231,4232</v>
      </c>
    </row>
    <row r="1577" spans="1:53" ht="12" x14ac:dyDescent="0.2">
      <c r="A1577" s="10" t="s">
        <v>294</v>
      </c>
      <c r="B1577" s="39">
        <v>82016</v>
      </c>
      <c r="C1577" s="42" t="s">
        <v>3967</v>
      </c>
      <c r="D1577" s="10" t="s">
        <v>2948</v>
      </c>
      <c r="E1577" s="10" t="s">
        <v>2</v>
      </c>
      <c r="F1577" s="1" t="s">
        <v>312</v>
      </c>
      <c r="G1577" s="1" t="s">
        <v>1316</v>
      </c>
      <c r="H1577" s="1"/>
      <c r="I1577" s="1"/>
      <c r="J1577" s="1"/>
      <c r="K1577" s="1"/>
      <c r="L1577" s="1"/>
      <c r="M1577" s="1"/>
      <c r="O1577" s="12" t="s">
        <v>97</v>
      </c>
      <c r="P1577" s="1">
        <v>41</v>
      </c>
      <c r="Q1577" s="1"/>
      <c r="R1577" s="1"/>
      <c r="S1577" s="1"/>
      <c r="T1577" s="1"/>
      <c r="U1577" s="1"/>
      <c r="V1577" s="1"/>
      <c r="W1577" s="13"/>
      <c r="X1577" s="13"/>
      <c r="Y1577" s="84"/>
      <c r="Z1577" s="1"/>
      <c r="AA1577" s="1"/>
      <c r="AB1577" s="1">
        <v>633</v>
      </c>
      <c r="AC1577" s="82"/>
      <c r="AD1577" s="12" t="s">
        <v>52</v>
      </c>
      <c r="AE1577" s="39" t="str">
        <f t="shared" si="205"/>
        <v>4331,4332</v>
      </c>
      <c r="AN1577" s="12"/>
      <c r="AU1577" s="12" t="s">
        <v>1941</v>
      </c>
      <c r="AV1577" s="13"/>
      <c r="AW1577" s="39">
        <v>4</v>
      </c>
      <c r="AX1577" s="12">
        <f>VLOOKUP(AW1577,색인!$N$14:$O$19,2,FALSE)</f>
        <v>3</v>
      </c>
      <c r="AY1577" s="32" t="str">
        <f>"T"&amp;O1577&amp;"_"&amp;AX1577&amp;"옵션_"&amp;VLOOKUP(E1577,색인!$J$25:$K$29,2,FALSE)</f>
        <v>T4_3옵션_장신구</v>
      </c>
      <c r="AZ1577" s="32">
        <f>VLOOKUP(G1577,색인!$J$32:$K$45,2,FALSE)</f>
        <v>4</v>
      </c>
      <c r="BA1577" s="32" t="str">
        <f>_xlfn.IFNA(VLOOKUP(AY1577,표1[[검색용]:[OptionGroupIndex'[']22]],EquipItemTable!AZ1577,FALSE),"옵션고정안함")</f>
        <v>4331,4332</v>
      </c>
    </row>
    <row r="1578" spans="1:53" ht="12" x14ac:dyDescent="0.2">
      <c r="A1578" s="10" t="s">
        <v>532</v>
      </c>
      <c r="B1578" s="39">
        <v>82017</v>
      </c>
      <c r="C1578" s="42" t="s">
        <v>3968</v>
      </c>
      <c r="D1578" s="10" t="s">
        <v>2948</v>
      </c>
      <c r="E1578" s="10" t="s">
        <v>2</v>
      </c>
      <c r="F1578" s="1" t="s">
        <v>312</v>
      </c>
      <c r="G1578" s="1" t="s">
        <v>1316</v>
      </c>
      <c r="H1578" s="1"/>
      <c r="I1578" s="1"/>
      <c r="J1578" s="1"/>
      <c r="K1578" s="1"/>
      <c r="L1578" s="1"/>
      <c r="M1578" s="1"/>
      <c r="O1578" s="12" t="s">
        <v>430</v>
      </c>
      <c r="P1578" s="1">
        <v>51</v>
      </c>
      <c r="Q1578" s="1"/>
      <c r="R1578" s="1"/>
      <c r="S1578" s="1"/>
      <c r="T1578" s="1"/>
      <c r="U1578" s="1"/>
      <c r="V1578" s="1"/>
      <c r="W1578" s="13"/>
      <c r="X1578" s="13"/>
      <c r="Y1578" s="84"/>
      <c r="Z1578" s="1"/>
      <c r="AA1578" s="1"/>
      <c r="AB1578" s="1">
        <v>726</v>
      </c>
      <c r="AC1578" s="82"/>
      <c r="AD1578" s="12" t="s">
        <v>542</v>
      </c>
      <c r="AE1578" s="12" t="s">
        <v>552</v>
      </c>
      <c r="AN1578" s="12"/>
      <c r="AU1578" s="12" t="s">
        <v>1932</v>
      </c>
      <c r="AV1578" s="13"/>
      <c r="AW1578" s="39">
        <v>1</v>
      </c>
      <c r="AY1578" s="32"/>
      <c r="AZ1578" s="32"/>
      <c r="BA1578" s="32"/>
    </row>
    <row r="1579" spans="1:53" ht="12" x14ac:dyDescent="0.2">
      <c r="A1579" s="10" t="s">
        <v>533</v>
      </c>
      <c r="B1579" s="39">
        <v>82018</v>
      </c>
      <c r="C1579" s="42" t="s">
        <v>3969</v>
      </c>
      <c r="D1579" s="10" t="s">
        <v>2948</v>
      </c>
      <c r="E1579" s="10" t="s">
        <v>2</v>
      </c>
      <c r="F1579" s="1" t="s">
        <v>312</v>
      </c>
      <c r="G1579" s="1" t="s">
        <v>1316</v>
      </c>
      <c r="H1579" s="1"/>
      <c r="I1579" s="1"/>
      <c r="J1579" s="1"/>
      <c r="K1579" s="1"/>
      <c r="L1579" s="1"/>
      <c r="M1579" s="1"/>
      <c r="O1579" s="12" t="s">
        <v>430</v>
      </c>
      <c r="P1579" s="1">
        <v>51</v>
      </c>
      <c r="Q1579" s="1"/>
      <c r="R1579" s="1"/>
      <c r="S1579" s="1"/>
      <c r="T1579" s="1"/>
      <c r="U1579" s="1"/>
      <c r="V1579" s="1"/>
      <c r="W1579" s="13"/>
      <c r="X1579" s="13"/>
      <c r="Y1579" s="84"/>
      <c r="Z1579" s="1"/>
      <c r="AA1579" s="1"/>
      <c r="AB1579" s="1">
        <v>886</v>
      </c>
      <c r="AC1579" s="82"/>
      <c r="AD1579" s="12" t="s">
        <v>542</v>
      </c>
      <c r="AE1579" s="39" t="str">
        <f t="shared" ref="AE1579:AE1581" si="206">BA1579</f>
        <v>5131,5132</v>
      </c>
      <c r="AN1579" s="12"/>
      <c r="AU1579" s="12" t="s">
        <v>1939</v>
      </c>
      <c r="AV1579" s="13"/>
      <c r="AW1579" s="39">
        <v>2</v>
      </c>
      <c r="AX1579" s="12">
        <f>VLOOKUP(AW1579,색인!$N$14:$O$19,2,FALSE)</f>
        <v>1</v>
      </c>
      <c r="AY1579" s="32" t="str">
        <f>"T"&amp;O1579&amp;"_"&amp;AX1579&amp;"옵션_"&amp;VLOOKUP(E1579,색인!$J$25:$K$29,2,FALSE)</f>
        <v>T5_1옵션_장신구</v>
      </c>
      <c r="AZ1579" s="32">
        <f>VLOOKUP(G1579,색인!$J$32:$K$45,2,FALSE)</f>
        <v>4</v>
      </c>
      <c r="BA1579" s="32" t="str">
        <f>_xlfn.IFNA(VLOOKUP(AY1579,표1[[검색용]:[OptionGroupIndex'[']22]],EquipItemTable!AZ1579,FALSE),"옵션고정안함")</f>
        <v>5131,5132</v>
      </c>
    </row>
    <row r="1580" spans="1:53" ht="12" x14ac:dyDescent="0.2">
      <c r="A1580" s="10" t="s">
        <v>534</v>
      </c>
      <c r="B1580" s="39">
        <v>82019</v>
      </c>
      <c r="C1580" s="42" t="s">
        <v>3970</v>
      </c>
      <c r="D1580" s="10" t="s">
        <v>2948</v>
      </c>
      <c r="E1580" s="10" t="s">
        <v>2</v>
      </c>
      <c r="F1580" s="1" t="s">
        <v>312</v>
      </c>
      <c r="G1580" s="1" t="s">
        <v>1316</v>
      </c>
      <c r="H1580" s="1"/>
      <c r="I1580" s="1"/>
      <c r="J1580" s="1"/>
      <c r="K1580" s="1"/>
      <c r="L1580" s="1"/>
      <c r="M1580" s="1"/>
      <c r="O1580" s="12" t="s">
        <v>430</v>
      </c>
      <c r="P1580" s="1">
        <v>51</v>
      </c>
      <c r="Q1580" s="1"/>
      <c r="R1580" s="1"/>
      <c r="S1580" s="1"/>
      <c r="T1580" s="1"/>
      <c r="U1580" s="1"/>
      <c r="V1580" s="1"/>
      <c r="W1580" s="13"/>
      <c r="X1580" s="13"/>
      <c r="Y1580" s="84"/>
      <c r="Z1580" s="1"/>
      <c r="AA1580" s="1"/>
      <c r="AB1580" s="1">
        <v>1030</v>
      </c>
      <c r="AC1580" s="82"/>
      <c r="AD1580" s="12" t="s">
        <v>542</v>
      </c>
      <c r="AE1580" s="39" t="str">
        <f t="shared" si="206"/>
        <v>5231,5232</v>
      </c>
      <c r="AN1580" s="12"/>
      <c r="AU1580" s="12" t="s">
        <v>1940</v>
      </c>
      <c r="AV1580" s="13"/>
      <c r="AW1580" s="39">
        <v>3</v>
      </c>
      <c r="AX1580" s="12">
        <f>VLOOKUP(AW1580,색인!$N$14:$O$19,2,FALSE)</f>
        <v>2</v>
      </c>
      <c r="AY1580" s="32" t="str">
        <f>"T"&amp;O1580&amp;"_"&amp;AX1580&amp;"옵션_"&amp;VLOOKUP(E1580,색인!$J$25:$K$29,2,FALSE)</f>
        <v>T5_2옵션_장신구</v>
      </c>
      <c r="AZ1580" s="32">
        <f>VLOOKUP(G1580,색인!$J$32:$K$45,2,FALSE)</f>
        <v>4</v>
      </c>
      <c r="BA1580" s="32" t="str">
        <f>_xlfn.IFNA(VLOOKUP(AY1580,표1[[검색용]:[OptionGroupIndex'[']22]],EquipItemTable!AZ1580,FALSE),"옵션고정안함")</f>
        <v>5231,5232</v>
      </c>
    </row>
    <row r="1581" spans="1:53" ht="12" x14ac:dyDescent="0.2">
      <c r="A1581" s="10" t="s">
        <v>535</v>
      </c>
      <c r="B1581" s="39">
        <v>82020</v>
      </c>
      <c r="C1581" s="42" t="s">
        <v>3971</v>
      </c>
      <c r="D1581" s="10" t="s">
        <v>2948</v>
      </c>
      <c r="E1581" s="10" t="s">
        <v>2</v>
      </c>
      <c r="F1581" s="1" t="s">
        <v>312</v>
      </c>
      <c r="G1581" s="1" t="s">
        <v>1316</v>
      </c>
      <c r="H1581" s="1"/>
      <c r="I1581" s="1"/>
      <c r="J1581" s="1"/>
      <c r="K1581" s="1"/>
      <c r="L1581" s="1"/>
      <c r="M1581" s="1"/>
      <c r="O1581" s="12" t="s">
        <v>430</v>
      </c>
      <c r="P1581" s="1">
        <v>51</v>
      </c>
      <c r="Q1581" s="1"/>
      <c r="R1581" s="1"/>
      <c r="S1581" s="1"/>
      <c r="T1581" s="1"/>
      <c r="U1581" s="1"/>
      <c r="V1581" s="1"/>
      <c r="W1581" s="13"/>
      <c r="X1581" s="13"/>
      <c r="Y1581" s="84"/>
      <c r="Z1581" s="1"/>
      <c r="AA1581" s="1"/>
      <c r="AB1581" s="1">
        <v>1194</v>
      </c>
      <c r="AC1581" s="82"/>
      <c r="AD1581" s="12" t="s">
        <v>542</v>
      </c>
      <c r="AE1581" s="39" t="str">
        <f t="shared" si="206"/>
        <v>5331,5332</v>
      </c>
      <c r="AN1581" s="12"/>
      <c r="AU1581" s="12" t="s">
        <v>1941</v>
      </c>
      <c r="AV1581" s="13"/>
      <c r="AW1581" s="39">
        <v>4</v>
      </c>
      <c r="AX1581" s="12">
        <f>VLOOKUP(AW1581,색인!$N$14:$O$19,2,FALSE)</f>
        <v>3</v>
      </c>
      <c r="AY1581" s="32" t="str">
        <f>"T"&amp;O1581&amp;"_"&amp;AX1581&amp;"옵션_"&amp;VLOOKUP(E1581,색인!$J$25:$K$29,2,FALSE)</f>
        <v>T5_3옵션_장신구</v>
      </c>
      <c r="AZ1581" s="32">
        <f>VLOOKUP(G1581,색인!$J$32:$K$45,2,FALSE)</f>
        <v>4</v>
      </c>
      <c r="BA1581" s="32" t="str">
        <f>_xlfn.IFNA(VLOOKUP(AY1581,표1[[검색용]:[OptionGroupIndex'[']22]],EquipItemTable!AZ1581,FALSE),"옵션고정안함")</f>
        <v>5331,5332</v>
      </c>
    </row>
    <row r="1582" spans="1:53" s="1" customFormat="1" ht="12" x14ac:dyDescent="0.2">
      <c r="A1582" s="10" t="s">
        <v>843</v>
      </c>
      <c r="B1582" s="39">
        <v>82021</v>
      </c>
      <c r="C1582" s="42" t="s">
        <v>3972</v>
      </c>
      <c r="D1582" s="10" t="s">
        <v>2948</v>
      </c>
      <c r="E1582" s="10" t="s">
        <v>2</v>
      </c>
      <c r="F1582" s="1" t="s">
        <v>312</v>
      </c>
      <c r="G1582" s="1" t="s">
        <v>1316</v>
      </c>
      <c r="N1582" s="8"/>
      <c r="O1582" s="12" t="s">
        <v>755</v>
      </c>
      <c r="P1582" s="1">
        <v>61</v>
      </c>
      <c r="W1582" s="13"/>
      <c r="X1582" s="13"/>
      <c r="Y1582" s="84"/>
      <c r="AB1582" s="1">
        <v>1269</v>
      </c>
      <c r="AC1582" s="82"/>
      <c r="AD1582" s="12" t="s">
        <v>756</v>
      </c>
      <c r="AE1582" s="12" t="s">
        <v>529</v>
      </c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8"/>
      <c r="AR1582" s="34"/>
      <c r="AS1582" s="34"/>
      <c r="AT1582" s="85"/>
      <c r="AU1582" s="12" t="s">
        <v>1932</v>
      </c>
      <c r="AW1582" s="39">
        <v>1</v>
      </c>
      <c r="AX1582" s="12"/>
      <c r="AY1582" s="32"/>
      <c r="AZ1582" s="32"/>
      <c r="BA1582" s="32"/>
    </row>
    <row r="1583" spans="1:53" s="1" customFormat="1" ht="12" x14ac:dyDescent="0.2">
      <c r="A1583" s="10" t="s">
        <v>844</v>
      </c>
      <c r="B1583" s="39">
        <v>82022</v>
      </c>
      <c r="C1583" s="42" t="s">
        <v>3973</v>
      </c>
      <c r="D1583" s="10" t="s">
        <v>2948</v>
      </c>
      <c r="E1583" s="10" t="s">
        <v>2</v>
      </c>
      <c r="F1583" s="1" t="s">
        <v>312</v>
      </c>
      <c r="G1583" s="1" t="s">
        <v>1316</v>
      </c>
      <c r="N1583" s="8"/>
      <c r="O1583" s="12" t="s">
        <v>755</v>
      </c>
      <c r="P1583" s="1">
        <v>61</v>
      </c>
      <c r="W1583" s="13"/>
      <c r="X1583" s="13"/>
      <c r="Y1583" s="84"/>
      <c r="AB1583" s="1">
        <v>1437</v>
      </c>
      <c r="AC1583" s="82"/>
      <c r="AD1583" s="12" t="s">
        <v>756</v>
      </c>
      <c r="AE1583" s="39" t="str">
        <f t="shared" ref="AE1583:AE1585" si="207">BA1583</f>
        <v>6131,6132</v>
      </c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8"/>
      <c r="AR1583" s="34"/>
      <c r="AS1583" s="34"/>
      <c r="AT1583" s="85"/>
      <c r="AU1583" s="12" t="s">
        <v>1939</v>
      </c>
      <c r="AW1583" s="39">
        <v>2</v>
      </c>
      <c r="AX1583" s="12">
        <f>VLOOKUP(AW1583,색인!$N$14:$O$19,2,FALSE)</f>
        <v>1</v>
      </c>
      <c r="AY1583" s="32" t="str">
        <f>"T"&amp;O1583&amp;"_"&amp;AX1583&amp;"옵션_"&amp;VLOOKUP(E1583,색인!$J$25:$K$29,2,FALSE)</f>
        <v>T6_1옵션_장신구</v>
      </c>
      <c r="AZ1583" s="32">
        <f>VLOOKUP(G1583,색인!$J$32:$K$45,2,FALSE)</f>
        <v>4</v>
      </c>
      <c r="BA1583" s="32" t="str">
        <f>_xlfn.IFNA(VLOOKUP(AY1583,표1[[검색용]:[OptionGroupIndex'[']22]],EquipItemTable!AZ1583,FALSE),"옵션고정안함")</f>
        <v>6131,6132</v>
      </c>
    </row>
    <row r="1584" spans="1:53" s="1" customFormat="1" ht="12" x14ac:dyDescent="0.2">
      <c r="A1584" s="10" t="s">
        <v>845</v>
      </c>
      <c r="B1584" s="39">
        <v>82023</v>
      </c>
      <c r="C1584" s="42" t="s">
        <v>3974</v>
      </c>
      <c r="D1584" s="10" t="s">
        <v>2948</v>
      </c>
      <c r="E1584" s="10" t="s">
        <v>2</v>
      </c>
      <c r="F1584" s="1" t="s">
        <v>312</v>
      </c>
      <c r="G1584" s="1" t="s">
        <v>1316</v>
      </c>
      <c r="N1584" s="8"/>
      <c r="O1584" s="12" t="s">
        <v>755</v>
      </c>
      <c r="P1584" s="1">
        <v>61</v>
      </c>
      <c r="W1584" s="13"/>
      <c r="X1584" s="13"/>
      <c r="Y1584" s="84"/>
      <c r="AB1584" s="1">
        <v>1582</v>
      </c>
      <c r="AC1584" s="82"/>
      <c r="AD1584" s="12" t="s">
        <v>756</v>
      </c>
      <c r="AE1584" s="39" t="str">
        <f t="shared" si="207"/>
        <v>6231,6232</v>
      </c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8"/>
      <c r="AR1584" s="34"/>
      <c r="AS1584" s="34"/>
      <c r="AT1584" s="85"/>
      <c r="AU1584" s="12" t="s">
        <v>1940</v>
      </c>
      <c r="AW1584" s="39">
        <v>3</v>
      </c>
      <c r="AX1584" s="12">
        <f>VLOOKUP(AW1584,색인!$N$14:$O$19,2,FALSE)</f>
        <v>2</v>
      </c>
      <c r="AY1584" s="32" t="str">
        <f>"T"&amp;O1584&amp;"_"&amp;AX1584&amp;"옵션_"&amp;VLOOKUP(E1584,색인!$J$25:$K$29,2,FALSE)</f>
        <v>T6_2옵션_장신구</v>
      </c>
      <c r="AZ1584" s="32">
        <f>VLOOKUP(G1584,색인!$J$32:$K$45,2,FALSE)</f>
        <v>4</v>
      </c>
      <c r="BA1584" s="32" t="str">
        <f>_xlfn.IFNA(VLOOKUP(AY1584,표1[[검색용]:[OptionGroupIndex'[']22]],EquipItemTable!AZ1584,FALSE),"옵션고정안함")</f>
        <v>6231,6232</v>
      </c>
    </row>
    <row r="1585" spans="1:53" s="1" customFormat="1" ht="12" x14ac:dyDescent="0.2">
      <c r="A1585" s="10" t="s">
        <v>846</v>
      </c>
      <c r="B1585" s="39">
        <v>82024</v>
      </c>
      <c r="C1585" s="42" t="s">
        <v>3975</v>
      </c>
      <c r="D1585" s="10" t="s">
        <v>2948</v>
      </c>
      <c r="E1585" s="10" t="s">
        <v>2</v>
      </c>
      <c r="F1585" s="1" t="s">
        <v>312</v>
      </c>
      <c r="G1585" s="1" t="s">
        <v>1316</v>
      </c>
      <c r="N1585" s="8"/>
      <c r="O1585" s="12" t="s">
        <v>755</v>
      </c>
      <c r="P1585" s="1">
        <v>61</v>
      </c>
      <c r="W1585" s="13"/>
      <c r="X1585" s="13"/>
      <c r="Y1585" s="84"/>
      <c r="AB1585" s="1">
        <v>1741</v>
      </c>
      <c r="AC1585" s="82"/>
      <c r="AD1585" s="12" t="s">
        <v>756</v>
      </c>
      <c r="AE1585" s="39" t="str">
        <f t="shared" si="207"/>
        <v>6331,6332</v>
      </c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8"/>
      <c r="AR1585" s="34"/>
      <c r="AS1585" s="34"/>
      <c r="AT1585" s="85"/>
      <c r="AU1585" s="12" t="s">
        <v>1941</v>
      </c>
      <c r="AW1585" s="39">
        <v>4</v>
      </c>
      <c r="AX1585" s="12">
        <f>VLOOKUP(AW1585,색인!$N$14:$O$19,2,FALSE)</f>
        <v>3</v>
      </c>
      <c r="AY1585" s="32" t="str">
        <f>"T"&amp;O1585&amp;"_"&amp;AX1585&amp;"옵션_"&amp;VLOOKUP(E1585,색인!$J$25:$K$29,2,FALSE)</f>
        <v>T6_3옵션_장신구</v>
      </c>
      <c r="AZ1585" s="32">
        <f>VLOOKUP(G1585,색인!$J$32:$K$45,2,FALSE)</f>
        <v>4</v>
      </c>
      <c r="BA1585" s="32" t="str">
        <f>_xlfn.IFNA(VLOOKUP(AY1585,표1[[검색용]:[OptionGroupIndex'[']22]],EquipItemTable!AZ1585,FALSE),"옵션고정안함")</f>
        <v>6331,6332</v>
      </c>
    </row>
    <row r="1586" spans="1:53" s="1" customFormat="1" ht="12" x14ac:dyDescent="0.2">
      <c r="A1586" s="10" t="s">
        <v>941</v>
      </c>
      <c r="B1586" s="39">
        <v>82105</v>
      </c>
      <c r="C1586" s="42" t="s">
        <v>3976</v>
      </c>
      <c r="D1586" s="10" t="s">
        <v>2948</v>
      </c>
      <c r="E1586" s="10" t="s">
        <v>2</v>
      </c>
      <c r="F1586" s="1" t="s">
        <v>312</v>
      </c>
      <c r="G1586" s="1" t="s">
        <v>1316</v>
      </c>
      <c r="N1586" s="8"/>
      <c r="O1586" s="32">
        <v>3</v>
      </c>
      <c r="P1586" s="23">
        <v>31</v>
      </c>
      <c r="W1586" s="13"/>
      <c r="X1586" s="13"/>
      <c r="Y1586" s="84"/>
      <c r="AB1586" s="1">
        <v>384</v>
      </c>
      <c r="AC1586" s="82"/>
      <c r="AD1586" s="12" t="s">
        <v>98</v>
      </c>
      <c r="AE1586" s="12" t="s">
        <v>430</v>
      </c>
      <c r="AF1586" s="12"/>
      <c r="AG1586" s="12"/>
      <c r="AH1586" s="12"/>
      <c r="AI1586" s="12"/>
      <c r="AJ1586" s="12"/>
      <c r="AK1586" s="12"/>
      <c r="AL1586" s="12"/>
      <c r="AM1586" s="12"/>
      <c r="AN1586" s="12">
        <v>1</v>
      </c>
      <c r="AO1586" s="12"/>
      <c r="AP1586" s="12"/>
      <c r="AQ1586" s="8"/>
      <c r="AR1586" s="34"/>
      <c r="AS1586" s="34"/>
      <c r="AT1586" s="85"/>
      <c r="AU1586" s="12" t="s">
        <v>1936</v>
      </c>
      <c r="AW1586" s="39">
        <v>6</v>
      </c>
      <c r="AX1586" s="12">
        <f>VLOOKUP(AW1586,색인!$N$14:$O$19,2,FALSE)</f>
        <v>4</v>
      </c>
      <c r="AY1586" s="32" t="str">
        <f>"T"&amp;O1586&amp;"_"&amp;AX1586&amp;"옵션_"&amp;VLOOKUP(E1586,색인!$J$25:$K$29,2,FALSE)</f>
        <v>T3_4옵션_장신구</v>
      </c>
      <c r="AZ1586" s="32">
        <f>VLOOKUP(G1586,색인!$J$32:$K$45,2,FALSE)</f>
        <v>4</v>
      </c>
      <c r="BA1586" s="32" t="str">
        <f>_xlfn.IFNA(VLOOKUP(AY1586,표1[[검색용]:[OptionGroupIndex'[']22]],EquipItemTable!AZ1586,FALSE),"옵션고정안함")</f>
        <v>옵션고정안함</v>
      </c>
    </row>
    <row r="1587" spans="1:53" s="1" customFormat="1" ht="12" x14ac:dyDescent="0.2">
      <c r="A1587" s="10" t="s">
        <v>1135</v>
      </c>
      <c r="B1587" s="39">
        <v>82107</v>
      </c>
      <c r="C1587" s="42" t="s">
        <v>3977</v>
      </c>
      <c r="D1587" s="10" t="s">
        <v>2948</v>
      </c>
      <c r="E1587" s="10" t="s">
        <v>2</v>
      </c>
      <c r="F1587" s="1" t="s">
        <v>312</v>
      </c>
      <c r="G1587" s="1" t="s">
        <v>1316</v>
      </c>
      <c r="N1587" s="8"/>
      <c r="O1587" s="32">
        <v>3</v>
      </c>
      <c r="P1587" s="23">
        <v>31</v>
      </c>
      <c r="W1587" s="13"/>
      <c r="X1587" s="13"/>
      <c r="Y1587" s="84"/>
      <c r="AB1587" s="1">
        <v>384</v>
      </c>
      <c r="AC1587" s="82"/>
      <c r="AD1587" s="12" t="s">
        <v>98</v>
      </c>
      <c r="AE1587" s="12" t="s">
        <v>430</v>
      </c>
      <c r="AF1587" s="12"/>
      <c r="AG1587" s="12"/>
      <c r="AH1587" s="12"/>
      <c r="AI1587" s="12"/>
      <c r="AJ1587" s="12"/>
      <c r="AK1587" s="12"/>
      <c r="AL1587" s="12"/>
      <c r="AM1587" s="12"/>
      <c r="AN1587" s="12">
        <v>2</v>
      </c>
      <c r="AO1587" s="12"/>
      <c r="AP1587" s="12"/>
      <c r="AQ1587" s="8"/>
      <c r="AR1587" s="34"/>
      <c r="AS1587" s="34"/>
      <c r="AT1587" s="85"/>
      <c r="AU1587" s="12" t="s">
        <v>1936</v>
      </c>
      <c r="AW1587" s="39">
        <v>6</v>
      </c>
      <c r="AX1587" s="12">
        <f>VLOOKUP(AW1587,색인!$N$14:$O$19,2,FALSE)</f>
        <v>4</v>
      </c>
      <c r="AY1587" s="32" t="str">
        <f>"T"&amp;O1587&amp;"_"&amp;AX1587&amp;"옵션_"&amp;VLOOKUP(E1587,색인!$J$25:$K$29,2,FALSE)</f>
        <v>T3_4옵션_장신구</v>
      </c>
      <c r="AZ1587" s="32">
        <f>VLOOKUP(G1587,색인!$J$32:$K$45,2,FALSE)</f>
        <v>4</v>
      </c>
      <c r="BA1587" s="32" t="str">
        <f>_xlfn.IFNA(VLOOKUP(AY1587,표1[[검색용]:[OptionGroupIndex'[']22]],EquipItemTable!AZ1587,FALSE),"옵션고정안함")</f>
        <v>옵션고정안함</v>
      </c>
    </row>
    <row r="1588" spans="1:53" s="1" customFormat="1" ht="12" x14ac:dyDescent="0.2">
      <c r="A1588" s="10" t="s">
        <v>1136</v>
      </c>
      <c r="B1588" s="39">
        <v>82106</v>
      </c>
      <c r="C1588" s="42" t="s">
        <v>3978</v>
      </c>
      <c r="D1588" s="10" t="s">
        <v>2948</v>
      </c>
      <c r="E1588" s="10" t="s">
        <v>2</v>
      </c>
      <c r="F1588" s="1" t="s">
        <v>312</v>
      </c>
      <c r="G1588" s="1" t="s">
        <v>1316</v>
      </c>
      <c r="N1588" s="8"/>
      <c r="O1588" s="32">
        <v>3</v>
      </c>
      <c r="P1588" s="23">
        <v>31</v>
      </c>
      <c r="W1588" s="13"/>
      <c r="X1588" s="13"/>
      <c r="Y1588" s="84"/>
      <c r="AB1588" s="1">
        <v>384</v>
      </c>
      <c r="AC1588" s="82"/>
      <c r="AD1588" s="12" t="s">
        <v>98</v>
      </c>
      <c r="AE1588" s="12" t="s">
        <v>430</v>
      </c>
      <c r="AF1588" s="12"/>
      <c r="AG1588" s="12"/>
      <c r="AH1588" s="12"/>
      <c r="AI1588" s="12"/>
      <c r="AJ1588" s="12"/>
      <c r="AK1588" s="12"/>
      <c r="AL1588" s="12"/>
      <c r="AM1588" s="12"/>
      <c r="AN1588" s="12">
        <v>3</v>
      </c>
      <c r="AO1588" s="12"/>
      <c r="AP1588" s="12"/>
      <c r="AQ1588" s="8"/>
      <c r="AR1588" s="34"/>
      <c r="AS1588" s="34"/>
      <c r="AT1588" s="85"/>
      <c r="AU1588" s="12" t="s">
        <v>1936</v>
      </c>
      <c r="AW1588" s="39">
        <v>6</v>
      </c>
      <c r="AX1588" s="12">
        <f>VLOOKUP(AW1588,색인!$N$14:$O$19,2,FALSE)</f>
        <v>4</v>
      </c>
      <c r="AY1588" s="32" t="str">
        <f>"T"&amp;O1588&amp;"_"&amp;AX1588&amp;"옵션_"&amp;VLOOKUP(E1588,색인!$J$25:$K$29,2,FALSE)</f>
        <v>T3_4옵션_장신구</v>
      </c>
      <c r="AZ1588" s="32">
        <f>VLOOKUP(G1588,색인!$J$32:$K$45,2,FALSE)</f>
        <v>4</v>
      </c>
      <c r="BA1588" s="32" t="str">
        <f>_xlfn.IFNA(VLOOKUP(AY1588,표1[[검색용]:[OptionGroupIndex'[']22]],EquipItemTable!AZ1588,FALSE),"옵션고정안함")</f>
        <v>옵션고정안함</v>
      </c>
    </row>
    <row r="1589" spans="1:53" s="1" customFormat="1" ht="12" x14ac:dyDescent="0.2">
      <c r="A1589" s="10" t="s">
        <v>1137</v>
      </c>
      <c r="B1589" s="39">
        <v>82101</v>
      </c>
      <c r="C1589" s="42" t="s">
        <v>3979</v>
      </c>
      <c r="D1589" s="10" t="s">
        <v>2948</v>
      </c>
      <c r="E1589" s="10" t="s">
        <v>2</v>
      </c>
      <c r="F1589" s="1" t="s">
        <v>312</v>
      </c>
      <c r="G1589" s="1" t="s">
        <v>1316</v>
      </c>
      <c r="N1589" s="8"/>
      <c r="O1589" s="32">
        <v>3</v>
      </c>
      <c r="P1589" s="23">
        <v>31</v>
      </c>
      <c r="W1589" s="13"/>
      <c r="X1589" s="13"/>
      <c r="Y1589" s="84"/>
      <c r="AB1589" s="1">
        <v>384</v>
      </c>
      <c r="AC1589" s="82"/>
      <c r="AD1589" s="12" t="s">
        <v>98</v>
      </c>
      <c r="AE1589" s="12" t="s">
        <v>430</v>
      </c>
      <c r="AF1589" s="12"/>
      <c r="AG1589" s="12"/>
      <c r="AH1589" s="12"/>
      <c r="AI1589" s="12"/>
      <c r="AJ1589" s="12"/>
      <c r="AK1589" s="12"/>
      <c r="AL1589" s="12"/>
      <c r="AM1589" s="12"/>
      <c r="AN1589" s="12">
        <v>4</v>
      </c>
      <c r="AO1589" s="12"/>
      <c r="AP1589" s="12"/>
      <c r="AQ1589" s="8"/>
      <c r="AR1589" s="34"/>
      <c r="AS1589" s="34"/>
      <c r="AT1589" s="85"/>
      <c r="AU1589" s="12" t="s">
        <v>1936</v>
      </c>
      <c r="AW1589" s="39">
        <v>6</v>
      </c>
      <c r="AX1589" s="12">
        <f>VLOOKUP(AW1589,색인!$N$14:$O$19,2,FALSE)</f>
        <v>4</v>
      </c>
      <c r="AY1589" s="32" t="str">
        <f>"T"&amp;O1589&amp;"_"&amp;AX1589&amp;"옵션_"&amp;VLOOKUP(E1589,색인!$J$25:$K$29,2,FALSE)</f>
        <v>T3_4옵션_장신구</v>
      </c>
      <c r="AZ1589" s="32">
        <f>VLOOKUP(G1589,색인!$J$32:$K$45,2,FALSE)</f>
        <v>4</v>
      </c>
      <c r="BA1589" s="32" t="str">
        <f>_xlfn.IFNA(VLOOKUP(AY1589,표1[[검색용]:[OptionGroupIndex'[']22]],EquipItemTable!AZ1589,FALSE),"옵션고정안함")</f>
        <v>옵션고정안함</v>
      </c>
    </row>
    <row r="1590" spans="1:53" s="1" customFormat="1" ht="12" x14ac:dyDescent="0.2">
      <c r="A1590" s="10" t="s">
        <v>942</v>
      </c>
      <c r="B1590" s="39">
        <v>82108</v>
      </c>
      <c r="C1590" s="42" t="s">
        <v>3976</v>
      </c>
      <c r="D1590" s="10" t="s">
        <v>2948</v>
      </c>
      <c r="E1590" s="10" t="s">
        <v>2</v>
      </c>
      <c r="F1590" s="1" t="s">
        <v>312</v>
      </c>
      <c r="G1590" s="1" t="s">
        <v>1316</v>
      </c>
      <c r="N1590" s="8"/>
      <c r="O1590" s="32">
        <v>4</v>
      </c>
      <c r="P1590" s="23">
        <v>41</v>
      </c>
      <c r="W1590" s="13"/>
      <c r="X1590" s="13"/>
      <c r="Y1590" s="84"/>
      <c r="AB1590" s="1">
        <v>736</v>
      </c>
      <c r="AC1590" s="82"/>
      <c r="AD1590" s="12" t="s">
        <v>98</v>
      </c>
      <c r="AE1590" s="12" t="s">
        <v>430</v>
      </c>
      <c r="AF1590" s="12"/>
      <c r="AG1590" s="12"/>
      <c r="AH1590" s="12"/>
      <c r="AI1590" s="12"/>
      <c r="AJ1590" s="12"/>
      <c r="AK1590" s="12"/>
      <c r="AL1590" s="12"/>
      <c r="AM1590" s="12"/>
      <c r="AN1590" s="12">
        <v>1</v>
      </c>
      <c r="AO1590" s="12"/>
      <c r="AP1590" s="12"/>
      <c r="AQ1590" s="8"/>
      <c r="AR1590" s="34"/>
      <c r="AS1590" s="34"/>
      <c r="AT1590" s="85"/>
      <c r="AU1590" s="12" t="s">
        <v>1936</v>
      </c>
      <c r="AV1590" s="1" t="s">
        <v>940</v>
      </c>
      <c r="AW1590" s="39">
        <v>6</v>
      </c>
      <c r="AX1590" s="12">
        <f>VLOOKUP(AW1590,색인!$N$14:$O$19,2,FALSE)</f>
        <v>4</v>
      </c>
      <c r="AY1590" s="32" t="str">
        <f>"T"&amp;O1590&amp;"_"&amp;AX1590&amp;"옵션_"&amp;VLOOKUP(E1590,색인!$J$25:$K$29,2,FALSE)</f>
        <v>T4_4옵션_장신구</v>
      </c>
      <c r="AZ1590" s="32">
        <f>VLOOKUP(G1590,색인!$J$32:$K$45,2,FALSE)</f>
        <v>4</v>
      </c>
      <c r="BA1590" s="32" t="str">
        <f>_xlfn.IFNA(VLOOKUP(AY1590,표1[[검색용]:[OptionGroupIndex'[']22]],EquipItemTable!AZ1590,FALSE),"옵션고정안함")</f>
        <v>옵션고정안함</v>
      </c>
    </row>
    <row r="1591" spans="1:53" s="1" customFormat="1" ht="12" x14ac:dyDescent="0.2">
      <c r="A1591" s="10" t="s">
        <v>1138</v>
      </c>
      <c r="B1591" s="39">
        <v>82110</v>
      </c>
      <c r="C1591" s="42" t="s">
        <v>3977</v>
      </c>
      <c r="D1591" s="10" t="s">
        <v>2948</v>
      </c>
      <c r="E1591" s="10" t="s">
        <v>2</v>
      </c>
      <c r="F1591" s="1" t="s">
        <v>312</v>
      </c>
      <c r="G1591" s="1" t="s">
        <v>1316</v>
      </c>
      <c r="N1591" s="8"/>
      <c r="O1591" s="32">
        <v>4</v>
      </c>
      <c r="P1591" s="23">
        <v>41</v>
      </c>
      <c r="W1591" s="13"/>
      <c r="X1591" s="13"/>
      <c r="Y1591" s="84"/>
      <c r="AB1591" s="1">
        <v>736</v>
      </c>
      <c r="AC1591" s="82"/>
      <c r="AD1591" s="12" t="s">
        <v>98</v>
      </c>
      <c r="AE1591" s="12" t="s">
        <v>430</v>
      </c>
      <c r="AF1591" s="12"/>
      <c r="AG1591" s="12"/>
      <c r="AH1591" s="12"/>
      <c r="AI1591" s="12"/>
      <c r="AJ1591" s="12"/>
      <c r="AK1591" s="12"/>
      <c r="AL1591" s="12"/>
      <c r="AM1591" s="12"/>
      <c r="AN1591" s="12">
        <v>2</v>
      </c>
      <c r="AO1591" s="12"/>
      <c r="AP1591" s="12"/>
      <c r="AQ1591" s="8"/>
      <c r="AR1591" s="34"/>
      <c r="AS1591" s="34"/>
      <c r="AT1591" s="85"/>
      <c r="AU1591" s="12" t="s">
        <v>1936</v>
      </c>
      <c r="AV1591" s="1" t="s">
        <v>940</v>
      </c>
      <c r="AW1591" s="39">
        <v>6</v>
      </c>
      <c r="AX1591" s="12">
        <f>VLOOKUP(AW1591,색인!$N$14:$O$19,2,FALSE)</f>
        <v>4</v>
      </c>
      <c r="AY1591" s="32" t="str">
        <f>"T"&amp;O1591&amp;"_"&amp;AX1591&amp;"옵션_"&amp;VLOOKUP(E1591,색인!$J$25:$K$29,2,FALSE)</f>
        <v>T4_4옵션_장신구</v>
      </c>
      <c r="AZ1591" s="32">
        <f>VLOOKUP(G1591,색인!$J$32:$K$45,2,FALSE)</f>
        <v>4</v>
      </c>
      <c r="BA1591" s="32" t="str">
        <f>_xlfn.IFNA(VLOOKUP(AY1591,표1[[검색용]:[OptionGroupIndex'[']22]],EquipItemTable!AZ1591,FALSE),"옵션고정안함")</f>
        <v>옵션고정안함</v>
      </c>
    </row>
    <row r="1592" spans="1:53" s="1" customFormat="1" ht="12" x14ac:dyDescent="0.2">
      <c r="A1592" s="10" t="s">
        <v>1139</v>
      </c>
      <c r="B1592" s="39">
        <v>82109</v>
      </c>
      <c r="C1592" s="42" t="s">
        <v>3978</v>
      </c>
      <c r="D1592" s="10" t="s">
        <v>2948</v>
      </c>
      <c r="E1592" s="10" t="s">
        <v>2</v>
      </c>
      <c r="F1592" s="1" t="s">
        <v>312</v>
      </c>
      <c r="G1592" s="1" t="s">
        <v>1316</v>
      </c>
      <c r="N1592" s="8"/>
      <c r="O1592" s="32">
        <v>4</v>
      </c>
      <c r="P1592" s="23">
        <v>41</v>
      </c>
      <c r="W1592" s="13"/>
      <c r="X1592" s="13"/>
      <c r="Y1592" s="84"/>
      <c r="AB1592" s="1">
        <v>736</v>
      </c>
      <c r="AC1592" s="82"/>
      <c r="AD1592" s="12" t="s">
        <v>98</v>
      </c>
      <c r="AE1592" s="12" t="s">
        <v>430</v>
      </c>
      <c r="AF1592" s="12"/>
      <c r="AG1592" s="12"/>
      <c r="AH1592" s="12"/>
      <c r="AI1592" s="12"/>
      <c r="AJ1592" s="12"/>
      <c r="AK1592" s="12"/>
      <c r="AL1592" s="12"/>
      <c r="AM1592" s="12"/>
      <c r="AN1592" s="12">
        <v>3</v>
      </c>
      <c r="AO1592" s="12"/>
      <c r="AP1592" s="12"/>
      <c r="AQ1592" s="8"/>
      <c r="AR1592" s="34"/>
      <c r="AS1592" s="34"/>
      <c r="AT1592" s="85"/>
      <c r="AU1592" s="12" t="s">
        <v>1936</v>
      </c>
      <c r="AV1592" s="1" t="s">
        <v>940</v>
      </c>
      <c r="AW1592" s="39">
        <v>6</v>
      </c>
      <c r="AX1592" s="12">
        <f>VLOOKUP(AW1592,색인!$N$14:$O$19,2,FALSE)</f>
        <v>4</v>
      </c>
      <c r="AY1592" s="32" t="str">
        <f>"T"&amp;O1592&amp;"_"&amp;AX1592&amp;"옵션_"&amp;VLOOKUP(E1592,색인!$J$25:$K$29,2,FALSE)</f>
        <v>T4_4옵션_장신구</v>
      </c>
      <c r="AZ1592" s="32">
        <f>VLOOKUP(G1592,색인!$J$32:$K$45,2,FALSE)</f>
        <v>4</v>
      </c>
      <c r="BA1592" s="32" t="str">
        <f>_xlfn.IFNA(VLOOKUP(AY1592,표1[[검색용]:[OptionGroupIndex'[']22]],EquipItemTable!AZ1592,FALSE),"옵션고정안함")</f>
        <v>옵션고정안함</v>
      </c>
    </row>
    <row r="1593" spans="1:53" s="1" customFormat="1" ht="12" x14ac:dyDescent="0.2">
      <c r="A1593" s="10" t="s">
        <v>1140</v>
      </c>
      <c r="B1593" s="39">
        <v>82102</v>
      </c>
      <c r="C1593" s="42" t="s">
        <v>3979</v>
      </c>
      <c r="D1593" s="10" t="s">
        <v>2948</v>
      </c>
      <c r="E1593" s="10" t="s">
        <v>2</v>
      </c>
      <c r="F1593" s="1" t="s">
        <v>312</v>
      </c>
      <c r="G1593" s="1" t="s">
        <v>1316</v>
      </c>
      <c r="N1593" s="8"/>
      <c r="O1593" s="32">
        <v>4</v>
      </c>
      <c r="P1593" s="23">
        <v>41</v>
      </c>
      <c r="W1593" s="13"/>
      <c r="X1593" s="13"/>
      <c r="Y1593" s="84"/>
      <c r="AB1593" s="1">
        <v>736</v>
      </c>
      <c r="AC1593" s="82"/>
      <c r="AD1593" s="12" t="s">
        <v>98</v>
      </c>
      <c r="AE1593" s="12" t="s">
        <v>430</v>
      </c>
      <c r="AF1593" s="12"/>
      <c r="AG1593" s="12"/>
      <c r="AH1593" s="12"/>
      <c r="AI1593" s="12"/>
      <c r="AJ1593" s="12"/>
      <c r="AK1593" s="12"/>
      <c r="AL1593" s="12"/>
      <c r="AM1593" s="12"/>
      <c r="AN1593" s="12">
        <v>4</v>
      </c>
      <c r="AO1593" s="12"/>
      <c r="AP1593" s="12"/>
      <c r="AQ1593" s="8"/>
      <c r="AR1593" s="34"/>
      <c r="AS1593" s="34"/>
      <c r="AT1593" s="85"/>
      <c r="AU1593" s="12" t="s">
        <v>1936</v>
      </c>
      <c r="AV1593" s="1" t="s">
        <v>940</v>
      </c>
      <c r="AW1593" s="39">
        <v>6</v>
      </c>
      <c r="AX1593" s="12">
        <f>VLOOKUP(AW1593,색인!$N$14:$O$19,2,FALSE)</f>
        <v>4</v>
      </c>
      <c r="AY1593" s="32" t="str">
        <f>"T"&amp;O1593&amp;"_"&amp;AX1593&amp;"옵션_"&amp;VLOOKUP(E1593,색인!$J$25:$K$29,2,FALSE)</f>
        <v>T4_4옵션_장신구</v>
      </c>
      <c r="AZ1593" s="32">
        <f>VLOOKUP(G1593,색인!$J$32:$K$45,2,FALSE)</f>
        <v>4</v>
      </c>
      <c r="BA1593" s="32" t="str">
        <f>_xlfn.IFNA(VLOOKUP(AY1593,표1[[검색용]:[OptionGroupIndex'[']22]],EquipItemTable!AZ1593,FALSE),"옵션고정안함")</f>
        <v>옵션고정안함</v>
      </c>
    </row>
    <row r="1594" spans="1:53" s="1" customFormat="1" ht="12" x14ac:dyDescent="0.2">
      <c r="A1594" s="10" t="s">
        <v>943</v>
      </c>
      <c r="B1594" s="39">
        <v>82111</v>
      </c>
      <c r="C1594" s="42" t="s">
        <v>3976</v>
      </c>
      <c r="D1594" s="10" t="s">
        <v>2948</v>
      </c>
      <c r="E1594" s="10" t="s">
        <v>2</v>
      </c>
      <c r="F1594" s="1" t="s">
        <v>312</v>
      </c>
      <c r="G1594" s="1" t="s">
        <v>1316</v>
      </c>
      <c r="N1594" s="8"/>
      <c r="O1594" s="32">
        <v>5</v>
      </c>
      <c r="P1594" s="23">
        <v>51</v>
      </c>
      <c r="W1594" s="13"/>
      <c r="X1594" s="13"/>
      <c r="Y1594" s="84"/>
      <c r="AB1594" s="1">
        <v>1377</v>
      </c>
      <c r="AC1594" s="82"/>
      <c r="AD1594" s="12" t="s">
        <v>98</v>
      </c>
      <c r="AE1594" s="12" t="s">
        <v>430</v>
      </c>
      <c r="AF1594" s="12"/>
      <c r="AG1594" s="23"/>
      <c r="AH1594" s="23"/>
      <c r="AI1594" s="12"/>
      <c r="AJ1594" s="12"/>
      <c r="AK1594" s="12"/>
      <c r="AL1594" s="12"/>
      <c r="AM1594" s="12"/>
      <c r="AN1594" s="12">
        <v>1</v>
      </c>
      <c r="AO1594" s="12"/>
      <c r="AP1594" s="12"/>
      <c r="AQ1594" s="8"/>
      <c r="AR1594" s="34"/>
      <c r="AS1594" s="34"/>
      <c r="AT1594" s="85"/>
      <c r="AU1594" s="12" t="s">
        <v>1936</v>
      </c>
      <c r="AW1594" s="39">
        <v>6</v>
      </c>
      <c r="AX1594" s="12">
        <f>VLOOKUP(AW1594,색인!$N$14:$O$19,2,FALSE)</f>
        <v>4</v>
      </c>
      <c r="AY1594" s="32" t="str">
        <f>"T"&amp;O1594&amp;"_"&amp;AX1594&amp;"옵션_"&amp;VLOOKUP(E1594,색인!$J$25:$K$29,2,FALSE)</f>
        <v>T5_4옵션_장신구</v>
      </c>
      <c r="AZ1594" s="32">
        <f>VLOOKUP(G1594,색인!$J$32:$K$45,2,FALSE)</f>
        <v>4</v>
      </c>
      <c r="BA1594" s="32" t="str">
        <f>_xlfn.IFNA(VLOOKUP(AY1594,표1[[검색용]:[OptionGroupIndex'[']22]],EquipItemTable!AZ1594,FALSE),"옵션고정안함")</f>
        <v>옵션고정안함</v>
      </c>
    </row>
    <row r="1595" spans="1:53" s="1" customFormat="1" ht="12" x14ac:dyDescent="0.2">
      <c r="A1595" s="10" t="s">
        <v>1141</v>
      </c>
      <c r="B1595" s="39">
        <v>82113</v>
      </c>
      <c r="C1595" s="42" t="s">
        <v>3977</v>
      </c>
      <c r="D1595" s="10" t="s">
        <v>2948</v>
      </c>
      <c r="E1595" s="10" t="s">
        <v>2</v>
      </c>
      <c r="F1595" s="1" t="s">
        <v>312</v>
      </c>
      <c r="G1595" s="1" t="s">
        <v>1316</v>
      </c>
      <c r="N1595" s="8"/>
      <c r="O1595" s="32">
        <v>5</v>
      </c>
      <c r="P1595" s="23">
        <v>51</v>
      </c>
      <c r="W1595" s="13"/>
      <c r="X1595" s="13"/>
      <c r="Y1595" s="84"/>
      <c r="AB1595" s="1">
        <v>1377</v>
      </c>
      <c r="AC1595" s="82"/>
      <c r="AD1595" s="12" t="s">
        <v>98</v>
      </c>
      <c r="AE1595" s="12" t="s">
        <v>430</v>
      </c>
      <c r="AF1595" s="12"/>
      <c r="AG1595" s="12"/>
      <c r="AH1595" s="12"/>
      <c r="AI1595" s="12"/>
      <c r="AJ1595" s="12"/>
      <c r="AK1595" s="12"/>
      <c r="AL1595" s="12"/>
      <c r="AM1595" s="12"/>
      <c r="AN1595" s="12">
        <v>2</v>
      </c>
      <c r="AO1595" s="12"/>
      <c r="AP1595" s="12"/>
      <c r="AQ1595" s="8"/>
      <c r="AR1595" s="34"/>
      <c r="AS1595" s="34"/>
      <c r="AT1595" s="85"/>
      <c r="AU1595" s="12" t="s">
        <v>1936</v>
      </c>
      <c r="AW1595" s="39">
        <v>6</v>
      </c>
      <c r="AX1595" s="12">
        <f>VLOOKUP(AW1595,색인!$N$14:$O$19,2,FALSE)</f>
        <v>4</v>
      </c>
      <c r="AY1595" s="32" t="str">
        <f>"T"&amp;O1595&amp;"_"&amp;AX1595&amp;"옵션_"&amp;VLOOKUP(E1595,색인!$J$25:$K$29,2,FALSE)</f>
        <v>T5_4옵션_장신구</v>
      </c>
      <c r="AZ1595" s="32">
        <f>VLOOKUP(G1595,색인!$J$32:$K$45,2,FALSE)</f>
        <v>4</v>
      </c>
      <c r="BA1595" s="32" t="str">
        <f>_xlfn.IFNA(VLOOKUP(AY1595,표1[[검색용]:[OptionGroupIndex'[']22]],EquipItemTable!AZ1595,FALSE),"옵션고정안함")</f>
        <v>옵션고정안함</v>
      </c>
    </row>
    <row r="1596" spans="1:53" s="1" customFormat="1" ht="12" x14ac:dyDescent="0.2">
      <c r="A1596" s="10" t="s">
        <v>1142</v>
      </c>
      <c r="B1596" s="39">
        <v>82112</v>
      </c>
      <c r="C1596" s="42" t="s">
        <v>3978</v>
      </c>
      <c r="D1596" s="10" t="s">
        <v>2948</v>
      </c>
      <c r="E1596" s="10" t="s">
        <v>2</v>
      </c>
      <c r="F1596" s="1" t="s">
        <v>312</v>
      </c>
      <c r="G1596" s="1" t="s">
        <v>1316</v>
      </c>
      <c r="N1596" s="8"/>
      <c r="O1596" s="32">
        <v>5</v>
      </c>
      <c r="P1596" s="23">
        <v>51</v>
      </c>
      <c r="W1596" s="13"/>
      <c r="X1596" s="13"/>
      <c r="Y1596" s="84"/>
      <c r="AB1596" s="1">
        <v>1377</v>
      </c>
      <c r="AC1596" s="82"/>
      <c r="AD1596" s="12" t="s">
        <v>98</v>
      </c>
      <c r="AE1596" s="12" t="s">
        <v>430</v>
      </c>
      <c r="AF1596" s="12"/>
      <c r="AG1596" s="12"/>
      <c r="AH1596" s="12"/>
      <c r="AI1596" s="12"/>
      <c r="AJ1596" s="12"/>
      <c r="AK1596" s="12"/>
      <c r="AL1596" s="12"/>
      <c r="AM1596" s="12"/>
      <c r="AN1596" s="12">
        <v>3</v>
      </c>
      <c r="AO1596" s="12"/>
      <c r="AP1596" s="12"/>
      <c r="AQ1596" s="8"/>
      <c r="AR1596" s="34"/>
      <c r="AS1596" s="34"/>
      <c r="AT1596" s="85"/>
      <c r="AU1596" s="12" t="s">
        <v>1936</v>
      </c>
      <c r="AW1596" s="39">
        <v>6</v>
      </c>
      <c r="AX1596" s="12">
        <f>VLOOKUP(AW1596,색인!$N$14:$O$19,2,FALSE)</f>
        <v>4</v>
      </c>
      <c r="AY1596" s="32" t="str">
        <f>"T"&amp;O1596&amp;"_"&amp;AX1596&amp;"옵션_"&amp;VLOOKUP(E1596,색인!$J$25:$K$29,2,FALSE)</f>
        <v>T5_4옵션_장신구</v>
      </c>
      <c r="AZ1596" s="32">
        <f>VLOOKUP(G1596,색인!$J$32:$K$45,2,FALSE)</f>
        <v>4</v>
      </c>
      <c r="BA1596" s="32" t="str">
        <f>_xlfn.IFNA(VLOOKUP(AY1596,표1[[검색용]:[OptionGroupIndex'[']22]],EquipItemTable!AZ1596,FALSE),"옵션고정안함")</f>
        <v>옵션고정안함</v>
      </c>
    </row>
    <row r="1597" spans="1:53" s="1" customFormat="1" ht="12" x14ac:dyDescent="0.2">
      <c r="A1597" s="10" t="s">
        <v>1143</v>
      </c>
      <c r="B1597" s="39">
        <v>82103</v>
      </c>
      <c r="C1597" s="42" t="s">
        <v>3979</v>
      </c>
      <c r="D1597" s="10" t="s">
        <v>2948</v>
      </c>
      <c r="E1597" s="10" t="s">
        <v>2</v>
      </c>
      <c r="F1597" s="1" t="s">
        <v>312</v>
      </c>
      <c r="G1597" s="1" t="s">
        <v>1316</v>
      </c>
      <c r="N1597" s="8"/>
      <c r="O1597" s="32">
        <v>5</v>
      </c>
      <c r="P1597" s="23">
        <v>51</v>
      </c>
      <c r="W1597" s="13"/>
      <c r="X1597" s="13"/>
      <c r="Y1597" s="84"/>
      <c r="AB1597" s="1">
        <v>1377</v>
      </c>
      <c r="AC1597" s="82"/>
      <c r="AD1597" s="12" t="s">
        <v>98</v>
      </c>
      <c r="AE1597" s="12" t="s">
        <v>430</v>
      </c>
      <c r="AF1597" s="12"/>
      <c r="AG1597" s="12"/>
      <c r="AH1597" s="12"/>
      <c r="AI1597" s="12"/>
      <c r="AJ1597" s="12"/>
      <c r="AK1597" s="12"/>
      <c r="AL1597" s="12"/>
      <c r="AM1597" s="12"/>
      <c r="AN1597" s="12">
        <v>4</v>
      </c>
      <c r="AO1597" s="12"/>
      <c r="AP1597" s="12"/>
      <c r="AQ1597" s="8"/>
      <c r="AR1597" s="34"/>
      <c r="AS1597" s="34"/>
      <c r="AT1597" s="85"/>
      <c r="AU1597" s="12" t="s">
        <v>1936</v>
      </c>
      <c r="AW1597" s="39">
        <v>6</v>
      </c>
      <c r="AX1597" s="12">
        <f>VLOOKUP(AW1597,색인!$N$14:$O$19,2,FALSE)</f>
        <v>4</v>
      </c>
      <c r="AY1597" s="32" t="str">
        <f>"T"&amp;O1597&amp;"_"&amp;AX1597&amp;"옵션_"&amp;VLOOKUP(E1597,색인!$J$25:$K$29,2,FALSE)</f>
        <v>T5_4옵션_장신구</v>
      </c>
      <c r="AZ1597" s="32">
        <f>VLOOKUP(G1597,색인!$J$32:$K$45,2,FALSE)</f>
        <v>4</v>
      </c>
      <c r="BA1597" s="32" t="str">
        <f>_xlfn.IFNA(VLOOKUP(AY1597,표1[[검색용]:[OptionGroupIndex'[']22]],EquipItemTable!AZ1597,FALSE),"옵션고정안함")</f>
        <v>옵션고정안함</v>
      </c>
    </row>
    <row r="1598" spans="1:53" s="1" customFormat="1" ht="12" x14ac:dyDescent="0.2">
      <c r="A1598" s="10" t="s">
        <v>944</v>
      </c>
      <c r="B1598" s="39">
        <v>82114</v>
      </c>
      <c r="C1598" s="42" t="s">
        <v>3976</v>
      </c>
      <c r="D1598" s="10" t="s">
        <v>2948</v>
      </c>
      <c r="E1598" s="10" t="s">
        <v>2</v>
      </c>
      <c r="F1598" s="1" t="s">
        <v>312</v>
      </c>
      <c r="G1598" s="1" t="s">
        <v>1316</v>
      </c>
      <c r="N1598" s="8"/>
      <c r="O1598" s="32">
        <v>6</v>
      </c>
      <c r="P1598" s="23">
        <v>61</v>
      </c>
      <c r="W1598" s="13"/>
      <c r="X1598" s="13"/>
      <c r="Y1598" s="84"/>
      <c r="AB1598" s="1">
        <v>1993</v>
      </c>
      <c r="AC1598" s="82"/>
      <c r="AD1598" s="12" t="s">
        <v>98</v>
      </c>
      <c r="AE1598" s="39" t="str">
        <f>BA1598</f>
        <v>6431,6432</v>
      </c>
      <c r="AF1598" s="12"/>
      <c r="AG1598" s="12"/>
      <c r="AH1598" s="12"/>
      <c r="AI1598" s="12"/>
      <c r="AJ1598" s="12"/>
      <c r="AK1598" s="12"/>
      <c r="AL1598" s="12"/>
      <c r="AM1598" s="12"/>
      <c r="AN1598" s="12">
        <v>1</v>
      </c>
      <c r="AO1598" s="12"/>
      <c r="AP1598" s="12"/>
      <c r="AQ1598" s="8"/>
      <c r="AR1598" s="34"/>
      <c r="AS1598" s="34"/>
      <c r="AT1598" s="85"/>
      <c r="AU1598" s="12" t="s">
        <v>1936</v>
      </c>
      <c r="AW1598" s="39">
        <v>6</v>
      </c>
      <c r="AX1598" s="12">
        <f>VLOOKUP(AW1598,색인!$N$14:$O$19,2,FALSE)</f>
        <v>4</v>
      </c>
      <c r="AY1598" s="32" t="str">
        <f>"T"&amp;O1598&amp;"_"&amp;AX1598&amp;"옵션_"&amp;VLOOKUP(E1598,색인!$J$25:$K$29,2,FALSE)</f>
        <v>T6_4옵션_장신구</v>
      </c>
      <c r="AZ1598" s="32">
        <f>VLOOKUP(G1598,색인!$J$32:$K$45,2,FALSE)</f>
        <v>4</v>
      </c>
      <c r="BA1598" s="32" t="str">
        <f>_xlfn.IFNA(VLOOKUP(AY1598,표1[[검색용]:[OptionGroupIndex'[']22]],EquipItemTable!AZ1598,FALSE),"옵션고정안함")</f>
        <v>6431,6432</v>
      </c>
    </row>
    <row r="1599" spans="1:53" s="1" customFormat="1" ht="12" x14ac:dyDescent="0.2">
      <c r="A1599" s="10" t="s">
        <v>1144</v>
      </c>
      <c r="B1599" s="39">
        <v>82116</v>
      </c>
      <c r="C1599" s="42" t="s">
        <v>3977</v>
      </c>
      <c r="D1599" s="10" t="s">
        <v>2948</v>
      </c>
      <c r="E1599" s="10" t="s">
        <v>2</v>
      </c>
      <c r="F1599" s="1" t="s">
        <v>312</v>
      </c>
      <c r="G1599" s="1" t="s">
        <v>1316</v>
      </c>
      <c r="N1599" s="8"/>
      <c r="O1599" s="32">
        <v>6</v>
      </c>
      <c r="P1599" s="23">
        <v>61</v>
      </c>
      <c r="W1599" s="13"/>
      <c r="X1599" s="13"/>
      <c r="Y1599" s="84"/>
      <c r="AB1599" s="1">
        <v>1993</v>
      </c>
      <c r="AC1599" s="82"/>
      <c r="AD1599" s="12" t="s">
        <v>98</v>
      </c>
      <c r="AE1599" s="39" t="str">
        <f>BA1599</f>
        <v>6431,6432</v>
      </c>
      <c r="AF1599" s="12"/>
      <c r="AG1599" s="12"/>
      <c r="AH1599" s="12"/>
      <c r="AI1599" s="12"/>
      <c r="AJ1599" s="12"/>
      <c r="AK1599" s="12"/>
      <c r="AL1599" s="12"/>
      <c r="AM1599" s="12"/>
      <c r="AN1599" s="12">
        <v>2</v>
      </c>
      <c r="AO1599" s="12"/>
      <c r="AP1599" s="12"/>
      <c r="AQ1599" s="8"/>
      <c r="AR1599" s="34"/>
      <c r="AS1599" s="34"/>
      <c r="AT1599" s="85"/>
      <c r="AU1599" s="12" t="s">
        <v>1936</v>
      </c>
      <c r="AW1599" s="39">
        <v>6</v>
      </c>
      <c r="AX1599" s="12">
        <f>VLOOKUP(AW1599,색인!$N$14:$O$19,2,FALSE)</f>
        <v>4</v>
      </c>
      <c r="AY1599" s="32" t="str">
        <f>"T"&amp;O1599&amp;"_"&amp;AX1599&amp;"옵션_"&amp;VLOOKUP(E1599,색인!$J$25:$K$29,2,FALSE)</f>
        <v>T6_4옵션_장신구</v>
      </c>
      <c r="AZ1599" s="32">
        <f>VLOOKUP(G1599,색인!$J$32:$K$45,2,FALSE)</f>
        <v>4</v>
      </c>
      <c r="BA1599" s="32" t="str">
        <f>_xlfn.IFNA(VLOOKUP(AY1599,표1[[검색용]:[OptionGroupIndex'[']22]],EquipItemTable!AZ1599,FALSE),"옵션고정안함")</f>
        <v>6431,6432</v>
      </c>
    </row>
    <row r="1600" spans="1:53" s="1" customFormat="1" ht="12" x14ac:dyDescent="0.2">
      <c r="A1600" s="10" t="s">
        <v>1145</v>
      </c>
      <c r="B1600" s="39">
        <v>82115</v>
      </c>
      <c r="C1600" s="42" t="s">
        <v>3978</v>
      </c>
      <c r="D1600" s="10" t="s">
        <v>2948</v>
      </c>
      <c r="E1600" s="10" t="s">
        <v>2</v>
      </c>
      <c r="F1600" s="1" t="s">
        <v>312</v>
      </c>
      <c r="G1600" s="1" t="s">
        <v>1316</v>
      </c>
      <c r="N1600" s="8"/>
      <c r="O1600" s="32">
        <v>6</v>
      </c>
      <c r="P1600" s="23">
        <v>61</v>
      </c>
      <c r="W1600" s="13"/>
      <c r="X1600" s="13"/>
      <c r="Y1600" s="84"/>
      <c r="AB1600" s="1">
        <v>1993</v>
      </c>
      <c r="AC1600" s="82"/>
      <c r="AD1600" s="12" t="s">
        <v>98</v>
      </c>
      <c r="AE1600" s="39" t="str">
        <f>BA1600</f>
        <v>6431,6432</v>
      </c>
      <c r="AF1600" s="12"/>
      <c r="AG1600" s="12"/>
      <c r="AH1600" s="12"/>
      <c r="AI1600" s="12"/>
      <c r="AJ1600" s="12"/>
      <c r="AK1600" s="12"/>
      <c r="AL1600" s="12"/>
      <c r="AM1600" s="12"/>
      <c r="AN1600" s="12">
        <v>3</v>
      </c>
      <c r="AO1600" s="12"/>
      <c r="AP1600" s="12"/>
      <c r="AQ1600" s="8"/>
      <c r="AR1600" s="34"/>
      <c r="AS1600" s="34"/>
      <c r="AT1600" s="85"/>
      <c r="AU1600" s="12" t="s">
        <v>1936</v>
      </c>
      <c r="AW1600" s="39">
        <v>6</v>
      </c>
      <c r="AX1600" s="12">
        <f>VLOOKUP(AW1600,색인!$N$14:$O$19,2,FALSE)</f>
        <v>4</v>
      </c>
      <c r="AY1600" s="32" t="str">
        <f>"T"&amp;O1600&amp;"_"&amp;AX1600&amp;"옵션_"&amp;VLOOKUP(E1600,색인!$J$25:$K$29,2,FALSE)</f>
        <v>T6_4옵션_장신구</v>
      </c>
      <c r="AZ1600" s="32">
        <f>VLOOKUP(G1600,색인!$J$32:$K$45,2,FALSE)</f>
        <v>4</v>
      </c>
      <c r="BA1600" s="32" t="str">
        <f>_xlfn.IFNA(VLOOKUP(AY1600,표1[[검색용]:[OptionGroupIndex'[']22]],EquipItemTable!AZ1600,FALSE),"옵션고정안함")</f>
        <v>6431,6432</v>
      </c>
    </row>
    <row r="1601" spans="1:53" s="1" customFormat="1" ht="12" x14ac:dyDescent="0.2">
      <c r="A1601" s="10" t="s">
        <v>1146</v>
      </c>
      <c r="B1601" s="39">
        <v>82104</v>
      </c>
      <c r="C1601" s="42" t="s">
        <v>3979</v>
      </c>
      <c r="D1601" s="10" t="s">
        <v>2948</v>
      </c>
      <c r="E1601" s="10" t="s">
        <v>2</v>
      </c>
      <c r="F1601" s="1" t="s">
        <v>312</v>
      </c>
      <c r="G1601" s="1" t="s">
        <v>1316</v>
      </c>
      <c r="N1601" s="8"/>
      <c r="O1601" s="32">
        <v>6</v>
      </c>
      <c r="P1601" s="23">
        <v>61</v>
      </c>
      <c r="W1601" s="13"/>
      <c r="X1601" s="13"/>
      <c r="Y1601" s="84"/>
      <c r="AB1601" s="1">
        <v>1993</v>
      </c>
      <c r="AC1601" s="82"/>
      <c r="AD1601" s="12" t="s">
        <v>98</v>
      </c>
      <c r="AE1601" s="39" t="str">
        <f>BA1601</f>
        <v>6431,6432</v>
      </c>
      <c r="AF1601" s="12"/>
      <c r="AG1601" s="12"/>
      <c r="AH1601" s="12"/>
      <c r="AI1601" s="12"/>
      <c r="AJ1601" s="12"/>
      <c r="AK1601" s="12"/>
      <c r="AL1601" s="12"/>
      <c r="AM1601" s="12"/>
      <c r="AN1601" s="12">
        <v>4</v>
      </c>
      <c r="AO1601" s="12"/>
      <c r="AP1601" s="12"/>
      <c r="AQ1601" s="8"/>
      <c r="AR1601" s="34"/>
      <c r="AS1601" s="34"/>
      <c r="AT1601" s="85"/>
      <c r="AU1601" s="12" t="s">
        <v>1936</v>
      </c>
      <c r="AW1601" s="39">
        <v>6</v>
      </c>
      <c r="AX1601" s="12">
        <f>VLOOKUP(AW1601,색인!$N$14:$O$19,2,FALSE)</f>
        <v>4</v>
      </c>
      <c r="AY1601" s="32" t="str">
        <f>"T"&amp;O1601&amp;"_"&amp;AX1601&amp;"옵션_"&amp;VLOOKUP(E1601,색인!$J$25:$K$29,2,FALSE)</f>
        <v>T6_4옵션_장신구</v>
      </c>
      <c r="AZ1601" s="32">
        <f>VLOOKUP(G1601,색인!$J$32:$K$45,2,FALSE)</f>
        <v>4</v>
      </c>
      <c r="BA1601" s="32" t="str">
        <f>_xlfn.IFNA(VLOOKUP(AY1601,표1[[검색용]:[OptionGroupIndex'[']22]],EquipItemTable!AZ1601,FALSE),"옵션고정안함")</f>
        <v>6431,6432</v>
      </c>
    </row>
    <row r="1602" spans="1:53" ht="12" customHeight="1" x14ac:dyDescent="0.2">
      <c r="A1602" s="10" t="s">
        <v>714</v>
      </c>
      <c r="B1602" s="39">
        <v>82401</v>
      </c>
      <c r="C1602" s="42" t="s">
        <v>3980</v>
      </c>
      <c r="D1602" s="10" t="s">
        <v>2948</v>
      </c>
      <c r="E1602" s="10" t="s">
        <v>2</v>
      </c>
      <c r="F1602" s="1" t="s">
        <v>312</v>
      </c>
      <c r="G1602" s="1" t="s">
        <v>1316</v>
      </c>
      <c r="H1602" s="1"/>
      <c r="I1602" s="1"/>
      <c r="J1602" s="1"/>
      <c r="K1602" s="1"/>
      <c r="L1602" s="1"/>
      <c r="M1602" s="1"/>
      <c r="O1602" s="12" t="s">
        <v>94</v>
      </c>
      <c r="P1602" s="1">
        <v>1</v>
      </c>
      <c r="Q1602" s="1"/>
      <c r="R1602" s="1"/>
      <c r="S1602" s="1"/>
      <c r="T1602" s="1"/>
      <c r="U1602" s="1"/>
      <c r="V1602" s="1"/>
      <c r="W1602" s="1"/>
      <c r="X1602" s="1"/>
      <c r="Y1602" s="84"/>
      <c r="Z1602" s="1"/>
      <c r="AA1602" s="1"/>
      <c r="AB1602" s="1">
        <v>76</v>
      </c>
      <c r="AC1602" s="82"/>
      <c r="AD1602" s="12" t="s">
        <v>868</v>
      </c>
      <c r="AE1602" s="39" t="str">
        <f t="shared" ref="AE1602:AE1613" si="208">BA1602</f>
        <v>1331,1332</v>
      </c>
      <c r="AN1602" s="12" t="s">
        <v>2833</v>
      </c>
      <c r="AU1602" s="12" t="s">
        <v>1945</v>
      </c>
      <c r="AV1602" s="13"/>
      <c r="AW1602" s="39">
        <v>5</v>
      </c>
      <c r="AX1602" s="12">
        <f>VLOOKUP(AW1602,색인!$N$14:$O$19,2,FALSE)</f>
        <v>3</v>
      </c>
      <c r="AY1602" s="32" t="str">
        <f>"T"&amp;O1602&amp;"_"&amp;AX1602&amp;"옵션_"&amp;VLOOKUP(E1602,색인!$J$25:$K$29,2,FALSE)</f>
        <v>T1_3옵션_장신구</v>
      </c>
      <c r="AZ1602" s="32">
        <f>VLOOKUP(G1602,색인!$J$32:$K$45,2,FALSE)</f>
        <v>4</v>
      </c>
      <c r="BA1602" s="32" t="str">
        <f>_xlfn.IFNA(VLOOKUP(AY1602,표1[[검색용]:[OptionGroupIndex'[']22]],EquipItemTable!AZ1602,FALSE),"옵션고정안함")</f>
        <v>1331,1332</v>
      </c>
    </row>
    <row r="1603" spans="1:53" ht="12" customHeight="1" x14ac:dyDescent="0.2">
      <c r="A1603" s="10" t="s">
        <v>715</v>
      </c>
      <c r="B1603" s="39">
        <v>82402</v>
      </c>
      <c r="C1603" s="42" t="s">
        <v>3980</v>
      </c>
      <c r="D1603" s="10" t="s">
        <v>2948</v>
      </c>
      <c r="E1603" s="10" t="s">
        <v>2</v>
      </c>
      <c r="F1603" s="1" t="s">
        <v>312</v>
      </c>
      <c r="G1603" s="1" t="s">
        <v>1316</v>
      </c>
      <c r="H1603" s="1"/>
      <c r="I1603" s="1"/>
      <c r="J1603" s="1"/>
      <c r="K1603" s="1"/>
      <c r="L1603" s="1"/>
      <c r="M1603" s="1"/>
      <c r="O1603" s="12" t="s">
        <v>95</v>
      </c>
      <c r="P1603" s="1">
        <v>21</v>
      </c>
      <c r="Q1603" s="1"/>
      <c r="R1603" s="1"/>
      <c r="S1603" s="1"/>
      <c r="T1603" s="1"/>
      <c r="U1603" s="1"/>
      <c r="V1603" s="1"/>
      <c r="W1603" s="13"/>
      <c r="X1603" s="13"/>
      <c r="Y1603" s="84"/>
      <c r="Z1603" s="1"/>
      <c r="AA1603" s="1"/>
      <c r="AB1603" s="1">
        <v>172</v>
      </c>
      <c r="AC1603" s="82"/>
      <c r="AD1603" s="12" t="s">
        <v>868</v>
      </c>
      <c r="AE1603" s="39" t="str">
        <f t="shared" si="208"/>
        <v>2331,2332</v>
      </c>
      <c r="AN1603" s="12" t="s">
        <v>2833</v>
      </c>
      <c r="AU1603" s="12" t="s">
        <v>1945</v>
      </c>
      <c r="AV1603" s="13"/>
      <c r="AW1603" s="39">
        <v>5</v>
      </c>
      <c r="AX1603" s="12">
        <f>VLOOKUP(AW1603,색인!$N$14:$O$19,2,FALSE)</f>
        <v>3</v>
      </c>
      <c r="AY1603" s="32" t="str">
        <f>"T"&amp;O1603&amp;"_"&amp;AX1603&amp;"옵션_"&amp;VLOOKUP(E1603,색인!$J$25:$K$29,2,FALSE)</f>
        <v>T2_3옵션_장신구</v>
      </c>
      <c r="AZ1603" s="32">
        <f>VLOOKUP(G1603,색인!$J$32:$K$45,2,FALSE)</f>
        <v>4</v>
      </c>
      <c r="BA1603" s="32" t="str">
        <f>_xlfn.IFNA(VLOOKUP(AY1603,표1[[검색용]:[OptionGroupIndex'[']22]],EquipItemTable!AZ1603,FALSE),"옵션고정안함")</f>
        <v>2331,2332</v>
      </c>
    </row>
    <row r="1604" spans="1:53" ht="12" customHeight="1" x14ac:dyDescent="0.2">
      <c r="A1604" s="10" t="s">
        <v>716</v>
      </c>
      <c r="B1604" s="39">
        <v>82403</v>
      </c>
      <c r="C1604" s="42" t="s">
        <v>3980</v>
      </c>
      <c r="D1604" s="10" t="s">
        <v>2948</v>
      </c>
      <c r="E1604" s="10" t="s">
        <v>2</v>
      </c>
      <c r="F1604" s="1" t="s">
        <v>312</v>
      </c>
      <c r="G1604" s="1" t="s">
        <v>1316</v>
      </c>
      <c r="H1604" s="1"/>
      <c r="I1604" s="1"/>
      <c r="J1604" s="1"/>
      <c r="K1604" s="1"/>
      <c r="L1604" s="1"/>
      <c r="M1604" s="1"/>
      <c r="N1604" s="81"/>
      <c r="O1604" s="12" t="s">
        <v>96</v>
      </c>
      <c r="P1604" s="1">
        <v>31</v>
      </c>
      <c r="Q1604" s="13"/>
      <c r="R1604" s="13"/>
      <c r="S1604" s="13"/>
      <c r="T1604" s="13"/>
      <c r="U1604" s="13"/>
      <c r="V1604" s="13"/>
      <c r="W1604" s="13"/>
      <c r="X1604" s="13"/>
      <c r="Y1604" s="84"/>
      <c r="Z1604" s="13"/>
      <c r="AA1604" s="13"/>
      <c r="AB1604" s="1">
        <v>357</v>
      </c>
      <c r="AC1604" s="82"/>
      <c r="AD1604" s="23" t="s">
        <v>52</v>
      </c>
      <c r="AE1604" s="90" t="str">
        <f t="shared" si="208"/>
        <v>3331,3332</v>
      </c>
      <c r="AF1604" s="23"/>
      <c r="AI1604" s="23"/>
      <c r="AJ1604" s="23"/>
      <c r="AK1604" s="23"/>
      <c r="AL1604" s="23"/>
      <c r="AM1604" s="23"/>
      <c r="AN1604" s="12" t="s">
        <v>2833</v>
      </c>
      <c r="AO1604" s="23"/>
      <c r="AP1604" s="23"/>
      <c r="AQ1604" s="81"/>
      <c r="AR1604" s="83"/>
      <c r="AS1604" s="83"/>
      <c r="AT1604" s="81"/>
      <c r="AU1604" s="12" t="s">
        <v>1945</v>
      </c>
      <c r="AV1604" s="13" t="s">
        <v>6</v>
      </c>
      <c r="AW1604" s="39">
        <v>5</v>
      </c>
      <c r="AX1604" s="12">
        <f>VLOOKUP(AW1604,색인!$N$14:$O$19,2,FALSE)</f>
        <v>3</v>
      </c>
      <c r="AY1604" s="32" t="str">
        <f>"T"&amp;O1604&amp;"_"&amp;AX1604&amp;"옵션_"&amp;VLOOKUP(E1604,색인!$J$25:$K$29,2,FALSE)</f>
        <v>T3_3옵션_장신구</v>
      </c>
      <c r="AZ1604" s="32">
        <f>VLOOKUP(G1604,색인!$J$32:$K$45,2,FALSE)</f>
        <v>4</v>
      </c>
      <c r="BA1604" s="32" t="str">
        <f>_xlfn.IFNA(VLOOKUP(AY1604,표1[[검색용]:[OptionGroupIndex'[']22]],EquipItemTable!AZ1604,FALSE),"옵션고정안함")</f>
        <v>3331,3332</v>
      </c>
    </row>
    <row r="1605" spans="1:53" ht="12" customHeight="1" x14ac:dyDescent="0.2">
      <c r="A1605" s="10" t="s">
        <v>717</v>
      </c>
      <c r="B1605" s="39">
        <v>82404</v>
      </c>
      <c r="C1605" s="42" t="s">
        <v>3980</v>
      </c>
      <c r="D1605" s="10" t="s">
        <v>2948</v>
      </c>
      <c r="E1605" s="10" t="s">
        <v>2</v>
      </c>
      <c r="F1605" s="1" t="s">
        <v>312</v>
      </c>
      <c r="G1605" s="1" t="s">
        <v>1316</v>
      </c>
      <c r="H1605" s="1"/>
      <c r="I1605" s="1"/>
      <c r="J1605" s="27"/>
      <c r="K1605" s="27"/>
      <c r="L1605" s="27"/>
      <c r="M1605" s="27"/>
      <c r="O1605" s="12" t="s">
        <v>97</v>
      </c>
      <c r="P1605" s="1">
        <v>41</v>
      </c>
      <c r="Q1605" s="1"/>
      <c r="R1605" s="1"/>
      <c r="S1605" s="1"/>
      <c r="T1605" s="1"/>
      <c r="U1605" s="1"/>
      <c r="V1605" s="1"/>
      <c r="W1605" s="13"/>
      <c r="X1605" s="13"/>
      <c r="Y1605" s="84"/>
      <c r="Z1605" s="1"/>
      <c r="AA1605" s="1"/>
      <c r="AB1605" s="1">
        <v>696</v>
      </c>
      <c r="AC1605" s="82"/>
      <c r="AD1605" s="12" t="s">
        <v>52</v>
      </c>
      <c r="AE1605" s="39" t="str">
        <f t="shared" si="208"/>
        <v>4331,4332</v>
      </c>
      <c r="AG1605" s="29"/>
      <c r="AH1605" s="29"/>
      <c r="AN1605" s="12" t="s">
        <v>2833</v>
      </c>
      <c r="AU1605" s="12" t="s">
        <v>1945</v>
      </c>
      <c r="AV1605" s="13"/>
      <c r="AW1605" s="39">
        <v>5</v>
      </c>
      <c r="AX1605" s="12">
        <f>VLOOKUP(AW1605,색인!$N$14:$O$19,2,FALSE)</f>
        <v>3</v>
      </c>
      <c r="AY1605" s="32" t="str">
        <f>"T"&amp;O1605&amp;"_"&amp;AX1605&amp;"옵션_"&amp;VLOOKUP(E1605,색인!$J$25:$K$29,2,FALSE)</f>
        <v>T4_3옵션_장신구</v>
      </c>
      <c r="AZ1605" s="32">
        <f>VLOOKUP(G1605,색인!$J$32:$K$45,2,FALSE)</f>
        <v>4</v>
      </c>
      <c r="BA1605" s="32" t="str">
        <f>_xlfn.IFNA(VLOOKUP(AY1605,표1[[검색용]:[OptionGroupIndex'[']22]],EquipItemTable!AZ1605,FALSE),"옵션고정안함")</f>
        <v>4331,4332</v>
      </c>
    </row>
    <row r="1606" spans="1:53" ht="12" customHeight="1" x14ac:dyDescent="0.2">
      <c r="A1606" s="10" t="s">
        <v>718</v>
      </c>
      <c r="B1606" s="39">
        <v>82405</v>
      </c>
      <c r="C1606" s="42" t="s">
        <v>3980</v>
      </c>
      <c r="D1606" s="10" t="s">
        <v>2948</v>
      </c>
      <c r="E1606" s="10" t="s">
        <v>2</v>
      </c>
      <c r="F1606" s="1" t="s">
        <v>312</v>
      </c>
      <c r="G1606" s="1" t="s">
        <v>1316</v>
      </c>
      <c r="H1606" s="1"/>
      <c r="I1606" s="1"/>
      <c r="J1606" s="27"/>
      <c r="K1606" s="27"/>
      <c r="L1606" s="27"/>
      <c r="M1606" s="27"/>
      <c r="O1606" s="12" t="s">
        <v>430</v>
      </c>
      <c r="P1606" s="1">
        <v>51</v>
      </c>
      <c r="Q1606" s="1"/>
      <c r="R1606" s="1"/>
      <c r="S1606" s="1"/>
      <c r="T1606" s="1"/>
      <c r="U1606" s="1"/>
      <c r="V1606" s="1"/>
      <c r="W1606" s="13"/>
      <c r="X1606" s="13"/>
      <c r="Y1606" s="84"/>
      <c r="Z1606" s="1"/>
      <c r="AA1606" s="1"/>
      <c r="AB1606" s="1">
        <v>1312</v>
      </c>
      <c r="AC1606" s="82"/>
      <c r="AD1606" s="12" t="s">
        <v>98</v>
      </c>
      <c r="AE1606" s="39" t="str">
        <f t="shared" si="208"/>
        <v>5331,5332</v>
      </c>
      <c r="AG1606" s="29"/>
      <c r="AH1606" s="29"/>
      <c r="AN1606" s="12" t="s">
        <v>2833</v>
      </c>
      <c r="AU1606" s="12" t="s">
        <v>1945</v>
      </c>
      <c r="AV1606" s="13"/>
      <c r="AW1606" s="39">
        <v>5</v>
      </c>
      <c r="AX1606" s="12">
        <f>VLOOKUP(AW1606,색인!$N$14:$O$19,2,FALSE)</f>
        <v>3</v>
      </c>
      <c r="AY1606" s="32" t="str">
        <f>"T"&amp;O1606&amp;"_"&amp;AX1606&amp;"옵션_"&amp;VLOOKUP(E1606,색인!$J$25:$K$29,2,FALSE)</f>
        <v>T5_3옵션_장신구</v>
      </c>
      <c r="AZ1606" s="32">
        <f>VLOOKUP(G1606,색인!$J$32:$K$45,2,FALSE)</f>
        <v>4</v>
      </c>
      <c r="BA1606" s="32" t="str">
        <f>_xlfn.IFNA(VLOOKUP(AY1606,표1[[검색용]:[OptionGroupIndex'[']22]],EquipItemTable!AZ1606,FALSE),"옵션고정안함")</f>
        <v>5331,5332</v>
      </c>
    </row>
    <row r="1607" spans="1:53" s="1" customFormat="1" ht="12" x14ac:dyDescent="0.2">
      <c r="A1607" s="10" t="s">
        <v>847</v>
      </c>
      <c r="B1607" s="39">
        <v>82406</v>
      </c>
      <c r="C1607" s="42" t="s">
        <v>3980</v>
      </c>
      <c r="D1607" s="10" t="s">
        <v>2948</v>
      </c>
      <c r="E1607" s="10" t="s">
        <v>2</v>
      </c>
      <c r="F1607" s="1" t="s">
        <v>312</v>
      </c>
      <c r="G1607" s="1" t="s">
        <v>1316</v>
      </c>
      <c r="J1607" s="27"/>
      <c r="K1607" s="27"/>
      <c r="L1607" s="27"/>
      <c r="M1607" s="27"/>
      <c r="N1607" s="8"/>
      <c r="O1607" s="12" t="s">
        <v>755</v>
      </c>
      <c r="P1607" s="1">
        <v>61</v>
      </c>
      <c r="W1607" s="13"/>
      <c r="X1607" s="13"/>
      <c r="Y1607" s="84"/>
      <c r="AB1607" s="1">
        <v>1906</v>
      </c>
      <c r="AC1607" s="82"/>
      <c r="AD1607" s="12" t="s">
        <v>864</v>
      </c>
      <c r="AE1607" s="39" t="str">
        <f t="shared" si="208"/>
        <v>6331,6332</v>
      </c>
      <c r="AF1607" s="12"/>
      <c r="AG1607" s="29"/>
      <c r="AH1607" s="29"/>
      <c r="AI1607" s="12"/>
      <c r="AJ1607" s="12"/>
      <c r="AK1607" s="12"/>
      <c r="AL1607" s="12"/>
      <c r="AM1607" s="12"/>
      <c r="AN1607" s="12" t="s">
        <v>2833</v>
      </c>
      <c r="AO1607" s="12"/>
      <c r="AP1607" s="12"/>
      <c r="AQ1607" s="8"/>
      <c r="AR1607" s="34"/>
      <c r="AS1607" s="34"/>
      <c r="AT1607" s="85"/>
      <c r="AU1607" s="12" t="s">
        <v>1945</v>
      </c>
      <c r="AW1607" s="39">
        <v>5</v>
      </c>
      <c r="AX1607" s="12">
        <f>VLOOKUP(AW1607,색인!$N$14:$O$19,2,FALSE)</f>
        <v>3</v>
      </c>
      <c r="AY1607" s="32" t="str">
        <f>"T"&amp;O1607&amp;"_"&amp;AX1607&amp;"옵션_"&amp;VLOOKUP(E1607,색인!$J$25:$K$29,2,FALSE)</f>
        <v>T6_3옵션_장신구</v>
      </c>
      <c r="AZ1607" s="32">
        <f>VLOOKUP(G1607,색인!$J$32:$K$45,2,FALSE)</f>
        <v>4</v>
      </c>
      <c r="BA1607" s="32" t="str">
        <f>_xlfn.IFNA(VLOOKUP(AY1607,표1[[검색용]:[OptionGroupIndex'[']22]],EquipItemTable!AZ1607,FALSE),"옵션고정안함")</f>
        <v>6331,6332</v>
      </c>
    </row>
    <row r="1608" spans="1:53" s="1" customFormat="1" ht="12" x14ac:dyDescent="0.2">
      <c r="A1608" s="10" t="s">
        <v>1279</v>
      </c>
      <c r="B1608" s="39">
        <v>82407</v>
      </c>
      <c r="C1608" s="42" t="s">
        <v>3981</v>
      </c>
      <c r="D1608" s="10" t="s">
        <v>2948</v>
      </c>
      <c r="E1608" s="10" t="s">
        <v>2</v>
      </c>
      <c r="F1608" s="1" t="s">
        <v>312</v>
      </c>
      <c r="G1608" s="1" t="s">
        <v>1316</v>
      </c>
      <c r="J1608" s="27"/>
      <c r="K1608" s="27"/>
      <c r="L1608" s="27"/>
      <c r="M1608" s="27"/>
      <c r="N1608" s="8"/>
      <c r="O1608" s="12" t="s">
        <v>747</v>
      </c>
      <c r="P1608" s="1">
        <v>61</v>
      </c>
      <c r="W1608" s="13"/>
      <c r="X1608" s="13"/>
      <c r="Y1608" s="84"/>
      <c r="AB1608" s="1">
        <v>1906</v>
      </c>
      <c r="AC1608" s="82"/>
      <c r="AD1608" s="12" t="s">
        <v>864</v>
      </c>
      <c r="AE1608" s="39" t="str">
        <f t="shared" si="208"/>
        <v>6331,6332</v>
      </c>
      <c r="AF1608" s="12"/>
      <c r="AG1608" s="29"/>
      <c r="AH1608" s="29"/>
      <c r="AI1608" s="12"/>
      <c r="AJ1608" s="12"/>
      <c r="AK1608" s="12"/>
      <c r="AL1608" s="12"/>
      <c r="AM1608" s="12"/>
      <c r="AN1608" s="12" t="s">
        <v>1228</v>
      </c>
      <c r="AO1608" s="12"/>
      <c r="AP1608" s="12"/>
      <c r="AQ1608" s="8"/>
      <c r="AR1608" s="34"/>
      <c r="AS1608" s="34"/>
      <c r="AT1608" s="85"/>
      <c r="AU1608" s="12" t="s">
        <v>1945</v>
      </c>
      <c r="AW1608" s="39">
        <v>5</v>
      </c>
      <c r="AX1608" s="12">
        <f>VLOOKUP(AW1608,색인!$N$14:$O$19,2,FALSE)</f>
        <v>3</v>
      </c>
      <c r="AY1608" s="32" t="str">
        <f>"T"&amp;O1608&amp;"_"&amp;AX1608&amp;"옵션_"&amp;VLOOKUP(E1608,색인!$J$25:$K$29,2,FALSE)</f>
        <v>T6_3옵션_장신구</v>
      </c>
      <c r="AZ1608" s="32">
        <f>VLOOKUP(G1608,색인!$J$32:$K$45,2,FALSE)</f>
        <v>4</v>
      </c>
      <c r="BA1608" s="32" t="str">
        <f>_xlfn.IFNA(VLOOKUP(AY1608,표1[[검색용]:[OptionGroupIndex'[']22]],EquipItemTable!AZ1608,FALSE),"옵션고정안함")</f>
        <v>6331,6332</v>
      </c>
    </row>
    <row r="1609" spans="1:53" s="1" customFormat="1" ht="12" x14ac:dyDescent="0.2">
      <c r="A1609" s="10" t="s">
        <v>1280</v>
      </c>
      <c r="B1609" s="39">
        <v>82408</v>
      </c>
      <c r="C1609" s="42" t="s">
        <v>3982</v>
      </c>
      <c r="D1609" s="10" t="s">
        <v>2948</v>
      </c>
      <c r="E1609" s="10" t="s">
        <v>2</v>
      </c>
      <c r="F1609" s="1" t="s">
        <v>312</v>
      </c>
      <c r="G1609" s="1" t="s">
        <v>1316</v>
      </c>
      <c r="J1609" s="27"/>
      <c r="K1609" s="27"/>
      <c r="L1609" s="27"/>
      <c r="M1609" s="27"/>
      <c r="N1609" s="8"/>
      <c r="O1609" s="12" t="s">
        <v>747</v>
      </c>
      <c r="P1609" s="1">
        <v>61</v>
      </c>
      <c r="W1609" s="13"/>
      <c r="X1609" s="13"/>
      <c r="Y1609" s="84"/>
      <c r="AB1609" s="1">
        <v>1906</v>
      </c>
      <c r="AC1609" s="82"/>
      <c r="AD1609" s="12" t="s">
        <v>864</v>
      </c>
      <c r="AE1609" s="39" t="str">
        <f t="shared" si="208"/>
        <v>6331,6332</v>
      </c>
      <c r="AF1609" s="12"/>
      <c r="AG1609" s="29"/>
      <c r="AH1609" s="29"/>
      <c r="AI1609" s="12"/>
      <c r="AJ1609" s="12"/>
      <c r="AK1609" s="12"/>
      <c r="AL1609" s="12"/>
      <c r="AM1609" s="12"/>
      <c r="AN1609" s="12" t="s">
        <v>1213</v>
      </c>
      <c r="AO1609" s="12"/>
      <c r="AP1609" s="12"/>
      <c r="AQ1609" s="8"/>
      <c r="AR1609" s="34"/>
      <c r="AS1609" s="34"/>
      <c r="AT1609" s="85"/>
      <c r="AU1609" s="12" t="s">
        <v>1945</v>
      </c>
      <c r="AW1609" s="39">
        <v>5</v>
      </c>
      <c r="AX1609" s="12">
        <f>VLOOKUP(AW1609,색인!$N$14:$O$19,2,FALSE)</f>
        <v>3</v>
      </c>
      <c r="AY1609" s="32" t="str">
        <f>"T"&amp;O1609&amp;"_"&amp;AX1609&amp;"옵션_"&amp;VLOOKUP(E1609,색인!$J$25:$K$29,2,FALSE)</f>
        <v>T6_3옵션_장신구</v>
      </c>
      <c r="AZ1609" s="32">
        <f>VLOOKUP(G1609,색인!$J$32:$K$45,2,FALSE)</f>
        <v>4</v>
      </c>
      <c r="BA1609" s="32" t="str">
        <f>_xlfn.IFNA(VLOOKUP(AY1609,표1[[검색용]:[OptionGroupIndex'[']22]],EquipItemTable!AZ1609,FALSE),"옵션고정안함")</f>
        <v>6331,6332</v>
      </c>
    </row>
    <row r="1610" spans="1:53" s="1" customFormat="1" ht="12" x14ac:dyDescent="0.2">
      <c r="A1610" s="10" t="s">
        <v>1281</v>
      </c>
      <c r="B1610" s="39">
        <v>82409</v>
      </c>
      <c r="C1610" s="42" t="s">
        <v>3983</v>
      </c>
      <c r="D1610" s="10" t="s">
        <v>2948</v>
      </c>
      <c r="E1610" s="10" t="s">
        <v>2</v>
      </c>
      <c r="F1610" s="1" t="s">
        <v>312</v>
      </c>
      <c r="G1610" s="1" t="s">
        <v>1316</v>
      </c>
      <c r="J1610" s="27"/>
      <c r="K1610" s="27"/>
      <c r="L1610" s="27"/>
      <c r="M1610" s="27"/>
      <c r="N1610" s="8"/>
      <c r="O1610" s="12" t="s">
        <v>747</v>
      </c>
      <c r="P1610" s="1">
        <v>61</v>
      </c>
      <c r="W1610" s="13"/>
      <c r="X1610" s="13"/>
      <c r="Y1610" s="84"/>
      <c r="AB1610" s="1">
        <v>1906</v>
      </c>
      <c r="AC1610" s="82"/>
      <c r="AD1610" s="12" t="s">
        <v>864</v>
      </c>
      <c r="AE1610" s="39" t="str">
        <f t="shared" si="208"/>
        <v>6331,6332</v>
      </c>
      <c r="AF1610" s="12"/>
      <c r="AG1610" s="29"/>
      <c r="AH1610" s="29"/>
      <c r="AI1610" s="12"/>
      <c r="AJ1610" s="12"/>
      <c r="AK1610" s="12"/>
      <c r="AL1610" s="12"/>
      <c r="AM1610" s="12"/>
      <c r="AN1610" s="12" t="s">
        <v>1214</v>
      </c>
      <c r="AO1610" s="12"/>
      <c r="AP1610" s="12"/>
      <c r="AQ1610" s="8"/>
      <c r="AR1610" s="34"/>
      <c r="AS1610" s="34"/>
      <c r="AT1610" s="85"/>
      <c r="AU1610" s="12" t="s">
        <v>1945</v>
      </c>
      <c r="AW1610" s="39">
        <v>5</v>
      </c>
      <c r="AX1610" s="12">
        <f>VLOOKUP(AW1610,색인!$N$14:$O$19,2,FALSE)</f>
        <v>3</v>
      </c>
      <c r="AY1610" s="32" t="str">
        <f>"T"&amp;O1610&amp;"_"&amp;AX1610&amp;"옵션_"&amp;VLOOKUP(E1610,색인!$J$25:$K$29,2,FALSE)</f>
        <v>T6_3옵션_장신구</v>
      </c>
      <c r="AZ1610" s="32">
        <f>VLOOKUP(G1610,색인!$J$32:$K$45,2,FALSE)</f>
        <v>4</v>
      </c>
      <c r="BA1610" s="32" t="str">
        <f>_xlfn.IFNA(VLOOKUP(AY1610,표1[[검색용]:[OptionGroupIndex'[']22]],EquipItemTable!AZ1610,FALSE),"옵션고정안함")</f>
        <v>6331,6332</v>
      </c>
    </row>
    <row r="1611" spans="1:53" s="1" customFormat="1" ht="12" x14ac:dyDescent="0.2">
      <c r="A1611" s="10" t="s">
        <v>1282</v>
      </c>
      <c r="B1611" s="39">
        <v>82410</v>
      </c>
      <c r="C1611" s="42" t="s">
        <v>3984</v>
      </c>
      <c r="D1611" s="10" t="s">
        <v>2948</v>
      </c>
      <c r="E1611" s="10" t="s">
        <v>2</v>
      </c>
      <c r="F1611" s="1" t="s">
        <v>312</v>
      </c>
      <c r="G1611" s="1" t="s">
        <v>1316</v>
      </c>
      <c r="J1611" s="27"/>
      <c r="K1611" s="27"/>
      <c r="L1611" s="27"/>
      <c r="M1611" s="27"/>
      <c r="N1611" s="8"/>
      <c r="O1611" s="12" t="s">
        <v>747</v>
      </c>
      <c r="P1611" s="1">
        <v>61</v>
      </c>
      <c r="W1611" s="13"/>
      <c r="X1611" s="13"/>
      <c r="Y1611" s="84"/>
      <c r="AB1611" s="1">
        <v>1906</v>
      </c>
      <c r="AC1611" s="82"/>
      <c r="AD1611" s="12" t="s">
        <v>864</v>
      </c>
      <c r="AE1611" s="39" t="str">
        <f t="shared" si="208"/>
        <v>6331,6332</v>
      </c>
      <c r="AF1611" s="12"/>
      <c r="AG1611" s="29"/>
      <c r="AH1611" s="29"/>
      <c r="AI1611" s="12"/>
      <c r="AJ1611" s="12"/>
      <c r="AK1611" s="12"/>
      <c r="AL1611" s="12"/>
      <c r="AM1611" s="12"/>
      <c r="AN1611" s="12" t="s">
        <v>1215</v>
      </c>
      <c r="AO1611" s="12"/>
      <c r="AP1611" s="12"/>
      <c r="AQ1611" s="8"/>
      <c r="AR1611" s="34"/>
      <c r="AS1611" s="34"/>
      <c r="AT1611" s="85"/>
      <c r="AU1611" s="12" t="s">
        <v>1945</v>
      </c>
      <c r="AW1611" s="39">
        <v>5</v>
      </c>
      <c r="AX1611" s="12">
        <f>VLOOKUP(AW1611,색인!$N$14:$O$19,2,FALSE)</f>
        <v>3</v>
      </c>
      <c r="AY1611" s="32" t="str">
        <f>"T"&amp;O1611&amp;"_"&amp;AX1611&amp;"옵션_"&amp;VLOOKUP(E1611,색인!$J$25:$K$29,2,FALSE)</f>
        <v>T6_3옵션_장신구</v>
      </c>
      <c r="AZ1611" s="32">
        <f>VLOOKUP(G1611,색인!$J$32:$K$45,2,FALSE)</f>
        <v>4</v>
      </c>
      <c r="BA1611" s="32" t="str">
        <f>_xlfn.IFNA(VLOOKUP(AY1611,표1[[검색용]:[OptionGroupIndex'[']22]],EquipItemTable!AZ1611,FALSE),"옵션고정안함")</f>
        <v>6331,6332</v>
      </c>
    </row>
    <row r="1612" spans="1:53" s="1" customFormat="1" ht="12" x14ac:dyDescent="0.2">
      <c r="A1612" s="10" t="s">
        <v>1283</v>
      </c>
      <c r="B1612" s="39">
        <v>82411</v>
      </c>
      <c r="C1612" s="42" t="s">
        <v>3985</v>
      </c>
      <c r="D1612" s="10" t="s">
        <v>2948</v>
      </c>
      <c r="E1612" s="10" t="s">
        <v>2</v>
      </c>
      <c r="F1612" s="1" t="s">
        <v>312</v>
      </c>
      <c r="G1612" s="1" t="s">
        <v>1316</v>
      </c>
      <c r="J1612" s="27"/>
      <c r="K1612" s="27"/>
      <c r="L1612" s="27"/>
      <c r="M1612" s="27"/>
      <c r="N1612" s="8"/>
      <c r="O1612" s="12" t="s">
        <v>747</v>
      </c>
      <c r="P1612" s="1">
        <v>61</v>
      </c>
      <c r="W1612" s="13"/>
      <c r="X1612" s="13"/>
      <c r="Y1612" s="84"/>
      <c r="AB1612" s="1">
        <v>1906</v>
      </c>
      <c r="AC1612" s="82"/>
      <c r="AD1612" s="12" t="s">
        <v>864</v>
      </c>
      <c r="AE1612" s="39" t="str">
        <f t="shared" si="208"/>
        <v>6331,6332</v>
      </c>
      <c r="AF1612" s="12"/>
      <c r="AG1612" s="29"/>
      <c r="AH1612" s="29"/>
      <c r="AI1612" s="12"/>
      <c r="AJ1612" s="12"/>
      <c r="AK1612" s="12"/>
      <c r="AL1612" s="12"/>
      <c r="AM1612" s="12"/>
      <c r="AN1612" s="12" t="s">
        <v>1216</v>
      </c>
      <c r="AO1612" s="12"/>
      <c r="AP1612" s="12"/>
      <c r="AQ1612" s="8"/>
      <c r="AR1612" s="34"/>
      <c r="AS1612" s="34"/>
      <c r="AT1612" s="85"/>
      <c r="AU1612" s="12" t="s">
        <v>1945</v>
      </c>
      <c r="AW1612" s="39">
        <v>5</v>
      </c>
      <c r="AX1612" s="12">
        <f>VLOOKUP(AW1612,색인!$N$14:$O$19,2,FALSE)</f>
        <v>3</v>
      </c>
      <c r="AY1612" s="32" t="str">
        <f>"T"&amp;O1612&amp;"_"&amp;AX1612&amp;"옵션_"&amp;VLOOKUP(E1612,색인!$J$25:$K$29,2,FALSE)</f>
        <v>T6_3옵션_장신구</v>
      </c>
      <c r="AZ1612" s="32">
        <f>VLOOKUP(G1612,색인!$J$32:$K$45,2,FALSE)</f>
        <v>4</v>
      </c>
      <c r="BA1612" s="32" t="str">
        <f>_xlfn.IFNA(VLOOKUP(AY1612,표1[[검색용]:[OptionGroupIndex'[']22]],EquipItemTable!AZ1612,FALSE),"옵션고정안함")</f>
        <v>6331,6332</v>
      </c>
    </row>
    <row r="1613" spans="1:53" s="1" customFormat="1" ht="12" x14ac:dyDescent="0.2">
      <c r="A1613" s="10" t="s">
        <v>1189</v>
      </c>
      <c r="B1613" s="39">
        <v>382001</v>
      </c>
      <c r="C1613" s="42" t="s">
        <v>3986</v>
      </c>
      <c r="D1613" s="10" t="s">
        <v>2948</v>
      </c>
      <c r="E1613" s="10" t="s">
        <v>2</v>
      </c>
      <c r="F1613" s="1" t="s">
        <v>312</v>
      </c>
      <c r="G1613" s="1" t="s">
        <v>1316</v>
      </c>
      <c r="J1613" s="27"/>
      <c r="K1613" s="27"/>
      <c r="L1613" s="27"/>
      <c r="M1613" s="27"/>
      <c r="N1613" s="8"/>
      <c r="O1613" s="12" t="s">
        <v>755</v>
      </c>
      <c r="P1613" s="1">
        <v>61</v>
      </c>
      <c r="W1613" s="13"/>
      <c r="X1613" s="13"/>
      <c r="Y1613" s="84"/>
      <c r="AB1613" s="1">
        <v>1906</v>
      </c>
      <c r="AC1613" s="82"/>
      <c r="AD1613" s="12" t="s">
        <v>864</v>
      </c>
      <c r="AE1613" s="39" t="str">
        <f t="shared" si="208"/>
        <v>6331,6332</v>
      </c>
      <c r="AF1613" s="12"/>
      <c r="AG1613" s="29"/>
      <c r="AH1613" s="29"/>
      <c r="AI1613" s="12"/>
      <c r="AJ1613" s="12"/>
      <c r="AK1613" s="12"/>
      <c r="AL1613" s="12"/>
      <c r="AM1613" s="12"/>
      <c r="AN1613" s="12" t="s">
        <v>1199</v>
      </c>
      <c r="AO1613" s="12"/>
      <c r="AP1613" s="12"/>
      <c r="AQ1613" s="8"/>
      <c r="AR1613" s="34"/>
      <c r="AS1613" s="34"/>
      <c r="AT1613" s="85"/>
      <c r="AU1613" s="12" t="s">
        <v>1945</v>
      </c>
      <c r="AW1613" s="39">
        <v>5</v>
      </c>
      <c r="AX1613" s="12">
        <f>VLOOKUP(AW1613,색인!$N$14:$O$19,2,FALSE)</f>
        <v>3</v>
      </c>
      <c r="AY1613" s="32" t="str">
        <f>"T"&amp;O1613&amp;"_"&amp;AX1613&amp;"옵션_"&amp;VLOOKUP(E1613,색인!$J$25:$K$29,2,FALSE)</f>
        <v>T6_3옵션_장신구</v>
      </c>
      <c r="AZ1613" s="32">
        <f>VLOOKUP(G1613,색인!$J$32:$K$45,2,FALSE)</f>
        <v>4</v>
      </c>
      <c r="BA1613" s="32" t="str">
        <f>_xlfn.IFNA(VLOOKUP(AY1613,표1[[검색용]:[OptionGroupIndex'[']22]],EquipItemTable!AZ1613,FALSE),"옵션고정안함")</f>
        <v>6331,6332</v>
      </c>
    </row>
    <row r="1614" spans="1:53" s="1" customFormat="1" ht="12" x14ac:dyDescent="0.2">
      <c r="A1614" s="10" t="s">
        <v>1588</v>
      </c>
      <c r="B1614" s="39">
        <v>382002</v>
      </c>
      <c r="C1614" s="42" t="s">
        <v>3987</v>
      </c>
      <c r="D1614" s="10" t="s">
        <v>2948</v>
      </c>
      <c r="E1614" s="10" t="s">
        <v>2</v>
      </c>
      <c r="F1614" s="1" t="s">
        <v>312</v>
      </c>
      <c r="G1614" s="1" t="s">
        <v>1316</v>
      </c>
      <c r="J1614" s="27"/>
      <c r="K1614" s="27"/>
      <c r="L1614" s="27"/>
      <c r="M1614" s="27"/>
      <c r="N1614" s="8"/>
      <c r="O1614" s="32">
        <v>6</v>
      </c>
      <c r="P1614" s="23">
        <v>61</v>
      </c>
      <c r="W1614" s="13"/>
      <c r="X1614" s="13"/>
      <c r="Y1614" s="84"/>
      <c r="AB1614" s="1">
        <v>1993</v>
      </c>
      <c r="AC1614" s="82"/>
      <c r="AD1614" s="12" t="s">
        <v>98</v>
      </c>
      <c r="AE1614" s="39" t="s">
        <v>430</v>
      </c>
      <c r="AF1614" s="12"/>
      <c r="AG1614" s="29"/>
      <c r="AH1614" s="29"/>
      <c r="AI1614" s="12"/>
      <c r="AJ1614" s="12"/>
      <c r="AK1614" s="12"/>
      <c r="AL1614" s="12"/>
      <c r="AM1614" s="12"/>
      <c r="AN1614" s="12" t="s">
        <v>1295</v>
      </c>
      <c r="AO1614" s="12"/>
      <c r="AP1614" s="12"/>
      <c r="AQ1614" s="8"/>
      <c r="AR1614" s="34"/>
      <c r="AS1614" s="34"/>
      <c r="AT1614" s="85"/>
      <c r="AU1614" s="12" t="s">
        <v>1936</v>
      </c>
      <c r="AW1614" s="39">
        <v>6</v>
      </c>
      <c r="AX1614" s="12">
        <f>VLOOKUP(AW1614,색인!$N$14:$O$19,2,FALSE)</f>
        <v>4</v>
      </c>
      <c r="AY1614" s="32" t="str">
        <f>"T"&amp;O1614&amp;"_"&amp;AX1614&amp;"옵션_"&amp;VLOOKUP(E1614,색인!$J$25:$K$29,2,FALSE)</f>
        <v>T6_4옵션_장신구</v>
      </c>
      <c r="AZ1614" s="32">
        <f>VLOOKUP(G1614,색인!$J$32:$K$45,2,FALSE)</f>
        <v>4</v>
      </c>
      <c r="BA1614" s="32" t="str">
        <f>_xlfn.IFNA(VLOOKUP(AY1614,표1[[검색용]:[OptionGroupIndex'[']22]],EquipItemTable!AZ1614,FALSE),"옵션고정안함")</f>
        <v>6431,6432</v>
      </c>
    </row>
    <row r="1615" spans="1:53" s="27" customFormat="1" ht="12" x14ac:dyDescent="0.2">
      <c r="A1615" s="25" t="s">
        <v>1589</v>
      </c>
      <c r="B1615" s="39">
        <v>82412</v>
      </c>
      <c r="C1615" s="42" t="s">
        <v>3988</v>
      </c>
      <c r="D1615" s="26" t="s">
        <v>2948</v>
      </c>
      <c r="E1615" s="26" t="s">
        <v>2</v>
      </c>
      <c r="F1615" s="27" t="s">
        <v>312</v>
      </c>
      <c r="G1615" s="27" t="s">
        <v>1606</v>
      </c>
      <c r="N1615" s="8"/>
      <c r="O1615" s="29" t="s">
        <v>1338</v>
      </c>
      <c r="P1615" s="27">
        <v>71</v>
      </c>
      <c r="AB1615" s="27">
        <v>1864</v>
      </c>
      <c r="AC1615" s="82"/>
      <c r="AD1615" s="29" t="s">
        <v>1377</v>
      </c>
      <c r="AE1615" s="29" t="s">
        <v>1337</v>
      </c>
      <c r="AF1615" s="29"/>
      <c r="AG1615" s="29"/>
      <c r="AH1615" s="29"/>
      <c r="AQ1615" s="85"/>
      <c r="AT1615" s="85"/>
      <c r="AU1615" s="29">
        <v>1001</v>
      </c>
      <c r="AW1615" s="39">
        <v>1</v>
      </c>
      <c r="AX1615" s="12"/>
      <c r="AY1615" s="32"/>
      <c r="AZ1615" s="32"/>
      <c r="BA1615" s="32"/>
    </row>
    <row r="1616" spans="1:53" s="27" customFormat="1" ht="12" x14ac:dyDescent="0.2">
      <c r="A1616" s="25" t="s">
        <v>1590</v>
      </c>
      <c r="B1616" s="39">
        <v>82413</v>
      </c>
      <c r="C1616" s="42" t="s">
        <v>3989</v>
      </c>
      <c r="D1616" s="26" t="s">
        <v>2948</v>
      </c>
      <c r="E1616" s="26" t="s">
        <v>2</v>
      </c>
      <c r="F1616" s="27" t="s">
        <v>312</v>
      </c>
      <c r="G1616" s="27" t="s">
        <v>1606</v>
      </c>
      <c r="N1616" s="8"/>
      <c r="O1616" s="29" t="s">
        <v>1338</v>
      </c>
      <c r="P1616" s="27">
        <v>71</v>
      </c>
      <c r="AB1616" s="27">
        <v>2169</v>
      </c>
      <c r="AC1616" s="82"/>
      <c r="AD1616" s="29" t="s">
        <v>1377</v>
      </c>
      <c r="AE1616" s="92" t="str">
        <f t="shared" ref="AE1616:AE1625" si="209">BA1616</f>
        <v>7131,7132</v>
      </c>
      <c r="AF1616" s="29"/>
      <c r="AG1616" s="29"/>
      <c r="AH1616" s="29"/>
      <c r="AQ1616" s="85"/>
      <c r="AT1616" s="85"/>
      <c r="AU1616" s="29" t="s">
        <v>1939</v>
      </c>
      <c r="AW1616" s="39">
        <v>2</v>
      </c>
      <c r="AX1616" s="12">
        <f>VLOOKUP(AW1616,색인!$N$14:$O$19,2,FALSE)</f>
        <v>1</v>
      </c>
      <c r="AY1616" s="32" t="str">
        <f>"T"&amp;O1616&amp;"_"&amp;AX1616&amp;"옵션_"&amp;VLOOKUP(E1616,색인!$J$25:$K$29,2,FALSE)</f>
        <v>T7_1옵션_장신구</v>
      </c>
      <c r="AZ1616" s="32">
        <f>VLOOKUP(G1616,색인!$J$32:$K$45,2,FALSE)</f>
        <v>4</v>
      </c>
      <c r="BA1616" s="32" t="str">
        <f>_xlfn.IFNA(VLOOKUP(AY1616,표1[[검색용]:[OptionGroupIndex'[']22]],EquipItemTable!AZ1616,FALSE),"옵션고정안함")</f>
        <v>7131,7132</v>
      </c>
    </row>
    <row r="1617" spans="1:53" s="27" customFormat="1" ht="12" x14ac:dyDescent="0.2">
      <c r="A1617" s="25" t="s">
        <v>1591</v>
      </c>
      <c r="B1617" s="39">
        <v>82414</v>
      </c>
      <c r="C1617" s="42" t="s">
        <v>3990</v>
      </c>
      <c r="D1617" s="26" t="s">
        <v>2948</v>
      </c>
      <c r="E1617" s="26" t="s">
        <v>2</v>
      </c>
      <c r="F1617" s="27" t="s">
        <v>312</v>
      </c>
      <c r="G1617" s="27" t="s">
        <v>1606</v>
      </c>
      <c r="N1617" s="8"/>
      <c r="O1617" s="29" t="s">
        <v>1338</v>
      </c>
      <c r="P1617" s="27">
        <v>71</v>
      </c>
      <c r="AB1617" s="27">
        <v>2289</v>
      </c>
      <c r="AC1617" s="82"/>
      <c r="AD1617" s="29" t="s">
        <v>1377</v>
      </c>
      <c r="AE1617" s="92" t="str">
        <f t="shared" si="209"/>
        <v>7231,7232</v>
      </c>
      <c r="AF1617" s="29"/>
      <c r="AG1617" s="29"/>
      <c r="AH1617" s="29"/>
      <c r="AQ1617" s="85"/>
      <c r="AT1617" s="85"/>
      <c r="AU1617" s="29" t="s">
        <v>1934</v>
      </c>
      <c r="AW1617" s="39">
        <v>3</v>
      </c>
      <c r="AX1617" s="12">
        <f>VLOOKUP(AW1617,색인!$N$14:$O$19,2,FALSE)</f>
        <v>2</v>
      </c>
      <c r="AY1617" s="32" t="str">
        <f>"T"&amp;O1617&amp;"_"&amp;AX1617&amp;"옵션_"&amp;VLOOKUP(E1617,색인!$J$25:$K$29,2,FALSE)</f>
        <v>T7_2옵션_장신구</v>
      </c>
      <c r="AZ1617" s="32">
        <f>VLOOKUP(G1617,색인!$J$32:$K$45,2,FALSE)</f>
        <v>4</v>
      </c>
      <c r="BA1617" s="32" t="str">
        <f>_xlfn.IFNA(VLOOKUP(AY1617,표1[[검색용]:[OptionGroupIndex'[']22]],EquipItemTable!AZ1617,FALSE),"옵션고정안함")</f>
        <v>7231,7232</v>
      </c>
    </row>
    <row r="1618" spans="1:53" s="27" customFormat="1" ht="12" x14ac:dyDescent="0.2">
      <c r="A1618" s="25" t="s">
        <v>1592</v>
      </c>
      <c r="B1618" s="39">
        <v>82415</v>
      </c>
      <c r="C1618" s="42" t="s">
        <v>3991</v>
      </c>
      <c r="D1618" s="26" t="s">
        <v>2948</v>
      </c>
      <c r="E1618" s="26" t="s">
        <v>2</v>
      </c>
      <c r="F1618" s="27" t="s">
        <v>312</v>
      </c>
      <c r="G1618" s="27" t="s">
        <v>1606</v>
      </c>
      <c r="N1618" s="8"/>
      <c r="O1618" s="29" t="s">
        <v>1338</v>
      </c>
      <c r="P1618" s="27">
        <v>71</v>
      </c>
      <c r="AB1618" s="27">
        <v>2502</v>
      </c>
      <c r="AC1618" s="82"/>
      <c r="AD1618" s="29" t="s">
        <v>1377</v>
      </c>
      <c r="AE1618" s="92" t="str">
        <f t="shared" si="209"/>
        <v>7331,7332</v>
      </c>
      <c r="AF1618" s="29"/>
      <c r="AG1618" s="29"/>
      <c r="AH1618" s="29"/>
      <c r="AQ1618" s="85"/>
      <c r="AT1618" s="85"/>
      <c r="AU1618" s="29" t="s">
        <v>1935</v>
      </c>
      <c r="AW1618" s="39">
        <v>4</v>
      </c>
      <c r="AX1618" s="12">
        <f>VLOOKUP(AW1618,색인!$N$14:$O$19,2,FALSE)</f>
        <v>3</v>
      </c>
      <c r="AY1618" s="32" t="str">
        <f>"T"&amp;O1618&amp;"_"&amp;AX1618&amp;"옵션_"&amp;VLOOKUP(E1618,색인!$J$25:$K$29,2,FALSE)</f>
        <v>T7_3옵션_장신구</v>
      </c>
      <c r="AZ1618" s="32">
        <f>VLOOKUP(G1618,색인!$J$32:$K$45,2,FALSE)</f>
        <v>4</v>
      </c>
      <c r="BA1618" s="32" t="str">
        <f>_xlfn.IFNA(VLOOKUP(AY1618,표1[[검색용]:[OptionGroupIndex'[']22]],EquipItemTable!AZ1618,FALSE),"옵션고정안함")</f>
        <v>7331,7332</v>
      </c>
    </row>
    <row r="1619" spans="1:53" s="27" customFormat="1" ht="12" x14ac:dyDescent="0.2">
      <c r="A1619" s="25" t="s">
        <v>1593</v>
      </c>
      <c r="B1619" s="39">
        <v>82416</v>
      </c>
      <c r="C1619" s="42" t="s">
        <v>3980</v>
      </c>
      <c r="D1619" s="26" t="s">
        <v>2948</v>
      </c>
      <c r="E1619" s="26" t="s">
        <v>2</v>
      </c>
      <c r="F1619" s="27" t="s">
        <v>312</v>
      </c>
      <c r="G1619" s="27" t="s">
        <v>1606</v>
      </c>
      <c r="N1619" s="8"/>
      <c r="O1619" s="29" t="s">
        <v>1338</v>
      </c>
      <c r="P1619" s="27">
        <v>71</v>
      </c>
      <c r="AB1619" s="27">
        <v>2752</v>
      </c>
      <c r="AC1619" s="82"/>
      <c r="AD1619" s="29" t="s">
        <v>1377</v>
      </c>
      <c r="AE1619" s="92" t="str">
        <f t="shared" si="209"/>
        <v>7331,7332</v>
      </c>
      <c r="AF1619" s="29"/>
      <c r="AG1619" s="29"/>
      <c r="AH1619" s="29"/>
      <c r="AN1619" s="27">
        <v>103</v>
      </c>
      <c r="AQ1619" s="85"/>
      <c r="AT1619" s="85"/>
      <c r="AU1619" s="29" t="s">
        <v>1945</v>
      </c>
      <c r="AW1619" s="39">
        <v>5</v>
      </c>
      <c r="AX1619" s="12">
        <f>VLOOKUP(AW1619,색인!$N$14:$O$19,2,FALSE)</f>
        <v>3</v>
      </c>
      <c r="AY1619" s="32" t="str">
        <f>"T"&amp;O1619&amp;"_"&amp;AX1619&amp;"옵션_"&amp;VLOOKUP(E1619,색인!$J$25:$K$29,2,FALSE)</f>
        <v>T7_3옵션_장신구</v>
      </c>
      <c r="AZ1619" s="32">
        <f>VLOOKUP(G1619,색인!$J$32:$K$45,2,FALSE)</f>
        <v>4</v>
      </c>
      <c r="BA1619" s="32" t="str">
        <f>_xlfn.IFNA(VLOOKUP(AY1619,표1[[검색용]:[OptionGroupIndex'[']22]],EquipItemTable!AZ1619,FALSE),"옵션고정안함")</f>
        <v>7331,7332</v>
      </c>
    </row>
    <row r="1620" spans="1:53" s="27" customFormat="1" ht="12" x14ac:dyDescent="0.2">
      <c r="A1620" s="25" t="s">
        <v>1594</v>
      </c>
      <c r="B1620" s="39">
        <v>82417</v>
      </c>
      <c r="C1620" s="42" t="s">
        <v>3982</v>
      </c>
      <c r="D1620" s="26" t="s">
        <v>2948</v>
      </c>
      <c r="E1620" s="26" t="s">
        <v>2</v>
      </c>
      <c r="F1620" s="27" t="s">
        <v>312</v>
      </c>
      <c r="G1620" s="27" t="s">
        <v>1606</v>
      </c>
      <c r="N1620" s="8"/>
      <c r="O1620" s="29" t="s">
        <v>1338</v>
      </c>
      <c r="P1620" s="27">
        <v>71</v>
      </c>
      <c r="AB1620" s="27">
        <v>2752</v>
      </c>
      <c r="AC1620" s="82"/>
      <c r="AD1620" s="29" t="s">
        <v>1377</v>
      </c>
      <c r="AE1620" s="92" t="str">
        <f t="shared" si="209"/>
        <v>7331,7332</v>
      </c>
      <c r="AF1620" s="29"/>
      <c r="AG1620" s="29"/>
      <c r="AH1620" s="29"/>
      <c r="AN1620" s="27">
        <v>202</v>
      </c>
      <c r="AQ1620" s="85"/>
      <c r="AT1620" s="85"/>
      <c r="AU1620" s="29" t="s">
        <v>1945</v>
      </c>
      <c r="AW1620" s="39">
        <v>5</v>
      </c>
      <c r="AX1620" s="12">
        <f>VLOOKUP(AW1620,색인!$N$14:$O$19,2,FALSE)</f>
        <v>3</v>
      </c>
      <c r="AY1620" s="32" t="str">
        <f>"T"&amp;O1620&amp;"_"&amp;AX1620&amp;"옵션_"&amp;VLOOKUP(E1620,색인!$J$25:$K$29,2,FALSE)</f>
        <v>T7_3옵션_장신구</v>
      </c>
      <c r="AZ1620" s="32">
        <f>VLOOKUP(G1620,색인!$J$32:$K$45,2,FALSE)</f>
        <v>4</v>
      </c>
      <c r="BA1620" s="32" t="str">
        <f>_xlfn.IFNA(VLOOKUP(AY1620,표1[[검색용]:[OptionGroupIndex'[']22]],EquipItemTable!AZ1620,FALSE),"옵션고정안함")</f>
        <v>7331,7332</v>
      </c>
    </row>
    <row r="1621" spans="1:53" s="27" customFormat="1" ht="12" x14ac:dyDescent="0.2">
      <c r="A1621" s="25" t="s">
        <v>1595</v>
      </c>
      <c r="B1621" s="39">
        <v>82418</v>
      </c>
      <c r="C1621" s="42" t="s">
        <v>3983</v>
      </c>
      <c r="D1621" s="26" t="s">
        <v>2948</v>
      </c>
      <c r="E1621" s="26" t="s">
        <v>2</v>
      </c>
      <c r="F1621" s="27" t="s">
        <v>312</v>
      </c>
      <c r="G1621" s="27" t="s">
        <v>1606</v>
      </c>
      <c r="N1621" s="8"/>
      <c r="O1621" s="29" t="s">
        <v>1338</v>
      </c>
      <c r="P1621" s="27">
        <v>71</v>
      </c>
      <c r="AB1621" s="27">
        <v>2752</v>
      </c>
      <c r="AC1621" s="82"/>
      <c r="AD1621" s="29" t="s">
        <v>1377</v>
      </c>
      <c r="AE1621" s="92" t="str">
        <f t="shared" si="209"/>
        <v>7331,7332</v>
      </c>
      <c r="AF1621" s="29"/>
      <c r="AG1621" s="29"/>
      <c r="AH1621" s="29"/>
      <c r="AN1621" s="27">
        <v>203</v>
      </c>
      <c r="AQ1621" s="85"/>
      <c r="AT1621" s="85"/>
      <c r="AU1621" s="29" t="s">
        <v>1945</v>
      </c>
      <c r="AW1621" s="39">
        <v>5</v>
      </c>
      <c r="AX1621" s="12">
        <f>VLOOKUP(AW1621,색인!$N$14:$O$19,2,FALSE)</f>
        <v>3</v>
      </c>
      <c r="AY1621" s="32" t="str">
        <f>"T"&amp;O1621&amp;"_"&amp;AX1621&amp;"옵션_"&amp;VLOOKUP(E1621,색인!$J$25:$K$29,2,FALSE)</f>
        <v>T7_3옵션_장신구</v>
      </c>
      <c r="AZ1621" s="32">
        <f>VLOOKUP(G1621,색인!$J$32:$K$45,2,FALSE)</f>
        <v>4</v>
      </c>
      <c r="BA1621" s="32" t="str">
        <f>_xlfn.IFNA(VLOOKUP(AY1621,표1[[검색용]:[OptionGroupIndex'[']22]],EquipItemTable!AZ1621,FALSE),"옵션고정안함")</f>
        <v>7331,7332</v>
      </c>
    </row>
    <row r="1622" spans="1:53" s="27" customFormat="1" ht="12" x14ac:dyDescent="0.2">
      <c r="A1622" s="25" t="s">
        <v>1596</v>
      </c>
      <c r="B1622" s="39">
        <v>82419</v>
      </c>
      <c r="C1622" s="42" t="s">
        <v>3984</v>
      </c>
      <c r="D1622" s="26" t="s">
        <v>2948</v>
      </c>
      <c r="E1622" s="26" t="s">
        <v>2</v>
      </c>
      <c r="F1622" s="27" t="s">
        <v>312</v>
      </c>
      <c r="G1622" s="27" t="s">
        <v>1606</v>
      </c>
      <c r="J1622" s="1"/>
      <c r="K1622" s="1"/>
      <c r="L1622" s="1"/>
      <c r="M1622" s="1"/>
      <c r="N1622" s="8"/>
      <c r="O1622" s="29" t="s">
        <v>1338</v>
      </c>
      <c r="P1622" s="27">
        <v>71</v>
      </c>
      <c r="AB1622" s="27">
        <v>2752</v>
      </c>
      <c r="AC1622" s="82"/>
      <c r="AD1622" s="29" t="s">
        <v>1377</v>
      </c>
      <c r="AE1622" s="92" t="str">
        <f t="shared" si="209"/>
        <v>7331,7332</v>
      </c>
      <c r="AF1622" s="29"/>
      <c r="AG1622" s="12"/>
      <c r="AH1622" s="12"/>
      <c r="AN1622" s="27">
        <v>204</v>
      </c>
      <c r="AQ1622" s="85"/>
      <c r="AT1622" s="85"/>
      <c r="AU1622" s="29" t="s">
        <v>1945</v>
      </c>
      <c r="AW1622" s="39">
        <v>5</v>
      </c>
      <c r="AX1622" s="12">
        <f>VLOOKUP(AW1622,색인!$N$14:$O$19,2,FALSE)</f>
        <v>3</v>
      </c>
      <c r="AY1622" s="32" t="str">
        <f>"T"&amp;O1622&amp;"_"&amp;AX1622&amp;"옵션_"&amp;VLOOKUP(E1622,색인!$J$25:$K$29,2,FALSE)</f>
        <v>T7_3옵션_장신구</v>
      </c>
      <c r="AZ1622" s="32">
        <f>VLOOKUP(G1622,색인!$J$32:$K$45,2,FALSE)</f>
        <v>4</v>
      </c>
      <c r="BA1622" s="32" t="str">
        <f>_xlfn.IFNA(VLOOKUP(AY1622,표1[[검색용]:[OptionGroupIndex'[']22]],EquipItemTable!AZ1622,FALSE),"옵션고정안함")</f>
        <v>7331,7332</v>
      </c>
    </row>
    <row r="1623" spans="1:53" s="27" customFormat="1" ht="12" x14ac:dyDescent="0.2">
      <c r="A1623" s="25" t="s">
        <v>1597</v>
      </c>
      <c r="B1623" s="39">
        <v>82420</v>
      </c>
      <c r="C1623" s="42" t="s">
        <v>3985</v>
      </c>
      <c r="D1623" s="26" t="s">
        <v>2948</v>
      </c>
      <c r="E1623" s="26" t="s">
        <v>2</v>
      </c>
      <c r="F1623" s="27" t="s">
        <v>312</v>
      </c>
      <c r="G1623" s="27" t="s">
        <v>1606</v>
      </c>
      <c r="J1623" s="1"/>
      <c r="K1623" s="1"/>
      <c r="L1623" s="1"/>
      <c r="M1623" s="1"/>
      <c r="N1623" s="8"/>
      <c r="O1623" s="29" t="s">
        <v>1338</v>
      </c>
      <c r="P1623" s="27">
        <v>71</v>
      </c>
      <c r="AB1623" s="27">
        <v>2752</v>
      </c>
      <c r="AC1623" s="82"/>
      <c r="AD1623" s="29" t="s">
        <v>1377</v>
      </c>
      <c r="AE1623" s="92" t="str">
        <f t="shared" si="209"/>
        <v>7331,7332</v>
      </c>
      <c r="AF1623" s="29"/>
      <c r="AG1623" s="12"/>
      <c r="AH1623" s="12"/>
      <c r="AN1623" s="27">
        <v>205</v>
      </c>
      <c r="AQ1623" s="85"/>
      <c r="AT1623" s="85"/>
      <c r="AU1623" s="29" t="s">
        <v>1945</v>
      </c>
      <c r="AW1623" s="39">
        <v>5</v>
      </c>
      <c r="AX1623" s="12">
        <f>VLOOKUP(AW1623,색인!$N$14:$O$19,2,FALSE)</f>
        <v>3</v>
      </c>
      <c r="AY1623" s="32" t="str">
        <f>"T"&amp;O1623&amp;"_"&amp;AX1623&amp;"옵션_"&amp;VLOOKUP(E1623,색인!$J$25:$K$29,2,FALSE)</f>
        <v>T7_3옵션_장신구</v>
      </c>
      <c r="AZ1623" s="32">
        <f>VLOOKUP(G1623,색인!$J$32:$K$45,2,FALSE)</f>
        <v>4</v>
      </c>
      <c r="BA1623" s="32" t="str">
        <f>_xlfn.IFNA(VLOOKUP(AY1623,표1[[검색용]:[OptionGroupIndex'[']22]],EquipItemTable!AZ1623,FALSE),"옵션고정안함")</f>
        <v>7331,7332</v>
      </c>
    </row>
    <row r="1624" spans="1:53" s="27" customFormat="1" ht="12" x14ac:dyDescent="0.2">
      <c r="A1624" s="25" t="s">
        <v>1598</v>
      </c>
      <c r="B1624" s="39">
        <v>82421</v>
      </c>
      <c r="C1624" s="42" t="s">
        <v>3992</v>
      </c>
      <c r="D1624" s="26" t="s">
        <v>2948</v>
      </c>
      <c r="E1624" s="26" t="s">
        <v>2</v>
      </c>
      <c r="F1624" s="27" t="s">
        <v>312</v>
      </c>
      <c r="G1624" s="27" t="s">
        <v>1606</v>
      </c>
      <c r="J1624" s="1"/>
      <c r="K1624" s="1"/>
      <c r="L1624" s="1"/>
      <c r="M1624" s="1"/>
      <c r="N1624" s="8"/>
      <c r="O1624" s="29" t="s">
        <v>1338</v>
      </c>
      <c r="P1624" s="27">
        <v>71</v>
      </c>
      <c r="AB1624" s="27">
        <v>2752</v>
      </c>
      <c r="AC1624" s="82"/>
      <c r="AD1624" s="29" t="s">
        <v>1377</v>
      </c>
      <c r="AE1624" s="92" t="str">
        <f t="shared" si="209"/>
        <v>7331,7332</v>
      </c>
      <c r="AF1624" s="29"/>
      <c r="AG1624" s="12"/>
      <c r="AH1624" s="12"/>
      <c r="AN1624" s="27">
        <v>206</v>
      </c>
      <c r="AQ1624" s="85"/>
      <c r="AT1624" s="85"/>
      <c r="AU1624" s="29" t="s">
        <v>1945</v>
      </c>
      <c r="AW1624" s="39">
        <v>5</v>
      </c>
      <c r="AX1624" s="12">
        <f>VLOOKUP(AW1624,색인!$N$14:$O$19,2,FALSE)</f>
        <v>3</v>
      </c>
      <c r="AY1624" s="32" t="str">
        <f>"T"&amp;O1624&amp;"_"&amp;AX1624&amp;"옵션_"&amp;VLOOKUP(E1624,색인!$J$25:$K$29,2,FALSE)</f>
        <v>T7_3옵션_장신구</v>
      </c>
      <c r="AZ1624" s="32">
        <f>VLOOKUP(G1624,색인!$J$32:$K$45,2,FALSE)</f>
        <v>4</v>
      </c>
      <c r="BA1624" s="32" t="str">
        <f>_xlfn.IFNA(VLOOKUP(AY1624,표1[[검색용]:[OptionGroupIndex'[']22]],EquipItemTable!AZ1624,FALSE),"옵션고정안함")</f>
        <v>7331,7332</v>
      </c>
    </row>
    <row r="1625" spans="1:53" s="27" customFormat="1" ht="12" x14ac:dyDescent="0.2">
      <c r="A1625" s="25" t="s">
        <v>1599</v>
      </c>
      <c r="B1625" s="39">
        <v>82422</v>
      </c>
      <c r="C1625" s="42" t="s">
        <v>3993</v>
      </c>
      <c r="D1625" s="26" t="s">
        <v>2948</v>
      </c>
      <c r="E1625" s="26" t="s">
        <v>2</v>
      </c>
      <c r="F1625" s="27" t="s">
        <v>312</v>
      </c>
      <c r="G1625" s="27" t="s">
        <v>1606</v>
      </c>
      <c r="J1625" s="1"/>
      <c r="K1625" s="1"/>
      <c r="L1625" s="1"/>
      <c r="M1625" s="1"/>
      <c r="N1625" s="8"/>
      <c r="O1625" s="29" t="s">
        <v>1338</v>
      </c>
      <c r="P1625" s="27">
        <v>71</v>
      </c>
      <c r="AB1625" s="27">
        <v>2752</v>
      </c>
      <c r="AC1625" s="82"/>
      <c r="AD1625" s="29" t="s">
        <v>1377</v>
      </c>
      <c r="AE1625" s="92" t="str">
        <f t="shared" si="209"/>
        <v>7331,7332</v>
      </c>
      <c r="AF1625" s="29"/>
      <c r="AG1625" s="12"/>
      <c r="AH1625" s="12"/>
      <c r="AN1625" s="27">
        <v>207</v>
      </c>
      <c r="AQ1625" s="85"/>
      <c r="AT1625" s="85"/>
      <c r="AU1625" s="29" t="s">
        <v>1945</v>
      </c>
      <c r="AW1625" s="39">
        <v>5</v>
      </c>
      <c r="AX1625" s="12">
        <f>VLOOKUP(AW1625,색인!$N$14:$O$19,2,FALSE)</f>
        <v>3</v>
      </c>
      <c r="AY1625" s="32" t="str">
        <f>"T"&amp;O1625&amp;"_"&amp;AX1625&amp;"옵션_"&amp;VLOOKUP(E1625,색인!$J$25:$K$29,2,FALSE)</f>
        <v>T7_3옵션_장신구</v>
      </c>
      <c r="AZ1625" s="32">
        <f>VLOOKUP(G1625,색인!$J$32:$K$45,2,FALSE)</f>
        <v>4</v>
      </c>
      <c r="BA1625" s="32" t="str">
        <f>_xlfn.IFNA(VLOOKUP(AY1625,표1[[검색용]:[OptionGroupIndex'[']22]],EquipItemTable!AZ1625,FALSE),"옵션고정안함")</f>
        <v>7331,7332</v>
      </c>
    </row>
    <row r="1626" spans="1:53" s="27" customFormat="1" ht="12" x14ac:dyDescent="0.2">
      <c r="A1626" s="25" t="s">
        <v>1600</v>
      </c>
      <c r="B1626" s="39">
        <v>82423</v>
      </c>
      <c r="C1626" s="42" t="s">
        <v>3976</v>
      </c>
      <c r="D1626" s="26" t="s">
        <v>2948</v>
      </c>
      <c r="E1626" s="26" t="s">
        <v>2</v>
      </c>
      <c r="F1626" s="27" t="s">
        <v>312</v>
      </c>
      <c r="G1626" s="27" t="s">
        <v>1606</v>
      </c>
      <c r="J1626" s="1"/>
      <c r="K1626" s="1"/>
      <c r="L1626" s="1"/>
      <c r="M1626" s="1"/>
      <c r="N1626" s="8"/>
      <c r="O1626" s="29" t="s">
        <v>1338</v>
      </c>
      <c r="P1626" s="27">
        <v>71</v>
      </c>
      <c r="AB1626" s="27">
        <v>2841</v>
      </c>
      <c r="AC1626" s="82"/>
      <c r="AD1626" s="29" t="s">
        <v>1377</v>
      </c>
      <c r="AE1626" s="92" t="str">
        <f>BA1626</f>
        <v>7431,7432</v>
      </c>
      <c r="AF1626" s="29" t="s">
        <v>2185</v>
      </c>
      <c r="AG1626" s="12"/>
      <c r="AH1626" s="12"/>
      <c r="AN1626" s="27">
        <v>1</v>
      </c>
      <c r="AQ1626" s="85"/>
      <c r="AT1626" s="85"/>
      <c r="AU1626" s="12" t="s">
        <v>1936</v>
      </c>
      <c r="AW1626" s="39">
        <v>6</v>
      </c>
      <c r="AX1626" s="12">
        <f>VLOOKUP(AW1626,색인!$N$14:$O$19,2,FALSE)</f>
        <v>4</v>
      </c>
      <c r="AY1626" s="32" t="str">
        <f>"T"&amp;O1626&amp;"_"&amp;AX1626&amp;"옵션_"&amp;VLOOKUP(E1626,색인!$J$25:$K$29,2,FALSE)</f>
        <v>T7_4옵션_장신구</v>
      </c>
      <c r="AZ1626" s="32">
        <f>VLOOKUP(G1626,색인!$J$32:$K$45,2,FALSE)</f>
        <v>4</v>
      </c>
      <c r="BA1626" s="32" t="str">
        <f>_xlfn.IFNA(VLOOKUP(AY1626,표1[[검색용]:[OptionGroupIndex'[']22]],EquipItemTable!AZ1626,FALSE),"옵션고정안함")</f>
        <v>7431,7432</v>
      </c>
    </row>
    <row r="1627" spans="1:53" s="27" customFormat="1" ht="12" x14ac:dyDescent="0.2">
      <c r="A1627" s="25" t="s">
        <v>1601</v>
      </c>
      <c r="B1627" s="39">
        <v>82424</v>
      </c>
      <c r="C1627" s="42" t="s">
        <v>3977</v>
      </c>
      <c r="D1627" s="26" t="s">
        <v>2948</v>
      </c>
      <c r="E1627" s="26" t="s">
        <v>2</v>
      </c>
      <c r="F1627" s="27" t="s">
        <v>312</v>
      </c>
      <c r="G1627" s="27" t="s">
        <v>1606</v>
      </c>
      <c r="J1627" s="1"/>
      <c r="K1627" s="1"/>
      <c r="L1627" s="1"/>
      <c r="M1627" s="1"/>
      <c r="N1627" s="8"/>
      <c r="O1627" s="29" t="s">
        <v>1338</v>
      </c>
      <c r="P1627" s="27">
        <v>71</v>
      </c>
      <c r="AB1627" s="27">
        <v>2841</v>
      </c>
      <c r="AC1627" s="82"/>
      <c r="AD1627" s="29" t="s">
        <v>1377</v>
      </c>
      <c r="AE1627" s="92" t="str">
        <f>BA1627</f>
        <v>7431,7432</v>
      </c>
      <c r="AF1627" s="29" t="s">
        <v>2185</v>
      </c>
      <c r="AG1627" s="12"/>
      <c r="AH1627" s="12"/>
      <c r="AN1627" s="27">
        <v>2</v>
      </c>
      <c r="AQ1627" s="85"/>
      <c r="AT1627" s="85"/>
      <c r="AU1627" s="12" t="s">
        <v>1936</v>
      </c>
      <c r="AW1627" s="39">
        <v>6</v>
      </c>
      <c r="AX1627" s="12">
        <f>VLOOKUP(AW1627,색인!$N$14:$O$19,2,FALSE)</f>
        <v>4</v>
      </c>
      <c r="AY1627" s="32" t="str">
        <f>"T"&amp;O1627&amp;"_"&amp;AX1627&amp;"옵션_"&amp;VLOOKUP(E1627,색인!$J$25:$K$29,2,FALSE)</f>
        <v>T7_4옵션_장신구</v>
      </c>
      <c r="AZ1627" s="32">
        <f>VLOOKUP(G1627,색인!$J$32:$K$45,2,FALSE)</f>
        <v>4</v>
      </c>
      <c r="BA1627" s="32" t="str">
        <f>_xlfn.IFNA(VLOOKUP(AY1627,표1[[검색용]:[OptionGroupIndex'[']22]],EquipItemTable!AZ1627,FALSE),"옵션고정안함")</f>
        <v>7431,7432</v>
      </c>
    </row>
    <row r="1628" spans="1:53" s="27" customFormat="1" ht="12" x14ac:dyDescent="0.2">
      <c r="A1628" s="25" t="s">
        <v>1602</v>
      </c>
      <c r="B1628" s="39">
        <v>82425</v>
      </c>
      <c r="C1628" s="42" t="s">
        <v>3978</v>
      </c>
      <c r="D1628" s="26" t="s">
        <v>2948</v>
      </c>
      <c r="E1628" s="26" t="s">
        <v>2</v>
      </c>
      <c r="F1628" s="27" t="s">
        <v>312</v>
      </c>
      <c r="G1628" s="27" t="s">
        <v>1606</v>
      </c>
      <c r="J1628" s="1"/>
      <c r="K1628" s="1"/>
      <c r="L1628" s="1"/>
      <c r="M1628" s="1"/>
      <c r="N1628" s="8"/>
      <c r="O1628" s="29" t="s">
        <v>1338</v>
      </c>
      <c r="P1628" s="27">
        <v>71</v>
      </c>
      <c r="AB1628" s="27">
        <v>2841</v>
      </c>
      <c r="AC1628" s="82"/>
      <c r="AD1628" s="29" t="s">
        <v>1377</v>
      </c>
      <c r="AE1628" s="92" t="str">
        <f>BA1628</f>
        <v>7431,7432</v>
      </c>
      <c r="AF1628" s="29" t="s">
        <v>2185</v>
      </c>
      <c r="AG1628" s="12"/>
      <c r="AH1628" s="12"/>
      <c r="AN1628" s="27">
        <v>3</v>
      </c>
      <c r="AQ1628" s="85"/>
      <c r="AT1628" s="85"/>
      <c r="AU1628" s="12" t="s">
        <v>1936</v>
      </c>
      <c r="AW1628" s="39">
        <v>6</v>
      </c>
      <c r="AX1628" s="12">
        <f>VLOOKUP(AW1628,색인!$N$14:$O$19,2,FALSE)</f>
        <v>4</v>
      </c>
      <c r="AY1628" s="32" t="str">
        <f>"T"&amp;O1628&amp;"_"&amp;AX1628&amp;"옵션_"&amp;VLOOKUP(E1628,색인!$J$25:$K$29,2,FALSE)</f>
        <v>T7_4옵션_장신구</v>
      </c>
      <c r="AZ1628" s="32">
        <f>VLOOKUP(G1628,색인!$J$32:$K$45,2,FALSE)</f>
        <v>4</v>
      </c>
      <c r="BA1628" s="32" t="str">
        <f>_xlfn.IFNA(VLOOKUP(AY1628,표1[[검색용]:[OptionGroupIndex'[']22]],EquipItemTable!AZ1628,FALSE),"옵션고정안함")</f>
        <v>7431,7432</v>
      </c>
    </row>
    <row r="1629" spans="1:53" s="27" customFormat="1" ht="12" x14ac:dyDescent="0.2">
      <c r="A1629" s="25" t="s">
        <v>1603</v>
      </c>
      <c r="B1629" s="39">
        <v>82426</v>
      </c>
      <c r="C1629" s="42" t="s">
        <v>3979</v>
      </c>
      <c r="D1629" s="26" t="s">
        <v>2948</v>
      </c>
      <c r="E1629" s="26" t="s">
        <v>2</v>
      </c>
      <c r="F1629" s="27" t="s">
        <v>312</v>
      </c>
      <c r="G1629" s="27" t="s">
        <v>1606</v>
      </c>
      <c r="J1629" s="1"/>
      <c r="K1629" s="1"/>
      <c r="L1629" s="1"/>
      <c r="M1629" s="1"/>
      <c r="N1629" s="8"/>
      <c r="O1629" s="29" t="s">
        <v>1338</v>
      </c>
      <c r="P1629" s="27">
        <v>71</v>
      </c>
      <c r="AB1629" s="27">
        <v>2841</v>
      </c>
      <c r="AC1629" s="82"/>
      <c r="AD1629" s="29" t="s">
        <v>1377</v>
      </c>
      <c r="AE1629" s="92" t="str">
        <f>BA1629</f>
        <v>7431,7432</v>
      </c>
      <c r="AF1629" s="29" t="s">
        <v>2185</v>
      </c>
      <c r="AG1629" s="12"/>
      <c r="AH1629" s="12"/>
      <c r="AN1629" s="27">
        <v>4</v>
      </c>
      <c r="AQ1629" s="85"/>
      <c r="AT1629" s="85"/>
      <c r="AU1629" s="12" t="s">
        <v>1936</v>
      </c>
      <c r="AW1629" s="39">
        <v>6</v>
      </c>
      <c r="AX1629" s="12">
        <f>VLOOKUP(AW1629,색인!$N$14:$O$19,2,FALSE)</f>
        <v>4</v>
      </c>
      <c r="AY1629" s="32" t="str">
        <f>"T"&amp;O1629&amp;"_"&amp;AX1629&amp;"옵션_"&amp;VLOOKUP(E1629,색인!$J$25:$K$29,2,FALSE)</f>
        <v>T7_4옵션_장신구</v>
      </c>
      <c r="AZ1629" s="32">
        <f>VLOOKUP(G1629,색인!$J$32:$K$45,2,FALSE)</f>
        <v>4</v>
      </c>
      <c r="BA1629" s="32" t="str">
        <f>_xlfn.IFNA(VLOOKUP(AY1629,표1[[검색용]:[OptionGroupIndex'[']22]],EquipItemTable!AZ1629,FALSE),"옵션고정안함")</f>
        <v>7431,7432</v>
      </c>
    </row>
    <row r="1630" spans="1:53" s="27" customFormat="1" ht="12" x14ac:dyDescent="0.2">
      <c r="A1630" s="25" t="s">
        <v>1604</v>
      </c>
      <c r="B1630" s="39">
        <v>382003</v>
      </c>
      <c r="C1630" s="42" t="s">
        <v>3986</v>
      </c>
      <c r="D1630" s="26" t="s">
        <v>2948</v>
      </c>
      <c r="E1630" s="26" t="s">
        <v>2</v>
      </c>
      <c r="F1630" s="27" t="s">
        <v>312</v>
      </c>
      <c r="G1630" s="27" t="s">
        <v>1606</v>
      </c>
      <c r="J1630" s="1"/>
      <c r="K1630" s="1"/>
      <c r="L1630" s="1"/>
      <c r="M1630" s="1"/>
      <c r="N1630" s="8"/>
      <c r="O1630" s="29" t="s">
        <v>1338</v>
      </c>
      <c r="P1630" s="27">
        <v>71</v>
      </c>
      <c r="AB1630" s="27">
        <v>2752</v>
      </c>
      <c r="AC1630" s="82"/>
      <c r="AD1630" s="29" t="s">
        <v>1377</v>
      </c>
      <c r="AE1630" s="92" t="str">
        <f>BA1630</f>
        <v>7331,7332</v>
      </c>
      <c r="AF1630" s="29"/>
      <c r="AG1630" s="23"/>
      <c r="AH1630" s="23"/>
      <c r="AN1630" s="27">
        <v>101</v>
      </c>
      <c r="AQ1630" s="85"/>
      <c r="AT1630" s="85"/>
      <c r="AU1630" s="29" t="s">
        <v>1945</v>
      </c>
      <c r="AW1630" s="39">
        <v>5</v>
      </c>
      <c r="AX1630" s="12">
        <f>VLOOKUP(AW1630,색인!$N$14:$O$19,2,FALSE)</f>
        <v>3</v>
      </c>
      <c r="AY1630" s="32" t="str">
        <f>"T"&amp;O1630&amp;"_"&amp;AX1630&amp;"옵션_"&amp;VLOOKUP(E1630,색인!$J$25:$K$29,2,FALSE)</f>
        <v>T7_3옵션_장신구</v>
      </c>
      <c r="AZ1630" s="32">
        <f>VLOOKUP(G1630,색인!$J$32:$K$45,2,FALSE)</f>
        <v>4</v>
      </c>
      <c r="BA1630" s="32" t="str">
        <f>_xlfn.IFNA(VLOOKUP(AY1630,표1[[검색용]:[OptionGroupIndex'[']22]],EquipItemTable!AZ1630,FALSE),"옵션고정안함")</f>
        <v>7331,7332</v>
      </c>
    </row>
    <row r="1631" spans="1:53" s="27" customFormat="1" ht="12" x14ac:dyDescent="0.2">
      <c r="A1631" s="25" t="s">
        <v>1605</v>
      </c>
      <c r="B1631" s="39">
        <v>382004</v>
      </c>
      <c r="C1631" s="42" t="s">
        <v>3987</v>
      </c>
      <c r="D1631" s="26" t="s">
        <v>2948</v>
      </c>
      <c r="E1631" s="26" t="s">
        <v>2</v>
      </c>
      <c r="F1631" s="27" t="s">
        <v>312</v>
      </c>
      <c r="G1631" s="27" t="s">
        <v>1606</v>
      </c>
      <c r="J1631" s="1"/>
      <c r="K1631" s="1"/>
      <c r="L1631" s="1"/>
      <c r="M1631" s="1"/>
      <c r="N1631" s="8"/>
      <c r="O1631" s="29" t="s">
        <v>1338</v>
      </c>
      <c r="P1631" s="27">
        <v>71</v>
      </c>
      <c r="AB1631" s="27">
        <v>2841</v>
      </c>
      <c r="AC1631" s="82"/>
      <c r="AD1631" s="29" t="s">
        <v>1377</v>
      </c>
      <c r="AE1631" s="92" t="s">
        <v>2189</v>
      </c>
      <c r="AF1631" s="29" t="s">
        <v>2185</v>
      </c>
      <c r="AG1631" s="23"/>
      <c r="AH1631" s="23"/>
      <c r="AN1631" s="27">
        <v>102</v>
      </c>
      <c r="AQ1631" s="85"/>
      <c r="AT1631" s="85"/>
      <c r="AU1631" s="29" t="s">
        <v>1936</v>
      </c>
      <c r="AW1631" s="39">
        <v>6</v>
      </c>
      <c r="AX1631" s="12">
        <f>VLOOKUP(AW1631,색인!$N$14:$O$19,2,FALSE)</f>
        <v>4</v>
      </c>
      <c r="AY1631" s="32" t="str">
        <f>"T"&amp;O1631&amp;"_"&amp;AX1631&amp;"옵션_"&amp;VLOOKUP(E1631,색인!$J$25:$K$29,2,FALSE)</f>
        <v>T7_4옵션_장신구</v>
      </c>
      <c r="AZ1631" s="32">
        <f>VLOOKUP(G1631,색인!$J$32:$K$45,2,FALSE)</f>
        <v>4</v>
      </c>
      <c r="BA1631" s="32" t="str">
        <f>_xlfn.IFNA(VLOOKUP(AY1631,표1[[검색용]:[OptionGroupIndex'[']22]],EquipItemTable!AZ1631,FALSE),"옵션고정안함")</f>
        <v>7431,7432</v>
      </c>
    </row>
    <row r="1632" spans="1:53" ht="12" customHeight="1" x14ac:dyDescent="0.2">
      <c r="A1632" s="10" t="s">
        <v>295</v>
      </c>
      <c r="B1632" s="39">
        <v>83001</v>
      </c>
      <c r="C1632" s="42" t="s">
        <v>4</v>
      </c>
      <c r="D1632" s="10" t="s">
        <v>252</v>
      </c>
      <c r="E1632" s="10" t="s">
        <v>521</v>
      </c>
      <c r="F1632" s="1" t="s">
        <v>312</v>
      </c>
      <c r="G1632" s="1" t="s">
        <v>1317</v>
      </c>
      <c r="H1632" s="1"/>
      <c r="I1632" s="1"/>
      <c r="J1632" s="1"/>
      <c r="K1632" s="1"/>
      <c r="L1632" s="1"/>
      <c r="M1632" s="1"/>
      <c r="O1632" s="12" t="s">
        <v>94</v>
      </c>
      <c r="P1632" s="1">
        <v>1</v>
      </c>
      <c r="Q1632" s="1"/>
      <c r="R1632" s="1"/>
      <c r="S1632" s="1"/>
      <c r="T1632" s="1"/>
      <c r="U1632" s="1"/>
      <c r="V1632" s="1"/>
      <c r="W1632" s="1"/>
      <c r="X1632" s="1"/>
      <c r="Y1632" s="20"/>
      <c r="Z1632" s="1"/>
      <c r="AA1632" s="1">
        <v>30</v>
      </c>
      <c r="AB1632" s="1"/>
      <c r="AC1632" s="82"/>
      <c r="AD1632" s="12" t="s">
        <v>52</v>
      </c>
      <c r="AE1632" s="12" t="s">
        <v>94</v>
      </c>
      <c r="AG1632" s="23"/>
      <c r="AH1632" s="23"/>
      <c r="AN1632" s="12"/>
      <c r="AU1632" s="12" t="s">
        <v>1932</v>
      </c>
      <c r="AV1632" s="13" t="s">
        <v>4</v>
      </c>
      <c r="AW1632" s="39">
        <v>1</v>
      </c>
      <c r="AY1632" s="32"/>
      <c r="AZ1632" s="32"/>
      <c r="BA1632" s="32"/>
    </row>
    <row r="1633" spans="1:53" ht="12" customHeight="1" x14ac:dyDescent="0.2">
      <c r="A1633" s="10" t="s">
        <v>296</v>
      </c>
      <c r="B1633" s="39">
        <v>83002</v>
      </c>
      <c r="C1633" s="42" t="s">
        <v>3994</v>
      </c>
      <c r="D1633" s="10" t="s">
        <v>2949</v>
      </c>
      <c r="E1633" s="10" t="s">
        <v>2</v>
      </c>
      <c r="F1633" s="1" t="s">
        <v>312</v>
      </c>
      <c r="G1633" s="1" t="s">
        <v>1317</v>
      </c>
      <c r="H1633" s="1"/>
      <c r="I1633" s="1"/>
      <c r="J1633" s="1"/>
      <c r="K1633" s="1"/>
      <c r="L1633" s="1"/>
      <c r="M1633" s="1"/>
      <c r="O1633" s="12" t="s">
        <v>94</v>
      </c>
      <c r="P1633" s="1">
        <v>1</v>
      </c>
      <c r="Q1633" s="1"/>
      <c r="R1633" s="1"/>
      <c r="S1633" s="1"/>
      <c r="T1633" s="1"/>
      <c r="U1633" s="1"/>
      <c r="V1633" s="1"/>
      <c r="W1633" s="1"/>
      <c r="X1633" s="1"/>
      <c r="Y1633" s="20"/>
      <c r="Z1633" s="1"/>
      <c r="AA1633" s="1">
        <v>42</v>
      </c>
      <c r="AB1633" s="1"/>
      <c r="AC1633" s="82"/>
      <c r="AD1633" s="12" t="s">
        <v>52</v>
      </c>
      <c r="AE1633" s="39" t="str">
        <f t="shared" ref="AE1633:AE1635" si="210">BA1633</f>
        <v>1131,1132</v>
      </c>
      <c r="AG1633" s="23"/>
      <c r="AH1633" s="23"/>
      <c r="AN1633" s="12"/>
      <c r="AU1633" s="12" t="s">
        <v>1939</v>
      </c>
      <c r="AV1633" s="13"/>
      <c r="AW1633" s="39">
        <v>2</v>
      </c>
      <c r="AX1633" s="12">
        <f>VLOOKUP(AW1633,색인!$N$14:$O$19,2,FALSE)</f>
        <v>1</v>
      </c>
      <c r="AY1633" s="32" t="str">
        <f>"T"&amp;O1633&amp;"_"&amp;AX1633&amp;"옵션_"&amp;VLOOKUP(E1633,색인!$J$25:$K$29,2,FALSE)</f>
        <v>T1_1옵션_장신구</v>
      </c>
      <c r="AZ1633" s="32">
        <f>VLOOKUP(G1633,색인!$J$32:$K$45,2,FALSE)</f>
        <v>4</v>
      </c>
      <c r="BA1633" s="32" t="str">
        <f>_xlfn.IFNA(VLOOKUP(AY1633,표1[[검색용]:[OptionGroupIndex'[']22]],EquipItemTable!AZ1633,FALSE),"옵션고정안함")</f>
        <v>1131,1132</v>
      </c>
    </row>
    <row r="1634" spans="1:53" ht="12" customHeight="1" x14ac:dyDescent="0.2">
      <c r="A1634" s="10" t="s">
        <v>297</v>
      </c>
      <c r="B1634" s="39">
        <v>83003</v>
      </c>
      <c r="C1634" s="42" t="s">
        <v>3995</v>
      </c>
      <c r="D1634" s="10" t="s">
        <v>2949</v>
      </c>
      <c r="E1634" s="10" t="s">
        <v>2</v>
      </c>
      <c r="F1634" s="1" t="s">
        <v>522</v>
      </c>
      <c r="G1634" s="1" t="s">
        <v>1317</v>
      </c>
      <c r="H1634" s="1"/>
      <c r="I1634" s="1"/>
      <c r="J1634" s="1"/>
      <c r="K1634" s="1"/>
      <c r="L1634" s="1"/>
      <c r="M1634" s="1"/>
      <c r="N1634" s="81"/>
      <c r="O1634" s="12" t="s">
        <v>94</v>
      </c>
      <c r="P1634" s="1">
        <v>1</v>
      </c>
      <c r="Q1634" s="13"/>
      <c r="R1634" s="13"/>
      <c r="S1634" s="13"/>
      <c r="T1634" s="13"/>
      <c r="U1634" s="13"/>
      <c r="V1634" s="13"/>
      <c r="W1634" s="1"/>
      <c r="X1634" s="1"/>
      <c r="Y1634" s="84"/>
      <c r="Z1634" s="13"/>
      <c r="AA1634" s="1">
        <v>54</v>
      </c>
      <c r="AB1634" s="13"/>
      <c r="AC1634" s="82"/>
      <c r="AD1634" s="23" t="s">
        <v>52</v>
      </c>
      <c r="AE1634" s="39" t="str">
        <f t="shared" si="210"/>
        <v>1231,1232</v>
      </c>
      <c r="AG1634" s="23"/>
      <c r="AH1634" s="23"/>
      <c r="AI1634" s="23"/>
      <c r="AJ1634" s="23"/>
      <c r="AK1634" s="23"/>
      <c r="AL1634" s="23"/>
      <c r="AM1634" s="23"/>
      <c r="AN1634" s="23"/>
      <c r="AO1634" s="23"/>
      <c r="AP1634" s="23"/>
      <c r="AQ1634" s="81"/>
      <c r="AT1634" s="81"/>
      <c r="AU1634" s="12" t="s">
        <v>1940</v>
      </c>
      <c r="AV1634" s="13"/>
      <c r="AW1634" s="39">
        <v>3</v>
      </c>
      <c r="AX1634" s="12">
        <f>VLOOKUP(AW1634,색인!$N$14:$O$19,2,FALSE)</f>
        <v>2</v>
      </c>
      <c r="AY1634" s="32" t="str">
        <f>"T"&amp;O1634&amp;"_"&amp;AX1634&amp;"옵션_"&amp;VLOOKUP(E1634,색인!$J$25:$K$29,2,FALSE)</f>
        <v>T1_2옵션_장신구</v>
      </c>
      <c r="AZ1634" s="32">
        <f>VLOOKUP(G1634,색인!$J$32:$K$45,2,FALSE)</f>
        <v>4</v>
      </c>
      <c r="BA1634" s="32" t="str">
        <f>_xlfn.IFNA(VLOOKUP(AY1634,표1[[검색용]:[OptionGroupIndex'[']22]],EquipItemTable!AZ1634,FALSE),"옵션고정안함")</f>
        <v>1231,1232</v>
      </c>
    </row>
    <row r="1635" spans="1:53" ht="12" customHeight="1" x14ac:dyDescent="0.2">
      <c r="A1635" s="10" t="s">
        <v>536</v>
      </c>
      <c r="B1635" s="39">
        <v>83004</v>
      </c>
      <c r="C1635" s="42" t="s">
        <v>3996</v>
      </c>
      <c r="D1635" s="10" t="s">
        <v>2949</v>
      </c>
      <c r="E1635" s="10" t="s">
        <v>2</v>
      </c>
      <c r="F1635" s="1" t="s">
        <v>312</v>
      </c>
      <c r="G1635" s="1" t="s">
        <v>1317</v>
      </c>
      <c r="H1635" s="1"/>
      <c r="I1635" s="1"/>
      <c r="J1635" s="1"/>
      <c r="K1635" s="1"/>
      <c r="L1635" s="1"/>
      <c r="M1635" s="1"/>
      <c r="N1635" s="81"/>
      <c r="O1635" s="12" t="s">
        <v>428</v>
      </c>
      <c r="P1635" s="1">
        <v>1</v>
      </c>
      <c r="Q1635" s="13"/>
      <c r="R1635" s="13"/>
      <c r="S1635" s="13"/>
      <c r="T1635" s="13"/>
      <c r="U1635" s="13"/>
      <c r="V1635" s="13"/>
      <c r="W1635" s="1"/>
      <c r="X1635" s="1"/>
      <c r="Y1635" s="84"/>
      <c r="Z1635" s="13"/>
      <c r="AA1635" s="1">
        <v>70</v>
      </c>
      <c r="AB1635" s="13"/>
      <c r="AC1635" s="82"/>
      <c r="AD1635" s="23"/>
      <c r="AE1635" s="39" t="str">
        <f t="shared" si="210"/>
        <v>1331,1332</v>
      </c>
      <c r="AG1635" s="23"/>
      <c r="AH1635" s="23"/>
      <c r="AI1635" s="23"/>
      <c r="AJ1635" s="23"/>
      <c r="AK1635" s="23"/>
      <c r="AL1635" s="23"/>
      <c r="AM1635" s="23"/>
      <c r="AN1635" s="23"/>
      <c r="AO1635" s="23"/>
      <c r="AP1635" s="23"/>
      <c r="AQ1635" s="81"/>
      <c r="AT1635" s="81"/>
      <c r="AU1635" s="12" t="s">
        <v>1941</v>
      </c>
      <c r="AV1635" s="13"/>
      <c r="AW1635" s="39">
        <v>4</v>
      </c>
      <c r="AX1635" s="12">
        <f>VLOOKUP(AW1635,색인!$N$14:$O$19,2,FALSE)</f>
        <v>3</v>
      </c>
      <c r="AY1635" s="32" t="str">
        <f>"T"&amp;O1635&amp;"_"&amp;AX1635&amp;"옵션_"&amp;VLOOKUP(E1635,색인!$J$25:$K$29,2,FALSE)</f>
        <v>T1_3옵션_장신구</v>
      </c>
      <c r="AZ1635" s="32">
        <f>VLOOKUP(G1635,색인!$J$32:$K$45,2,FALSE)</f>
        <v>4</v>
      </c>
      <c r="BA1635" s="32" t="str">
        <f>_xlfn.IFNA(VLOOKUP(AY1635,표1[[검색용]:[OptionGroupIndex'[']22]],EquipItemTable!AZ1635,FALSE),"옵션고정안함")</f>
        <v>1331,1332</v>
      </c>
    </row>
    <row r="1636" spans="1:53" ht="12" customHeight="1" x14ac:dyDescent="0.2">
      <c r="A1636" s="10" t="s">
        <v>298</v>
      </c>
      <c r="B1636" s="39">
        <v>83005</v>
      </c>
      <c r="C1636" s="42" t="s">
        <v>3997</v>
      </c>
      <c r="D1636" s="10" t="s">
        <v>2949</v>
      </c>
      <c r="E1636" s="10" t="s">
        <v>2</v>
      </c>
      <c r="F1636" s="1" t="s">
        <v>312</v>
      </c>
      <c r="G1636" s="1" t="s">
        <v>1317</v>
      </c>
      <c r="H1636" s="1"/>
      <c r="I1636" s="1"/>
      <c r="J1636" s="1"/>
      <c r="K1636" s="1"/>
      <c r="L1636" s="1"/>
      <c r="M1636" s="1"/>
      <c r="N1636" s="81"/>
      <c r="O1636" s="12" t="s">
        <v>95</v>
      </c>
      <c r="P1636" s="1">
        <v>21</v>
      </c>
      <c r="Q1636" s="13"/>
      <c r="R1636" s="13"/>
      <c r="S1636" s="13"/>
      <c r="T1636" s="13"/>
      <c r="U1636" s="13"/>
      <c r="V1636" s="13"/>
      <c r="W1636" s="1"/>
      <c r="X1636" s="1"/>
      <c r="Y1636" s="84"/>
      <c r="Z1636" s="13"/>
      <c r="AA1636" s="1">
        <v>81</v>
      </c>
      <c r="AB1636" s="13"/>
      <c r="AC1636" s="82"/>
      <c r="AD1636" s="23" t="s">
        <v>52</v>
      </c>
      <c r="AE1636" s="12" t="s">
        <v>550</v>
      </c>
      <c r="AG1636" s="23"/>
      <c r="AH1636" s="23"/>
      <c r="AI1636" s="23"/>
      <c r="AJ1636" s="23"/>
      <c r="AK1636" s="23"/>
      <c r="AL1636" s="23"/>
      <c r="AM1636" s="23"/>
      <c r="AN1636" s="23"/>
      <c r="AO1636" s="23"/>
      <c r="AP1636" s="23"/>
      <c r="AQ1636" s="81"/>
      <c r="AT1636" s="81"/>
      <c r="AU1636" s="12" t="s">
        <v>1932</v>
      </c>
      <c r="AV1636" s="13"/>
      <c r="AW1636" s="39">
        <v>1</v>
      </c>
      <c r="AY1636" s="32"/>
      <c r="AZ1636" s="32"/>
      <c r="BA1636" s="32"/>
    </row>
    <row r="1637" spans="1:53" ht="12" customHeight="1" x14ac:dyDescent="0.2">
      <c r="A1637" s="10" t="s">
        <v>299</v>
      </c>
      <c r="B1637" s="39">
        <v>83006</v>
      </c>
      <c r="C1637" s="42" t="s">
        <v>3998</v>
      </c>
      <c r="D1637" s="10" t="s">
        <v>2949</v>
      </c>
      <c r="E1637" s="10" t="s">
        <v>2</v>
      </c>
      <c r="F1637" s="1" t="s">
        <v>312</v>
      </c>
      <c r="G1637" s="1" t="s">
        <v>1317</v>
      </c>
      <c r="H1637" s="1"/>
      <c r="I1637" s="1"/>
      <c r="J1637" s="1"/>
      <c r="K1637" s="1"/>
      <c r="L1637" s="1"/>
      <c r="M1637" s="1"/>
      <c r="N1637" s="81"/>
      <c r="O1637" s="12" t="s">
        <v>95</v>
      </c>
      <c r="P1637" s="1">
        <v>21</v>
      </c>
      <c r="Q1637" s="13"/>
      <c r="R1637" s="13"/>
      <c r="S1637" s="13"/>
      <c r="T1637" s="13"/>
      <c r="U1637" s="13"/>
      <c r="V1637" s="13"/>
      <c r="W1637" s="1"/>
      <c r="X1637" s="1"/>
      <c r="Y1637" s="84"/>
      <c r="Z1637" s="13"/>
      <c r="AA1637" s="1">
        <v>105</v>
      </c>
      <c r="AB1637" s="13"/>
      <c r="AC1637" s="82"/>
      <c r="AD1637" s="23" t="s">
        <v>52</v>
      </c>
      <c r="AE1637" s="39" t="str">
        <f t="shared" ref="AE1637:AE1639" si="211">BA1637</f>
        <v>2131,2132</v>
      </c>
      <c r="AI1637" s="23"/>
      <c r="AJ1637" s="23"/>
      <c r="AK1637" s="23"/>
      <c r="AL1637" s="23"/>
      <c r="AM1637" s="23"/>
      <c r="AN1637" s="23"/>
      <c r="AO1637" s="23"/>
      <c r="AP1637" s="23"/>
      <c r="AQ1637" s="81"/>
      <c r="AT1637" s="81"/>
      <c r="AU1637" s="12" t="s">
        <v>1939</v>
      </c>
      <c r="AV1637" s="13"/>
      <c r="AW1637" s="39">
        <v>2</v>
      </c>
      <c r="AX1637" s="12">
        <f>VLOOKUP(AW1637,색인!$N$14:$O$19,2,FALSE)</f>
        <v>1</v>
      </c>
      <c r="AY1637" s="32" t="str">
        <f>"T"&amp;O1637&amp;"_"&amp;AX1637&amp;"옵션_"&amp;VLOOKUP(E1637,색인!$J$25:$K$29,2,FALSE)</f>
        <v>T2_1옵션_장신구</v>
      </c>
      <c r="AZ1637" s="32">
        <f>VLOOKUP(G1637,색인!$J$32:$K$45,2,FALSE)</f>
        <v>4</v>
      </c>
      <c r="BA1637" s="32" t="str">
        <f>_xlfn.IFNA(VLOOKUP(AY1637,표1[[검색용]:[OptionGroupIndex'[']22]],EquipItemTable!AZ1637,FALSE),"옵션고정안함")</f>
        <v>2131,2132</v>
      </c>
    </row>
    <row r="1638" spans="1:53" ht="12" customHeight="1" x14ac:dyDescent="0.2">
      <c r="A1638" s="10" t="s">
        <v>300</v>
      </c>
      <c r="B1638" s="39">
        <v>83007</v>
      </c>
      <c r="C1638" s="42" t="s">
        <v>3999</v>
      </c>
      <c r="D1638" s="10" t="s">
        <v>2949</v>
      </c>
      <c r="E1638" s="10" t="s">
        <v>2</v>
      </c>
      <c r="F1638" s="1" t="s">
        <v>312</v>
      </c>
      <c r="G1638" s="1" t="s">
        <v>1317</v>
      </c>
      <c r="H1638" s="1"/>
      <c r="I1638" s="1"/>
      <c r="N1638" s="81"/>
      <c r="O1638" s="12" t="s">
        <v>95</v>
      </c>
      <c r="P1638" s="1">
        <v>21</v>
      </c>
      <c r="Q1638" s="13"/>
      <c r="R1638" s="13"/>
      <c r="S1638" s="13"/>
      <c r="T1638" s="13"/>
      <c r="U1638" s="13"/>
      <c r="V1638" s="13"/>
      <c r="W1638" s="1"/>
      <c r="X1638" s="1"/>
      <c r="Y1638" s="84"/>
      <c r="Z1638" s="13"/>
      <c r="AA1638" s="1">
        <v>130</v>
      </c>
      <c r="AB1638" s="13"/>
      <c r="AC1638" s="82"/>
      <c r="AD1638" s="23" t="s">
        <v>52</v>
      </c>
      <c r="AE1638" s="39" t="str">
        <f t="shared" si="211"/>
        <v>2231,2232</v>
      </c>
      <c r="AI1638" s="23"/>
      <c r="AJ1638" s="23"/>
      <c r="AK1638" s="23"/>
      <c r="AL1638" s="23"/>
      <c r="AM1638" s="23"/>
      <c r="AN1638" s="23"/>
      <c r="AO1638" s="23"/>
      <c r="AP1638" s="23"/>
      <c r="AQ1638" s="81"/>
      <c r="AT1638" s="81"/>
      <c r="AU1638" s="12" t="s">
        <v>1940</v>
      </c>
      <c r="AV1638" s="13"/>
      <c r="AW1638" s="39">
        <v>3</v>
      </c>
      <c r="AX1638" s="12">
        <f>VLOOKUP(AW1638,색인!$N$14:$O$19,2,FALSE)</f>
        <v>2</v>
      </c>
      <c r="AY1638" s="32" t="str">
        <f>"T"&amp;O1638&amp;"_"&amp;AX1638&amp;"옵션_"&amp;VLOOKUP(E1638,색인!$J$25:$K$29,2,FALSE)</f>
        <v>T2_2옵션_장신구</v>
      </c>
      <c r="AZ1638" s="32">
        <f>VLOOKUP(G1638,색인!$J$32:$K$45,2,FALSE)</f>
        <v>4</v>
      </c>
      <c r="BA1638" s="32" t="str">
        <f>_xlfn.IFNA(VLOOKUP(AY1638,표1[[검색용]:[OptionGroupIndex'[']22]],EquipItemTable!AZ1638,FALSE),"옵션고정안함")</f>
        <v>2231,2232</v>
      </c>
    </row>
    <row r="1639" spans="1:53" ht="12" customHeight="1" x14ac:dyDescent="0.2">
      <c r="A1639" s="10" t="s">
        <v>537</v>
      </c>
      <c r="B1639" s="39">
        <v>83008</v>
      </c>
      <c r="C1639" s="42" t="s">
        <v>4000</v>
      </c>
      <c r="D1639" s="10" t="s">
        <v>2949</v>
      </c>
      <c r="E1639" s="10" t="s">
        <v>2</v>
      </c>
      <c r="F1639" s="1" t="s">
        <v>312</v>
      </c>
      <c r="G1639" s="1" t="s">
        <v>1317</v>
      </c>
      <c r="H1639" s="1"/>
      <c r="I1639" s="1"/>
      <c r="N1639" s="81"/>
      <c r="O1639" s="12" t="s">
        <v>429</v>
      </c>
      <c r="P1639" s="1">
        <v>21</v>
      </c>
      <c r="Q1639" s="13"/>
      <c r="R1639" s="13"/>
      <c r="S1639" s="13"/>
      <c r="T1639" s="13"/>
      <c r="U1639" s="13"/>
      <c r="V1639" s="13"/>
      <c r="W1639" s="1"/>
      <c r="X1639" s="1"/>
      <c r="Y1639" s="84"/>
      <c r="Z1639" s="13"/>
      <c r="AA1639" s="1">
        <v>157</v>
      </c>
      <c r="AB1639" s="13"/>
      <c r="AC1639" s="82"/>
      <c r="AD1639" s="23"/>
      <c r="AE1639" s="39" t="str">
        <f t="shared" si="211"/>
        <v>2331,2332</v>
      </c>
      <c r="AI1639" s="23"/>
      <c r="AJ1639" s="23"/>
      <c r="AK1639" s="23"/>
      <c r="AL1639" s="23"/>
      <c r="AM1639" s="23"/>
      <c r="AN1639" s="23"/>
      <c r="AO1639" s="23"/>
      <c r="AP1639" s="23"/>
      <c r="AQ1639" s="81"/>
      <c r="AT1639" s="81"/>
      <c r="AU1639" s="12" t="s">
        <v>1941</v>
      </c>
      <c r="AV1639" s="13"/>
      <c r="AW1639" s="39">
        <v>4</v>
      </c>
      <c r="AX1639" s="12">
        <f>VLOOKUP(AW1639,색인!$N$14:$O$19,2,FALSE)</f>
        <v>3</v>
      </c>
      <c r="AY1639" s="32" t="str">
        <f>"T"&amp;O1639&amp;"_"&amp;AX1639&amp;"옵션_"&amp;VLOOKUP(E1639,색인!$J$25:$K$29,2,FALSE)</f>
        <v>T2_3옵션_장신구</v>
      </c>
      <c r="AZ1639" s="32">
        <f>VLOOKUP(G1639,색인!$J$32:$K$45,2,FALSE)</f>
        <v>4</v>
      </c>
      <c r="BA1639" s="32" t="str">
        <f>_xlfn.IFNA(VLOOKUP(AY1639,표1[[검색용]:[OptionGroupIndex'[']22]],EquipItemTable!AZ1639,FALSE),"옵션고정안함")</f>
        <v>2331,2332</v>
      </c>
    </row>
    <row r="1640" spans="1:53" ht="12" customHeight="1" x14ac:dyDescent="0.2">
      <c r="A1640" s="10" t="s">
        <v>301</v>
      </c>
      <c r="B1640" s="39">
        <v>83009</v>
      </c>
      <c r="C1640" s="42" t="s">
        <v>4001</v>
      </c>
      <c r="D1640" s="10" t="s">
        <v>2949</v>
      </c>
      <c r="E1640" s="10" t="s">
        <v>2</v>
      </c>
      <c r="F1640" s="1" t="s">
        <v>312</v>
      </c>
      <c r="G1640" s="1" t="s">
        <v>1317</v>
      </c>
      <c r="H1640" s="1"/>
      <c r="I1640" s="1"/>
      <c r="N1640" s="81"/>
      <c r="O1640" s="12" t="s">
        <v>96</v>
      </c>
      <c r="P1640" s="1">
        <v>31</v>
      </c>
      <c r="Q1640" s="13"/>
      <c r="R1640" s="13"/>
      <c r="S1640" s="13"/>
      <c r="T1640" s="13"/>
      <c r="U1640" s="13"/>
      <c r="V1640" s="13"/>
      <c r="W1640" s="13"/>
      <c r="X1640" s="13"/>
      <c r="Y1640" s="84"/>
      <c r="Z1640" s="13"/>
      <c r="AA1640" s="13">
        <v>180</v>
      </c>
      <c r="AB1640" s="13"/>
      <c r="AC1640" s="82"/>
      <c r="AD1640" s="23" t="s">
        <v>52</v>
      </c>
      <c r="AE1640" s="23">
        <v>3</v>
      </c>
      <c r="AF1640" s="23"/>
      <c r="AI1640" s="23"/>
      <c r="AJ1640" s="23"/>
      <c r="AK1640" s="23"/>
      <c r="AL1640" s="23"/>
      <c r="AM1640" s="23"/>
      <c r="AN1640" s="23"/>
      <c r="AO1640" s="23"/>
      <c r="AP1640" s="23"/>
      <c r="AQ1640" s="81"/>
      <c r="AR1640" s="83"/>
      <c r="AS1640" s="83"/>
      <c r="AT1640" s="81"/>
      <c r="AU1640" s="12" t="s">
        <v>1932</v>
      </c>
      <c r="AV1640" s="13"/>
      <c r="AW1640" s="39">
        <v>1</v>
      </c>
      <c r="AY1640" s="32"/>
      <c r="AZ1640" s="32"/>
      <c r="BA1640" s="32"/>
    </row>
    <row r="1641" spans="1:53" ht="12" customHeight="1" x14ac:dyDescent="0.2">
      <c r="A1641" s="10" t="s">
        <v>302</v>
      </c>
      <c r="B1641" s="39">
        <v>83010</v>
      </c>
      <c r="C1641" s="42" t="s">
        <v>4002</v>
      </c>
      <c r="D1641" s="10" t="s">
        <v>2949</v>
      </c>
      <c r="E1641" s="10" t="s">
        <v>2</v>
      </c>
      <c r="F1641" s="1" t="s">
        <v>312</v>
      </c>
      <c r="G1641" s="1" t="s">
        <v>1317</v>
      </c>
      <c r="H1641" s="1"/>
      <c r="I1641" s="1"/>
      <c r="N1641" s="81"/>
      <c r="O1641" s="12" t="s">
        <v>96</v>
      </c>
      <c r="P1641" s="1">
        <v>31</v>
      </c>
      <c r="Q1641" s="13"/>
      <c r="R1641" s="13"/>
      <c r="S1641" s="13"/>
      <c r="T1641" s="13"/>
      <c r="U1641" s="13"/>
      <c r="V1641" s="13"/>
      <c r="W1641" s="13"/>
      <c r="X1641" s="13"/>
      <c r="Y1641" s="84"/>
      <c r="Z1641" s="13"/>
      <c r="AA1641" s="13">
        <v>229</v>
      </c>
      <c r="AB1641" s="13"/>
      <c r="AC1641" s="82"/>
      <c r="AD1641" s="23" t="s">
        <v>52</v>
      </c>
      <c r="AE1641" s="90" t="str">
        <f t="shared" ref="AE1641:AE1643" si="212">BA1641</f>
        <v>3131,3132</v>
      </c>
      <c r="AF1641" s="23"/>
      <c r="AI1641" s="23"/>
      <c r="AJ1641" s="23"/>
      <c r="AK1641" s="23"/>
      <c r="AL1641" s="23"/>
      <c r="AM1641" s="23"/>
      <c r="AN1641" s="23"/>
      <c r="AO1641" s="23"/>
      <c r="AP1641" s="23"/>
      <c r="AQ1641" s="81"/>
      <c r="AR1641" s="83"/>
      <c r="AS1641" s="83"/>
      <c r="AT1641" s="81"/>
      <c r="AU1641" s="12" t="s">
        <v>1939</v>
      </c>
      <c r="AV1641" s="13"/>
      <c r="AW1641" s="39">
        <v>2</v>
      </c>
      <c r="AX1641" s="12">
        <f>VLOOKUP(AW1641,색인!$N$14:$O$19,2,FALSE)</f>
        <v>1</v>
      </c>
      <c r="AY1641" s="32" t="str">
        <f>"T"&amp;O1641&amp;"_"&amp;AX1641&amp;"옵션_"&amp;VLOOKUP(E1641,색인!$J$25:$K$29,2,FALSE)</f>
        <v>T3_1옵션_장신구</v>
      </c>
      <c r="AZ1641" s="32">
        <f>VLOOKUP(G1641,색인!$J$32:$K$45,2,FALSE)</f>
        <v>4</v>
      </c>
      <c r="BA1641" s="32" t="str">
        <f>_xlfn.IFNA(VLOOKUP(AY1641,표1[[검색용]:[OptionGroupIndex'[']22]],EquipItemTable!AZ1641,FALSE),"옵션고정안함")</f>
        <v>3131,3132</v>
      </c>
    </row>
    <row r="1642" spans="1:53" ht="12" customHeight="1" x14ac:dyDescent="0.2">
      <c r="A1642" s="10" t="s">
        <v>303</v>
      </c>
      <c r="B1642" s="39">
        <v>83011</v>
      </c>
      <c r="C1642" s="42" t="s">
        <v>4003</v>
      </c>
      <c r="D1642" s="10" t="s">
        <v>2949</v>
      </c>
      <c r="E1642" s="10" t="s">
        <v>2</v>
      </c>
      <c r="F1642" s="1" t="s">
        <v>312</v>
      </c>
      <c r="G1642" s="1" t="s">
        <v>1317</v>
      </c>
      <c r="H1642" s="1"/>
      <c r="I1642" s="1"/>
      <c r="N1642" s="81"/>
      <c r="O1642" s="12" t="s">
        <v>96</v>
      </c>
      <c r="P1642" s="1">
        <v>31</v>
      </c>
      <c r="Q1642" s="13"/>
      <c r="R1642" s="13"/>
      <c r="S1642" s="13"/>
      <c r="T1642" s="13"/>
      <c r="U1642" s="13"/>
      <c r="V1642" s="13"/>
      <c r="W1642" s="13"/>
      <c r="X1642" s="13"/>
      <c r="Y1642" s="84"/>
      <c r="Z1642" s="13"/>
      <c r="AA1642" s="13">
        <v>273</v>
      </c>
      <c r="AB1642" s="13"/>
      <c r="AC1642" s="82"/>
      <c r="AD1642" s="23" t="s">
        <v>52</v>
      </c>
      <c r="AE1642" s="90" t="str">
        <f t="shared" si="212"/>
        <v>3231,3232</v>
      </c>
      <c r="AF1642" s="23"/>
      <c r="AI1642" s="23"/>
      <c r="AJ1642" s="23"/>
      <c r="AK1642" s="23"/>
      <c r="AL1642" s="23"/>
      <c r="AM1642" s="23"/>
      <c r="AN1642" s="23"/>
      <c r="AO1642" s="23"/>
      <c r="AP1642" s="23"/>
      <c r="AQ1642" s="81"/>
      <c r="AR1642" s="83"/>
      <c r="AS1642" s="83"/>
      <c r="AT1642" s="81"/>
      <c r="AU1642" s="12" t="s">
        <v>1940</v>
      </c>
      <c r="AV1642" s="13"/>
      <c r="AW1642" s="39">
        <v>3</v>
      </c>
      <c r="AX1642" s="12">
        <f>VLOOKUP(AW1642,색인!$N$14:$O$19,2,FALSE)</f>
        <v>2</v>
      </c>
      <c r="AY1642" s="32" t="str">
        <f>"T"&amp;O1642&amp;"_"&amp;AX1642&amp;"옵션_"&amp;VLOOKUP(E1642,색인!$J$25:$K$29,2,FALSE)</f>
        <v>T3_2옵션_장신구</v>
      </c>
      <c r="AZ1642" s="32">
        <f>VLOOKUP(G1642,색인!$J$32:$K$45,2,FALSE)</f>
        <v>4</v>
      </c>
      <c r="BA1642" s="32" t="str">
        <f>_xlfn.IFNA(VLOOKUP(AY1642,표1[[검색용]:[OptionGroupIndex'[']22]],EquipItemTable!AZ1642,FALSE),"옵션고정안함")</f>
        <v>3231,3232</v>
      </c>
    </row>
    <row r="1643" spans="1:53" ht="12" customHeight="1" x14ac:dyDescent="0.2">
      <c r="A1643" s="10" t="s">
        <v>304</v>
      </c>
      <c r="B1643" s="39">
        <v>83012</v>
      </c>
      <c r="C1643" s="42" t="s">
        <v>4004</v>
      </c>
      <c r="D1643" s="10" t="s">
        <v>2949</v>
      </c>
      <c r="E1643" s="10" t="s">
        <v>2</v>
      </c>
      <c r="F1643" s="1" t="s">
        <v>312</v>
      </c>
      <c r="G1643" s="1" t="s">
        <v>1317</v>
      </c>
      <c r="H1643" s="1"/>
      <c r="I1643" s="1"/>
      <c r="N1643" s="81"/>
      <c r="O1643" s="12" t="s">
        <v>96</v>
      </c>
      <c r="P1643" s="1">
        <v>31</v>
      </c>
      <c r="Q1643" s="13"/>
      <c r="R1643" s="13"/>
      <c r="S1643" s="13"/>
      <c r="T1643" s="13"/>
      <c r="U1643" s="13"/>
      <c r="V1643" s="13"/>
      <c r="W1643" s="13"/>
      <c r="X1643" s="13"/>
      <c r="Y1643" s="84"/>
      <c r="Z1643" s="13"/>
      <c r="AA1643" s="13">
        <v>325</v>
      </c>
      <c r="AB1643" s="13"/>
      <c r="AC1643" s="82"/>
      <c r="AD1643" s="23" t="s">
        <v>52</v>
      </c>
      <c r="AE1643" s="90" t="str">
        <f t="shared" si="212"/>
        <v>3331,3332</v>
      </c>
      <c r="AF1643" s="23"/>
      <c r="AI1643" s="23"/>
      <c r="AJ1643" s="23"/>
      <c r="AK1643" s="23"/>
      <c r="AL1643" s="23"/>
      <c r="AM1643" s="23"/>
      <c r="AN1643" s="23"/>
      <c r="AO1643" s="23"/>
      <c r="AP1643" s="23"/>
      <c r="AQ1643" s="81"/>
      <c r="AR1643" s="83"/>
      <c r="AS1643" s="83"/>
      <c r="AT1643" s="81"/>
      <c r="AU1643" s="12" t="s">
        <v>1941</v>
      </c>
      <c r="AV1643" s="13"/>
      <c r="AW1643" s="39">
        <v>4</v>
      </c>
      <c r="AX1643" s="12">
        <f>VLOOKUP(AW1643,색인!$N$14:$O$19,2,FALSE)</f>
        <v>3</v>
      </c>
      <c r="AY1643" s="32" t="str">
        <f>"T"&amp;O1643&amp;"_"&amp;AX1643&amp;"옵션_"&amp;VLOOKUP(E1643,색인!$J$25:$K$29,2,FALSE)</f>
        <v>T3_3옵션_장신구</v>
      </c>
      <c r="AZ1643" s="32">
        <f>VLOOKUP(G1643,색인!$J$32:$K$45,2,FALSE)</f>
        <v>4</v>
      </c>
      <c r="BA1643" s="32" t="str">
        <f>_xlfn.IFNA(VLOOKUP(AY1643,표1[[검색용]:[OptionGroupIndex'[']22]],EquipItemTable!AZ1643,FALSE),"옵션고정안함")</f>
        <v>3331,3332</v>
      </c>
    </row>
    <row r="1644" spans="1:53" ht="12" customHeight="1" x14ac:dyDescent="0.2">
      <c r="A1644" s="10" t="s">
        <v>305</v>
      </c>
      <c r="B1644" s="39">
        <v>83013</v>
      </c>
      <c r="C1644" s="42" t="s">
        <v>4005</v>
      </c>
      <c r="D1644" s="10" t="s">
        <v>2949</v>
      </c>
      <c r="E1644" s="10" t="s">
        <v>2</v>
      </c>
      <c r="F1644" s="1" t="s">
        <v>312</v>
      </c>
      <c r="G1644" s="1" t="s">
        <v>1317</v>
      </c>
      <c r="H1644" s="1"/>
      <c r="I1644" s="1"/>
      <c r="N1644" s="81"/>
      <c r="O1644" s="12" t="s">
        <v>97</v>
      </c>
      <c r="P1644" s="1">
        <v>41</v>
      </c>
      <c r="Q1644" s="13"/>
      <c r="R1644" s="13"/>
      <c r="S1644" s="13"/>
      <c r="T1644" s="13"/>
      <c r="U1644" s="13"/>
      <c r="V1644" s="13"/>
      <c r="W1644" s="13"/>
      <c r="X1644" s="13"/>
      <c r="Y1644" s="84"/>
      <c r="Z1644" s="13"/>
      <c r="AA1644" s="13">
        <v>373</v>
      </c>
      <c r="AB1644" s="13"/>
      <c r="AC1644" s="82"/>
      <c r="AD1644" s="23" t="s">
        <v>52</v>
      </c>
      <c r="AE1644" s="23">
        <v>4</v>
      </c>
      <c r="AF1644" s="23"/>
      <c r="AI1644" s="23"/>
      <c r="AJ1644" s="23"/>
      <c r="AK1644" s="23"/>
      <c r="AL1644" s="23"/>
      <c r="AM1644" s="23"/>
      <c r="AN1644" s="23"/>
      <c r="AO1644" s="23"/>
      <c r="AP1644" s="23"/>
      <c r="AQ1644" s="81"/>
      <c r="AR1644" s="83"/>
      <c r="AS1644" s="83"/>
      <c r="AT1644" s="81"/>
      <c r="AU1644" s="12" t="s">
        <v>1932</v>
      </c>
      <c r="AV1644" s="13"/>
      <c r="AW1644" s="39">
        <v>1</v>
      </c>
      <c r="AY1644" s="32"/>
      <c r="AZ1644" s="32"/>
      <c r="BA1644" s="32"/>
    </row>
    <row r="1645" spans="1:53" ht="12" customHeight="1" x14ac:dyDescent="0.2">
      <c r="A1645" s="10" t="s">
        <v>306</v>
      </c>
      <c r="B1645" s="39">
        <v>83014</v>
      </c>
      <c r="C1645" s="42" t="s">
        <v>4006</v>
      </c>
      <c r="D1645" s="10" t="s">
        <v>2949</v>
      </c>
      <c r="E1645" s="10" t="s">
        <v>2</v>
      </c>
      <c r="F1645" s="1" t="s">
        <v>312</v>
      </c>
      <c r="G1645" s="1" t="s">
        <v>1317</v>
      </c>
      <c r="H1645" s="1"/>
      <c r="I1645" s="1"/>
      <c r="N1645" s="81"/>
      <c r="O1645" s="12" t="s">
        <v>97</v>
      </c>
      <c r="P1645" s="1">
        <v>41</v>
      </c>
      <c r="Q1645" s="13"/>
      <c r="R1645" s="13"/>
      <c r="S1645" s="13"/>
      <c r="T1645" s="13"/>
      <c r="U1645" s="13"/>
      <c r="V1645" s="13"/>
      <c r="W1645" s="13"/>
      <c r="X1645" s="13"/>
      <c r="Y1645" s="84"/>
      <c r="Z1645" s="13"/>
      <c r="AA1645" s="13">
        <v>462</v>
      </c>
      <c r="AB1645" s="13"/>
      <c r="AC1645" s="82"/>
      <c r="AD1645" s="23" t="s">
        <v>52</v>
      </c>
      <c r="AE1645" s="90" t="str">
        <f t="shared" ref="AE1645:AE1647" si="213">BA1645</f>
        <v>4131,4132</v>
      </c>
      <c r="AF1645" s="23"/>
      <c r="AI1645" s="23"/>
      <c r="AJ1645" s="23"/>
      <c r="AK1645" s="23"/>
      <c r="AL1645" s="23"/>
      <c r="AM1645" s="23"/>
      <c r="AN1645" s="23"/>
      <c r="AO1645" s="23"/>
      <c r="AP1645" s="23"/>
      <c r="AQ1645" s="81"/>
      <c r="AR1645" s="83"/>
      <c r="AS1645" s="83"/>
      <c r="AT1645" s="81"/>
      <c r="AU1645" s="12" t="s">
        <v>1939</v>
      </c>
      <c r="AV1645" s="13"/>
      <c r="AW1645" s="39">
        <v>2</v>
      </c>
      <c r="AX1645" s="12">
        <f>VLOOKUP(AW1645,색인!$N$14:$O$19,2,FALSE)</f>
        <v>1</v>
      </c>
      <c r="AY1645" s="32" t="str">
        <f>"T"&amp;O1645&amp;"_"&amp;AX1645&amp;"옵션_"&amp;VLOOKUP(E1645,색인!$J$25:$K$29,2,FALSE)</f>
        <v>T4_1옵션_장신구</v>
      </c>
      <c r="AZ1645" s="32">
        <f>VLOOKUP(G1645,색인!$J$32:$K$45,2,FALSE)</f>
        <v>4</v>
      </c>
      <c r="BA1645" s="32" t="str">
        <f>_xlfn.IFNA(VLOOKUP(AY1645,표1[[검색용]:[OptionGroupIndex'[']22]],EquipItemTable!AZ1645,FALSE),"옵션고정안함")</f>
        <v>4131,4132</v>
      </c>
    </row>
    <row r="1646" spans="1:53" ht="12" customHeight="1" x14ac:dyDescent="0.2">
      <c r="A1646" s="10" t="s">
        <v>307</v>
      </c>
      <c r="B1646" s="39">
        <v>83015</v>
      </c>
      <c r="C1646" s="42" t="s">
        <v>4007</v>
      </c>
      <c r="D1646" s="10" t="s">
        <v>2949</v>
      </c>
      <c r="E1646" s="10" t="s">
        <v>2</v>
      </c>
      <c r="F1646" s="1" t="s">
        <v>312</v>
      </c>
      <c r="G1646" s="1" t="s">
        <v>1317</v>
      </c>
      <c r="H1646" s="1"/>
      <c r="I1646" s="1"/>
      <c r="N1646" s="81"/>
      <c r="O1646" s="12" t="s">
        <v>97</v>
      </c>
      <c r="P1646" s="1">
        <v>41</v>
      </c>
      <c r="Q1646" s="13"/>
      <c r="R1646" s="13"/>
      <c r="S1646" s="13"/>
      <c r="T1646" s="13"/>
      <c r="U1646" s="13"/>
      <c r="V1646" s="13"/>
      <c r="W1646" s="13"/>
      <c r="X1646" s="13"/>
      <c r="Y1646" s="84"/>
      <c r="Z1646" s="13"/>
      <c r="AA1646" s="13">
        <v>540</v>
      </c>
      <c r="AB1646" s="13"/>
      <c r="AC1646" s="82"/>
      <c r="AD1646" s="23" t="s">
        <v>52</v>
      </c>
      <c r="AE1646" s="90" t="str">
        <f t="shared" si="213"/>
        <v>4231,4232</v>
      </c>
      <c r="AF1646" s="23"/>
      <c r="AI1646" s="23"/>
      <c r="AJ1646" s="23"/>
      <c r="AK1646" s="23"/>
      <c r="AL1646" s="23"/>
      <c r="AM1646" s="23"/>
      <c r="AN1646" s="23"/>
      <c r="AO1646" s="23"/>
      <c r="AP1646" s="23"/>
      <c r="AQ1646" s="81"/>
      <c r="AR1646" s="83"/>
      <c r="AS1646" s="83"/>
      <c r="AT1646" s="81"/>
      <c r="AU1646" s="12" t="s">
        <v>1940</v>
      </c>
      <c r="AV1646" s="13"/>
      <c r="AW1646" s="39">
        <v>3</v>
      </c>
      <c r="AX1646" s="12">
        <f>VLOOKUP(AW1646,색인!$N$14:$O$19,2,FALSE)</f>
        <v>2</v>
      </c>
      <c r="AY1646" s="32" t="str">
        <f>"T"&amp;O1646&amp;"_"&amp;AX1646&amp;"옵션_"&amp;VLOOKUP(E1646,색인!$J$25:$K$29,2,FALSE)</f>
        <v>T4_2옵션_장신구</v>
      </c>
      <c r="AZ1646" s="32">
        <f>VLOOKUP(G1646,색인!$J$32:$K$45,2,FALSE)</f>
        <v>4</v>
      </c>
      <c r="BA1646" s="32" t="str">
        <f>_xlfn.IFNA(VLOOKUP(AY1646,표1[[검색용]:[OptionGroupIndex'[']22]],EquipItemTable!AZ1646,FALSE),"옵션고정안함")</f>
        <v>4231,4232</v>
      </c>
    </row>
    <row r="1647" spans="1:53" ht="12" customHeight="1" x14ac:dyDescent="0.2">
      <c r="A1647" s="10" t="s">
        <v>308</v>
      </c>
      <c r="B1647" s="39">
        <v>83016</v>
      </c>
      <c r="C1647" s="42" t="s">
        <v>4008</v>
      </c>
      <c r="D1647" s="10" t="s">
        <v>2949</v>
      </c>
      <c r="E1647" s="10" t="s">
        <v>2</v>
      </c>
      <c r="F1647" s="1" t="s">
        <v>312</v>
      </c>
      <c r="G1647" s="1" t="s">
        <v>1317</v>
      </c>
      <c r="H1647" s="1"/>
      <c r="I1647" s="1"/>
      <c r="N1647" s="81"/>
      <c r="O1647" s="12" t="s">
        <v>97</v>
      </c>
      <c r="P1647" s="1">
        <v>41</v>
      </c>
      <c r="Q1647" s="13"/>
      <c r="R1647" s="13"/>
      <c r="S1647" s="13"/>
      <c r="T1647" s="13"/>
      <c r="U1647" s="13"/>
      <c r="V1647" s="13"/>
      <c r="W1647" s="1"/>
      <c r="X1647" s="1"/>
      <c r="Y1647" s="84"/>
      <c r="Z1647" s="13"/>
      <c r="AA1647" s="1">
        <v>633</v>
      </c>
      <c r="AB1647" s="13"/>
      <c r="AC1647" s="82"/>
      <c r="AD1647" s="23" t="s">
        <v>52</v>
      </c>
      <c r="AE1647" s="39" t="str">
        <f t="shared" si="213"/>
        <v>4331,4332</v>
      </c>
      <c r="AI1647" s="23"/>
      <c r="AJ1647" s="23"/>
      <c r="AK1647" s="23"/>
      <c r="AL1647" s="23"/>
      <c r="AM1647" s="23"/>
      <c r="AN1647" s="23"/>
      <c r="AO1647" s="23"/>
      <c r="AP1647" s="23"/>
      <c r="AQ1647" s="81"/>
      <c r="AT1647" s="81"/>
      <c r="AU1647" s="12" t="s">
        <v>1941</v>
      </c>
      <c r="AV1647" s="13"/>
      <c r="AW1647" s="39">
        <v>4</v>
      </c>
      <c r="AX1647" s="12">
        <f>VLOOKUP(AW1647,색인!$N$14:$O$19,2,FALSE)</f>
        <v>3</v>
      </c>
      <c r="AY1647" s="32" t="str">
        <f>"T"&amp;O1647&amp;"_"&amp;AX1647&amp;"옵션_"&amp;VLOOKUP(E1647,색인!$J$25:$K$29,2,FALSE)</f>
        <v>T4_3옵션_장신구</v>
      </c>
      <c r="AZ1647" s="32">
        <f>VLOOKUP(G1647,색인!$J$32:$K$45,2,FALSE)</f>
        <v>4</v>
      </c>
      <c r="BA1647" s="32" t="str">
        <f>_xlfn.IFNA(VLOOKUP(AY1647,표1[[검색용]:[OptionGroupIndex'[']22]],EquipItemTable!AZ1647,FALSE),"옵션고정안함")</f>
        <v>4331,4332</v>
      </c>
    </row>
    <row r="1648" spans="1:53" ht="12" customHeight="1" x14ac:dyDescent="0.2">
      <c r="A1648" s="10" t="s">
        <v>538</v>
      </c>
      <c r="B1648" s="39">
        <v>83017</v>
      </c>
      <c r="C1648" s="42" t="s">
        <v>4009</v>
      </c>
      <c r="D1648" s="86" t="s">
        <v>2949</v>
      </c>
      <c r="E1648" s="86" t="s">
        <v>2</v>
      </c>
      <c r="F1648" s="87" t="s">
        <v>312</v>
      </c>
      <c r="G1648" s="87" t="s">
        <v>1317</v>
      </c>
      <c r="H1648" s="87"/>
      <c r="O1648" s="32">
        <v>5</v>
      </c>
      <c r="P1648" s="1">
        <v>51</v>
      </c>
      <c r="Q1648" s="1"/>
      <c r="R1648" s="1"/>
      <c r="S1648" s="1"/>
      <c r="T1648" s="1"/>
      <c r="U1648" s="1"/>
      <c r="V1648" s="1"/>
      <c r="W1648" s="1"/>
      <c r="X1648" s="1"/>
      <c r="Y1648" s="20"/>
      <c r="Z1648" s="1"/>
      <c r="AA1648" s="1">
        <v>726</v>
      </c>
      <c r="AB1648" s="1"/>
      <c r="AD1648" s="12" t="s">
        <v>542</v>
      </c>
      <c r="AE1648" s="12" t="s">
        <v>552</v>
      </c>
      <c r="AN1648" s="12"/>
      <c r="AU1648" s="12" t="s">
        <v>1932</v>
      </c>
      <c r="AW1648" s="39">
        <v>1</v>
      </c>
      <c r="AY1648" s="32"/>
      <c r="AZ1648" s="32"/>
      <c r="BA1648" s="32"/>
    </row>
    <row r="1649" spans="1:53" ht="12" customHeight="1" x14ac:dyDescent="0.2">
      <c r="A1649" s="10" t="s">
        <v>539</v>
      </c>
      <c r="B1649" s="39">
        <v>83018</v>
      </c>
      <c r="C1649" s="42" t="s">
        <v>4010</v>
      </c>
      <c r="D1649" s="86" t="s">
        <v>2949</v>
      </c>
      <c r="E1649" s="86" t="s">
        <v>2</v>
      </c>
      <c r="F1649" s="87" t="s">
        <v>312</v>
      </c>
      <c r="G1649" s="87" t="s">
        <v>1317</v>
      </c>
      <c r="H1649" s="87"/>
      <c r="O1649" s="32">
        <v>5</v>
      </c>
      <c r="P1649" s="1">
        <v>51</v>
      </c>
      <c r="Q1649" s="1"/>
      <c r="R1649" s="1"/>
      <c r="S1649" s="1"/>
      <c r="T1649" s="1"/>
      <c r="U1649" s="1"/>
      <c r="V1649" s="1"/>
      <c r="W1649" s="1"/>
      <c r="X1649" s="1"/>
      <c r="Y1649" s="20"/>
      <c r="Z1649" s="1"/>
      <c r="AA1649" s="1">
        <v>886</v>
      </c>
      <c r="AB1649" s="1"/>
      <c r="AD1649" s="12" t="s">
        <v>542</v>
      </c>
      <c r="AE1649" s="39" t="str">
        <f t="shared" ref="AE1649:AE1651" si="214">BA1649</f>
        <v>5131,5132</v>
      </c>
      <c r="AN1649" s="12"/>
      <c r="AU1649" s="12" t="s">
        <v>1939</v>
      </c>
      <c r="AW1649" s="39">
        <v>2</v>
      </c>
      <c r="AX1649" s="12">
        <f>VLOOKUP(AW1649,색인!$N$14:$O$19,2,FALSE)</f>
        <v>1</v>
      </c>
      <c r="AY1649" s="32" t="str">
        <f>"T"&amp;O1649&amp;"_"&amp;AX1649&amp;"옵션_"&amp;VLOOKUP(E1649,색인!$J$25:$K$29,2,FALSE)</f>
        <v>T5_1옵션_장신구</v>
      </c>
      <c r="AZ1649" s="32">
        <f>VLOOKUP(G1649,색인!$J$32:$K$45,2,FALSE)</f>
        <v>4</v>
      </c>
      <c r="BA1649" s="32" t="str">
        <f>_xlfn.IFNA(VLOOKUP(AY1649,표1[[검색용]:[OptionGroupIndex'[']22]],EquipItemTable!AZ1649,FALSE),"옵션고정안함")</f>
        <v>5131,5132</v>
      </c>
    </row>
    <row r="1650" spans="1:53" ht="12" customHeight="1" x14ac:dyDescent="0.2">
      <c r="A1650" s="10" t="s">
        <v>540</v>
      </c>
      <c r="B1650" s="39">
        <v>83019</v>
      </c>
      <c r="C1650" s="42" t="s">
        <v>4011</v>
      </c>
      <c r="D1650" s="86" t="s">
        <v>2949</v>
      </c>
      <c r="E1650" s="86" t="s">
        <v>2</v>
      </c>
      <c r="F1650" s="87" t="s">
        <v>522</v>
      </c>
      <c r="G1650" s="87" t="s">
        <v>1317</v>
      </c>
      <c r="H1650" s="87"/>
      <c r="O1650" s="32">
        <v>5</v>
      </c>
      <c r="P1650" s="1">
        <v>51</v>
      </c>
      <c r="Q1650" s="1"/>
      <c r="R1650" s="1"/>
      <c r="S1650" s="1"/>
      <c r="T1650" s="1"/>
      <c r="U1650" s="1"/>
      <c r="V1650" s="1"/>
      <c r="W1650" s="1"/>
      <c r="X1650" s="1"/>
      <c r="Y1650" s="20"/>
      <c r="Z1650" s="1"/>
      <c r="AA1650" s="1">
        <v>1030</v>
      </c>
      <c r="AB1650" s="1"/>
      <c r="AD1650" s="12" t="s">
        <v>542</v>
      </c>
      <c r="AE1650" s="39" t="str">
        <f t="shared" si="214"/>
        <v>5231,5232</v>
      </c>
      <c r="AN1650" s="12"/>
      <c r="AU1650" s="12" t="s">
        <v>1940</v>
      </c>
      <c r="AW1650" s="39">
        <v>3</v>
      </c>
      <c r="AX1650" s="12">
        <f>VLOOKUP(AW1650,색인!$N$14:$O$19,2,FALSE)</f>
        <v>2</v>
      </c>
      <c r="AY1650" s="32" t="str">
        <f>"T"&amp;O1650&amp;"_"&amp;AX1650&amp;"옵션_"&amp;VLOOKUP(E1650,색인!$J$25:$K$29,2,FALSE)</f>
        <v>T5_2옵션_장신구</v>
      </c>
      <c r="AZ1650" s="32">
        <f>VLOOKUP(G1650,색인!$J$32:$K$45,2,FALSE)</f>
        <v>4</v>
      </c>
      <c r="BA1650" s="32" t="str">
        <f>_xlfn.IFNA(VLOOKUP(AY1650,표1[[검색용]:[OptionGroupIndex'[']22]],EquipItemTable!AZ1650,FALSE),"옵션고정안함")</f>
        <v>5231,5232</v>
      </c>
    </row>
    <row r="1651" spans="1:53" ht="12" customHeight="1" x14ac:dyDescent="0.2">
      <c r="A1651" s="10" t="s">
        <v>541</v>
      </c>
      <c r="B1651" s="39">
        <v>83020</v>
      </c>
      <c r="C1651" s="42" t="s">
        <v>4012</v>
      </c>
      <c r="D1651" s="86" t="s">
        <v>2949</v>
      </c>
      <c r="E1651" s="86" t="s">
        <v>2</v>
      </c>
      <c r="F1651" s="87" t="s">
        <v>312</v>
      </c>
      <c r="G1651" s="87" t="s">
        <v>1317</v>
      </c>
      <c r="H1651" s="87"/>
      <c r="O1651" s="32">
        <v>5</v>
      </c>
      <c r="P1651" s="1">
        <v>51</v>
      </c>
      <c r="Q1651" s="1"/>
      <c r="R1651" s="1"/>
      <c r="S1651" s="1"/>
      <c r="T1651" s="1"/>
      <c r="U1651" s="1"/>
      <c r="V1651" s="1"/>
      <c r="W1651" s="1"/>
      <c r="X1651" s="1"/>
      <c r="Y1651" s="20"/>
      <c r="Z1651" s="1"/>
      <c r="AA1651" s="1">
        <v>1194</v>
      </c>
      <c r="AB1651" s="1"/>
      <c r="AD1651" s="12" t="s">
        <v>542</v>
      </c>
      <c r="AE1651" s="39" t="str">
        <f t="shared" si="214"/>
        <v>5331,5332</v>
      </c>
      <c r="AN1651" s="12"/>
      <c r="AU1651" s="12" t="s">
        <v>1941</v>
      </c>
      <c r="AW1651" s="39">
        <v>4</v>
      </c>
      <c r="AX1651" s="12">
        <f>VLOOKUP(AW1651,색인!$N$14:$O$19,2,FALSE)</f>
        <v>3</v>
      </c>
      <c r="AY1651" s="32" t="str">
        <f>"T"&amp;O1651&amp;"_"&amp;AX1651&amp;"옵션_"&amp;VLOOKUP(E1651,색인!$J$25:$K$29,2,FALSE)</f>
        <v>T5_3옵션_장신구</v>
      </c>
      <c r="AZ1651" s="32">
        <f>VLOOKUP(G1651,색인!$J$32:$K$45,2,FALSE)</f>
        <v>4</v>
      </c>
      <c r="BA1651" s="32" t="str">
        <f>_xlfn.IFNA(VLOOKUP(AY1651,표1[[검색용]:[OptionGroupIndex'[']22]],EquipItemTable!AZ1651,FALSE),"옵션고정안함")</f>
        <v>5331,5332</v>
      </c>
    </row>
    <row r="1652" spans="1:53" s="1" customFormat="1" ht="12" x14ac:dyDescent="0.2">
      <c r="A1652" s="10" t="s">
        <v>848</v>
      </c>
      <c r="B1652" s="39">
        <v>83021</v>
      </c>
      <c r="C1652" s="42" t="s">
        <v>4013</v>
      </c>
      <c r="D1652" s="86" t="s">
        <v>2949</v>
      </c>
      <c r="E1652" s="86" t="s">
        <v>2</v>
      </c>
      <c r="F1652" s="87" t="s">
        <v>312</v>
      </c>
      <c r="G1652" s="87" t="s">
        <v>1317</v>
      </c>
      <c r="H1652" s="87"/>
      <c r="I1652" s="32"/>
      <c r="J1652" s="32"/>
      <c r="K1652" s="32"/>
      <c r="L1652" s="32"/>
      <c r="M1652" s="32"/>
      <c r="N1652" s="8"/>
      <c r="O1652" s="32">
        <v>6</v>
      </c>
      <c r="P1652" s="1">
        <v>61</v>
      </c>
      <c r="Y1652" s="20"/>
      <c r="AA1652" s="1">
        <v>1269</v>
      </c>
      <c r="AC1652" s="8"/>
      <c r="AD1652" s="12" t="s">
        <v>864</v>
      </c>
      <c r="AE1652" s="12" t="s">
        <v>529</v>
      </c>
      <c r="AF1652" s="12"/>
      <c r="AG1652" s="12"/>
      <c r="AH1652" s="12"/>
      <c r="AI1652" s="12"/>
      <c r="AJ1652" s="12"/>
      <c r="AK1652" s="12"/>
      <c r="AL1652" s="12"/>
      <c r="AM1652" s="12"/>
      <c r="AN1652" s="12"/>
      <c r="AO1652" s="12"/>
      <c r="AP1652" s="12"/>
      <c r="AQ1652" s="8"/>
      <c r="AR1652" s="34"/>
      <c r="AS1652" s="34"/>
      <c r="AT1652" s="85"/>
      <c r="AU1652" s="12" t="s">
        <v>1932</v>
      </c>
      <c r="AW1652" s="39">
        <v>1</v>
      </c>
      <c r="AX1652" s="12"/>
      <c r="AY1652" s="32"/>
      <c r="AZ1652" s="32"/>
      <c r="BA1652" s="32"/>
    </row>
    <row r="1653" spans="1:53" s="1" customFormat="1" ht="12" x14ac:dyDescent="0.2">
      <c r="A1653" s="10" t="s">
        <v>849</v>
      </c>
      <c r="B1653" s="39">
        <v>83022</v>
      </c>
      <c r="C1653" s="42" t="s">
        <v>4014</v>
      </c>
      <c r="D1653" s="86" t="s">
        <v>2949</v>
      </c>
      <c r="E1653" s="86" t="s">
        <v>2</v>
      </c>
      <c r="F1653" s="87" t="s">
        <v>312</v>
      </c>
      <c r="G1653" s="87" t="s">
        <v>1317</v>
      </c>
      <c r="H1653" s="87"/>
      <c r="I1653" s="32"/>
      <c r="J1653" s="32"/>
      <c r="K1653" s="32"/>
      <c r="L1653" s="32"/>
      <c r="M1653" s="32"/>
      <c r="N1653" s="8"/>
      <c r="O1653" s="32">
        <v>6</v>
      </c>
      <c r="P1653" s="1">
        <v>61</v>
      </c>
      <c r="Y1653" s="20"/>
      <c r="AA1653" s="1">
        <v>1437</v>
      </c>
      <c r="AC1653" s="8"/>
      <c r="AD1653" s="12" t="s">
        <v>864</v>
      </c>
      <c r="AE1653" s="39" t="str">
        <f t="shared" ref="AE1653:AE1655" si="215">BA1653</f>
        <v>6131,6132</v>
      </c>
      <c r="AF1653" s="12"/>
      <c r="AG1653" s="12"/>
      <c r="AH1653" s="12"/>
      <c r="AI1653" s="12"/>
      <c r="AJ1653" s="12"/>
      <c r="AK1653" s="12"/>
      <c r="AL1653" s="12"/>
      <c r="AM1653" s="12"/>
      <c r="AN1653" s="12"/>
      <c r="AO1653" s="12"/>
      <c r="AP1653" s="12"/>
      <c r="AQ1653" s="8"/>
      <c r="AR1653" s="34"/>
      <c r="AS1653" s="34"/>
      <c r="AT1653" s="85"/>
      <c r="AU1653" s="12" t="s">
        <v>1939</v>
      </c>
      <c r="AW1653" s="39">
        <v>2</v>
      </c>
      <c r="AX1653" s="12">
        <f>VLOOKUP(AW1653,색인!$N$14:$O$19,2,FALSE)</f>
        <v>1</v>
      </c>
      <c r="AY1653" s="32" t="str">
        <f>"T"&amp;O1653&amp;"_"&amp;AX1653&amp;"옵션_"&amp;VLOOKUP(E1653,색인!$J$25:$K$29,2,FALSE)</f>
        <v>T6_1옵션_장신구</v>
      </c>
      <c r="AZ1653" s="32">
        <f>VLOOKUP(G1653,색인!$J$32:$K$45,2,FALSE)</f>
        <v>4</v>
      </c>
      <c r="BA1653" s="32" t="str">
        <f>_xlfn.IFNA(VLOOKUP(AY1653,표1[[검색용]:[OptionGroupIndex'[']22]],EquipItemTable!AZ1653,FALSE),"옵션고정안함")</f>
        <v>6131,6132</v>
      </c>
    </row>
    <row r="1654" spans="1:53" s="1" customFormat="1" ht="12" x14ac:dyDescent="0.2">
      <c r="A1654" s="10" t="s">
        <v>850</v>
      </c>
      <c r="B1654" s="39">
        <v>83023</v>
      </c>
      <c r="C1654" s="42" t="s">
        <v>4015</v>
      </c>
      <c r="D1654" s="86" t="s">
        <v>2949</v>
      </c>
      <c r="E1654" s="86" t="s">
        <v>2</v>
      </c>
      <c r="F1654" s="87" t="s">
        <v>851</v>
      </c>
      <c r="G1654" s="87" t="s">
        <v>1317</v>
      </c>
      <c r="H1654" s="87"/>
      <c r="I1654" s="32"/>
      <c r="J1654" s="32"/>
      <c r="K1654" s="32"/>
      <c r="L1654" s="32"/>
      <c r="M1654" s="32"/>
      <c r="N1654" s="8"/>
      <c r="O1654" s="32">
        <v>6</v>
      </c>
      <c r="P1654" s="1">
        <v>61</v>
      </c>
      <c r="Y1654" s="20"/>
      <c r="AA1654" s="1">
        <v>1582</v>
      </c>
      <c r="AC1654" s="8"/>
      <c r="AD1654" s="12" t="s">
        <v>864</v>
      </c>
      <c r="AE1654" s="39" t="str">
        <f t="shared" si="215"/>
        <v>6231,6232</v>
      </c>
      <c r="AF1654" s="12"/>
      <c r="AG1654" s="12"/>
      <c r="AH1654" s="12"/>
      <c r="AI1654" s="12"/>
      <c r="AJ1654" s="12"/>
      <c r="AK1654" s="12"/>
      <c r="AL1654" s="12"/>
      <c r="AM1654" s="12"/>
      <c r="AN1654" s="12"/>
      <c r="AO1654" s="12"/>
      <c r="AP1654" s="12"/>
      <c r="AQ1654" s="8"/>
      <c r="AR1654" s="34"/>
      <c r="AS1654" s="34"/>
      <c r="AT1654" s="85"/>
      <c r="AU1654" s="12" t="s">
        <v>1940</v>
      </c>
      <c r="AW1654" s="39">
        <v>3</v>
      </c>
      <c r="AX1654" s="12">
        <f>VLOOKUP(AW1654,색인!$N$14:$O$19,2,FALSE)</f>
        <v>2</v>
      </c>
      <c r="AY1654" s="32" t="str">
        <f>"T"&amp;O1654&amp;"_"&amp;AX1654&amp;"옵션_"&amp;VLOOKUP(E1654,색인!$J$25:$K$29,2,FALSE)</f>
        <v>T6_2옵션_장신구</v>
      </c>
      <c r="AZ1654" s="32">
        <f>VLOOKUP(G1654,색인!$J$32:$K$45,2,FALSE)</f>
        <v>4</v>
      </c>
      <c r="BA1654" s="32" t="str">
        <f>_xlfn.IFNA(VLOOKUP(AY1654,표1[[검색용]:[OptionGroupIndex'[']22]],EquipItemTable!AZ1654,FALSE),"옵션고정안함")</f>
        <v>6231,6232</v>
      </c>
    </row>
    <row r="1655" spans="1:53" s="1" customFormat="1" ht="12" x14ac:dyDescent="0.2">
      <c r="A1655" s="10" t="s">
        <v>852</v>
      </c>
      <c r="B1655" s="39">
        <v>83024</v>
      </c>
      <c r="C1655" s="42" t="s">
        <v>4016</v>
      </c>
      <c r="D1655" s="86" t="s">
        <v>2949</v>
      </c>
      <c r="E1655" s="86" t="s">
        <v>2</v>
      </c>
      <c r="F1655" s="87" t="s">
        <v>312</v>
      </c>
      <c r="G1655" s="87" t="s">
        <v>1317</v>
      </c>
      <c r="H1655" s="87"/>
      <c r="I1655" s="32"/>
      <c r="J1655" s="32"/>
      <c r="K1655" s="32"/>
      <c r="L1655" s="32"/>
      <c r="M1655" s="32"/>
      <c r="N1655" s="8"/>
      <c r="O1655" s="32">
        <v>6</v>
      </c>
      <c r="P1655" s="1">
        <v>61</v>
      </c>
      <c r="Y1655" s="20"/>
      <c r="AA1655" s="1">
        <v>1741</v>
      </c>
      <c r="AC1655" s="8"/>
      <c r="AD1655" s="12" t="s">
        <v>864</v>
      </c>
      <c r="AE1655" s="39" t="str">
        <f t="shared" si="215"/>
        <v>6331,6332</v>
      </c>
      <c r="AF1655" s="12"/>
      <c r="AG1655" s="12"/>
      <c r="AH1655" s="12"/>
      <c r="AI1655" s="12"/>
      <c r="AJ1655" s="12"/>
      <c r="AK1655" s="12"/>
      <c r="AL1655" s="12"/>
      <c r="AM1655" s="12"/>
      <c r="AN1655" s="12"/>
      <c r="AO1655" s="12"/>
      <c r="AP1655" s="12"/>
      <c r="AQ1655" s="8"/>
      <c r="AR1655" s="34"/>
      <c r="AS1655" s="34"/>
      <c r="AT1655" s="85"/>
      <c r="AU1655" s="12" t="s">
        <v>1941</v>
      </c>
      <c r="AW1655" s="39">
        <v>4</v>
      </c>
      <c r="AX1655" s="12">
        <f>VLOOKUP(AW1655,색인!$N$14:$O$19,2,FALSE)</f>
        <v>3</v>
      </c>
      <c r="AY1655" s="32" t="str">
        <f>"T"&amp;O1655&amp;"_"&amp;AX1655&amp;"옵션_"&amp;VLOOKUP(E1655,색인!$J$25:$K$29,2,FALSE)</f>
        <v>T6_3옵션_장신구</v>
      </c>
      <c r="AZ1655" s="32">
        <f>VLOOKUP(G1655,색인!$J$32:$K$45,2,FALSE)</f>
        <v>4</v>
      </c>
      <c r="BA1655" s="32" t="str">
        <f>_xlfn.IFNA(VLOOKUP(AY1655,표1[[검색용]:[OptionGroupIndex'[']22]],EquipItemTable!AZ1655,FALSE),"옵션고정안함")</f>
        <v>6331,6332</v>
      </c>
    </row>
    <row r="1656" spans="1:53" s="1" customFormat="1" ht="12" x14ac:dyDescent="0.2">
      <c r="A1656" s="10" t="s">
        <v>945</v>
      </c>
      <c r="B1656" s="39">
        <v>83105</v>
      </c>
      <c r="C1656" s="42" t="s">
        <v>4017</v>
      </c>
      <c r="D1656" s="86" t="s">
        <v>2949</v>
      </c>
      <c r="E1656" s="86" t="s">
        <v>2</v>
      </c>
      <c r="F1656" s="87" t="s">
        <v>312</v>
      </c>
      <c r="G1656" s="87" t="s">
        <v>1317</v>
      </c>
      <c r="H1656" s="87"/>
      <c r="I1656" s="32"/>
      <c r="J1656" s="32"/>
      <c r="K1656" s="32"/>
      <c r="L1656" s="32"/>
      <c r="M1656" s="32"/>
      <c r="N1656" s="8"/>
      <c r="O1656" s="32">
        <v>3</v>
      </c>
      <c r="P1656" s="23">
        <v>31</v>
      </c>
      <c r="Y1656" s="20"/>
      <c r="AA1656" s="1">
        <v>384</v>
      </c>
      <c r="AC1656" s="8"/>
      <c r="AD1656" s="12" t="s">
        <v>939</v>
      </c>
      <c r="AE1656" s="12" t="s">
        <v>938</v>
      </c>
      <c r="AF1656" s="12"/>
      <c r="AG1656" s="12"/>
      <c r="AH1656" s="12"/>
      <c r="AI1656" s="12"/>
      <c r="AJ1656" s="12"/>
      <c r="AK1656" s="12"/>
      <c r="AL1656" s="12"/>
      <c r="AM1656" s="12"/>
      <c r="AN1656" s="12">
        <v>1</v>
      </c>
      <c r="AO1656" s="12"/>
      <c r="AP1656" s="12"/>
      <c r="AQ1656" s="8"/>
      <c r="AR1656" s="34"/>
      <c r="AS1656" s="34"/>
      <c r="AT1656" s="85"/>
      <c r="AU1656" s="12" t="s">
        <v>1936</v>
      </c>
      <c r="AW1656" s="39">
        <v>6</v>
      </c>
      <c r="AX1656" s="12">
        <f>VLOOKUP(AW1656,색인!$N$14:$O$19,2,FALSE)</f>
        <v>4</v>
      </c>
      <c r="AY1656" s="32" t="str">
        <f>"T"&amp;O1656&amp;"_"&amp;AX1656&amp;"옵션_"&amp;VLOOKUP(E1656,색인!$J$25:$K$29,2,FALSE)</f>
        <v>T3_4옵션_장신구</v>
      </c>
      <c r="AZ1656" s="32">
        <f>VLOOKUP(G1656,색인!$J$32:$K$45,2,FALSE)</f>
        <v>4</v>
      </c>
      <c r="BA1656" s="32" t="str">
        <f>_xlfn.IFNA(VLOOKUP(AY1656,표1[[검색용]:[OptionGroupIndex'[']22]],EquipItemTable!AZ1656,FALSE),"옵션고정안함")</f>
        <v>옵션고정안함</v>
      </c>
    </row>
    <row r="1657" spans="1:53" s="1" customFormat="1" ht="12" x14ac:dyDescent="0.2">
      <c r="A1657" s="10" t="s">
        <v>1147</v>
      </c>
      <c r="B1657" s="39">
        <v>83107</v>
      </c>
      <c r="C1657" s="42" t="s">
        <v>4018</v>
      </c>
      <c r="D1657" s="86" t="s">
        <v>2949</v>
      </c>
      <c r="E1657" s="86" t="s">
        <v>2</v>
      </c>
      <c r="F1657" s="87" t="s">
        <v>312</v>
      </c>
      <c r="G1657" s="87" t="s">
        <v>1317</v>
      </c>
      <c r="H1657" s="87"/>
      <c r="I1657" s="32"/>
      <c r="J1657" s="32"/>
      <c r="K1657" s="32"/>
      <c r="L1657" s="32"/>
      <c r="M1657" s="32"/>
      <c r="N1657" s="8"/>
      <c r="O1657" s="32">
        <v>3</v>
      </c>
      <c r="P1657" s="23">
        <v>31</v>
      </c>
      <c r="Y1657" s="20"/>
      <c r="AA1657" s="1">
        <v>384</v>
      </c>
      <c r="AC1657" s="8"/>
      <c r="AD1657" s="12" t="s">
        <v>336</v>
      </c>
      <c r="AE1657" s="12" t="s">
        <v>430</v>
      </c>
      <c r="AF1657" s="12"/>
      <c r="AG1657" s="12"/>
      <c r="AH1657" s="12"/>
      <c r="AI1657" s="12"/>
      <c r="AJ1657" s="12"/>
      <c r="AK1657" s="12"/>
      <c r="AL1657" s="12"/>
      <c r="AM1657" s="12"/>
      <c r="AN1657" s="12">
        <v>2</v>
      </c>
      <c r="AO1657" s="12"/>
      <c r="AP1657" s="12"/>
      <c r="AQ1657" s="8"/>
      <c r="AR1657" s="34"/>
      <c r="AS1657" s="34"/>
      <c r="AT1657" s="85"/>
      <c r="AU1657" s="12" t="s">
        <v>1936</v>
      </c>
      <c r="AW1657" s="39">
        <v>6</v>
      </c>
      <c r="AX1657" s="12">
        <f>VLOOKUP(AW1657,색인!$N$14:$O$19,2,FALSE)</f>
        <v>4</v>
      </c>
      <c r="AY1657" s="32" t="str">
        <f>"T"&amp;O1657&amp;"_"&amp;AX1657&amp;"옵션_"&amp;VLOOKUP(E1657,색인!$J$25:$K$29,2,FALSE)</f>
        <v>T3_4옵션_장신구</v>
      </c>
      <c r="AZ1657" s="32">
        <f>VLOOKUP(G1657,색인!$J$32:$K$45,2,FALSE)</f>
        <v>4</v>
      </c>
      <c r="BA1657" s="32" t="str">
        <f>_xlfn.IFNA(VLOOKUP(AY1657,표1[[검색용]:[OptionGroupIndex'[']22]],EquipItemTable!AZ1657,FALSE),"옵션고정안함")</f>
        <v>옵션고정안함</v>
      </c>
    </row>
    <row r="1658" spans="1:53" s="1" customFormat="1" ht="12" x14ac:dyDescent="0.2">
      <c r="A1658" s="10" t="s">
        <v>1148</v>
      </c>
      <c r="B1658" s="39">
        <v>83106</v>
      </c>
      <c r="C1658" s="42" t="s">
        <v>4019</v>
      </c>
      <c r="D1658" s="86" t="s">
        <v>2949</v>
      </c>
      <c r="E1658" s="86" t="s">
        <v>2</v>
      </c>
      <c r="F1658" s="87" t="s">
        <v>312</v>
      </c>
      <c r="G1658" s="87" t="s">
        <v>1317</v>
      </c>
      <c r="H1658" s="87"/>
      <c r="I1658" s="32"/>
      <c r="J1658" s="32"/>
      <c r="K1658" s="32"/>
      <c r="L1658" s="32"/>
      <c r="M1658" s="32"/>
      <c r="N1658" s="8"/>
      <c r="O1658" s="32">
        <v>3</v>
      </c>
      <c r="P1658" s="23">
        <v>31</v>
      </c>
      <c r="Y1658" s="20"/>
      <c r="AA1658" s="1">
        <v>384</v>
      </c>
      <c r="AC1658" s="8"/>
      <c r="AD1658" s="12" t="s">
        <v>336</v>
      </c>
      <c r="AE1658" s="12" t="s">
        <v>430</v>
      </c>
      <c r="AF1658" s="12"/>
      <c r="AG1658" s="12"/>
      <c r="AH1658" s="12"/>
      <c r="AI1658" s="12"/>
      <c r="AJ1658" s="12"/>
      <c r="AK1658" s="12"/>
      <c r="AL1658" s="12"/>
      <c r="AM1658" s="12"/>
      <c r="AN1658" s="12">
        <v>3</v>
      </c>
      <c r="AO1658" s="12"/>
      <c r="AP1658" s="12"/>
      <c r="AQ1658" s="8"/>
      <c r="AR1658" s="34"/>
      <c r="AS1658" s="34"/>
      <c r="AT1658" s="85"/>
      <c r="AU1658" s="12" t="s">
        <v>1936</v>
      </c>
      <c r="AW1658" s="39">
        <v>6</v>
      </c>
      <c r="AX1658" s="12">
        <f>VLOOKUP(AW1658,색인!$N$14:$O$19,2,FALSE)</f>
        <v>4</v>
      </c>
      <c r="AY1658" s="32" t="str">
        <f>"T"&amp;O1658&amp;"_"&amp;AX1658&amp;"옵션_"&amp;VLOOKUP(E1658,색인!$J$25:$K$29,2,FALSE)</f>
        <v>T3_4옵션_장신구</v>
      </c>
      <c r="AZ1658" s="32">
        <f>VLOOKUP(G1658,색인!$J$32:$K$45,2,FALSE)</f>
        <v>4</v>
      </c>
      <c r="BA1658" s="32" t="str">
        <f>_xlfn.IFNA(VLOOKUP(AY1658,표1[[검색용]:[OptionGroupIndex'[']22]],EquipItemTable!AZ1658,FALSE),"옵션고정안함")</f>
        <v>옵션고정안함</v>
      </c>
    </row>
    <row r="1659" spans="1:53" s="1" customFormat="1" ht="12" x14ac:dyDescent="0.2">
      <c r="A1659" s="10" t="s">
        <v>1149</v>
      </c>
      <c r="B1659" s="39">
        <v>83101</v>
      </c>
      <c r="C1659" s="42" t="s">
        <v>4020</v>
      </c>
      <c r="D1659" s="86" t="s">
        <v>2949</v>
      </c>
      <c r="E1659" s="86" t="s">
        <v>2</v>
      </c>
      <c r="F1659" s="87" t="s">
        <v>312</v>
      </c>
      <c r="G1659" s="87" t="s">
        <v>1317</v>
      </c>
      <c r="H1659" s="87"/>
      <c r="I1659" s="32"/>
      <c r="J1659" s="32"/>
      <c r="K1659" s="32"/>
      <c r="L1659" s="32"/>
      <c r="M1659" s="32"/>
      <c r="N1659" s="8"/>
      <c r="O1659" s="32">
        <v>3</v>
      </c>
      <c r="P1659" s="23">
        <v>31</v>
      </c>
      <c r="Y1659" s="20"/>
      <c r="AA1659" s="1">
        <v>384</v>
      </c>
      <c r="AC1659" s="8"/>
      <c r="AD1659" s="12" t="s">
        <v>336</v>
      </c>
      <c r="AE1659" s="12" t="s">
        <v>430</v>
      </c>
      <c r="AF1659" s="12"/>
      <c r="AG1659" s="12"/>
      <c r="AH1659" s="12"/>
      <c r="AI1659" s="12"/>
      <c r="AJ1659" s="12"/>
      <c r="AK1659" s="12"/>
      <c r="AL1659" s="12"/>
      <c r="AM1659" s="12"/>
      <c r="AN1659" s="12">
        <v>4</v>
      </c>
      <c r="AO1659" s="12"/>
      <c r="AP1659" s="12"/>
      <c r="AQ1659" s="8"/>
      <c r="AR1659" s="34"/>
      <c r="AS1659" s="34"/>
      <c r="AT1659" s="85"/>
      <c r="AU1659" s="12" t="s">
        <v>1936</v>
      </c>
      <c r="AW1659" s="39">
        <v>6</v>
      </c>
      <c r="AX1659" s="12">
        <f>VLOOKUP(AW1659,색인!$N$14:$O$19,2,FALSE)</f>
        <v>4</v>
      </c>
      <c r="AY1659" s="32" t="str">
        <f>"T"&amp;O1659&amp;"_"&amp;AX1659&amp;"옵션_"&amp;VLOOKUP(E1659,색인!$J$25:$K$29,2,FALSE)</f>
        <v>T3_4옵션_장신구</v>
      </c>
      <c r="AZ1659" s="32">
        <f>VLOOKUP(G1659,색인!$J$32:$K$45,2,FALSE)</f>
        <v>4</v>
      </c>
      <c r="BA1659" s="32" t="str">
        <f>_xlfn.IFNA(VLOOKUP(AY1659,표1[[검색용]:[OptionGroupIndex'[']22]],EquipItemTable!AZ1659,FALSE),"옵션고정안함")</f>
        <v>옵션고정안함</v>
      </c>
    </row>
    <row r="1660" spans="1:53" s="1" customFormat="1" ht="12" x14ac:dyDescent="0.2">
      <c r="A1660" s="10" t="s">
        <v>946</v>
      </c>
      <c r="B1660" s="39">
        <v>83108</v>
      </c>
      <c r="C1660" s="42" t="s">
        <v>4017</v>
      </c>
      <c r="D1660" s="86" t="s">
        <v>2949</v>
      </c>
      <c r="E1660" s="86" t="s">
        <v>2</v>
      </c>
      <c r="F1660" s="87" t="s">
        <v>312</v>
      </c>
      <c r="G1660" s="87" t="s">
        <v>1317</v>
      </c>
      <c r="H1660" s="87"/>
      <c r="I1660" s="32"/>
      <c r="J1660" s="32"/>
      <c r="K1660" s="32"/>
      <c r="L1660" s="32"/>
      <c r="M1660" s="32"/>
      <c r="N1660" s="8"/>
      <c r="O1660" s="32">
        <v>4</v>
      </c>
      <c r="P1660" s="23">
        <v>41</v>
      </c>
      <c r="Y1660" s="20"/>
      <c r="AA1660" s="1">
        <v>736</v>
      </c>
      <c r="AC1660" s="8"/>
      <c r="AD1660" s="12" t="s">
        <v>939</v>
      </c>
      <c r="AE1660" s="12" t="s">
        <v>938</v>
      </c>
      <c r="AF1660" s="12"/>
      <c r="AG1660" s="12"/>
      <c r="AH1660" s="12"/>
      <c r="AI1660" s="12"/>
      <c r="AJ1660" s="12"/>
      <c r="AK1660" s="12"/>
      <c r="AL1660" s="12"/>
      <c r="AM1660" s="12"/>
      <c r="AN1660" s="12">
        <v>1</v>
      </c>
      <c r="AO1660" s="12"/>
      <c r="AP1660" s="12"/>
      <c r="AQ1660" s="8"/>
      <c r="AR1660" s="34"/>
      <c r="AS1660" s="34"/>
      <c r="AT1660" s="85"/>
      <c r="AU1660" s="12" t="s">
        <v>1936</v>
      </c>
      <c r="AV1660" s="1" t="s">
        <v>940</v>
      </c>
      <c r="AW1660" s="39">
        <v>6</v>
      </c>
      <c r="AX1660" s="12">
        <f>VLOOKUP(AW1660,색인!$N$14:$O$19,2,FALSE)</f>
        <v>4</v>
      </c>
      <c r="AY1660" s="32" t="str">
        <f>"T"&amp;O1660&amp;"_"&amp;AX1660&amp;"옵션_"&amp;VLOOKUP(E1660,색인!$J$25:$K$29,2,FALSE)</f>
        <v>T4_4옵션_장신구</v>
      </c>
      <c r="AZ1660" s="32">
        <f>VLOOKUP(G1660,색인!$J$32:$K$45,2,FALSE)</f>
        <v>4</v>
      </c>
      <c r="BA1660" s="32" t="str">
        <f>_xlfn.IFNA(VLOOKUP(AY1660,표1[[검색용]:[OptionGroupIndex'[']22]],EquipItemTable!AZ1660,FALSE),"옵션고정안함")</f>
        <v>옵션고정안함</v>
      </c>
    </row>
    <row r="1661" spans="1:53" s="1" customFormat="1" ht="12" x14ac:dyDescent="0.2">
      <c r="A1661" s="10" t="s">
        <v>1150</v>
      </c>
      <c r="B1661" s="39">
        <v>83110</v>
      </c>
      <c r="C1661" s="42" t="s">
        <v>4018</v>
      </c>
      <c r="D1661" s="86" t="s">
        <v>2949</v>
      </c>
      <c r="E1661" s="86" t="s">
        <v>2</v>
      </c>
      <c r="F1661" s="87" t="s">
        <v>312</v>
      </c>
      <c r="G1661" s="87" t="s">
        <v>1317</v>
      </c>
      <c r="H1661" s="87"/>
      <c r="I1661" s="32"/>
      <c r="J1661" s="32"/>
      <c r="K1661" s="32"/>
      <c r="L1661" s="32"/>
      <c r="M1661" s="32"/>
      <c r="N1661" s="8"/>
      <c r="O1661" s="32">
        <v>4</v>
      </c>
      <c r="P1661" s="23">
        <v>41</v>
      </c>
      <c r="Y1661" s="20"/>
      <c r="AA1661" s="1">
        <v>736</v>
      </c>
      <c r="AC1661" s="8"/>
      <c r="AD1661" s="12" t="s">
        <v>336</v>
      </c>
      <c r="AE1661" s="12" t="s">
        <v>430</v>
      </c>
      <c r="AF1661" s="12"/>
      <c r="AG1661" s="12"/>
      <c r="AH1661" s="12"/>
      <c r="AI1661" s="12"/>
      <c r="AJ1661" s="12"/>
      <c r="AK1661" s="12"/>
      <c r="AL1661" s="12"/>
      <c r="AM1661" s="12"/>
      <c r="AN1661" s="12">
        <v>2</v>
      </c>
      <c r="AO1661" s="12"/>
      <c r="AP1661" s="12"/>
      <c r="AQ1661" s="8"/>
      <c r="AR1661" s="34"/>
      <c r="AS1661" s="34"/>
      <c r="AT1661" s="85"/>
      <c r="AU1661" s="12" t="s">
        <v>1936</v>
      </c>
      <c r="AV1661" s="1" t="s">
        <v>940</v>
      </c>
      <c r="AW1661" s="39">
        <v>6</v>
      </c>
      <c r="AX1661" s="12">
        <f>VLOOKUP(AW1661,색인!$N$14:$O$19,2,FALSE)</f>
        <v>4</v>
      </c>
      <c r="AY1661" s="32" t="str">
        <f>"T"&amp;O1661&amp;"_"&amp;AX1661&amp;"옵션_"&amp;VLOOKUP(E1661,색인!$J$25:$K$29,2,FALSE)</f>
        <v>T4_4옵션_장신구</v>
      </c>
      <c r="AZ1661" s="32">
        <f>VLOOKUP(G1661,색인!$J$32:$K$45,2,FALSE)</f>
        <v>4</v>
      </c>
      <c r="BA1661" s="32" t="str">
        <f>_xlfn.IFNA(VLOOKUP(AY1661,표1[[검색용]:[OptionGroupIndex'[']22]],EquipItemTable!AZ1661,FALSE),"옵션고정안함")</f>
        <v>옵션고정안함</v>
      </c>
    </row>
    <row r="1662" spans="1:53" s="1" customFormat="1" ht="12" x14ac:dyDescent="0.2">
      <c r="A1662" s="10" t="s">
        <v>1151</v>
      </c>
      <c r="B1662" s="39">
        <v>83109</v>
      </c>
      <c r="C1662" s="42" t="s">
        <v>4019</v>
      </c>
      <c r="D1662" s="86" t="s">
        <v>2949</v>
      </c>
      <c r="E1662" s="86" t="s">
        <v>2</v>
      </c>
      <c r="F1662" s="87" t="s">
        <v>312</v>
      </c>
      <c r="G1662" s="87" t="s">
        <v>1317</v>
      </c>
      <c r="H1662" s="87"/>
      <c r="I1662" s="32"/>
      <c r="N1662" s="8"/>
      <c r="O1662" s="32">
        <v>4</v>
      </c>
      <c r="P1662" s="23">
        <v>41</v>
      </c>
      <c r="Y1662" s="20"/>
      <c r="AA1662" s="1">
        <v>736</v>
      </c>
      <c r="AC1662" s="8"/>
      <c r="AD1662" s="12" t="s">
        <v>336</v>
      </c>
      <c r="AE1662" s="12" t="s">
        <v>430</v>
      </c>
      <c r="AF1662" s="12"/>
      <c r="AG1662" s="12"/>
      <c r="AH1662" s="12"/>
      <c r="AI1662" s="12"/>
      <c r="AJ1662" s="12"/>
      <c r="AK1662" s="12"/>
      <c r="AL1662" s="12"/>
      <c r="AM1662" s="12"/>
      <c r="AN1662" s="12">
        <v>3</v>
      </c>
      <c r="AO1662" s="12"/>
      <c r="AP1662" s="12"/>
      <c r="AQ1662" s="8"/>
      <c r="AR1662" s="34"/>
      <c r="AS1662" s="34"/>
      <c r="AT1662" s="85"/>
      <c r="AU1662" s="12" t="s">
        <v>1936</v>
      </c>
      <c r="AV1662" s="1" t="s">
        <v>940</v>
      </c>
      <c r="AW1662" s="39">
        <v>6</v>
      </c>
      <c r="AX1662" s="12">
        <f>VLOOKUP(AW1662,색인!$N$14:$O$19,2,FALSE)</f>
        <v>4</v>
      </c>
      <c r="AY1662" s="32" t="str">
        <f>"T"&amp;O1662&amp;"_"&amp;AX1662&amp;"옵션_"&amp;VLOOKUP(E1662,색인!$J$25:$K$29,2,FALSE)</f>
        <v>T4_4옵션_장신구</v>
      </c>
      <c r="AZ1662" s="32">
        <f>VLOOKUP(G1662,색인!$J$32:$K$45,2,FALSE)</f>
        <v>4</v>
      </c>
      <c r="BA1662" s="32" t="str">
        <f>_xlfn.IFNA(VLOOKUP(AY1662,표1[[검색용]:[OptionGroupIndex'[']22]],EquipItemTable!AZ1662,FALSE),"옵션고정안함")</f>
        <v>옵션고정안함</v>
      </c>
    </row>
    <row r="1663" spans="1:53" s="1" customFormat="1" ht="12" x14ac:dyDescent="0.2">
      <c r="A1663" s="10" t="s">
        <v>1152</v>
      </c>
      <c r="B1663" s="39">
        <v>83102</v>
      </c>
      <c r="C1663" s="42" t="s">
        <v>4020</v>
      </c>
      <c r="D1663" s="86" t="s">
        <v>2949</v>
      </c>
      <c r="E1663" s="86" t="s">
        <v>2</v>
      </c>
      <c r="F1663" s="87" t="s">
        <v>312</v>
      </c>
      <c r="G1663" s="87" t="s">
        <v>1317</v>
      </c>
      <c r="H1663" s="87"/>
      <c r="I1663" s="32"/>
      <c r="N1663" s="8"/>
      <c r="O1663" s="32">
        <v>4</v>
      </c>
      <c r="P1663" s="23">
        <v>41</v>
      </c>
      <c r="Y1663" s="20"/>
      <c r="AA1663" s="1">
        <v>736</v>
      </c>
      <c r="AC1663" s="8"/>
      <c r="AD1663" s="12" t="s">
        <v>336</v>
      </c>
      <c r="AE1663" s="12" t="s">
        <v>430</v>
      </c>
      <c r="AF1663" s="12"/>
      <c r="AG1663" s="12"/>
      <c r="AH1663" s="12"/>
      <c r="AI1663" s="12"/>
      <c r="AJ1663" s="12"/>
      <c r="AK1663" s="12"/>
      <c r="AL1663" s="12"/>
      <c r="AM1663" s="12"/>
      <c r="AN1663" s="12">
        <v>4</v>
      </c>
      <c r="AO1663" s="12"/>
      <c r="AP1663" s="12"/>
      <c r="AQ1663" s="8"/>
      <c r="AR1663" s="34"/>
      <c r="AS1663" s="34"/>
      <c r="AT1663" s="85"/>
      <c r="AU1663" s="12" t="s">
        <v>1936</v>
      </c>
      <c r="AV1663" s="1" t="s">
        <v>940</v>
      </c>
      <c r="AW1663" s="39">
        <v>6</v>
      </c>
      <c r="AX1663" s="12">
        <f>VLOOKUP(AW1663,색인!$N$14:$O$19,2,FALSE)</f>
        <v>4</v>
      </c>
      <c r="AY1663" s="32" t="str">
        <f>"T"&amp;O1663&amp;"_"&amp;AX1663&amp;"옵션_"&amp;VLOOKUP(E1663,색인!$J$25:$K$29,2,FALSE)</f>
        <v>T4_4옵션_장신구</v>
      </c>
      <c r="AZ1663" s="32">
        <f>VLOOKUP(G1663,색인!$J$32:$K$45,2,FALSE)</f>
        <v>4</v>
      </c>
      <c r="BA1663" s="32" t="str">
        <f>_xlfn.IFNA(VLOOKUP(AY1663,표1[[검색용]:[OptionGroupIndex'[']22]],EquipItemTable!AZ1663,FALSE),"옵션고정안함")</f>
        <v>옵션고정안함</v>
      </c>
    </row>
    <row r="1664" spans="1:53" s="1" customFormat="1" ht="12" x14ac:dyDescent="0.2">
      <c r="A1664" s="10" t="s">
        <v>947</v>
      </c>
      <c r="B1664" s="39">
        <v>83111</v>
      </c>
      <c r="C1664" s="42" t="s">
        <v>4017</v>
      </c>
      <c r="D1664" s="86" t="s">
        <v>2949</v>
      </c>
      <c r="E1664" s="86" t="s">
        <v>2</v>
      </c>
      <c r="F1664" s="87" t="s">
        <v>522</v>
      </c>
      <c r="G1664" s="87" t="s">
        <v>1317</v>
      </c>
      <c r="H1664" s="87"/>
      <c r="I1664" s="32"/>
      <c r="N1664" s="8"/>
      <c r="O1664" s="32">
        <v>5</v>
      </c>
      <c r="P1664" s="23">
        <v>51</v>
      </c>
      <c r="Y1664" s="20"/>
      <c r="AA1664" s="1">
        <v>1377</v>
      </c>
      <c r="AC1664" s="8"/>
      <c r="AD1664" s="12" t="s">
        <v>939</v>
      </c>
      <c r="AE1664" s="12" t="s">
        <v>938</v>
      </c>
      <c r="AF1664" s="12"/>
      <c r="AG1664" s="23"/>
      <c r="AH1664" s="23"/>
      <c r="AI1664" s="12"/>
      <c r="AJ1664" s="12"/>
      <c r="AK1664" s="12"/>
      <c r="AL1664" s="12"/>
      <c r="AM1664" s="12"/>
      <c r="AN1664" s="12">
        <v>1</v>
      </c>
      <c r="AO1664" s="12"/>
      <c r="AP1664" s="12"/>
      <c r="AQ1664" s="8"/>
      <c r="AR1664" s="34"/>
      <c r="AS1664" s="34"/>
      <c r="AT1664" s="85"/>
      <c r="AU1664" s="12" t="s">
        <v>1936</v>
      </c>
      <c r="AW1664" s="39">
        <v>6</v>
      </c>
      <c r="AX1664" s="12">
        <f>VLOOKUP(AW1664,색인!$N$14:$O$19,2,FALSE)</f>
        <v>4</v>
      </c>
      <c r="AY1664" s="32" t="str">
        <f>"T"&amp;O1664&amp;"_"&amp;AX1664&amp;"옵션_"&amp;VLOOKUP(E1664,색인!$J$25:$K$29,2,FALSE)</f>
        <v>T5_4옵션_장신구</v>
      </c>
      <c r="AZ1664" s="32">
        <f>VLOOKUP(G1664,색인!$J$32:$K$45,2,FALSE)</f>
        <v>4</v>
      </c>
      <c r="BA1664" s="32" t="str">
        <f>_xlfn.IFNA(VLOOKUP(AY1664,표1[[검색용]:[OptionGroupIndex'[']22]],EquipItemTable!AZ1664,FALSE),"옵션고정안함")</f>
        <v>옵션고정안함</v>
      </c>
    </row>
    <row r="1665" spans="1:53" s="1" customFormat="1" ht="12" x14ac:dyDescent="0.2">
      <c r="A1665" s="10" t="s">
        <v>1153</v>
      </c>
      <c r="B1665" s="39">
        <v>83113</v>
      </c>
      <c r="C1665" s="42" t="s">
        <v>4018</v>
      </c>
      <c r="D1665" s="86" t="s">
        <v>2949</v>
      </c>
      <c r="E1665" s="86" t="s">
        <v>2</v>
      </c>
      <c r="F1665" s="87" t="s">
        <v>522</v>
      </c>
      <c r="G1665" s="87" t="s">
        <v>1317</v>
      </c>
      <c r="H1665" s="87"/>
      <c r="I1665" s="32"/>
      <c r="N1665" s="8"/>
      <c r="O1665" s="32">
        <v>5</v>
      </c>
      <c r="P1665" s="23">
        <v>51</v>
      </c>
      <c r="Y1665" s="20"/>
      <c r="AA1665" s="1">
        <v>1377</v>
      </c>
      <c r="AC1665" s="8"/>
      <c r="AD1665" s="12" t="s">
        <v>336</v>
      </c>
      <c r="AE1665" s="12" t="s">
        <v>430</v>
      </c>
      <c r="AF1665" s="12"/>
      <c r="AG1665" s="12"/>
      <c r="AH1665" s="12"/>
      <c r="AI1665" s="12"/>
      <c r="AJ1665" s="12"/>
      <c r="AK1665" s="12"/>
      <c r="AL1665" s="12"/>
      <c r="AM1665" s="12"/>
      <c r="AN1665" s="12">
        <v>2</v>
      </c>
      <c r="AO1665" s="12"/>
      <c r="AP1665" s="12"/>
      <c r="AQ1665" s="8"/>
      <c r="AR1665" s="34"/>
      <c r="AS1665" s="34"/>
      <c r="AT1665" s="85"/>
      <c r="AU1665" s="12" t="s">
        <v>1936</v>
      </c>
      <c r="AW1665" s="39">
        <v>6</v>
      </c>
      <c r="AX1665" s="12">
        <f>VLOOKUP(AW1665,색인!$N$14:$O$19,2,FALSE)</f>
        <v>4</v>
      </c>
      <c r="AY1665" s="32" t="str">
        <f>"T"&amp;O1665&amp;"_"&amp;AX1665&amp;"옵션_"&amp;VLOOKUP(E1665,색인!$J$25:$K$29,2,FALSE)</f>
        <v>T5_4옵션_장신구</v>
      </c>
      <c r="AZ1665" s="32">
        <f>VLOOKUP(G1665,색인!$J$32:$K$45,2,FALSE)</f>
        <v>4</v>
      </c>
      <c r="BA1665" s="32" t="str">
        <f>_xlfn.IFNA(VLOOKUP(AY1665,표1[[검색용]:[OptionGroupIndex'[']22]],EquipItemTable!AZ1665,FALSE),"옵션고정안함")</f>
        <v>옵션고정안함</v>
      </c>
    </row>
    <row r="1666" spans="1:53" s="1" customFormat="1" ht="12" x14ac:dyDescent="0.2">
      <c r="A1666" s="10" t="s">
        <v>1154</v>
      </c>
      <c r="B1666" s="39">
        <v>83112</v>
      </c>
      <c r="C1666" s="42" t="s">
        <v>4019</v>
      </c>
      <c r="D1666" s="86" t="s">
        <v>2949</v>
      </c>
      <c r="E1666" s="86" t="s">
        <v>2</v>
      </c>
      <c r="F1666" s="87" t="s">
        <v>522</v>
      </c>
      <c r="G1666" s="87" t="s">
        <v>1317</v>
      </c>
      <c r="H1666" s="87"/>
      <c r="I1666" s="32"/>
      <c r="J1666" s="32"/>
      <c r="K1666" s="32"/>
      <c r="L1666" s="32"/>
      <c r="M1666" s="32"/>
      <c r="N1666" s="8"/>
      <c r="O1666" s="32">
        <v>5</v>
      </c>
      <c r="P1666" s="23">
        <v>51</v>
      </c>
      <c r="Y1666" s="20"/>
      <c r="AA1666" s="1">
        <v>1377</v>
      </c>
      <c r="AC1666" s="8"/>
      <c r="AD1666" s="12" t="s">
        <v>336</v>
      </c>
      <c r="AE1666" s="12" t="s">
        <v>430</v>
      </c>
      <c r="AF1666" s="12"/>
      <c r="AG1666" s="12"/>
      <c r="AH1666" s="12"/>
      <c r="AI1666" s="12"/>
      <c r="AJ1666" s="12"/>
      <c r="AK1666" s="12"/>
      <c r="AL1666" s="12"/>
      <c r="AM1666" s="12"/>
      <c r="AN1666" s="12">
        <v>3</v>
      </c>
      <c r="AO1666" s="12"/>
      <c r="AP1666" s="12"/>
      <c r="AQ1666" s="8"/>
      <c r="AR1666" s="34"/>
      <c r="AS1666" s="34"/>
      <c r="AT1666" s="85"/>
      <c r="AU1666" s="12" t="s">
        <v>1936</v>
      </c>
      <c r="AW1666" s="39">
        <v>6</v>
      </c>
      <c r="AX1666" s="12">
        <f>VLOOKUP(AW1666,색인!$N$14:$O$19,2,FALSE)</f>
        <v>4</v>
      </c>
      <c r="AY1666" s="32" t="str">
        <f>"T"&amp;O1666&amp;"_"&amp;AX1666&amp;"옵션_"&amp;VLOOKUP(E1666,색인!$J$25:$K$29,2,FALSE)</f>
        <v>T5_4옵션_장신구</v>
      </c>
      <c r="AZ1666" s="32">
        <f>VLOOKUP(G1666,색인!$J$32:$K$45,2,FALSE)</f>
        <v>4</v>
      </c>
      <c r="BA1666" s="32" t="str">
        <f>_xlfn.IFNA(VLOOKUP(AY1666,표1[[검색용]:[OptionGroupIndex'[']22]],EquipItemTable!AZ1666,FALSE),"옵션고정안함")</f>
        <v>옵션고정안함</v>
      </c>
    </row>
    <row r="1667" spans="1:53" s="1" customFormat="1" ht="12" x14ac:dyDescent="0.2">
      <c r="A1667" s="10" t="s">
        <v>1155</v>
      </c>
      <c r="B1667" s="39">
        <v>83103</v>
      </c>
      <c r="C1667" s="42" t="s">
        <v>4020</v>
      </c>
      <c r="D1667" s="86" t="s">
        <v>2949</v>
      </c>
      <c r="E1667" s="86" t="s">
        <v>2</v>
      </c>
      <c r="F1667" s="87" t="s">
        <v>522</v>
      </c>
      <c r="G1667" s="87" t="s">
        <v>1317</v>
      </c>
      <c r="H1667" s="87"/>
      <c r="I1667" s="32"/>
      <c r="J1667" s="32"/>
      <c r="K1667" s="32"/>
      <c r="L1667" s="32"/>
      <c r="M1667" s="32"/>
      <c r="N1667" s="8"/>
      <c r="O1667" s="32">
        <v>5</v>
      </c>
      <c r="P1667" s="23">
        <v>51</v>
      </c>
      <c r="Y1667" s="20"/>
      <c r="AA1667" s="1">
        <v>1377</v>
      </c>
      <c r="AC1667" s="8"/>
      <c r="AD1667" s="12" t="s">
        <v>336</v>
      </c>
      <c r="AE1667" s="12" t="s">
        <v>430</v>
      </c>
      <c r="AF1667" s="12"/>
      <c r="AG1667" s="12"/>
      <c r="AH1667" s="12"/>
      <c r="AI1667" s="12"/>
      <c r="AJ1667" s="12"/>
      <c r="AK1667" s="12"/>
      <c r="AL1667" s="12"/>
      <c r="AM1667" s="12"/>
      <c r="AN1667" s="12">
        <v>4</v>
      </c>
      <c r="AO1667" s="12"/>
      <c r="AP1667" s="12"/>
      <c r="AQ1667" s="8"/>
      <c r="AR1667" s="34"/>
      <c r="AS1667" s="34"/>
      <c r="AT1667" s="85"/>
      <c r="AU1667" s="12" t="s">
        <v>1936</v>
      </c>
      <c r="AW1667" s="39">
        <v>6</v>
      </c>
      <c r="AX1667" s="12">
        <f>VLOOKUP(AW1667,색인!$N$14:$O$19,2,FALSE)</f>
        <v>4</v>
      </c>
      <c r="AY1667" s="32" t="str">
        <f>"T"&amp;O1667&amp;"_"&amp;AX1667&amp;"옵션_"&amp;VLOOKUP(E1667,색인!$J$25:$K$29,2,FALSE)</f>
        <v>T5_4옵션_장신구</v>
      </c>
      <c r="AZ1667" s="32">
        <f>VLOOKUP(G1667,색인!$J$32:$K$45,2,FALSE)</f>
        <v>4</v>
      </c>
      <c r="BA1667" s="32" t="str">
        <f>_xlfn.IFNA(VLOOKUP(AY1667,표1[[검색용]:[OptionGroupIndex'[']22]],EquipItemTable!AZ1667,FALSE),"옵션고정안함")</f>
        <v>옵션고정안함</v>
      </c>
    </row>
    <row r="1668" spans="1:53" s="1" customFormat="1" ht="12" x14ac:dyDescent="0.2">
      <c r="A1668" s="10" t="s">
        <v>948</v>
      </c>
      <c r="B1668" s="39">
        <v>83114</v>
      </c>
      <c r="C1668" s="42" t="s">
        <v>4017</v>
      </c>
      <c r="D1668" s="86" t="s">
        <v>2949</v>
      </c>
      <c r="E1668" s="86" t="s">
        <v>2</v>
      </c>
      <c r="F1668" s="87" t="s">
        <v>312</v>
      </c>
      <c r="G1668" s="87" t="s">
        <v>1317</v>
      </c>
      <c r="H1668" s="87"/>
      <c r="I1668" s="32"/>
      <c r="J1668" s="32"/>
      <c r="K1668" s="32"/>
      <c r="L1668" s="32"/>
      <c r="M1668" s="32"/>
      <c r="N1668" s="8"/>
      <c r="O1668" s="32">
        <v>6</v>
      </c>
      <c r="P1668" s="23">
        <v>61</v>
      </c>
      <c r="Y1668" s="20"/>
      <c r="AA1668" s="1">
        <v>1993</v>
      </c>
      <c r="AC1668" s="8"/>
      <c r="AD1668" s="12" t="s">
        <v>939</v>
      </c>
      <c r="AE1668" s="39" t="str">
        <f>BA1668</f>
        <v>6431,6432</v>
      </c>
      <c r="AF1668" s="12"/>
      <c r="AG1668" s="12"/>
      <c r="AH1668" s="12"/>
      <c r="AI1668" s="12"/>
      <c r="AJ1668" s="12"/>
      <c r="AK1668" s="12"/>
      <c r="AL1668" s="12"/>
      <c r="AM1668" s="12"/>
      <c r="AN1668" s="12">
        <v>1</v>
      </c>
      <c r="AO1668" s="12"/>
      <c r="AP1668" s="12"/>
      <c r="AQ1668" s="8"/>
      <c r="AR1668" s="34"/>
      <c r="AS1668" s="34"/>
      <c r="AT1668" s="85"/>
      <c r="AU1668" s="12" t="s">
        <v>1936</v>
      </c>
      <c r="AW1668" s="39">
        <v>6</v>
      </c>
      <c r="AX1668" s="12">
        <f>VLOOKUP(AW1668,색인!$N$14:$O$19,2,FALSE)</f>
        <v>4</v>
      </c>
      <c r="AY1668" s="32" t="str">
        <f>"T"&amp;O1668&amp;"_"&amp;AX1668&amp;"옵션_"&amp;VLOOKUP(E1668,색인!$J$25:$K$29,2,FALSE)</f>
        <v>T6_4옵션_장신구</v>
      </c>
      <c r="AZ1668" s="32">
        <f>VLOOKUP(G1668,색인!$J$32:$K$45,2,FALSE)</f>
        <v>4</v>
      </c>
      <c r="BA1668" s="32" t="str">
        <f>_xlfn.IFNA(VLOOKUP(AY1668,표1[[검색용]:[OptionGroupIndex'[']22]],EquipItemTable!AZ1668,FALSE),"옵션고정안함")</f>
        <v>6431,6432</v>
      </c>
    </row>
    <row r="1669" spans="1:53" s="1" customFormat="1" ht="12" x14ac:dyDescent="0.2">
      <c r="A1669" s="10" t="s">
        <v>1156</v>
      </c>
      <c r="B1669" s="39">
        <v>83116</v>
      </c>
      <c r="C1669" s="42" t="s">
        <v>4018</v>
      </c>
      <c r="D1669" s="86" t="s">
        <v>2949</v>
      </c>
      <c r="E1669" s="86" t="s">
        <v>2</v>
      </c>
      <c r="F1669" s="87" t="s">
        <v>312</v>
      </c>
      <c r="G1669" s="87" t="s">
        <v>1317</v>
      </c>
      <c r="H1669" s="87"/>
      <c r="I1669" s="32"/>
      <c r="J1669" s="32"/>
      <c r="K1669" s="32"/>
      <c r="L1669" s="32"/>
      <c r="M1669" s="32"/>
      <c r="N1669" s="8"/>
      <c r="O1669" s="32">
        <v>6</v>
      </c>
      <c r="P1669" s="23">
        <v>61</v>
      </c>
      <c r="Y1669" s="20"/>
      <c r="AA1669" s="1">
        <v>1993</v>
      </c>
      <c r="AC1669" s="8"/>
      <c r="AD1669" s="12" t="s">
        <v>336</v>
      </c>
      <c r="AE1669" s="39" t="str">
        <f>BA1669</f>
        <v>6431,6432</v>
      </c>
      <c r="AF1669" s="12"/>
      <c r="AG1669" s="12"/>
      <c r="AH1669" s="12"/>
      <c r="AI1669" s="12"/>
      <c r="AJ1669" s="12"/>
      <c r="AK1669" s="12"/>
      <c r="AL1669" s="12"/>
      <c r="AM1669" s="12"/>
      <c r="AN1669" s="12">
        <v>2</v>
      </c>
      <c r="AO1669" s="12"/>
      <c r="AP1669" s="12"/>
      <c r="AQ1669" s="8"/>
      <c r="AR1669" s="34"/>
      <c r="AS1669" s="34"/>
      <c r="AT1669" s="85"/>
      <c r="AU1669" s="12" t="s">
        <v>1936</v>
      </c>
      <c r="AW1669" s="39">
        <v>6</v>
      </c>
      <c r="AX1669" s="12">
        <f>VLOOKUP(AW1669,색인!$N$14:$O$19,2,FALSE)</f>
        <v>4</v>
      </c>
      <c r="AY1669" s="32" t="str">
        <f>"T"&amp;O1669&amp;"_"&amp;AX1669&amp;"옵션_"&amp;VLOOKUP(E1669,색인!$J$25:$K$29,2,FALSE)</f>
        <v>T6_4옵션_장신구</v>
      </c>
      <c r="AZ1669" s="32">
        <f>VLOOKUP(G1669,색인!$J$32:$K$45,2,FALSE)</f>
        <v>4</v>
      </c>
      <c r="BA1669" s="32" t="str">
        <f>_xlfn.IFNA(VLOOKUP(AY1669,표1[[검색용]:[OptionGroupIndex'[']22]],EquipItemTable!AZ1669,FALSE),"옵션고정안함")</f>
        <v>6431,6432</v>
      </c>
    </row>
    <row r="1670" spans="1:53" s="1" customFormat="1" ht="12" x14ac:dyDescent="0.2">
      <c r="A1670" s="10" t="s">
        <v>1157</v>
      </c>
      <c r="B1670" s="39">
        <v>83115</v>
      </c>
      <c r="C1670" s="42" t="s">
        <v>4019</v>
      </c>
      <c r="D1670" s="86" t="s">
        <v>2949</v>
      </c>
      <c r="E1670" s="86" t="s">
        <v>2</v>
      </c>
      <c r="F1670" s="87" t="s">
        <v>312</v>
      </c>
      <c r="G1670" s="87" t="s">
        <v>1317</v>
      </c>
      <c r="H1670" s="87"/>
      <c r="I1670" s="32"/>
      <c r="J1670" s="32"/>
      <c r="K1670" s="32"/>
      <c r="L1670" s="32"/>
      <c r="M1670" s="32"/>
      <c r="N1670" s="8"/>
      <c r="O1670" s="32">
        <v>6</v>
      </c>
      <c r="P1670" s="23">
        <v>61</v>
      </c>
      <c r="Y1670" s="20"/>
      <c r="AA1670" s="1">
        <v>1993</v>
      </c>
      <c r="AC1670" s="8"/>
      <c r="AD1670" s="12" t="s">
        <v>336</v>
      </c>
      <c r="AE1670" s="39" t="str">
        <f>BA1670</f>
        <v>6431,6432</v>
      </c>
      <c r="AF1670" s="12"/>
      <c r="AG1670" s="12"/>
      <c r="AH1670" s="12"/>
      <c r="AI1670" s="12"/>
      <c r="AJ1670" s="12"/>
      <c r="AK1670" s="12"/>
      <c r="AL1670" s="12"/>
      <c r="AM1670" s="12"/>
      <c r="AN1670" s="12">
        <v>3</v>
      </c>
      <c r="AO1670" s="12"/>
      <c r="AP1670" s="12"/>
      <c r="AQ1670" s="8"/>
      <c r="AR1670" s="34"/>
      <c r="AS1670" s="34"/>
      <c r="AT1670" s="85"/>
      <c r="AU1670" s="12" t="s">
        <v>1936</v>
      </c>
      <c r="AW1670" s="39">
        <v>6</v>
      </c>
      <c r="AX1670" s="12">
        <f>VLOOKUP(AW1670,색인!$N$14:$O$19,2,FALSE)</f>
        <v>4</v>
      </c>
      <c r="AY1670" s="32" t="str">
        <f>"T"&amp;O1670&amp;"_"&amp;AX1670&amp;"옵션_"&amp;VLOOKUP(E1670,색인!$J$25:$K$29,2,FALSE)</f>
        <v>T6_4옵션_장신구</v>
      </c>
      <c r="AZ1670" s="32">
        <f>VLOOKUP(G1670,색인!$J$32:$K$45,2,FALSE)</f>
        <v>4</v>
      </c>
      <c r="BA1670" s="32" t="str">
        <f>_xlfn.IFNA(VLOOKUP(AY1670,표1[[검색용]:[OptionGroupIndex'[']22]],EquipItemTable!AZ1670,FALSE),"옵션고정안함")</f>
        <v>6431,6432</v>
      </c>
    </row>
    <row r="1671" spans="1:53" s="1" customFormat="1" ht="12" x14ac:dyDescent="0.2">
      <c r="A1671" s="10" t="s">
        <v>1158</v>
      </c>
      <c r="B1671" s="39">
        <v>83104</v>
      </c>
      <c r="C1671" s="42" t="s">
        <v>4020</v>
      </c>
      <c r="D1671" s="86" t="s">
        <v>2949</v>
      </c>
      <c r="E1671" s="86" t="s">
        <v>2</v>
      </c>
      <c r="F1671" s="87" t="s">
        <v>312</v>
      </c>
      <c r="G1671" s="87" t="s">
        <v>1317</v>
      </c>
      <c r="H1671" s="87"/>
      <c r="I1671" s="32"/>
      <c r="J1671" s="32"/>
      <c r="K1671" s="32"/>
      <c r="L1671" s="32"/>
      <c r="M1671" s="32"/>
      <c r="N1671" s="8"/>
      <c r="O1671" s="32">
        <v>6</v>
      </c>
      <c r="P1671" s="23">
        <v>61</v>
      </c>
      <c r="Y1671" s="20"/>
      <c r="AA1671" s="1">
        <v>1993</v>
      </c>
      <c r="AC1671" s="8"/>
      <c r="AD1671" s="12" t="s">
        <v>336</v>
      </c>
      <c r="AE1671" s="39" t="str">
        <f>BA1671</f>
        <v>6431,6432</v>
      </c>
      <c r="AF1671" s="12"/>
      <c r="AG1671" s="12"/>
      <c r="AH1671" s="12"/>
      <c r="AI1671" s="12"/>
      <c r="AJ1671" s="12"/>
      <c r="AK1671" s="12"/>
      <c r="AL1671" s="12"/>
      <c r="AM1671" s="12"/>
      <c r="AN1671" s="12">
        <v>4</v>
      </c>
      <c r="AO1671" s="12"/>
      <c r="AP1671" s="12"/>
      <c r="AQ1671" s="8"/>
      <c r="AR1671" s="34"/>
      <c r="AS1671" s="34"/>
      <c r="AT1671" s="85"/>
      <c r="AU1671" s="12" t="s">
        <v>1936</v>
      </c>
      <c r="AW1671" s="39">
        <v>6</v>
      </c>
      <c r="AX1671" s="12">
        <f>VLOOKUP(AW1671,색인!$N$14:$O$19,2,FALSE)</f>
        <v>4</v>
      </c>
      <c r="AY1671" s="32" t="str">
        <f>"T"&amp;O1671&amp;"_"&amp;AX1671&amp;"옵션_"&amp;VLOOKUP(E1671,색인!$J$25:$K$29,2,FALSE)</f>
        <v>T6_4옵션_장신구</v>
      </c>
      <c r="AZ1671" s="32">
        <f>VLOOKUP(G1671,색인!$J$32:$K$45,2,FALSE)</f>
        <v>4</v>
      </c>
      <c r="BA1671" s="32" t="str">
        <f>_xlfn.IFNA(VLOOKUP(AY1671,표1[[검색용]:[OptionGroupIndex'[']22]],EquipItemTable!AZ1671,FALSE),"옵션고정안함")</f>
        <v>6431,6432</v>
      </c>
    </row>
    <row r="1672" spans="1:53" ht="12" customHeight="1" x14ac:dyDescent="0.2">
      <c r="A1672" s="10" t="s">
        <v>719</v>
      </c>
      <c r="B1672" s="39">
        <v>83401</v>
      </c>
      <c r="C1672" s="42" t="s">
        <v>4021</v>
      </c>
      <c r="D1672" s="10" t="s">
        <v>2949</v>
      </c>
      <c r="E1672" s="10" t="s">
        <v>2</v>
      </c>
      <c r="F1672" s="1" t="s">
        <v>312</v>
      </c>
      <c r="G1672" s="1" t="s">
        <v>1317</v>
      </c>
      <c r="H1672" s="1"/>
      <c r="I1672" s="1"/>
      <c r="N1672" s="81"/>
      <c r="O1672" s="12" t="s">
        <v>94</v>
      </c>
      <c r="P1672" s="1">
        <v>1</v>
      </c>
      <c r="Q1672" s="13"/>
      <c r="R1672" s="13"/>
      <c r="S1672" s="13"/>
      <c r="T1672" s="13"/>
      <c r="U1672" s="13"/>
      <c r="V1672" s="13"/>
      <c r="W1672" s="1"/>
      <c r="X1672" s="1"/>
      <c r="Y1672" s="84"/>
      <c r="Z1672" s="13"/>
      <c r="AA1672" s="1">
        <v>76</v>
      </c>
      <c r="AB1672" s="13"/>
      <c r="AC1672" s="82"/>
      <c r="AD1672" s="23">
        <v>0</v>
      </c>
      <c r="AE1672" s="39" t="str">
        <f t="shared" ref="AE1672:AE1683" si="216">BA1672</f>
        <v>1331,1332</v>
      </c>
      <c r="AI1672" s="23"/>
      <c r="AJ1672" s="23"/>
      <c r="AK1672" s="23"/>
      <c r="AL1672" s="23"/>
      <c r="AM1672" s="23"/>
      <c r="AN1672" s="23">
        <v>103</v>
      </c>
      <c r="AO1672" s="23"/>
      <c r="AP1672" s="23"/>
      <c r="AQ1672" s="81"/>
      <c r="AT1672" s="81"/>
      <c r="AU1672" s="12" t="s">
        <v>1945</v>
      </c>
      <c r="AV1672" s="13"/>
      <c r="AW1672" s="39">
        <v>5</v>
      </c>
      <c r="AX1672" s="12">
        <f>VLOOKUP(AW1672,색인!$N$14:$O$19,2,FALSE)</f>
        <v>3</v>
      </c>
      <c r="AY1672" s="32" t="str">
        <f>"T"&amp;O1672&amp;"_"&amp;AX1672&amp;"옵션_"&amp;VLOOKUP(E1672,색인!$J$25:$K$29,2,FALSE)</f>
        <v>T1_3옵션_장신구</v>
      </c>
      <c r="AZ1672" s="32">
        <f>VLOOKUP(G1672,색인!$J$32:$K$45,2,FALSE)</f>
        <v>4</v>
      </c>
      <c r="BA1672" s="32" t="str">
        <f>_xlfn.IFNA(VLOOKUP(AY1672,표1[[검색용]:[OptionGroupIndex'[']22]],EquipItemTable!AZ1672,FALSE),"옵션고정안함")</f>
        <v>1331,1332</v>
      </c>
    </row>
    <row r="1673" spans="1:53" ht="12" customHeight="1" x14ac:dyDescent="0.2">
      <c r="A1673" s="10" t="s">
        <v>720</v>
      </c>
      <c r="B1673" s="39">
        <v>83402</v>
      </c>
      <c r="C1673" s="42" t="s">
        <v>4021</v>
      </c>
      <c r="D1673" s="10" t="s">
        <v>2949</v>
      </c>
      <c r="E1673" s="10" t="s">
        <v>2</v>
      </c>
      <c r="F1673" s="1" t="s">
        <v>312</v>
      </c>
      <c r="G1673" s="1" t="s">
        <v>1317</v>
      </c>
      <c r="H1673" s="1"/>
      <c r="I1673" s="1"/>
      <c r="N1673" s="81"/>
      <c r="O1673" s="12" t="s">
        <v>95</v>
      </c>
      <c r="P1673" s="1">
        <v>21</v>
      </c>
      <c r="Q1673" s="13"/>
      <c r="R1673" s="13"/>
      <c r="S1673" s="13"/>
      <c r="T1673" s="13"/>
      <c r="U1673" s="13"/>
      <c r="V1673" s="13"/>
      <c r="W1673" s="1"/>
      <c r="X1673" s="1"/>
      <c r="Y1673" s="84"/>
      <c r="Z1673" s="13"/>
      <c r="AA1673" s="1">
        <v>172</v>
      </c>
      <c r="AB1673" s="13"/>
      <c r="AC1673" s="82"/>
      <c r="AD1673" s="23">
        <v>0</v>
      </c>
      <c r="AE1673" s="39" t="str">
        <f t="shared" si="216"/>
        <v>2331,2332</v>
      </c>
      <c r="AI1673" s="23"/>
      <c r="AJ1673" s="23"/>
      <c r="AK1673" s="23"/>
      <c r="AL1673" s="23"/>
      <c r="AM1673" s="23"/>
      <c r="AN1673" s="23">
        <v>103</v>
      </c>
      <c r="AO1673" s="23"/>
      <c r="AP1673" s="23"/>
      <c r="AQ1673" s="81"/>
      <c r="AT1673" s="81"/>
      <c r="AU1673" s="12" t="s">
        <v>1945</v>
      </c>
      <c r="AV1673" s="13"/>
      <c r="AW1673" s="39">
        <v>5</v>
      </c>
      <c r="AX1673" s="12">
        <f>VLOOKUP(AW1673,색인!$N$14:$O$19,2,FALSE)</f>
        <v>3</v>
      </c>
      <c r="AY1673" s="32" t="str">
        <f>"T"&amp;O1673&amp;"_"&amp;AX1673&amp;"옵션_"&amp;VLOOKUP(E1673,색인!$J$25:$K$29,2,FALSE)</f>
        <v>T2_3옵션_장신구</v>
      </c>
      <c r="AZ1673" s="32">
        <f>VLOOKUP(G1673,색인!$J$32:$K$45,2,FALSE)</f>
        <v>4</v>
      </c>
      <c r="BA1673" s="32" t="str">
        <f>_xlfn.IFNA(VLOOKUP(AY1673,표1[[검색용]:[OptionGroupIndex'[']22]],EquipItemTable!AZ1673,FALSE),"옵션고정안함")</f>
        <v>2331,2332</v>
      </c>
    </row>
    <row r="1674" spans="1:53" ht="12" customHeight="1" x14ac:dyDescent="0.2">
      <c r="A1674" s="10" t="s">
        <v>721</v>
      </c>
      <c r="B1674" s="39">
        <v>83403</v>
      </c>
      <c r="C1674" s="42" t="s">
        <v>4021</v>
      </c>
      <c r="D1674" s="10" t="s">
        <v>2949</v>
      </c>
      <c r="E1674" s="10" t="s">
        <v>2</v>
      </c>
      <c r="F1674" s="1" t="s">
        <v>312</v>
      </c>
      <c r="G1674" s="1" t="s">
        <v>1317</v>
      </c>
      <c r="H1674" s="1"/>
      <c r="I1674" s="1"/>
      <c r="N1674" s="81"/>
      <c r="O1674" s="12" t="s">
        <v>96</v>
      </c>
      <c r="P1674" s="1">
        <v>31</v>
      </c>
      <c r="Q1674" s="13"/>
      <c r="R1674" s="13"/>
      <c r="S1674" s="13"/>
      <c r="T1674" s="13"/>
      <c r="U1674" s="13"/>
      <c r="V1674" s="13"/>
      <c r="W1674" s="13"/>
      <c r="X1674" s="13"/>
      <c r="Y1674" s="84"/>
      <c r="Z1674" s="13"/>
      <c r="AA1674" s="1">
        <v>357</v>
      </c>
      <c r="AB1674" s="13"/>
      <c r="AC1674" s="82"/>
      <c r="AD1674" s="23" t="s">
        <v>52</v>
      </c>
      <c r="AE1674" s="90" t="str">
        <f t="shared" si="216"/>
        <v>3331,3332</v>
      </c>
      <c r="AF1674" s="23"/>
      <c r="AI1674" s="23"/>
      <c r="AJ1674" s="23"/>
      <c r="AK1674" s="23"/>
      <c r="AL1674" s="23"/>
      <c r="AM1674" s="23"/>
      <c r="AN1674" s="23">
        <v>103</v>
      </c>
      <c r="AO1674" s="23"/>
      <c r="AP1674" s="23"/>
      <c r="AQ1674" s="81"/>
      <c r="AR1674" s="83"/>
      <c r="AS1674" s="83"/>
      <c r="AT1674" s="81"/>
      <c r="AU1674" s="12" t="s">
        <v>1945</v>
      </c>
      <c r="AV1674" s="13"/>
      <c r="AW1674" s="39">
        <v>5</v>
      </c>
      <c r="AX1674" s="12">
        <f>VLOOKUP(AW1674,색인!$N$14:$O$19,2,FALSE)</f>
        <v>3</v>
      </c>
      <c r="AY1674" s="32" t="str">
        <f>"T"&amp;O1674&amp;"_"&amp;AX1674&amp;"옵션_"&amp;VLOOKUP(E1674,색인!$J$25:$K$29,2,FALSE)</f>
        <v>T3_3옵션_장신구</v>
      </c>
      <c r="AZ1674" s="32">
        <f>VLOOKUP(G1674,색인!$J$32:$K$45,2,FALSE)</f>
        <v>4</v>
      </c>
      <c r="BA1674" s="32" t="str">
        <f>_xlfn.IFNA(VLOOKUP(AY1674,표1[[검색용]:[OptionGroupIndex'[']22]],EquipItemTable!AZ1674,FALSE),"옵션고정안함")</f>
        <v>3331,3332</v>
      </c>
    </row>
    <row r="1675" spans="1:53" ht="12" customHeight="1" x14ac:dyDescent="0.2">
      <c r="A1675" s="10" t="s">
        <v>722</v>
      </c>
      <c r="B1675" s="39">
        <v>83404</v>
      </c>
      <c r="C1675" s="42" t="s">
        <v>4021</v>
      </c>
      <c r="D1675" s="10" t="s">
        <v>2949</v>
      </c>
      <c r="E1675" s="10" t="s">
        <v>2</v>
      </c>
      <c r="F1675" s="1" t="s">
        <v>312</v>
      </c>
      <c r="G1675" s="1" t="s">
        <v>1317</v>
      </c>
      <c r="H1675" s="1"/>
      <c r="I1675" s="1"/>
      <c r="J1675" s="27"/>
      <c r="K1675" s="27"/>
      <c r="L1675" s="27"/>
      <c r="M1675" s="27"/>
      <c r="N1675" s="81"/>
      <c r="O1675" s="12" t="s">
        <v>97</v>
      </c>
      <c r="P1675" s="1">
        <v>41</v>
      </c>
      <c r="Q1675" s="13"/>
      <c r="R1675" s="13"/>
      <c r="S1675" s="13"/>
      <c r="T1675" s="13"/>
      <c r="U1675" s="13"/>
      <c r="V1675" s="13"/>
      <c r="W1675" s="1"/>
      <c r="X1675" s="1"/>
      <c r="Y1675" s="84"/>
      <c r="Z1675" s="13"/>
      <c r="AA1675" s="1">
        <v>696</v>
      </c>
      <c r="AB1675" s="13"/>
      <c r="AC1675" s="82"/>
      <c r="AD1675" s="23" t="s">
        <v>52</v>
      </c>
      <c r="AE1675" s="39" t="str">
        <f t="shared" si="216"/>
        <v>4331,4332</v>
      </c>
      <c r="AG1675" s="29"/>
      <c r="AH1675" s="29"/>
      <c r="AI1675" s="23"/>
      <c r="AJ1675" s="23"/>
      <c r="AK1675" s="23"/>
      <c r="AL1675" s="23"/>
      <c r="AM1675" s="23"/>
      <c r="AN1675" s="23">
        <v>103</v>
      </c>
      <c r="AO1675" s="23"/>
      <c r="AP1675" s="23"/>
      <c r="AQ1675" s="81"/>
      <c r="AT1675" s="81"/>
      <c r="AU1675" s="12" t="s">
        <v>1945</v>
      </c>
      <c r="AV1675" s="13"/>
      <c r="AW1675" s="39">
        <v>5</v>
      </c>
      <c r="AX1675" s="12">
        <f>VLOOKUP(AW1675,색인!$N$14:$O$19,2,FALSE)</f>
        <v>3</v>
      </c>
      <c r="AY1675" s="32" t="str">
        <f>"T"&amp;O1675&amp;"_"&amp;AX1675&amp;"옵션_"&amp;VLOOKUP(E1675,색인!$J$25:$K$29,2,FALSE)</f>
        <v>T4_3옵션_장신구</v>
      </c>
      <c r="AZ1675" s="32">
        <f>VLOOKUP(G1675,색인!$J$32:$K$45,2,FALSE)</f>
        <v>4</v>
      </c>
      <c r="BA1675" s="32" t="str">
        <f>_xlfn.IFNA(VLOOKUP(AY1675,표1[[검색용]:[OptionGroupIndex'[']22]],EquipItemTable!AZ1675,FALSE),"옵션고정안함")</f>
        <v>4331,4332</v>
      </c>
    </row>
    <row r="1676" spans="1:53" ht="12" customHeight="1" x14ac:dyDescent="0.2">
      <c r="A1676" s="10" t="s">
        <v>723</v>
      </c>
      <c r="B1676" s="39">
        <v>83405</v>
      </c>
      <c r="C1676" s="42" t="s">
        <v>4021</v>
      </c>
      <c r="D1676" s="86" t="s">
        <v>2949</v>
      </c>
      <c r="E1676" s="86" t="s">
        <v>2</v>
      </c>
      <c r="F1676" s="87" t="s">
        <v>312</v>
      </c>
      <c r="G1676" s="87" t="s">
        <v>1317</v>
      </c>
      <c r="H1676" s="87"/>
      <c r="J1676" s="27"/>
      <c r="K1676" s="27"/>
      <c r="L1676" s="27"/>
      <c r="M1676" s="27"/>
      <c r="O1676" s="32">
        <v>5</v>
      </c>
      <c r="P1676" s="1">
        <v>51</v>
      </c>
      <c r="Q1676" s="1"/>
      <c r="R1676" s="1"/>
      <c r="S1676" s="1"/>
      <c r="T1676" s="1"/>
      <c r="U1676" s="1"/>
      <c r="V1676" s="1"/>
      <c r="W1676" s="1"/>
      <c r="X1676" s="1"/>
      <c r="Y1676" s="20"/>
      <c r="Z1676" s="1"/>
      <c r="AA1676" s="1">
        <v>1312</v>
      </c>
      <c r="AB1676" s="1"/>
      <c r="AD1676" s="12" t="s">
        <v>98</v>
      </c>
      <c r="AE1676" s="39" t="str">
        <f t="shared" si="216"/>
        <v>5331,5332</v>
      </c>
      <c r="AG1676" s="29"/>
      <c r="AH1676" s="29"/>
      <c r="AN1676" s="23">
        <v>103</v>
      </c>
      <c r="AU1676" s="12" t="s">
        <v>1945</v>
      </c>
      <c r="AW1676" s="39">
        <v>5</v>
      </c>
      <c r="AX1676" s="12">
        <f>VLOOKUP(AW1676,색인!$N$14:$O$19,2,FALSE)</f>
        <v>3</v>
      </c>
      <c r="AY1676" s="32" t="str">
        <f>"T"&amp;O1676&amp;"_"&amp;AX1676&amp;"옵션_"&amp;VLOOKUP(E1676,색인!$J$25:$K$29,2,FALSE)</f>
        <v>T5_3옵션_장신구</v>
      </c>
      <c r="AZ1676" s="32">
        <f>VLOOKUP(G1676,색인!$J$32:$K$45,2,FALSE)</f>
        <v>4</v>
      </c>
      <c r="BA1676" s="32" t="str">
        <f>_xlfn.IFNA(VLOOKUP(AY1676,표1[[검색용]:[OptionGroupIndex'[']22]],EquipItemTable!AZ1676,FALSE),"옵션고정안함")</f>
        <v>5331,5332</v>
      </c>
    </row>
    <row r="1677" spans="1:53" s="1" customFormat="1" ht="12" x14ac:dyDescent="0.2">
      <c r="A1677" s="10" t="s">
        <v>853</v>
      </c>
      <c r="B1677" s="39">
        <v>83406</v>
      </c>
      <c r="C1677" s="42" t="s">
        <v>4021</v>
      </c>
      <c r="D1677" s="86" t="s">
        <v>2949</v>
      </c>
      <c r="E1677" s="86" t="s">
        <v>2</v>
      </c>
      <c r="F1677" s="87" t="s">
        <v>312</v>
      </c>
      <c r="G1677" s="87" t="s">
        <v>1317</v>
      </c>
      <c r="H1677" s="87"/>
      <c r="I1677" s="32"/>
      <c r="J1677" s="27"/>
      <c r="K1677" s="27"/>
      <c r="L1677" s="27"/>
      <c r="M1677" s="27"/>
      <c r="N1677" s="8"/>
      <c r="O1677" s="32">
        <v>6</v>
      </c>
      <c r="P1677" s="1">
        <v>61</v>
      </c>
      <c r="Y1677" s="20"/>
      <c r="AA1677" s="1">
        <v>1906</v>
      </c>
      <c r="AC1677" s="8"/>
      <c r="AD1677" s="12" t="s">
        <v>864</v>
      </c>
      <c r="AE1677" s="39" t="str">
        <f t="shared" si="216"/>
        <v>6331,6332</v>
      </c>
      <c r="AF1677" s="12"/>
      <c r="AG1677" s="29"/>
      <c r="AH1677" s="29"/>
      <c r="AI1677" s="12"/>
      <c r="AJ1677" s="12"/>
      <c r="AK1677" s="12"/>
      <c r="AL1677" s="12"/>
      <c r="AM1677" s="12"/>
      <c r="AN1677" s="23">
        <v>103</v>
      </c>
      <c r="AO1677" s="12"/>
      <c r="AP1677" s="12"/>
      <c r="AQ1677" s="8"/>
      <c r="AR1677" s="34"/>
      <c r="AS1677" s="34"/>
      <c r="AT1677" s="85"/>
      <c r="AU1677" s="12" t="s">
        <v>1945</v>
      </c>
      <c r="AW1677" s="39">
        <v>5</v>
      </c>
      <c r="AX1677" s="12">
        <f>VLOOKUP(AW1677,색인!$N$14:$O$19,2,FALSE)</f>
        <v>3</v>
      </c>
      <c r="AY1677" s="32" t="str">
        <f>"T"&amp;O1677&amp;"_"&amp;AX1677&amp;"옵션_"&amp;VLOOKUP(E1677,색인!$J$25:$K$29,2,FALSE)</f>
        <v>T6_3옵션_장신구</v>
      </c>
      <c r="AZ1677" s="32">
        <f>VLOOKUP(G1677,색인!$J$32:$K$45,2,FALSE)</f>
        <v>4</v>
      </c>
      <c r="BA1677" s="32" t="str">
        <f>_xlfn.IFNA(VLOOKUP(AY1677,표1[[검색용]:[OptionGroupIndex'[']22]],EquipItemTable!AZ1677,FALSE),"옵션고정안함")</f>
        <v>6331,6332</v>
      </c>
    </row>
    <row r="1678" spans="1:53" s="1" customFormat="1" ht="12" x14ac:dyDescent="0.2">
      <c r="A1678" s="10" t="s">
        <v>1284</v>
      </c>
      <c r="B1678" s="39">
        <v>83407</v>
      </c>
      <c r="C1678" s="42" t="s">
        <v>4022</v>
      </c>
      <c r="D1678" s="86" t="s">
        <v>2949</v>
      </c>
      <c r="E1678" s="86" t="s">
        <v>2</v>
      </c>
      <c r="F1678" s="87" t="s">
        <v>312</v>
      </c>
      <c r="G1678" s="87" t="s">
        <v>1317</v>
      </c>
      <c r="H1678" s="87"/>
      <c r="I1678" s="32"/>
      <c r="J1678" s="27"/>
      <c r="K1678" s="27"/>
      <c r="L1678" s="27"/>
      <c r="M1678" s="27"/>
      <c r="N1678" s="8"/>
      <c r="O1678" s="32">
        <v>6</v>
      </c>
      <c r="P1678" s="1">
        <v>61</v>
      </c>
      <c r="Y1678" s="20"/>
      <c r="AA1678" s="1">
        <v>1906</v>
      </c>
      <c r="AC1678" s="8"/>
      <c r="AD1678" s="12" t="s">
        <v>864</v>
      </c>
      <c r="AE1678" s="39" t="str">
        <f t="shared" si="216"/>
        <v>6331,6332</v>
      </c>
      <c r="AF1678" s="12"/>
      <c r="AG1678" s="29"/>
      <c r="AH1678" s="29"/>
      <c r="AI1678" s="12"/>
      <c r="AJ1678" s="12"/>
      <c r="AK1678" s="12"/>
      <c r="AL1678" s="12"/>
      <c r="AM1678" s="12"/>
      <c r="AN1678" s="12" t="s">
        <v>1228</v>
      </c>
      <c r="AO1678" s="12"/>
      <c r="AP1678" s="12"/>
      <c r="AQ1678" s="8"/>
      <c r="AR1678" s="34"/>
      <c r="AS1678" s="34"/>
      <c r="AT1678" s="85"/>
      <c r="AU1678" s="12" t="s">
        <v>1945</v>
      </c>
      <c r="AW1678" s="39">
        <v>5</v>
      </c>
      <c r="AX1678" s="12">
        <f>VLOOKUP(AW1678,색인!$N$14:$O$19,2,FALSE)</f>
        <v>3</v>
      </c>
      <c r="AY1678" s="32" t="str">
        <f>"T"&amp;O1678&amp;"_"&amp;AX1678&amp;"옵션_"&amp;VLOOKUP(E1678,색인!$J$25:$K$29,2,FALSE)</f>
        <v>T6_3옵션_장신구</v>
      </c>
      <c r="AZ1678" s="32">
        <f>VLOOKUP(G1678,색인!$J$32:$K$45,2,FALSE)</f>
        <v>4</v>
      </c>
      <c r="BA1678" s="32" t="str">
        <f>_xlfn.IFNA(VLOOKUP(AY1678,표1[[검색용]:[OptionGroupIndex'[']22]],EquipItemTable!AZ1678,FALSE),"옵션고정안함")</f>
        <v>6331,6332</v>
      </c>
    </row>
    <row r="1679" spans="1:53" s="1" customFormat="1" ht="12" x14ac:dyDescent="0.2">
      <c r="A1679" s="10" t="s">
        <v>1285</v>
      </c>
      <c r="B1679" s="39">
        <v>83408</v>
      </c>
      <c r="C1679" s="42" t="s">
        <v>4023</v>
      </c>
      <c r="D1679" s="86" t="s">
        <v>2949</v>
      </c>
      <c r="E1679" s="86" t="s">
        <v>2</v>
      </c>
      <c r="F1679" s="87" t="s">
        <v>312</v>
      </c>
      <c r="G1679" s="87" t="s">
        <v>1317</v>
      </c>
      <c r="H1679" s="87"/>
      <c r="I1679" s="32"/>
      <c r="J1679" s="27"/>
      <c r="K1679" s="27"/>
      <c r="L1679" s="27"/>
      <c r="M1679" s="27"/>
      <c r="N1679" s="8"/>
      <c r="O1679" s="32">
        <v>6</v>
      </c>
      <c r="P1679" s="1">
        <v>61</v>
      </c>
      <c r="Y1679" s="20"/>
      <c r="AA1679" s="1">
        <v>1906</v>
      </c>
      <c r="AC1679" s="8"/>
      <c r="AD1679" s="12" t="s">
        <v>864</v>
      </c>
      <c r="AE1679" s="39" t="str">
        <f t="shared" si="216"/>
        <v>6331,6332</v>
      </c>
      <c r="AF1679" s="12"/>
      <c r="AG1679" s="29"/>
      <c r="AH1679" s="29"/>
      <c r="AI1679" s="12"/>
      <c r="AJ1679" s="12"/>
      <c r="AK1679" s="12"/>
      <c r="AL1679" s="12"/>
      <c r="AM1679" s="12"/>
      <c r="AN1679" s="12" t="s">
        <v>1213</v>
      </c>
      <c r="AO1679" s="12"/>
      <c r="AP1679" s="12"/>
      <c r="AQ1679" s="8"/>
      <c r="AR1679" s="34"/>
      <c r="AS1679" s="34"/>
      <c r="AT1679" s="85"/>
      <c r="AU1679" s="12" t="s">
        <v>1945</v>
      </c>
      <c r="AW1679" s="39">
        <v>5</v>
      </c>
      <c r="AX1679" s="12">
        <f>VLOOKUP(AW1679,색인!$N$14:$O$19,2,FALSE)</f>
        <v>3</v>
      </c>
      <c r="AY1679" s="32" t="str">
        <f>"T"&amp;O1679&amp;"_"&amp;AX1679&amp;"옵션_"&amp;VLOOKUP(E1679,색인!$J$25:$K$29,2,FALSE)</f>
        <v>T6_3옵션_장신구</v>
      </c>
      <c r="AZ1679" s="32">
        <f>VLOOKUP(G1679,색인!$J$32:$K$45,2,FALSE)</f>
        <v>4</v>
      </c>
      <c r="BA1679" s="32" t="str">
        <f>_xlfn.IFNA(VLOOKUP(AY1679,표1[[검색용]:[OptionGroupIndex'[']22]],EquipItemTable!AZ1679,FALSE),"옵션고정안함")</f>
        <v>6331,6332</v>
      </c>
    </row>
    <row r="1680" spans="1:53" s="1" customFormat="1" ht="12" x14ac:dyDescent="0.2">
      <c r="A1680" s="10" t="s">
        <v>1286</v>
      </c>
      <c r="B1680" s="39">
        <v>83409</v>
      </c>
      <c r="C1680" s="42" t="s">
        <v>4024</v>
      </c>
      <c r="D1680" s="86" t="s">
        <v>2949</v>
      </c>
      <c r="E1680" s="86" t="s">
        <v>2</v>
      </c>
      <c r="F1680" s="87" t="s">
        <v>312</v>
      </c>
      <c r="G1680" s="87" t="s">
        <v>1317</v>
      </c>
      <c r="H1680" s="87"/>
      <c r="I1680" s="32"/>
      <c r="J1680" s="27"/>
      <c r="K1680" s="27"/>
      <c r="L1680" s="27"/>
      <c r="M1680" s="27"/>
      <c r="N1680" s="8"/>
      <c r="O1680" s="32">
        <v>6</v>
      </c>
      <c r="P1680" s="1">
        <v>61</v>
      </c>
      <c r="Y1680" s="20"/>
      <c r="AA1680" s="1">
        <v>1906</v>
      </c>
      <c r="AC1680" s="8"/>
      <c r="AD1680" s="12" t="s">
        <v>864</v>
      </c>
      <c r="AE1680" s="39" t="str">
        <f t="shared" si="216"/>
        <v>6331,6332</v>
      </c>
      <c r="AF1680" s="12"/>
      <c r="AG1680" s="29"/>
      <c r="AH1680" s="29"/>
      <c r="AI1680" s="12"/>
      <c r="AJ1680" s="12"/>
      <c r="AK1680" s="12"/>
      <c r="AL1680" s="12"/>
      <c r="AM1680" s="12"/>
      <c r="AN1680" s="12" t="s">
        <v>1214</v>
      </c>
      <c r="AO1680" s="12"/>
      <c r="AP1680" s="12"/>
      <c r="AQ1680" s="8"/>
      <c r="AR1680" s="34"/>
      <c r="AS1680" s="34"/>
      <c r="AT1680" s="85"/>
      <c r="AU1680" s="12" t="s">
        <v>1945</v>
      </c>
      <c r="AW1680" s="39">
        <v>5</v>
      </c>
      <c r="AX1680" s="12">
        <f>VLOOKUP(AW1680,색인!$N$14:$O$19,2,FALSE)</f>
        <v>3</v>
      </c>
      <c r="AY1680" s="32" t="str">
        <f>"T"&amp;O1680&amp;"_"&amp;AX1680&amp;"옵션_"&amp;VLOOKUP(E1680,색인!$J$25:$K$29,2,FALSE)</f>
        <v>T6_3옵션_장신구</v>
      </c>
      <c r="AZ1680" s="32">
        <f>VLOOKUP(G1680,색인!$J$32:$K$45,2,FALSE)</f>
        <v>4</v>
      </c>
      <c r="BA1680" s="32" t="str">
        <f>_xlfn.IFNA(VLOOKUP(AY1680,표1[[검색용]:[OptionGroupIndex'[']22]],EquipItemTable!AZ1680,FALSE),"옵션고정안함")</f>
        <v>6331,6332</v>
      </c>
    </row>
    <row r="1681" spans="1:53" s="1" customFormat="1" ht="12" x14ac:dyDescent="0.2">
      <c r="A1681" s="10" t="s">
        <v>1287</v>
      </c>
      <c r="B1681" s="39">
        <v>83410</v>
      </c>
      <c r="C1681" s="42" t="s">
        <v>4025</v>
      </c>
      <c r="D1681" s="86" t="s">
        <v>2949</v>
      </c>
      <c r="E1681" s="86" t="s">
        <v>2</v>
      </c>
      <c r="F1681" s="87" t="s">
        <v>312</v>
      </c>
      <c r="G1681" s="87" t="s">
        <v>1317</v>
      </c>
      <c r="H1681" s="87"/>
      <c r="I1681" s="32"/>
      <c r="J1681" s="27"/>
      <c r="K1681" s="27"/>
      <c r="L1681" s="27"/>
      <c r="M1681" s="27"/>
      <c r="N1681" s="8"/>
      <c r="O1681" s="32">
        <v>6</v>
      </c>
      <c r="P1681" s="1">
        <v>61</v>
      </c>
      <c r="Y1681" s="20"/>
      <c r="AA1681" s="1">
        <v>1906</v>
      </c>
      <c r="AC1681" s="8"/>
      <c r="AD1681" s="12" t="s">
        <v>864</v>
      </c>
      <c r="AE1681" s="39" t="str">
        <f t="shared" si="216"/>
        <v>6331,6332</v>
      </c>
      <c r="AF1681" s="12"/>
      <c r="AG1681" s="29"/>
      <c r="AH1681" s="29"/>
      <c r="AI1681" s="12"/>
      <c r="AJ1681" s="12"/>
      <c r="AK1681" s="12"/>
      <c r="AL1681" s="12"/>
      <c r="AM1681" s="12"/>
      <c r="AN1681" s="12" t="s">
        <v>1215</v>
      </c>
      <c r="AO1681" s="12"/>
      <c r="AP1681" s="12"/>
      <c r="AQ1681" s="8"/>
      <c r="AR1681" s="34"/>
      <c r="AS1681" s="34"/>
      <c r="AT1681" s="85"/>
      <c r="AU1681" s="12" t="s">
        <v>1945</v>
      </c>
      <c r="AW1681" s="39">
        <v>5</v>
      </c>
      <c r="AX1681" s="12">
        <f>VLOOKUP(AW1681,색인!$N$14:$O$19,2,FALSE)</f>
        <v>3</v>
      </c>
      <c r="AY1681" s="32" t="str">
        <f>"T"&amp;O1681&amp;"_"&amp;AX1681&amp;"옵션_"&amp;VLOOKUP(E1681,색인!$J$25:$K$29,2,FALSE)</f>
        <v>T6_3옵션_장신구</v>
      </c>
      <c r="AZ1681" s="32">
        <f>VLOOKUP(G1681,색인!$J$32:$K$45,2,FALSE)</f>
        <v>4</v>
      </c>
      <c r="BA1681" s="32" t="str">
        <f>_xlfn.IFNA(VLOOKUP(AY1681,표1[[검색용]:[OptionGroupIndex'[']22]],EquipItemTable!AZ1681,FALSE),"옵션고정안함")</f>
        <v>6331,6332</v>
      </c>
    </row>
    <row r="1682" spans="1:53" s="1" customFormat="1" ht="12" x14ac:dyDescent="0.2">
      <c r="A1682" s="10" t="s">
        <v>1288</v>
      </c>
      <c r="B1682" s="39">
        <v>83411</v>
      </c>
      <c r="C1682" s="42" t="s">
        <v>4026</v>
      </c>
      <c r="D1682" s="86" t="s">
        <v>2949</v>
      </c>
      <c r="E1682" s="86" t="s">
        <v>2</v>
      </c>
      <c r="F1682" s="87" t="s">
        <v>312</v>
      </c>
      <c r="G1682" s="87" t="s">
        <v>1317</v>
      </c>
      <c r="H1682" s="87"/>
      <c r="I1682" s="32"/>
      <c r="J1682" s="27"/>
      <c r="K1682" s="27"/>
      <c r="L1682" s="27"/>
      <c r="M1682" s="27"/>
      <c r="N1682" s="8"/>
      <c r="O1682" s="32">
        <v>6</v>
      </c>
      <c r="P1682" s="1">
        <v>61</v>
      </c>
      <c r="Y1682" s="20"/>
      <c r="AA1682" s="1">
        <v>1906</v>
      </c>
      <c r="AC1682" s="8"/>
      <c r="AD1682" s="12" t="s">
        <v>864</v>
      </c>
      <c r="AE1682" s="39" t="str">
        <f t="shared" si="216"/>
        <v>6331,6332</v>
      </c>
      <c r="AF1682" s="12"/>
      <c r="AG1682" s="29"/>
      <c r="AH1682" s="29"/>
      <c r="AI1682" s="12"/>
      <c r="AJ1682" s="12"/>
      <c r="AK1682" s="12"/>
      <c r="AL1682" s="12"/>
      <c r="AM1682" s="12"/>
      <c r="AN1682" s="12" t="s">
        <v>1216</v>
      </c>
      <c r="AO1682" s="12"/>
      <c r="AP1682" s="12"/>
      <c r="AQ1682" s="8"/>
      <c r="AR1682" s="34"/>
      <c r="AS1682" s="34"/>
      <c r="AT1682" s="85"/>
      <c r="AU1682" s="12" t="s">
        <v>1945</v>
      </c>
      <c r="AW1682" s="39">
        <v>5</v>
      </c>
      <c r="AX1682" s="12">
        <f>VLOOKUP(AW1682,색인!$N$14:$O$19,2,FALSE)</f>
        <v>3</v>
      </c>
      <c r="AY1682" s="32" t="str">
        <f>"T"&amp;O1682&amp;"_"&amp;AX1682&amp;"옵션_"&amp;VLOOKUP(E1682,색인!$J$25:$K$29,2,FALSE)</f>
        <v>T6_3옵션_장신구</v>
      </c>
      <c r="AZ1682" s="32">
        <f>VLOOKUP(G1682,색인!$J$32:$K$45,2,FALSE)</f>
        <v>4</v>
      </c>
      <c r="BA1682" s="32" t="str">
        <f>_xlfn.IFNA(VLOOKUP(AY1682,표1[[검색용]:[OptionGroupIndex'[']22]],EquipItemTable!AZ1682,FALSE),"옵션고정안함")</f>
        <v>6331,6332</v>
      </c>
    </row>
    <row r="1683" spans="1:53" s="1" customFormat="1" ht="12" x14ac:dyDescent="0.2">
      <c r="A1683" s="10" t="s">
        <v>1190</v>
      </c>
      <c r="B1683" s="39">
        <v>383001</v>
      </c>
      <c r="C1683" s="42" t="s">
        <v>4027</v>
      </c>
      <c r="D1683" s="86" t="s">
        <v>2949</v>
      </c>
      <c r="E1683" s="86" t="s">
        <v>2</v>
      </c>
      <c r="F1683" s="87" t="s">
        <v>312</v>
      </c>
      <c r="G1683" s="87" t="s">
        <v>1317</v>
      </c>
      <c r="H1683" s="87"/>
      <c r="I1683" s="32"/>
      <c r="J1683" s="27"/>
      <c r="K1683" s="27"/>
      <c r="L1683" s="27"/>
      <c r="M1683" s="27"/>
      <c r="N1683" s="8"/>
      <c r="O1683" s="32">
        <v>6</v>
      </c>
      <c r="P1683" s="1">
        <v>61</v>
      </c>
      <c r="Y1683" s="20"/>
      <c r="AA1683" s="1">
        <v>1906</v>
      </c>
      <c r="AC1683" s="8"/>
      <c r="AD1683" s="12" t="s">
        <v>864</v>
      </c>
      <c r="AE1683" s="39" t="str">
        <f t="shared" si="216"/>
        <v>6331,6332</v>
      </c>
      <c r="AF1683" s="12"/>
      <c r="AG1683" s="29"/>
      <c r="AH1683" s="29"/>
      <c r="AI1683" s="12"/>
      <c r="AJ1683" s="12"/>
      <c r="AK1683" s="12"/>
      <c r="AL1683" s="12"/>
      <c r="AM1683" s="12"/>
      <c r="AN1683" s="12" t="s">
        <v>1199</v>
      </c>
      <c r="AO1683" s="12"/>
      <c r="AP1683" s="12"/>
      <c r="AQ1683" s="8"/>
      <c r="AR1683" s="34"/>
      <c r="AS1683" s="34"/>
      <c r="AT1683" s="85"/>
      <c r="AU1683" s="12" t="s">
        <v>1945</v>
      </c>
      <c r="AW1683" s="39">
        <v>5</v>
      </c>
      <c r="AX1683" s="12">
        <f>VLOOKUP(AW1683,색인!$N$14:$O$19,2,FALSE)</f>
        <v>3</v>
      </c>
      <c r="AY1683" s="32" t="str">
        <f>"T"&amp;O1683&amp;"_"&amp;AX1683&amp;"옵션_"&amp;VLOOKUP(E1683,색인!$J$25:$K$29,2,FALSE)</f>
        <v>T6_3옵션_장신구</v>
      </c>
      <c r="AZ1683" s="32">
        <f>VLOOKUP(G1683,색인!$J$32:$K$45,2,FALSE)</f>
        <v>4</v>
      </c>
      <c r="BA1683" s="32" t="str">
        <f>_xlfn.IFNA(VLOOKUP(AY1683,표1[[검색용]:[OptionGroupIndex'[']22]],EquipItemTable!AZ1683,FALSE),"옵션고정안함")</f>
        <v>6331,6332</v>
      </c>
    </row>
    <row r="1684" spans="1:53" s="1" customFormat="1" ht="12" x14ac:dyDescent="0.2">
      <c r="A1684" s="10" t="s">
        <v>1607</v>
      </c>
      <c r="B1684" s="39">
        <v>383002</v>
      </c>
      <c r="C1684" s="42" t="s">
        <v>4028</v>
      </c>
      <c r="D1684" s="86" t="s">
        <v>2949</v>
      </c>
      <c r="E1684" s="86" t="s">
        <v>2</v>
      </c>
      <c r="F1684" s="87" t="s">
        <v>312</v>
      </c>
      <c r="G1684" s="87" t="s">
        <v>1317</v>
      </c>
      <c r="H1684" s="87"/>
      <c r="I1684" s="32"/>
      <c r="J1684" s="27"/>
      <c r="K1684" s="27"/>
      <c r="L1684" s="27"/>
      <c r="M1684" s="27"/>
      <c r="N1684" s="8"/>
      <c r="O1684" s="32">
        <v>6</v>
      </c>
      <c r="P1684" s="23">
        <v>61</v>
      </c>
      <c r="Y1684" s="20"/>
      <c r="AA1684" s="1">
        <v>1993</v>
      </c>
      <c r="AC1684" s="8"/>
      <c r="AD1684" s="12" t="s">
        <v>98</v>
      </c>
      <c r="AE1684" s="39" t="s">
        <v>552</v>
      </c>
      <c r="AF1684" s="12"/>
      <c r="AG1684" s="29"/>
      <c r="AH1684" s="29"/>
      <c r="AI1684" s="12"/>
      <c r="AJ1684" s="12"/>
      <c r="AK1684" s="12"/>
      <c r="AL1684" s="12"/>
      <c r="AM1684" s="12"/>
      <c r="AN1684" s="12" t="s">
        <v>1295</v>
      </c>
      <c r="AO1684" s="12"/>
      <c r="AP1684" s="12"/>
      <c r="AQ1684" s="8"/>
      <c r="AR1684" s="34"/>
      <c r="AS1684" s="34"/>
      <c r="AT1684" s="85"/>
      <c r="AU1684" s="12" t="s">
        <v>1936</v>
      </c>
      <c r="AW1684" s="39">
        <v>6</v>
      </c>
      <c r="AX1684" s="12">
        <f>VLOOKUP(AW1684,색인!$N$14:$O$19,2,FALSE)</f>
        <v>4</v>
      </c>
      <c r="AY1684" s="32" t="str">
        <f>"T"&amp;O1684&amp;"_"&amp;AX1684&amp;"옵션_"&amp;VLOOKUP(E1684,색인!$J$25:$K$29,2,FALSE)</f>
        <v>T6_4옵션_장신구</v>
      </c>
      <c r="AZ1684" s="32">
        <f>VLOOKUP(G1684,색인!$J$32:$K$45,2,FALSE)</f>
        <v>4</v>
      </c>
      <c r="BA1684" s="32" t="str">
        <f>_xlfn.IFNA(VLOOKUP(AY1684,표1[[검색용]:[OptionGroupIndex'[']22]],EquipItemTable!AZ1684,FALSE),"옵션고정안함")</f>
        <v>6431,6432</v>
      </c>
    </row>
    <row r="1685" spans="1:53" s="27" customFormat="1" ht="12" x14ac:dyDescent="0.2">
      <c r="A1685" s="25" t="s">
        <v>1608</v>
      </c>
      <c r="B1685" s="39">
        <v>83412</v>
      </c>
      <c r="C1685" s="42" t="s">
        <v>4029</v>
      </c>
      <c r="D1685" s="26" t="s">
        <v>2949</v>
      </c>
      <c r="E1685" s="26" t="s">
        <v>2</v>
      </c>
      <c r="F1685" s="27" t="s">
        <v>312</v>
      </c>
      <c r="G1685" s="27" t="s">
        <v>1625</v>
      </c>
      <c r="N1685" s="8"/>
      <c r="O1685" s="29" t="s">
        <v>1338</v>
      </c>
      <c r="P1685" s="27">
        <v>71</v>
      </c>
      <c r="AA1685" s="27">
        <v>1864</v>
      </c>
      <c r="AB1685" s="28"/>
      <c r="AC1685" s="82"/>
      <c r="AD1685" s="29" t="s">
        <v>1377</v>
      </c>
      <c r="AE1685" s="29" t="s">
        <v>1337</v>
      </c>
      <c r="AF1685" s="29"/>
      <c r="AG1685" s="29"/>
      <c r="AH1685" s="29"/>
      <c r="AQ1685" s="85"/>
      <c r="AT1685" s="85"/>
      <c r="AU1685" s="29">
        <v>1001</v>
      </c>
      <c r="AW1685" s="39">
        <v>1</v>
      </c>
      <c r="AX1685" s="12"/>
      <c r="AY1685" s="32"/>
      <c r="AZ1685" s="32"/>
      <c r="BA1685" s="32"/>
    </row>
    <row r="1686" spans="1:53" s="27" customFormat="1" ht="12" x14ac:dyDescent="0.2">
      <c r="A1686" s="25" t="s">
        <v>1609</v>
      </c>
      <c r="B1686" s="39">
        <v>83413</v>
      </c>
      <c r="C1686" s="42" t="s">
        <v>4030</v>
      </c>
      <c r="D1686" s="26" t="s">
        <v>2949</v>
      </c>
      <c r="E1686" s="26" t="s">
        <v>2</v>
      </c>
      <c r="F1686" s="27" t="s">
        <v>312</v>
      </c>
      <c r="G1686" s="27" t="s">
        <v>1625</v>
      </c>
      <c r="N1686" s="8"/>
      <c r="O1686" s="29" t="s">
        <v>1338</v>
      </c>
      <c r="P1686" s="27">
        <v>71</v>
      </c>
      <c r="AA1686" s="27">
        <v>2169</v>
      </c>
      <c r="AB1686" s="28"/>
      <c r="AC1686" s="82"/>
      <c r="AD1686" s="29" t="s">
        <v>1377</v>
      </c>
      <c r="AE1686" s="92" t="str">
        <f t="shared" ref="AE1686:AE1695" si="217">BA1686</f>
        <v>7131,7132</v>
      </c>
      <c r="AF1686" s="29"/>
      <c r="AG1686" s="29"/>
      <c r="AH1686" s="29"/>
      <c r="AQ1686" s="85"/>
      <c r="AT1686" s="85"/>
      <c r="AU1686" s="29" t="s">
        <v>1939</v>
      </c>
      <c r="AW1686" s="39">
        <v>2</v>
      </c>
      <c r="AX1686" s="12">
        <f>VLOOKUP(AW1686,색인!$N$14:$O$19,2,FALSE)</f>
        <v>1</v>
      </c>
      <c r="AY1686" s="32" t="str">
        <f>"T"&amp;O1686&amp;"_"&amp;AX1686&amp;"옵션_"&amp;VLOOKUP(E1686,색인!$J$25:$K$29,2,FALSE)</f>
        <v>T7_1옵션_장신구</v>
      </c>
      <c r="AZ1686" s="32">
        <f>VLOOKUP(G1686,색인!$J$32:$K$45,2,FALSE)</f>
        <v>4</v>
      </c>
      <c r="BA1686" s="32" t="str">
        <f>_xlfn.IFNA(VLOOKUP(AY1686,표1[[검색용]:[OptionGroupIndex'[']22]],EquipItemTable!AZ1686,FALSE),"옵션고정안함")</f>
        <v>7131,7132</v>
      </c>
    </row>
    <row r="1687" spans="1:53" s="27" customFormat="1" ht="12" x14ac:dyDescent="0.2">
      <c r="A1687" s="25" t="s">
        <v>1610</v>
      </c>
      <c r="B1687" s="39">
        <v>83414</v>
      </c>
      <c r="C1687" s="42" t="s">
        <v>4031</v>
      </c>
      <c r="D1687" s="26" t="s">
        <v>2949</v>
      </c>
      <c r="E1687" s="26" t="s">
        <v>2</v>
      </c>
      <c r="F1687" s="27" t="s">
        <v>312</v>
      </c>
      <c r="G1687" s="27" t="s">
        <v>1625</v>
      </c>
      <c r="N1687" s="8"/>
      <c r="O1687" s="29" t="s">
        <v>1338</v>
      </c>
      <c r="P1687" s="27">
        <v>71</v>
      </c>
      <c r="AA1687" s="27">
        <v>2289</v>
      </c>
      <c r="AB1687" s="28"/>
      <c r="AC1687" s="82"/>
      <c r="AD1687" s="29" t="s">
        <v>1377</v>
      </c>
      <c r="AE1687" s="92" t="str">
        <f t="shared" si="217"/>
        <v>7231,7232</v>
      </c>
      <c r="AF1687" s="29"/>
      <c r="AG1687" s="29"/>
      <c r="AH1687" s="29"/>
      <c r="AQ1687" s="85"/>
      <c r="AT1687" s="85"/>
      <c r="AU1687" s="29" t="s">
        <v>1934</v>
      </c>
      <c r="AW1687" s="39">
        <v>3</v>
      </c>
      <c r="AX1687" s="12">
        <f>VLOOKUP(AW1687,색인!$N$14:$O$19,2,FALSE)</f>
        <v>2</v>
      </c>
      <c r="AY1687" s="32" t="str">
        <f>"T"&amp;O1687&amp;"_"&amp;AX1687&amp;"옵션_"&amp;VLOOKUP(E1687,색인!$J$25:$K$29,2,FALSE)</f>
        <v>T7_2옵션_장신구</v>
      </c>
      <c r="AZ1687" s="32">
        <f>VLOOKUP(G1687,색인!$J$32:$K$45,2,FALSE)</f>
        <v>4</v>
      </c>
      <c r="BA1687" s="32" t="str">
        <f>_xlfn.IFNA(VLOOKUP(AY1687,표1[[검색용]:[OptionGroupIndex'[']22]],EquipItemTable!AZ1687,FALSE),"옵션고정안함")</f>
        <v>7231,7232</v>
      </c>
    </row>
    <row r="1688" spans="1:53" s="27" customFormat="1" ht="12" x14ac:dyDescent="0.2">
      <c r="A1688" s="25" t="s">
        <v>1611</v>
      </c>
      <c r="B1688" s="39">
        <v>83415</v>
      </c>
      <c r="C1688" s="42" t="s">
        <v>4032</v>
      </c>
      <c r="D1688" s="26" t="s">
        <v>2949</v>
      </c>
      <c r="E1688" s="26" t="s">
        <v>2</v>
      </c>
      <c r="F1688" s="27" t="s">
        <v>312</v>
      </c>
      <c r="G1688" s="27" t="s">
        <v>1625</v>
      </c>
      <c r="N1688" s="8"/>
      <c r="O1688" s="29" t="s">
        <v>1338</v>
      </c>
      <c r="P1688" s="27">
        <v>71</v>
      </c>
      <c r="AA1688" s="27">
        <v>2502</v>
      </c>
      <c r="AB1688" s="28"/>
      <c r="AC1688" s="82"/>
      <c r="AD1688" s="29" t="s">
        <v>1377</v>
      </c>
      <c r="AE1688" s="92" t="str">
        <f t="shared" si="217"/>
        <v>7331,7332</v>
      </c>
      <c r="AF1688" s="29"/>
      <c r="AG1688" s="29"/>
      <c r="AH1688" s="29"/>
      <c r="AQ1688" s="85"/>
      <c r="AT1688" s="85"/>
      <c r="AU1688" s="29" t="s">
        <v>1935</v>
      </c>
      <c r="AW1688" s="39">
        <v>4</v>
      </c>
      <c r="AX1688" s="12">
        <f>VLOOKUP(AW1688,색인!$N$14:$O$19,2,FALSE)</f>
        <v>3</v>
      </c>
      <c r="AY1688" s="32" t="str">
        <f>"T"&amp;O1688&amp;"_"&amp;AX1688&amp;"옵션_"&amp;VLOOKUP(E1688,색인!$J$25:$K$29,2,FALSE)</f>
        <v>T7_3옵션_장신구</v>
      </c>
      <c r="AZ1688" s="32">
        <f>VLOOKUP(G1688,색인!$J$32:$K$45,2,FALSE)</f>
        <v>4</v>
      </c>
      <c r="BA1688" s="32" t="str">
        <f>_xlfn.IFNA(VLOOKUP(AY1688,표1[[검색용]:[OptionGroupIndex'[']22]],EquipItemTable!AZ1688,FALSE),"옵션고정안함")</f>
        <v>7331,7332</v>
      </c>
    </row>
    <row r="1689" spans="1:53" s="27" customFormat="1" ht="12" x14ac:dyDescent="0.2">
      <c r="A1689" s="25" t="s">
        <v>1612</v>
      </c>
      <c r="B1689" s="39">
        <v>83416</v>
      </c>
      <c r="C1689" s="42" t="s">
        <v>4021</v>
      </c>
      <c r="D1689" s="26" t="s">
        <v>2949</v>
      </c>
      <c r="E1689" s="26" t="s">
        <v>2</v>
      </c>
      <c r="F1689" s="27" t="s">
        <v>312</v>
      </c>
      <c r="G1689" s="27" t="s">
        <v>1625</v>
      </c>
      <c r="N1689" s="8"/>
      <c r="O1689" s="29" t="s">
        <v>1338</v>
      </c>
      <c r="P1689" s="27">
        <v>71</v>
      </c>
      <c r="AA1689" s="27">
        <v>2752</v>
      </c>
      <c r="AB1689" s="28"/>
      <c r="AC1689" s="82"/>
      <c r="AD1689" s="29" t="s">
        <v>1377</v>
      </c>
      <c r="AE1689" s="92" t="str">
        <f t="shared" si="217"/>
        <v>7331,7332</v>
      </c>
      <c r="AF1689" s="29"/>
      <c r="AG1689" s="29"/>
      <c r="AH1689" s="29"/>
      <c r="AN1689" s="27">
        <v>103</v>
      </c>
      <c r="AQ1689" s="85"/>
      <c r="AT1689" s="85"/>
      <c r="AU1689" s="29" t="s">
        <v>1945</v>
      </c>
      <c r="AW1689" s="39">
        <v>5</v>
      </c>
      <c r="AX1689" s="12">
        <f>VLOOKUP(AW1689,색인!$N$14:$O$19,2,FALSE)</f>
        <v>3</v>
      </c>
      <c r="AY1689" s="32" t="str">
        <f>"T"&amp;O1689&amp;"_"&amp;AX1689&amp;"옵션_"&amp;VLOOKUP(E1689,색인!$J$25:$K$29,2,FALSE)</f>
        <v>T7_3옵션_장신구</v>
      </c>
      <c r="AZ1689" s="32">
        <f>VLOOKUP(G1689,색인!$J$32:$K$45,2,FALSE)</f>
        <v>4</v>
      </c>
      <c r="BA1689" s="32" t="str">
        <f>_xlfn.IFNA(VLOOKUP(AY1689,표1[[검색용]:[OptionGroupIndex'[']22]],EquipItemTable!AZ1689,FALSE),"옵션고정안함")</f>
        <v>7331,7332</v>
      </c>
    </row>
    <row r="1690" spans="1:53" s="27" customFormat="1" ht="12" x14ac:dyDescent="0.2">
      <c r="A1690" s="25" t="s">
        <v>1613</v>
      </c>
      <c r="B1690" s="39">
        <v>83417</v>
      </c>
      <c r="C1690" s="42" t="s">
        <v>4023</v>
      </c>
      <c r="D1690" s="26" t="s">
        <v>2949</v>
      </c>
      <c r="E1690" s="26" t="s">
        <v>2</v>
      </c>
      <c r="F1690" s="27" t="s">
        <v>312</v>
      </c>
      <c r="G1690" s="27" t="s">
        <v>1625</v>
      </c>
      <c r="N1690" s="8"/>
      <c r="O1690" s="29" t="s">
        <v>1338</v>
      </c>
      <c r="P1690" s="27">
        <v>71</v>
      </c>
      <c r="AA1690" s="27">
        <v>2752</v>
      </c>
      <c r="AB1690" s="28"/>
      <c r="AC1690" s="82"/>
      <c r="AD1690" s="29" t="s">
        <v>1377</v>
      </c>
      <c r="AE1690" s="92" t="str">
        <f t="shared" si="217"/>
        <v>7331,7332</v>
      </c>
      <c r="AF1690" s="29"/>
      <c r="AG1690" s="29"/>
      <c r="AH1690" s="29"/>
      <c r="AN1690" s="27">
        <v>202</v>
      </c>
      <c r="AQ1690" s="85"/>
      <c r="AT1690" s="85"/>
      <c r="AU1690" s="29" t="s">
        <v>1945</v>
      </c>
      <c r="AW1690" s="39">
        <v>5</v>
      </c>
      <c r="AX1690" s="12">
        <f>VLOOKUP(AW1690,색인!$N$14:$O$19,2,FALSE)</f>
        <v>3</v>
      </c>
      <c r="AY1690" s="32" t="str">
        <f>"T"&amp;O1690&amp;"_"&amp;AX1690&amp;"옵션_"&amp;VLOOKUP(E1690,색인!$J$25:$K$29,2,FALSE)</f>
        <v>T7_3옵션_장신구</v>
      </c>
      <c r="AZ1690" s="32">
        <f>VLOOKUP(G1690,색인!$J$32:$K$45,2,FALSE)</f>
        <v>4</v>
      </c>
      <c r="BA1690" s="32" t="str">
        <f>_xlfn.IFNA(VLOOKUP(AY1690,표1[[검색용]:[OptionGroupIndex'[']22]],EquipItemTable!AZ1690,FALSE),"옵션고정안함")</f>
        <v>7331,7332</v>
      </c>
    </row>
    <row r="1691" spans="1:53" s="27" customFormat="1" ht="12" x14ac:dyDescent="0.2">
      <c r="A1691" s="25" t="s">
        <v>1614</v>
      </c>
      <c r="B1691" s="39">
        <v>83418</v>
      </c>
      <c r="C1691" s="42" t="s">
        <v>4024</v>
      </c>
      <c r="D1691" s="26" t="s">
        <v>2949</v>
      </c>
      <c r="E1691" s="26" t="s">
        <v>2</v>
      </c>
      <c r="F1691" s="27" t="s">
        <v>312</v>
      </c>
      <c r="G1691" s="27" t="s">
        <v>1625</v>
      </c>
      <c r="N1691" s="8"/>
      <c r="O1691" s="29" t="s">
        <v>1338</v>
      </c>
      <c r="P1691" s="27">
        <v>71</v>
      </c>
      <c r="AA1691" s="27">
        <v>2752</v>
      </c>
      <c r="AB1691" s="28"/>
      <c r="AC1691" s="82"/>
      <c r="AD1691" s="29" t="s">
        <v>1377</v>
      </c>
      <c r="AE1691" s="92" t="str">
        <f t="shared" si="217"/>
        <v>7331,7332</v>
      </c>
      <c r="AF1691" s="29"/>
      <c r="AG1691" s="29"/>
      <c r="AH1691" s="29"/>
      <c r="AN1691" s="27">
        <v>203</v>
      </c>
      <c r="AQ1691" s="85"/>
      <c r="AT1691" s="85"/>
      <c r="AU1691" s="29" t="s">
        <v>1945</v>
      </c>
      <c r="AW1691" s="39">
        <v>5</v>
      </c>
      <c r="AX1691" s="12">
        <f>VLOOKUP(AW1691,색인!$N$14:$O$19,2,FALSE)</f>
        <v>3</v>
      </c>
      <c r="AY1691" s="32" t="str">
        <f>"T"&amp;O1691&amp;"_"&amp;AX1691&amp;"옵션_"&amp;VLOOKUP(E1691,색인!$J$25:$K$29,2,FALSE)</f>
        <v>T7_3옵션_장신구</v>
      </c>
      <c r="AZ1691" s="32">
        <f>VLOOKUP(G1691,색인!$J$32:$K$45,2,FALSE)</f>
        <v>4</v>
      </c>
      <c r="BA1691" s="32" t="str">
        <f>_xlfn.IFNA(VLOOKUP(AY1691,표1[[검색용]:[OptionGroupIndex'[']22]],EquipItemTable!AZ1691,FALSE),"옵션고정안함")</f>
        <v>7331,7332</v>
      </c>
    </row>
    <row r="1692" spans="1:53" s="27" customFormat="1" ht="12" x14ac:dyDescent="0.2">
      <c r="A1692" s="25" t="s">
        <v>1615</v>
      </c>
      <c r="B1692" s="39">
        <v>83419</v>
      </c>
      <c r="C1692" s="42" t="s">
        <v>4025</v>
      </c>
      <c r="D1692" s="26" t="s">
        <v>2949</v>
      </c>
      <c r="E1692" s="26" t="s">
        <v>2</v>
      </c>
      <c r="F1692" s="27" t="s">
        <v>312</v>
      </c>
      <c r="G1692" s="27" t="s">
        <v>1625</v>
      </c>
      <c r="J1692" s="32"/>
      <c r="K1692" s="32"/>
      <c r="L1692" s="32"/>
      <c r="M1692" s="32"/>
      <c r="N1692" s="8"/>
      <c r="O1692" s="29" t="s">
        <v>1338</v>
      </c>
      <c r="P1692" s="27">
        <v>71</v>
      </c>
      <c r="AA1692" s="27">
        <v>2752</v>
      </c>
      <c r="AB1692" s="28"/>
      <c r="AC1692" s="82"/>
      <c r="AD1692" s="29" t="s">
        <v>1377</v>
      </c>
      <c r="AE1692" s="92" t="str">
        <f t="shared" si="217"/>
        <v>7331,7332</v>
      </c>
      <c r="AF1692" s="29"/>
      <c r="AG1692" s="12"/>
      <c r="AH1692" s="12"/>
      <c r="AN1692" s="27">
        <v>204</v>
      </c>
      <c r="AQ1692" s="85"/>
      <c r="AT1692" s="85"/>
      <c r="AU1692" s="29" t="s">
        <v>1945</v>
      </c>
      <c r="AW1692" s="39">
        <v>5</v>
      </c>
      <c r="AX1692" s="12">
        <f>VLOOKUP(AW1692,색인!$N$14:$O$19,2,FALSE)</f>
        <v>3</v>
      </c>
      <c r="AY1692" s="32" t="str">
        <f>"T"&amp;O1692&amp;"_"&amp;AX1692&amp;"옵션_"&amp;VLOOKUP(E1692,색인!$J$25:$K$29,2,FALSE)</f>
        <v>T7_3옵션_장신구</v>
      </c>
      <c r="AZ1692" s="32">
        <f>VLOOKUP(G1692,색인!$J$32:$K$45,2,FALSE)</f>
        <v>4</v>
      </c>
      <c r="BA1692" s="32" t="str">
        <f>_xlfn.IFNA(VLOOKUP(AY1692,표1[[검색용]:[OptionGroupIndex'[']22]],EquipItemTable!AZ1692,FALSE),"옵션고정안함")</f>
        <v>7331,7332</v>
      </c>
    </row>
    <row r="1693" spans="1:53" s="27" customFormat="1" ht="12" x14ac:dyDescent="0.2">
      <c r="A1693" s="25" t="s">
        <v>1616</v>
      </c>
      <c r="B1693" s="39">
        <v>83420</v>
      </c>
      <c r="C1693" s="42" t="s">
        <v>4026</v>
      </c>
      <c r="D1693" s="26" t="s">
        <v>2949</v>
      </c>
      <c r="E1693" s="26" t="s">
        <v>2</v>
      </c>
      <c r="F1693" s="27" t="s">
        <v>312</v>
      </c>
      <c r="G1693" s="27" t="s">
        <v>1625</v>
      </c>
      <c r="J1693" s="32"/>
      <c r="K1693" s="32"/>
      <c r="L1693" s="32"/>
      <c r="M1693" s="32"/>
      <c r="N1693" s="8"/>
      <c r="O1693" s="29" t="s">
        <v>1338</v>
      </c>
      <c r="P1693" s="27">
        <v>71</v>
      </c>
      <c r="AA1693" s="27">
        <v>2752</v>
      </c>
      <c r="AB1693" s="28"/>
      <c r="AC1693" s="82"/>
      <c r="AD1693" s="29" t="s">
        <v>1377</v>
      </c>
      <c r="AE1693" s="92" t="str">
        <f t="shared" si="217"/>
        <v>7331,7332</v>
      </c>
      <c r="AF1693" s="29"/>
      <c r="AG1693" s="12"/>
      <c r="AH1693" s="12"/>
      <c r="AN1693" s="27">
        <v>205</v>
      </c>
      <c r="AQ1693" s="85"/>
      <c r="AT1693" s="85"/>
      <c r="AU1693" s="29" t="s">
        <v>1945</v>
      </c>
      <c r="AW1693" s="39">
        <v>5</v>
      </c>
      <c r="AX1693" s="12">
        <f>VLOOKUP(AW1693,색인!$N$14:$O$19,2,FALSE)</f>
        <v>3</v>
      </c>
      <c r="AY1693" s="32" t="str">
        <f>"T"&amp;O1693&amp;"_"&amp;AX1693&amp;"옵션_"&amp;VLOOKUP(E1693,색인!$J$25:$K$29,2,FALSE)</f>
        <v>T7_3옵션_장신구</v>
      </c>
      <c r="AZ1693" s="32">
        <f>VLOOKUP(G1693,색인!$J$32:$K$45,2,FALSE)</f>
        <v>4</v>
      </c>
      <c r="BA1693" s="32" t="str">
        <f>_xlfn.IFNA(VLOOKUP(AY1693,표1[[검색용]:[OptionGroupIndex'[']22]],EquipItemTable!AZ1693,FALSE),"옵션고정안함")</f>
        <v>7331,7332</v>
      </c>
    </row>
    <row r="1694" spans="1:53" s="27" customFormat="1" ht="12" x14ac:dyDescent="0.2">
      <c r="A1694" s="25" t="s">
        <v>1617</v>
      </c>
      <c r="B1694" s="39">
        <v>83421</v>
      </c>
      <c r="C1694" s="42" t="s">
        <v>4033</v>
      </c>
      <c r="D1694" s="26" t="s">
        <v>2949</v>
      </c>
      <c r="E1694" s="26" t="s">
        <v>2</v>
      </c>
      <c r="F1694" s="27" t="s">
        <v>312</v>
      </c>
      <c r="G1694" s="27" t="s">
        <v>1625</v>
      </c>
      <c r="J1694" s="32"/>
      <c r="K1694" s="32"/>
      <c r="L1694" s="32"/>
      <c r="M1694" s="32"/>
      <c r="N1694" s="8"/>
      <c r="O1694" s="29" t="s">
        <v>1338</v>
      </c>
      <c r="P1694" s="27">
        <v>71</v>
      </c>
      <c r="AA1694" s="27">
        <v>2752</v>
      </c>
      <c r="AB1694" s="28"/>
      <c r="AC1694" s="82"/>
      <c r="AD1694" s="29" t="s">
        <v>1377</v>
      </c>
      <c r="AE1694" s="92" t="str">
        <f t="shared" si="217"/>
        <v>7331,7332</v>
      </c>
      <c r="AF1694" s="29"/>
      <c r="AG1694" s="12"/>
      <c r="AH1694" s="12"/>
      <c r="AN1694" s="27">
        <v>206</v>
      </c>
      <c r="AQ1694" s="85"/>
      <c r="AT1694" s="85"/>
      <c r="AU1694" s="29" t="s">
        <v>1945</v>
      </c>
      <c r="AW1694" s="39">
        <v>5</v>
      </c>
      <c r="AX1694" s="12">
        <f>VLOOKUP(AW1694,색인!$N$14:$O$19,2,FALSE)</f>
        <v>3</v>
      </c>
      <c r="AY1694" s="32" t="str">
        <f>"T"&amp;O1694&amp;"_"&amp;AX1694&amp;"옵션_"&amp;VLOOKUP(E1694,색인!$J$25:$K$29,2,FALSE)</f>
        <v>T7_3옵션_장신구</v>
      </c>
      <c r="AZ1694" s="32">
        <f>VLOOKUP(G1694,색인!$J$32:$K$45,2,FALSE)</f>
        <v>4</v>
      </c>
      <c r="BA1694" s="32" t="str">
        <f>_xlfn.IFNA(VLOOKUP(AY1694,표1[[검색용]:[OptionGroupIndex'[']22]],EquipItemTable!AZ1694,FALSE),"옵션고정안함")</f>
        <v>7331,7332</v>
      </c>
    </row>
    <row r="1695" spans="1:53" s="27" customFormat="1" ht="12" x14ac:dyDescent="0.2">
      <c r="A1695" s="25" t="s">
        <v>1618</v>
      </c>
      <c r="B1695" s="39">
        <v>83422</v>
      </c>
      <c r="C1695" s="42" t="s">
        <v>4034</v>
      </c>
      <c r="D1695" s="26" t="s">
        <v>2949</v>
      </c>
      <c r="E1695" s="26" t="s">
        <v>2</v>
      </c>
      <c r="F1695" s="27" t="s">
        <v>312</v>
      </c>
      <c r="G1695" s="27" t="s">
        <v>1625</v>
      </c>
      <c r="J1695" s="32"/>
      <c r="K1695" s="32"/>
      <c r="L1695" s="32"/>
      <c r="M1695" s="32"/>
      <c r="N1695" s="8"/>
      <c r="O1695" s="29" t="s">
        <v>1338</v>
      </c>
      <c r="P1695" s="27">
        <v>71</v>
      </c>
      <c r="AA1695" s="27">
        <v>2752</v>
      </c>
      <c r="AB1695" s="28"/>
      <c r="AC1695" s="82"/>
      <c r="AD1695" s="29" t="s">
        <v>1377</v>
      </c>
      <c r="AE1695" s="92" t="str">
        <f t="shared" si="217"/>
        <v>7331,7332</v>
      </c>
      <c r="AF1695" s="29"/>
      <c r="AG1695" s="12"/>
      <c r="AH1695" s="12"/>
      <c r="AN1695" s="27">
        <v>207</v>
      </c>
      <c r="AQ1695" s="85"/>
      <c r="AT1695" s="85"/>
      <c r="AU1695" s="29" t="s">
        <v>1945</v>
      </c>
      <c r="AW1695" s="39">
        <v>5</v>
      </c>
      <c r="AX1695" s="12">
        <f>VLOOKUP(AW1695,색인!$N$14:$O$19,2,FALSE)</f>
        <v>3</v>
      </c>
      <c r="AY1695" s="32" t="str">
        <f>"T"&amp;O1695&amp;"_"&amp;AX1695&amp;"옵션_"&amp;VLOOKUP(E1695,색인!$J$25:$K$29,2,FALSE)</f>
        <v>T7_3옵션_장신구</v>
      </c>
      <c r="AZ1695" s="32">
        <f>VLOOKUP(G1695,색인!$J$32:$K$45,2,FALSE)</f>
        <v>4</v>
      </c>
      <c r="BA1695" s="32" t="str">
        <f>_xlfn.IFNA(VLOOKUP(AY1695,표1[[검색용]:[OptionGroupIndex'[']22]],EquipItemTable!AZ1695,FALSE),"옵션고정안함")</f>
        <v>7331,7332</v>
      </c>
    </row>
    <row r="1696" spans="1:53" s="27" customFormat="1" ht="12" x14ac:dyDescent="0.2">
      <c r="A1696" s="25" t="s">
        <v>1619</v>
      </c>
      <c r="B1696" s="39">
        <v>83423</v>
      </c>
      <c r="C1696" s="42" t="s">
        <v>4017</v>
      </c>
      <c r="D1696" s="26" t="s">
        <v>2949</v>
      </c>
      <c r="E1696" s="26" t="s">
        <v>2</v>
      </c>
      <c r="F1696" s="27" t="s">
        <v>312</v>
      </c>
      <c r="G1696" s="27" t="s">
        <v>1625</v>
      </c>
      <c r="J1696" s="32"/>
      <c r="K1696" s="32"/>
      <c r="L1696" s="32"/>
      <c r="M1696" s="32"/>
      <c r="N1696" s="8"/>
      <c r="O1696" s="29" t="s">
        <v>1338</v>
      </c>
      <c r="P1696" s="27">
        <v>71</v>
      </c>
      <c r="AA1696" s="27">
        <v>2841</v>
      </c>
      <c r="AB1696" s="28"/>
      <c r="AC1696" s="82"/>
      <c r="AD1696" s="29" t="s">
        <v>1377</v>
      </c>
      <c r="AE1696" s="92" t="str">
        <f>BA1696</f>
        <v>7431,7432</v>
      </c>
      <c r="AF1696" s="29" t="s">
        <v>2185</v>
      </c>
      <c r="AG1696" s="12"/>
      <c r="AH1696" s="12"/>
      <c r="AN1696" s="27">
        <v>1</v>
      </c>
      <c r="AQ1696" s="85"/>
      <c r="AT1696" s="85"/>
      <c r="AU1696" s="12" t="s">
        <v>1936</v>
      </c>
      <c r="AW1696" s="39">
        <v>6</v>
      </c>
      <c r="AX1696" s="12">
        <f>VLOOKUP(AW1696,색인!$N$14:$O$19,2,FALSE)</f>
        <v>4</v>
      </c>
      <c r="AY1696" s="32" t="str">
        <f>"T"&amp;O1696&amp;"_"&amp;AX1696&amp;"옵션_"&amp;VLOOKUP(E1696,색인!$J$25:$K$29,2,FALSE)</f>
        <v>T7_4옵션_장신구</v>
      </c>
      <c r="AZ1696" s="32">
        <f>VLOOKUP(G1696,색인!$J$32:$K$45,2,FALSE)</f>
        <v>4</v>
      </c>
      <c r="BA1696" s="32" t="str">
        <f>_xlfn.IFNA(VLOOKUP(AY1696,표1[[검색용]:[OptionGroupIndex'[']22]],EquipItemTable!AZ1696,FALSE),"옵션고정안함")</f>
        <v>7431,7432</v>
      </c>
    </row>
    <row r="1697" spans="1:53" s="27" customFormat="1" ht="12" x14ac:dyDescent="0.2">
      <c r="A1697" s="25" t="s">
        <v>1620</v>
      </c>
      <c r="B1697" s="39">
        <v>83424</v>
      </c>
      <c r="C1697" s="42" t="s">
        <v>4018</v>
      </c>
      <c r="D1697" s="26" t="s">
        <v>2949</v>
      </c>
      <c r="E1697" s="26" t="s">
        <v>2</v>
      </c>
      <c r="F1697" s="27" t="s">
        <v>312</v>
      </c>
      <c r="G1697" s="27" t="s">
        <v>1625</v>
      </c>
      <c r="J1697" s="32"/>
      <c r="K1697" s="32"/>
      <c r="L1697" s="32"/>
      <c r="M1697" s="32"/>
      <c r="N1697" s="8"/>
      <c r="O1697" s="29" t="s">
        <v>1338</v>
      </c>
      <c r="P1697" s="27">
        <v>71</v>
      </c>
      <c r="AA1697" s="27">
        <v>2841</v>
      </c>
      <c r="AB1697" s="28"/>
      <c r="AC1697" s="82"/>
      <c r="AD1697" s="29" t="s">
        <v>1377</v>
      </c>
      <c r="AE1697" s="92" t="str">
        <f>BA1697</f>
        <v>7431,7432</v>
      </c>
      <c r="AF1697" s="29" t="s">
        <v>2185</v>
      </c>
      <c r="AG1697" s="12"/>
      <c r="AH1697" s="12"/>
      <c r="AN1697" s="27">
        <v>2</v>
      </c>
      <c r="AQ1697" s="85"/>
      <c r="AT1697" s="85"/>
      <c r="AU1697" s="12" t="s">
        <v>1936</v>
      </c>
      <c r="AW1697" s="39">
        <v>6</v>
      </c>
      <c r="AX1697" s="12">
        <f>VLOOKUP(AW1697,색인!$N$14:$O$19,2,FALSE)</f>
        <v>4</v>
      </c>
      <c r="AY1697" s="32" t="str">
        <f>"T"&amp;O1697&amp;"_"&amp;AX1697&amp;"옵션_"&amp;VLOOKUP(E1697,색인!$J$25:$K$29,2,FALSE)</f>
        <v>T7_4옵션_장신구</v>
      </c>
      <c r="AZ1697" s="32">
        <f>VLOOKUP(G1697,색인!$J$32:$K$45,2,FALSE)</f>
        <v>4</v>
      </c>
      <c r="BA1697" s="32" t="str">
        <f>_xlfn.IFNA(VLOOKUP(AY1697,표1[[검색용]:[OptionGroupIndex'[']22]],EquipItemTable!AZ1697,FALSE),"옵션고정안함")</f>
        <v>7431,7432</v>
      </c>
    </row>
    <row r="1698" spans="1:53" s="27" customFormat="1" ht="12" x14ac:dyDescent="0.2">
      <c r="A1698" s="25" t="s">
        <v>1621</v>
      </c>
      <c r="B1698" s="39">
        <v>83425</v>
      </c>
      <c r="C1698" s="42" t="s">
        <v>4019</v>
      </c>
      <c r="D1698" s="26" t="s">
        <v>2949</v>
      </c>
      <c r="E1698" s="26" t="s">
        <v>2</v>
      </c>
      <c r="F1698" s="27" t="s">
        <v>312</v>
      </c>
      <c r="G1698" s="27" t="s">
        <v>1625</v>
      </c>
      <c r="J1698" s="32"/>
      <c r="K1698" s="32"/>
      <c r="L1698" s="32"/>
      <c r="M1698" s="32"/>
      <c r="N1698" s="8"/>
      <c r="O1698" s="29" t="s">
        <v>1338</v>
      </c>
      <c r="P1698" s="27">
        <v>71</v>
      </c>
      <c r="AA1698" s="27">
        <v>2841</v>
      </c>
      <c r="AB1698" s="28"/>
      <c r="AC1698" s="82"/>
      <c r="AD1698" s="29" t="s">
        <v>1377</v>
      </c>
      <c r="AE1698" s="92" t="str">
        <f>BA1698</f>
        <v>7431,7432</v>
      </c>
      <c r="AF1698" s="29" t="s">
        <v>2185</v>
      </c>
      <c r="AG1698" s="12"/>
      <c r="AH1698" s="12"/>
      <c r="AN1698" s="27">
        <v>3</v>
      </c>
      <c r="AQ1698" s="85"/>
      <c r="AT1698" s="85"/>
      <c r="AU1698" s="12" t="s">
        <v>1936</v>
      </c>
      <c r="AW1698" s="39">
        <v>6</v>
      </c>
      <c r="AX1698" s="12">
        <f>VLOOKUP(AW1698,색인!$N$14:$O$19,2,FALSE)</f>
        <v>4</v>
      </c>
      <c r="AY1698" s="32" t="str">
        <f>"T"&amp;O1698&amp;"_"&amp;AX1698&amp;"옵션_"&amp;VLOOKUP(E1698,색인!$J$25:$K$29,2,FALSE)</f>
        <v>T7_4옵션_장신구</v>
      </c>
      <c r="AZ1698" s="32">
        <f>VLOOKUP(G1698,색인!$J$32:$K$45,2,FALSE)</f>
        <v>4</v>
      </c>
      <c r="BA1698" s="32" t="str">
        <f>_xlfn.IFNA(VLOOKUP(AY1698,표1[[검색용]:[OptionGroupIndex'[']22]],EquipItemTable!AZ1698,FALSE),"옵션고정안함")</f>
        <v>7431,7432</v>
      </c>
    </row>
    <row r="1699" spans="1:53" s="27" customFormat="1" ht="12" x14ac:dyDescent="0.2">
      <c r="A1699" s="25" t="s">
        <v>1622</v>
      </c>
      <c r="B1699" s="39">
        <v>83426</v>
      </c>
      <c r="C1699" s="42" t="s">
        <v>4020</v>
      </c>
      <c r="D1699" s="26" t="s">
        <v>2949</v>
      </c>
      <c r="E1699" s="26" t="s">
        <v>2</v>
      </c>
      <c r="F1699" s="27" t="s">
        <v>312</v>
      </c>
      <c r="G1699" s="27" t="s">
        <v>1625</v>
      </c>
      <c r="J1699" s="32"/>
      <c r="K1699" s="32"/>
      <c r="L1699" s="32"/>
      <c r="M1699" s="32"/>
      <c r="N1699" s="8"/>
      <c r="O1699" s="29" t="s">
        <v>1338</v>
      </c>
      <c r="P1699" s="27">
        <v>71</v>
      </c>
      <c r="AA1699" s="27">
        <v>2841</v>
      </c>
      <c r="AB1699" s="28"/>
      <c r="AC1699" s="82"/>
      <c r="AD1699" s="29" t="s">
        <v>1377</v>
      </c>
      <c r="AE1699" s="92" t="str">
        <f>BA1699</f>
        <v>7431,7432</v>
      </c>
      <c r="AF1699" s="29" t="s">
        <v>2185</v>
      </c>
      <c r="AG1699" s="12"/>
      <c r="AH1699" s="12"/>
      <c r="AN1699" s="27">
        <v>4</v>
      </c>
      <c r="AQ1699" s="85"/>
      <c r="AT1699" s="85"/>
      <c r="AU1699" s="12" t="s">
        <v>1936</v>
      </c>
      <c r="AW1699" s="39">
        <v>6</v>
      </c>
      <c r="AX1699" s="12">
        <f>VLOOKUP(AW1699,색인!$N$14:$O$19,2,FALSE)</f>
        <v>4</v>
      </c>
      <c r="AY1699" s="32" t="str">
        <f>"T"&amp;O1699&amp;"_"&amp;AX1699&amp;"옵션_"&amp;VLOOKUP(E1699,색인!$J$25:$K$29,2,FALSE)</f>
        <v>T7_4옵션_장신구</v>
      </c>
      <c r="AZ1699" s="32">
        <f>VLOOKUP(G1699,색인!$J$32:$K$45,2,FALSE)</f>
        <v>4</v>
      </c>
      <c r="BA1699" s="32" t="str">
        <f>_xlfn.IFNA(VLOOKUP(AY1699,표1[[검색용]:[OptionGroupIndex'[']22]],EquipItemTable!AZ1699,FALSE),"옵션고정안함")</f>
        <v>7431,7432</v>
      </c>
    </row>
    <row r="1700" spans="1:53" s="27" customFormat="1" ht="12" x14ac:dyDescent="0.2">
      <c r="A1700" s="25" t="s">
        <v>1623</v>
      </c>
      <c r="B1700" s="39">
        <v>383003</v>
      </c>
      <c r="C1700" s="42" t="s">
        <v>4027</v>
      </c>
      <c r="D1700" s="26" t="s">
        <v>2949</v>
      </c>
      <c r="E1700" s="26" t="s">
        <v>2</v>
      </c>
      <c r="F1700" s="27" t="s">
        <v>312</v>
      </c>
      <c r="G1700" s="27" t="s">
        <v>1625</v>
      </c>
      <c r="J1700" s="32"/>
      <c r="K1700" s="32"/>
      <c r="L1700" s="32"/>
      <c r="M1700" s="32"/>
      <c r="N1700" s="8"/>
      <c r="O1700" s="29" t="s">
        <v>1338</v>
      </c>
      <c r="P1700" s="27">
        <v>71</v>
      </c>
      <c r="AA1700" s="27">
        <v>2752</v>
      </c>
      <c r="AB1700" s="28"/>
      <c r="AC1700" s="82"/>
      <c r="AD1700" s="29" t="s">
        <v>1377</v>
      </c>
      <c r="AE1700" s="92" t="str">
        <f>BA1700</f>
        <v>7331,7332</v>
      </c>
      <c r="AF1700" s="29"/>
      <c r="AG1700" s="12"/>
      <c r="AH1700" s="12"/>
      <c r="AN1700" s="27">
        <v>101</v>
      </c>
      <c r="AQ1700" s="85"/>
      <c r="AT1700" s="85"/>
      <c r="AU1700" s="29" t="s">
        <v>1945</v>
      </c>
      <c r="AW1700" s="39">
        <v>5</v>
      </c>
      <c r="AX1700" s="12">
        <f>VLOOKUP(AW1700,색인!$N$14:$O$19,2,FALSE)</f>
        <v>3</v>
      </c>
      <c r="AY1700" s="32" t="str">
        <f>"T"&amp;O1700&amp;"_"&amp;AX1700&amp;"옵션_"&amp;VLOOKUP(E1700,색인!$J$25:$K$29,2,FALSE)</f>
        <v>T7_3옵션_장신구</v>
      </c>
      <c r="AZ1700" s="32">
        <f>VLOOKUP(G1700,색인!$J$32:$K$45,2,FALSE)</f>
        <v>4</v>
      </c>
      <c r="BA1700" s="32" t="str">
        <f>_xlfn.IFNA(VLOOKUP(AY1700,표1[[검색용]:[OptionGroupIndex'[']22]],EquipItemTable!AZ1700,FALSE),"옵션고정안함")</f>
        <v>7331,7332</v>
      </c>
    </row>
    <row r="1701" spans="1:53" s="27" customFormat="1" ht="12" x14ac:dyDescent="0.2">
      <c r="A1701" s="25" t="s">
        <v>1624</v>
      </c>
      <c r="B1701" s="39">
        <v>383004</v>
      </c>
      <c r="C1701" s="42" t="s">
        <v>4028</v>
      </c>
      <c r="D1701" s="26" t="s">
        <v>2949</v>
      </c>
      <c r="E1701" s="26" t="s">
        <v>2</v>
      </c>
      <c r="F1701" s="27" t="s">
        <v>312</v>
      </c>
      <c r="G1701" s="27" t="s">
        <v>1625</v>
      </c>
      <c r="J1701" s="32"/>
      <c r="K1701" s="32"/>
      <c r="L1701" s="32"/>
      <c r="M1701" s="32"/>
      <c r="N1701" s="8"/>
      <c r="O1701" s="29" t="s">
        <v>1338</v>
      </c>
      <c r="P1701" s="27">
        <v>71</v>
      </c>
      <c r="AA1701" s="27">
        <v>2841</v>
      </c>
      <c r="AB1701" s="28"/>
      <c r="AC1701" s="82"/>
      <c r="AD1701" s="29" t="s">
        <v>1377</v>
      </c>
      <c r="AE1701" s="92" t="s">
        <v>2189</v>
      </c>
      <c r="AF1701" s="29" t="s">
        <v>2185</v>
      </c>
      <c r="AG1701" s="12"/>
      <c r="AH1701" s="12"/>
      <c r="AN1701" s="27">
        <v>102</v>
      </c>
      <c r="AQ1701" s="85"/>
      <c r="AT1701" s="85"/>
      <c r="AU1701" s="29" t="s">
        <v>1936</v>
      </c>
      <c r="AW1701" s="39">
        <v>6</v>
      </c>
      <c r="AX1701" s="12">
        <f>VLOOKUP(AW1701,색인!$N$14:$O$19,2,FALSE)</f>
        <v>4</v>
      </c>
      <c r="AY1701" s="32" t="str">
        <f>"T"&amp;O1701&amp;"_"&amp;AX1701&amp;"옵션_"&amp;VLOOKUP(E1701,색인!$J$25:$K$29,2,FALSE)</f>
        <v>T7_4옵션_장신구</v>
      </c>
      <c r="AZ1701" s="32">
        <f>VLOOKUP(G1701,색인!$J$32:$K$45,2,FALSE)</f>
        <v>4</v>
      </c>
      <c r="BA1701" s="32" t="str">
        <f>_xlfn.IFNA(VLOOKUP(AY1701,표1[[검색용]:[OptionGroupIndex'[']22]],EquipItemTable!AZ1701,FALSE),"옵션고정안함")</f>
        <v>7431,7432</v>
      </c>
    </row>
    <row r="1702" spans="1:53" ht="12" customHeight="1" x14ac:dyDescent="0.2">
      <c r="A1702" s="10" t="s">
        <v>594</v>
      </c>
      <c r="B1702" s="39">
        <v>140001</v>
      </c>
      <c r="C1702" s="42" t="s">
        <v>4035</v>
      </c>
      <c r="D1702" s="86" t="s">
        <v>595</v>
      </c>
      <c r="E1702" s="86" t="s">
        <v>595</v>
      </c>
      <c r="F1702" s="32" t="s">
        <v>312</v>
      </c>
      <c r="G1702" s="32" t="s">
        <v>1318</v>
      </c>
      <c r="O1702" s="32">
        <v>5</v>
      </c>
      <c r="P1702" s="32">
        <v>51</v>
      </c>
      <c r="Q1702" s="1"/>
      <c r="R1702" s="1"/>
      <c r="S1702" s="1"/>
      <c r="T1702" s="1"/>
      <c r="U1702" s="1"/>
      <c r="V1702" s="1"/>
      <c r="W1702" s="1"/>
      <c r="X1702" s="1"/>
      <c r="Y1702" s="20">
        <v>46368</v>
      </c>
      <c r="Z1702" s="1"/>
      <c r="AA1702" s="1"/>
      <c r="AB1702" s="1"/>
      <c r="AD1702" s="12" t="s">
        <v>596</v>
      </c>
      <c r="AE1702" s="12" t="s">
        <v>597</v>
      </c>
      <c r="AN1702" s="12"/>
      <c r="AU1702" s="12" t="s">
        <v>1932</v>
      </c>
      <c r="AW1702" s="39">
        <v>1</v>
      </c>
      <c r="AY1702" s="32"/>
      <c r="AZ1702" s="32"/>
      <c r="BA1702" s="32"/>
    </row>
    <row r="1703" spans="1:53" ht="12" customHeight="1" x14ac:dyDescent="0.2">
      <c r="A1703" s="10" t="s">
        <v>598</v>
      </c>
      <c r="B1703" s="39">
        <v>140002</v>
      </c>
      <c r="C1703" s="42" t="s">
        <v>4036</v>
      </c>
      <c r="D1703" s="86" t="s">
        <v>595</v>
      </c>
      <c r="E1703" s="86" t="s">
        <v>595</v>
      </c>
      <c r="F1703" s="32" t="s">
        <v>312</v>
      </c>
      <c r="G1703" s="32" t="s">
        <v>1318</v>
      </c>
      <c r="O1703" s="32">
        <v>5</v>
      </c>
      <c r="P1703" s="32">
        <v>51</v>
      </c>
      <c r="Q1703" s="1"/>
      <c r="R1703" s="1"/>
      <c r="S1703" s="1"/>
      <c r="T1703" s="1"/>
      <c r="U1703" s="1"/>
      <c r="V1703" s="1"/>
      <c r="W1703" s="1"/>
      <c r="X1703" s="1"/>
      <c r="Y1703" s="20">
        <v>56593.799999999996</v>
      </c>
      <c r="Z1703" s="1"/>
      <c r="AA1703" s="1"/>
      <c r="AB1703" s="1"/>
      <c r="AD1703" s="12" t="s">
        <v>596</v>
      </c>
      <c r="AE1703" s="39" t="str">
        <f t="shared" ref="AE1703:AE1705" si="218">BA1703</f>
        <v>5141,5142</v>
      </c>
      <c r="AN1703" s="12"/>
      <c r="AU1703" s="12" t="s">
        <v>1939</v>
      </c>
      <c r="AW1703" s="39">
        <v>2</v>
      </c>
      <c r="AX1703" s="12">
        <f>VLOOKUP(AW1703,색인!$N$14:$O$19,2,FALSE)</f>
        <v>1</v>
      </c>
      <c r="AY1703" s="32" t="str">
        <f>"T"&amp;O1703&amp;"_"&amp;AX1703&amp;"옵션_"&amp;VLOOKUP(E1703,색인!$J$25:$K$29,2,FALSE)</f>
        <v>T5_1옵션_보주</v>
      </c>
      <c r="AZ1703" s="32">
        <f>VLOOKUP(G1703,색인!$J$32:$K$45,2,FALSE)</f>
        <v>4</v>
      </c>
      <c r="BA1703" s="32" t="str">
        <f>_xlfn.IFNA(VLOOKUP(AY1703,표1[[검색용]:[OptionGroupIndex'[']22]],EquipItemTable!AZ1703,FALSE),"옵션고정안함")</f>
        <v>5141,5142</v>
      </c>
    </row>
    <row r="1704" spans="1:53" ht="12" customHeight="1" x14ac:dyDescent="0.2">
      <c r="A1704" s="10" t="s">
        <v>599</v>
      </c>
      <c r="B1704" s="39">
        <v>140003</v>
      </c>
      <c r="C1704" s="42" t="s">
        <v>4037</v>
      </c>
      <c r="D1704" s="86" t="s">
        <v>595</v>
      </c>
      <c r="E1704" s="86" t="s">
        <v>595</v>
      </c>
      <c r="F1704" s="32" t="s">
        <v>312</v>
      </c>
      <c r="G1704" s="32" t="s">
        <v>1318</v>
      </c>
      <c r="O1704" s="32">
        <v>5</v>
      </c>
      <c r="P1704" s="32">
        <v>51</v>
      </c>
      <c r="Q1704" s="1"/>
      <c r="R1704" s="1"/>
      <c r="S1704" s="1"/>
      <c r="T1704" s="1"/>
      <c r="U1704" s="1"/>
      <c r="V1704" s="1"/>
      <c r="W1704" s="1"/>
      <c r="X1704" s="1"/>
      <c r="Y1704" s="20">
        <v>65722.5</v>
      </c>
      <c r="Z1704" s="1"/>
      <c r="AA1704" s="1"/>
      <c r="AB1704" s="1"/>
      <c r="AD1704" s="12" t="s">
        <v>596</v>
      </c>
      <c r="AE1704" s="39" t="str">
        <f t="shared" si="218"/>
        <v>5241,5242</v>
      </c>
      <c r="AN1704" s="12"/>
      <c r="AU1704" s="12" t="s">
        <v>1940</v>
      </c>
      <c r="AW1704" s="39">
        <v>3</v>
      </c>
      <c r="AX1704" s="12">
        <f>VLOOKUP(AW1704,색인!$N$14:$O$19,2,FALSE)</f>
        <v>2</v>
      </c>
      <c r="AY1704" s="32" t="str">
        <f>"T"&amp;O1704&amp;"_"&amp;AX1704&amp;"옵션_"&amp;VLOOKUP(E1704,색인!$J$25:$K$29,2,FALSE)</f>
        <v>T5_2옵션_보주</v>
      </c>
      <c r="AZ1704" s="32">
        <f>VLOOKUP(G1704,색인!$J$32:$K$45,2,FALSE)</f>
        <v>4</v>
      </c>
      <c r="BA1704" s="32" t="str">
        <f>_xlfn.IFNA(VLOOKUP(AY1704,표1[[검색용]:[OptionGroupIndex'[']22]],EquipItemTable!AZ1704,FALSE),"옵션고정안함")</f>
        <v>5241,5242</v>
      </c>
    </row>
    <row r="1705" spans="1:53" ht="12" customHeight="1" x14ac:dyDescent="0.2">
      <c r="A1705" s="10" t="s">
        <v>600</v>
      </c>
      <c r="B1705" s="39">
        <v>140004</v>
      </c>
      <c r="C1705" s="42" t="s">
        <v>4038</v>
      </c>
      <c r="D1705" s="86" t="s">
        <v>595</v>
      </c>
      <c r="E1705" s="86" t="s">
        <v>595</v>
      </c>
      <c r="F1705" s="32" t="s">
        <v>312</v>
      </c>
      <c r="G1705" s="32" t="s">
        <v>1318</v>
      </c>
      <c r="O1705" s="32">
        <v>5</v>
      </c>
      <c r="P1705" s="32">
        <v>51</v>
      </c>
      <c r="Q1705" s="1"/>
      <c r="R1705" s="1"/>
      <c r="S1705" s="1"/>
      <c r="T1705" s="1"/>
      <c r="U1705" s="1"/>
      <c r="V1705" s="1"/>
      <c r="W1705" s="1"/>
      <c r="X1705" s="1"/>
      <c r="Y1705" s="20">
        <v>76088.599999999991</v>
      </c>
      <c r="Z1705" s="1"/>
      <c r="AA1705" s="1"/>
      <c r="AB1705" s="1"/>
      <c r="AD1705" s="12" t="s">
        <v>596</v>
      </c>
      <c r="AE1705" s="39" t="str">
        <f t="shared" si="218"/>
        <v>5341,5342</v>
      </c>
      <c r="AN1705" s="12"/>
      <c r="AU1705" s="12" t="s">
        <v>1941</v>
      </c>
      <c r="AW1705" s="39">
        <v>4</v>
      </c>
      <c r="AX1705" s="12">
        <f>VLOOKUP(AW1705,색인!$N$14:$O$19,2,FALSE)</f>
        <v>3</v>
      </c>
      <c r="AY1705" s="32" t="str">
        <f>"T"&amp;O1705&amp;"_"&amp;AX1705&amp;"옵션_"&amp;VLOOKUP(E1705,색인!$J$25:$K$29,2,FALSE)</f>
        <v>T5_3옵션_보주</v>
      </c>
      <c r="AZ1705" s="32">
        <f>VLOOKUP(G1705,색인!$J$32:$K$45,2,FALSE)</f>
        <v>4</v>
      </c>
      <c r="BA1705" s="32" t="str">
        <f>_xlfn.IFNA(VLOOKUP(AY1705,표1[[검색용]:[OptionGroupIndex'[']22]],EquipItemTable!AZ1705,FALSE),"옵션고정안함")</f>
        <v>5341,5342</v>
      </c>
    </row>
    <row r="1706" spans="1:53" ht="14.1" customHeight="1" x14ac:dyDescent="0.2">
      <c r="A1706" s="10" t="s">
        <v>601</v>
      </c>
      <c r="B1706" s="39">
        <v>140103</v>
      </c>
      <c r="C1706" s="42" t="s">
        <v>4039</v>
      </c>
      <c r="D1706" s="86" t="s">
        <v>595</v>
      </c>
      <c r="E1706" s="86" t="s">
        <v>595</v>
      </c>
      <c r="F1706" s="32" t="s">
        <v>312</v>
      </c>
      <c r="G1706" s="32" t="s">
        <v>1318</v>
      </c>
      <c r="O1706" s="32">
        <v>5</v>
      </c>
      <c r="P1706" s="32">
        <v>51</v>
      </c>
      <c r="Q1706" s="1"/>
      <c r="R1706" s="1"/>
      <c r="S1706" s="1"/>
      <c r="T1706" s="1"/>
      <c r="U1706" s="1"/>
      <c r="V1706" s="1"/>
      <c r="W1706" s="1"/>
      <c r="X1706" s="1"/>
      <c r="Y1706" s="20">
        <v>86454.7</v>
      </c>
      <c r="Z1706" s="1"/>
      <c r="AA1706" s="1"/>
      <c r="AB1706" s="1"/>
      <c r="AD1706" s="12" t="s">
        <v>596</v>
      </c>
      <c r="AE1706" s="12" t="s">
        <v>597</v>
      </c>
      <c r="AN1706" s="12" t="s">
        <v>428</v>
      </c>
      <c r="AU1706" s="12" t="s">
        <v>1936</v>
      </c>
      <c r="AW1706" s="39">
        <v>6</v>
      </c>
      <c r="AX1706" s="12">
        <f>VLOOKUP(AW1706,색인!$N$14:$O$19,2,FALSE)</f>
        <v>4</v>
      </c>
      <c r="AY1706" s="32" t="str">
        <f>"T"&amp;O1706&amp;"_"&amp;AX1706&amp;"옵션_"&amp;VLOOKUP(E1706,색인!$J$25:$K$29,2,FALSE)</f>
        <v>T5_4옵션_보주</v>
      </c>
      <c r="AZ1706" s="32">
        <f>VLOOKUP(G1706,색인!$J$32:$K$45,2,FALSE)</f>
        <v>4</v>
      </c>
      <c r="BA1706" s="32" t="str">
        <f>_xlfn.IFNA(VLOOKUP(AY1706,표1[[검색용]:[OptionGroupIndex'[']22]],EquipItemTable!AZ1706,FALSE),"옵션고정안함")</f>
        <v>옵션고정안함</v>
      </c>
    </row>
    <row r="1707" spans="1:53" ht="14.1" customHeight="1" x14ac:dyDescent="0.2">
      <c r="A1707" s="10" t="s">
        <v>1159</v>
      </c>
      <c r="B1707" s="39">
        <v>140104</v>
      </c>
      <c r="C1707" s="42" t="s">
        <v>4040</v>
      </c>
      <c r="D1707" s="86" t="s">
        <v>595</v>
      </c>
      <c r="E1707" s="86" t="s">
        <v>595</v>
      </c>
      <c r="F1707" s="32" t="s">
        <v>312</v>
      </c>
      <c r="G1707" s="32" t="s">
        <v>1318</v>
      </c>
      <c r="O1707" s="32">
        <v>5</v>
      </c>
      <c r="P1707" s="32">
        <v>51</v>
      </c>
      <c r="Q1707" s="1"/>
      <c r="R1707" s="1"/>
      <c r="S1707" s="1"/>
      <c r="T1707" s="1"/>
      <c r="U1707" s="1"/>
      <c r="V1707" s="1"/>
      <c r="W1707" s="1"/>
      <c r="X1707" s="1"/>
      <c r="Y1707" s="20">
        <v>86454.7</v>
      </c>
      <c r="Z1707" s="1"/>
      <c r="AA1707" s="1"/>
      <c r="AB1707" s="1"/>
      <c r="AD1707" s="12" t="s">
        <v>336</v>
      </c>
      <c r="AE1707" s="12" t="s">
        <v>430</v>
      </c>
      <c r="AN1707" s="12" t="s">
        <v>1201</v>
      </c>
      <c r="AU1707" s="12" t="s">
        <v>1936</v>
      </c>
      <c r="AW1707" s="39">
        <v>6</v>
      </c>
      <c r="AX1707" s="12">
        <f>VLOOKUP(AW1707,색인!$N$14:$O$19,2,FALSE)</f>
        <v>4</v>
      </c>
      <c r="AY1707" s="32" t="str">
        <f>"T"&amp;O1707&amp;"_"&amp;AX1707&amp;"옵션_"&amp;VLOOKUP(E1707,색인!$J$25:$K$29,2,FALSE)</f>
        <v>T5_4옵션_보주</v>
      </c>
      <c r="AZ1707" s="32">
        <f>VLOOKUP(G1707,색인!$J$32:$K$45,2,FALSE)</f>
        <v>4</v>
      </c>
      <c r="BA1707" s="32" t="str">
        <f>_xlfn.IFNA(VLOOKUP(AY1707,표1[[검색용]:[OptionGroupIndex'[']22]],EquipItemTable!AZ1707,FALSE),"옵션고정안함")</f>
        <v>옵션고정안함</v>
      </c>
    </row>
    <row r="1708" spans="1:53" ht="14.1" customHeight="1" x14ac:dyDescent="0.2">
      <c r="A1708" s="10" t="s">
        <v>1160</v>
      </c>
      <c r="B1708" s="39">
        <v>140101</v>
      </c>
      <c r="C1708" s="42" t="s">
        <v>4041</v>
      </c>
      <c r="D1708" s="86" t="s">
        <v>595</v>
      </c>
      <c r="E1708" s="86" t="s">
        <v>595</v>
      </c>
      <c r="F1708" s="32" t="s">
        <v>312</v>
      </c>
      <c r="G1708" s="32" t="s">
        <v>1318</v>
      </c>
      <c r="O1708" s="32">
        <v>5</v>
      </c>
      <c r="P1708" s="32">
        <v>51</v>
      </c>
      <c r="Q1708" s="1"/>
      <c r="R1708" s="1"/>
      <c r="S1708" s="1"/>
      <c r="T1708" s="1"/>
      <c r="U1708" s="1"/>
      <c r="V1708" s="1"/>
      <c r="W1708" s="1"/>
      <c r="X1708" s="1"/>
      <c r="Y1708" s="20">
        <v>86454.7</v>
      </c>
      <c r="Z1708" s="1"/>
      <c r="AA1708" s="1"/>
      <c r="AB1708" s="1"/>
      <c r="AD1708" s="12" t="s">
        <v>336</v>
      </c>
      <c r="AE1708" s="12" t="s">
        <v>430</v>
      </c>
      <c r="AN1708" s="12" t="s">
        <v>1193</v>
      </c>
      <c r="AU1708" s="12" t="s">
        <v>1936</v>
      </c>
      <c r="AW1708" s="39">
        <v>6</v>
      </c>
      <c r="AX1708" s="12">
        <f>VLOOKUP(AW1708,색인!$N$14:$O$19,2,FALSE)</f>
        <v>4</v>
      </c>
      <c r="AY1708" s="32" t="str">
        <f>"T"&amp;O1708&amp;"_"&amp;AX1708&amp;"옵션_"&amp;VLOOKUP(E1708,색인!$J$25:$K$29,2,FALSE)</f>
        <v>T5_4옵션_보주</v>
      </c>
      <c r="AZ1708" s="32">
        <f>VLOOKUP(G1708,색인!$J$32:$K$45,2,FALSE)</f>
        <v>4</v>
      </c>
      <c r="BA1708" s="32" t="str">
        <f>_xlfn.IFNA(VLOOKUP(AY1708,표1[[검색용]:[OptionGroupIndex'[']22]],EquipItemTable!AZ1708,FALSE),"옵션고정안함")</f>
        <v>옵션고정안함</v>
      </c>
    </row>
    <row r="1709" spans="1:53" ht="14.1" customHeight="1" x14ac:dyDescent="0.2">
      <c r="A1709" s="10" t="s">
        <v>1161</v>
      </c>
      <c r="B1709" s="39">
        <v>140105</v>
      </c>
      <c r="C1709" s="42" t="s">
        <v>4042</v>
      </c>
      <c r="D1709" s="86" t="s">
        <v>595</v>
      </c>
      <c r="E1709" s="86" t="s">
        <v>595</v>
      </c>
      <c r="F1709" s="32" t="s">
        <v>312</v>
      </c>
      <c r="G1709" s="32" t="s">
        <v>1318</v>
      </c>
      <c r="O1709" s="32">
        <v>5</v>
      </c>
      <c r="P1709" s="32">
        <v>51</v>
      </c>
      <c r="Q1709" s="1"/>
      <c r="R1709" s="1"/>
      <c r="S1709" s="1"/>
      <c r="T1709" s="1"/>
      <c r="U1709" s="1"/>
      <c r="V1709" s="1"/>
      <c r="W1709" s="1"/>
      <c r="X1709" s="1"/>
      <c r="Y1709" s="20">
        <v>86454.7</v>
      </c>
      <c r="Z1709" s="1"/>
      <c r="AA1709" s="1"/>
      <c r="AB1709" s="1"/>
      <c r="AD1709" s="12" t="s">
        <v>336</v>
      </c>
      <c r="AE1709" s="12" t="s">
        <v>430</v>
      </c>
      <c r="AN1709" s="12" t="s">
        <v>1195</v>
      </c>
      <c r="AU1709" s="12" t="s">
        <v>1936</v>
      </c>
      <c r="AW1709" s="39">
        <v>6</v>
      </c>
      <c r="AX1709" s="12">
        <f>VLOOKUP(AW1709,색인!$N$14:$O$19,2,FALSE)</f>
        <v>4</v>
      </c>
      <c r="AY1709" s="32" t="str">
        <f>"T"&amp;O1709&amp;"_"&amp;AX1709&amp;"옵션_"&amp;VLOOKUP(E1709,색인!$J$25:$K$29,2,FALSE)</f>
        <v>T5_4옵션_보주</v>
      </c>
      <c r="AZ1709" s="32">
        <f>VLOOKUP(G1709,색인!$J$32:$K$45,2,FALSE)</f>
        <v>4</v>
      </c>
      <c r="BA1709" s="32" t="str">
        <f>_xlfn.IFNA(VLOOKUP(AY1709,표1[[검색용]:[OptionGroupIndex'[']22]],EquipItemTable!AZ1709,FALSE),"옵션고정안함")</f>
        <v>옵션고정안함</v>
      </c>
    </row>
    <row r="1710" spans="1:53" ht="12" customHeight="1" x14ac:dyDescent="0.2">
      <c r="A1710" s="10" t="s">
        <v>602</v>
      </c>
      <c r="B1710" s="39">
        <v>140006</v>
      </c>
      <c r="C1710" s="42" t="s">
        <v>4043</v>
      </c>
      <c r="D1710" s="86" t="s">
        <v>595</v>
      </c>
      <c r="E1710" s="86" t="s">
        <v>595</v>
      </c>
      <c r="F1710" s="32" t="s">
        <v>312</v>
      </c>
      <c r="G1710" s="32" t="s">
        <v>1318</v>
      </c>
      <c r="O1710" s="32">
        <v>6</v>
      </c>
      <c r="P1710" s="32">
        <v>61</v>
      </c>
      <c r="Q1710" s="1"/>
      <c r="R1710" s="1"/>
      <c r="S1710" s="1"/>
      <c r="T1710" s="1"/>
      <c r="U1710" s="1"/>
      <c r="V1710" s="1"/>
      <c r="W1710" s="1"/>
      <c r="X1710" s="1"/>
      <c r="Y1710" s="20">
        <v>96820.799999999988</v>
      </c>
      <c r="Z1710" s="1"/>
      <c r="AA1710" s="1"/>
      <c r="AB1710" s="1"/>
      <c r="AD1710" s="12" t="s">
        <v>596</v>
      </c>
      <c r="AE1710" s="12" t="s">
        <v>597</v>
      </c>
      <c r="AN1710" s="12"/>
      <c r="AU1710" s="12" t="s">
        <v>1932</v>
      </c>
      <c r="AW1710" s="39">
        <v>1</v>
      </c>
      <c r="AY1710" s="12"/>
      <c r="AZ1710" s="12"/>
      <c r="BA1710" s="12"/>
    </row>
    <row r="1711" spans="1:53" ht="12" customHeight="1" x14ac:dyDescent="0.2">
      <c r="A1711" s="10" t="s">
        <v>603</v>
      </c>
      <c r="B1711" s="39">
        <v>140007</v>
      </c>
      <c r="C1711" s="42" t="s">
        <v>4044</v>
      </c>
      <c r="D1711" s="86" t="s">
        <v>595</v>
      </c>
      <c r="E1711" s="86" t="s">
        <v>604</v>
      </c>
      <c r="F1711" s="32" t="s">
        <v>312</v>
      </c>
      <c r="G1711" s="32" t="s">
        <v>1318</v>
      </c>
      <c r="O1711" s="32">
        <v>6</v>
      </c>
      <c r="P1711" s="32">
        <v>61</v>
      </c>
      <c r="Q1711" s="1"/>
      <c r="R1711" s="1"/>
      <c r="S1711" s="1"/>
      <c r="T1711" s="1"/>
      <c r="U1711" s="1"/>
      <c r="V1711" s="1"/>
      <c r="W1711" s="1"/>
      <c r="X1711" s="1"/>
      <c r="Y1711" s="20">
        <v>107186.9</v>
      </c>
      <c r="Z1711" s="1"/>
      <c r="AA1711" s="1"/>
      <c r="AB1711" s="1"/>
      <c r="AD1711" s="12" t="s">
        <v>605</v>
      </c>
      <c r="AE1711" s="39" t="str">
        <f t="shared" ref="AE1711:AE1713" si="219">BA1711</f>
        <v>6141,6142</v>
      </c>
      <c r="AN1711" s="12"/>
      <c r="AU1711" s="12" t="s">
        <v>1939</v>
      </c>
      <c r="AW1711" s="39">
        <v>2</v>
      </c>
      <c r="AX1711" s="12">
        <f>VLOOKUP(AW1711,색인!$N$14:$O$19,2,FALSE)</f>
        <v>1</v>
      </c>
      <c r="AY1711" s="39" t="str">
        <f>"T"&amp;O1711&amp;"_"&amp;AX1711&amp;"옵션_"&amp;VLOOKUP(E1711,색인!$J$25:$K$29,2,FALSE)</f>
        <v>T6_1옵션_보주</v>
      </c>
      <c r="AZ1711" s="39">
        <f>VLOOKUP(G1711,색인!$J$32:$K$45,2,FALSE)</f>
        <v>4</v>
      </c>
      <c r="BA1711" s="39" t="str">
        <f>_xlfn.IFNA(VLOOKUP(AY1711,표1[[검색용]:[OptionGroupIndex'[']22]],EquipItemTable!AZ1711,FALSE),"옵션고정안함")</f>
        <v>6141,6142</v>
      </c>
    </row>
    <row r="1712" spans="1:53" ht="12" customHeight="1" x14ac:dyDescent="0.2">
      <c r="A1712" s="10" t="s">
        <v>606</v>
      </c>
      <c r="B1712" s="39">
        <v>140008</v>
      </c>
      <c r="C1712" s="42" t="s">
        <v>4045</v>
      </c>
      <c r="D1712" s="86" t="s">
        <v>595</v>
      </c>
      <c r="E1712" s="86" t="s">
        <v>604</v>
      </c>
      <c r="F1712" s="32" t="s">
        <v>312</v>
      </c>
      <c r="G1712" s="32" t="s">
        <v>1318</v>
      </c>
      <c r="O1712" s="32">
        <v>6</v>
      </c>
      <c r="P1712" s="32">
        <v>61</v>
      </c>
      <c r="Q1712" s="1"/>
      <c r="R1712" s="1"/>
      <c r="S1712" s="1"/>
      <c r="T1712" s="1"/>
      <c r="U1712" s="1"/>
      <c r="V1712" s="1"/>
      <c r="W1712" s="1"/>
      <c r="X1712" s="1"/>
      <c r="Y1712" s="20">
        <v>117552.99999999999</v>
      </c>
      <c r="Z1712" s="1"/>
      <c r="AA1712" s="1"/>
      <c r="AB1712" s="1"/>
      <c r="AD1712" s="12" t="s">
        <v>605</v>
      </c>
      <c r="AE1712" s="39" t="str">
        <f t="shared" si="219"/>
        <v>6241,6242</v>
      </c>
      <c r="AN1712" s="12"/>
      <c r="AU1712" s="12" t="s">
        <v>1940</v>
      </c>
      <c r="AW1712" s="39">
        <v>3</v>
      </c>
      <c r="AX1712" s="12">
        <f>VLOOKUP(AW1712,색인!$N$14:$O$19,2,FALSE)</f>
        <v>2</v>
      </c>
      <c r="AY1712" s="39" t="str">
        <f>"T"&amp;O1712&amp;"_"&amp;AX1712&amp;"옵션_"&amp;VLOOKUP(E1712,색인!$J$25:$K$29,2,FALSE)</f>
        <v>T6_2옵션_보주</v>
      </c>
      <c r="AZ1712" s="39">
        <f>VLOOKUP(G1712,색인!$J$32:$K$45,2,FALSE)</f>
        <v>4</v>
      </c>
      <c r="BA1712" s="39" t="str">
        <f>_xlfn.IFNA(VLOOKUP(AY1712,표1[[검색용]:[OptionGroupIndex'[']22]],EquipItemTable!AZ1712,FALSE),"옵션고정안함")</f>
        <v>6241,6242</v>
      </c>
    </row>
    <row r="1713" spans="1:53" ht="12" customHeight="1" x14ac:dyDescent="0.2">
      <c r="A1713" s="10" t="s">
        <v>607</v>
      </c>
      <c r="B1713" s="39">
        <v>140009</v>
      </c>
      <c r="C1713" s="42" t="s">
        <v>4046</v>
      </c>
      <c r="D1713" s="86" t="s">
        <v>595</v>
      </c>
      <c r="E1713" s="86" t="s">
        <v>604</v>
      </c>
      <c r="F1713" s="32" t="s">
        <v>312</v>
      </c>
      <c r="G1713" s="32" t="s">
        <v>1318</v>
      </c>
      <c r="O1713" s="32">
        <v>6</v>
      </c>
      <c r="P1713" s="32">
        <v>61</v>
      </c>
      <c r="Q1713" s="1"/>
      <c r="R1713" s="1"/>
      <c r="S1713" s="1"/>
      <c r="T1713" s="1"/>
      <c r="U1713" s="1"/>
      <c r="V1713" s="1"/>
      <c r="W1713" s="1"/>
      <c r="X1713" s="1"/>
      <c r="Y1713" s="20">
        <v>127919.09999999999</v>
      </c>
      <c r="Z1713" s="1"/>
      <c r="AA1713" s="1"/>
      <c r="AB1713" s="1"/>
      <c r="AD1713" s="12" t="s">
        <v>605</v>
      </c>
      <c r="AE1713" s="39" t="str">
        <f t="shared" si="219"/>
        <v>6341,6342</v>
      </c>
      <c r="AN1713" s="12"/>
      <c r="AU1713" s="12" t="s">
        <v>1941</v>
      </c>
      <c r="AW1713" s="39">
        <v>4</v>
      </c>
      <c r="AX1713" s="12">
        <f>VLOOKUP(AW1713,색인!$N$14:$O$19,2,FALSE)</f>
        <v>3</v>
      </c>
      <c r="AY1713" s="39" t="str">
        <f>"T"&amp;O1713&amp;"_"&amp;AX1713&amp;"옵션_"&amp;VLOOKUP(E1713,색인!$J$25:$K$29,2,FALSE)</f>
        <v>T6_3옵션_보주</v>
      </c>
      <c r="AZ1713" s="39">
        <f>VLOOKUP(G1713,색인!$J$32:$K$45,2,FALSE)</f>
        <v>4</v>
      </c>
      <c r="BA1713" s="39" t="str">
        <f>_xlfn.IFNA(VLOOKUP(AY1713,표1[[검색용]:[OptionGroupIndex'[']22]],EquipItemTable!AZ1713,FALSE),"옵션고정안함")</f>
        <v>6341,6342</v>
      </c>
    </row>
    <row r="1714" spans="1:53" ht="12" customHeight="1" x14ac:dyDescent="0.2">
      <c r="A1714" s="10" t="s">
        <v>608</v>
      </c>
      <c r="B1714" s="39">
        <v>140106</v>
      </c>
      <c r="C1714" s="42" t="s">
        <v>4039</v>
      </c>
      <c r="D1714" s="86" t="s">
        <v>595</v>
      </c>
      <c r="E1714" s="86" t="s">
        <v>604</v>
      </c>
      <c r="F1714" s="32" t="s">
        <v>312</v>
      </c>
      <c r="G1714" s="32" t="s">
        <v>1318</v>
      </c>
      <c r="O1714" s="32">
        <v>6</v>
      </c>
      <c r="P1714" s="32">
        <v>61</v>
      </c>
      <c r="Q1714" s="1"/>
      <c r="R1714" s="1"/>
      <c r="S1714" s="1"/>
      <c r="T1714" s="1"/>
      <c r="U1714" s="1"/>
      <c r="V1714" s="1"/>
      <c r="W1714" s="1"/>
      <c r="X1714" s="1"/>
      <c r="Y1714" s="20">
        <v>138285.19999999998</v>
      </c>
      <c r="Z1714" s="1"/>
      <c r="AA1714" s="1"/>
      <c r="AB1714" s="1"/>
      <c r="AD1714" s="12" t="s">
        <v>605</v>
      </c>
      <c r="AE1714" s="39" t="str">
        <f>BA1714</f>
        <v>6441,6442</v>
      </c>
      <c r="AN1714" s="12" t="s">
        <v>428</v>
      </c>
      <c r="AU1714" s="12" t="s">
        <v>1936</v>
      </c>
      <c r="AW1714" s="39">
        <v>6</v>
      </c>
      <c r="AX1714" s="12">
        <f>VLOOKUP(AW1714,색인!$N$14:$O$19,2,FALSE)</f>
        <v>4</v>
      </c>
      <c r="AY1714" s="12" t="str">
        <f>"T"&amp;O1714&amp;"_"&amp;AX1714&amp;"옵션_"&amp;VLOOKUP(E1714,색인!$J$25:$K$29,2,FALSE)</f>
        <v>T6_4옵션_보주</v>
      </c>
      <c r="AZ1714" s="12">
        <f>VLOOKUP(G1714,색인!$J$32:$K$45,2,FALSE)</f>
        <v>4</v>
      </c>
      <c r="BA1714" s="12" t="str">
        <f>_xlfn.IFNA(VLOOKUP(AY1714,표1[[검색용]:[OptionGroupIndex'[']22]],EquipItemTable!AZ1714,FALSE),"옵션고정안함")</f>
        <v>6441,6442</v>
      </c>
    </row>
    <row r="1715" spans="1:53" ht="12" customHeight="1" x14ac:dyDescent="0.2">
      <c r="A1715" s="10" t="s">
        <v>1162</v>
      </c>
      <c r="B1715" s="39">
        <v>140107</v>
      </c>
      <c r="C1715" s="42" t="s">
        <v>4040</v>
      </c>
      <c r="D1715" s="86" t="s">
        <v>595</v>
      </c>
      <c r="E1715" s="86" t="s">
        <v>595</v>
      </c>
      <c r="F1715" s="32" t="s">
        <v>312</v>
      </c>
      <c r="G1715" s="32" t="s">
        <v>1318</v>
      </c>
      <c r="O1715" s="32">
        <v>6</v>
      </c>
      <c r="P1715" s="32">
        <v>61</v>
      </c>
      <c r="Q1715" s="1"/>
      <c r="R1715" s="1"/>
      <c r="S1715" s="1"/>
      <c r="T1715" s="1"/>
      <c r="U1715" s="1"/>
      <c r="V1715" s="1"/>
      <c r="W1715" s="1"/>
      <c r="X1715" s="1"/>
      <c r="Y1715" s="20">
        <v>138285.19999999998</v>
      </c>
      <c r="Z1715" s="1"/>
      <c r="AA1715" s="1"/>
      <c r="AB1715" s="1"/>
      <c r="AD1715" s="12" t="s">
        <v>336</v>
      </c>
      <c r="AE1715" s="39" t="str">
        <f>BA1715</f>
        <v>6441,6442</v>
      </c>
      <c r="AN1715" s="12" t="s">
        <v>429</v>
      </c>
      <c r="AU1715" s="12" t="s">
        <v>1936</v>
      </c>
      <c r="AW1715" s="39">
        <v>6</v>
      </c>
      <c r="AX1715" s="12">
        <f>VLOOKUP(AW1715,색인!$N$14:$O$19,2,FALSE)</f>
        <v>4</v>
      </c>
      <c r="AY1715" s="12" t="str">
        <f>"T"&amp;O1715&amp;"_"&amp;AX1715&amp;"옵션_"&amp;VLOOKUP(E1715,색인!$J$25:$K$29,2,FALSE)</f>
        <v>T6_4옵션_보주</v>
      </c>
      <c r="AZ1715" s="12">
        <f>VLOOKUP(G1715,색인!$J$32:$K$45,2,FALSE)</f>
        <v>4</v>
      </c>
      <c r="BA1715" s="12" t="str">
        <f>_xlfn.IFNA(VLOOKUP(AY1715,표1[[검색용]:[OptionGroupIndex'[']22]],EquipItemTable!AZ1715,FALSE),"옵션고정안함")</f>
        <v>6441,6442</v>
      </c>
    </row>
    <row r="1716" spans="1:53" ht="12" customHeight="1" x14ac:dyDescent="0.2">
      <c r="A1716" s="10" t="s">
        <v>1163</v>
      </c>
      <c r="B1716" s="39">
        <v>140102</v>
      </c>
      <c r="C1716" s="42" t="s">
        <v>4041</v>
      </c>
      <c r="D1716" s="86" t="s">
        <v>595</v>
      </c>
      <c r="E1716" s="86" t="s">
        <v>595</v>
      </c>
      <c r="F1716" s="32" t="s">
        <v>312</v>
      </c>
      <c r="G1716" s="32" t="s">
        <v>1318</v>
      </c>
      <c r="O1716" s="32">
        <v>6</v>
      </c>
      <c r="P1716" s="32">
        <v>61</v>
      </c>
      <c r="Q1716" s="1"/>
      <c r="R1716" s="1"/>
      <c r="S1716" s="1"/>
      <c r="T1716" s="1"/>
      <c r="U1716" s="1"/>
      <c r="V1716" s="1"/>
      <c r="W1716" s="1"/>
      <c r="X1716" s="1"/>
      <c r="Y1716" s="20">
        <v>138285.19999999998</v>
      </c>
      <c r="Z1716" s="1"/>
      <c r="AA1716" s="1"/>
      <c r="AB1716" s="1"/>
      <c r="AD1716" s="12" t="s">
        <v>336</v>
      </c>
      <c r="AE1716" s="39" t="str">
        <f>BA1716</f>
        <v>6441,6442</v>
      </c>
      <c r="AN1716" s="12" t="s">
        <v>1193</v>
      </c>
      <c r="AU1716" s="12" t="s">
        <v>1936</v>
      </c>
      <c r="AW1716" s="39">
        <v>6</v>
      </c>
      <c r="AX1716" s="12">
        <f>VLOOKUP(AW1716,색인!$N$14:$O$19,2,FALSE)</f>
        <v>4</v>
      </c>
      <c r="AY1716" s="12" t="str">
        <f>"T"&amp;O1716&amp;"_"&amp;AX1716&amp;"옵션_"&amp;VLOOKUP(E1716,색인!$J$25:$K$29,2,FALSE)</f>
        <v>T6_4옵션_보주</v>
      </c>
      <c r="AZ1716" s="12">
        <f>VLOOKUP(G1716,색인!$J$32:$K$45,2,FALSE)</f>
        <v>4</v>
      </c>
      <c r="BA1716" s="12" t="str">
        <f>_xlfn.IFNA(VLOOKUP(AY1716,표1[[검색용]:[OptionGroupIndex'[']22]],EquipItemTable!AZ1716,FALSE),"옵션고정안함")</f>
        <v>6441,6442</v>
      </c>
    </row>
    <row r="1717" spans="1:53" ht="12" customHeight="1" x14ac:dyDescent="0.2">
      <c r="A1717" s="10" t="s">
        <v>1164</v>
      </c>
      <c r="B1717" s="39">
        <v>140108</v>
      </c>
      <c r="C1717" s="42" t="s">
        <v>4042</v>
      </c>
      <c r="D1717" s="86" t="s">
        <v>595</v>
      </c>
      <c r="E1717" s="86" t="s">
        <v>595</v>
      </c>
      <c r="F1717" s="32" t="s">
        <v>312</v>
      </c>
      <c r="G1717" s="32" t="s">
        <v>1318</v>
      </c>
      <c r="O1717" s="32">
        <v>6</v>
      </c>
      <c r="P1717" s="32">
        <v>61</v>
      </c>
      <c r="Q1717" s="1"/>
      <c r="R1717" s="1"/>
      <c r="S1717" s="1"/>
      <c r="T1717" s="1"/>
      <c r="U1717" s="1"/>
      <c r="V1717" s="1"/>
      <c r="W1717" s="1"/>
      <c r="X1717" s="1"/>
      <c r="Y1717" s="20">
        <v>138285.19999999998</v>
      </c>
      <c r="Z1717" s="1"/>
      <c r="AA1717" s="1"/>
      <c r="AB1717" s="1"/>
      <c r="AD1717" s="12" t="s">
        <v>336</v>
      </c>
      <c r="AE1717" s="39" t="str">
        <f>BA1717</f>
        <v>6441,6442</v>
      </c>
      <c r="AN1717" s="12" t="s">
        <v>1195</v>
      </c>
      <c r="AU1717" s="12" t="s">
        <v>1936</v>
      </c>
      <c r="AW1717" s="39">
        <v>6</v>
      </c>
      <c r="AX1717" s="12">
        <f>VLOOKUP(AW1717,색인!$N$14:$O$19,2,FALSE)</f>
        <v>4</v>
      </c>
      <c r="AY1717" s="12" t="str">
        <f>"T"&amp;O1717&amp;"_"&amp;AX1717&amp;"옵션_"&amp;VLOOKUP(E1717,색인!$J$25:$K$29,2,FALSE)</f>
        <v>T6_4옵션_보주</v>
      </c>
      <c r="AZ1717" s="12">
        <f>VLOOKUP(G1717,색인!$J$32:$K$45,2,FALSE)</f>
        <v>4</v>
      </c>
      <c r="BA1717" s="12" t="str">
        <f>_xlfn.IFNA(VLOOKUP(AY1717,표1[[검색용]:[OptionGroupIndex'[']22]],EquipItemTable!AZ1717,FALSE),"옵션고정안함")</f>
        <v>6441,6442</v>
      </c>
    </row>
    <row r="1718" spans="1:53" ht="12" customHeight="1" x14ac:dyDescent="0.2">
      <c r="A1718" s="10" t="s">
        <v>609</v>
      </c>
      <c r="B1718" s="39">
        <v>140011</v>
      </c>
      <c r="C1718" s="42" t="s">
        <v>4047</v>
      </c>
      <c r="D1718" s="86" t="s">
        <v>595</v>
      </c>
      <c r="E1718" s="86" t="s">
        <v>604</v>
      </c>
      <c r="F1718" s="32" t="s">
        <v>312</v>
      </c>
      <c r="G1718" s="32" t="s">
        <v>1318</v>
      </c>
      <c r="O1718" s="32">
        <v>7</v>
      </c>
      <c r="P1718" s="32">
        <v>71</v>
      </c>
      <c r="Q1718" s="1"/>
      <c r="R1718" s="1"/>
      <c r="S1718" s="1"/>
      <c r="T1718" s="1"/>
      <c r="U1718" s="1"/>
      <c r="V1718" s="1"/>
      <c r="W1718" s="1"/>
      <c r="X1718" s="1"/>
      <c r="Y1718" s="20">
        <v>148651</v>
      </c>
      <c r="Z1718" s="1"/>
      <c r="AA1718" s="1"/>
      <c r="AB1718" s="1"/>
      <c r="AD1718" s="12" t="s">
        <v>605</v>
      </c>
      <c r="AE1718" s="12" t="s">
        <v>1168</v>
      </c>
      <c r="AN1718" s="12"/>
      <c r="AU1718" s="12" t="s">
        <v>1932</v>
      </c>
      <c r="AW1718" s="39">
        <v>1</v>
      </c>
      <c r="AY1718" s="12"/>
      <c r="AZ1718" s="12"/>
      <c r="BA1718" s="12"/>
    </row>
    <row r="1719" spans="1:53" ht="12" customHeight="1" x14ac:dyDescent="0.2">
      <c r="A1719" s="10" t="s">
        <v>610</v>
      </c>
      <c r="B1719" s="39">
        <v>140012</v>
      </c>
      <c r="C1719" s="42" t="s">
        <v>4048</v>
      </c>
      <c r="D1719" s="86" t="s">
        <v>595</v>
      </c>
      <c r="E1719" s="86" t="s">
        <v>604</v>
      </c>
      <c r="F1719" s="32" t="s">
        <v>312</v>
      </c>
      <c r="G1719" s="32" t="s">
        <v>1318</v>
      </c>
      <c r="O1719" s="32">
        <v>7</v>
      </c>
      <c r="P1719" s="32">
        <v>71</v>
      </c>
      <c r="Q1719" s="1"/>
      <c r="R1719" s="1"/>
      <c r="S1719" s="1"/>
      <c r="T1719" s="1"/>
      <c r="U1719" s="1"/>
      <c r="V1719" s="1"/>
      <c r="W1719" s="1"/>
      <c r="X1719" s="1"/>
      <c r="Y1719" s="20">
        <v>159017</v>
      </c>
      <c r="Z1719" s="1"/>
      <c r="AA1719" s="1"/>
      <c r="AB1719" s="1"/>
      <c r="AD1719" s="12" t="s">
        <v>605</v>
      </c>
      <c r="AE1719" s="39" t="str">
        <f t="shared" ref="AE1719:AE1721" si="220">BA1719</f>
        <v>7141,7142</v>
      </c>
      <c r="AN1719" s="12"/>
      <c r="AU1719" s="12" t="s">
        <v>1939</v>
      </c>
      <c r="AW1719" s="39">
        <v>2</v>
      </c>
      <c r="AX1719" s="12">
        <f>VLOOKUP(AW1719,색인!$N$14:$O$19,2,FALSE)</f>
        <v>1</v>
      </c>
      <c r="AY1719" s="39" t="str">
        <f>"T"&amp;O1719&amp;"_"&amp;AX1719&amp;"옵션_"&amp;VLOOKUP(E1719,색인!$J$25:$K$29,2,FALSE)</f>
        <v>T7_1옵션_보주</v>
      </c>
      <c r="AZ1719" s="39">
        <f>VLOOKUP(G1719,색인!$J$32:$K$45,2,FALSE)</f>
        <v>4</v>
      </c>
      <c r="BA1719" s="39" t="str">
        <f>_xlfn.IFNA(VLOOKUP(AY1719,표1[[검색용]:[OptionGroupIndex'[']22]],EquipItemTable!AZ1719,FALSE),"옵션고정안함")</f>
        <v>7141,7142</v>
      </c>
    </row>
    <row r="1720" spans="1:53" ht="12" customHeight="1" x14ac:dyDescent="0.2">
      <c r="A1720" s="10" t="s">
        <v>611</v>
      </c>
      <c r="B1720" s="39">
        <v>140013</v>
      </c>
      <c r="C1720" s="42" t="s">
        <v>4049</v>
      </c>
      <c r="D1720" s="86" t="s">
        <v>595</v>
      </c>
      <c r="E1720" s="86" t="s">
        <v>604</v>
      </c>
      <c r="F1720" s="32" t="s">
        <v>312</v>
      </c>
      <c r="G1720" s="32" t="s">
        <v>1318</v>
      </c>
      <c r="O1720" s="32">
        <v>7</v>
      </c>
      <c r="P1720" s="32">
        <v>71</v>
      </c>
      <c r="Q1720" s="1"/>
      <c r="R1720" s="1"/>
      <c r="S1720" s="1"/>
      <c r="T1720" s="1"/>
      <c r="U1720" s="1"/>
      <c r="V1720" s="1"/>
      <c r="W1720" s="1"/>
      <c r="X1720" s="1"/>
      <c r="Y1720" s="20">
        <v>169383</v>
      </c>
      <c r="Z1720" s="1"/>
      <c r="AA1720" s="1"/>
      <c r="AB1720" s="1"/>
      <c r="AD1720" s="12" t="s">
        <v>605</v>
      </c>
      <c r="AE1720" s="39" t="str">
        <f t="shared" si="220"/>
        <v>7241,7242</v>
      </c>
      <c r="AN1720" s="12"/>
      <c r="AU1720" s="12" t="s">
        <v>1940</v>
      </c>
      <c r="AW1720" s="39">
        <v>3</v>
      </c>
      <c r="AX1720" s="12">
        <f>VLOOKUP(AW1720,색인!$N$14:$O$19,2,FALSE)</f>
        <v>2</v>
      </c>
      <c r="AY1720" s="39" t="str">
        <f>"T"&amp;O1720&amp;"_"&amp;AX1720&amp;"옵션_"&amp;VLOOKUP(E1720,색인!$J$25:$K$29,2,FALSE)</f>
        <v>T7_2옵션_보주</v>
      </c>
      <c r="AZ1720" s="39">
        <f>VLOOKUP(G1720,색인!$J$32:$K$45,2,FALSE)</f>
        <v>4</v>
      </c>
      <c r="BA1720" s="39" t="str">
        <f>_xlfn.IFNA(VLOOKUP(AY1720,표1[[검색용]:[OptionGroupIndex'[']22]],EquipItemTable!AZ1720,FALSE),"옵션고정안함")</f>
        <v>7241,7242</v>
      </c>
    </row>
    <row r="1721" spans="1:53" ht="12" customHeight="1" x14ac:dyDescent="0.2">
      <c r="A1721" s="10" t="s">
        <v>612</v>
      </c>
      <c r="B1721" s="39">
        <v>140014</v>
      </c>
      <c r="C1721" s="42" t="s">
        <v>4050</v>
      </c>
      <c r="D1721" s="86" t="s">
        <v>595</v>
      </c>
      <c r="E1721" s="86" t="s">
        <v>604</v>
      </c>
      <c r="F1721" s="32" t="s">
        <v>312</v>
      </c>
      <c r="G1721" s="32" t="s">
        <v>1318</v>
      </c>
      <c r="O1721" s="32">
        <v>7</v>
      </c>
      <c r="P1721" s="32">
        <v>71</v>
      </c>
      <c r="Q1721" s="1"/>
      <c r="R1721" s="1"/>
      <c r="S1721" s="1"/>
      <c r="T1721" s="1"/>
      <c r="U1721" s="1"/>
      <c r="V1721" s="1"/>
      <c r="W1721" s="1"/>
      <c r="X1721" s="1"/>
      <c r="Y1721" s="20">
        <v>179749</v>
      </c>
      <c r="Z1721" s="1"/>
      <c r="AA1721" s="1"/>
      <c r="AB1721" s="1"/>
      <c r="AD1721" s="12" t="s">
        <v>605</v>
      </c>
      <c r="AE1721" s="39" t="str">
        <f t="shared" si="220"/>
        <v>7341,7342</v>
      </c>
      <c r="AN1721" s="12"/>
      <c r="AU1721" s="12" t="s">
        <v>1941</v>
      </c>
      <c r="AW1721" s="39">
        <v>4</v>
      </c>
      <c r="AX1721" s="12">
        <f>VLOOKUP(AW1721,색인!$N$14:$O$19,2,FALSE)</f>
        <v>3</v>
      </c>
      <c r="AY1721" s="39" t="str">
        <f>"T"&amp;O1721&amp;"_"&amp;AX1721&amp;"옵션_"&amp;VLOOKUP(E1721,색인!$J$25:$K$29,2,FALSE)</f>
        <v>T7_3옵션_보주</v>
      </c>
      <c r="AZ1721" s="39">
        <f>VLOOKUP(G1721,색인!$J$32:$K$45,2,FALSE)</f>
        <v>4</v>
      </c>
      <c r="BA1721" s="39" t="str">
        <f>_xlfn.IFNA(VLOOKUP(AY1721,표1[[검색용]:[OptionGroupIndex'[']22]],EquipItemTable!AZ1721,FALSE),"옵션고정안함")</f>
        <v>7341,7342</v>
      </c>
    </row>
    <row r="1722" spans="1:53" ht="12" customHeight="1" x14ac:dyDescent="0.2">
      <c r="A1722" s="10" t="s">
        <v>613</v>
      </c>
      <c r="B1722" s="39">
        <v>140015</v>
      </c>
      <c r="C1722" s="42" t="s">
        <v>4039</v>
      </c>
      <c r="D1722" s="86" t="s">
        <v>595</v>
      </c>
      <c r="E1722" s="86" t="s">
        <v>604</v>
      </c>
      <c r="F1722" s="32" t="s">
        <v>312</v>
      </c>
      <c r="G1722" s="32" t="s">
        <v>1318</v>
      </c>
      <c r="O1722" s="32">
        <v>7</v>
      </c>
      <c r="P1722" s="32">
        <v>71</v>
      </c>
      <c r="Q1722" s="1"/>
      <c r="R1722" s="1"/>
      <c r="S1722" s="1"/>
      <c r="T1722" s="1"/>
      <c r="U1722" s="1"/>
      <c r="V1722" s="1"/>
      <c r="W1722" s="1"/>
      <c r="X1722" s="1"/>
      <c r="Y1722" s="20">
        <v>190116</v>
      </c>
      <c r="Z1722" s="1"/>
      <c r="AA1722" s="1"/>
      <c r="AB1722" s="1"/>
      <c r="AD1722" s="12" t="s">
        <v>605</v>
      </c>
      <c r="AE1722" s="39" t="str">
        <f>BA1722</f>
        <v>7441,7442</v>
      </c>
      <c r="AF1722" s="12" t="s">
        <v>2185</v>
      </c>
      <c r="AN1722" s="12" t="s">
        <v>428</v>
      </c>
      <c r="AU1722" s="12" t="s">
        <v>1936</v>
      </c>
      <c r="AW1722" s="39">
        <v>6</v>
      </c>
      <c r="AX1722" s="12">
        <f>VLOOKUP(AW1722,색인!$N$14:$O$19,2,FALSE)</f>
        <v>4</v>
      </c>
      <c r="AY1722" s="12" t="str">
        <f>"T"&amp;O1722&amp;"_"&amp;AX1722&amp;"옵션_"&amp;VLOOKUP(E1722,색인!$J$25:$K$29,2,FALSE)</f>
        <v>T7_4옵션_보주</v>
      </c>
      <c r="AZ1722" s="12">
        <f>VLOOKUP(G1722,색인!$J$32:$K$45,2,FALSE)</f>
        <v>4</v>
      </c>
      <c r="BA1722" s="12" t="str">
        <f>_xlfn.IFNA(VLOOKUP(AY1722,표1[[검색용]:[OptionGroupIndex'[']22]],EquipItemTable!AZ1722,FALSE),"옵션고정안함")</f>
        <v>7441,7442</v>
      </c>
    </row>
    <row r="1723" spans="1:53" ht="12" customHeight="1" x14ac:dyDescent="0.2">
      <c r="A1723" s="10" t="s">
        <v>1750</v>
      </c>
      <c r="B1723" s="39">
        <v>140109</v>
      </c>
      <c r="C1723" s="42" t="s">
        <v>4040</v>
      </c>
      <c r="D1723" s="86" t="s">
        <v>595</v>
      </c>
      <c r="E1723" s="86" t="s">
        <v>604</v>
      </c>
      <c r="F1723" s="32" t="s">
        <v>312</v>
      </c>
      <c r="G1723" s="32" t="s">
        <v>1318</v>
      </c>
      <c r="O1723" s="32">
        <v>7</v>
      </c>
      <c r="P1723" s="32">
        <v>71</v>
      </c>
      <c r="Q1723" s="1"/>
      <c r="R1723" s="1"/>
      <c r="S1723" s="1"/>
      <c r="T1723" s="1"/>
      <c r="U1723" s="1"/>
      <c r="V1723" s="1"/>
      <c r="W1723" s="1"/>
      <c r="X1723" s="1"/>
      <c r="Y1723" s="20">
        <v>190116</v>
      </c>
      <c r="Z1723" s="1"/>
      <c r="AA1723" s="1"/>
      <c r="AB1723" s="1"/>
      <c r="AD1723" s="12" t="s">
        <v>99</v>
      </c>
      <c r="AE1723" s="39" t="str">
        <f>BA1723</f>
        <v>7441,7442</v>
      </c>
      <c r="AF1723" s="12" t="s">
        <v>2185</v>
      </c>
      <c r="AN1723" s="12" t="s">
        <v>429</v>
      </c>
      <c r="AU1723" s="12" t="s">
        <v>1936</v>
      </c>
      <c r="AW1723" s="39">
        <v>6</v>
      </c>
      <c r="AX1723" s="12">
        <f>VLOOKUP(AW1723,색인!$N$14:$O$19,2,FALSE)</f>
        <v>4</v>
      </c>
      <c r="AY1723" s="12" t="str">
        <f>"T"&amp;O1723&amp;"_"&amp;AX1723&amp;"옵션_"&amp;VLOOKUP(E1723,색인!$J$25:$K$29,2,FALSE)</f>
        <v>T7_4옵션_보주</v>
      </c>
      <c r="AZ1723" s="12">
        <f>VLOOKUP(G1723,색인!$J$32:$K$45,2,FALSE)</f>
        <v>4</v>
      </c>
      <c r="BA1723" s="12" t="str">
        <f>_xlfn.IFNA(VLOOKUP(AY1723,표1[[검색용]:[OptionGroupIndex'[']22]],EquipItemTable!AZ1723,FALSE),"옵션고정안함")</f>
        <v>7441,7442</v>
      </c>
    </row>
    <row r="1724" spans="1:53" ht="12" customHeight="1" x14ac:dyDescent="0.2">
      <c r="A1724" s="10" t="s">
        <v>1751</v>
      </c>
      <c r="B1724" s="39">
        <v>140110</v>
      </c>
      <c r="C1724" s="42" t="s">
        <v>4041</v>
      </c>
      <c r="D1724" s="86" t="s">
        <v>595</v>
      </c>
      <c r="E1724" s="86" t="s">
        <v>604</v>
      </c>
      <c r="F1724" s="32" t="s">
        <v>312</v>
      </c>
      <c r="G1724" s="32" t="s">
        <v>1318</v>
      </c>
      <c r="O1724" s="32">
        <v>7</v>
      </c>
      <c r="P1724" s="32">
        <v>71</v>
      </c>
      <c r="Q1724" s="1"/>
      <c r="R1724" s="1"/>
      <c r="S1724" s="1"/>
      <c r="T1724" s="1"/>
      <c r="U1724" s="1"/>
      <c r="V1724" s="1"/>
      <c r="W1724" s="1"/>
      <c r="X1724" s="1"/>
      <c r="Y1724" s="20">
        <v>190116</v>
      </c>
      <c r="Z1724" s="1"/>
      <c r="AA1724" s="1"/>
      <c r="AB1724" s="1"/>
      <c r="AD1724" s="12" t="s">
        <v>99</v>
      </c>
      <c r="AE1724" s="39" t="str">
        <f>BA1724</f>
        <v>7441,7442</v>
      </c>
      <c r="AF1724" s="12" t="s">
        <v>2185</v>
      </c>
      <c r="AN1724" s="12" t="s">
        <v>1193</v>
      </c>
      <c r="AU1724" s="12" t="s">
        <v>1936</v>
      </c>
      <c r="AW1724" s="39">
        <v>6</v>
      </c>
      <c r="AX1724" s="12">
        <f>VLOOKUP(AW1724,색인!$N$14:$O$19,2,FALSE)</f>
        <v>4</v>
      </c>
      <c r="AY1724" s="12" t="str">
        <f>"T"&amp;O1724&amp;"_"&amp;AX1724&amp;"옵션_"&amp;VLOOKUP(E1724,색인!$J$25:$K$29,2,FALSE)</f>
        <v>T7_4옵션_보주</v>
      </c>
      <c r="AZ1724" s="12">
        <f>VLOOKUP(G1724,색인!$J$32:$K$45,2,FALSE)</f>
        <v>4</v>
      </c>
      <c r="BA1724" s="12" t="str">
        <f>_xlfn.IFNA(VLOOKUP(AY1724,표1[[검색용]:[OptionGroupIndex'[']22]],EquipItemTable!AZ1724,FALSE),"옵션고정안함")</f>
        <v>7441,7442</v>
      </c>
    </row>
    <row r="1725" spans="1:53" ht="12" customHeight="1" x14ac:dyDescent="0.2">
      <c r="A1725" s="10" t="s">
        <v>1752</v>
      </c>
      <c r="B1725" s="39">
        <v>140111</v>
      </c>
      <c r="C1725" s="42" t="s">
        <v>4042</v>
      </c>
      <c r="D1725" s="86" t="s">
        <v>595</v>
      </c>
      <c r="E1725" s="86" t="s">
        <v>604</v>
      </c>
      <c r="F1725" s="32" t="s">
        <v>312</v>
      </c>
      <c r="G1725" s="32" t="s">
        <v>1318</v>
      </c>
      <c r="J1725" s="27"/>
      <c r="K1725" s="27"/>
      <c r="L1725" s="27"/>
      <c r="M1725" s="27"/>
      <c r="O1725" s="32">
        <v>7</v>
      </c>
      <c r="P1725" s="32">
        <v>71</v>
      </c>
      <c r="Q1725" s="1"/>
      <c r="R1725" s="1"/>
      <c r="S1725" s="1"/>
      <c r="T1725" s="1"/>
      <c r="U1725" s="1"/>
      <c r="V1725" s="1"/>
      <c r="W1725" s="1"/>
      <c r="X1725" s="1"/>
      <c r="Y1725" s="20">
        <v>190116</v>
      </c>
      <c r="Z1725" s="1"/>
      <c r="AA1725" s="1"/>
      <c r="AB1725" s="1"/>
      <c r="AD1725" s="12" t="s">
        <v>99</v>
      </c>
      <c r="AE1725" s="39" t="str">
        <f>BA1725</f>
        <v>7441,7442</v>
      </c>
      <c r="AF1725" s="12" t="s">
        <v>2185</v>
      </c>
      <c r="AG1725" s="29"/>
      <c r="AH1725" s="29"/>
      <c r="AN1725" s="12" t="s">
        <v>1195</v>
      </c>
      <c r="AU1725" s="12" t="s">
        <v>1936</v>
      </c>
      <c r="AW1725" s="39">
        <v>6</v>
      </c>
      <c r="AX1725" s="12">
        <f>VLOOKUP(AW1725,색인!$N$14:$O$19,2,FALSE)</f>
        <v>4</v>
      </c>
      <c r="AY1725" s="12" t="str">
        <f>"T"&amp;O1725&amp;"_"&amp;AX1725&amp;"옵션_"&amp;VLOOKUP(E1725,색인!$J$25:$K$29,2,FALSE)</f>
        <v>T7_4옵션_보주</v>
      </c>
      <c r="AZ1725" s="12">
        <f>VLOOKUP(G1725,색인!$J$32:$K$45,2,FALSE)</f>
        <v>4</v>
      </c>
      <c r="BA1725" s="12" t="str">
        <f>_xlfn.IFNA(VLOOKUP(AY1725,표1[[검색용]:[OptionGroupIndex'[']22]],EquipItemTable!AZ1725,FALSE),"옵션고정안함")</f>
        <v>7441,7442</v>
      </c>
    </row>
    <row r="1726" spans="1:53" ht="12" customHeight="1" x14ac:dyDescent="0.2">
      <c r="A1726" s="10" t="s">
        <v>643</v>
      </c>
      <c r="B1726" s="39">
        <v>140401</v>
      </c>
      <c r="C1726" s="42" t="s">
        <v>4051</v>
      </c>
      <c r="D1726" s="86" t="s">
        <v>595</v>
      </c>
      <c r="E1726" s="86" t="s">
        <v>595</v>
      </c>
      <c r="F1726" s="32" t="s">
        <v>312</v>
      </c>
      <c r="G1726" s="32" t="s">
        <v>1318</v>
      </c>
      <c r="J1726" s="27"/>
      <c r="K1726" s="27"/>
      <c r="L1726" s="27"/>
      <c r="M1726" s="27"/>
      <c r="O1726" s="32">
        <v>5</v>
      </c>
      <c r="P1726" s="32">
        <v>51</v>
      </c>
      <c r="Q1726" s="1"/>
      <c r="R1726" s="1"/>
      <c r="S1726" s="1"/>
      <c r="T1726" s="1"/>
      <c r="U1726" s="1"/>
      <c r="V1726" s="1"/>
      <c r="W1726" s="1"/>
      <c r="X1726" s="1"/>
      <c r="Y1726" s="20">
        <v>83697</v>
      </c>
      <c r="Z1726" s="1"/>
      <c r="AA1726" s="1"/>
      <c r="AB1726" s="1"/>
      <c r="AD1726" s="12" t="s">
        <v>98</v>
      </c>
      <c r="AE1726" s="39" t="str">
        <f t="shared" ref="AE1726:AE1733" si="221">BA1726</f>
        <v>5341,5342</v>
      </c>
      <c r="AG1726" s="29"/>
      <c r="AH1726" s="29"/>
      <c r="AN1726" s="12" t="s">
        <v>2833</v>
      </c>
      <c r="AU1726" s="12" t="s">
        <v>1945</v>
      </c>
      <c r="AW1726" s="39">
        <v>5</v>
      </c>
      <c r="AX1726" s="12">
        <f>VLOOKUP(AW1726,색인!$N$14:$O$19,2,FALSE)</f>
        <v>3</v>
      </c>
      <c r="AY1726" s="39" t="str">
        <f>"T"&amp;O1726&amp;"_"&amp;AX1726&amp;"옵션_"&amp;VLOOKUP(E1726,색인!$J$25:$K$29,2,FALSE)</f>
        <v>T5_3옵션_보주</v>
      </c>
      <c r="AZ1726" s="39">
        <f>VLOOKUP(G1726,색인!$J$32:$K$45,2,FALSE)</f>
        <v>4</v>
      </c>
      <c r="BA1726" s="39" t="str">
        <f>_xlfn.IFNA(VLOOKUP(AY1726,표1[[검색용]:[OptionGroupIndex'[']22]],EquipItemTable!AZ1726,FALSE),"옵션고정안함")</f>
        <v>5341,5342</v>
      </c>
    </row>
    <row r="1727" spans="1:53" ht="12" customHeight="1" x14ac:dyDescent="0.2">
      <c r="A1727" s="10" t="s">
        <v>867</v>
      </c>
      <c r="B1727" s="39">
        <v>140402</v>
      </c>
      <c r="C1727" s="42" t="s">
        <v>4051</v>
      </c>
      <c r="D1727" s="86" t="s">
        <v>595</v>
      </c>
      <c r="E1727" s="86" t="s">
        <v>595</v>
      </c>
      <c r="F1727" s="32" t="s">
        <v>312</v>
      </c>
      <c r="G1727" s="32" t="s">
        <v>1318</v>
      </c>
      <c r="O1727" s="32">
        <v>6</v>
      </c>
      <c r="P1727" s="32">
        <v>61</v>
      </c>
      <c r="Q1727" s="1"/>
      <c r="R1727" s="1"/>
      <c r="S1727" s="1"/>
      <c r="T1727" s="1"/>
      <c r="U1727" s="1"/>
      <c r="V1727" s="1"/>
      <c r="W1727" s="1"/>
      <c r="X1727" s="1"/>
      <c r="Y1727" s="20">
        <v>152112.79999999999</v>
      </c>
      <c r="Z1727" s="1"/>
      <c r="AA1727" s="1"/>
      <c r="AB1727" s="1"/>
      <c r="AD1727" s="12" t="s">
        <v>868</v>
      </c>
      <c r="AE1727" s="39" t="str">
        <f t="shared" si="221"/>
        <v>6341,6342</v>
      </c>
      <c r="AN1727" s="12" t="s">
        <v>2834</v>
      </c>
      <c r="AU1727" s="12" t="s">
        <v>1945</v>
      </c>
      <c r="AW1727" s="39">
        <v>5</v>
      </c>
      <c r="AX1727" s="12">
        <f>VLOOKUP(AW1727,색인!$N$14:$O$19,2,FALSE)</f>
        <v>3</v>
      </c>
      <c r="AY1727" s="39" t="str">
        <f>"T"&amp;O1727&amp;"_"&amp;AX1727&amp;"옵션_"&amp;VLOOKUP(E1727,색인!$J$25:$K$29,2,FALSE)</f>
        <v>T6_3옵션_보주</v>
      </c>
      <c r="AZ1727" s="39">
        <f>VLOOKUP(G1727,색인!$J$32:$K$45,2,FALSE)</f>
        <v>4</v>
      </c>
      <c r="BA1727" s="39" t="str">
        <f>_xlfn.IFNA(VLOOKUP(AY1727,표1[[검색용]:[OptionGroupIndex'[']22]],EquipItemTable!AZ1727,FALSE),"옵션고정안함")</f>
        <v>6341,6342</v>
      </c>
    </row>
    <row r="1728" spans="1:53" ht="12" customHeight="1" x14ac:dyDescent="0.2">
      <c r="A1728" s="10" t="s">
        <v>1289</v>
      </c>
      <c r="B1728" s="39">
        <v>140405</v>
      </c>
      <c r="C1728" s="42" t="s">
        <v>4052</v>
      </c>
      <c r="D1728" s="86" t="s">
        <v>595</v>
      </c>
      <c r="E1728" s="86" t="s">
        <v>595</v>
      </c>
      <c r="F1728" s="32" t="s">
        <v>312</v>
      </c>
      <c r="G1728" s="32" t="s">
        <v>1318</v>
      </c>
      <c r="O1728" s="32">
        <v>6</v>
      </c>
      <c r="P1728" s="32">
        <v>61</v>
      </c>
      <c r="Q1728" s="1"/>
      <c r="R1728" s="1"/>
      <c r="S1728" s="1"/>
      <c r="T1728" s="1"/>
      <c r="U1728" s="1"/>
      <c r="V1728" s="1"/>
      <c r="W1728" s="1"/>
      <c r="X1728" s="1"/>
      <c r="Y1728" s="20">
        <v>152112.79999999999</v>
      </c>
      <c r="Z1728" s="1"/>
      <c r="AA1728" s="1"/>
      <c r="AB1728" s="1"/>
      <c r="AD1728" s="12" t="s">
        <v>336</v>
      </c>
      <c r="AE1728" s="39" t="str">
        <f t="shared" si="221"/>
        <v>6341,6342</v>
      </c>
      <c r="AN1728" s="12" t="s">
        <v>1222</v>
      </c>
      <c r="AU1728" s="12" t="s">
        <v>1945</v>
      </c>
      <c r="AW1728" s="39">
        <v>5</v>
      </c>
      <c r="AX1728" s="12">
        <f>VLOOKUP(AW1728,색인!$N$14:$O$19,2,FALSE)</f>
        <v>3</v>
      </c>
      <c r="AY1728" s="39" t="str">
        <f>"T"&amp;O1728&amp;"_"&amp;AX1728&amp;"옵션_"&amp;VLOOKUP(E1728,색인!$J$25:$K$29,2,FALSE)</f>
        <v>T6_3옵션_보주</v>
      </c>
      <c r="AZ1728" s="39">
        <f>VLOOKUP(G1728,색인!$J$32:$K$45,2,FALSE)</f>
        <v>4</v>
      </c>
      <c r="BA1728" s="39" t="str">
        <f>_xlfn.IFNA(VLOOKUP(AY1728,표1[[검색용]:[OptionGroupIndex'[']22]],EquipItemTable!AZ1728,FALSE),"옵션고정안함")</f>
        <v>6341,6342</v>
      </c>
    </row>
    <row r="1729" spans="1:53" ht="12" customHeight="1" x14ac:dyDescent="0.2">
      <c r="A1729" s="10" t="s">
        <v>1290</v>
      </c>
      <c r="B1729" s="39">
        <v>140406</v>
      </c>
      <c r="C1729" s="42" t="s">
        <v>4053</v>
      </c>
      <c r="D1729" s="86" t="s">
        <v>595</v>
      </c>
      <c r="E1729" s="86" t="s">
        <v>595</v>
      </c>
      <c r="F1729" s="32" t="s">
        <v>312</v>
      </c>
      <c r="G1729" s="32" t="s">
        <v>1318</v>
      </c>
      <c r="O1729" s="32">
        <v>6</v>
      </c>
      <c r="P1729" s="32">
        <v>61</v>
      </c>
      <c r="Q1729" s="1"/>
      <c r="R1729" s="1"/>
      <c r="S1729" s="1"/>
      <c r="T1729" s="1"/>
      <c r="U1729" s="1"/>
      <c r="V1729" s="1"/>
      <c r="W1729" s="1"/>
      <c r="X1729" s="1"/>
      <c r="Y1729" s="20">
        <v>152112.79999999999</v>
      </c>
      <c r="Z1729" s="1"/>
      <c r="AA1729" s="1"/>
      <c r="AB1729" s="1"/>
      <c r="AD1729" s="12" t="s">
        <v>336</v>
      </c>
      <c r="AE1729" s="39" t="str">
        <f t="shared" si="221"/>
        <v>6341,6342</v>
      </c>
      <c r="AN1729" s="12" t="s">
        <v>1213</v>
      </c>
      <c r="AU1729" s="12" t="s">
        <v>1945</v>
      </c>
      <c r="AW1729" s="39">
        <v>5</v>
      </c>
      <c r="AX1729" s="12">
        <f>VLOOKUP(AW1729,색인!$N$14:$O$19,2,FALSE)</f>
        <v>3</v>
      </c>
      <c r="AY1729" s="39" t="str">
        <f>"T"&amp;O1729&amp;"_"&amp;AX1729&amp;"옵션_"&amp;VLOOKUP(E1729,색인!$J$25:$K$29,2,FALSE)</f>
        <v>T6_3옵션_보주</v>
      </c>
      <c r="AZ1729" s="39">
        <f>VLOOKUP(G1729,색인!$J$32:$K$45,2,FALSE)</f>
        <v>4</v>
      </c>
      <c r="BA1729" s="39" t="str">
        <f>_xlfn.IFNA(VLOOKUP(AY1729,표1[[검색용]:[OptionGroupIndex'[']22]],EquipItemTable!AZ1729,FALSE),"옵션고정안함")</f>
        <v>6341,6342</v>
      </c>
    </row>
    <row r="1730" spans="1:53" ht="12" customHeight="1" x14ac:dyDescent="0.2">
      <c r="A1730" s="10" t="s">
        <v>1291</v>
      </c>
      <c r="B1730" s="39">
        <v>140407</v>
      </c>
      <c r="C1730" s="42" t="s">
        <v>4054</v>
      </c>
      <c r="D1730" s="86" t="s">
        <v>595</v>
      </c>
      <c r="E1730" s="86" t="s">
        <v>595</v>
      </c>
      <c r="F1730" s="32" t="s">
        <v>312</v>
      </c>
      <c r="G1730" s="32" t="s">
        <v>1318</v>
      </c>
      <c r="O1730" s="32">
        <v>6</v>
      </c>
      <c r="P1730" s="32">
        <v>61</v>
      </c>
      <c r="Q1730" s="1"/>
      <c r="R1730" s="1"/>
      <c r="S1730" s="1"/>
      <c r="T1730" s="1"/>
      <c r="U1730" s="1"/>
      <c r="V1730" s="1"/>
      <c r="W1730" s="1"/>
      <c r="X1730" s="1"/>
      <c r="Y1730" s="20">
        <v>152112.79999999999</v>
      </c>
      <c r="Z1730" s="1"/>
      <c r="AA1730" s="1"/>
      <c r="AB1730" s="1"/>
      <c r="AD1730" s="12" t="s">
        <v>336</v>
      </c>
      <c r="AE1730" s="39" t="str">
        <f t="shared" si="221"/>
        <v>6341,6342</v>
      </c>
      <c r="AN1730" s="12" t="s">
        <v>1214</v>
      </c>
      <c r="AU1730" s="12" t="s">
        <v>1945</v>
      </c>
      <c r="AW1730" s="39">
        <v>5</v>
      </c>
      <c r="AX1730" s="12">
        <f>VLOOKUP(AW1730,색인!$N$14:$O$19,2,FALSE)</f>
        <v>3</v>
      </c>
      <c r="AY1730" s="39" t="str">
        <f>"T"&amp;O1730&amp;"_"&amp;AX1730&amp;"옵션_"&amp;VLOOKUP(E1730,색인!$J$25:$K$29,2,FALSE)</f>
        <v>T6_3옵션_보주</v>
      </c>
      <c r="AZ1730" s="39">
        <f>VLOOKUP(G1730,색인!$J$32:$K$45,2,FALSE)</f>
        <v>4</v>
      </c>
      <c r="BA1730" s="39" t="str">
        <f>_xlfn.IFNA(VLOOKUP(AY1730,표1[[검색용]:[OptionGroupIndex'[']22]],EquipItemTable!AZ1730,FALSE),"옵션고정안함")</f>
        <v>6341,6342</v>
      </c>
    </row>
    <row r="1731" spans="1:53" ht="12" customHeight="1" x14ac:dyDescent="0.2">
      <c r="A1731" s="10" t="s">
        <v>1292</v>
      </c>
      <c r="B1731" s="39">
        <v>140408</v>
      </c>
      <c r="C1731" s="42" t="s">
        <v>4055</v>
      </c>
      <c r="D1731" s="86" t="s">
        <v>595</v>
      </c>
      <c r="E1731" s="86" t="s">
        <v>595</v>
      </c>
      <c r="F1731" s="32" t="s">
        <v>312</v>
      </c>
      <c r="G1731" s="32" t="s">
        <v>1318</v>
      </c>
      <c r="O1731" s="32">
        <v>6</v>
      </c>
      <c r="P1731" s="32">
        <v>61</v>
      </c>
      <c r="Q1731" s="1"/>
      <c r="R1731" s="1"/>
      <c r="S1731" s="1"/>
      <c r="T1731" s="1"/>
      <c r="U1731" s="1"/>
      <c r="V1731" s="1"/>
      <c r="W1731" s="1"/>
      <c r="X1731" s="1"/>
      <c r="Y1731" s="20">
        <v>152112.79999999999</v>
      </c>
      <c r="Z1731" s="1"/>
      <c r="AA1731" s="1"/>
      <c r="AB1731" s="1"/>
      <c r="AD1731" s="12" t="s">
        <v>336</v>
      </c>
      <c r="AE1731" s="39" t="str">
        <f t="shared" si="221"/>
        <v>6341,6342</v>
      </c>
      <c r="AN1731" s="12" t="s">
        <v>1215</v>
      </c>
      <c r="AU1731" s="12" t="s">
        <v>1945</v>
      </c>
      <c r="AW1731" s="39">
        <v>5</v>
      </c>
      <c r="AX1731" s="12">
        <f>VLOOKUP(AW1731,색인!$N$14:$O$19,2,FALSE)</f>
        <v>3</v>
      </c>
      <c r="AY1731" s="39" t="str">
        <f>"T"&amp;O1731&amp;"_"&amp;AX1731&amp;"옵션_"&amp;VLOOKUP(E1731,색인!$J$25:$K$29,2,FALSE)</f>
        <v>T6_3옵션_보주</v>
      </c>
      <c r="AZ1731" s="39">
        <f>VLOOKUP(G1731,색인!$J$32:$K$45,2,FALSE)</f>
        <v>4</v>
      </c>
      <c r="BA1731" s="39" t="str">
        <f>_xlfn.IFNA(VLOOKUP(AY1731,표1[[검색용]:[OptionGroupIndex'[']22]],EquipItemTable!AZ1731,FALSE),"옵션고정안함")</f>
        <v>6341,6342</v>
      </c>
    </row>
    <row r="1732" spans="1:53" ht="12" customHeight="1" x14ac:dyDescent="0.2">
      <c r="A1732" s="10" t="s">
        <v>1293</v>
      </c>
      <c r="B1732" s="39">
        <v>140409</v>
      </c>
      <c r="C1732" s="42" t="s">
        <v>4056</v>
      </c>
      <c r="D1732" s="86" t="s">
        <v>595</v>
      </c>
      <c r="E1732" s="86" t="s">
        <v>595</v>
      </c>
      <c r="F1732" s="32" t="s">
        <v>312</v>
      </c>
      <c r="G1732" s="32" t="s">
        <v>1318</v>
      </c>
      <c r="O1732" s="32">
        <v>6</v>
      </c>
      <c r="P1732" s="32">
        <v>61</v>
      </c>
      <c r="Q1732" s="1"/>
      <c r="R1732" s="1"/>
      <c r="S1732" s="1"/>
      <c r="T1732" s="1"/>
      <c r="U1732" s="1"/>
      <c r="V1732" s="1"/>
      <c r="W1732" s="1"/>
      <c r="X1732" s="1"/>
      <c r="Y1732" s="20">
        <v>152112.79999999999</v>
      </c>
      <c r="Z1732" s="1"/>
      <c r="AA1732" s="1"/>
      <c r="AB1732" s="1"/>
      <c r="AD1732" s="12" t="s">
        <v>336</v>
      </c>
      <c r="AE1732" s="39" t="str">
        <f t="shared" si="221"/>
        <v>6341,6342</v>
      </c>
      <c r="AN1732" s="12" t="s">
        <v>1216</v>
      </c>
      <c r="AU1732" s="12" t="s">
        <v>1945</v>
      </c>
      <c r="AW1732" s="39">
        <v>5</v>
      </c>
      <c r="AX1732" s="12">
        <f>VLOOKUP(AW1732,색인!$N$14:$O$19,2,FALSE)</f>
        <v>3</v>
      </c>
      <c r="AY1732" s="39" t="str">
        <f>"T"&amp;O1732&amp;"_"&amp;AX1732&amp;"옵션_"&amp;VLOOKUP(E1732,색인!$J$25:$K$29,2,FALSE)</f>
        <v>T6_3옵션_보주</v>
      </c>
      <c r="AZ1732" s="39">
        <f>VLOOKUP(G1732,색인!$J$32:$K$45,2,FALSE)</f>
        <v>4</v>
      </c>
      <c r="BA1732" s="39" t="str">
        <f>_xlfn.IFNA(VLOOKUP(AY1732,표1[[검색용]:[OptionGroupIndex'[']22]],EquipItemTable!AZ1732,FALSE),"옵션고정안함")</f>
        <v>6341,6342</v>
      </c>
    </row>
    <row r="1733" spans="1:53" ht="12" customHeight="1" x14ac:dyDescent="0.2">
      <c r="A1733" s="10" t="s">
        <v>1191</v>
      </c>
      <c r="B1733" s="39">
        <v>390001</v>
      </c>
      <c r="C1733" s="42" t="s">
        <v>4057</v>
      </c>
      <c r="D1733" s="86" t="s">
        <v>595</v>
      </c>
      <c r="E1733" s="86" t="s">
        <v>595</v>
      </c>
      <c r="F1733" s="32" t="s">
        <v>312</v>
      </c>
      <c r="G1733" s="32" t="s">
        <v>1318</v>
      </c>
      <c r="O1733" s="32">
        <v>6</v>
      </c>
      <c r="P1733" s="32">
        <v>61</v>
      </c>
      <c r="Q1733" s="1"/>
      <c r="R1733" s="1"/>
      <c r="S1733" s="1"/>
      <c r="T1733" s="1"/>
      <c r="U1733" s="1"/>
      <c r="V1733" s="1"/>
      <c r="W1733" s="1"/>
      <c r="X1733" s="1"/>
      <c r="Y1733" s="20">
        <v>152112.79999999999</v>
      </c>
      <c r="Z1733" s="1"/>
      <c r="AA1733" s="1"/>
      <c r="AB1733" s="1"/>
      <c r="AD1733" s="12" t="s">
        <v>98</v>
      </c>
      <c r="AE1733" s="39" t="str">
        <f t="shared" si="221"/>
        <v>6341,6342</v>
      </c>
      <c r="AN1733" s="12" t="s">
        <v>1202</v>
      </c>
      <c r="AU1733" s="12" t="s">
        <v>1945</v>
      </c>
      <c r="AW1733" s="39">
        <v>5</v>
      </c>
      <c r="AX1733" s="12">
        <f>VLOOKUP(AW1733,색인!$N$14:$O$19,2,FALSE)</f>
        <v>3</v>
      </c>
      <c r="AY1733" s="39" t="str">
        <f>"T"&amp;O1733&amp;"_"&amp;AX1733&amp;"옵션_"&amp;VLOOKUP(E1733,색인!$J$25:$K$29,2,FALSE)</f>
        <v>T6_3옵션_보주</v>
      </c>
      <c r="AZ1733" s="39">
        <f>VLOOKUP(G1733,색인!$J$32:$K$45,2,FALSE)</f>
        <v>4</v>
      </c>
      <c r="BA1733" s="39" t="str">
        <f>_xlfn.IFNA(VLOOKUP(AY1733,표1[[검색용]:[OptionGroupIndex'[']22]],EquipItemTable!AZ1733,FALSE),"옵션고정안함")</f>
        <v>6341,6342</v>
      </c>
    </row>
    <row r="1734" spans="1:53" ht="12" customHeight="1" x14ac:dyDescent="0.2">
      <c r="A1734" s="10" t="s">
        <v>1626</v>
      </c>
      <c r="B1734" s="39">
        <v>390002</v>
      </c>
      <c r="C1734" s="42" t="s">
        <v>4058</v>
      </c>
      <c r="D1734" s="86" t="s">
        <v>595</v>
      </c>
      <c r="E1734" s="86" t="s">
        <v>595</v>
      </c>
      <c r="F1734" s="32" t="s">
        <v>312</v>
      </c>
      <c r="G1734" s="32" t="s">
        <v>1318</v>
      </c>
      <c r="O1734" s="32">
        <v>6</v>
      </c>
      <c r="P1734" s="32">
        <v>61</v>
      </c>
      <c r="Q1734" s="1"/>
      <c r="R1734" s="1"/>
      <c r="S1734" s="1"/>
      <c r="T1734" s="1"/>
      <c r="U1734" s="1"/>
      <c r="V1734" s="1"/>
      <c r="W1734" s="1"/>
      <c r="X1734" s="1"/>
      <c r="Y1734" s="20">
        <v>138285.19999999998</v>
      </c>
      <c r="Z1734" s="1"/>
      <c r="AA1734" s="1"/>
      <c r="AB1734" s="1"/>
      <c r="AD1734" s="12" t="s">
        <v>605</v>
      </c>
      <c r="AE1734" s="39" t="s">
        <v>553</v>
      </c>
      <c r="AN1734" s="12" t="s">
        <v>1294</v>
      </c>
      <c r="AU1734" s="12" t="s">
        <v>1936</v>
      </c>
      <c r="AW1734" s="39">
        <v>6</v>
      </c>
      <c r="AX1734" s="12">
        <f>VLOOKUP(AW1734,색인!$N$14:$O$19,2,FALSE)</f>
        <v>4</v>
      </c>
      <c r="AY1734" s="12" t="str">
        <f>"T"&amp;O1734&amp;"_"&amp;AX1734&amp;"옵션_"&amp;VLOOKUP(E1734,색인!$J$25:$K$29,2,FALSE)</f>
        <v>T6_4옵션_보주</v>
      </c>
      <c r="AZ1734" s="12">
        <f>VLOOKUP(G1734,색인!$J$32:$K$45,2,FALSE)</f>
        <v>4</v>
      </c>
      <c r="BA1734" s="12" t="str">
        <f>_xlfn.IFNA(VLOOKUP(AY1734,표1[[검색용]:[OptionGroupIndex'[']22]],EquipItemTable!AZ1734,FALSE),"옵션고정안함")</f>
        <v>6441,6442</v>
      </c>
    </row>
    <row r="1735" spans="1:53" s="27" customFormat="1" ht="12" x14ac:dyDescent="0.2">
      <c r="A1735" s="25" t="s">
        <v>1627</v>
      </c>
      <c r="B1735" s="39">
        <v>390003</v>
      </c>
      <c r="C1735" s="42" t="s">
        <v>4057</v>
      </c>
      <c r="D1735" s="26" t="s">
        <v>1629</v>
      </c>
      <c r="E1735" s="26" t="s">
        <v>1629</v>
      </c>
      <c r="F1735" s="27" t="s">
        <v>312</v>
      </c>
      <c r="G1735" s="27" t="s">
        <v>1630</v>
      </c>
      <c r="J1735" s="32"/>
      <c r="K1735" s="32"/>
      <c r="L1735" s="32"/>
      <c r="M1735" s="32"/>
      <c r="N1735" s="8"/>
      <c r="O1735" s="29" t="s">
        <v>1338</v>
      </c>
      <c r="P1735" s="27">
        <v>71</v>
      </c>
      <c r="Y1735" s="1">
        <v>185142</v>
      </c>
      <c r="AB1735" s="28"/>
      <c r="AC1735" s="82"/>
      <c r="AD1735" s="29" t="s">
        <v>1377</v>
      </c>
      <c r="AE1735" s="92" t="str">
        <f>BA1735</f>
        <v>7341,7342</v>
      </c>
      <c r="AF1735" s="29"/>
      <c r="AG1735" s="12"/>
      <c r="AH1735" s="12"/>
      <c r="AN1735" s="27">
        <v>101</v>
      </c>
      <c r="AQ1735" s="85"/>
      <c r="AT1735" s="85"/>
      <c r="AU1735" s="29" t="s">
        <v>1945</v>
      </c>
      <c r="AW1735" s="91">
        <v>5</v>
      </c>
      <c r="AX1735" s="93">
        <f>VLOOKUP(AW1735,색인!$N$14:$O$19,2,FALSE)</f>
        <v>3</v>
      </c>
      <c r="AY1735" s="91" t="str">
        <f>"T"&amp;O1735&amp;"_"&amp;AX1735&amp;"옵션_"&amp;VLOOKUP(E1735,색인!$J$25:$K$29,2,FALSE)</f>
        <v>T7_3옵션_보주</v>
      </c>
      <c r="AZ1735" s="91">
        <f>VLOOKUP(G1735,색인!$J$32:$K$45,2,FALSE)</f>
        <v>4</v>
      </c>
      <c r="BA1735" s="91" t="str">
        <f>_xlfn.IFNA(VLOOKUP(AY1735,표1[[검색용]:[OptionGroupIndex'[']22]],EquipItemTable!AZ1735,FALSE),"옵션고정안함")</f>
        <v>7341,7342</v>
      </c>
    </row>
    <row r="1736" spans="1:53" s="27" customFormat="1" ht="12" x14ac:dyDescent="0.2">
      <c r="A1736" s="25" t="s">
        <v>1628</v>
      </c>
      <c r="B1736" s="39">
        <v>390004</v>
      </c>
      <c r="C1736" s="42" t="s">
        <v>4058</v>
      </c>
      <c r="D1736" s="26" t="s">
        <v>1629</v>
      </c>
      <c r="E1736" s="26" t="s">
        <v>1629</v>
      </c>
      <c r="F1736" s="27" t="s">
        <v>312</v>
      </c>
      <c r="G1736" s="27" t="s">
        <v>1630</v>
      </c>
      <c r="J1736" s="32"/>
      <c r="K1736" s="32"/>
      <c r="L1736" s="32"/>
      <c r="M1736" s="32"/>
      <c r="N1736" s="8"/>
      <c r="O1736" s="29" t="s">
        <v>1631</v>
      </c>
      <c r="P1736" s="27">
        <v>71</v>
      </c>
      <c r="Y1736" s="27">
        <v>190116</v>
      </c>
      <c r="AB1736" s="28"/>
      <c r="AC1736" s="82"/>
      <c r="AD1736" s="29" t="s">
        <v>1377</v>
      </c>
      <c r="AE1736" s="92" t="s">
        <v>2191</v>
      </c>
      <c r="AF1736" s="29" t="s">
        <v>2185</v>
      </c>
      <c r="AG1736" s="12"/>
      <c r="AH1736" s="12"/>
      <c r="AN1736" s="27">
        <v>102</v>
      </c>
      <c r="AQ1736" s="85"/>
      <c r="AT1736" s="85"/>
      <c r="AU1736" s="29" t="s">
        <v>1936</v>
      </c>
      <c r="AW1736" s="91">
        <v>6</v>
      </c>
      <c r="AX1736" s="93">
        <f>VLOOKUP(AW1736,색인!$N$14:$O$19,2,FALSE)</f>
        <v>4</v>
      </c>
      <c r="AY1736" s="93" t="str">
        <f>"T"&amp;O1736&amp;"_"&amp;AX1736&amp;"옵션_"&amp;VLOOKUP(E1736,색인!$J$25:$K$29,2,FALSE)</f>
        <v>T7_4옵션_보주</v>
      </c>
      <c r="AZ1736" s="93">
        <f>VLOOKUP(G1736,색인!$J$32:$K$45,2,FALSE)</f>
        <v>4</v>
      </c>
      <c r="BA1736" s="93" t="str">
        <f>_xlfn.IFNA(VLOOKUP(AY1736,표1[[검색용]:[OptionGroupIndex'[']22]],EquipItemTable!AZ1736,FALSE),"옵션고정안함")</f>
        <v>7441,7442</v>
      </c>
    </row>
    <row r="1737" spans="1:53" ht="12" x14ac:dyDescent="0.2">
      <c r="A1737" s="10" t="s">
        <v>1709</v>
      </c>
      <c r="B1737" s="39">
        <v>140410</v>
      </c>
      <c r="C1737" s="42" t="s">
        <v>4051</v>
      </c>
      <c r="D1737" s="86" t="s">
        <v>595</v>
      </c>
      <c r="E1737" s="86" t="s">
        <v>595</v>
      </c>
      <c r="F1737" s="32" t="s">
        <v>312</v>
      </c>
      <c r="G1737" s="32" t="s">
        <v>1318</v>
      </c>
      <c r="O1737" s="32">
        <v>7</v>
      </c>
      <c r="P1737" s="32">
        <v>71</v>
      </c>
      <c r="Q1737" s="1"/>
      <c r="R1737" s="1"/>
      <c r="S1737" s="1"/>
      <c r="T1737" s="1"/>
      <c r="U1737" s="1"/>
      <c r="V1737" s="1"/>
      <c r="W1737" s="1"/>
      <c r="X1737" s="1"/>
      <c r="Y1737" s="1">
        <v>185142</v>
      </c>
      <c r="Z1737" s="1"/>
      <c r="AA1737" s="1"/>
      <c r="AB1737" s="1"/>
      <c r="AD1737" s="12" t="s">
        <v>98</v>
      </c>
      <c r="AE1737" s="39" t="str">
        <f t="shared" ref="AE1737:AE1743" si="222">BA1737</f>
        <v>7341,7342</v>
      </c>
      <c r="AN1737" s="12" t="s">
        <v>2834</v>
      </c>
      <c r="AU1737" s="12" t="s">
        <v>1945</v>
      </c>
      <c r="AW1737" s="39">
        <v>5</v>
      </c>
      <c r="AX1737" s="12">
        <f>VLOOKUP(AW1737,색인!$N$14:$O$19,2,FALSE)</f>
        <v>3</v>
      </c>
      <c r="AY1737" s="39" t="str">
        <f>"T"&amp;O1737&amp;"_"&amp;AX1737&amp;"옵션_"&amp;VLOOKUP(E1737,색인!$J$25:$K$29,2,FALSE)</f>
        <v>T7_3옵션_보주</v>
      </c>
      <c r="AZ1737" s="39">
        <f>VLOOKUP(G1737,색인!$J$32:$K$45,2,FALSE)</f>
        <v>4</v>
      </c>
      <c r="BA1737" s="39" t="str">
        <f>_xlfn.IFNA(VLOOKUP(AY1737,표1[[검색용]:[OptionGroupIndex'[']22]],EquipItemTable!AZ1737,FALSE),"옵션고정안함")</f>
        <v>7341,7342</v>
      </c>
    </row>
    <row r="1738" spans="1:53" ht="12" customHeight="1" x14ac:dyDescent="0.2">
      <c r="A1738" s="10" t="s">
        <v>1710</v>
      </c>
      <c r="B1738" s="39">
        <v>140411</v>
      </c>
      <c r="C1738" s="42" t="s">
        <v>4053</v>
      </c>
      <c r="D1738" s="86" t="s">
        <v>595</v>
      </c>
      <c r="E1738" s="86" t="s">
        <v>595</v>
      </c>
      <c r="F1738" s="32" t="s">
        <v>312</v>
      </c>
      <c r="G1738" s="32" t="s">
        <v>1318</v>
      </c>
      <c r="O1738" s="32">
        <v>7</v>
      </c>
      <c r="P1738" s="32">
        <v>71</v>
      </c>
      <c r="Q1738" s="1"/>
      <c r="R1738" s="1"/>
      <c r="S1738" s="1"/>
      <c r="T1738" s="1"/>
      <c r="U1738" s="1"/>
      <c r="V1738" s="1"/>
      <c r="W1738" s="1"/>
      <c r="X1738" s="1"/>
      <c r="Y1738" s="1">
        <v>185142</v>
      </c>
      <c r="Z1738" s="1"/>
      <c r="AA1738" s="1"/>
      <c r="AB1738" s="1"/>
      <c r="AD1738" s="12" t="s">
        <v>98</v>
      </c>
      <c r="AE1738" s="39" t="str">
        <f t="shared" si="222"/>
        <v>7341,7342</v>
      </c>
      <c r="AN1738" s="12" t="s">
        <v>1213</v>
      </c>
      <c r="AU1738" s="12" t="s">
        <v>1945</v>
      </c>
      <c r="AW1738" s="39">
        <v>5</v>
      </c>
      <c r="AX1738" s="12">
        <f>VLOOKUP(AW1738,색인!$N$14:$O$19,2,FALSE)</f>
        <v>3</v>
      </c>
      <c r="AY1738" s="39" t="str">
        <f>"T"&amp;O1738&amp;"_"&amp;AX1738&amp;"옵션_"&amp;VLOOKUP(E1738,색인!$J$25:$K$29,2,FALSE)</f>
        <v>T7_3옵션_보주</v>
      </c>
      <c r="AZ1738" s="39">
        <f>VLOOKUP(G1738,색인!$J$32:$K$45,2,FALSE)</f>
        <v>4</v>
      </c>
      <c r="BA1738" s="39" t="str">
        <f>_xlfn.IFNA(VLOOKUP(AY1738,표1[[검색용]:[OptionGroupIndex'[']22]],EquipItemTable!AZ1738,FALSE),"옵션고정안함")</f>
        <v>7341,7342</v>
      </c>
    </row>
    <row r="1739" spans="1:53" ht="12" customHeight="1" x14ac:dyDescent="0.2">
      <c r="A1739" s="10" t="s">
        <v>1711</v>
      </c>
      <c r="B1739" s="39">
        <v>140412</v>
      </c>
      <c r="C1739" s="42" t="s">
        <v>4054</v>
      </c>
      <c r="D1739" s="86" t="s">
        <v>595</v>
      </c>
      <c r="E1739" s="86" t="s">
        <v>595</v>
      </c>
      <c r="F1739" s="32" t="s">
        <v>312</v>
      </c>
      <c r="G1739" s="32" t="s">
        <v>1318</v>
      </c>
      <c r="O1739" s="32">
        <v>7</v>
      </c>
      <c r="P1739" s="32">
        <v>71</v>
      </c>
      <c r="Q1739" s="1"/>
      <c r="R1739" s="1"/>
      <c r="S1739" s="1"/>
      <c r="T1739" s="1"/>
      <c r="U1739" s="1"/>
      <c r="V1739" s="1"/>
      <c r="W1739" s="1"/>
      <c r="X1739" s="1"/>
      <c r="Y1739" s="1">
        <v>185142</v>
      </c>
      <c r="Z1739" s="1"/>
      <c r="AA1739" s="1"/>
      <c r="AB1739" s="1"/>
      <c r="AD1739" s="12" t="s">
        <v>98</v>
      </c>
      <c r="AE1739" s="39" t="str">
        <f t="shared" si="222"/>
        <v>7341,7342</v>
      </c>
      <c r="AN1739" s="12" t="s">
        <v>1214</v>
      </c>
      <c r="AU1739" s="12" t="s">
        <v>1945</v>
      </c>
      <c r="AW1739" s="39">
        <v>5</v>
      </c>
      <c r="AX1739" s="12">
        <f>VLOOKUP(AW1739,색인!$N$14:$O$19,2,FALSE)</f>
        <v>3</v>
      </c>
      <c r="AY1739" s="39" t="str">
        <f>"T"&amp;O1739&amp;"_"&amp;AX1739&amp;"옵션_"&amp;VLOOKUP(E1739,색인!$J$25:$K$29,2,FALSE)</f>
        <v>T7_3옵션_보주</v>
      </c>
      <c r="AZ1739" s="39">
        <f>VLOOKUP(G1739,색인!$J$32:$K$45,2,FALSE)</f>
        <v>4</v>
      </c>
      <c r="BA1739" s="39" t="str">
        <f>_xlfn.IFNA(VLOOKUP(AY1739,표1[[검색용]:[OptionGroupIndex'[']22]],EquipItemTable!AZ1739,FALSE),"옵션고정안함")</f>
        <v>7341,7342</v>
      </c>
    </row>
    <row r="1740" spans="1:53" ht="12" customHeight="1" x14ac:dyDescent="0.2">
      <c r="A1740" s="10" t="s">
        <v>1712</v>
      </c>
      <c r="B1740" s="39">
        <v>140413</v>
      </c>
      <c r="C1740" s="42" t="s">
        <v>4055</v>
      </c>
      <c r="D1740" s="86" t="s">
        <v>595</v>
      </c>
      <c r="E1740" s="86" t="s">
        <v>595</v>
      </c>
      <c r="F1740" s="32" t="s">
        <v>312</v>
      </c>
      <c r="G1740" s="32" t="s">
        <v>1318</v>
      </c>
      <c r="O1740" s="32">
        <v>7</v>
      </c>
      <c r="P1740" s="32">
        <v>71</v>
      </c>
      <c r="Q1740" s="1"/>
      <c r="R1740" s="1"/>
      <c r="S1740" s="1"/>
      <c r="T1740" s="1"/>
      <c r="U1740" s="1"/>
      <c r="V1740" s="1"/>
      <c r="W1740" s="1"/>
      <c r="X1740" s="1"/>
      <c r="Y1740" s="1">
        <v>185142</v>
      </c>
      <c r="Z1740" s="1"/>
      <c r="AA1740" s="1"/>
      <c r="AB1740" s="1"/>
      <c r="AD1740" s="12" t="s">
        <v>98</v>
      </c>
      <c r="AE1740" s="39" t="str">
        <f t="shared" si="222"/>
        <v>7341,7342</v>
      </c>
      <c r="AN1740" s="12" t="s">
        <v>1215</v>
      </c>
      <c r="AU1740" s="12" t="s">
        <v>1945</v>
      </c>
      <c r="AW1740" s="39">
        <v>5</v>
      </c>
      <c r="AX1740" s="12">
        <f>VLOOKUP(AW1740,색인!$N$14:$O$19,2,FALSE)</f>
        <v>3</v>
      </c>
      <c r="AY1740" s="39" t="str">
        <f>"T"&amp;O1740&amp;"_"&amp;AX1740&amp;"옵션_"&amp;VLOOKUP(E1740,색인!$J$25:$K$29,2,FALSE)</f>
        <v>T7_3옵션_보주</v>
      </c>
      <c r="AZ1740" s="39">
        <f>VLOOKUP(G1740,색인!$J$32:$K$45,2,FALSE)</f>
        <v>4</v>
      </c>
      <c r="BA1740" s="39" t="str">
        <f>_xlfn.IFNA(VLOOKUP(AY1740,표1[[검색용]:[OptionGroupIndex'[']22]],EquipItemTable!AZ1740,FALSE),"옵션고정안함")</f>
        <v>7341,7342</v>
      </c>
    </row>
    <row r="1741" spans="1:53" ht="12" customHeight="1" x14ac:dyDescent="0.2">
      <c r="A1741" s="10" t="s">
        <v>1713</v>
      </c>
      <c r="B1741" s="39">
        <v>140414</v>
      </c>
      <c r="C1741" s="42" t="s">
        <v>4056</v>
      </c>
      <c r="D1741" s="86" t="s">
        <v>595</v>
      </c>
      <c r="E1741" s="86" t="s">
        <v>595</v>
      </c>
      <c r="F1741" s="32" t="s">
        <v>312</v>
      </c>
      <c r="G1741" s="32" t="s">
        <v>1318</v>
      </c>
      <c r="O1741" s="32">
        <v>7</v>
      </c>
      <c r="P1741" s="32">
        <v>71</v>
      </c>
      <c r="Q1741" s="1"/>
      <c r="R1741" s="1"/>
      <c r="S1741" s="1"/>
      <c r="T1741" s="1"/>
      <c r="U1741" s="1"/>
      <c r="V1741" s="1"/>
      <c r="W1741" s="1"/>
      <c r="X1741" s="1"/>
      <c r="Y1741" s="1">
        <v>185142</v>
      </c>
      <c r="Z1741" s="1"/>
      <c r="AA1741" s="1"/>
      <c r="AB1741" s="1"/>
      <c r="AD1741" s="12" t="s">
        <v>98</v>
      </c>
      <c r="AE1741" s="39" t="str">
        <f t="shared" si="222"/>
        <v>7341,7342</v>
      </c>
      <c r="AN1741" s="12" t="s">
        <v>1216</v>
      </c>
      <c r="AU1741" s="12" t="s">
        <v>1945</v>
      </c>
      <c r="AW1741" s="39">
        <v>5</v>
      </c>
      <c r="AX1741" s="12">
        <f>VLOOKUP(AW1741,색인!$N$14:$O$19,2,FALSE)</f>
        <v>3</v>
      </c>
      <c r="AY1741" s="39" t="str">
        <f>"T"&amp;O1741&amp;"_"&amp;AX1741&amp;"옵션_"&amp;VLOOKUP(E1741,색인!$J$25:$K$29,2,FALSE)</f>
        <v>T7_3옵션_보주</v>
      </c>
      <c r="AZ1741" s="39">
        <f>VLOOKUP(G1741,색인!$J$32:$K$45,2,FALSE)</f>
        <v>4</v>
      </c>
      <c r="BA1741" s="39" t="str">
        <f>_xlfn.IFNA(VLOOKUP(AY1741,표1[[검색용]:[OptionGroupIndex'[']22]],EquipItemTable!AZ1741,FALSE),"옵션고정안함")</f>
        <v>7341,7342</v>
      </c>
    </row>
    <row r="1742" spans="1:53" ht="12" customHeight="1" x14ac:dyDescent="0.2">
      <c r="A1742" s="10" t="s">
        <v>1714</v>
      </c>
      <c r="B1742" s="39">
        <v>140415</v>
      </c>
      <c r="C1742" s="42" t="s">
        <v>4059</v>
      </c>
      <c r="D1742" s="86" t="s">
        <v>595</v>
      </c>
      <c r="E1742" s="86" t="s">
        <v>595</v>
      </c>
      <c r="F1742" s="32" t="s">
        <v>312</v>
      </c>
      <c r="G1742" s="32" t="s">
        <v>1318</v>
      </c>
      <c r="O1742" s="32">
        <v>7</v>
      </c>
      <c r="P1742" s="32">
        <v>71</v>
      </c>
      <c r="Q1742" s="1"/>
      <c r="R1742" s="1"/>
      <c r="S1742" s="1"/>
      <c r="T1742" s="1"/>
      <c r="U1742" s="1"/>
      <c r="V1742" s="1"/>
      <c r="W1742" s="1"/>
      <c r="X1742" s="1"/>
      <c r="Y1742" s="1">
        <v>185142</v>
      </c>
      <c r="Z1742" s="1"/>
      <c r="AA1742" s="1"/>
      <c r="AB1742" s="1"/>
      <c r="AD1742" s="12" t="s">
        <v>98</v>
      </c>
      <c r="AE1742" s="39" t="str">
        <f t="shared" si="222"/>
        <v>7341,7342</v>
      </c>
      <c r="AN1742" s="12" t="s">
        <v>1198</v>
      </c>
      <c r="AU1742" s="12" t="s">
        <v>1945</v>
      </c>
      <c r="AW1742" s="39">
        <v>5</v>
      </c>
      <c r="AX1742" s="12">
        <f>VLOOKUP(AW1742,색인!$N$14:$O$19,2,FALSE)</f>
        <v>3</v>
      </c>
      <c r="AY1742" s="39" t="str">
        <f>"T"&amp;O1742&amp;"_"&amp;AX1742&amp;"옵션_"&amp;VLOOKUP(E1742,색인!$J$25:$K$29,2,FALSE)</f>
        <v>T7_3옵션_보주</v>
      </c>
      <c r="AZ1742" s="39">
        <f>VLOOKUP(G1742,색인!$J$32:$K$45,2,FALSE)</f>
        <v>4</v>
      </c>
      <c r="BA1742" s="39" t="str">
        <f>_xlfn.IFNA(VLOOKUP(AY1742,표1[[검색용]:[OptionGroupIndex'[']22]],EquipItemTable!AZ1742,FALSE),"옵션고정안함")</f>
        <v>7341,7342</v>
      </c>
    </row>
    <row r="1743" spans="1:53" ht="12" customHeight="1" x14ac:dyDescent="0.2">
      <c r="A1743" s="10" t="s">
        <v>1715</v>
      </c>
      <c r="B1743" s="39">
        <v>140416</v>
      </c>
      <c r="C1743" s="42" t="s">
        <v>4060</v>
      </c>
      <c r="D1743" s="86" t="s">
        <v>595</v>
      </c>
      <c r="E1743" s="86" t="s">
        <v>595</v>
      </c>
      <c r="F1743" s="32" t="s">
        <v>312</v>
      </c>
      <c r="G1743" s="32" t="s">
        <v>1318</v>
      </c>
      <c r="O1743" s="32">
        <v>7</v>
      </c>
      <c r="P1743" s="32">
        <v>71</v>
      </c>
      <c r="Q1743" s="1"/>
      <c r="R1743" s="1"/>
      <c r="S1743" s="1"/>
      <c r="T1743" s="1"/>
      <c r="U1743" s="1"/>
      <c r="V1743" s="1"/>
      <c r="W1743" s="1"/>
      <c r="X1743" s="1"/>
      <c r="Y1743" s="1">
        <v>185142</v>
      </c>
      <c r="Z1743" s="1"/>
      <c r="AA1743" s="1"/>
      <c r="AB1743" s="1"/>
      <c r="AD1743" s="12" t="s">
        <v>98</v>
      </c>
      <c r="AE1743" s="39" t="str">
        <f t="shared" si="222"/>
        <v>7341,7342</v>
      </c>
      <c r="AN1743" s="12" t="s">
        <v>1716</v>
      </c>
      <c r="AU1743" s="12" t="s">
        <v>1945</v>
      </c>
      <c r="AW1743" s="39">
        <v>5</v>
      </c>
      <c r="AX1743" s="12">
        <f>VLOOKUP(AW1743,색인!$N$14:$O$19,2,FALSE)</f>
        <v>3</v>
      </c>
      <c r="AY1743" s="39" t="str">
        <f>"T"&amp;O1743&amp;"_"&amp;AX1743&amp;"옵션_"&amp;VLOOKUP(E1743,색인!$J$25:$K$29,2,FALSE)</f>
        <v>T7_3옵션_보주</v>
      </c>
      <c r="AZ1743" s="39">
        <f>VLOOKUP(G1743,색인!$J$32:$K$45,2,FALSE)</f>
        <v>4</v>
      </c>
      <c r="BA1743" s="39" t="str">
        <f>_xlfn.IFNA(VLOOKUP(AY1743,표1[[검색용]:[OptionGroupIndex'[']22]],EquipItemTable!AZ1743,FALSE),"옵션고정안함")</f>
        <v>7341,7342</v>
      </c>
    </row>
    <row r="1744" spans="1:53" ht="12" customHeight="1" x14ac:dyDescent="0.2">
      <c r="A1744" s="10" t="s">
        <v>615</v>
      </c>
      <c r="B1744" s="39">
        <v>210001</v>
      </c>
      <c r="C1744" s="42" t="s">
        <v>4061</v>
      </c>
      <c r="D1744" s="10" t="s">
        <v>614</v>
      </c>
      <c r="E1744" s="10" t="s">
        <v>616</v>
      </c>
      <c r="F1744" s="32" t="s">
        <v>312</v>
      </c>
      <c r="G1744" s="32" t="s">
        <v>1318</v>
      </c>
      <c r="O1744" s="32">
        <v>3</v>
      </c>
      <c r="P1744" s="32">
        <v>1</v>
      </c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N1744" s="12"/>
      <c r="AU1744" s="12" t="s">
        <v>1950</v>
      </c>
    </row>
    <row r="1745" spans="1:53" ht="12" customHeight="1" x14ac:dyDescent="0.2">
      <c r="A1745" s="10" t="s">
        <v>617</v>
      </c>
      <c r="B1745" s="39">
        <v>210002</v>
      </c>
      <c r="C1745" s="42" t="s">
        <v>4062</v>
      </c>
      <c r="D1745" s="10" t="s">
        <v>614</v>
      </c>
      <c r="E1745" s="10" t="s">
        <v>616</v>
      </c>
      <c r="F1745" s="32" t="s">
        <v>312</v>
      </c>
      <c r="G1745" s="32" t="s">
        <v>1318</v>
      </c>
      <c r="O1745" s="32">
        <v>4</v>
      </c>
      <c r="P1745" s="32">
        <v>1</v>
      </c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N1745" s="12"/>
      <c r="AU1745" s="12" t="s">
        <v>1950</v>
      </c>
    </row>
    <row r="1746" spans="1:53" ht="12" customHeight="1" x14ac:dyDescent="0.2">
      <c r="A1746" s="10" t="s">
        <v>618</v>
      </c>
      <c r="B1746" s="39">
        <v>210003</v>
      </c>
      <c r="C1746" s="42" t="s">
        <v>4063</v>
      </c>
      <c r="D1746" s="10" t="s">
        <v>614</v>
      </c>
      <c r="E1746" s="10" t="s">
        <v>616</v>
      </c>
      <c r="F1746" s="32" t="s">
        <v>312</v>
      </c>
      <c r="G1746" s="32" t="s">
        <v>1318</v>
      </c>
      <c r="O1746" s="32">
        <v>5</v>
      </c>
      <c r="P1746" s="32">
        <v>1</v>
      </c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N1746" s="12"/>
      <c r="AU1746" s="12" t="s">
        <v>1950</v>
      </c>
    </row>
    <row r="1747" spans="1:53" ht="12" customHeight="1" x14ac:dyDescent="0.2">
      <c r="A1747" s="10" t="s">
        <v>1753</v>
      </c>
      <c r="B1747" s="39">
        <v>210004</v>
      </c>
      <c r="C1747" s="42" t="s">
        <v>4064</v>
      </c>
      <c r="D1747" s="10" t="s">
        <v>614</v>
      </c>
      <c r="E1747" s="10" t="s">
        <v>1754</v>
      </c>
      <c r="F1747" s="32" t="s">
        <v>312</v>
      </c>
      <c r="G1747" s="32" t="s">
        <v>1755</v>
      </c>
      <c r="O1747" s="32">
        <v>6</v>
      </c>
      <c r="P1747" s="32">
        <v>1</v>
      </c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N1747" s="12"/>
      <c r="AU1747" s="12" t="s">
        <v>1950</v>
      </c>
    </row>
    <row r="1748" spans="1:53" ht="12" customHeight="1" x14ac:dyDescent="0.2">
      <c r="A1748" s="10" t="s">
        <v>1756</v>
      </c>
      <c r="B1748" s="39">
        <v>210005</v>
      </c>
      <c r="C1748" s="42" t="s">
        <v>4065</v>
      </c>
      <c r="D1748" s="10" t="s">
        <v>614</v>
      </c>
      <c r="E1748" s="10" t="s">
        <v>1754</v>
      </c>
      <c r="F1748" s="32" t="s">
        <v>312</v>
      </c>
      <c r="G1748" s="32" t="s">
        <v>1755</v>
      </c>
      <c r="O1748" s="32">
        <v>7</v>
      </c>
      <c r="P1748" s="32">
        <v>1</v>
      </c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N1748" s="12"/>
      <c r="AU1748" s="12" t="s">
        <v>1950</v>
      </c>
    </row>
    <row r="1749" spans="1:53" ht="12" customHeight="1" x14ac:dyDescent="0.2">
      <c r="A1749" s="10" t="s">
        <v>2232</v>
      </c>
      <c r="B1749" s="39">
        <v>821007</v>
      </c>
      <c r="C1749" s="42" t="s">
        <v>4066</v>
      </c>
      <c r="D1749" s="10" t="s">
        <v>614</v>
      </c>
      <c r="E1749" s="10" t="s">
        <v>1754</v>
      </c>
      <c r="F1749" s="32" t="s">
        <v>312</v>
      </c>
      <c r="G1749" s="32" t="s">
        <v>1755</v>
      </c>
      <c r="O1749" s="32">
        <v>8</v>
      </c>
      <c r="P1749" s="32">
        <v>1</v>
      </c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N1749" s="12"/>
      <c r="AU1749" s="12" t="s">
        <v>1950</v>
      </c>
    </row>
    <row r="1750" spans="1:53" ht="12" customHeight="1" x14ac:dyDescent="0.2">
      <c r="A1750" s="10" t="s">
        <v>1820</v>
      </c>
      <c r="B1750" s="39">
        <v>210101</v>
      </c>
      <c r="C1750" s="42" t="s">
        <v>4067</v>
      </c>
      <c r="D1750" s="10" t="s">
        <v>614</v>
      </c>
      <c r="E1750" s="10" t="s">
        <v>1821</v>
      </c>
      <c r="F1750" s="32" t="s">
        <v>312</v>
      </c>
      <c r="G1750" s="32" t="s">
        <v>1822</v>
      </c>
      <c r="O1750" s="32">
        <v>3</v>
      </c>
      <c r="P1750" s="32">
        <v>1</v>
      </c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N1750" s="12"/>
      <c r="AU1750" s="12" t="s">
        <v>1951</v>
      </c>
    </row>
    <row r="1751" spans="1:53" ht="12" customHeight="1" x14ac:dyDescent="0.2">
      <c r="A1751" s="10" t="s">
        <v>1823</v>
      </c>
      <c r="B1751" s="39">
        <v>210102</v>
      </c>
      <c r="C1751" s="42" t="s">
        <v>4068</v>
      </c>
      <c r="D1751" s="10" t="s">
        <v>614</v>
      </c>
      <c r="E1751" s="10" t="s">
        <v>1824</v>
      </c>
      <c r="F1751" s="32" t="s">
        <v>312</v>
      </c>
      <c r="G1751" s="32" t="s">
        <v>1822</v>
      </c>
      <c r="O1751" s="32">
        <v>4</v>
      </c>
      <c r="P1751" s="32">
        <v>1</v>
      </c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N1751" s="12"/>
      <c r="AU1751" s="12" t="s">
        <v>1951</v>
      </c>
    </row>
    <row r="1752" spans="1:53" ht="12" customHeight="1" x14ac:dyDescent="0.2">
      <c r="A1752" s="10" t="s">
        <v>1825</v>
      </c>
      <c r="B1752" s="39">
        <v>210103</v>
      </c>
      <c r="C1752" s="42" t="s">
        <v>4069</v>
      </c>
      <c r="D1752" s="10" t="s">
        <v>614</v>
      </c>
      <c r="E1752" s="10" t="s">
        <v>1821</v>
      </c>
      <c r="F1752" s="32" t="s">
        <v>312</v>
      </c>
      <c r="G1752" s="32" t="s">
        <v>1318</v>
      </c>
      <c r="O1752" s="32">
        <v>5</v>
      </c>
      <c r="P1752" s="32">
        <v>1</v>
      </c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N1752" s="12"/>
      <c r="AU1752" s="12" t="s">
        <v>1951</v>
      </c>
    </row>
    <row r="1753" spans="1:53" ht="12" customHeight="1" x14ac:dyDescent="0.2">
      <c r="A1753" s="10" t="s">
        <v>1826</v>
      </c>
      <c r="B1753" s="39">
        <v>210104</v>
      </c>
      <c r="C1753" s="42" t="s">
        <v>4070</v>
      </c>
      <c r="D1753" s="10" t="s">
        <v>614</v>
      </c>
      <c r="E1753" s="10" t="s">
        <v>616</v>
      </c>
      <c r="F1753" s="32" t="s">
        <v>312</v>
      </c>
      <c r="G1753" s="32" t="s">
        <v>1318</v>
      </c>
      <c r="O1753" s="32">
        <v>6</v>
      </c>
      <c r="P1753" s="32">
        <v>1</v>
      </c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N1753" s="12"/>
      <c r="AU1753" s="12" t="s">
        <v>1951</v>
      </c>
    </row>
    <row r="1754" spans="1:53" ht="12" customHeight="1" x14ac:dyDescent="0.2">
      <c r="A1754" s="10" t="s">
        <v>1827</v>
      </c>
      <c r="B1754" s="39">
        <v>210105</v>
      </c>
      <c r="C1754" s="42" t="s">
        <v>4071</v>
      </c>
      <c r="D1754" s="10" t="s">
        <v>614</v>
      </c>
      <c r="E1754" s="10" t="s">
        <v>1824</v>
      </c>
      <c r="F1754" s="32" t="s">
        <v>312</v>
      </c>
      <c r="G1754" s="32" t="s">
        <v>1828</v>
      </c>
      <c r="O1754" s="32">
        <v>7</v>
      </c>
      <c r="P1754" s="32">
        <v>1</v>
      </c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N1754" s="12"/>
      <c r="AU1754" s="12" t="s">
        <v>1951</v>
      </c>
    </row>
    <row r="1755" spans="1:53" ht="12" customHeight="1" x14ac:dyDescent="0.2">
      <c r="A1755" s="10" t="s">
        <v>2233</v>
      </c>
      <c r="B1755" s="39">
        <v>821008</v>
      </c>
      <c r="C1755" s="42" t="s">
        <v>4072</v>
      </c>
      <c r="D1755" s="10" t="s">
        <v>614</v>
      </c>
      <c r="E1755" s="10" t="s">
        <v>1824</v>
      </c>
      <c r="F1755" s="32" t="s">
        <v>312</v>
      </c>
      <c r="G1755" s="32" t="s">
        <v>1828</v>
      </c>
      <c r="O1755" s="32">
        <v>8</v>
      </c>
      <c r="P1755" s="32">
        <v>1</v>
      </c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N1755" s="12"/>
      <c r="AU1755" s="12" t="s">
        <v>1951</v>
      </c>
    </row>
    <row r="1756" spans="1:53" ht="12" customHeight="1" x14ac:dyDescent="0.2">
      <c r="A1756" s="12" t="s">
        <v>619</v>
      </c>
      <c r="B1756" s="39">
        <v>150001</v>
      </c>
      <c r="C1756" s="42" t="s">
        <v>4073</v>
      </c>
      <c r="D1756" s="86" t="s">
        <v>620</v>
      </c>
      <c r="E1756" s="86" t="s">
        <v>620</v>
      </c>
      <c r="F1756" s="32" t="s">
        <v>312</v>
      </c>
      <c r="G1756" s="32" t="s">
        <v>1318</v>
      </c>
      <c r="O1756" s="32">
        <v>10</v>
      </c>
      <c r="P1756" s="32">
        <v>1</v>
      </c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E1756" s="12"/>
      <c r="AI1756" s="12" t="s">
        <v>724</v>
      </c>
      <c r="AN1756" s="12"/>
      <c r="AU1756" s="12" t="s">
        <v>1946</v>
      </c>
      <c r="AW1756" s="39">
        <v>90</v>
      </c>
      <c r="AY1756" s="12"/>
      <c r="AZ1756" s="12"/>
      <c r="BA1756" s="12"/>
    </row>
    <row r="1757" spans="1:53" ht="12" customHeight="1" x14ac:dyDescent="0.2">
      <c r="A1757" s="12" t="s">
        <v>621</v>
      </c>
      <c r="B1757" s="39">
        <v>150002</v>
      </c>
      <c r="C1757" s="42" t="s">
        <v>4074</v>
      </c>
      <c r="D1757" s="86" t="s">
        <v>620</v>
      </c>
      <c r="E1757" s="86" t="s">
        <v>620</v>
      </c>
      <c r="F1757" s="32" t="s">
        <v>312</v>
      </c>
      <c r="G1757" s="32" t="s">
        <v>1318</v>
      </c>
      <c r="O1757" s="32">
        <v>10</v>
      </c>
      <c r="P1757" s="32">
        <v>1</v>
      </c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E1757" s="12"/>
      <c r="AI1757" s="12" t="s">
        <v>725</v>
      </c>
      <c r="AN1757" s="12"/>
      <c r="AU1757" s="12" t="s">
        <v>1946</v>
      </c>
      <c r="AW1757" s="39">
        <v>90</v>
      </c>
      <c r="AY1757" s="12"/>
      <c r="AZ1757" s="12"/>
      <c r="BA1757" s="12"/>
    </row>
    <row r="1758" spans="1:53" ht="12" customHeight="1" x14ac:dyDescent="0.2">
      <c r="A1758" s="12" t="s">
        <v>622</v>
      </c>
      <c r="B1758" s="39">
        <v>150003</v>
      </c>
      <c r="C1758" s="42" t="s">
        <v>4075</v>
      </c>
      <c r="D1758" s="86" t="s">
        <v>620</v>
      </c>
      <c r="E1758" s="86" t="s">
        <v>620</v>
      </c>
      <c r="F1758" s="32" t="s">
        <v>312</v>
      </c>
      <c r="G1758" s="32" t="s">
        <v>1318</v>
      </c>
      <c r="O1758" s="32">
        <v>10</v>
      </c>
      <c r="P1758" s="32">
        <v>1</v>
      </c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E1758" s="12"/>
      <c r="AI1758" s="12" t="s">
        <v>726</v>
      </c>
      <c r="AN1758" s="12"/>
      <c r="AU1758" s="12" t="s">
        <v>1946</v>
      </c>
      <c r="AW1758" s="39">
        <v>90</v>
      </c>
      <c r="AY1758" s="12"/>
      <c r="AZ1758" s="12"/>
      <c r="BA1758" s="12"/>
    </row>
    <row r="1759" spans="1:53" ht="12" customHeight="1" x14ac:dyDescent="0.2">
      <c r="A1759" s="12" t="s">
        <v>623</v>
      </c>
      <c r="B1759" s="39">
        <v>150004</v>
      </c>
      <c r="C1759" s="42" t="s">
        <v>4076</v>
      </c>
      <c r="D1759" s="86" t="s">
        <v>620</v>
      </c>
      <c r="E1759" s="86" t="s">
        <v>620</v>
      </c>
      <c r="F1759" s="32" t="s">
        <v>312</v>
      </c>
      <c r="G1759" s="32" t="s">
        <v>1318</v>
      </c>
      <c r="O1759" s="32">
        <v>10</v>
      </c>
      <c r="P1759" s="32">
        <v>1</v>
      </c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E1759" s="12"/>
      <c r="AI1759" s="12" t="s">
        <v>727</v>
      </c>
      <c r="AN1759" s="12"/>
      <c r="AU1759" s="12" t="s">
        <v>1946</v>
      </c>
      <c r="AW1759" s="39">
        <v>90</v>
      </c>
      <c r="AY1759" s="12"/>
      <c r="AZ1759" s="12"/>
      <c r="BA1759" s="12"/>
    </row>
    <row r="1760" spans="1:53" ht="12" customHeight="1" x14ac:dyDescent="0.2">
      <c r="A1760" s="12" t="s">
        <v>624</v>
      </c>
      <c r="B1760" s="39">
        <v>150005</v>
      </c>
      <c r="C1760" s="42" t="s">
        <v>4077</v>
      </c>
      <c r="D1760" s="86" t="s">
        <v>620</v>
      </c>
      <c r="E1760" s="86" t="s">
        <v>620</v>
      </c>
      <c r="F1760" s="32" t="s">
        <v>312</v>
      </c>
      <c r="G1760" s="32" t="s">
        <v>1318</v>
      </c>
      <c r="O1760" s="32">
        <v>10</v>
      </c>
      <c r="P1760" s="32">
        <v>1</v>
      </c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E1760" s="12"/>
      <c r="AI1760" s="12" t="s">
        <v>728</v>
      </c>
      <c r="AN1760" s="12"/>
      <c r="AU1760" s="12" t="s">
        <v>1946</v>
      </c>
      <c r="AW1760" s="39">
        <v>90</v>
      </c>
      <c r="AY1760" s="12"/>
      <c r="AZ1760" s="12"/>
      <c r="BA1760" s="12"/>
    </row>
    <row r="1761" spans="1:53" ht="12" customHeight="1" x14ac:dyDescent="0.2">
      <c r="A1761" s="12" t="s">
        <v>625</v>
      </c>
      <c r="B1761" s="39">
        <v>150006</v>
      </c>
      <c r="C1761" s="42" t="s">
        <v>4078</v>
      </c>
      <c r="D1761" s="86" t="s">
        <v>620</v>
      </c>
      <c r="E1761" s="86" t="s">
        <v>620</v>
      </c>
      <c r="F1761" s="32" t="s">
        <v>312</v>
      </c>
      <c r="G1761" s="32" t="s">
        <v>1318</v>
      </c>
      <c r="O1761" s="32">
        <v>10</v>
      </c>
      <c r="P1761" s="32">
        <v>1</v>
      </c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E1761" s="12"/>
      <c r="AI1761" s="12" t="s">
        <v>729</v>
      </c>
      <c r="AN1761" s="12"/>
      <c r="AU1761" s="12" t="s">
        <v>1946</v>
      </c>
      <c r="AW1761" s="39">
        <v>90</v>
      </c>
      <c r="AY1761" s="12"/>
      <c r="AZ1761" s="12"/>
      <c r="BA1761" s="12"/>
    </row>
    <row r="1762" spans="1:53" ht="12" customHeight="1" x14ac:dyDescent="0.2">
      <c r="A1762" s="12" t="s">
        <v>626</v>
      </c>
      <c r="B1762" s="39">
        <v>150007</v>
      </c>
      <c r="C1762" s="42" t="s">
        <v>4079</v>
      </c>
      <c r="D1762" s="86" t="s">
        <v>620</v>
      </c>
      <c r="E1762" s="86" t="s">
        <v>620</v>
      </c>
      <c r="F1762" s="32" t="s">
        <v>312</v>
      </c>
      <c r="G1762" s="32" t="s">
        <v>1318</v>
      </c>
      <c r="O1762" s="32">
        <v>10</v>
      </c>
      <c r="P1762" s="32">
        <v>1</v>
      </c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E1762" s="12"/>
      <c r="AI1762" s="12" t="s">
        <v>730</v>
      </c>
      <c r="AN1762" s="12"/>
      <c r="AU1762" s="12" t="s">
        <v>1946</v>
      </c>
      <c r="AW1762" s="39">
        <v>90</v>
      </c>
      <c r="AY1762" s="12"/>
      <c r="AZ1762" s="12"/>
      <c r="BA1762" s="12"/>
    </row>
    <row r="1763" spans="1:53" ht="12" customHeight="1" x14ac:dyDescent="0.2">
      <c r="A1763" s="12" t="s">
        <v>627</v>
      </c>
      <c r="B1763" s="39">
        <v>150008</v>
      </c>
      <c r="C1763" s="42" t="s">
        <v>4080</v>
      </c>
      <c r="D1763" s="86" t="s">
        <v>620</v>
      </c>
      <c r="E1763" s="86" t="s">
        <v>620</v>
      </c>
      <c r="F1763" s="32" t="s">
        <v>312</v>
      </c>
      <c r="G1763" s="32" t="s">
        <v>1318</v>
      </c>
      <c r="O1763" s="32">
        <v>10</v>
      </c>
      <c r="P1763" s="32">
        <v>1</v>
      </c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E1763" s="12"/>
      <c r="AI1763" s="12" t="s">
        <v>731</v>
      </c>
      <c r="AN1763" s="12"/>
      <c r="AU1763" s="12" t="s">
        <v>1946</v>
      </c>
      <c r="AW1763" s="39">
        <v>90</v>
      </c>
      <c r="AY1763" s="12"/>
      <c r="AZ1763" s="12"/>
      <c r="BA1763" s="12"/>
    </row>
    <row r="1764" spans="1:53" ht="12" customHeight="1" x14ac:dyDescent="0.2">
      <c r="A1764" s="12" t="s">
        <v>628</v>
      </c>
      <c r="B1764" s="39">
        <v>150009</v>
      </c>
      <c r="C1764" s="42" t="s">
        <v>4081</v>
      </c>
      <c r="D1764" s="86" t="s">
        <v>620</v>
      </c>
      <c r="E1764" s="86" t="s">
        <v>629</v>
      </c>
      <c r="F1764" s="32" t="s">
        <v>312</v>
      </c>
      <c r="G1764" s="32" t="s">
        <v>1318</v>
      </c>
      <c r="O1764" s="32">
        <v>10</v>
      </c>
      <c r="P1764" s="32">
        <v>1</v>
      </c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E1764" s="12"/>
      <c r="AI1764" s="12" t="s">
        <v>732</v>
      </c>
      <c r="AN1764" s="12"/>
      <c r="AU1764" s="12" t="s">
        <v>1946</v>
      </c>
      <c r="AW1764" s="39">
        <v>90</v>
      </c>
      <c r="AY1764" s="12"/>
      <c r="AZ1764" s="12"/>
      <c r="BA1764" s="12"/>
    </row>
    <row r="1765" spans="1:53" ht="16.5" customHeight="1" x14ac:dyDescent="0.2">
      <c r="A1765" s="12" t="s">
        <v>630</v>
      </c>
      <c r="B1765" s="39">
        <v>150010</v>
      </c>
      <c r="C1765" s="42" t="s">
        <v>4082</v>
      </c>
      <c r="D1765" s="86" t="s">
        <v>620</v>
      </c>
      <c r="E1765" s="86" t="s">
        <v>629</v>
      </c>
      <c r="F1765" s="32" t="s">
        <v>312</v>
      </c>
      <c r="G1765" s="32" t="s">
        <v>1318</v>
      </c>
      <c r="J1765" s="1"/>
      <c r="K1765" s="1"/>
      <c r="L1765" s="1"/>
      <c r="M1765" s="1"/>
      <c r="O1765" s="32">
        <v>10</v>
      </c>
      <c r="P1765" s="32">
        <v>1</v>
      </c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E1765" s="12"/>
      <c r="AG1765" s="1"/>
      <c r="AH1765" s="1"/>
      <c r="AI1765" s="12" t="s">
        <v>733</v>
      </c>
      <c r="AN1765" s="12"/>
      <c r="AU1765" s="12" t="s">
        <v>1946</v>
      </c>
      <c r="AW1765" s="39">
        <v>90</v>
      </c>
      <c r="AY1765" s="12"/>
      <c r="AZ1765" s="12"/>
      <c r="BA1765" s="12"/>
    </row>
    <row r="1766" spans="1:53" ht="16.5" customHeight="1" x14ac:dyDescent="0.2">
      <c r="A1766" s="12" t="s">
        <v>631</v>
      </c>
      <c r="B1766" s="39">
        <v>150011</v>
      </c>
      <c r="C1766" s="42" t="s">
        <v>4083</v>
      </c>
      <c r="D1766" s="86" t="s">
        <v>620</v>
      </c>
      <c r="E1766" s="86" t="s">
        <v>629</v>
      </c>
      <c r="F1766" s="32" t="s">
        <v>312</v>
      </c>
      <c r="G1766" s="32" t="s">
        <v>1318</v>
      </c>
      <c r="J1766" s="1"/>
      <c r="K1766" s="1"/>
      <c r="L1766" s="1"/>
      <c r="M1766" s="1"/>
      <c r="O1766" s="32">
        <v>10</v>
      </c>
      <c r="P1766" s="32">
        <v>1</v>
      </c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E1766" s="12"/>
      <c r="AG1766" s="1"/>
      <c r="AH1766" s="1"/>
      <c r="AI1766" s="12" t="s">
        <v>734</v>
      </c>
      <c r="AN1766" s="12"/>
      <c r="AU1766" s="12" t="s">
        <v>1946</v>
      </c>
      <c r="AW1766" s="39">
        <v>90</v>
      </c>
      <c r="AY1766" s="12"/>
      <c r="AZ1766" s="12"/>
      <c r="BA1766" s="12"/>
    </row>
    <row r="1767" spans="1:53" ht="16.5" customHeight="1" x14ac:dyDescent="0.2">
      <c r="A1767" s="12" t="s">
        <v>632</v>
      </c>
      <c r="B1767" s="39">
        <v>150012</v>
      </c>
      <c r="C1767" s="42" t="s">
        <v>4084</v>
      </c>
      <c r="D1767" s="86" t="s">
        <v>620</v>
      </c>
      <c r="E1767" s="86" t="s">
        <v>629</v>
      </c>
      <c r="F1767" s="32" t="s">
        <v>312</v>
      </c>
      <c r="G1767" s="32" t="s">
        <v>1318</v>
      </c>
      <c r="J1767" s="1"/>
      <c r="K1767" s="1"/>
      <c r="L1767" s="1"/>
      <c r="M1767" s="1"/>
      <c r="O1767" s="32">
        <v>10</v>
      </c>
      <c r="P1767" s="32">
        <v>1</v>
      </c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E1767" s="12"/>
      <c r="AG1767" s="1"/>
      <c r="AH1767" s="1"/>
      <c r="AI1767" s="12" t="s">
        <v>735</v>
      </c>
      <c r="AN1767" s="12"/>
      <c r="AU1767" s="12" t="s">
        <v>1946</v>
      </c>
      <c r="AW1767" s="39">
        <v>90</v>
      </c>
      <c r="AY1767" s="12"/>
      <c r="AZ1767" s="12"/>
      <c r="BA1767" s="12"/>
    </row>
    <row r="1768" spans="1:53" ht="16.5" customHeight="1" x14ac:dyDescent="0.2">
      <c r="A1768" s="12" t="s">
        <v>633</v>
      </c>
      <c r="B1768" s="39">
        <v>150013</v>
      </c>
      <c r="C1768" s="42" t="s">
        <v>4085</v>
      </c>
      <c r="D1768" s="86" t="s">
        <v>620</v>
      </c>
      <c r="E1768" s="86" t="s">
        <v>629</v>
      </c>
      <c r="F1768" s="32" t="s">
        <v>312</v>
      </c>
      <c r="G1768" s="32" t="s">
        <v>1318</v>
      </c>
      <c r="J1768" s="1"/>
      <c r="K1768" s="1"/>
      <c r="L1768" s="1"/>
      <c r="M1768" s="1"/>
      <c r="O1768" s="32">
        <v>10</v>
      </c>
      <c r="P1768" s="32">
        <v>1</v>
      </c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E1768" s="12"/>
      <c r="AG1768" s="1"/>
      <c r="AH1768" s="1"/>
      <c r="AI1768" s="12" t="s">
        <v>736</v>
      </c>
      <c r="AN1768" s="12"/>
      <c r="AU1768" s="12" t="s">
        <v>1946</v>
      </c>
      <c r="AW1768" s="39">
        <v>90</v>
      </c>
      <c r="AY1768" s="12"/>
      <c r="AZ1768" s="12"/>
      <c r="BA1768" s="12"/>
    </row>
    <row r="1769" spans="1:53" ht="16.5" customHeight="1" x14ac:dyDescent="0.2">
      <c r="A1769" s="12" t="s">
        <v>634</v>
      </c>
      <c r="B1769" s="39">
        <v>150014</v>
      </c>
      <c r="C1769" s="42" t="s">
        <v>4086</v>
      </c>
      <c r="D1769" s="86" t="s">
        <v>620</v>
      </c>
      <c r="E1769" s="86" t="s">
        <v>629</v>
      </c>
      <c r="F1769" s="32" t="s">
        <v>312</v>
      </c>
      <c r="G1769" s="32" t="s">
        <v>1318</v>
      </c>
      <c r="J1769" s="1"/>
      <c r="K1769" s="1"/>
      <c r="L1769" s="1"/>
      <c r="M1769" s="1"/>
      <c r="O1769" s="32">
        <v>10</v>
      </c>
      <c r="P1769" s="32">
        <v>1</v>
      </c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E1769" s="12"/>
      <c r="AG1769" s="1"/>
      <c r="AH1769" s="1"/>
      <c r="AI1769" s="12" t="s">
        <v>737</v>
      </c>
      <c r="AN1769" s="12"/>
      <c r="AU1769" s="12" t="s">
        <v>1946</v>
      </c>
      <c r="AW1769" s="39">
        <v>90</v>
      </c>
      <c r="AY1769" s="12"/>
      <c r="AZ1769" s="12"/>
      <c r="BA1769" s="12"/>
    </row>
    <row r="1770" spans="1:53" ht="16.5" customHeight="1" x14ac:dyDescent="0.2">
      <c r="A1770" s="12" t="s">
        <v>635</v>
      </c>
      <c r="B1770" s="39">
        <v>150015</v>
      </c>
      <c r="C1770" s="42" t="s">
        <v>4087</v>
      </c>
      <c r="D1770" s="86" t="s">
        <v>620</v>
      </c>
      <c r="E1770" s="86" t="s">
        <v>629</v>
      </c>
      <c r="F1770" s="32" t="s">
        <v>312</v>
      </c>
      <c r="G1770" s="32" t="s">
        <v>1318</v>
      </c>
      <c r="J1770" s="1"/>
      <c r="K1770" s="1"/>
      <c r="L1770" s="1"/>
      <c r="M1770" s="1"/>
      <c r="O1770" s="32">
        <v>10</v>
      </c>
      <c r="P1770" s="32">
        <v>1</v>
      </c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E1770" s="12"/>
      <c r="AG1770" s="1"/>
      <c r="AH1770" s="1"/>
      <c r="AI1770" s="12" t="s">
        <v>738</v>
      </c>
      <c r="AN1770" s="12"/>
      <c r="AU1770" s="12" t="s">
        <v>1946</v>
      </c>
      <c r="AW1770" s="39">
        <v>90</v>
      </c>
      <c r="AY1770" s="12"/>
      <c r="AZ1770" s="12"/>
      <c r="BA1770" s="12"/>
    </row>
    <row r="1771" spans="1:53" ht="16.5" customHeight="1" x14ac:dyDescent="0.2">
      <c r="A1771" s="12" t="s">
        <v>636</v>
      </c>
      <c r="B1771" s="39">
        <v>150016</v>
      </c>
      <c r="C1771" s="42" t="s">
        <v>4088</v>
      </c>
      <c r="D1771" s="86" t="s">
        <v>620</v>
      </c>
      <c r="E1771" s="86" t="s">
        <v>629</v>
      </c>
      <c r="F1771" s="32" t="s">
        <v>312</v>
      </c>
      <c r="G1771" s="32" t="s">
        <v>1318</v>
      </c>
      <c r="J1771" s="1"/>
      <c r="K1771" s="1"/>
      <c r="L1771" s="1"/>
      <c r="M1771" s="1"/>
      <c r="O1771" s="32">
        <v>10</v>
      </c>
      <c r="P1771" s="32">
        <v>1</v>
      </c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E1771" s="12"/>
      <c r="AG1771" s="1"/>
      <c r="AH1771" s="1"/>
      <c r="AI1771" s="12" t="s">
        <v>739</v>
      </c>
      <c r="AN1771" s="12"/>
      <c r="AU1771" s="12" t="s">
        <v>1946</v>
      </c>
      <c r="AW1771" s="39">
        <v>90</v>
      </c>
      <c r="AY1771" s="12"/>
      <c r="AZ1771" s="12"/>
      <c r="BA1771" s="12"/>
    </row>
    <row r="1772" spans="1:53" ht="16.5" customHeight="1" x14ac:dyDescent="0.2">
      <c r="A1772" s="12" t="s">
        <v>637</v>
      </c>
      <c r="B1772" s="39">
        <v>150017</v>
      </c>
      <c r="C1772" s="42" t="s">
        <v>4089</v>
      </c>
      <c r="D1772" s="86" t="s">
        <v>620</v>
      </c>
      <c r="E1772" s="86" t="s">
        <v>629</v>
      </c>
      <c r="F1772" s="32" t="s">
        <v>312</v>
      </c>
      <c r="G1772" s="32" t="s">
        <v>1318</v>
      </c>
      <c r="J1772" s="1"/>
      <c r="K1772" s="1"/>
      <c r="L1772" s="1"/>
      <c r="M1772" s="1"/>
      <c r="O1772" s="32">
        <v>10</v>
      </c>
      <c r="P1772" s="32">
        <v>1</v>
      </c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E1772" s="12"/>
      <c r="AG1772" s="1"/>
      <c r="AH1772" s="1"/>
      <c r="AI1772" s="12" t="s">
        <v>740</v>
      </c>
      <c r="AN1772" s="12"/>
      <c r="AU1772" s="12" t="s">
        <v>1946</v>
      </c>
      <c r="AW1772" s="39">
        <v>90</v>
      </c>
      <c r="AY1772" s="12"/>
      <c r="AZ1772" s="12"/>
      <c r="BA1772" s="12"/>
    </row>
    <row r="1773" spans="1:53" ht="16.5" customHeight="1" x14ac:dyDescent="0.2">
      <c r="A1773" s="12" t="s">
        <v>638</v>
      </c>
      <c r="B1773" s="39">
        <v>150018</v>
      </c>
      <c r="C1773" s="42" t="s">
        <v>4090</v>
      </c>
      <c r="D1773" s="86" t="s">
        <v>620</v>
      </c>
      <c r="E1773" s="86" t="s">
        <v>629</v>
      </c>
      <c r="F1773" s="32" t="s">
        <v>312</v>
      </c>
      <c r="G1773" s="32" t="s">
        <v>1318</v>
      </c>
      <c r="J1773" s="1"/>
      <c r="K1773" s="1"/>
      <c r="L1773" s="1"/>
      <c r="M1773" s="1"/>
      <c r="O1773" s="32">
        <v>10</v>
      </c>
      <c r="P1773" s="32">
        <v>1</v>
      </c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E1773" s="12"/>
      <c r="AG1773" s="1"/>
      <c r="AH1773" s="1"/>
      <c r="AI1773" s="12" t="s">
        <v>741</v>
      </c>
      <c r="AN1773" s="12"/>
      <c r="AU1773" s="12" t="s">
        <v>1946</v>
      </c>
      <c r="AW1773" s="39">
        <v>90</v>
      </c>
      <c r="AY1773" s="12"/>
      <c r="AZ1773" s="12"/>
      <c r="BA1773" s="12"/>
    </row>
    <row r="1774" spans="1:53" s="1" customFormat="1" ht="12" x14ac:dyDescent="0.2">
      <c r="A1774" s="12" t="s">
        <v>854</v>
      </c>
      <c r="B1774" s="39">
        <v>150019</v>
      </c>
      <c r="C1774" s="42" t="s">
        <v>4091</v>
      </c>
      <c r="D1774" s="86" t="s">
        <v>620</v>
      </c>
      <c r="E1774" s="86" t="s">
        <v>855</v>
      </c>
      <c r="F1774" s="32" t="s">
        <v>312</v>
      </c>
      <c r="G1774" s="32" t="s">
        <v>1318</v>
      </c>
      <c r="H1774" s="32"/>
      <c r="I1774" s="32"/>
      <c r="N1774" s="8"/>
      <c r="O1774" s="32">
        <v>10</v>
      </c>
      <c r="P1774" s="32">
        <v>1</v>
      </c>
      <c r="AC1774" s="8"/>
      <c r="AD1774" s="12"/>
      <c r="AE1774" s="12"/>
      <c r="AF1774" s="12"/>
      <c r="AI1774" s="12" t="s">
        <v>856</v>
      </c>
      <c r="AQ1774" s="85"/>
      <c r="AT1774" s="85"/>
      <c r="AU1774" s="12" t="s">
        <v>1946</v>
      </c>
      <c r="AW1774" s="90">
        <v>90</v>
      </c>
      <c r="AX1774" s="23"/>
      <c r="AY1774" s="23"/>
      <c r="AZ1774" s="23"/>
      <c r="BA1774" s="23"/>
    </row>
    <row r="1775" spans="1:53" s="1" customFormat="1" ht="12" x14ac:dyDescent="0.2">
      <c r="A1775" s="12" t="s">
        <v>857</v>
      </c>
      <c r="B1775" s="39">
        <v>150020</v>
      </c>
      <c r="C1775" s="42" t="s">
        <v>4092</v>
      </c>
      <c r="D1775" s="86" t="s">
        <v>620</v>
      </c>
      <c r="E1775" s="86" t="s">
        <v>855</v>
      </c>
      <c r="F1775" s="32" t="s">
        <v>312</v>
      </c>
      <c r="G1775" s="32" t="s">
        <v>1318</v>
      </c>
      <c r="H1775" s="32"/>
      <c r="N1775" s="8"/>
      <c r="O1775" s="32">
        <v>10</v>
      </c>
      <c r="P1775" s="32">
        <v>1</v>
      </c>
      <c r="AC1775" s="8"/>
      <c r="AI1775" s="12" t="s">
        <v>858</v>
      </c>
      <c r="AQ1775" s="85"/>
      <c r="AT1775" s="85"/>
      <c r="AU1775" s="12" t="s">
        <v>1946</v>
      </c>
      <c r="AW1775" s="90">
        <v>90</v>
      </c>
      <c r="AX1775" s="23"/>
      <c r="AY1775" s="23"/>
      <c r="AZ1775" s="23"/>
      <c r="BA1775" s="23"/>
    </row>
    <row r="1776" spans="1:53" s="1" customFormat="1" ht="12" x14ac:dyDescent="0.2">
      <c r="A1776" s="12" t="s">
        <v>859</v>
      </c>
      <c r="B1776" s="39">
        <v>150021</v>
      </c>
      <c r="C1776" s="42" t="s">
        <v>4093</v>
      </c>
      <c r="D1776" s="86" t="s">
        <v>620</v>
      </c>
      <c r="E1776" s="86" t="s">
        <v>855</v>
      </c>
      <c r="F1776" s="32" t="s">
        <v>312</v>
      </c>
      <c r="G1776" s="32" t="s">
        <v>1318</v>
      </c>
      <c r="H1776" s="32"/>
      <c r="N1776" s="8"/>
      <c r="O1776" s="32">
        <v>10</v>
      </c>
      <c r="P1776" s="32">
        <v>1</v>
      </c>
      <c r="AC1776" s="8"/>
      <c r="AI1776" s="12" t="s">
        <v>860</v>
      </c>
      <c r="AQ1776" s="85"/>
      <c r="AT1776" s="85"/>
      <c r="AU1776" s="12" t="s">
        <v>1946</v>
      </c>
      <c r="AW1776" s="90">
        <v>90</v>
      </c>
      <c r="AX1776" s="23"/>
      <c r="AY1776" s="23"/>
      <c r="AZ1776" s="23"/>
      <c r="BA1776" s="23"/>
    </row>
    <row r="1777" spans="1:53" s="1" customFormat="1" ht="12" x14ac:dyDescent="0.2">
      <c r="A1777" s="12" t="s">
        <v>861</v>
      </c>
      <c r="B1777" s="39">
        <v>150022</v>
      </c>
      <c r="C1777" s="42" t="s">
        <v>4094</v>
      </c>
      <c r="D1777" s="86" t="s">
        <v>620</v>
      </c>
      <c r="E1777" s="86" t="s">
        <v>855</v>
      </c>
      <c r="F1777" s="32" t="s">
        <v>312</v>
      </c>
      <c r="G1777" s="32" t="s">
        <v>1318</v>
      </c>
      <c r="H1777" s="32"/>
      <c r="N1777" s="8"/>
      <c r="O1777" s="32">
        <v>10</v>
      </c>
      <c r="P1777" s="32">
        <v>1</v>
      </c>
      <c r="AC1777" s="8"/>
      <c r="AI1777" s="12" t="s">
        <v>862</v>
      </c>
      <c r="AQ1777" s="85"/>
      <c r="AT1777" s="85"/>
      <c r="AU1777" s="12" t="s">
        <v>1946</v>
      </c>
      <c r="AW1777" s="90">
        <v>90</v>
      </c>
      <c r="AX1777" s="23"/>
      <c r="AY1777" s="23"/>
      <c r="AZ1777" s="23"/>
      <c r="BA1777" s="23"/>
    </row>
    <row r="1778" spans="1:53" s="1" customFormat="1" ht="12" x14ac:dyDescent="0.2">
      <c r="A1778" s="12" t="s">
        <v>1731</v>
      </c>
      <c r="B1778" s="39">
        <v>150023</v>
      </c>
      <c r="C1778" s="42" t="s">
        <v>4095</v>
      </c>
      <c r="D1778" s="86" t="s">
        <v>620</v>
      </c>
      <c r="E1778" s="86" t="s">
        <v>855</v>
      </c>
      <c r="F1778" s="32" t="s">
        <v>312</v>
      </c>
      <c r="G1778" s="32" t="s">
        <v>1318</v>
      </c>
      <c r="H1778" s="32"/>
      <c r="N1778" s="8"/>
      <c r="O1778" s="32">
        <v>10</v>
      </c>
      <c r="P1778" s="32">
        <v>1</v>
      </c>
      <c r="AC1778" s="8"/>
      <c r="AI1778" s="12" t="s">
        <v>1734</v>
      </c>
      <c r="AQ1778" s="85"/>
      <c r="AT1778" s="85"/>
      <c r="AU1778" s="12" t="s">
        <v>1946</v>
      </c>
      <c r="AW1778" s="90">
        <v>90</v>
      </c>
      <c r="AX1778" s="23"/>
      <c r="AY1778" s="23"/>
      <c r="AZ1778" s="23"/>
      <c r="BA1778" s="23"/>
    </row>
    <row r="1779" spans="1:53" s="1" customFormat="1" ht="12" x14ac:dyDescent="0.2">
      <c r="A1779" s="12" t="s">
        <v>1732</v>
      </c>
      <c r="B1779" s="39">
        <v>150024</v>
      </c>
      <c r="C1779" s="42" t="s">
        <v>4096</v>
      </c>
      <c r="D1779" s="86" t="s">
        <v>620</v>
      </c>
      <c r="E1779" s="86" t="s">
        <v>855</v>
      </c>
      <c r="F1779" s="32" t="s">
        <v>312</v>
      </c>
      <c r="G1779" s="32" t="s">
        <v>1318</v>
      </c>
      <c r="H1779" s="32"/>
      <c r="N1779" s="8"/>
      <c r="O1779" s="32">
        <v>10</v>
      </c>
      <c r="P1779" s="32">
        <v>1</v>
      </c>
      <c r="AC1779" s="8"/>
      <c r="AI1779" s="12" t="s">
        <v>1735</v>
      </c>
      <c r="AQ1779" s="85"/>
      <c r="AT1779" s="85"/>
      <c r="AU1779" s="12" t="s">
        <v>1946</v>
      </c>
      <c r="AW1779" s="90">
        <v>90</v>
      </c>
      <c r="AX1779" s="23"/>
      <c r="AY1779" s="23"/>
      <c r="AZ1779" s="23"/>
      <c r="BA1779" s="23"/>
    </row>
    <row r="1780" spans="1:53" s="1" customFormat="1" ht="12" x14ac:dyDescent="0.2">
      <c r="A1780" s="12" t="s">
        <v>1733</v>
      </c>
      <c r="B1780" s="39">
        <v>150025</v>
      </c>
      <c r="C1780" s="42" t="s">
        <v>4097</v>
      </c>
      <c r="D1780" s="86" t="s">
        <v>620</v>
      </c>
      <c r="E1780" s="86" t="s">
        <v>855</v>
      </c>
      <c r="F1780" s="32" t="s">
        <v>312</v>
      </c>
      <c r="G1780" s="32" t="s">
        <v>1318</v>
      </c>
      <c r="H1780" s="32"/>
      <c r="N1780" s="8"/>
      <c r="O1780" s="32">
        <v>10</v>
      </c>
      <c r="P1780" s="32">
        <v>1</v>
      </c>
      <c r="AC1780" s="8"/>
      <c r="AI1780" s="12" t="s">
        <v>1736</v>
      </c>
      <c r="AQ1780" s="85"/>
      <c r="AT1780" s="85"/>
      <c r="AU1780" s="12" t="s">
        <v>1946</v>
      </c>
      <c r="AW1780" s="90">
        <v>90</v>
      </c>
      <c r="AX1780" s="23"/>
      <c r="AY1780" s="23"/>
      <c r="AZ1780" s="23"/>
      <c r="BA1780" s="23"/>
    </row>
    <row r="1781" spans="1:53" s="1" customFormat="1" ht="12" x14ac:dyDescent="0.2">
      <c r="A1781" s="12" t="s">
        <v>1737</v>
      </c>
      <c r="B1781" s="39">
        <v>150026</v>
      </c>
      <c r="C1781" s="42" t="s">
        <v>4098</v>
      </c>
      <c r="D1781" s="86" t="s">
        <v>620</v>
      </c>
      <c r="E1781" s="86" t="s">
        <v>855</v>
      </c>
      <c r="F1781" s="32" t="s">
        <v>312</v>
      </c>
      <c r="G1781" s="32" t="s">
        <v>1318</v>
      </c>
      <c r="H1781" s="32"/>
      <c r="N1781" s="8"/>
      <c r="O1781" s="32">
        <v>10</v>
      </c>
      <c r="P1781" s="32">
        <v>1</v>
      </c>
      <c r="AC1781" s="8"/>
      <c r="AI1781" s="12" t="s">
        <v>1738</v>
      </c>
      <c r="AQ1781" s="85"/>
      <c r="AT1781" s="85"/>
      <c r="AU1781" s="12" t="s">
        <v>1946</v>
      </c>
      <c r="AW1781" s="90">
        <v>90</v>
      </c>
      <c r="AX1781" s="23"/>
      <c r="AY1781" s="23"/>
      <c r="AZ1781" s="23"/>
      <c r="BA1781" s="23"/>
    </row>
    <row r="1782" spans="1:53" s="1" customFormat="1" ht="12" x14ac:dyDescent="0.2">
      <c r="A1782" s="12" t="s">
        <v>1757</v>
      </c>
      <c r="B1782" s="39">
        <v>150027</v>
      </c>
      <c r="C1782" s="42" t="s">
        <v>4099</v>
      </c>
      <c r="D1782" s="86" t="s">
        <v>620</v>
      </c>
      <c r="E1782" s="86" t="s">
        <v>855</v>
      </c>
      <c r="F1782" s="32" t="s">
        <v>312</v>
      </c>
      <c r="G1782" s="32" t="s">
        <v>1318</v>
      </c>
      <c r="H1782" s="32"/>
      <c r="N1782" s="8"/>
      <c r="O1782" s="32">
        <v>10</v>
      </c>
      <c r="P1782" s="32">
        <v>1</v>
      </c>
      <c r="AC1782" s="8"/>
      <c r="AI1782" s="12" t="s">
        <v>1760</v>
      </c>
      <c r="AQ1782" s="85"/>
      <c r="AT1782" s="85"/>
      <c r="AU1782" s="12" t="s">
        <v>1946</v>
      </c>
      <c r="AW1782" s="90">
        <v>90</v>
      </c>
      <c r="AX1782" s="23"/>
      <c r="AY1782" s="23"/>
      <c r="AZ1782" s="23"/>
      <c r="BA1782" s="23"/>
    </row>
    <row r="1783" spans="1:53" s="1" customFormat="1" ht="12" x14ac:dyDescent="0.2">
      <c r="A1783" s="12" t="s">
        <v>1758</v>
      </c>
      <c r="B1783" s="39">
        <v>150028</v>
      </c>
      <c r="C1783" s="42" t="s">
        <v>4100</v>
      </c>
      <c r="D1783" s="86" t="s">
        <v>620</v>
      </c>
      <c r="E1783" s="86" t="s">
        <v>855</v>
      </c>
      <c r="F1783" s="32" t="s">
        <v>312</v>
      </c>
      <c r="G1783" s="32" t="s">
        <v>1318</v>
      </c>
      <c r="H1783" s="32"/>
      <c r="N1783" s="8"/>
      <c r="O1783" s="32">
        <v>10</v>
      </c>
      <c r="P1783" s="32">
        <v>1</v>
      </c>
      <c r="AC1783" s="8"/>
      <c r="AI1783" s="12" t="s">
        <v>1761</v>
      </c>
      <c r="AQ1783" s="85"/>
      <c r="AT1783" s="85"/>
      <c r="AU1783" s="12" t="s">
        <v>1946</v>
      </c>
      <c r="AW1783" s="90">
        <v>90</v>
      </c>
      <c r="AX1783" s="23"/>
      <c r="AY1783" s="23"/>
      <c r="AZ1783" s="23"/>
      <c r="BA1783" s="23"/>
    </row>
    <row r="1784" spans="1:53" s="1" customFormat="1" ht="12" x14ac:dyDescent="0.2">
      <c r="A1784" s="12" t="s">
        <v>1759</v>
      </c>
      <c r="B1784" s="39">
        <v>150029</v>
      </c>
      <c r="C1784" s="42" t="s">
        <v>4101</v>
      </c>
      <c r="D1784" s="86" t="s">
        <v>620</v>
      </c>
      <c r="E1784" s="86" t="s">
        <v>855</v>
      </c>
      <c r="F1784" s="32" t="s">
        <v>312</v>
      </c>
      <c r="G1784" s="32" t="s">
        <v>1318</v>
      </c>
      <c r="H1784" s="32"/>
      <c r="N1784" s="8"/>
      <c r="O1784" s="32">
        <v>10</v>
      </c>
      <c r="P1784" s="32">
        <v>1</v>
      </c>
      <c r="AC1784" s="8"/>
      <c r="AI1784" s="12" t="s">
        <v>1762</v>
      </c>
      <c r="AQ1784" s="85"/>
      <c r="AT1784" s="85"/>
      <c r="AU1784" s="12" t="s">
        <v>1946</v>
      </c>
      <c r="AW1784" s="90">
        <v>90</v>
      </c>
      <c r="AX1784" s="23"/>
      <c r="AY1784" s="23"/>
      <c r="AZ1784" s="23"/>
      <c r="BA1784" s="23"/>
    </row>
    <row r="1785" spans="1:53" s="1" customFormat="1" ht="12" x14ac:dyDescent="0.2">
      <c r="A1785" s="12" t="s">
        <v>2222</v>
      </c>
      <c r="B1785" s="39">
        <v>150030</v>
      </c>
      <c r="C1785" s="42" t="s">
        <v>4102</v>
      </c>
      <c r="D1785" s="86" t="s">
        <v>620</v>
      </c>
      <c r="E1785" s="86" t="s">
        <v>2223</v>
      </c>
      <c r="F1785" s="32" t="s">
        <v>312</v>
      </c>
      <c r="G1785" s="32" t="s">
        <v>1318</v>
      </c>
      <c r="H1785" s="32"/>
      <c r="N1785" s="8"/>
      <c r="O1785" s="32">
        <v>10</v>
      </c>
      <c r="P1785" s="32">
        <v>1</v>
      </c>
      <c r="AC1785" s="8"/>
      <c r="AI1785" s="12">
        <v>20030</v>
      </c>
      <c r="AQ1785" s="85"/>
      <c r="AT1785" s="85"/>
      <c r="AU1785" s="12" t="s">
        <v>1946</v>
      </c>
      <c r="AW1785" s="90">
        <v>90</v>
      </c>
      <c r="AX1785" s="23"/>
      <c r="AY1785" s="23"/>
      <c r="AZ1785" s="23"/>
      <c r="BA1785" s="23"/>
    </row>
    <row r="1786" spans="1:53" s="1" customFormat="1" ht="12" x14ac:dyDescent="0.2">
      <c r="A1786" s="12" t="s">
        <v>2340</v>
      </c>
      <c r="B1786" s="39">
        <v>150031</v>
      </c>
      <c r="C1786" s="42" t="s">
        <v>4103</v>
      </c>
      <c r="D1786" s="86" t="s">
        <v>620</v>
      </c>
      <c r="E1786" s="86" t="s">
        <v>620</v>
      </c>
      <c r="F1786" s="32" t="s">
        <v>312</v>
      </c>
      <c r="G1786" s="32" t="s">
        <v>1318</v>
      </c>
      <c r="H1786" s="32"/>
      <c r="N1786" s="8"/>
      <c r="O1786" s="32">
        <v>10</v>
      </c>
      <c r="P1786" s="32">
        <v>1</v>
      </c>
      <c r="AC1786" s="8"/>
      <c r="AI1786" s="12">
        <v>20031</v>
      </c>
      <c r="AQ1786" s="85"/>
      <c r="AT1786" s="85"/>
      <c r="AU1786" s="12" t="s">
        <v>1946</v>
      </c>
      <c r="AW1786" s="90">
        <v>90</v>
      </c>
      <c r="AX1786" s="23"/>
      <c r="AY1786" s="23"/>
      <c r="AZ1786" s="23"/>
      <c r="BA1786" s="23"/>
    </row>
    <row r="1787" spans="1:53" s="1" customFormat="1" ht="12" x14ac:dyDescent="0.2">
      <c r="A1787" s="12" t="s">
        <v>1799</v>
      </c>
      <c r="B1787" s="39">
        <v>150032</v>
      </c>
      <c r="C1787" s="42" t="s">
        <v>4104</v>
      </c>
      <c r="D1787" s="86" t="s">
        <v>620</v>
      </c>
      <c r="E1787" s="86" t="s">
        <v>855</v>
      </c>
      <c r="F1787" s="32" t="s">
        <v>312</v>
      </c>
      <c r="G1787" s="32" t="s">
        <v>1318</v>
      </c>
      <c r="H1787" s="32"/>
      <c r="N1787" s="8"/>
      <c r="O1787" s="32">
        <v>10</v>
      </c>
      <c r="P1787" s="32">
        <v>1</v>
      </c>
      <c r="AC1787" s="8"/>
      <c r="AI1787" s="12" t="s">
        <v>1801</v>
      </c>
      <c r="AQ1787" s="85"/>
      <c r="AT1787" s="85"/>
      <c r="AU1787" s="12" t="s">
        <v>1946</v>
      </c>
      <c r="AW1787" s="90">
        <v>90</v>
      </c>
      <c r="AX1787" s="23"/>
      <c r="AY1787" s="23"/>
      <c r="AZ1787" s="23"/>
      <c r="BA1787" s="23"/>
    </row>
    <row r="1788" spans="1:53" s="1" customFormat="1" ht="12" x14ac:dyDescent="0.2">
      <c r="A1788" s="12" t="s">
        <v>1800</v>
      </c>
      <c r="B1788" s="39">
        <v>150033</v>
      </c>
      <c r="C1788" s="42" t="s">
        <v>4105</v>
      </c>
      <c r="D1788" s="86" t="s">
        <v>620</v>
      </c>
      <c r="E1788" s="86" t="s">
        <v>855</v>
      </c>
      <c r="F1788" s="32" t="s">
        <v>312</v>
      </c>
      <c r="G1788" s="32" t="s">
        <v>1318</v>
      </c>
      <c r="H1788" s="32"/>
      <c r="N1788" s="8"/>
      <c r="O1788" s="32">
        <v>10</v>
      </c>
      <c r="P1788" s="32">
        <v>1</v>
      </c>
      <c r="AC1788" s="8"/>
      <c r="AI1788" s="12" t="s">
        <v>1802</v>
      </c>
      <c r="AQ1788" s="85"/>
      <c r="AT1788" s="85"/>
      <c r="AU1788" s="12" t="s">
        <v>1946</v>
      </c>
      <c r="AW1788" s="90">
        <v>90</v>
      </c>
      <c r="AX1788" s="23"/>
      <c r="AY1788" s="23"/>
      <c r="AZ1788" s="23"/>
      <c r="BA1788" s="23"/>
    </row>
    <row r="1789" spans="1:53" s="1" customFormat="1" ht="12" x14ac:dyDescent="0.2">
      <c r="A1789" s="12" t="s">
        <v>2198</v>
      </c>
      <c r="B1789" s="39">
        <v>150034</v>
      </c>
      <c r="C1789" s="42" t="s">
        <v>4106</v>
      </c>
      <c r="D1789" s="86" t="s">
        <v>620</v>
      </c>
      <c r="E1789" s="86" t="s">
        <v>855</v>
      </c>
      <c r="F1789" s="32" t="s">
        <v>312</v>
      </c>
      <c r="G1789" s="32" t="s">
        <v>1318</v>
      </c>
      <c r="H1789" s="32"/>
      <c r="N1789" s="8"/>
      <c r="O1789" s="32">
        <v>10</v>
      </c>
      <c r="P1789" s="32">
        <v>1</v>
      </c>
      <c r="AC1789" s="8"/>
      <c r="AI1789" s="12" t="s">
        <v>2200</v>
      </c>
      <c r="AQ1789" s="85"/>
      <c r="AT1789" s="85"/>
      <c r="AU1789" s="12" t="s">
        <v>1946</v>
      </c>
      <c r="AW1789" s="90">
        <v>90</v>
      </c>
      <c r="AX1789" s="23"/>
      <c r="AY1789" s="23"/>
      <c r="AZ1789" s="23"/>
      <c r="BA1789" s="23"/>
    </row>
    <row r="1790" spans="1:53" s="1" customFormat="1" ht="12" x14ac:dyDescent="0.2">
      <c r="A1790" s="12" t="s">
        <v>2199</v>
      </c>
      <c r="B1790" s="39">
        <v>150035</v>
      </c>
      <c r="C1790" s="42" t="s">
        <v>4107</v>
      </c>
      <c r="D1790" s="86" t="s">
        <v>620</v>
      </c>
      <c r="E1790" s="86" t="s">
        <v>855</v>
      </c>
      <c r="F1790" s="32" t="s">
        <v>312</v>
      </c>
      <c r="G1790" s="32" t="s">
        <v>1318</v>
      </c>
      <c r="H1790" s="32"/>
      <c r="N1790" s="8"/>
      <c r="O1790" s="32">
        <v>10</v>
      </c>
      <c r="P1790" s="32">
        <v>1</v>
      </c>
      <c r="AC1790" s="8"/>
      <c r="AI1790" s="12" t="s">
        <v>2201</v>
      </c>
      <c r="AQ1790" s="85"/>
      <c r="AT1790" s="85"/>
      <c r="AU1790" s="12" t="s">
        <v>1946</v>
      </c>
      <c r="AW1790" s="90">
        <v>90</v>
      </c>
      <c r="AX1790" s="23"/>
      <c r="AY1790" s="23"/>
      <c r="AZ1790" s="23"/>
      <c r="BA1790" s="23"/>
    </row>
    <row r="1791" spans="1:53" s="1" customFormat="1" ht="12" x14ac:dyDescent="0.2">
      <c r="A1791" s="12" t="s">
        <v>2342</v>
      </c>
      <c r="B1791" s="39">
        <v>150036</v>
      </c>
      <c r="C1791" s="42" t="s">
        <v>4108</v>
      </c>
      <c r="D1791" s="86" t="s">
        <v>620</v>
      </c>
      <c r="E1791" s="86" t="s">
        <v>620</v>
      </c>
      <c r="F1791" s="32" t="s">
        <v>312</v>
      </c>
      <c r="G1791" s="32" t="s">
        <v>1318</v>
      </c>
      <c r="H1791" s="32"/>
      <c r="N1791" s="8"/>
      <c r="O1791" s="32">
        <v>10</v>
      </c>
      <c r="P1791" s="32">
        <v>1</v>
      </c>
      <c r="AC1791" s="8"/>
      <c r="AI1791" s="12">
        <v>20036</v>
      </c>
      <c r="AQ1791" s="85"/>
      <c r="AT1791" s="85"/>
      <c r="AU1791" s="12" t="s">
        <v>1946</v>
      </c>
      <c r="AW1791" s="90">
        <v>90</v>
      </c>
      <c r="AX1791" s="23"/>
      <c r="AY1791" s="23"/>
      <c r="AZ1791" s="23"/>
      <c r="BA1791" s="23"/>
    </row>
    <row r="1792" spans="1:53" s="1" customFormat="1" ht="12" x14ac:dyDescent="0.2">
      <c r="A1792" s="12" t="s">
        <v>2202</v>
      </c>
      <c r="B1792" s="39">
        <v>150037</v>
      </c>
      <c r="C1792" s="42" t="s">
        <v>4109</v>
      </c>
      <c r="D1792" s="86" t="s">
        <v>620</v>
      </c>
      <c r="E1792" s="86" t="s">
        <v>855</v>
      </c>
      <c r="F1792" s="32" t="s">
        <v>312</v>
      </c>
      <c r="G1792" s="32" t="s">
        <v>1318</v>
      </c>
      <c r="H1792" s="32"/>
      <c r="N1792" s="8"/>
      <c r="O1792" s="32">
        <v>10</v>
      </c>
      <c r="P1792" s="32">
        <v>1</v>
      </c>
      <c r="AC1792" s="8"/>
      <c r="AI1792" s="12" t="s">
        <v>2203</v>
      </c>
      <c r="AQ1792" s="85"/>
      <c r="AT1792" s="85"/>
      <c r="AU1792" s="12" t="s">
        <v>1946</v>
      </c>
      <c r="AW1792" s="90">
        <v>90</v>
      </c>
      <c r="AX1792" s="23"/>
      <c r="AY1792" s="23"/>
      <c r="AZ1792" s="23"/>
      <c r="BA1792" s="23"/>
    </row>
    <row r="1793" spans="1:53" s="1" customFormat="1" ht="12" x14ac:dyDescent="0.2">
      <c r="A1793" s="12" t="s">
        <v>2341</v>
      </c>
      <c r="B1793" s="39">
        <v>150038</v>
      </c>
      <c r="C1793" s="42" t="s">
        <v>4110</v>
      </c>
      <c r="D1793" s="86" t="s">
        <v>620</v>
      </c>
      <c r="E1793" s="86" t="s">
        <v>620</v>
      </c>
      <c r="F1793" s="32" t="s">
        <v>312</v>
      </c>
      <c r="G1793" s="32" t="s">
        <v>1318</v>
      </c>
      <c r="H1793" s="32"/>
      <c r="N1793" s="8"/>
      <c r="O1793" s="32">
        <v>10</v>
      </c>
      <c r="P1793" s="32">
        <v>1</v>
      </c>
      <c r="AC1793" s="8"/>
      <c r="AI1793" s="12">
        <v>20038</v>
      </c>
      <c r="AQ1793" s="85"/>
      <c r="AT1793" s="85"/>
      <c r="AU1793" s="12" t="s">
        <v>1946</v>
      </c>
      <c r="AW1793" s="90">
        <v>90</v>
      </c>
      <c r="AX1793" s="23"/>
      <c r="AY1793" s="23"/>
      <c r="AZ1793" s="23"/>
      <c r="BA1793" s="23"/>
    </row>
    <row r="1794" spans="1:53" s="1" customFormat="1" ht="12" x14ac:dyDescent="0.2">
      <c r="A1794" s="12" t="s">
        <v>1774</v>
      </c>
      <c r="B1794" s="39">
        <v>150039</v>
      </c>
      <c r="C1794" s="42" t="s">
        <v>4111</v>
      </c>
      <c r="D1794" s="86" t="s">
        <v>620</v>
      </c>
      <c r="E1794" s="86" t="s">
        <v>855</v>
      </c>
      <c r="F1794" s="32" t="s">
        <v>312</v>
      </c>
      <c r="G1794" s="32" t="s">
        <v>1318</v>
      </c>
      <c r="H1794" s="32"/>
      <c r="N1794" s="8"/>
      <c r="O1794" s="32">
        <v>10</v>
      </c>
      <c r="P1794" s="32">
        <v>1</v>
      </c>
      <c r="AC1794" s="8"/>
      <c r="AI1794" s="12" t="s">
        <v>1778</v>
      </c>
      <c r="AQ1794" s="85"/>
      <c r="AT1794" s="85"/>
      <c r="AU1794" s="12" t="s">
        <v>1946</v>
      </c>
      <c r="AW1794" s="90">
        <v>90</v>
      </c>
      <c r="AX1794" s="23"/>
      <c r="AY1794" s="23"/>
      <c r="AZ1794" s="23"/>
      <c r="BA1794" s="23"/>
    </row>
    <row r="1795" spans="1:53" s="1" customFormat="1" ht="12" x14ac:dyDescent="0.2">
      <c r="A1795" s="12" t="s">
        <v>1775</v>
      </c>
      <c r="B1795" s="39">
        <v>150040</v>
      </c>
      <c r="C1795" s="42" t="s">
        <v>4112</v>
      </c>
      <c r="D1795" s="86" t="s">
        <v>620</v>
      </c>
      <c r="E1795" s="86" t="s">
        <v>855</v>
      </c>
      <c r="F1795" s="32" t="s">
        <v>312</v>
      </c>
      <c r="G1795" s="32" t="s">
        <v>1318</v>
      </c>
      <c r="H1795" s="32"/>
      <c r="N1795" s="8"/>
      <c r="O1795" s="32">
        <v>10</v>
      </c>
      <c r="P1795" s="32">
        <v>1</v>
      </c>
      <c r="AC1795" s="8"/>
      <c r="AI1795" s="12" t="s">
        <v>1779</v>
      </c>
      <c r="AQ1795" s="85"/>
      <c r="AT1795" s="85"/>
      <c r="AU1795" s="12" t="s">
        <v>1946</v>
      </c>
      <c r="AW1795" s="90">
        <v>90</v>
      </c>
      <c r="AX1795" s="23"/>
      <c r="AY1795" s="23"/>
      <c r="AZ1795" s="23"/>
      <c r="BA1795" s="23"/>
    </row>
    <row r="1796" spans="1:53" s="1" customFormat="1" ht="12" x14ac:dyDescent="0.2">
      <c r="A1796" s="12" t="s">
        <v>1776</v>
      </c>
      <c r="B1796" s="39">
        <v>150041</v>
      </c>
      <c r="C1796" s="42" t="s">
        <v>4113</v>
      </c>
      <c r="D1796" s="86" t="s">
        <v>620</v>
      </c>
      <c r="E1796" s="86" t="s">
        <v>855</v>
      </c>
      <c r="F1796" s="32" t="s">
        <v>312</v>
      </c>
      <c r="G1796" s="32" t="s">
        <v>1318</v>
      </c>
      <c r="H1796" s="32"/>
      <c r="N1796" s="8"/>
      <c r="O1796" s="32">
        <v>10</v>
      </c>
      <c r="P1796" s="32">
        <v>1</v>
      </c>
      <c r="AC1796" s="8"/>
      <c r="AI1796" s="12" t="s">
        <v>1780</v>
      </c>
      <c r="AQ1796" s="85"/>
      <c r="AT1796" s="85"/>
      <c r="AU1796" s="12" t="s">
        <v>1946</v>
      </c>
      <c r="AW1796" s="90">
        <v>90</v>
      </c>
      <c r="AX1796" s="23"/>
      <c r="AY1796" s="23"/>
      <c r="AZ1796" s="23"/>
      <c r="BA1796" s="23"/>
    </row>
    <row r="1797" spans="1:53" s="1" customFormat="1" ht="12" x14ac:dyDescent="0.2">
      <c r="A1797" s="12" t="s">
        <v>1777</v>
      </c>
      <c r="B1797" s="39">
        <v>150042</v>
      </c>
      <c r="C1797" s="42" t="s">
        <v>4114</v>
      </c>
      <c r="D1797" s="86" t="s">
        <v>620</v>
      </c>
      <c r="E1797" s="86" t="s">
        <v>855</v>
      </c>
      <c r="F1797" s="32" t="s">
        <v>312</v>
      </c>
      <c r="G1797" s="32" t="s">
        <v>1318</v>
      </c>
      <c r="H1797" s="32"/>
      <c r="N1797" s="8"/>
      <c r="O1797" s="32">
        <v>10</v>
      </c>
      <c r="P1797" s="32">
        <v>1</v>
      </c>
      <c r="AC1797" s="8"/>
      <c r="AI1797" s="12" t="s">
        <v>1781</v>
      </c>
      <c r="AQ1797" s="85"/>
      <c r="AT1797" s="85"/>
      <c r="AU1797" s="12" t="s">
        <v>1946</v>
      </c>
      <c r="AW1797" s="90">
        <v>90</v>
      </c>
      <c r="AX1797" s="23"/>
      <c r="AY1797" s="23"/>
      <c r="AZ1797" s="23"/>
      <c r="BA1797" s="23"/>
    </row>
    <row r="1798" spans="1:53" s="1" customFormat="1" ht="12" x14ac:dyDescent="0.2">
      <c r="A1798" s="12" t="s">
        <v>2194</v>
      </c>
      <c r="B1798" s="39">
        <v>150043</v>
      </c>
      <c r="C1798" s="42" t="s">
        <v>4115</v>
      </c>
      <c r="D1798" s="86" t="s">
        <v>620</v>
      </c>
      <c r="E1798" s="86" t="s">
        <v>855</v>
      </c>
      <c r="F1798" s="32" t="s">
        <v>312</v>
      </c>
      <c r="G1798" s="32" t="s">
        <v>1318</v>
      </c>
      <c r="H1798" s="32"/>
      <c r="N1798" s="8"/>
      <c r="O1798" s="32">
        <v>10</v>
      </c>
      <c r="P1798" s="32">
        <v>1</v>
      </c>
      <c r="AC1798" s="8"/>
      <c r="AI1798" s="46" t="s">
        <v>2224</v>
      </c>
      <c r="AQ1798" s="85"/>
      <c r="AT1798" s="85"/>
      <c r="AU1798" s="12" t="s">
        <v>1946</v>
      </c>
      <c r="AW1798" s="90">
        <v>90</v>
      </c>
      <c r="AX1798" s="23"/>
      <c r="AY1798" s="23"/>
      <c r="AZ1798" s="23"/>
      <c r="BA1798" s="23"/>
    </row>
    <row r="1799" spans="1:53" s="1" customFormat="1" ht="12" x14ac:dyDescent="0.2">
      <c r="A1799" s="12" t="s">
        <v>2195</v>
      </c>
      <c r="B1799" s="39">
        <v>150044</v>
      </c>
      <c r="C1799" s="42" t="s">
        <v>4116</v>
      </c>
      <c r="D1799" s="86" t="s">
        <v>620</v>
      </c>
      <c r="E1799" s="86" t="s">
        <v>855</v>
      </c>
      <c r="F1799" s="32" t="s">
        <v>312</v>
      </c>
      <c r="G1799" s="32" t="s">
        <v>1318</v>
      </c>
      <c r="H1799" s="32"/>
      <c r="N1799" s="8"/>
      <c r="O1799" s="32">
        <v>10</v>
      </c>
      <c r="P1799" s="32">
        <v>1</v>
      </c>
      <c r="AC1799" s="8"/>
      <c r="AI1799" s="46" t="s">
        <v>2225</v>
      </c>
      <c r="AQ1799" s="85"/>
      <c r="AT1799" s="85"/>
      <c r="AU1799" s="12" t="s">
        <v>1946</v>
      </c>
      <c r="AW1799" s="90">
        <v>90</v>
      </c>
      <c r="AX1799" s="23"/>
      <c r="AY1799" s="23"/>
      <c r="AZ1799" s="23"/>
      <c r="BA1799" s="23"/>
    </row>
    <row r="1800" spans="1:53" s="1" customFormat="1" ht="12" x14ac:dyDescent="0.2">
      <c r="A1800" s="12" t="s">
        <v>2196</v>
      </c>
      <c r="B1800" s="39">
        <v>150045</v>
      </c>
      <c r="C1800" s="42" t="s">
        <v>4117</v>
      </c>
      <c r="D1800" s="86" t="s">
        <v>620</v>
      </c>
      <c r="E1800" s="86" t="s">
        <v>855</v>
      </c>
      <c r="F1800" s="32" t="s">
        <v>312</v>
      </c>
      <c r="G1800" s="32" t="s">
        <v>1318</v>
      </c>
      <c r="H1800" s="32"/>
      <c r="N1800" s="8"/>
      <c r="O1800" s="32">
        <v>10</v>
      </c>
      <c r="P1800" s="32">
        <v>1</v>
      </c>
      <c r="AC1800" s="8"/>
      <c r="AI1800" s="46" t="s">
        <v>2226</v>
      </c>
      <c r="AQ1800" s="85"/>
      <c r="AT1800" s="85"/>
      <c r="AU1800" s="12" t="s">
        <v>1946</v>
      </c>
      <c r="AW1800" s="90">
        <v>90</v>
      </c>
      <c r="AX1800" s="23"/>
      <c r="AY1800" s="23"/>
      <c r="AZ1800" s="23"/>
      <c r="BA1800" s="23"/>
    </row>
    <row r="1801" spans="1:53" s="1" customFormat="1" ht="12" x14ac:dyDescent="0.2">
      <c r="A1801" s="12" t="s">
        <v>2197</v>
      </c>
      <c r="B1801" s="39">
        <v>150046</v>
      </c>
      <c r="C1801" s="42" t="s">
        <v>4118</v>
      </c>
      <c r="D1801" s="86" t="s">
        <v>620</v>
      </c>
      <c r="E1801" s="86" t="s">
        <v>855</v>
      </c>
      <c r="F1801" s="32" t="s">
        <v>312</v>
      </c>
      <c r="G1801" s="32" t="s">
        <v>1318</v>
      </c>
      <c r="H1801" s="32"/>
      <c r="N1801" s="8"/>
      <c r="O1801" s="32">
        <v>10</v>
      </c>
      <c r="P1801" s="32">
        <v>1</v>
      </c>
      <c r="AC1801" s="8"/>
      <c r="AI1801" s="46" t="s">
        <v>2227</v>
      </c>
      <c r="AQ1801" s="85"/>
      <c r="AT1801" s="85"/>
      <c r="AU1801" s="12" t="s">
        <v>1946</v>
      </c>
      <c r="AW1801" s="90">
        <v>90</v>
      </c>
      <c r="AX1801" s="23"/>
      <c r="AY1801" s="23"/>
      <c r="AZ1801" s="23"/>
      <c r="BA1801" s="23"/>
    </row>
    <row r="1802" spans="1:53" s="1" customFormat="1" ht="12" x14ac:dyDescent="0.2">
      <c r="A1802" s="12" t="s">
        <v>2352</v>
      </c>
      <c r="B1802" s="39">
        <v>150047</v>
      </c>
      <c r="C1802" s="42" t="s">
        <v>4119</v>
      </c>
      <c r="D1802" s="86" t="s">
        <v>620</v>
      </c>
      <c r="E1802" s="86" t="s">
        <v>620</v>
      </c>
      <c r="F1802" s="32" t="s">
        <v>312</v>
      </c>
      <c r="G1802" s="32" t="s">
        <v>1318</v>
      </c>
      <c r="H1802" s="32"/>
      <c r="N1802" s="8"/>
      <c r="O1802" s="32">
        <v>10</v>
      </c>
      <c r="P1802" s="32">
        <v>1</v>
      </c>
      <c r="AC1802" s="8"/>
      <c r="AI1802" s="46" t="s">
        <v>2355</v>
      </c>
      <c r="AQ1802" s="85"/>
      <c r="AT1802" s="85"/>
      <c r="AU1802" s="12" t="s">
        <v>1946</v>
      </c>
      <c r="AW1802" s="90">
        <v>90</v>
      </c>
      <c r="AX1802" s="23"/>
      <c r="AY1802" s="23"/>
      <c r="AZ1802" s="23"/>
      <c r="BA1802" s="23"/>
    </row>
    <row r="1803" spans="1:53" s="1" customFormat="1" ht="12" x14ac:dyDescent="0.2">
      <c r="A1803" s="12" t="s">
        <v>2353</v>
      </c>
      <c r="B1803" s="39">
        <v>150048</v>
      </c>
      <c r="C1803" s="42" t="s">
        <v>4120</v>
      </c>
      <c r="D1803" s="86" t="s">
        <v>620</v>
      </c>
      <c r="E1803" s="86" t="s">
        <v>620</v>
      </c>
      <c r="F1803" s="32" t="s">
        <v>312</v>
      </c>
      <c r="G1803" s="32" t="s">
        <v>1318</v>
      </c>
      <c r="H1803" s="32"/>
      <c r="N1803" s="8"/>
      <c r="O1803" s="32">
        <v>10</v>
      </c>
      <c r="P1803" s="32">
        <v>1</v>
      </c>
      <c r="AC1803" s="8"/>
      <c r="AI1803" s="46" t="s">
        <v>2356</v>
      </c>
      <c r="AQ1803" s="85"/>
      <c r="AT1803" s="85"/>
      <c r="AU1803" s="12" t="s">
        <v>1946</v>
      </c>
      <c r="AW1803" s="90">
        <v>90</v>
      </c>
      <c r="AX1803" s="23"/>
      <c r="AY1803" s="23"/>
      <c r="AZ1803" s="23"/>
      <c r="BA1803" s="23"/>
    </row>
    <row r="1804" spans="1:53" s="1" customFormat="1" ht="12" x14ac:dyDescent="0.2">
      <c r="A1804" s="12" t="s">
        <v>2354</v>
      </c>
      <c r="B1804" s="39">
        <v>150049</v>
      </c>
      <c r="C1804" s="42" t="s">
        <v>4121</v>
      </c>
      <c r="D1804" s="86" t="s">
        <v>620</v>
      </c>
      <c r="E1804" s="86" t="s">
        <v>620</v>
      </c>
      <c r="F1804" s="32" t="s">
        <v>312</v>
      </c>
      <c r="G1804" s="32" t="s">
        <v>1318</v>
      </c>
      <c r="H1804" s="32"/>
      <c r="N1804" s="8"/>
      <c r="O1804" s="32">
        <v>10</v>
      </c>
      <c r="P1804" s="32">
        <v>1</v>
      </c>
      <c r="AC1804" s="8"/>
      <c r="AI1804" s="46" t="s">
        <v>2357</v>
      </c>
      <c r="AQ1804" s="85"/>
      <c r="AT1804" s="85"/>
      <c r="AU1804" s="12" t="s">
        <v>1946</v>
      </c>
      <c r="AW1804" s="90">
        <v>90</v>
      </c>
      <c r="AX1804" s="23"/>
      <c r="AY1804" s="23"/>
      <c r="AZ1804" s="23"/>
      <c r="BA1804" s="23"/>
    </row>
    <row r="1805" spans="1:53" s="1" customFormat="1" ht="12" x14ac:dyDescent="0.2">
      <c r="A1805" s="12" t="s">
        <v>1782</v>
      </c>
      <c r="B1805" s="39">
        <v>150051</v>
      </c>
      <c r="C1805" s="42" t="s">
        <v>4122</v>
      </c>
      <c r="D1805" s="86" t="s">
        <v>620</v>
      </c>
      <c r="E1805" s="86" t="s">
        <v>620</v>
      </c>
      <c r="F1805" s="32" t="s">
        <v>312</v>
      </c>
      <c r="G1805" s="32" t="s">
        <v>1318</v>
      </c>
      <c r="H1805" s="32"/>
      <c r="N1805" s="8"/>
      <c r="O1805" s="32">
        <v>10</v>
      </c>
      <c r="P1805" s="32">
        <v>1</v>
      </c>
      <c r="AC1805" s="8"/>
      <c r="AI1805" s="12" t="s">
        <v>1784</v>
      </c>
      <c r="AQ1805" s="85"/>
      <c r="AT1805" s="85"/>
      <c r="AU1805" s="12" t="s">
        <v>1946</v>
      </c>
      <c r="AW1805" s="90">
        <v>90</v>
      </c>
      <c r="AX1805" s="23"/>
      <c r="AY1805" s="23"/>
      <c r="AZ1805" s="23"/>
      <c r="BA1805" s="23"/>
    </row>
    <row r="1806" spans="1:53" s="1" customFormat="1" ht="12" x14ac:dyDescent="0.2">
      <c r="A1806" s="12" t="s">
        <v>1783</v>
      </c>
      <c r="B1806" s="39">
        <v>150052</v>
      </c>
      <c r="C1806" s="42" t="s">
        <v>4123</v>
      </c>
      <c r="D1806" s="86" t="s">
        <v>620</v>
      </c>
      <c r="E1806" s="86" t="s">
        <v>620</v>
      </c>
      <c r="F1806" s="32" t="s">
        <v>312</v>
      </c>
      <c r="G1806" s="32" t="s">
        <v>1318</v>
      </c>
      <c r="H1806" s="32"/>
      <c r="N1806" s="8"/>
      <c r="O1806" s="32">
        <v>10</v>
      </c>
      <c r="P1806" s="32">
        <v>1</v>
      </c>
      <c r="AC1806" s="8"/>
      <c r="AI1806" s="12" t="s">
        <v>1785</v>
      </c>
      <c r="AQ1806" s="85"/>
      <c r="AT1806" s="85"/>
      <c r="AU1806" s="12" t="s">
        <v>1946</v>
      </c>
      <c r="AW1806" s="90">
        <v>90</v>
      </c>
      <c r="AX1806" s="23"/>
      <c r="AY1806" s="23"/>
      <c r="AZ1806" s="23"/>
      <c r="BA1806" s="23"/>
    </row>
    <row r="1807" spans="1:53" s="1" customFormat="1" ht="12" x14ac:dyDescent="0.2">
      <c r="A1807" s="12" t="s">
        <v>1803</v>
      </c>
      <c r="B1807" s="39">
        <v>150053</v>
      </c>
      <c r="C1807" s="42" t="s">
        <v>4124</v>
      </c>
      <c r="D1807" s="86" t="s">
        <v>620</v>
      </c>
      <c r="E1807" s="86" t="s">
        <v>620</v>
      </c>
      <c r="F1807" s="32" t="s">
        <v>312</v>
      </c>
      <c r="G1807" s="32" t="s">
        <v>1318</v>
      </c>
      <c r="H1807" s="32"/>
      <c r="N1807" s="8"/>
      <c r="O1807" s="32">
        <v>10</v>
      </c>
      <c r="P1807" s="32">
        <v>1</v>
      </c>
      <c r="AC1807" s="8"/>
      <c r="AI1807" s="12" t="s">
        <v>1804</v>
      </c>
      <c r="AQ1807" s="85"/>
      <c r="AT1807" s="85"/>
      <c r="AU1807" s="12" t="s">
        <v>1946</v>
      </c>
      <c r="AW1807" s="90">
        <v>90</v>
      </c>
      <c r="AX1807" s="23"/>
      <c r="AY1807" s="23"/>
      <c r="AZ1807" s="23"/>
      <c r="BA1807" s="23"/>
    </row>
    <row r="1808" spans="1:53" s="1" customFormat="1" ht="12" x14ac:dyDescent="0.2">
      <c r="A1808" s="12" t="s">
        <v>1806</v>
      </c>
      <c r="B1808" s="39">
        <v>150055</v>
      </c>
      <c r="C1808" s="42" t="s">
        <v>4125</v>
      </c>
      <c r="D1808" s="86" t="s">
        <v>620</v>
      </c>
      <c r="E1808" s="86" t="s">
        <v>620</v>
      </c>
      <c r="F1808" s="32" t="s">
        <v>312</v>
      </c>
      <c r="G1808" s="32" t="s">
        <v>1318</v>
      </c>
      <c r="H1808" s="32"/>
      <c r="N1808" s="8"/>
      <c r="O1808" s="32">
        <v>10</v>
      </c>
      <c r="P1808" s="32">
        <v>1</v>
      </c>
      <c r="AC1808" s="8"/>
      <c r="AI1808" s="12" t="s">
        <v>1807</v>
      </c>
      <c r="AQ1808" s="85"/>
      <c r="AT1808" s="85"/>
      <c r="AU1808" s="12" t="s">
        <v>1946</v>
      </c>
      <c r="AW1808" s="90">
        <v>90</v>
      </c>
      <c r="AX1808" s="23"/>
      <c r="AY1808" s="23"/>
      <c r="AZ1808" s="23"/>
      <c r="BA1808" s="23"/>
    </row>
    <row r="1809" spans="1:53" s="1" customFormat="1" ht="12" x14ac:dyDescent="0.2">
      <c r="A1809" s="12" t="s">
        <v>1816</v>
      </c>
      <c r="B1809" s="39">
        <v>150056</v>
      </c>
      <c r="C1809" s="42" t="s">
        <v>4126</v>
      </c>
      <c r="D1809" s="86" t="s">
        <v>620</v>
      </c>
      <c r="E1809" s="86" t="s">
        <v>620</v>
      </c>
      <c r="F1809" s="32" t="s">
        <v>312</v>
      </c>
      <c r="G1809" s="32" t="s">
        <v>1318</v>
      </c>
      <c r="H1809" s="32"/>
      <c r="N1809" s="8"/>
      <c r="O1809" s="32">
        <v>10</v>
      </c>
      <c r="P1809" s="32">
        <v>1</v>
      </c>
      <c r="AC1809" s="8"/>
      <c r="AI1809" s="12" t="s">
        <v>1817</v>
      </c>
      <c r="AQ1809" s="85"/>
      <c r="AT1809" s="85"/>
      <c r="AU1809" s="12" t="s">
        <v>1946</v>
      </c>
      <c r="AW1809" s="90">
        <v>90</v>
      </c>
      <c r="AX1809" s="23"/>
      <c r="AY1809" s="23"/>
      <c r="AZ1809" s="23"/>
      <c r="BA1809" s="23"/>
    </row>
    <row r="1810" spans="1:53" s="1" customFormat="1" ht="12" x14ac:dyDescent="0.2">
      <c r="A1810" s="94" t="s">
        <v>1818</v>
      </c>
      <c r="B1810" s="39">
        <v>150057</v>
      </c>
      <c r="C1810" s="42" t="s">
        <v>4127</v>
      </c>
      <c r="D1810" s="86" t="s">
        <v>620</v>
      </c>
      <c r="E1810" s="86" t="s">
        <v>620</v>
      </c>
      <c r="F1810" s="32" t="s">
        <v>312</v>
      </c>
      <c r="G1810" s="32" t="s">
        <v>1318</v>
      </c>
      <c r="H1810" s="32"/>
      <c r="N1810" s="8"/>
      <c r="O1810" s="32">
        <v>10</v>
      </c>
      <c r="P1810" s="32">
        <v>1</v>
      </c>
      <c r="AC1810" s="8"/>
      <c r="AI1810" s="12" t="s">
        <v>1819</v>
      </c>
      <c r="AQ1810" s="85"/>
      <c r="AT1810" s="85"/>
      <c r="AU1810" s="12" t="s">
        <v>1946</v>
      </c>
      <c r="AW1810" s="90">
        <v>90</v>
      </c>
      <c r="AX1810" s="23"/>
      <c r="AY1810" s="23"/>
      <c r="AZ1810" s="23"/>
      <c r="BA1810" s="23"/>
    </row>
    <row r="1811" spans="1:53" s="1" customFormat="1" ht="12" x14ac:dyDescent="0.2">
      <c r="A1811" s="94" t="s">
        <v>1954</v>
      </c>
      <c r="B1811" s="39">
        <v>150058</v>
      </c>
      <c r="C1811" s="42" t="s">
        <v>4128</v>
      </c>
      <c r="D1811" s="86" t="s">
        <v>1952</v>
      </c>
      <c r="E1811" s="86" t="s">
        <v>1952</v>
      </c>
      <c r="F1811" s="32" t="s">
        <v>312</v>
      </c>
      <c r="G1811" s="32" t="s">
        <v>1630</v>
      </c>
      <c r="H1811" s="32"/>
      <c r="N1811" s="8"/>
      <c r="O1811" s="32">
        <v>10</v>
      </c>
      <c r="P1811" s="32">
        <v>1</v>
      </c>
      <c r="AC1811" s="8"/>
      <c r="AI1811" s="12" t="s">
        <v>1955</v>
      </c>
      <c r="AQ1811" s="85"/>
      <c r="AT1811" s="85"/>
      <c r="AU1811" s="12" t="s">
        <v>1953</v>
      </c>
      <c r="AW1811" s="90">
        <v>90</v>
      </c>
      <c r="AX1811" s="23"/>
      <c r="AY1811" s="23"/>
      <c r="AZ1811" s="23"/>
      <c r="BA1811" s="23"/>
    </row>
    <row r="1812" spans="1:53" s="1" customFormat="1" ht="12" x14ac:dyDescent="0.2">
      <c r="A1812" s="94" t="s">
        <v>2324</v>
      </c>
      <c r="B1812" s="39">
        <v>150059</v>
      </c>
      <c r="C1812" s="42" t="s">
        <v>4129</v>
      </c>
      <c r="D1812" s="86" t="s">
        <v>1952</v>
      </c>
      <c r="E1812" s="86" t="s">
        <v>1952</v>
      </c>
      <c r="F1812" s="32" t="s">
        <v>312</v>
      </c>
      <c r="G1812" s="32" t="s">
        <v>1630</v>
      </c>
      <c r="H1812" s="32"/>
      <c r="N1812" s="8"/>
      <c r="O1812" s="32">
        <v>10</v>
      </c>
      <c r="P1812" s="32">
        <v>1</v>
      </c>
      <c r="AC1812" s="8"/>
      <c r="AI1812" s="12" t="s">
        <v>2325</v>
      </c>
      <c r="AQ1812" s="85"/>
      <c r="AT1812" s="85"/>
      <c r="AU1812" s="12" t="s">
        <v>1953</v>
      </c>
      <c r="AW1812" s="90">
        <v>90</v>
      </c>
      <c r="AX1812" s="23"/>
      <c r="AY1812" s="23"/>
      <c r="AZ1812" s="23"/>
      <c r="BA1812" s="23"/>
    </row>
    <row r="1813" spans="1:53" s="1" customFormat="1" ht="12" x14ac:dyDescent="0.2">
      <c r="A1813" s="94" t="s">
        <v>2343</v>
      </c>
      <c r="B1813" s="39">
        <v>150060</v>
      </c>
      <c r="C1813" s="42" t="s">
        <v>4130</v>
      </c>
      <c r="D1813" s="86" t="s">
        <v>1952</v>
      </c>
      <c r="E1813" s="86" t="s">
        <v>1952</v>
      </c>
      <c r="F1813" s="32" t="s">
        <v>312</v>
      </c>
      <c r="G1813" s="32" t="s">
        <v>1630</v>
      </c>
      <c r="H1813" s="32"/>
      <c r="N1813" s="8"/>
      <c r="O1813" s="32">
        <v>10</v>
      </c>
      <c r="P1813" s="32">
        <v>1</v>
      </c>
      <c r="AC1813" s="8"/>
      <c r="AI1813" s="12" t="s">
        <v>2344</v>
      </c>
      <c r="AQ1813" s="85"/>
      <c r="AT1813" s="85"/>
      <c r="AU1813" s="12" t="s">
        <v>1953</v>
      </c>
      <c r="AW1813" s="90">
        <v>90</v>
      </c>
      <c r="AX1813" s="23"/>
      <c r="AY1813" s="23"/>
      <c r="AZ1813" s="23"/>
      <c r="BA1813" s="23"/>
    </row>
    <row r="1814" spans="1:53" s="1" customFormat="1" ht="12" x14ac:dyDescent="0.2">
      <c r="A1814" s="94" t="s">
        <v>2358</v>
      </c>
      <c r="B1814" s="39">
        <v>150061</v>
      </c>
      <c r="C1814" s="42" t="s">
        <v>4131</v>
      </c>
      <c r="D1814" s="86" t="s">
        <v>1952</v>
      </c>
      <c r="E1814" s="86" t="s">
        <v>1952</v>
      </c>
      <c r="F1814" s="32" t="s">
        <v>312</v>
      </c>
      <c r="G1814" s="32" t="s">
        <v>1630</v>
      </c>
      <c r="H1814" s="32"/>
      <c r="N1814" s="8"/>
      <c r="O1814" s="32">
        <v>10</v>
      </c>
      <c r="P1814" s="32">
        <v>1</v>
      </c>
      <c r="AC1814" s="8"/>
      <c r="AI1814" s="12" t="s">
        <v>2360</v>
      </c>
      <c r="AQ1814" s="85"/>
      <c r="AT1814" s="85"/>
      <c r="AU1814" s="12" t="s">
        <v>1953</v>
      </c>
      <c r="AW1814" s="90">
        <v>90</v>
      </c>
      <c r="AX1814" s="23"/>
      <c r="AY1814" s="23"/>
      <c r="AZ1814" s="23"/>
      <c r="BA1814" s="23"/>
    </row>
    <row r="1815" spans="1:53" s="1" customFormat="1" ht="12" x14ac:dyDescent="0.2">
      <c r="A1815" s="94" t="s">
        <v>2359</v>
      </c>
      <c r="B1815" s="39">
        <v>150062</v>
      </c>
      <c r="C1815" s="42" t="s">
        <v>4132</v>
      </c>
      <c r="D1815" s="86" t="s">
        <v>1952</v>
      </c>
      <c r="E1815" s="86" t="s">
        <v>1952</v>
      </c>
      <c r="F1815" s="32" t="s">
        <v>312</v>
      </c>
      <c r="G1815" s="32" t="s">
        <v>1630</v>
      </c>
      <c r="H1815" s="32"/>
      <c r="N1815" s="8"/>
      <c r="O1815" s="32">
        <v>10</v>
      </c>
      <c r="P1815" s="32">
        <v>1</v>
      </c>
      <c r="AC1815" s="8"/>
      <c r="AI1815" s="12" t="s">
        <v>2361</v>
      </c>
      <c r="AQ1815" s="85"/>
      <c r="AT1815" s="85"/>
      <c r="AU1815" s="12" t="s">
        <v>1953</v>
      </c>
      <c r="AW1815" s="90">
        <v>90</v>
      </c>
      <c r="AX1815" s="23"/>
      <c r="AY1815" s="23"/>
      <c r="AZ1815" s="23"/>
      <c r="BA1815" s="23"/>
    </row>
    <row r="1816" spans="1:53" s="1" customFormat="1" ht="12" x14ac:dyDescent="0.2">
      <c r="A1816" s="94" t="s">
        <v>2459</v>
      </c>
      <c r="B1816" s="39">
        <v>150063</v>
      </c>
      <c r="C1816" s="42" t="s">
        <v>4133</v>
      </c>
      <c r="D1816" s="86" t="s">
        <v>1952</v>
      </c>
      <c r="E1816" s="86" t="s">
        <v>1952</v>
      </c>
      <c r="F1816" s="32" t="s">
        <v>312</v>
      </c>
      <c r="G1816" s="32" t="s">
        <v>1630</v>
      </c>
      <c r="H1816" s="32"/>
      <c r="N1816" s="8"/>
      <c r="O1816" s="32">
        <v>10</v>
      </c>
      <c r="P1816" s="32">
        <v>1</v>
      </c>
      <c r="AC1816" s="8"/>
      <c r="AI1816" s="12">
        <v>20063</v>
      </c>
      <c r="AQ1816" s="85"/>
      <c r="AT1816" s="85"/>
      <c r="AU1816" s="12" t="s">
        <v>1953</v>
      </c>
      <c r="AW1816" s="90">
        <v>90</v>
      </c>
      <c r="AX1816" s="23"/>
      <c r="AY1816" s="23"/>
      <c r="AZ1816" s="23"/>
      <c r="BA1816" s="23"/>
    </row>
    <row r="1817" spans="1:53" s="1" customFormat="1" ht="12" x14ac:dyDescent="0.2">
      <c r="A1817" s="94" t="s">
        <v>2460</v>
      </c>
      <c r="B1817" s="39">
        <v>150064</v>
      </c>
      <c r="C1817" s="42" t="s">
        <v>4134</v>
      </c>
      <c r="D1817" s="86" t="s">
        <v>1952</v>
      </c>
      <c r="E1817" s="86" t="s">
        <v>1952</v>
      </c>
      <c r="F1817" s="32" t="s">
        <v>312</v>
      </c>
      <c r="G1817" s="32" t="s">
        <v>1630</v>
      </c>
      <c r="H1817" s="32"/>
      <c r="N1817" s="8"/>
      <c r="O1817" s="32">
        <v>10</v>
      </c>
      <c r="P1817" s="32">
        <v>1</v>
      </c>
      <c r="AC1817" s="8"/>
      <c r="AI1817" s="12">
        <v>20064</v>
      </c>
      <c r="AQ1817" s="85"/>
      <c r="AT1817" s="85"/>
      <c r="AU1817" s="12" t="s">
        <v>1953</v>
      </c>
      <c r="AW1817" s="90">
        <v>90</v>
      </c>
      <c r="AX1817" s="23"/>
      <c r="AY1817" s="23"/>
      <c r="AZ1817" s="23"/>
      <c r="BA1817" s="23"/>
    </row>
    <row r="1818" spans="1:53" s="1" customFormat="1" ht="12" x14ac:dyDescent="0.2">
      <c r="A1818" s="94" t="s">
        <v>2461</v>
      </c>
      <c r="B1818" s="39">
        <v>150065</v>
      </c>
      <c r="C1818" s="42" t="s">
        <v>4135</v>
      </c>
      <c r="D1818" s="86" t="s">
        <v>1952</v>
      </c>
      <c r="E1818" s="86" t="s">
        <v>1952</v>
      </c>
      <c r="F1818" s="32" t="s">
        <v>312</v>
      </c>
      <c r="G1818" s="32" t="s">
        <v>1630</v>
      </c>
      <c r="H1818" s="32"/>
      <c r="N1818" s="8"/>
      <c r="O1818" s="32">
        <v>10</v>
      </c>
      <c r="P1818" s="32">
        <v>1</v>
      </c>
      <c r="AC1818" s="8"/>
      <c r="AI1818" s="12">
        <v>20065</v>
      </c>
      <c r="AQ1818" s="85"/>
      <c r="AT1818" s="85"/>
      <c r="AU1818" s="12" t="s">
        <v>1953</v>
      </c>
      <c r="AW1818" s="90">
        <v>90</v>
      </c>
      <c r="AX1818" s="23"/>
      <c r="AY1818" s="23"/>
      <c r="AZ1818" s="23"/>
      <c r="BA1818" s="23"/>
    </row>
    <row r="1819" spans="1:53" s="1" customFormat="1" ht="12" x14ac:dyDescent="0.2">
      <c r="A1819" s="94" t="s">
        <v>2480</v>
      </c>
      <c r="B1819" s="39">
        <v>150066</v>
      </c>
      <c r="C1819" s="42" t="s">
        <v>4136</v>
      </c>
      <c r="D1819" s="86" t="s">
        <v>1952</v>
      </c>
      <c r="E1819" s="86" t="s">
        <v>1952</v>
      </c>
      <c r="F1819" s="32" t="s">
        <v>312</v>
      </c>
      <c r="G1819" s="32" t="s">
        <v>1630</v>
      </c>
      <c r="H1819" s="32"/>
      <c r="N1819" s="8"/>
      <c r="O1819" s="32">
        <v>10</v>
      </c>
      <c r="P1819" s="32">
        <v>1</v>
      </c>
      <c r="AC1819" s="8"/>
      <c r="AI1819" s="12">
        <v>20066</v>
      </c>
      <c r="AQ1819" s="85"/>
      <c r="AT1819" s="85"/>
      <c r="AU1819" s="12" t="s">
        <v>1953</v>
      </c>
      <c r="AW1819" s="90">
        <v>90</v>
      </c>
      <c r="AX1819" s="23"/>
      <c r="AY1819" s="23"/>
      <c r="AZ1819" s="23"/>
      <c r="BA1819" s="23"/>
    </row>
    <row r="1820" spans="1:53" s="1" customFormat="1" ht="12" x14ac:dyDescent="0.2">
      <c r="A1820" s="94" t="s">
        <v>2481</v>
      </c>
      <c r="B1820" s="39">
        <v>150067</v>
      </c>
      <c r="C1820" s="42" t="s">
        <v>4137</v>
      </c>
      <c r="D1820" s="86" t="s">
        <v>1952</v>
      </c>
      <c r="E1820" s="86" t="s">
        <v>1952</v>
      </c>
      <c r="F1820" s="32" t="s">
        <v>312</v>
      </c>
      <c r="G1820" s="32" t="s">
        <v>1630</v>
      </c>
      <c r="H1820" s="32"/>
      <c r="N1820" s="8"/>
      <c r="O1820" s="32">
        <v>10</v>
      </c>
      <c r="P1820" s="32">
        <v>1</v>
      </c>
      <c r="AC1820" s="8"/>
      <c r="AI1820" s="12">
        <v>20067</v>
      </c>
      <c r="AQ1820" s="85"/>
      <c r="AT1820" s="85"/>
      <c r="AU1820" s="12" t="s">
        <v>1953</v>
      </c>
      <c r="AW1820" s="90">
        <v>90</v>
      </c>
      <c r="AX1820" s="23"/>
      <c r="AY1820" s="23"/>
      <c r="AZ1820" s="23"/>
      <c r="BA1820" s="23"/>
    </row>
    <row r="1821" spans="1:53" s="1" customFormat="1" ht="12" x14ac:dyDescent="0.2">
      <c r="A1821" s="94" t="s">
        <v>2482</v>
      </c>
      <c r="B1821" s="39">
        <v>150068</v>
      </c>
      <c r="C1821" s="42" t="s">
        <v>4138</v>
      </c>
      <c r="D1821" s="86" t="s">
        <v>1952</v>
      </c>
      <c r="E1821" s="86" t="s">
        <v>1952</v>
      </c>
      <c r="F1821" s="32" t="s">
        <v>312</v>
      </c>
      <c r="G1821" s="32" t="s">
        <v>1630</v>
      </c>
      <c r="H1821" s="32"/>
      <c r="N1821" s="8"/>
      <c r="O1821" s="32">
        <v>10</v>
      </c>
      <c r="P1821" s="32">
        <v>1</v>
      </c>
      <c r="AC1821" s="8"/>
      <c r="AI1821" s="12">
        <v>20068</v>
      </c>
      <c r="AQ1821" s="85"/>
      <c r="AT1821" s="85"/>
      <c r="AU1821" s="12" t="s">
        <v>1953</v>
      </c>
      <c r="AW1821" s="90">
        <v>90</v>
      </c>
      <c r="AX1821" s="23"/>
      <c r="AY1821" s="23"/>
      <c r="AZ1821" s="23"/>
      <c r="BA1821" s="23"/>
    </row>
    <row r="1822" spans="1:53" s="1" customFormat="1" ht="12" x14ac:dyDescent="0.2">
      <c r="A1822" s="94" t="s">
        <v>2462</v>
      </c>
      <c r="B1822" s="39">
        <v>150501</v>
      </c>
      <c r="C1822" s="42" t="s">
        <v>4139</v>
      </c>
      <c r="D1822" s="86" t="s">
        <v>1952</v>
      </c>
      <c r="E1822" s="86" t="s">
        <v>1952</v>
      </c>
      <c r="F1822" s="32" t="s">
        <v>312</v>
      </c>
      <c r="G1822" s="32" t="s">
        <v>1630</v>
      </c>
      <c r="H1822" s="32"/>
      <c r="N1822" s="8"/>
      <c r="O1822" s="32">
        <v>10</v>
      </c>
      <c r="P1822" s="32">
        <v>1</v>
      </c>
      <c r="AC1822" s="8"/>
      <c r="AI1822" s="12" t="s">
        <v>2465</v>
      </c>
      <c r="AQ1822" s="85"/>
      <c r="AT1822" s="85"/>
      <c r="AU1822" s="12" t="s">
        <v>1953</v>
      </c>
      <c r="AW1822" s="90">
        <v>90</v>
      </c>
      <c r="AX1822" s="23"/>
      <c r="AY1822" s="23"/>
      <c r="AZ1822" s="23"/>
      <c r="BA1822" s="23"/>
    </row>
    <row r="1823" spans="1:53" s="1" customFormat="1" ht="12" x14ac:dyDescent="0.2">
      <c r="A1823" s="94" t="s">
        <v>2463</v>
      </c>
      <c r="B1823" s="39">
        <v>150502</v>
      </c>
      <c r="C1823" s="42" t="s">
        <v>4140</v>
      </c>
      <c r="D1823" s="86" t="s">
        <v>1952</v>
      </c>
      <c r="E1823" s="86" t="s">
        <v>1952</v>
      </c>
      <c r="F1823" s="32" t="s">
        <v>312</v>
      </c>
      <c r="G1823" s="32" t="s">
        <v>1630</v>
      </c>
      <c r="H1823" s="32"/>
      <c r="N1823" s="8"/>
      <c r="O1823" s="32">
        <v>10</v>
      </c>
      <c r="P1823" s="32">
        <v>1</v>
      </c>
      <c r="AC1823" s="8"/>
      <c r="AI1823" s="12" t="s">
        <v>2466</v>
      </c>
      <c r="AQ1823" s="85"/>
      <c r="AT1823" s="85"/>
      <c r="AU1823" s="12" t="s">
        <v>1953</v>
      </c>
      <c r="AW1823" s="90">
        <v>90</v>
      </c>
      <c r="AX1823" s="23"/>
      <c r="AY1823" s="23"/>
      <c r="AZ1823" s="23"/>
      <c r="BA1823" s="23"/>
    </row>
    <row r="1824" spans="1:53" s="1" customFormat="1" ht="12" x14ac:dyDescent="0.2">
      <c r="A1824" s="94" t="s">
        <v>2464</v>
      </c>
      <c r="B1824" s="39">
        <v>150503</v>
      </c>
      <c r="C1824" s="42" t="s">
        <v>4141</v>
      </c>
      <c r="D1824" s="86" t="s">
        <v>1952</v>
      </c>
      <c r="E1824" s="86" t="s">
        <v>1952</v>
      </c>
      <c r="F1824" s="32" t="s">
        <v>312</v>
      </c>
      <c r="G1824" s="32" t="s">
        <v>1630</v>
      </c>
      <c r="H1824" s="32"/>
      <c r="N1824" s="8"/>
      <c r="O1824" s="32">
        <v>10</v>
      </c>
      <c r="P1824" s="32">
        <v>1</v>
      </c>
      <c r="AC1824" s="8"/>
      <c r="AI1824" s="12" t="s">
        <v>2467</v>
      </c>
      <c r="AQ1824" s="85"/>
      <c r="AT1824" s="85"/>
      <c r="AU1824" s="12" t="s">
        <v>1953</v>
      </c>
      <c r="AW1824" s="90">
        <v>90</v>
      </c>
      <c r="AX1824" s="23"/>
      <c r="AY1824" s="23"/>
      <c r="AZ1824" s="23"/>
      <c r="BA1824" s="23"/>
    </row>
    <row r="1825" spans="1:53" s="1" customFormat="1" ht="12" x14ac:dyDescent="0.2">
      <c r="A1825" s="94" t="s">
        <v>2457</v>
      </c>
      <c r="B1825" s="39">
        <v>150504</v>
      </c>
      <c r="C1825" s="42" t="s">
        <v>4142</v>
      </c>
      <c r="D1825" s="86" t="s">
        <v>1952</v>
      </c>
      <c r="E1825" s="86" t="s">
        <v>1952</v>
      </c>
      <c r="F1825" s="32" t="s">
        <v>312</v>
      </c>
      <c r="G1825" s="32" t="s">
        <v>1630</v>
      </c>
      <c r="H1825" s="32"/>
      <c r="N1825" s="8"/>
      <c r="O1825" s="32">
        <v>10</v>
      </c>
      <c r="P1825" s="32">
        <v>1</v>
      </c>
      <c r="AC1825" s="8"/>
      <c r="AI1825" s="12" t="s">
        <v>2458</v>
      </c>
      <c r="AQ1825" s="85"/>
      <c r="AT1825" s="85"/>
      <c r="AU1825" s="12" t="s">
        <v>1953</v>
      </c>
      <c r="AW1825" s="90">
        <v>90</v>
      </c>
      <c r="AX1825" s="23"/>
      <c r="AY1825" s="23"/>
      <c r="AZ1825" s="23"/>
      <c r="BA1825" s="23"/>
    </row>
    <row r="1826" spans="1:53" s="1" customFormat="1" ht="12" x14ac:dyDescent="0.2">
      <c r="A1826" s="94" t="s">
        <v>2468</v>
      </c>
      <c r="B1826" s="39">
        <v>150505</v>
      </c>
      <c r="C1826" s="42" t="s">
        <v>4143</v>
      </c>
      <c r="D1826" s="86" t="s">
        <v>1952</v>
      </c>
      <c r="E1826" s="86" t="s">
        <v>1952</v>
      </c>
      <c r="F1826" s="32" t="s">
        <v>312</v>
      </c>
      <c r="G1826" s="32" t="s">
        <v>1630</v>
      </c>
      <c r="H1826" s="32"/>
      <c r="N1826" s="8"/>
      <c r="O1826" s="32">
        <v>10</v>
      </c>
      <c r="P1826" s="32">
        <v>1</v>
      </c>
      <c r="AC1826" s="8"/>
      <c r="AI1826" s="12">
        <v>20505</v>
      </c>
      <c r="AQ1826" s="85"/>
      <c r="AT1826" s="85"/>
      <c r="AU1826" s="12" t="s">
        <v>1953</v>
      </c>
      <c r="AW1826" s="90">
        <v>90</v>
      </c>
      <c r="AX1826" s="23"/>
      <c r="AY1826" s="23"/>
      <c r="AZ1826" s="23"/>
      <c r="BA1826" s="23"/>
    </row>
    <row r="1827" spans="1:53" s="1" customFormat="1" ht="12" x14ac:dyDescent="0.2">
      <c r="A1827" s="94" t="s">
        <v>2483</v>
      </c>
      <c r="B1827" s="39">
        <v>150506</v>
      </c>
      <c r="C1827" s="42" t="s">
        <v>4144</v>
      </c>
      <c r="D1827" s="86" t="s">
        <v>1952</v>
      </c>
      <c r="E1827" s="86" t="s">
        <v>1952</v>
      </c>
      <c r="F1827" s="32" t="s">
        <v>312</v>
      </c>
      <c r="G1827" s="32" t="s">
        <v>1630</v>
      </c>
      <c r="H1827" s="32"/>
      <c r="N1827" s="8"/>
      <c r="O1827" s="32">
        <v>10</v>
      </c>
      <c r="P1827" s="32">
        <v>1</v>
      </c>
      <c r="AC1827" s="8"/>
      <c r="AI1827" s="12">
        <v>20506</v>
      </c>
      <c r="AQ1827" s="85"/>
      <c r="AT1827" s="85"/>
      <c r="AU1827" s="12" t="s">
        <v>1953</v>
      </c>
      <c r="AW1827" s="90">
        <v>90</v>
      </c>
      <c r="AX1827" s="23"/>
      <c r="AY1827" s="23"/>
      <c r="AZ1827" s="23"/>
      <c r="BA1827" s="23"/>
    </row>
    <row r="1828" spans="1:53" s="1" customFormat="1" ht="12" x14ac:dyDescent="0.2">
      <c r="A1828" s="94" t="s">
        <v>2794</v>
      </c>
      <c r="B1828" s="39">
        <v>150507</v>
      </c>
      <c r="C1828" s="42" t="s">
        <v>4145</v>
      </c>
      <c r="D1828" s="86" t="s">
        <v>1952</v>
      </c>
      <c r="E1828" s="86" t="s">
        <v>1952</v>
      </c>
      <c r="F1828" s="32" t="s">
        <v>312</v>
      </c>
      <c r="G1828" s="32" t="s">
        <v>1630</v>
      </c>
      <c r="H1828" s="32"/>
      <c r="N1828" s="8"/>
      <c r="O1828" s="32">
        <v>10</v>
      </c>
      <c r="P1828" s="32">
        <v>1</v>
      </c>
      <c r="AC1828" s="8"/>
      <c r="AI1828" s="12" t="s">
        <v>2795</v>
      </c>
      <c r="AQ1828" s="85"/>
      <c r="AT1828" s="85"/>
      <c r="AU1828" s="12" t="s">
        <v>1953</v>
      </c>
      <c r="AW1828" s="90">
        <v>90</v>
      </c>
      <c r="AX1828" s="23"/>
      <c r="AY1828" s="23"/>
      <c r="AZ1828" s="23"/>
      <c r="BA1828" s="23"/>
    </row>
    <row r="1829" spans="1:53" s="1" customFormat="1" ht="12" x14ac:dyDescent="0.2">
      <c r="A1829" s="94" t="s">
        <v>2819</v>
      </c>
      <c r="B1829" s="39">
        <v>150508</v>
      </c>
      <c r="C1829" s="42" t="s">
        <v>4146</v>
      </c>
      <c r="D1829" s="86" t="s">
        <v>1952</v>
      </c>
      <c r="E1829" s="86" t="s">
        <v>1952</v>
      </c>
      <c r="F1829" s="32" t="s">
        <v>312</v>
      </c>
      <c r="G1829" s="32" t="s">
        <v>1630</v>
      </c>
      <c r="H1829" s="32"/>
      <c r="N1829" s="8"/>
      <c r="O1829" s="32">
        <v>10</v>
      </c>
      <c r="P1829" s="32">
        <v>1</v>
      </c>
      <c r="AC1829" s="8"/>
      <c r="AI1829" s="12" t="s">
        <v>2820</v>
      </c>
      <c r="AQ1829" s="85"/>
      <c r="AT1829" s="85"/>
      <c r="AU1829" s="12" t="s">
        <v>1953</v>
      </c>
      <c r="AW1829" s="90">
        <v>90</v>
      </c>
      <c r="AX1829" s="23"/>
      <c r="AY1829" s="23"/>
      <c r="AZ1829" s="23"/>
      <c r="BA1829" s="23"/>
    </row>
    <row r="1830" spans="1:53" s="1" customFormat="1" ht="12" x14ac:dyDescent="0.2">
      <c r="A1830" s="94" t="s">
        <v>2832</v>
      </c>
      <c r="B1830" s="39">
        <v>150509</v>
      </c>
      <c r="C1830" s="42" t="s">
        <v>4147</v>
      </c>
      <c r="D1830" s="86" t="s">
        <v>1952</v>
      </c>
      <c r="E1830" s="86" t="s">
        <v>1952</v>
      </c>
      <c r="F1830" s="32" t="s">
        <v>312</v>
      </c>
      <c r="G1830" s="32" t="s">
        <v>1630</v>
      </c>
      <c r="H1830" s="32"/>
      <c r="N1830" s="8"/>
      <c r="O1830" s="32">
        <v>10</v>
      </c>
      <c r="P1830" s="32">
        <v>1</v>
      </c>
      <c r="AC1830" s="8"/>
      <c r="AI1830" s="12">
        <v>20509</v>
      </c>
      <c r="AQ1830" s="85"/>
      <c r="AT1830" s="85"/>
      <c r="AU1830" s="12" t="s">
        <v>1953</v>
      </c>
      <c r="AW1830" s="90">
        <v>90</v>
      </c>
      <c r="AX1830" s="23"/>
      <c r="AY1830" s="23"/>
      <c r="AZ1830" s="23"/>
      <c r="BA1830" s="23"/>
    </row>
    <row r="1831" spans="1:53" s="1" customFormat="1" ht="12" x14ac:dyDescent="0.2">
      <c r="A1831" s="94" t="s">
        <v>2871</v>
      </c>
      <c r="B1831" s="39">
        <v>150510</v>
      </c>
      <c r="C1831" s="42" t="s">
        <v>4148</v>
      </c>
      <c r="D1831" s="86" t="s">
        <v>1952</v>
      </c>
      <c r="E1831" s="86" t="s">
        <v>1952</v>
      </c>
      <c r="F1831" s="32" t="s">
        <v>312</v>
      </c>
      <c r="G1831" s="32" t="s">
        <v>1630</v>
      </c>
      <c r="H1831" s="32"/>
      <c r="N1831" s="8"/>
      <c r="O1831" s="32">
        <v>10</v>
      </c>
      <c r="P1831" s="32">
        <v>1</v>
      </c>
      <c r="AC1831" s="8"/>
      <c r="AI1831" s="12" t="s">
        <v>2872</v>
      </c>
      <c r="AQ1831" s="85"/>
      <c r="AT1831" s="85"/>
      <c r="AU1831" s="12" t="s">
        <v>1953</v>
      </c>
      <c r="AW1831" s="90">
        <v>90</v>
      </c>
      <c r="AX1831" s="23"/>
      <c r="AY1831" s="23"/>
      <c r="AZ1831" s="23"/>
      <c r="BA1831" s="23"/>
    </row>
    <row r="1832" spans="1:53" s="1" customFormat="1" ht="12" x14ac:dyDescent="0.2">
      <c r="A1832" s="94" t="s">
        <v>2873</v>
      </c>
      <c r="B1832" s="39">
        <v>150511</v>
      </c>
      <c r="C1832" s="42" t="s">
        <v>4149</v>
      </c>
      <c r="D1832" s="86" t="s">
        <v>1952</v>
      </c>
      <c r="E1832" s="86" t="s">
        <v>1952</v>
      </c>
      <c r="F1832" s="32" t="s">
        <v>312</v>
      </c>
      <c r="G1832" s="32" t="s">
        <v>1630</v>
      </c>
      <c r="H1832" s="32"/>
      <c r="N1832" s="8"/>
      <c r="O1832" s="32">
        <v>10</v>
      </c>
      <c r="P1832" s="32">
        <v>1</v>
      </c>
      <c r="AC1832" s="8"/>
      <c r="AI1832" s="12" t="s">
        <v>2874</v>
      </c>
      <c r="AQ1832" s="85"/>
      <c r="AT1832" s="85"/>
      <c r="AU1832" s="12" t="s">
        <v>1953</v>
      </c>
      <c r="AW1832" s="90">
        <v>90</v>
      </c>
      <c r="AX1832" s="23"/>
      <c r="AY1832" s="23"/>
      <c r="AZ1832" s="23"/>
      <c r="BA1832" s="23"/>
    </row>
    <row r="1833" spans="1:53" s="1" customFormat="1" ht="12" x14ac:dyDescent="0.2">
      <c r="A1833" s="94" t="s">
        <v>2875</v>
      </c>
      <c r="B1833" s="39">
        <v>150512</v>
      </c>
      <c r="C1833" s="42" t="s">
        <v>4150</v>
      </c>
      <c r="D1833" s="86" t="s">
        <v>1952</v>
      </c>
      <c r="E1833" s="86" t="s">
        <v>1952</v>
      </c>
      <c r="F1833" s="32" t="s">
        <v>312</v>
      </c>
      <c r="G1833" s="32" t="s">
        <v>1630</v>
      </c>
      <c r="H1833" s="32"/>
      <c r="N1833" s="8"/>
      <c r="O1833" s="32">
        <v>10</v>
      </c>
      <c r="P1833" s="32">
        <v>1</v>
      </c>
      <c r="AC1833" s="8"/>
      <c r="AI1833" s="12" t="s">
        <v>2876</v>
      </c>
      <c r="AQ1833" s="85"/>
      <c r="AT1833" s="85"/>
      <c r="AU1833" s="12" t="s">
        <v>1953</v>
      </c>
      <c r="AW1833" s="90">
        <v>90</v>
      </c>
      <c r="AX1833" s="23"/>
      <c r="AY1833" s="23"/>
      <c r="AZ1833" s="23"/>
      <c r="BA1833" s="23"/>
    </row>
    <row r="1834" spans="1:53" s="1" customFormat="1" ht="12" x14ac:dyDescent="0.2">
      <c r="A1834" s="94" t="s">
        <v>2877</v>
      </c>
      <c r="B1834" s="39">
        <v>150513</v>
      </c>
      <c r="C1834" s="42" t="s">
        <v>4151</v>
      </c>
      <c r="D1834" s="86" t="s">
        <v>1952</v>
      </c>
      <c r="E1834" s="86" t="s">
        <v>1952</v>
      </c>
      <c r="F1834" s="32" t="s">
        <v>312</v>
      </c>
      <c r="G1834" s="32" t="s">
        <v>1630</v>
      </c>
      <c r="H1834" s="32"/>
      <c r="N1834" s="8"/>
      <c r="O1834" s="32">
        <v>10</v>
      </c>
      <c r="P1834" s="32">
        <v>1</v>
      </c>
      <c r="AC1834" s="8"/>
      <c r="AG1834" s="16"/>
      <c r="AH1834" s="16"/>
      <c r="AI1834" s="12" t="s">
        <v>2878</v>
      </c>
      <c r="AQ1834" s="85"/>
      <c r="AT1834" s="85"/>
      <c r="AU1834" s="12" t="s">
        <v>1953</v>
      </c>
      <c r="AW1834" s="90">
        <v>90</v>
      </c>
      <c r="AX1834" s="23"/>
      <c r="AY1834" s="23"/>
      <c r="AZ1834" s="23"/>
      <c r="BA1834" s="23"/>
    </row>
    <row r="1835" spans="1:53" s="1" customFormat="1" ht="12" x14ac:dyDescent="0.2">
      <c r="A1835" s="94" t="s">
        <v>2900</v>
      </c>
      <c r="B1835" s="39">
        <v>150514</v>
      </c>
      <c r="C1835" s="42" t="s">
        <v>4152</v>
      </c>
      <c r="D1835" s="86" t="s">
        <v>1952</v>
      </c>
      <c r="E1835" s="86" t="s">
        <v>1952</v>
      </c>
      <c r="F1835" s="32" t="s">
        <v>312</v>
      </c>
      <c r="G1835" s="32" t="s">
        <v>1630</v>
      </c>
      <c r="H1835" s="32"/>
      <c r="N1835" s="8"/>
      <c r="O1835" s="32">
        <v>10</v>
      </c>
      <c r="P1835" s="32">
        <v>1</v>
      </c>
      <c r="AC1835" s="8"/>
      <c r="AG1835" s="16"/>
      <c r="AH1835" s="16"/>
      <c r="AI1835" s="12" t="s">
        <v>2901</v>
      </c>
      <c r="AQ1835" s="85"/>
      <c r="AT1835" s="85"/>
      <c r="AU1835" s="12" t="s">
        <v>1953</v>
      </c>
      <c r="AW1835" s="90">
        <v>90</v>
      </c>
      <c r="AX1835" s="23"/>
      <c r="AY1835" s="23"/>
      <c r="AZ1835" s="23"/>
      <c r="BA1835" s="23"/>
    </row>
    <row r="1836" spans="1:53" s="1" customFormat="1" ht="12" x14ac:dyDescent="0.2">
      <c r="A1836" s="94" t="s">
        <v>2902</v>
      </c>
      <c r="B1836" s="39">
        <v>150515</v>
      </c>
      <c r="C1836" s="42" t="s">
        <v>4153</v>
      </c>
      <c r="D1836" s="86" t="s">
        <v>1952</v>
      </c>
      <c r="E1836" s="86" t="s">
        <v>1952</v>
      </c>
      <c r="F1836" s="32" t="s">
        <v>312</v>
      </c>
      <c r="G1836" s="32" t="s">
        <v>1630</v>
      </c>
      <c r="H1836" s="32"/>
      <c r="N1836" s="8"/>
      <c r="O1836" s="32">
        <v>10</v>
      </c>
      <c r="P1836" s="32">
        <v>1</v>
      </c>
      <c r="AC1836" s="8"/>
      <c r="AG1836" s="16"/>
      <c r="AH1836" s="16"/>
      <c r="AI1836" s="12" t="s">
        <v>2903</v>
      </c>
      <c r="AQ1836" s="85"/>
      <c r="AT1836" s="85"/>
      <c r="AU1836" s="12" t="s">
        <v>1953</v>
      </c>
      <c r="AW1836" s="90">
        <v>90</v>
      </c>
      <c r="AX1836" s="23"/>
      <c r="AY1836" s="23"/>
      <c r="AZ1836" s="23"/>
      <c r="BA1836" s="23"/>
    </row>
    <row r="1837" spans="1:53" s="1" customFormat="1" ht="12" x14ac:dyDescent="0.2">
      <c r="A1837" s="94" t="s">
        <v>2912</v>
      </c>
      <c r="B1837" s="39">
        <v>150516</v>
      </c>
      <c r="C1837" s="42" t="s">
        <v>4154</v>
      </c>
      <c r="D1837" s="86" t="s">
        <v>1952</v>
      </c>
      <c r="E1837" s="86" t="s">
        <v>1952</v>
      </c>
      <c r="F1837" s="32" t="s">
        <v>312</v>
      </c>
      <c r="G1837" s="32" t="s">
        <v>1630</v>
      </c>
      <c r="H1837" s="32"/>
      <c r="N1837" s="8"/>
      <c r="O1837" s="32">
        <v>10</v>
      </c>
      <c r="P1837" s="32">
        <v>1</v>
      </c>
      <c r="AC1837" s="8"/>
      <c r="AG1837" s="16"/>
      <c r="AH1837" s="16"/>
      <c r="AI1837" s="12" t="s">
        <v>2913</v>
      </c>
      <c r="AQ1837" s="85"/>
      <c r="AT1837" s="85"/>
      <c r="AU1837" s="12" t="s">
        <v>1953</v>
      </c>
      <c r="AW1837" s="90">
        <v>90</v>
      </c>
      <c r="AX1837" s="23"/>
      <c r="AY1837" s="23"/>
      <c r="AZ1837" s="23"/>
      <c r="BA1837" s="23"/>
    </row>
    <row r="1838" spans="1:53" s="1" customFormat="1" ht="12" x14ac:dyDescent="0.2">
      <c r="A1838" s="94" t="s">
        <v>4380</v>
      </c>
      <c r="B1838" s="39">
        <v>150517</v>
      </c>
      <c r="C1838" s="42" t="s">
        <v>4383</v>
      </c>
      <c r="D1838" s="86" t="s">
        <v>1952</v>
      </c>
      <c r="E1838" s="86" t="s">
        <v>1952</v>
      </c>
      <c r="F1838" s="32" t="s">
        <v>312</v>
      </c>
      <c r="G1838" s="32" t="s">
        <v>1630</v>
      </c>
      <c r="H1838" s="32"/>
      <c r="N1838" s="8"/>
      <c r="O1838" s="32">
        <v>10</v>
      </c>
      <c r="P1838" s="32">
        <v>1</v>
      </c>
      <c r="AC1838" s="8"/>
      <c r="AG1838" s="16"/>
      <c r="AH1838" s="16"/>
      <c r="AI1838" s="12" t="s">
        <v>4386</v>
      </c>
      <c r="AQ1838" s="85"/>
      <c r="AT1838" s="85"/>
      <c r="AU1838" s="12" t="s">
        <v>1953</v>
      </c>
      <c r="AW1838" s="90">
        <v>90</v>
      </c>
      <c r="AX1838" s="23"/>
      <c r="AY1838" s="23"/>
      <c r="AZ1838" s="23"/>
      <c r="BA1838" s="23"/>
    </row>
    <row r="1839" spans="1:53" s="1" customFormat="1" ht="12" x14ac:dyDescent="0.2">
      <c r="A1839" s="94" t="s">
        <v>4381</v>
      </c>
      <c r="B1839" s="39">
        <v>150518</v>
      </c>
      <c r="C1839" s="42" t="s">
        <v>4384</v>
      </c>
      <c r="D1839" s="86" t="s">
        <v>1952</v>
      </c>
      <c r="E1839" s="86" t="s">
        <v>1952</v>
      </c>
      <c r="F1839" s="32" t="s">
        <v>312</v>
      </c>
      <c r="G1839" s="32" t="s">
        <v>1630</v>
      </c>
      <c r="H1839" s="32"/>
      <c r="N1839" s="8"/>
      <c r="O1839" s="32">
        <v>10</v>
      </c>
      <c r="P1839" s="32">
        <v>1</v>
      </c>
      <c r="AC1839" s="8"/>
      <c r="AG1839" s="16"/>
      <c r="AH1839" s="16"/>
      <c r="AI1839" s="12" t="s">
        <v>4387</v>
      </c>
      <c r="AQ1839" s="85"/>
      <c r="AT1839" s="85"/>
      <c r="AU1839" s="12" t="s">
        <v>1953</v>
      </c>
      <c r="AW1839" s="90">
        <v>90</v>
      </c>
      <c r="AX1839" s="23"/>
      <c r="AY1839" s="23"/>
      <c r="AZ1839" s="23"/>
      <c r="BA1839" s="23"/>
    </row>
    <row r="1840" spans="1:53" s="1" customFormat="1" ht="12" x14ac:dyDescent="0.2">
      <c r="A1840" s="94" t="s">
        <v>4382</v>
      </c>
      <c r="B1840" s="39">
        <v>150519</v>
      </c>
      <c r="C1840" s="42" t="s">
        <v>4385</v>
      </c>
      <c r="D1840" s="86" t="s">
        <v>1952</v>
      </c>
      <c r="E1840" s="86" t="s">
        <v>1952</v>
      </c>
      <c r="F1840" s="32" t="s">
        <v>312</v>
      </c>
      <c r="G1840" s="32" t="s">
        <v>1630</v>
      </c>
      <c r="H1840" s="32"/>
      <c r="N1840" s="8"/>
      <c r="O1840" s="32">
        <v>10</v>
      </c>
      <c r="P1840" s="32">
        <v>1</v>
      </c>
      <c r="AC1840" s="8"/>
      <c r="AG1840" s="16"/>
      <c r="AH1840" s="16"/>
      <c r="AI1840" s="12" t="s">
        <v>4388</v>
      </c>
      <c r="AQ1840" s="85"/>
      <c r="AT1840" s="85"/>
      <c r="AU1840" s="12" t="s">
        <v>1953</v>
      </c>
      <c r="AW1840" s="90">
        <v>90</v>
      </c>
      <c r="AX1840" s="23"/>
      <c r="AY1840" s="23"/>
      <c r="AZ1840" s="23"/>
      <c r="BA1840" s="23"/>
    </row>
    <row r="1841" spans="1:53" s="1" customFormat="1" ht="12" x14ac:dyDescent="0.2">
      <c r="A1841" s="94" t="s">
        <v>4408</v>
      </c>
      <c r="B1841" s="39">
        <v>150520</v>
      </c>
      <c r="C1841" s="42"/>
      <c r="D1841" s="86" t="s">
        <v>1952</v>
      </c>
      <c r="E1841" s="86" t="s">
        <v>1952</v>
      </c>
      <c r="F1841" s="32" t="s">
        <v>312</v>
      </c>
      <c r="G1841" s="32" t="s">
        <v>1630</v>
      </c>
      <c r="H1841" s="32"/>
      <c r="N1841" s="8"/>
      <c r="O1841" s="32">
        <v>10</v>
      </c>
      <c r="P1841" s="32">
        <v>1</v>
      </c>
      <c r="AC1841" s="8"/>
      <c r="AG1841" s="16"/>
      <c r="AH1841" s="16"/>
      <c r="AI1841" s="12" t="s">
        <v>4409</v>
      </c>
      <c r="AQ1841" s="85"/>
      <c r="AT1841" s="85"/>
      <c r="AU1841" s="12" t="s">
        <v>1953</v>
      </c>
      <c r="AW1841" s="90">
        <v>90</v>
      </c>
      <c r="AX1841" s="23"/>
      <c r="AY1841" s="23"/>
      <c r="AZ1841" s="23"/>
      <c r="BA1841" s="23"/>
    </row>
    <row r="1842" spans="1:53" s="1" customFormat="1" ht="12" x14ac:dyDescent="0.2">
      <c r="A1842" s="94" t="s">
        <v>4455</v>
      </c>
      <c r="B1842" s="39">
        <v>150521</v>
      </c>
      <c r="C1842" s="42" t="s">
        <v>4456</v>
      </c>
      <c r="D1842" s="86" t="s">
        <v>1952</v>
      </c>
      <c r="E1842" s="86" t="s">
        <v>1952</v>
      </c>
      <c r="F1842" s="32" t="s">
        <v>312</v>
      </c>
      <c r="G1842" s="32" t="s">
        <v>1630</v>
      </c>
      <c r="H1842" s="32"/>
      <c r="N1842" s="8"/>
      <c r="O1842" s="32">
        <v>10</v>
      </c>
      <c r="P1842" s="32">
        <v>1</v>
      </c>
      <c r="AC1842" s="8"/>
      <c r="AG1842" s="16"/>
      <c r="AH1842" s="16"/>
      <c r="AI1842" s="12" t="s">
        <v>4457</v>
      </c>
      <c r="AQ1842" s="85"/>
      <c r="AT1842" s="85"/>
      <c r="AU1842" s="12" t="s">
        <v>1953</v>
      </c>
      <c r="AW1842" s="90">
        <v>90</v>
      </c>
      <c r="AX1842" s="23"/>
      <c r="AY1842" s="23"/>
      <c r="AZ1842" s="23"/>
      <c r="BA1842" s="23"/>
    </row>
    <row r="1843" spans="1:53" s="1" customFormat="1" ht="12" x14ac:dyDescent="0.2">
      <c r="A1843" s="94" t="s">
        <v>5613</v>
      </c>
      <c r="B1843" s="39">
        <v>150522</v>
      </c>
      <c r="C1843" s="42" t="s">
        <v>5615</v>
      </c>
      <c r="D1843" s="86" t="s">
        <v>1952</v>
      </c>
      <c r="E1843" s="86" t="s">
        <v>1952</v>
      </c>
      <c r="F1843" s="32" t="s">
        <v>312</v>
      </c>
      <c r="G1843" s="32" t="s">
        <v>1630</v>
      </c>
      <c r="H1843" s="32"/>
      <c r="N1843" s="8"/>
      <c r="O1843" s="32">
        <v>10</v>
      </c>
      <c r="P1843" s="32">
        <v>1</v>
      </c>
      <c r="AC1843" s="8"/>
      <c r="AG1843" s="16"/>
      <c r="AH1843" s="16"/>
      <c r="AI1843" s="12" t="s">
        <v>5617</v>
      </c>
      <c r="AQ1843" s="85"/>
      <c r="AT1843" s="85"/>
      <c r="AU1843" s="12" t="s">
        <v>1953</v>
      </c>
      <c r="AW1843" s="90">
        <v>90</v>
      </c>
      <c r="AX1843" s="23"/>
      <c r="AY1843" s="23"/>
      <c r="AZ1843" s="23"/>
      <c r="BA1843" s="23"/>
    </row>
    <row r="1844" spans="1:53" s="1" customFormat="1" ht="12" x14ac:dyDescent="0.2">
      <c r="A1844" s="94" t="s">
        <v>5614</v>
      </c>
      <c r="B1844" s="39">
        <v>150523</v>
      </c>
      <c r="C1844" s="42" t="s">
        <v>5616</v>
      </c>
      <c r="D1844" s="86" t="s">
        <v>1952</v>
      </c>
      <c r="E1844" s="86" t="s">
        <v>1952</v>
      </c>
      <c r="F1844" s="32" t="s">
        <v>312</v>
      </c>
      <c r="G1844" s="32" t="s">
        <v>1630</v>
      </c>
      <c r="H1844" s="32"/>
      <c r="N1844" s="8"/>
      <c r="O1844" s="32">
        <v>10</v>
      </c>
      <c r="P1844" s="32">
        <v>1</v>
      </c>
      <c r="AC1844" s="8"/>
      <c r="AG1844" s="16"/>
      <c r="AH1844" s="16"/>
      <c r="AI1844" s="12" t="s">
        <v>5618</v>
      </c>
      <c r="AQ1844" s="85"/>
      <c r="AT1844" s="85"/>
      <c r="AU1844" s="12" t="s">
        <v>1953</v>
      </c>
      <c r="AW1844" s="90">
        <v>90</v>
      </c>
      <c r="AX1844" s="23"/>
      <c r="AY1844" s="23"/>
      <c r="AZ1844" s="23"/>
      <c r="BA1844" s="23"/>
    </row>
    <row r="1845" spans="1:53" s="1" customFormat="1" ht="12" x14ac:dyDescent="0.2">
      <c r="A1845" s="94" t="s">
        <v>5619</v>
      </c>
      <c r="B1845" s="39">
        <v>150524</v>
      </c>
      <c r="C1845" s="42" t="s">
        <v>5620</v>
      </c>
      <c r="D1845" s="86" t="s">
        <v>1952</v>
      </c>
      <c r="E1845" s="86" t="s">
        <v>1952</v>
      </c>
      <c r="F1845" s="32" t="s">
        <v>312</v>
      </c>
      <c r="G1845" s="32" t="s">
        <v>1630</v>
      </c>
      <c r="H1845" s="32"/>
      <c r="N1845" s="8"/>
      <c r="O1845" s="32">
        <v>10</v>
      </c>
      <c r="P1845" s="32">
        <v>1</v>
      </c>
      <c r="AC1845" s="8"/>
      <c r="AG1845" s="16"/>
      <c r="AH1845" s="16"/>
      <c r="AI1845" s="12" t="s">
        <v>5621</v>
      </c>
      <c r="AQ1845" s="85"/>
      <c r="AT1845" s="85"/>
      <c r="AU1845" s="12" t="s">
        <v>1953</v>
      </c>
      <c r="AW1845" s="90">
        <v>90</v>
      </c>
      <c r="AX1845" s="23"/>
      <c r="AY1845" s="23"/>
      <c r="AZ1845" s="23"/>
      <c r="BA1845" s="23"/>
    </row>
    <row r="1846" spans="1:53" s="1" customFormat="1" ht="12" x14ac:dyDescent="0.2">
      <c r="A1846" s="94" t="s">
        <v>5655</v>
      </c>
      <c r="B1846" s="32">
        <v>150524</v>
      </c>
      <c r="C1846" s="86" t="s">
        <v>5656</v>
      </c>
      <c r="D1846" s="86" t="s">
        <v>1952</v>
      </c>
      <c r="E1846" s="86" t="s">
        <v>1952</v>
      </c>
      <c r="F1846" s="32" t="s">
        <v>312</v>
      </c>
      <c r="G1846" s="32" t="s">
        <v>1630</v>
      </c>
      <c r="H1846" s="32"/>
      <c r="N1846" s="8"/>
      <c r="O1846" s="32">
        <v>10</v>
      </c>
      <c r="P1846" s="32">
        <v>1</v>
      </c>
      <c r="AC1846" s="8"/>
      <c r="AG1846" s="16"/>
      <c r="AH1846" s="16"/>
      <c r="AI1846" s="12" t="s">
        <v>5657</v>
      </c>
      <c r="AQ1846" s="85"/>
      <c r="AT1846" s="85"/>
      <c r="AU1846" s="12" t="s">
        <v>1953</v>
      </c>
      <c r="AW1846" s="23">
        <v>90</v>
      </c>
      <c r="AX1846" s="23"/>
      <c r="AY1846" s="23"/>
      <c r="AZ1846" s="23"/>
      <c r="BA1846" s="23"/>
    </row>
    <row r="1847" spans="1:53" s="1" customFormat="1" ht="12" x14ac:dyDescent="0.2">
      <c r="A1847" s="94" t="s">
        <v>5658</v>
      </c>
      <c r="B1847" s="32">
        <v>150524</v>
      </c>
      <c r="C1847" s="86" t="s">
        <v>5659</v>
      </c>
      <c r="D1847" s="86" t="s">
        <v>1952</v>
      </c>
      <c r="E1847" s="86" t="s">
        <v>1952</v>
      </c>
      <c r="F1847" s="32" t="s">
        <v>312</v>
      </c>
      <c r="G1847" s="32" t="s">
        <v>1630</v>
      </c>
      <c r="H1847" s="32"/>
      <c r="N1847" s="8"/>
      <c r="O1847" s="32">
        <v>10</v>
      </c>
      <c r="P1847" s="32">
        <v>1</v>
      </c>
      <c r="AC1847" s="8"/>
      <c r="AG1847" s="16"/>
      <c r="AH1847" s="16"/>
      <c r="AI1847" s="12" t="s">
        <v>5660</v>
      </c>
      <c r="AQ1847" s="85"/>
      <c r="AT1847" s="85"/>
      <c r="AU1847" s="12" t="s">
        <v>1953</v>
      </c>
      <c r="AW1847" s="23">
        <v>90</v>
      </c>
      <c r="AX1847" s="23"/>
      <c r="AY1847" s="23"/>
      <c r="AZ1847" s="23"/>
      <c r="BA1847" s="23"/>
    </row>
    <row r="1848" spans="1:53" s="1" customFormat="1" ht="12" x14ac:dyDescent="0.2">
      <c r="A1848" s="94" t="s">
        <v>5661</v>
      </c>
      <c r="B1848" s="32">
        <v>150524</v>
      </c>
      <c r="C1848" s="86" t="s">
        <v>5662</v>
      </c>
      <c r="D1848" s="86" t="s">
        <v>1952</v>
      </c>
      <c r="E1848" s="86" t="s">
        <v>1952</v>
      </c>
      <c r="F1848" s="32" t="s">
        <v>312</v>
      </c>
      <c r="G1848" s="32" t="s">
        <v>1630</v>
      </c>
      <c r="H1848" s="32"/>
      <c r="N1848" s="8"/>
      <c r="O1848" s="32">
        <v>10</v>
      </c>
      <c r="P1848" s="32">
        <v>1</v>
      </c>
      <c r="AC1848" s="8"/>
      <c r="AG1848" s="16"/>
      <c r="AH1848" s="16"/>
      <c r="AI1848" s="12" t="s">
        <v>5663</v>
      </c>
      <c r="AQ1848" s="85"/>
      <c r="AT1848" s="85"/>
      <c r="AU1848" s="12" t="s">
        <v>1953</v>
      </c>
      <c r="AW1848" s="23">
        <v>90</v>
      </c>
      <c r="AX1848" s="23"/>
      <c r="AY1848" s="23"/>
      <c r="AZ1848" s="23"/>
      <c r="BA1848" s="23"/>
    </row>
    <row r="1849" spans="1:53" s="1" customFormat="1" ht="12" x14ac:dyDescent="0.2">
      <c r="A1849" s="94" t="s">
        <v>2492</v>
      </c>
      <c r="B1849" s="39">
        <v>150998</v>
      </c>
      <c r="C1849" s="42" t="s">
        <v>4155</v>
      </c>
      <c r="D1849" s="86" t="s">
        <v>1952</v>
      </c>
      <c r="E1849" s="86" t="s">
        <v>1952</v>
      </c>
      <c r="F1849" s="32" t="s">
        <v>312</v>
      </c>
      <c r="G1849" s="32" t="s">
        <v>1630</v>
      </c>
      <c r="H1849" s="32"/>
      <c r="N1849" s="8"/>
      <c r="O1849" s="32">
        <v>1</v>
      </c>
      <c r="P1849" s="32">
        <v>1</v>
      </c>
      <c r="AC1849" s="8"/>
      <c r="AG1849" s="16"/>
      <c r="AH1849" s="16"/>
      <c r="AI1849" s="12" t="s">
        <v>2494</v>
      </c>
      <c r="AQ1849" s="85"/>
      <c r="AT1849" s="85"/>
      <c r="AU1849" s="12" t="s">
        <v>1953</v>
      </c>
      <c r="AW1849" s="90">
        <v>90</v>
      </c>
      <c r="AX1849" s="23"/>
      <c r="AY1849" s="23"/>
      <c r="AZ1849" s="23"/>
      <c r="BA1849" s="23"/>
    </row>
    <row r="1850" spans="1:53" s="1" customFormat="1" ht="12" x14ac:dyDescent="0.2">
      <c r="A1850" s="94" t="s">
        <v>2493</v>
      </c>
      <c r="B1850" s="39">
        <v>150999</v>
      </c>
      <c r="C1850" s="42" t="s">
        <v>4156</v>
      </c>
      <c r="D1850" s="86" t="s">
        <v>1952</v>
      </c>
      <c r="E1850" s="86" t="s">
        <v>1952</v>
      </c>
      <c r="F1850" s="32" t="s">
        <v>312</v>
      </c>
      <c r="G1850" s="32" t="s">
        <v>1630</v>
      </c>
      <c r="H1850" s="32"/>
      <c r="N1850" s="8"/>
      <c r="O1850" s="32">
        <v>1</v>
      </c>
      <c r="P1850" s="32">
        <v>1</v>
      </c>
      <c r="AC1850" s="8"/>
      <c r="AG1850" s="16"/>
      <c r="AH1850" s="16"/>
      <c r="AI1850" s="12" t="s">
        <v>2495</v>
      </c>
      <c r="AQ1850" s="85"/>
      <c r="AT1850" s="85"/>
      <c r="AU1850" s="12" t="s">
        <v>1953</v>
      </c>
      <c r="AW1850" s="90">
        <v>90</v>
      </c>
      <c r="AX1850" s="23"/>
      <c r="AY1850" s="23"/>
      <c r="AZ1850" s="23"/>
      <c r="BA1850" s="23"/>
    </row>
    <row r="1851" spans="1:53" s="1" customFormat="1" ht="12" x14ac:dyDescent="0.2">
      <c r="A1851" s="94" t="s">
        <v>5667</v>
      </c>
      <c r="B1851" s="39">
        <v>151000</v>
      </c>
      <c r="C1851" s="42" t="s">
        <v>5668</v>
      </c>
      <c r="D1851" s="86" t="s">
        <v>1952</v>
      </c>
      <c r="E1851" s="86" t="s">
        <v>1952</v>
      </c>
      <c r="F1851" s="32" t="s">
        <v>312</v>
      </c>
      <c r="G1851" s="32" t="s">
        <v>1630</v>
      </c>
      <c r="H1851" s="32"/>
      <c r="N1851" s="8"/>
      <c r="O1851" s="32">
        <v>10</v>
      </c>
      <c r="P1851" s="32">
        <v>1</v>
      </c>
      <c r="AC1851" s="8"/>
      <c r="AG1851" s="16"/>
      <c r="AH1851" s="16"/>
      <c r="AI1851" s="12" t="s">
        <v>5669</v>
      </c>
      <c r="AQ1851" s="85"/>
      <c r="AT1851" s="85"/>
      <c r="AU1851" s="12" t="s">
        <v>1953</v>
      </c>
      <c r="AW1851" s="90">
        <v>90</v>
      </c>
      <c r="AX1851" s="23"/>
      <c r="AY1851" s="23"/>
      <c r="AZ1851" s="23"/>
      <c r="BA1851" s="23"/>
    </row>
    <row r="1852" spans="1:53" s="1" customFormat="1" ht="12" x14ac:dyDescent="0.2">
      <c r="A1852" s="94" t="s">
        <v>5670</v>
      </c>
      <c r="B1852" s="39">
        <v>151001</v>
      </c>
      <c r="C1852" s="42" t="s">
        <v>5671</v>
      </c>
      <c r="D1852" s="86" t="s">
        <v>1952</v>
      </c>
      <c r="E1852" s="86" t="s">
        <v>1952</v>
      </c>
      <c r="F1852" s="32" t="s">
        <v>312</v>
      </c>
      <c r="G1852" s="32" t="s">
        <v>1630</v>
      </c>
      <c r="H1852" s="32"/>
      <c r="N1852" s="8"/>
      <c r="O1852" s="32">
        <v>10</v>
      </c>
      <c r="P1852" s="32">
        <v>1</v>
      </c>
      <c r="AC1852" s="8"/>
      <c r="AG1852" s="16"/>
      <c r="AH1852" s="16"/>
      <c r="AI1852" s="12" t="s">
        <v>5672</v>
      </c>
      <c r="AQ1852" s="85"/>
      <c r="AT1852" s="85"/>
      <c r="AU1852" s="12" t="s">
        <v>1953</v>
      </c>
      <c r="AW1852" s="90">
        <v>90</v>
      </c>
      <c r="AX1852" s="23"/>
      <c r="AY1852" s="23"/>
      <c r="AZ1852" s="23"/>
      <c r="BA1852" s="23"/>
    </row>
    <row r="1853" spans="1:53" ht="12" x14ac:dyDescent="0.2">
      <c r="A1853" s="10" t="s">
        <v>1638</v>
      </c>
      <c r="B1853" s="39">
        <v>890101</v>
      </c>
      <c r="C1853" s="42" t="s">
        <v>4157</v>
      </c>
      <c r="D1853" s="14" t="s">
        <v>1633</v>
      </c>
      <c r="E1853" s="14" t="s">
        <v>1634</v>
      </c>
      <c r="F1853" s="1" t="s">
        <v>1635</v>
      </c>
      <c r="G1853" s="1" t="s">
        <v>1708</v>
      </c>
      <c r="H1853" s="1"/>
      <c r="I1853" s="1"/>
      <c r="J1853" s="1"/>
      <c r="K1853" s="1"/>
      <c r="L1853" s="1"/>
      <c r="M1853" s="1"/>
      <c r="O1853" s="16" t="s">
        <v>335</v>
      </c>
      <c r="P1853" s="1">
        <v>1</v>
      </c>
      <c r="Q1853" s="15"/>
      <c r="R1853" s="15"/>
      <c r="S1853" s="15"/>
      <c r="T1853" s="15"/>
      <c r="U1853" s="15"/>
      <c r="V1853" s="1"/>
      <c r="W1853" s="1"/>
      <c r="X1853" s="1"/>
      <c r="Y1853" s="15"/>
      <c r="Z1853" s="15"/>
      <c r="AA1853" s="15">
        <v>384</v>
      </c>
      <c r="AB1853" s="17"/>
      <c r="AC1853" s="82"/>
      <c r="AD1853" s="16" t="s">
        <v>336</v>
      </c>
      <c r="AE1853" s="16" t="s">
        <v>336</v>
      </c>
      <c r="AF1853" s="16"/>
      <c r="AG1853" s="16"/>
      <c r="AH1853" s="16"/>
      <c r="AI1853" s="16" t="s">
        <v>1717</v>
      </c>
      <c r="AJ1853" s="16"/>
      <c r="AK1853" s="16"/>
      <c r="AL1853" s="16"/>
      <c r="AM1853" s="16"/>
      <c r="AN1853" s="16"/>
      <c r="AO1853" s="16"/>
      <c r="AP1853" s="16"/>
      <c r="AR1853" s="88" t="s">
        <v>96</v>
      </c>
      <c r="AS1853" s="88" t="s">
        <v>96</v>
      </c>
      <c r="AU1853" s="12" t="s">
        <v>1947</v>
      </c>
      <c r="AV1853" s="13"/>
      <c r="AW1853" s="39">
        <v>90</v>
      </c>
      <c r="AY1853" s="32"/>
      <c r="AZ1853" s="32"/>
      <c r="BA1853" s="32"/>
    </row>
    <row r="1854" spans="1:53" ht="12" x14ac:dyDescent="0.2">
      <c r="A1854" s="10" t="s">
        <v>1639</v>
      </c>
      <c r="B1854" s="39">
        <v>890102</v>
      </c>
      <c r="C1854" s="42" t="s">
        <v>4157</v>
      </c>
      <c r="D1854" s="14" t="s">
        <v>1633</v>
      </c>
      <c r="E1854" s="14" t="s">
        <v>1634</v>
      </c>
      <c r="F1854" s="1" t="s">
        <v>1635</v>
      </c>
      <c r="G1854" s="1" t="s">
        <v>1708</v>
      </c>
      <c r="H1854" s="1"/>
      <c r="I1854" s="1"/>
      <c r="J1854" s="1"/>
      <c r="K1854" s="1"/>
      <c r="L1854" s="1"/>
      <c r="M1854" s="1"/>
      <c r="O1854" s="16" t="s">
        <v>335</v>
      </c>
      <c r="P1854" s="1">
        <v>1</v>
      </c>
      <c r="Q1854" s="15"/>
      <c r="R1854" s="15"/>
      <c r="S1854" s="15"/>
      <c r="T1854" s="15"/>
      <c r="U1854" s="15"/>
      <c r="V1854" s="1"/>
      <c r="W1854" s="1"/>
      <c r="X1854" s="1"/>
      <c r="Y1854" s="15"/>
      <c r="Z1854" s="15"/>
      <c r="AA1854" s="15">
        <v>384</v>
      </c>
      <c r="AB1854" s="17"/>
      <c r="AC1854" s="82"/>
      <c r="AD1854" s="16" t="s">
        <v>336</v>
      </c>
      <c r="AE1854" s="16" t="s">
        <v>336</v>
      </c>
      <c r="AF1854" s="16"/>
      <c r="AG1854" s="16"/>
      <c r="AH1854" s="16"/>
      <c r="AI1854" s="16" t="s">
        <v>1717</v>
      </c>
      <c r="AJ1854" s="16"/>
      <c r="AK1854" s="16"/>
      <c r="AL1854" s="16"/>
      <c r="AM1854" s="16"/>
      <c r="AN1854" s="16"/>
      <c r="AO1854" s="16"/>
      <c r="AP1854" s="16"/>
      <c r="AR1854" s="88" t="s">
        <v>96</v>
      </c>
      <c r="AS1854" s="88" t="s">
        <v>96</v>
      </c>
      <c r="AU1854" s="12" t="s">
        <v>1947</v>
      </c>
      <c r="AW1854" s="39">
        <v>90</v>
      </c>
      <c r="AY1854" s="12"/>
      <c r="AZ1854" s="12"/>
      <c r="BA1854" s="12"/>
    </row>
    <row r="1855" spans="1:53" ht="12" x14ac:dyDescent="0.2">
      <c r="A1855" s="10" t="s">
        <v>1640</v>
      </c>
      <c r="B1855" s="39">
        <v>890103</v>
      </c>
      <c r="C1855" s="42" t="s">
        <v>4157</v>
      </c>
      <c r="D1855" s="14" t="s">
        <v>1633</v>
      </c>
      <c r="E1855" s="14" t="s">
        <v>1634</v>
      </c>
      <c r="F1855" s="1" t="s">
        <v>1635</v>
      </c>
      <c r="G1855" s="1" t="s">
        <v>1708</v>
      </c>
      <c r="H1855" s="1"/>
      <c r="I1855" s="1"/>
      <c r="J1855" s="1"/>
      <c r="K1855" s="1"/>
      <c r="L1855" s="1"/>
      <c r="M1855" s="1"/>
      <c r="O1855" s="16" t="s">
        <v>335</v>
      </c>
      <c r="P1855" s="1">
        <v>1</v>
      </c>
      <c r="Q1855" s="15"/>
      <c r="R1855" s="15"/>
      <c r="S1855" s="15"/>
      <c r="T1855" s="15"/>
      <c r="U1855" s="15"/>
      <c r="V1855" s="1"/>
      <c r="W1855" s="1"/>
      <c r="X1855" s="1"/>
      <c r="Y1855" s="15"/>
      <c r="Z1855" s="15"/>
      <c r="AA1855" s="15">
        <v>384</v>
      </c>
      <c r="AB1855" s="17"/>
      <c r="AC1855" s="82"/>
      <c r="AD1855" s="16" t="s">
        <v>336</v>
      </c>
      <c r="AE1855" s="16" t="s">
        <v>336</v>
      </c>
      <c r="AF1855" s="16"/>
      <c r="AG1855" s="16"/>
      <c r="AH1855" s="16"/>
      <c r="AI1855" s="16" t="s">
        <v>1717</v>
      </c>
      <c r="AJ1855" s="16"/>
      <c r="AK1855" s="16"/>
      <c r="AL1855" s="16"/>
      <c r="AM1855" s="16"/>
      <c r="AN1855" s="16"/>
      <c r="AO1855" s="16"/>
      <c r="AP1855" s="16"/>
      <c r="AR1855" s="88" t="s">
        <v>96</v>
      </c>
      <c r="AS1855" s="88" t="s">
        <v>96</v>
      </c>
      <c r="AU1855" s="12" t="s">
        <v>1947</v>
      </c>
      <c r="AW1855" s="39">
        <v>90</v>
      </c>
      <c r="AY1855" s="12"/>
      <c r="AZ1855" s="12"/>
      <c r="BA1855" s="12"/>
    </row>
    <row r="1856" spans="1:53" ht="12" x14ac:dyDescent="0.2">
      <c r="A1856" s="10" t="s">
        <v>1641</v>
      </c>
      <c r="B1856" s="39">
        <v>890104</v>
      </c>
      <c r="C1856" s="42" t="s">
        <v>4157</v>
      </c>
      <c r="D1856" s="14" t="s">
        <v>1633</v>
      </c>
      <c r="E1856" s="14" t="s">
        <v>1634</v>
      </c>
      <c r="F1856" s="1" t="s">
        <v>1635</v>
      </c>
      <c r="G1856" s="1" t="s">
        <v>1708</v>
      </c>
      <c r="H1856" s="1"/>
      <c r="I1856" s="1"/>
      <c r="J1856" s="1"/>
      <c r="K1856" s="1"/>
      <c r="L1856" s="1"/>
      <c r="M1856" s="1"/>
      <c r="O1856" s="16" t="s">
        <v>335</v>
      </c>
      <c r="P1856" s="1">
        <v>1</v>
      </c>
      <c r="Q1856" s="15"/>
      <c r="R1856" s="15"/>
      <c r="S1856" s="15"/>
      <c r="T1856" s="15"/>
      <c r="U1856" s="15"/>
      <c r="V1856" s="1"/>
      <c r="W1856" s="1"/>
      <c r="X1856" s="1"/>
      <c r="Y1856" s="15"/>
      <c r="Z1856" s="15"/>
      <c r="AA1856" s="15">
        <v>384</v>
      </c>
      <c r="AB1856" s="17"/>
      <c r="AC1856" s="82"/>
      <c r="AD1856" s="16" t="s">
        <v>336</v>
      </c>
      <c r="AE1856" s="16" t="s">
        <v>336</v>
      </c>
      <c r="AF1856" s="16"/>
      <c r="AG1856" s="16"/>
      <c r="AH1856" s="16"/>
      <c r="AI1856" s="16" t="s">
        <v>1717</v>
      </c>
      <c r="AJ1856" s="16"/>
      <c r="AK1856" s="16"/>
      <c r="AL1856" s="16"/>
      <c r="AM1856" s="16"/>
      <c r="AN1856" s="16"/>
      <c r="AO1856" s="16"/>
      <c r="AP1856" s="16"/>
      <c r="AR1856" s="88" t="s">
        <v>96</v>
      </c>
      <c r="AS1856" s="88" t="s">
        <v>96</v>
      </c>
      <c r="AU1856" s="12" t="s">
        <v>1947</v>
      </c>
      <c r="AW1856" s="39">
        <v>90</v>
      </c>
      <c r="AY1856" s="12"/>
      <c r="AZ1856" s="12"/>
      <c r="BA1856" s="12"/>
    </row>
    <row r="1857" spans="1:53" ht="12" x14ac:dyDescent="0.2">
      <c r="A1857" s="10" t="s">
        <v>1642</v>
      </c>
      <c r="B1857" s="39">
        <v>890105</v>
      </c>
      <c r="C1857" s="42" t="s">
        <v>4157</v>
      </c>
      <c r="D1857" s="14" t="s">
        <v>1633</v>
      </c>
      <c r="E1857" s="14" t="s">
        <v>1634</v>
      </c>
      <c r="F1857" s="1" t="s">
        <v>1635</v>
      </c>
      <c r="G1857" s="1" t="s">
        <v>1708</v>
      </c>
      <c r="H1857" s="1"/>
      <c r="I1857" s="1"/>
      <c r="J1857" s="1"/>
      <c r="K1857" s="1"/>
      <c r="L1857" s="1"/>
      <c r="M1857" s="1"/>
      <c r="O1857" s="16" t="s">
        <v>335</v>
      </c>
      <c r="P1857" s="1">
        <v>1</v>
      </c>
      <c r="Q1857" s="15"/>
      <c r="R1857" s="15"/>
      <c r="S1857" s="15"/>
      <c r="T1857" s="15"/>
      <c r="U1857" s="15"/>
      <c r="V1857" s="1"/>
      <c r="W1857" s="1"/>
      <c r="X1857" s="1"/>
      <c r="Y1857" s="15"/>
      <c r="Z1857" s="15"/>
      <c r="AA1857" s="15">
        <v>384</v>
      </c>
      <c r="AB1857" s="17"/>
      <c r="AC1857" s="82"/>
      <c r="AD1857" s="16" t="s">
        <v>336</v>
      </c>
      <c r="AE1857" s="16" t="s">
        <v>336</v>
      </c>
      <c r="AF1857" s="16"/>
      <c r="AG1857" s="16"/>
      <c r="AH1857" s="16"/>
      <c r="AI1857" s="16" t="s">
        <v>1717</v>
      </c>
      <c r="AJ1857" s="16"/>
      <c r="AK1857" s="16"/>
      <c r="AL1857" s="16"/>
      <c r="AM1857" s="16"/>
      <c r="AN1857" s="16"/>
      <c r="AO1857" s="16"/>
      <c r="AP1857" s="16"/>
      <c r="AR1857" s="88" t="s">
        <v>96</v>
      </c>
      <c r="AS1857" s="88" t="s">
        <v>96</v>
      </c>
      <c r="AU1857" s="12" t="s">
        <v>1947</v>
      </c>
      <c r="AW1857" s="39">
        <v>90</v>
      </c>
      <c r="AY1857" s="12"/>
      <c r="AZ1857" s="12"/>
      <c r="BA1857" s="12"/>
    </row>
    <row r="1858" spans="1:53" ht="12" x14ac:dyDescent="0.2">
      <c r="A1858" s="10" t="s">
        <v>1643</v>
      </c>
      <c r="B1858" s="39">
        <v>890201</v>
      </c>
      <c r="C1858" s="42" t="s">
        <v>4158</v>
      </c>
      <c r="D1858" s="14" t="s">
        <v>1633</v>
      </c>
      <c r="E1858" s="14" t="s">
        <v>1634</v>
      </c>
      <c r="F1858" s="1" t="s">
        <v>928</v>
      </c>
      <c r="G1858" s="1" t="s">
        <v>1708</v>
      </c>
      <c r="H1858" s="1"/>
      <c r="I1858" s="1"/>
      <c r="J1858" s="1"/>
      <c r="K1858" s="1"/>
      <c r="L1858" s="1"/>
      <c r="M1858" s="1"/>
      <c r="O1858" s="16" t="s">
        <v>335</v>
      </c>
      <c r="P1858" s="1">
        <v>1</v>
      </c>
      <c r="Q1858" s="15"/>
      <c r="R1858" s="15"/>
      <c r="S1858" s="15"/>
      <c r="T1858" s="15"/>
      <c r="U1858" s="15"/>
      <c r="V1858" s="1"/>
      <c r="W1858" s="1"/>
      <c r="X1858" s="1"/>
      <c r="Y1858" s="15"/>
      <c r="Z1858" s="15"/>
      <c r="AA1858" s="15">
        <v>384</v>
      </c>
      <c r="AB1858" s="17"/>
      <c r="AC1858" s="82"/>
      <c r="AD1858" s="16" t="s">
        <v>336</v>
      </c>
      <c r="AE1858" s="16" t="s">
        <v>336</v>
      </c>
      <c r="AF1858" s="16"/>
      <c r="AG1858" s="16"/>
      <c r="AH1858" s="16"/>
      <c r="AI1858" s="16" t="s">
        <v>1718</v>
      </c>
      <c r="AJ1858" s="16"/>
      <c r="AK1858" s="16"/>
      <c r="AL1858" s="16"/>
      <c r="AM1858" s="16"/>
      <c r="AN1858" s="16"/>
      <c r="AO1858" s="16"/>
      <c r="AP1858" s="16"/>
      <c r="AR1858" s="88" t="s">
        <v>96</v>
      </c>
      <c r="AS1858" s="88" t="s">
        <v>96</v>
      </c>
      <c r="AU1858" s="12" t="s">
        <v>1947</v>
      </c>
      <c r="AW1858" s="39">
        <v>90</v>
      </c>
      <c r="AY1858" s="12"/>
      <c r="AZ1858" s="12"/>
      <c r="BA1858" s="12"/>
    </row>
    <row r="1859" spans="1:53" ht="12" x14ac:dyDescent="0.2">
      <c r="A1859" s="10" t="s">
        <v>1644</v>
      </c>
      <c r="B1859" s="39">
        <v>890202</v>
      </c>
      <c r="C1859" s="42" t="s">
        <v>4158</v>
      </c>
      <c r="D1859" s="14" t="s">
        <v>1633</v>
      </c>
      <c r="E1859" s="14" t="s">
        <v>1634</v>
      </c>
      <c r="F1859" s="1" t="s">
        <v>928</v>
      </c>
      <c r="G1859" s="1" t="s">
        <v>1708</v>
      </c>
      <c r="H1859" s="1"/>
      <c r="I1859" s="1"/>
      <c r="J1859" s="1"/>
      <c r="K1859" s="1"/>
      <c r="L1859" s="1"/>
      <c r="M1859" s="1"/>
      <c r="O1859" s="16" t="s">
        <v>335</v>
      </c>
      <c r="P1859" s="1">
        <v>1</v>
      </c>
      <c r="Q1859" s="15"/>
      <c r="R1859" s="15"/>
      <c r="S1859" s="15"/>
      <c r="T1859" s="15"/>
      <c r="U1859" s="15"/>
      <c r="V1859" s="1"/>
      <c r="W1859" s="1"/>
      <c r="X1859" s="1"/>
      <c r="Y1859" s="15"/>
      <c r="Z1859" s="15"/>
      <c r="AA1859" s="15">
        <v>384</v>
      </c>
      <c r="AB1859" s="17"/>
      <c r="AC1859" s="82"/>
      <c r="AD1859" s="16" t="s">
        <v>336</v>
      </c>
      <c r="AE1859" s="16" t="s">
        <v>336</v>
      </c>
      <c r="AF1859" s="16"/>
      <c r="AG1859" s="16"/>
      <c r="AH1859" s="16"/>
      <c r="AI1859" s="16" t="s">
        <v>1718</v>
      </c>
      <c r="AJ1859" s="16"/>
      <c r="AK1859" s="16"/>
      <c r="AL1859" s="16"/>
      <c r="AM1859" s="16"/>
      <c r="AN1859" s="16"/>
      <c r="AO1859" s="16"/>
      <c r="AP1859" s="16"/>
      <c r="AR1859" s="88" t="s">
        <v>96</v>
      </c>
      <c r="AS1859" s="88" t="s">
        <v>96</v>
      </c>
      <c r="AU1859" s="12" t="s">
        <v>1947</v>
      </c>
      <c r="AW1859" s="39">
        <v>90</v>
      </c>
      <c r="AY1859" s="12"/>
      <c r="AZ1859" s="12"/>
      <c r="BA1859" s="12"/>
    </row>
    <row r="1860" spans="1:53" ht="12" x14ac:dyDescent="0.2">
      <c r="A1860" s="10" t="s">
        <v>1645</v>
      </c>
      <c r="B1860" s="39">
        <v>890203</v>
      </c>
      <c r="C1860" s="42" t="s">
        <v>4158</v>
      </c>
      <c r="D1860" s="14" t="s">
        <v>1633</v>
      </c>
      <c r="E1860" s="14" t="s">
        <v>1634</v>
      </c>
      <c r="F1860" s="1" t="s">
        <v>928</v>
      </c>
      <c r="G1860" s="1" t="s">
        <v>1708</v>
      </c>
      <c r="H1860" s="1"/>
      <c r="I1860" s="1"/>
      <c r="J1860" s="1"/>
      <c r="K1860" s="1"/>
      <c r="L1860" s="1"/>
      <c r="M1860" s="1"/>
      <c r="O1860" s="16" t="s">
        <v>335</v>
      </c>
      <c r="P1860" s="1">
        <v>1</v>
      </c>
      <c r="Q1860" s="15"/>
      <c r="R1860" s="15"/>
      <c r="S1860" s="15"/>
      <c r="T1860" s="15"/>
      <c r="U1860" s="15"/>
      <c r="V1860" s="1"/>
      <c r="W1860" s="1"/>
      <c r="X1860" s="1"/>
      <c r="Y1860" s="15"/>
      <c r="Z1860" s="15"/>
      <c r="AA1860" s="15">
        <v>384</v>
      </c>
      <c r="AB1860" s="17"/>
      <c r="AC1860" s="82"/>
      <c r="AD1860" s="16" t="s">
        <v>336</v>
      </c>
      <c r="AE1860" s="16" t="s">
        <v>336</v>
      </c>
      <c r="AF1860" s="16"/>
      <c r="AG1860" s="16"/>
      <c r="AH1860" s="16"/>
      <c r="AI1860" s="16" t="s">
        <v>1718</v>
      </c>
      <c r="AJ1860" s="16"/>
      <c r="AK1860" s="16"/>
      <c r="AL1860" s="16"/>
      <c r="AM1860" s="16"/>
      <c r="AN1860" s="16"/>
      <c r="AO1860" s="16"/>
      <c r="AP1860" s="16"/>
      <c r="AR1860" s="88" t="s">
        <v>96</v>
      </c>
      <c r="AS1860" s="88" t="s">
        <v>96</v>
      </c>
      <c r="AU1860" s="12" t="s">
        <v>1947</v>
      </c>
      <c r="AW1860" s="39">
        <v>90</v>
      </c>
      <c r="AY1860" s="12"/>
      <c r="AZ1860" s="12"/>
      <c r="BA1860" s="12"/>
    </row>
    <row r="1861" spans="1:53" ht="12" x14ac:dyDescent="0.2">
      <c r="A1861" s="10" t="s">
        <v>1646</v>
      </c>
      <c r="B1861" s="39">
        <v>890204</v>
      </c>
      <c r="C1861" s="42" t="s">
        <v>4158</v>
      </c>
      <c r="D1861" s="14" t="s">
        <v>1633</v>
      </c>
      <c r="E1861" s="14" t="s">
        <v>1634</v>
      </c>
      <c r="F1861" s="1" t="s">
        <v>928</v>
      </c>
      <c r="G1861" s="1" t="s">
        <v>1708</v>
      </c>
      <c r="H1861" s="1"/>
      <c r="I1861" s="1"/>
      <c r="J1861" s="1"/>
      <c r="K1861" s="1"/>
      <c r="L1861" s="1"/>
      <c r="M1861" s="1"/>
      <c r="O1861" s="16" t="s">
        <v>335</v>
      </c>
      <c r="P1861" s="1">
        <v>1</v>
      </c>
      <c r="Q1861" s="15"/>
      <c r="R1861" s="15"/>
      <c r="S1861" s="15"/>
      <c r="T1861" s="15"/>
      <c r="U1861" s="15"/>
      <c r="V1861" s="1"/>
      <c r="W1861" s="1"/>
      <c r="X1861" s="1"/>
      <c r="Y1861" s="15"/>
      <c r="Z1861" s="15"/>
      <c r="AA1861" s="15">
        <v>384</v>
      </c>
      <c r="AB1861" s="17"/>
      <c r="AC1861" s="82"/>
      <c r="AD1861" s="16" t="s">
        <v>336</v>
      </c>
      <c r="AE1861" s="16" t="s">
        <v>336</v>
      </c>
      <c r="AF1861" s="16"/>
      <c r="AG1861" s="16"/>
      <c r="AH1861" s="16"/>
      <c r="AI1861" s="16" t="s">
        <v>1718</v>
      </c>
      <c r="AJ1861" s="16"/>
      <c r="AK1861" s="16"/>
      <c r="AL1861" s="16"/>
      <c r="AM1861" s="16"/>
      <c r="AN1861" s="16"/>
      <c r="AO1861" s="16"/>
      <c r="AP1861" s="16"/>
      <c r="AR1861" s="88" t="s">
        <v>96</v>
      </c>
      <c r="AS1861" s="88" t="s">
        <v>96</v>
      </c>
      <c r="AU1861" s="12" t="s">
        <v>1947</v>
      </c>
      <c r="AW1861" s="39">
        <v>90</v>
      </c>
      <c r="AY1861" s="12"/>
      <c r="AZ1861" s="12"/>
      <c r="BA1861" s="12"/>
    </row>
    <row r="1862" spans="1:53" ht="12" x14ac:dyDescent="0.2">
      <c r="A1862" s="10" t="s">
        <v>1647</v>
      </c>
      <c r="B1862" s="39">
        <v>890205</v>
      </c>
      <c r="C1862" s="42" t="s">
        <v>4158</v>
      </c>
      <c r="D1862" s="14" t="s">
        <v>1633</v>
      </c>
      <c r="E1862" s="14" t="s">
        <v>1634</v>
      </c>
      <c r="F1862" s="1" t="s">
        <v>928</v>
      </c>
      <c r="G1862" s="1" t="s">
        <v>1708</v>
      </c>
      <c r="H1862" s="1"/>
      <c r="I1862" s="1"/>
      <c r="J1862" s="1"/>
      <c r="K1862" s="1"/>
      <c r="L1862" s="1"/>
      <c r="M1862" s="1"/>
      <c r="O1862" s="16" t="s">
        <v>335</v>
      </c>
      <c r="P1862" s="1">
        <v>1</v>
      </c>
      <c r="Q1862" s="15"/>
      <c r="R1862" s="15"/>
      <c r="S1862" s="15"/>
      <c r="T1862" s="15"/>
      <c r="U1862" s="15"/>
      <c r="V1862" s="1"/>
      <c r="W1862" s="1"/>
      <c r="X1862" s="1"/>
      <c r="Y1862" s="15"/>
      <c r="Z1862" s="15"/>
      <c r="AA1862" s="15">
        <v>384</v>
      </c>
      <c r="AB1862" s="17"/>
      <c r="AC1862" s="82"/>
      <c r="AD1862" s="16" t="s">
        <v>336</v>
      </c>
      <c r="AE1862" s="16" t="s">
        <v>336</v>
      </c>
      <c r="AF1862" s="16"/>
      <c r="AG1862" s="16"/>
      <c r="AH1862" s="16"/>
      <c r="AI1862" s="16" t="s">
        <v>1718</v>
      </c>
      <c r="AJ1862" s="16"/>
      <c r="AK1862" s="16"/>
      <c r="AL1862" s="16"/>
      <c r="AM1862" s="16"/>
      <c r="AN1862" s="16"/>
      <c r="AO1862" s="16"/>
      <c r="AP1862" s="16"/>
      <c r="AR1862" s="88" t="s">
        <v>96</v>
      </c>
      <c r="AS1862" s="88" t="s">
        <v>96</v>
      </c>
      <c r="AU1862" s="12" t="s">
        <v>1947</v>
      </c>
      <c r="AW1862" s="39">
        <v>90</v>
      </c>
      <c r="AY1862" s="12"/>
      <c r="AZ1862" s="12"/>
      <c r="BA1862" s="12"/>
    </row>
    <row r="1863" spans="1:53" ht="12" x14ac:dyDescent="0.2">
      <c r="A1863" s="10" t="s">
        <v>1648</v>
      </c>
      <c r="B1863" s="39">
        <v>890301</v>
      </c>
      <c r="C1863" s="42" t="s">
        <v>4159</v>
      </c>
      <c r="D1863" s="14" t="s">
        <v>1633</v>
      </c>
      <c r="E1863" s="14" t="s">
        <v>1634</v>
      </c>
      <c r="F1863" s="1" t="s">
        <v>310</v>
      </c>
      <c r="G1863" s="1" t="s">
        <v>1708</v>
      </c>
      <c r="H1863" s="1"/>
      <c r="I1863" s="1"/>
      <c r="J1863" s="1"/>
      <c r="K1863" s="1"/>
      <c r="L1863" s="1"/>
      <c r="M1863" s="1"/>
      <c r="O1863" s="16" t="s">
        <v>335</v>
      </c>
      <c r="P1863" s="1">
        <v>1</v>
      </c>
      <c r="Q1863" s="15"/>
      <c r="R1863" s="15"/>
      <c r="S1863" s="15"/>
      <c r="T1863" s="15"/>
      <c r="U1863" s="15"/>
      <c r="V1863" s="1"/>
      <c r="W1863" s="1"/>
      <c r="X1863" s="1"/>
      <c r="Y1863" s="15"/>
      <c r="Z1863" s="15"/>
      <c r="AA1863" s="15">
        <v>384</v>
      </c>
      <c r="AB1863" s="17"/>
      <c r="AC1863" s="82"/>
      <c r="AD1863" s="16" t="s">
        <v>336</v>
      </c>
      <c r="AE1863" s="16" t="s">
        <v>336</v>
      </c>
      <c r="AF1863" s="16"/>
      <c r="AG1863" s="16"/>
      <c r="AH1863" s="16"/>
      <c r="AI1863" s="16" t="s">
        <v>1719</v>
      </c>
      <c r="AJ1863" s="16"/>
      <c r="AK1863" s="16"/>
      <c r="AL1863" s="16"/>
      <c r="AM1863" s="16"/>
      <c r="AN1863" s="16"/>
      <c r="AO1863" s="16"/>
      <c r="AP1863" s="16"/>
      <c r="AR1863" s="88" t="s">
        <v>96</v>
      </c>
      <c r="AS1863" s="88" t="s">
        <v>96</v>
      </c>
      <c r="AU1863" s="12" t="s">
        <v>1947</v>
      </c>
      <c r="AW1863" s="39">
        <v>90</v>
      </c>
      <c r="AY1863" s="12"/>
      <c r="AZ1863" s="12"/>
      <c r="BA1863" s="12"/>
    </row>
    <row r="1864" spans="1:53" ht="12" x14ac:dyDescent="0.2">
      <c r="A1864" s="10" t="s">
        <v>1649</v>
      </c>
      <c r="B1864" s="39">
        <v>890302</v>
      </c>
      <c r="C1864" s="42" t="s">
        <v>4159</v>
      </c>
      <c r="D1864" s="14" t="s">
        <v>1633</v>
      </c>
      <c r="E1864" s="14" t="s">
        <v>1634</v>
      </c>
      <c r="F1864" s="1" t="s">
        <v>310</v>
      </c>
      <c r="G1864" s="1" t="s">
        <v>1708</v>
      </c>
      <c r="H1864" s="1"/>
      <c r="I1864" s="1"/>
      <c r="J1864" s="1"/>
      <c r="K1864" s="1"/>
      <c r="L1864" s="1"/>
      <c r="M1864" s="1"/>
      <c r="O1864" s="16" t="s">
        <v>335</v>
      </c>
      <c r="P1864" s="1">
        <v>1</v>
      </c>
      <c r="Q1864" s="15"/>
      <c r="R1864" s="15"/>
      <c r="S1864" s="15"/>
      <c r="T1864" s="15"/>
      <c r="U1864" s="15"/>
      <c r="V1864" s="1"/>
      <c r="W1864" s="1"/>
      <c r="X1864" s="1"/>
      <c r="Y1864" s="15"/>
      <c r="Z1864" s="15"/>
      <c r="AA1864" s="15">
        <v>384</v>
      </c>
      <c r="AB1864" s="17"/>
      <c r="AC1864" s="82"/>
      <c r="AD1864" s="16" t="s">
        <v>336</v>
      </c>
      <c r="AE1864" s="16" t="s">
        <v>336</v>
      </c>
      <c r="AF1864" s="16"/>
      <c r="AG1864" s="16"/>
      <c r="AH1864" s="16"/>
      <c r="AI1864" s="16" t="s">
        <v>1719</v>
      </c>
      <c r="AJ1864" s="16"/>
      <c r="AK1864" s="16"/>
      <c r="AL1864" s="16"/>
      <c r="AM1864" s="16"/>
      <c r="AN1864" s="16"/>
      <c r="AO1864" s="16"/>
      <c r="AP1864" s="16"/>
      <c r="AR1864" s="88" t="s">
        <v>96</v>
      </c>
      <c r="AS1864" s="88" t="s">
        <v>96</v>
      </c>
      <c r="AU1864" s="12" t="s">
        <v>1947</v>
      </c>
      <c r="AW1864" s="39">
        <v>90</v>
      </c>
      <c r="AY1864" s="12"/>
      <c r="AZ1864" s="12"/>
      <c r="BA1864" s="12"/>
    </row>
    <row r="1865" spans="1:53" ht="12" x14ac:dyDescent="0.2">
      <c r="A1865" s="10" t="s">
        <v>1650</v>
      </c>
      <c r="B1865" s="39">
        <v>890303</v>
      </c>
      <c r="C1865" s="42" t="s">
        <v>4159</v>
      </c>
      <c r="D1865" s="14" t="s">
        <v>1633</v>
      </c>
      <c r="E1865" s="14" t="s">
        <v>1634</v>
      </c>
      <c r="F1865" s="1" t="s">
        <v>310</v>
      </c>
      <c r="G1865" s="1" t="s">
        <v>1708</v>
      </c>
      <c r="H1865" s="1"/>
      <c r="I1865" s="1"/>
      <c r="J1865" s="1"/>
      <c r="K1865" s="1"/>
      <c r="L1865" s="1"/>
      <c r="M1865" s="1"/>
      <c r="O1865" s="16" t="s">
        <v>335</v>
      </c>
      <c r="P1865" s="1">
        <v>1</v>
      </c>
      <c r="Q1865" s="15"/>
      <c r="R1865" s="15"/>
      <c r="S1865" s="15"/>
      <c r="T1865" s="15"/>
      <c r="U1865" s="15"/>
      <c r="V1865" s="1"/>
      <c r="W1865" s="1"/>
      <c r="X1865" s="1"/>
      <c r="Y1865" s="15"/>
      <c r="Z1865" s="15"/>
      <c r="AA1865" s="15">
        <v>384</v>
      </c>
      <c r="AB1865" s="17"/>
      <c r="AC1865" s="82"/>
      <c r="AD1865" s="16" t="s">
        <v>336</v>
      </c>
      <c r="AE1865" s="16" t="s">
        <v>336</v>
      </c>
      <c r="AF1865" s="16"/>
      <c r="AG1865" s="16"/>
      <c r="AH1865" s="16"/>
      <c r="AI1865" s="16" t="s">
        <v>1719</v>
      </c>
      <c r="AJ1865" s="16"/>
      <c r="AK1865" s="16"/>
      <c r="AL1865" s="16"/>
      <c r="AM1865" s="16"/>
      <c r="AN1865" s="16"/>
      <c r="AO1865" s="16"/>
      <c r="AP1865" s="16"/>
      <c r="AR1865" s="88" t="s">
        <v>96</v>
      </c>
      <c r="AS1865" s="88" t="s">
        <v>96</v>
      </c>
      <c r="AU1865" s="12" t="s">
        <v>1947</v>
      </c>
      <c r="AW1865" s="39">
        <v>90</v>
      </c>
      <c r="AY1865" s="12"/>
      <c r="AZ1865" s="12"/>
      <c r="BA1865" s="12"/>
    </row>
    <row r="1866" spans="1:53" ht="12" x14ac:dyDescent="0.2">
      <c r="A1866" s="10" t="s">
        <v>1651</v>
      </c>
      <c r="B1866" s="39">
        <v>890304</v>
      </c>
      <c r="C1866" s="42" t="s">
        <v>4159</v>
      </c>
      <c r="D1866" s="14" t="s">
        <v>1633</v>
      </c>
      <c r="E1866" s="14" t="s">
        <v>1634</v>
      </c>
      <c r="F1866" s="1" t="s">
        <v>310</v>
      </c>
      <c r="G1866" s="1" t="s">
        <v>1708</v>
      </c>
      <c r="H1866" s="1"/>
      <c r="I1866" s="1"/>
      <c r="J1866" s="1"/>
      <c r="K1866" s="1"/>
      <c r="L1866" s="1"/>
      <c r="M1866" s="1"/>
      <c r="O1866" s="16" t="s">
        <v>335</v>
      </c>
      <c r="P1866" s="1">
        <v>1</v>
      </c>
      <c r="Q1866" s="15"/>
      <c r="R1866" s="15"/>
      <c r="S1866" s="15"/>
      <c r="T1866" s="15"/>
      <c r="U1866" s="15"/>
      <c r="V1866" s="1"/>
      <c r="W1866" s="1"/>
      <c r="X1866" s="1"/>
      <c r="Y1866" s="15"/>
      <c r="Z1866" s="15"/>
      <c r="AA1866" s="15">
        <v>384</v>
      </c>
      <c r="AB1866" s="17"/>
      <c r="AC1866" s="82"/>
      <c r="AD1866" s="16" t="s">
        <v>336</v>
      </c>
      <c r="AE1866" s="16" t="s">
        <v>336</v>
      </c>
      <c r="AF1866" s="16"/>
      <c r="AG1866" s="16"/>
      <c r="AH1866" s="16"/>
      <c r="AI1866" s="16" t="s">
        <v>1719</v>
      </c>
      <c r="AJ1866" s="16"/>
      <c r="AK1866" s="16"/>
      <c r="AL1866" s="16"/>
      <c r="AM1866" s="16"/>
      <c r="AN1866" s="16"/>
      <c r="AO1866" s="16"/>
      <c r="AP1866" s="16"/>
      <c r="AR1866" s="88" t="s">
        <v>96</v>
      </c>
      <c r="AS1866" s="88" t="s">
        <v>96</v>
      </c>
      <c r="AU1866" s="12" t="s">
        <v>1947</v>
      </c>
      <c r="AW1866" s="39">
        <v>90</v>
      </c>
      <c r="AY1866" s="12"/>
      <c r="AZ1866" s="12"/>
      <c r="BA1866" s="12"/>
    </row>
    <row r="1867" spans="1:53" ht="12" x14ac:dyDescent="0.2">
      <c r="A1867" s="10" t="s">
        <v>1652</v>
      </c>
      <c r="B1867" s="39">
        <v>890305</v>
      </c>
      <c r="C1867" s="42" t="s">
        <v>4159</v>
      </c>
      <c r="D1867" s="14" t="s">
        <v>1633</v>
      </c>
      <c r="E1867" s="14" t="s">
        <v>1634</v>
      </c>
      <c r="F1867" s="1" t="s">
        <v>310</v>
      </c>
      <c r="G1867" s="1" t="s">
        <v>1708</v>
      </c>
      <c r="H1867" s="1"/>
      <c r="I1867" s="1"/>
      <c r="J1867" s="1"/>
      <c r="K1867" s="1"/>
      <c r="L1867" s="1"/>
      <c r="M1867" s="1"/>
      <c r="O1867" s="16" t="s">
        <v>335</v>
      </c>
      <c r="P1867" s="1">
        <v>1</v>
      </c>
      <c r="Q1867" s="15"/>
      <c r="R1867" s="15"/>
      <c r="S1867" s="15"/>
      <c r="T1867" s="15"/>
      <c r="U1867" s="15"/>
      <c r="V1867" s="1"/>
      <c r="W1867" s="1"/>
      <c r="X1867" s="1"/>
      <c r="Y1867" s="15"/>
      <c r="Z1867" s="15"/>
      <c r="AA1867" s="15">
        <v>384</v>
      </c>
      <c r="AB1867" s="17"/>
      <c r="AC1867" s="82"/>
      <c r="AD1867" s="16" t="s">
        <v>336</v>
      </c>
      <c r="AE1867" s="16" t="s">
        <v>336</v>
      </c>
      <c r="AF1867" s="16"/>
      <c r="AG1867" s="16"/>
      <c r="AH1867" s="16"/>
      <c r="AI1867" s="16" t="s">
        <v>1719</v>
      </c>
      <c r="AJ1867" s="16"/>
      <c r="AK1867" s="16"/>
      <c r="AL1867" s="16"/>
      <c r="AM1867" s="16"/>
      <c r="AN1867" s="16"/>
      <c r="AO1867" s="16"/>
      <c r="AP1867" s="16"/>
      <c r="AR1867" s="88" t="s">
        <v>96</v>
      </c>
      <c r="AS1867" s="88" t="s">
        <v>96</v>
      </c>
      <c r="AU1867" s="12" t="s">
        <v>1947</v>
      </c>
      <c r="AW1867" s="39">
        <v>90</v>
      </c>
      <c r="AY1867" s="12"/>
      <c r="AZ1867" s="12"/>
      <c r="BA1867" s="12"/>
    </row>
    <row r="1868" spans="1:53" ht="12" x14ac:dyDescent="0.2">
      <c r="A1868" s="10" t="s">
        <v>1653</v>
      </c>
      <c r="B1868" s="39">
        <v>890401</v>
      </c>
      <c r="C1868" s="42" t="s">
        <v>4160</v>
      </c>
      <c r="D1868" s="14" t="s">
        <v>1633</v>
      </c>
      <c r="E1868" s="14" t="s">
        <v>1634</v>
      </c>
      <c r="F1868" s="1" t="s">
        <v>456</v>
      </c>
      <c r="G1868" s="1" t="s">
        <v>1708</v>
      </c>
      <c r="H1868" s="1"/>
      <c r="I1868" s="1"/>
      <c r="J1868" s="1"/>
      <c r="K1868" s="1"/>
      <c r="L1868" s="1"/>
      <c r="M1868" s="1"/>
      <c r="O1868" s="16" t="s">
        <v>335</v>
      </c>
      <c r="P1868" s="1">
        <v>1</v>
      </c>
      <c r="Q1868" s="15"/>
      <c r="R1868" s="15"/>
      <c r="S1868" s="15"/>
      <c r="T1868" s="15"/>
      <c r="U1868" s="15"/>
      <c r="V1868" s="1"/>
      <c r="W1868" s="1"/>
      <c r="X1868" s="1"/>
      <c r="Y1868" s="15"/>
      <c r="Z1868" s="15"/>
      <c r="AA1868" s="15">
        <v>384</v>
      </c>
      <c r="AB1868" s="17"/>
      <c r="AC1868" s="82"/>
      <c r="AD1868" s="16" t="s">
        <v>336</v>
      </c>
      <c r="AE1868" s="16" t="s">
        <v>336</v>
      </c>
      <c r="AF1868" s="16"/>
      <c r="AG1868" s="16"/>
      <c r="AH1868" s="16"/>
      <c r="AI1868" s="16" t="s">
        <v>1720</v>
      </c>
      <c r="AJ1868" s="16"/>
      <c r="AK1868" s="16"/>
      <c r="AL1868" s="16"/>
      <c r="AM1868" s="16"/>
      <c r="AN1868" s="16"/>
      <c r="AO1868" s="16"/>
      <c r="AP1868" s="16"/>
      <c r="AR1868" s="88" t="s">
        <v>96</v>
      </c>
      <c r="AS1868" s="88" t="s">
        <v>96</v>
      </c>
      <c r="AU1868" s="12" t="s">
        <v>1947</v>
      </c>
      <c r="AW1868" s="39">
        <v>90</v>
      </c>
      <c r="AY1868" s="12"/>
      <c r="AZ1868" s="12"/>
      <c r="BA1868" s="12"/>
    </row>
    <row r="1869" spans="1:53" ht="12" x14ac:dyDescent="0.2">
      <c r="A1869" s="10" t="s">
        <v>1654</v>
      </c>
      <c r="B1869" s="39">
        <v>890402</v>
      </c>
      <c r="C1869" s="42" t="s">
        <v>4160</v>
      </c>
      <c r="D1869" s="14" t="s">
        <v>1633</v>
      </c>
      <c r="E1869" s="14" t="s">
        <v>1634</v>
      </c>
      <c r="F1869" s="1" t="s">
        <v>456</v>
      </c>
      <c r="G1869" s="1" t="s">
        <v>1708</v>
      </c>
      <c r="H1869" s="1"/>
      <c r="I1869" s="1"/>
      <c r="J1869" s="1"/>
      <c r="K1869" s="1"/>
      <c r="L1869" s="1"/>
      <c r="M1869" s="1"/>
      <c r="O1869" s="16" t="s">
        <v>335</v>
      </c>
      <c r="P1869" s="1">
        <v>1</v>
      </c>
      <c r="Q1869" s="15"/>
      <c r="R1869" s="15"/>
      <c r="S1869" s="15"/>
      <c r="T1869" s="15"/>
      <c r="U1869" s="15"/>
      <c r="V1869" s="1"/>
      <c r="W1869" s="1"/>
      <c r="X1869" s="1"/>
      <c r="Y1869" s="15"/>
      <c r="Z1869" s="15"/>
      <c r="AA1869" s="15">
        <v>384</v>
      </c>
      <c r="AB1869" s="17"/>
      <c r="AC1869" s="82"/>
      <c r="AD1869" s="16" t="s">
        <v>336</v>
      </c>
      <c r="AE1869" s="16" t="s">
        <v>336</v>
      </c>
      <c r="AF1869" s="16"/>
      <c r="AG1869" s="16"/>
      <c r="AH1869" s="16"/>
      <c r="AI1869" s="16" t="s">
        <v>1720</v>
      </c>
      <c r="AJ1869" s="16"/>
      <c r="AK1869" s="16"/>
      <c r="AL1869" s="16"/>
      <c r="AM1869" s="16"/>
      <c r="AN1869" s="16"/>
      <c r="AO1869" s="16"/>
      <c r="AP1869" s="16"/>
      <c r="AR1869" s="88" t="s">
        <v>96</v>
      </c>
      <c r="AS1869" s="88" t="s">
        <v>96</v>
      </c>
      <c r="AU1869" s="12" t="s">
        <v>1947</v>
      </c>
      <c r="AW1869" s="39">
        <v>90</v>
      </c>
      <c r="AY1869" s="12"/>
      <c r="AZ1869" s="12"/>
      <c r="BA1869" s="12"/>
    </row>
    <row r="1870" spans="1:53" ht="12" x14ac:dyDescent="0.2">
      <c r="A1870" s="10" t="s">
        <v>1655</v>
      </c>
      <c r="B1870" s="39">
        <v>890403</v>
      </c>
      <c r="C1870" s="42" t="s">
        <v>4160</v>
      </c>
      <c r="D1870" s="14" t="s">
        <v>1633</v>
      </c>
      <c r="E1870" s="14" t="s">
        <v>1634</v>
      </c>
      <c r="F1870" s="1" t="s">
        <v>456</v>
      </c>
      <c r="G1870" s="1" t="s">
        <v>1708</v>
      </c>
      <c r="H1870" s="1"/>
      <c r="I1870" s="1"/>
      <c r="J1870" s="1"/>
      <c r="K1870" s="1"/>
      <c r="L1870" s="1"/>
      <c r="M1870" s="1"/>
      <c r="O1870" s="16" t="s">
        <v>335</v>
      </c>
      <c r="P1870" s="1">
        <v>1</v>
      </c>
      <c r="Q1870" s="15"/>
      <c r="R1870" s="15"/>
      <c r="S1870" s="15"/>
      <c r="T1870" s="15"/>
      <c r="U1870" s="15"/>
      <c r="V1870" s="1"/>
      <c r="W1870" s="1"/>
      <c r="X1870" s="1"/>
      <c r="Y1870" s="15"/>
      <c r="Z1870" s="15"/>
      <c r="AA1870" s="15">
        <v>384</v>
      </c>
      <c r="AB1870" s="17"/>
      <c r="AC1870" s="82"/>
      <c r="AD1870" s="16" t="s">
        <v>336</v>
      </c>
      <c r="AE1870" s="16" t="s">
        <v>336</v>
      </c>
      <c r="AF1870" s="16"/>
      <c r="AG1870" s="16"/>
      <c r="AH1870" s="16"/>
      <c r="AI1870" s="16" t="s">
        <v>1720</v>
      </c>
      <c r="AJ1870" s="16"/>
      <c r="AK1870" s="16"/>
      <c r="AL1870" s="16"/>
      <c r="AM1870" s="16"/>
      <c r="AN1870" s="16"/>
      <c r="AO1870" s="16"/>
      <c r="AP1870" s="16"/>
      <c r="AR1870" s="88" t="s">
        <v>96</v>
      </c>
      <c r="AS1870" s="88" t="s">
        <v>96</v>
      </c>
      <c r="AU1870" s="12" t="s">
        <v>1947</v>
      </c>
      <c r="AW1870" s="39">
        <v>90</v>
      </c>
      <c r="AY1870" s="12"/>
      <c r="AZ1870" s="12"/>
      <c r="BA1870" s="12"/>
    </row>
    <row r="1871" spans="1:53" ht="12" x14ac:dyDescent="0.2">
      <c r="A1871" s="10" t="s">
        <v>1656</v>
      </c>
      <c r="B1871" s="39">
        <v>890404</v>
      </c>
      <c r="C1871" s="42" t="s">
        <v>4160</v>
      </c>
      <c r="D1871" s="14" t="s">
        <v>1633</v>
      </c>
      <c r="E1871" s="14" t="s">
        <v>1634</v>
      </c>
      <c r="F1871" s="1" t="s">
        <v>456</v>
      </c>
      <c r="G1871" s="1" t="s">
        <v>1708</v>
      </c>
      <c r="H1871" s="1"/>
      <c r="I1871" s="1"/>
      <c r="J1871" s="1"/>
      <c r="K1871" s="1"/>
      <c r="L1871" s="1"/>
      <c r="M1871" s="1"/>
      <c r="O1871" s="16" t="s">
        <v>335</v>
      </c>
      <c r="P1871" s="1">
        <v>1</v>
      </c>
      <c r="Q1871" s="15"/>
      <c r="R1871" s="15"/>
      <c r="S1871" s="15"/>
      <c r="T1871" s="15"/>
      <c r="U1871" s="15"/>
      <c r="V1871" s="1"/>
      <c r="W1871" s="1"/>
      <c r="X1871" s="1"/>
      <c r="Y1871" s="15"/>
      <c r="Z1871" s="15"/>
      <c r="AA1871" s="15">
        <v>384</v>
      </c>
      <c r="AB1871" s="17"/>
      <c r="AC1871" s="82"/>
      <c r="AD1871" s="16" t="s">
        <v>336</v>
      </c>
      <c r="AE1871" s="16" t="s">
        <v>336</v>
      </c>
      <c r="AF1871" s="16"/>
      <c r="AG1871" s="16"/>
      <c r="AH1871" s="16"/>
      <c r="AI1871" s="16" t="s">
        <v>1720</v>
      </c>
      <c r="AJ1871" s="16"/>
      <c r="AK1871" s="16"/>
      <c r="AL1871" s="16"/>
      <c r="AM1871" s="16"/>
      <c r="AN1871" s="16"/>
      <c r="AO1871" s="16"/>
      <c r="AP1871" s="16"/>
      <c r="AR1871" s="88" t="s">
        <v>96</v>
      </c>
      <c r="AS1871" s="88" t="s">
        <v>96</v>
      </c>
      <c r="AU1871" s="12" t="s">
        <v>1947</v>
      </c>
      <c r="AW1871" s="39">
        <v>90</v>
      </c>
      <c r="AY1871" s="12"/>
      <c r="AZ1871" s="12"/>
      <c r="BA1871" s="12"/>
    </row>
    <row r="1872" spans="1:53" ht="12" x14ac:dyDescent="0.2">
      <c r="A1872" s="10" t="s">
        <v>1657</v>
      </c>
      <c r="B1872" s="39">
        <v>890405</v>
      </c>
      <c r="C1872" s="42" t="s">
        <v>4160</v>
      </c>
      <c r="D1872" s="14" t="s">
        <v>1633</v>
      </c>
      <c r="E1872" s="14" t="s">
        <v>1634</v>
      </c>
      <c r="F1872" s="1" t="s">
        <v>456</v>
      </c>
      <c r="G1872" s="1" t="s">
        <v>1708</v>
      </c>
      <c r="H1872" s="1"/>
      <c r="I1872" s="1"/>
      <c r="J1872" s="1"/>
      <c r="K1872" s="1"/>
      <c r="L1872" s="1"/>
      <c r="M1872" s="1"/>
      <c r="O1872" s="16" t="s">
        <v>335</v>
      </c>
      <c r="P1872" s="1">
        <v>1</v>
      </c>
      <c r="Q1872" s="15"/>
      <c r="R1872" s="15"/>
      <c r="S1872" s="15"/>
      <c r="T1872" s="15"/>
      <c r="U1872" s="15"/>
      <c r="V1872" s="1"/>
      <c r="W1872" s="1"/>
      <c r="X1872" s="1"/>
      <c r="Y1872" s="15"/>
      <c r="Z1872" s="15"/>
      <c r="AA1872" s="15">
        <v>384</v>
      </c>
      <c r="AB1872" s="17"/>
      <c r="AC1872" s="82"/>
      <c r="AD1872" s="16" t="s">
        <v>336</v>
      </c>
      <c r="AE1872" s="16" t="s">
        <v>336</v>
      </c>
      <c r="AF1872" s="16"/>
      <c r="AG1872" s="16"/>
      <c r="AH1872" s="16"/>
      <c r="AI1872" s="16" t="s">
        <v>1720</v>
      </c>
      <c r="AJ1872" s="16"/>
      <c r="AK1872" s="16"/>
      <c r="AL1872" s="16"/>
      <c r="AM1872" s="16"/>
      <c r="AN1872" s="16"/>
      <c r="AO1872" s="16"/>
      <c r="AP1872" s="16"/>
      <c r="AR1872" s="88" t="s">
        <v>96</v>
      </c>
      <c r="AS1872" s="88" t="s">
        <v>96</v>
      </c>
      <c r="AU1872" s="12" t="s">
        <v>1947</v>
      </c>
      <c r="AW1872" s="39">
        <v>90</v>
      </c>
      <c r="AY1872" s="12"/>
      <c r="AZ1872" s="12"/>
      <c r="BA1872" s="12"/>
    </row>
    <row r="1873" spans="1:53" ht="12" x14ac:dyDescent="0.2">
      <c r="A1873" s="10" t="s">
        <v>1658</v>
      </c>
      <c r="B1873" s="39">
        <v>890501</v>
      </c>
      <c r="C1873" s="42" t="s">
        <v>4161</v>
      </c>
      <c r="D1873" s="14" t="s">
        <v>1633</v>
      </c>
      <c r="E1873" s="14" t="s">
        <v>1634</v>
      </c>
      <c r="F1873" s="1" t="s">
        <v>927</v>
      </c>
      <c r="G1873" s="1" t="s">
        <v>1708</v>
      </c>
      <c r="H1873" s="1"/>
      <c r="I1873" s="1"/>
      <c r="J1873" s="1"/>
      <c r="K1873" s="1"/>
      <c r="L1873" s="1"/>
      <c r="M1873" s="1"/>
      <c r="O1873" s="16" t="s">
        <v>335</v>
      </c>
      <c r="P1873" s="1">
        <v>1</v>
      </c>
      <c r="Q1873" s="15"/>
      <c r="R1873" s="15"/>
      <c r="S1873" s="15"/>
      <c r="T1873" s="15"/>
      <c r="U1873" s="15"/>
      <c r="V1873" s="1"/>
      <c r="W1873" s="1"/>
      <c r="X1873" s="1"/>
      <c r="Y1873" s="15"/>
      <c r="Z1873" s="15"/>
      <c r="AA1873" s="15">
        <v>384</v>
      </c>
      <c r="AB1873" s="17"/>
      <c r="AC1873" s="82"/>
      <c r="AD1873" s="16" t="s">
        <v>336</v>
      </c>
      <c r="AE1873" s="16" t="s">
        <v>336</v>
      </c>
      <c r="AF1873" s="16"/>
      <c r="AG1873" s="16"/>
      <c r="AH1873" s="16"/>
      <c r="AI1873" s="16" t="s">
        <v>1721</v>
      </c>
      <c r="AJ1873" s="16"/>
      <c r="AK1873" s="16"/>
      <c r="AL1873" s="16"/>
      <c r="AM1873" s="16"/>
      <c r="AN1873" s="16"/>
      <c r="AO1873" s="16"/>
      <c r="AP1873" s="16"/>
      <c r="AR1873" s="88" t="s">
        <v>96</v>
      </c>
      <c r="AS1873" s="88" t="s">
        <v>96</v>
      </c>
      <c r="AU1873" s="12" t="s">
        <v>1947</v>
      </c>
      <c r="AW1873" s="39">
        <v>90</v>
      </c>
      <c r="AY1873" s="12"/>
      <c r="AZ1873" s="12"/>
      <c r="BA1873" s="12"/>
    </row>
    <row r="1874" spans="1:53" ht="12" x14ac:dyDescent="0.2">
      <c r="A1874" s="10" t="s">
        <v>1659</v>
      </c>
      <c r="B1874" s="39">
        <v>890502</v>
      </c>
      <c r="C1874" s="42" t="s">
        <v>4161</v>
      </c>
      <c r="D1874" s="14" t="s">
        <v>1633</v>
      </c>
      <c r="E1874" s="14" t="s">
        <v>1634</v>
      </c>
      <c r="F1874" s="1" t="s">
        <v>927</v>
      </c>
      <c r="G1874" s="1" t="s">
        <v>1708</v>
      </c>
      <c r="H1874" s="1"/>
      <c r="I1874" s="1"/>
      <c r="J1874" s="1"/>
      <c r="K1874" s="1"/>
      <c r="L1874" s="1"/>
      <c r="M1874" s="1"/>
      <c r="O1874" s="16" t="s">
        <v>335</v>
      </c>
      <c r="P1874" s="1">
        <v>1</v>
      </c>
      <c r="Q1874" s="15"/>
      <c r="R1874" s="15"/>
      <c r="S1874" s="15"/>
      <c r="T1874" s="15"/>
      <c r="U1874" s="15"/>
      <c r="V1874" s="1"/>
      <c r="W1874" s="1"/>
      <c r="X1874" s="1"/>
      <c r="Y1874" s="15"/>
      <c r="Z1874" s="15"/>
      <c r="AA1874" s="15">
        <v>384</v>
      </c>
      <c r="AB1874" s="17"/>
      <c r="AC1874" s="82"/>
      <c r="AD1874" s="16" t="s">
        <v>336</v>
      </c>
      <c r="AE1874" s="16" t="s">
        <v>336</v>
      </c>
      <c r="AF1874" s="16"/>
      <c r="AG1874" s="16"/>
      <c r="AH1874" s="16"/>
      <c r="AI1874" s="16" t="s">
        <v>1721</v>
      </c>
      <c r="AJ1874" s="16"/>
      <c r="AK1874" s="16"/>
      <c r="AL1874" s="16"/>
      <c r="AM1874" s="16"/>
      <c r="AN1874" s="16"/>
      <c r="AO1874" s="16"/>
      <c r="AP1874" s="16"/>
      <c r="AR1874" s="88" t="s">
        <v>96</v>
      </c>
      <c r="AS1874" s="88" t="s">
        <v>96</v>
      </c>
      <c r="AU1874" s="12" t="s">
        <v>1947</v>
      </c>
      <c r="AW1874" s="39">
        <v>90</v>
      </c>
      <c r="AY1874" s="12"/>
      <c r="AZ1874" s="12"/>
      <c r="BA1874" s="12"/>
    </row>
    <row r="1875" spans="1:53" ht="12" x14ac:dyDescent="0.2">
      <c r="A1875" s="10" t="s">
        <v>1660</v>
      </c>
      <c r="B1875" s="39">
        <v>890503</v>
      </c>
      <c r="C1875" s="42" t="s">
        <v>4161</v>
      </c>
      <c r="D1875" s="14" t="s">
        <v>1633</v>
      </c>
      <c r="E1875" s="14" t="s">
        <v>1634</v>
      </c>
      <c r="F1875" s="1" t="s">
        <v>927</v>
      </c>
      <c r="G1875" s="1" t="s">
        <v>1708</v>
      </c>
      <c r="H1875" s="1"/>
      <c r="I1875" s="1"/>
      <c r="J1875" s="1"/>
      <c r="K1875" s="1"/>
      <c r="L1875" s="1"/>
      <c r="M1875" s="1"/>
      <c r="O1875" s="16" t="s">
        <v>335</v>
      </c>
      <c r="P1875" s="1">
        <v>1</v>
      </c>
      <c r="Q1875" s="15"/>
      <c r="R1875" s="15"/>
      <c r="S1875" s="15"/>
      <c r="T1875" s="15"/>
      <c r="U1875" s="15"/>
      <c r="V1875" s="1"/>
      <c r="W1875" s="1"/>
      <c r="X1875" s="1"/>
      <c r="Y1875" s="15"/>
      <c r="Z1875" s="15"/>
      <c r="AA1875" s="15">
        <v>384</v>
      </c>
      <c r="AB1875" s="17"/>
      <c r="AC1875" s="82"/>
      <c r="AD1875" s="16" t="s">
        <v>336</v>
      </c>
      <c r="AE1875" s="16" t="s">
        <v>336</v>
      </c>
      <c r="AF1875" s="16"/>
      <c r="AG1875" s="16"/>
      <c r="AH1875" s="16"/>
      <c r="AI1875" s="16" t="s">
        <v>1721</v>
      </c>
      <c r="AJ1875" s="16"/>
      <c r="AK1875" s="16"/>
      <c r="AL1875" s="16"/>
      <c r="AM1875" s="16"/>
      <c r="AN1875" s="16"/>
      <c r="AO1875" s="16"/>
      <c r="AP1875" s="16"/>
      <c r="AR1875" s="88" t="s">
        <v>96</v>
      </c>
      <c r="AS1875" s="88" t="s">
        <v>96</v>
      </c>
      <c r="AU1875" s="12" t="s">
        <v>1947</v>
      </c>
      <c r="AW1875" s="39">
        <v>90</v>
      </c>
      <c r="AY1875" s="12"/>
      <c r="AZ1875" s="12"/>
      <c r="BA1875" s="12"/>
    </row>
    <row r="1876" spans="1:53" ht="12" x14ac:dyDescent="0.2">
      <c r="A1876" s="10" t="s">
        <v>1661</v>
      </c>
      <c r="B1876" s="39">
        <v>890504</v>
      </c>
      <c r="C1876" s="42" t="s">
        <v>4161</v>
      </c>
      <c r="D1876" s="14" t="s">
        <v>1633</v>
      </c>
      <c r="E1876" s="14" t="s">
        <v>1634</v>
      </c>
      <c r="F1876" s="1" t="s">
        <v>927</v>
      </c>
      <c r="G1876" s="1" t="s">
        <v>1708</v>
      </c>
      <c r="H1876" s="1"/>
      <c r="I1876" s="1"/>
      <c r="J1876" s="1"/>
      <c r="K1876" s="1"/>
      <c r="L1876" s="1"/>
      <c r="M1876" s="1"/>
      <c r="O1876" s="16" t="s">
        <v>335</v>
      </c>
      <c r="P1876" s="1">
        <v>1</v>
      </c>
      <c r="Q1876" s="15"/>
      <c r="R1876" s="15"/>
      <c r="S1876" s="15"/>
      <c r="T1876" s="15"/>
      <c r="U1876" s="15"/>
      <c r="V1876" s="1"/>
      <c r="W1876" s="1"/>
      <c r="X1876" s="1"/>
      <c r="Y1876" s="15"/>
      <c r="Z1876" s="15"/>
      <c r="AA1876" s="15">
        <v>384</v>
      </c>
      <c r="AB1876" s="17"/>
      <c r="AC1876" s="82"/>
      <c r="AD1876" s="16" t="s">
        <v>336</v>
      </c>
      <c r="AE1876" s="16" t="s">
        <v>336</v>
      </c>
      <c r="AF1876" s="16"/>
      <c r="AG1876" s="16"/>
      <c r="AH1876" s="16"/>
      <c r="AI1876" s="16" t="s">
        <v>1721</v>
      </c>
      <c r="AJ1876" s="16"/>
      <c r="AK1876" s="16"/>
      <c r="AL1876" s="16"/>
      <c r="AM1876" s="16"/>
      <c r="AN1876" s="16"/>
      <c r="AO1876" s="16"/>
      <c r="AP1876" s="16"/>
      <c r="AR1876" s="88" t="s">
        <v>96</v>
      </c>
      <c r="AS1876" s="88" t="s">
        <v>96</v>
      </c>
      <c r="AU1876" s="12" t="s">
        <v>1947</v>
      </c>
      <c r="AW1876" s="39">
        <v>90</v>
      </c>
      <c r="AY1876" s="12"/>
      <c r="AZ1876" s="12"/>
      <c r="BA1876" s="12"/>
    </row>
    <row r="1877" spans="1:53" ht="12" x14ac:dyDescent="0.2">
      <c r="A1877" s="10" t="s">
        <v>1662</v>
      </c>
      <c r="B1877" s="39">
        <v>890505</v>
      </c>
      <c r="C1877" s="42" t="s">
        <v>4161</v>
      </c>
      <c r="D1877" s="14" t="s">
        <v>1633</v>
      </c>
      <c r="E1877" s="14" t="s">
        <v>1634</v>
      </c>
      <c r="F1877" s="1" t="s">
        <v>927</v>
      </c>
      <c r="G1877" s="1" t="s">
        <v>1708</v>
      </c>
      <c r="H1877" s="1"/>
      <c r="I1877" s="1"/>
      <c r="J1877" s="1"/>
      <c r="K1877" s="1"/>
      <c r="L1877" s="1"/>
      <c r="M1877" s="1"/>
      <c r="O1877" s="16" t="s">
        <v>335</v>
      </c>
      <c r="P1877" s="1">
        <v>1</v>
      </c>
      <c r="Q1877" s="15"/>
      <c r="R1877" s="15"/>
      <c r="S1877" s="15"/>
      <c r="T1877" s="15"/>
      <c r="U1877" s="15"/>
      <c r="V1877" s="1"/>
      <c r="W1877" s="1"/>
      <c r="X1877" s="1"/>
      <c r="Y1877" s="15"/>
      <c r="Z1877" s="15"/>
      <c r="AA1877" s="15">
        <v>384</v>
      </c>
      <c r="AB1877" s="17"/>
      <c r="AC1877" s="82"/>
      <c r="AD1877" s="16" t="s">
        <v>336</v>
      </c>
      <c r="AE1877" s="16" t="s">
        <v>336</v>
      </c>
      <c r="AF1877" s="16"/>
      <c r="AG1877" s="16"/>
      <c r="AH1877" s="16"/>
      <c r="AI1877" s="16" t="s">
        <v>1721</v>
      </c>
      <c r="AJ1877" s="16"/>
      <c r="AK1877" s="16"/>
      <c r="AL1877" s="16"/>
      <c r="AM1877" s="16"/>
      <c r="AN1877" s="16"/>
      <c r="AO1877" s="16"/>
      <c r="AP1877" s="16"/>
      <c r="AR1877" s="88" t="s">
        <v>96</v>
      </c>
      <c r="AS1877" s="88" t="s">
        <v>96</v>
      </c>
      <c r="AU1877" s="12" t="s">
        <v>1947</v>
      </c>
      <c r="AW1877" s="39">
        <v>90</v>
      </c>
      <c r="AY1877" s="12"/>
      <c r="AZ1877" s="12"/>
      <c r="BA1877" s="12"/>
    </row>
    <row r="1878" spans="1:53" ht="12" x14ac:dyDescent="0.2">
      <c r="A1878" s="10" t="s">
        <v>1663</v>
      </c>
      <c r="B1878" s="39">
        <v>890601</v>
      </c>
      <c r="C1878" s="42" t="s">
        <v>4162</v>
      </c>
      <c r="D1878" s="14" t="s">
        <v>1633</v>
      </c>
      <c r="E1878" s="14" t="s">
        <v>1634</v>
      </c>
      <c r="F1878" s="1" t="s">
        <v>1636</v>
      </c>
      <c r="G1878" s="1" t="s">
        <v>1708</v>
      </c>
      <c r="H1878" s="1"/>
      <c r="I1878" s="1"/>
      <c r="J1878" s="1"/>
      <c r="K1878" s="1"/>
      <c r="L1878" s="1"/>
      <c r="M1878" s="1"/>
      <c r="O1878" s="16" t="s">
        <v>335</v>
      </c>
      <c r="P1878" s="1">
        <v>1</v>
      </c>
      <c r="Q1878" s="15"/>
      <c r="R1878" s="15"/>
      <c r="S1878" s="15"/>
      <c r="T1878" s="15"/>
      <c r="U1878" s="15"/>
      <c r="V1878" s="1"/>
      <c r="W1878" s="1"/>
      <c r="X1878" s="1"/>
      <c r="Y1878" s="15"/>
      <c r="Z1878" s="15"/>
      <c r="AA1878" s="15">
        <v>384</v>
      </c>
      <c r="AB1878" s="17"/>
      <c r="AC1878" s="82"/>
      <c r="AD1878" s="16" t="s">
        <v>336</v>
      </c>
      <c r="AE1878" s="16" t="s">
        <v>336</v>
      </c>
      <c r="AF1878" s="16"/>
      <c r="AG1878" s="16"/>
      <c r="AH1878" s="16"/>
      <c r="AI1878" s="16" t="s">
        <v>1722</v>
      </c>
      <c r="AJ1878" s="16"/>
      <c r="AK1878" s="16"/>
      <c r="AL1878" s="16"/>
      <c r="AM1878" s="16"/>
      <c r="AN1878" s="16"/>
      <c r="AO1878" s="16"/>
      <c r="AP1878" s="16"/>
      <c r="AR1878" s="88" t="s">
        <v>96</v>
      </c>
      <c r="AS1878" s="88" t="s">
        <v>96</v>
      </c>
      <c r="AU1878" s="12" t="s">
        <v>1947</v>
      </c>
      <c r="AW1878" s="39">
        <v>90</v>
      </c>
      <c r="AY1878" s="12"/>
      <c r="AZ1878" s="12"/>
      <c r="BA1878" s="12"/>
    </row>
    <row r="1879" spans="1:53" ht="12" x14ac:dyDescent="0.2">
      <c r="A1879" s="10" t="s">
        <v>1664</v>
      </c>
      <c r="B1879" s="39">
        <v>890602</v>
      </c>
      <c r="C1879" s="42" t="s">
        <v>4162</v>
      </c>
      <c r="D1879" s="14" t="s">
        <v>1633</v>
      </c>
      <c r="E1879" s="14" t="s">
        <v>1634</v>
      </c>
      <c r="F1879" s="1" t="s">
        <v>1636</v>
      </c>
      <c r="G1879" s="1" t="s">
        <v>1708</v>
      </c>
      <c r="H1879" s="1"/>
      <c r="I1879" s="1"/>
      <c r="J1879" s="1"/>
      <c r="K1879" s="1"/>
      <c r="L1879" s="1"/>
      <c r="M1879" s="1"/>
      <c r="O1879" s="16" t="s">
        <v>335</v>
      </c>
      <c r="P1879" s="1">
        <v>1</v>
      </c>
      <c r="Q1879" s="15"/>
      <c r="R1879" s="15"/>
      <c r="S1879" s="15"/>
      <c r="T1879" s="15"/>
      <c r="U1879" s="15"/>
      <c r="V1879" s="1"/>
      <c r="W1879" s="1"/>
      <c r="X1879" s="1"/>
      <c r="Y1879" s="15"/>
      <c r="Z1879" s="15"/>
      <c r="AA1879" s="15">
        <v>384</v>
      </c>
      <c r="AB1879" s="17"/>
      <c r="AC1879" s="82"/>
      <c r="AD1879" s="16" t="s">
        <v>336</v>
      </c>
      <c r="AE1879" s="16" t="s">
        <v>336</v>
      </c>
      <c r="AF1879" s="16"/>
      <c r="AG1879" s="16"/>
      <c r="AH1879" s="16"/>
      <c r="AI1879" s="16" t="s">
        <v>1722</v>
      </c>
      <c r="AJ1879" s="16"/>
      <c r="AK1879" s="16"/>
      <c r="AL1879" s="16"/>
      <c r="AM1879" s="16"/>
      <c r="AN1879" s="16"/>
      <c r="AO1879" s="16"/>
      <c r="AP1879" s="16"/>
      <c r="AR1879" s="88" t="s">
        <v>96</v>
      </c>
      <c r="AS1879" s="88" t="s">
        <v>96</v>
      </c>
      <c r="AU1879" s="12" t="s">
        <v>1947</v>
      </c>
      <c r="AW1879" s="39">
        <v>90</v>
      </c>
      <c r="AY1879" s="12"/>
      <c r="AZ1879" s="12"/>
      <c r="BA1879" s="12"/>
    </row>
    <row r="1880" spans="1:53" ht="12" x14ac:dyDescent="0.2">
      <c r="A1880" s="10" t="s">
        <v>1665</v>
      </c>
      <c r="B1880" s="39">
        <v>890603</v>
      </c>
      <c r="C1880" s="42" t="s">
        <v>4162</v>
      </c>
      <c r="D1880" s="14" t="s">
        <v>1633</v>
      </c>
      <c r="E1880" s="14" t="s">
        <v>1634</v>
      </c>
      <c r="F1880" s="1" t="s">
        <v>1636</v>
      </c>
      <c r="G1880" s="1" t="s">
        <v>1708</v>
      </c>
      <c r="H1880" s="1"/>
      <c r="I1880" s="1"/>
      <c r="J1880" s="1"/>
      <c r="K1880" s="1"/>
      <c r="L1880" s="1"/>
      <c r="M1880" s="1"/>
      <c r="O1880" s="16" t="s">
        <v>335</v>
      </c>
      <c r="P1880" s="1">
        <v>1</v>
      </c>
      <c r="Q1880" s="15"/>
      <c r="R1880" s="15"/>
      <c r="S1880" s="15"/>
      <c r="T1880" s="15"/>
      <c r="U1880" s="15"/>
      <c r="V1880" s="1"/>
      <c r="W1880" s="1"/>
      <c r="X1880" s="1"/>
      <c r="Y1880" s="15"/>
      <c r="Z1880" s="15"/>
      <c r="AA1880" s="15">
        <v>384</v>
      </c>
      <c r="AB1880" s="17"/>
      <c r="AC1880" s="82"/>
      <c r="AD1880" s="16" t="s">
        <v>336</v>
      </c>
      <c r="AE1880" s="16" t="s">
        <v>336</v>
      </c>
      <c r="AF1880" s="16"/>
      <c r="AG1880" s="16"/>
      <c r="AH1880" s="16"/>
      <c r="AI1880" s="16" t="s">
        <v>1722</v>
      </c>
      <c r="AJ1880" s="16"/>
      <c r="AK1880" s="16"/>
      <c r="AL1880" s="16"/>
      <c r="AM1880" s="16"/>
      <c r="AN1880" s="16"/>
      <c r="AO1880" s="16"/>
      <c r="AP1880" s="16"/>
      <c r="AR1880" s="88" t="s">
        <v>96</v>
      </c>
      <c r="AS1880" s="88" t="s">
        <v>96</v>
      </c>
      <c r="AU1880" s="12" t="s">
        <v>1947</v>
      </c>
      <c r="AW1880" s="39">
        <v>90</v>
      </c>
      <c r="AY1880" s="12"/>
      <c r="AZ1880" s="12"/>
      <c r="BA1880" s="12"/>
    </row>
    <row r="1881" spans="1:53" ht="12" x14ac:dyDescent="0.2">
      <c r="A1881" s="10" t="s">
        <v>1666</v>
      </c>
      <c r="B1881" s="39">
        <v>890604</v>
      </c>
      <c r="C1881" s="42" t="s">
        <v>4162</v>
      </c>
      <c r="D1881" s="14" t="s">
        <v>1633</v>
      </c>
      <c r="E1881" s="14" t="s">
        <v>1634</v>
      </c>
      <c r="F1881" s="1" t="s">
        <v>1636</v>
      </c>
      <c r="G1881" s="1" t="s">
        <v>1708</v>
      </c>
      <c r="H1881" s="1"/>
      <c r="I1881" s="1"/>
      <c r="J1881" s="1"/>
      <c r="K1881" s="1"/>
      <c r="L1881" s="1"/>
      <c r="M1881" s="1"/>
      <c r="O1881" s="16" t="s">
        <v>335</v>
      </c>
      <c r="P1881" s="1">
        <v>1</v>
      </c>
      <c r="Q1881" s="15"/>
      <c r="R1881" s="15"/>
      <c r="S1881" s="15"/>
      <c r="T1881" s="15"/>
      <c r="U1881" s="15"/>
      <c r="V1881" s="1"/>
      <c r="W1881" s="1"/>
      <c r="X1881" s="1"/>
      <c r="Y1881" s="15"/>
      <c r="Z1881" s="15"/>
      <c r="AA1881" s="15">
        <v>384</v>
      </c>
      <c r="AB1881" s="17"/>
      <c r="AC1881" s="82"/>
      <c r="AD1881" s="16" t="s">
        <v>336</v>
      </c>
      <c r="AE1881" s="16" t="s">
        <v>336</v>
      </c>
      <c r="AF1881" s="16"/>
      <c r="AG1881" s="16"/>
      <c r="AH1881" s="16"/>
      <c r="AI1881" s="16" t="s">
        <v>1722</v>
      </c>
      <c r="AJ1881" s="16"/>
      <c r="AK1881" s="16"/>
      <c r="AL1881" s="16"/>
      <c r="AM1881" s="16"/>
      <c r="AN1881" s="16"/>
      <c r="AO1881" s="16"/>
      <c r="AP1881" s="16"/>
      <c r="AR1881" s="88" t="s">
        <v>96</v>
      </c>
      <c r="AS1881" s="88" t="s">
        <v>96</v>
      </c>
      <c r="AU1881" s="12" t="s">
        <v>1947</v>
      </c>
      <c r="AW1881" s="39">
        <v>90</v>
      </c>
      <c r="AY1881" s="12"/>
      <c r="AZ1881" s="12"/>
      <c r="BA1881" s="12"/>
    </row>
    <row r="1882" spans="1:53" ht="12" x14ac:dyDescent="0.2">
      <c r="A1882" s="10" t="s">
        <v>1667</v>
      </c>
      <c r="B1882" s="39">
        <v>890605</v>
      </c>
      <c r="C1882" s="42" t="s">
        <v>4162</v>
      </c>
      <c r="D1882" s="14" t="s">
        <v>1633</v>
      </c>
      <c r="E1882" s="14" t="s">
        <v>1634</v>
      </c>
      <c r="F1882" s="1" t="s">
        <v>1636</v>
      </c>
      <c r="G1882" s="1" t="s">
        <v>1708</v>
      </c>
      <c r="H1882" s="1"/>
      <c r="I1882" s="1"/>
      <c r="J1882" s="1"/>
      <c r="K1882" s="1"/>
      <c r="L1882" s="1"/>
      <c r="M1882" s="1"/>
      <c r="O1882" s="16" t="s">
        <v>335</v>
      </c>
      <c r="P1882" s="1">
        <v>1</v>
      </c>
      <c r="Q1882" s="15"/>
      <c r="R1882" s="15"/>
      <c r="S1882" s="15"/>
      <c r="T1882" s="15"/>
      <c r="U1882" s="15"/>
      <c r="V1882" s="1"/>
      <c r="W1882" s="1"/>
      <c r="X1882" s="1"/>
      <c r="Y1882" s="15"/>
      <c r="Z1882" s="15"/>
      <c r="AA1882" s="15">
        <v>384</v>
      </c>
      <c r="AB1882" s="17"/>
      <c r="AC1882" s="82"/>
      <c r="AD1882" s="16" t="s">
        <v>336</v>
      </c>
      <c r="AE1882" s="16" t="s">
        <v>336</v>
      </c>
      <c r="AF1882" s="16"/>
      <c r="AG1882" s="16"/>
      <c r="AH1882" s="16"/>
      <c r="AI1882" s="16" t="s">
        <v>1722</v>
      </c>
      <c r="AJ1882" s="16"/>
      <c r="AK1882" s="16"/>
      <c r="AL1882" s="16"/>
      <c r="AM1882" s="16"/>
      <c r="AN1882" s="16"/>
      <c r="AO1882" s="16"/>
      <c r="AP1882" s="16"/>
      <c r="AR1882" s="88" t="s">
        <v>96</v>
      </c>
      <c r="AS1882" s="88" t="s">
        <v>96</v>
      </c>
      <c r="AU1882" s="12" t="s">
        <v>1947</v>
      </c>
      <c r="AW1882" s="39">
        <v>90</v>
      </c>
      <c r="AY1882" s="12"/>
      <c r="AZ1882" s="12"/>
      <c r="BA1882" s="12"/>
    </row>
    <row r="1883" spans="1:53" ht="12" x14ac:dyDescent="0.2">
      <c r="A1883" s="10" t="s">
        <v>1668</v>
      </c>
      <c r="B1883" s="39">
        <v>890701</v>
      </c>
      <c r="C1883" s="42" t="s">
        <v>4163</v>
      </c>
      <c r="D1883" s="14" t="s">
        <v>1633</v>
      </c>
      <c r="E1883" s="14" t="s">
        <v>1634</v>
      </c>
      <c r="F1883" s="1" t="s">
        <v>1637</v>
      </c>
      <c r="G1883" s="1" t="s">
        <v>1708</v>
      </c>
      <c r="H1883" s="1"/>
      <c r="I1883" s="1"/>
      <c r="J1883" s="1"/>
      <c r="K1883" s="1"/>
      <c r="L1883" s="1"/>
      <c r="M1883" s="1"/>
      <c r="O1883" s="16" t="s">
        <v>335</v>
      </c>
      <c r="P1883" s="1">
        <v>1</v>
      </c>
      <c r="Q1883" s="15"/>
      <c r="R1883" s="15"/>
      <c r="S1883" s="15"/>
      <c r="T1883" s="15"/>
      <c r="U1883" s="15"/>
      <c r="V1883" s="1"/>
      <c r="W1883" s="1"/>
      <c r="X1883" s="1"/>
      <c r="Y1883" s="15"/>
      <c r="Z1883" s="15"/>
      <c r="AA1883" s="15">
        <v>384</v>
      </c>
      <c r="AB1883" s="17"/>
      <c r="AC1883" s="82"/>
      <c r="AD1883" s="16" t="s">
        <v>336</v>
      </c>
      <c r="AE1883" s="16" t="s">
        <v>336</v>
      </c>
      <c r="AF1883" s="16"/>
      <c r="AG1883" s="16"/>
      <c r="AH1883" s="16"/>
      <c r="AI1883" s="16" t="s">
        <v>1723</v>
      </c>
      <c r="AJ1883" s="16"/>
      <c r="AK1883" s="16"/>
      <c r="AL1883" s="16"/>
      <c r="AM1883" s="16"/>
      <c r="AN1883" s="16"/>
      <c r="AO1883" s="16"/>
      <c r="AP1883" s="16"/>
      <c r="AR1883" s="88" t="s">
        <v>96</v>
      </c>
      <c r="AS1883" s="88" t="s">
        <v>96</v>
      </c>
      <c r="AU1883" s="12" t="s">
        <v>1947</v>
      </c>
      <c r="AW1883" s="39">
        <v>90</v>
      </c>
      <c r="AY1883" s="12"/>
      <c r="AZ1883" s="12"/>
      <c r="BA1883" s="12"/>
    </row>
    <row r="1884" spans="1:53" ht="12" x14ac:dyDescent="0.2">
      <c r="A1884" s="10" t="s">
        <v>1669</v>
      </c>
      <c r="B1884" s="39">
        <v>890702</v>
      </c>
      <c r="C1884" s="42" t="s">
        <v>4163</v>
      </c>
      <c r="D1884" s="14" t="s">
        <v>1633</v>
      </c>
      <c r="E1884" s="14" t="s">
        <v>1634</v>
      </c>
      <c r="F1884" s="1" t="s">
        <v>1637</v>
      </c>
      <c r="G1884" s="1" t="s">
        <v>1708</v>
      </c>
      <c r="H1884" s="1"/>
      <c r="I1884" s="1"/>
      <c r="J1884" s="1"/>
      <c r="K1884" s="1"/>
      <c r="L1884" s="1"/>
      <c r="M1884" s="1"/>
      <c r="O1884" s="16" t="s">
        <v>335</v>
      </c>
      <c r="P1884" s="1">
        <v>1</v>
      </c>
      <c r="Q1884" s="15"/>
      <c r="R1884" s="15"/>
      <c r="S1884" s="15"/>
      <c r="T1884" s="15"/>
      <c r="U1884" s="15"/>
      <c r="V1884" s="1"/>
      <c r="W1884" s="1"/>
      <c r="X1884" s="1"/>
      <c r="Y1884" s="15"/>
      <c r="Z1884" s="15"/>
      <c r="AA1884" s="15">
        <v>384</v>
      </c>
      <c r="AB1884" s="17"/>
      <c r="AC1884" s="82"/>
      <c r="AD1884" s="16" t="s">
        <v>336</v>
      </c>
      <c r="AE1884" s="16" t="s">
        <v>336</v>
      </c>
      <c r="AF1884" s="16"/>
      <c r="AG1884" s="16"/>
      <c r="AH1884" s="16"/>
      <c r="AI1884" s="16" t="s">
        <v>1723</v>
      </c>
      <c r="AJ1884" s="16"/>
      <c r="AK1884" s="16"/>
      <c r="AL1884" s="16"/>
      <c r="AM1884" s="16"/>
      <c r="AN1884" s="16"/>
      <c r="AO1884" s="16"/>
      <c r="AP1884" s="16"/>
      <c r="AR1884" s="88" t="s">
        <v>96</v>
      </c>
      <c r="AS1884" s="88" t="s">
        <v>96</v>
      </c>
      <c r="AU1884" s="12" t="s">
        <v>1947</v>
      </c>
      <c r="AW1884" s="39">
        <v>90</v>
      </c>
      <c r="AY1884" s="12"/>
      <c r="AZ1884" s="12"/>
      <c r="BA1884" s="12"/>
    </row>
    <row r="1885" spans="1:53" ht="12" x14ac:dyDescent="0.2">
      <c r="A1885" s="10" t="s">
        <v>1670</v>
      </c>
      <c r="B1885" s="39">
        <v>890703</v>
      </c>
      <c r="C1885" s="42" t="s">
        <v>4163</v>
      </c>
      <c r="D1885" s="14" t="s">
        <v>1633</v>
      </c>
      <c r="E1885" s="14" t="s">
        <v>1634</v>
      </c>
      <c r="F1885" s="1" t="s">
        <v>1637</v>
      </c>
      <c r="G1885" s="1" t="s">
        <v>1708</v>
      </c>
      <c r="H1885" s="1"/>
      <c r="I1885" s="1"/>
      <c r="J1885" s="1"/>
      <c r="K1885" s="1"/>
      <c r="L1885" s="1"/>
      <c r="M1885" s="1"/>
      <c r="O1885" s="16" t="s">
        <v>335</v>
      </c>
      <c r="P1885" s="1">
        <v>1</v>
      </c>
      <c r="Q1885" s="15"/>
      <c r="R1885" s="15"/>
      <c r="S1885" s="15"/>
      <c r="T1885" s="15"/>
      <c r="U1885" s="15"/>
      <c r="V1885" s="1"/>
      <c r="W1885" s="1"/>
      <c r="X1885" s="1"/>
      <c r="Y1885" s="15"/>
      <c r="Z1885" s="15"/>
      <c r="AA1885" s="15">
        <v>384</v>
      </c>
      <c r="AB1885" s="17"/>
      <c r="AC1885" s="82"/>
      <c r="AD1885" s="16" t="s">
        <v>336</v>
      </c>
      <c r="AE1885" s="16" t="s">
        <v>336</v>
      </c>
      <c r="AF1885" s="16"/>
      <c r="AG1885" s="16"/>
      <c r="AH1885" s="16"/>
      <c r="AI1885" s="16" t="s">
        <v>1723</v>
      </c>
      <c r="AJ1885" s="16"/>
      <c r="AK1885" s="16"/>
      <c r="AL1885" s="16"/>
      <c r="AM1885" s="16"/>
      <c r="AN1885" s="16"/>
      <c r="AO1885" s="16"/>
      <c r="AP1885" s="16"/>
      <c r="AR1885" s="88" t="s">
        <v>96</v>
      </c>
      <c r="AS1885" s="88" t="s">
        <v>96</v>
      </c>
      <c r="AU1885" s="12" t="s">
        <v>1947</v>
      </c>
      <c r="AW1885" s="39">
        <v>90</v>
      </c>
      <c r="AY1885" s="12"/>
      <c r="AZ1885" s="12"/>
      <c r="BA1885" s="12"/>
    </row>
    <row r="1886" spans="1:53" ht="12" x14ac:dyDescent="0.2">
      <c r="A1886" s="10" t="s">
        <v>1671</v>
      </c>
      <c r="B1886" s="39">
        <v>890704</v>
      </c>
      <c r="C1886" s="42" t="s">
        <v>4163</v>
      </c>
      <c r="D1886" s="14" t="s">
        <v>1633</v>
      </c>
      <c r="E1886" s="14" t="s">
        <v>1634</v>
      </c>
      <c r="F1886" s="1" t="s">
        <v>1637</v>
      </c>
      <c r="G1886" s="1" t="s">
        <v>1708</v>
      </c>
      <c r="H1886" s="1"/>
      <c r="I1886" s="1"/>
      <c r="J1886" s="1"/>
      <c r="K1886" s="1"/>
      <c r="L1886" s="1"/>
      <c r="M1886" s="1"/>
      <c r="O1886" s="16" t="s">
        <v>335</v>
      </c>
      <c r="P1886" s="1">
        <v>1</v>
      </c>
      <c r="Q1886" s="15"/>
      <c r="R1886" s="15"/>
      <c r="S1886" s="15"/>
      <c r="T1886" s="15"/>
      <c r="U1886" s="15"/>
      <c r="V1886" s="1"/>
      <c r="W1886" s="1"/>
      <c r="X1886" s="1"/>
      <c r="Y1886" s="15"/>
      <c r="Z1886" s="15"/>
      <c r="AA1886" s="15">
        <v>384</v>
      </c>
      <c r="AB1886" s="17"/>
      <c r="AC1886" s="82"/>
      <c r="AD1886" s="16" t="s">
        <v>336</v>
      </c>
      <c r="AE1886" s="16" t="s">
        <v>336</v>
      </c>
      <c r="AF1886" s="16"/>
      <c r="AG1886" s="16"/>
      <c r="AH1886" s="16"/>
      <c r="AI1886" s="16" t="s">
        <v>1723</v>
      </c>
      <c r="AJ1886" s="16"/>
      <c r="AK1886" s="16"/>
      <c r="AL1886" s="16"/>
      <c r="AM1886" s="16"/>
      <c r="AN1886" s="16"/>
      <c r="AO1886" s="16"/>
      <c r="AP1886" s="16"/>
      <c r="AR1886" s="88" t="s">
        <v>96</v>
      </c>
      <c r="AS1886" s="88" t="s">
        <v>96</v>
      </c>
      <c r="AU1886" s="12" t="s">
        <v>1947</v>
      </c>
      <c r="AW1886" s="39">
        <v>90</v>
      </c>
      <c r="AY1886" s="12"/>
      <c r="AZ1886" s="12"/>
      <c r="BA1886" s="12"/>
    </row>
    <row r="1887" spans="1:53" ht="12" x14ac:dyDescent="0.2">
      <c r="A1887" s="10" t="s">
        <v>1672</v>
      </c>
      <c r="B1887" s="39">
        <v>890705</v>
      </c>
      <c r="C1887" s="42" t="s">
        <v>4163</v>
      </c>
      <c r="D1887" s="14" t="s">
        <v>1633</v>
      </c>
      <c r="E1887" s="14" t="s">
        <v>1634</v>
      </c>
      <c r="F1887" s="1" t="s">
        <v>1637</v>
      </c>
      <c r="G1887" s="1" t="s">
        <v>1708</v>
      </c>
      <c r="H1887" s="1"/>
      <c r="I1887" s="1"/>
      <c r="J1887" s="1"/>
      <c r="K1887" s="1"/>
      <c r="L1887" s="1"/>
      <c r="M1887" s="1"/>
      <c r="O1887" s="16" t="s">
        <v>335</v>
      </c>
      <c r="P1887" s="1">
        <v>1</v>
      </c>
      <c r="Q1887" s="15"/>
      <c r="R1887" s="15"/>
      <c r="S1887" s="15"/>
      <c r="T1887" s="15"/>
      <c r="U1887" s="15"/>
      <c r="V1887" s="1"/>
      <c r="W1887" s="1"/>
      <c r="X1887" s="1"/>
      <c r="Y1887" s="15"/>
      <c r="Z1887" s="15"/>
      <c r="AA1887" s="15">
        <v>384</v>
      </c>
      <c r="AB1887" s="17"/>
      <c r="AC1887" s="82"/>
      <c r="AD1887" s="16" t="s">
        <v>336</v>
      </c>
      <c r="AE1887" s="16" t="s">
        <v>336</v>
      </c>
      <c r="AF1887" s="16"/>
      <c r="AG1887" s="16"/>
      <c r="AH1887" s="16"/>
      <c r="AI1887" s="16" t="s">
        <v>1723</v>
      </c>
      <c r="AJ1887" s="16"/>
      <c r="AK1887" s="16"/>
      <c r="AL1887" s="16"/>
      <c r="AM1887" s="16"/>
      <c r="AN1887" s="16"/>
      <c r="AO1887" s="16"/>
      <c r="AP1887" s="16"/>
      <c r="AR1887" s="88" t="s">
        <v>96</v>
      </c>
      <c r="AS1887" s="88" t="s">
        <v>96</v>
      </c>
      <c r="AU1887" s="12" t="s">
        <v>1947</v>
      </c>
      <c r="AW1887" s="39">
        <v>90</v>
      </c>
      <c r="AY1887" s="12"/>
      <c r="AZ1887" s="12"/>
      <c r="BA1887" s="12"/>
    </row>
    <row r="1888" spans="1:53" ht="12" x14ac:dyDescent="0.2">
      <c r="A1888" s="10" t="s">
        <v>1673</v>
      </c>
      <c r="B1888" s="39">
        <v>891101</v>
      </c>
      <c r="C1888" s="42" t="s">
        <v>4164</v>
      </c>
      <c r="D1888" s="14" t="s">
        <v>2950</v>
      </c>
      <c r="E1888" s="14" t="s">
        <v>501</v>
      </c>
      <c r="F1888" s="1" t="s">
        <v>1635</v>
      </c>
      <c r="G1888" s="1" t="s">
        <v>1708</v>
      </c>
      <c r="H1888" s="1"/>
      <c r="I1888" s="1"/>
      <c r="J1888" s="1"/>
      <c r="K1888" s="1"/>
      <c r="L1888" s="1"/>
      <c r="M1888" s="1"/>
      <c r="O1888" s="16" t="s">
        <v>335</v>
      </c>
      <c r="P1888" s="1">
        <v>1</v>
      </c>
      <c r="Q1888" s="15"/>
      <c r="R1888" s="15"/>
      <c r="S1888" s="15"/>
      <c r="T1888" s="15"/>
      <c r="U1888" s="15"/>
      <c r="V1888" s="1"/>
      <c r="W1888" s="1"/>
      <c r="X1888" s="1"/>
      <c r="Y1888" s="15"/>
      <c r="Z1888" s="15"/>
      <c r="AA1888" s="15"/>
      <c r="AB1888" s="15">
        <v>384</v>
      </c>
      <c r="AC1888" s="82"/>
      <c r="AD1888" s="16" t="s">
        <v>336</v>
      </c>
      <c r="AE1888" s="16" t="s">
        <v>336</v>
      </c>
      <c r="AF1888" s="16"/>
      <c r="AG1888" s="16"/>
      <c r="AH1888" s="16"/>
      <c r="AI1888" s="16" t="s">
        <v>1724</v>
      </c>
      <c r="AJ1888" s="16"/>
      <c r="AK1888" s="16"/>
      <c r="AL1888" s="16"/>
      <c r="AM1888" s="16"/>
      <c r="AN1888" s="16"/>
      <c r="AO1888" s="16"/>
      <c r="AP1888" s="16"/>
      <c r="AR1888" s="88" t="s">
        <v>96</v>
      </c>
      <c r="AS1888" s="88" t="s">
        <v>96</v>
      </c>
      <c r="AU1888" s="12" t="s">
        <v>1947</v>
      </c>
      <c r="AW1888" s="39">
        <v>90</v>
      </c>
      <c r="AY1888" s="12"/>
      <c r="AZ1888" s="12"/>
      <c r="BA1888" s="12"/>
    </row>
    <row r="1889" spans="1:53" ht="12" x14ac:dyDescent="0.2">
      <c r="A1889" s="10" t="s">
        <v>1674</v>
      </c>
      <c r="B1889" s="39">
        <v>891102</v>
      </c>
      <c r="C1889" s="42" t="s">
        <v>4164</v>
      </c>
      <c r="D1889" s="14" t="s">
        <v>2950</v>
      </c>
      <c r="E1889" s="14" t="s">
        <v>501</v>
      </c>
      <c r="F1889" s="1" t="s">
        <v>1635</v>
      </c>
      <c r="G1889" s="1" t="s">
        <v>1708</v>
      </c>
      <c r="H1889" s="1"/>
      <c r="I1889" s="1"/>
      <c r="J1889" s="1"/>
      <c r="K1889" s="1"/>
      <c r="L1889" s="1"/>
      <c r="M1889" s="1"/>
      <c r="O1889" s="16" t="s">
        <v>335</v>
      </c>
      <c r="P1889" s="1">
        <v>1</v>
      </c>
      <c r="Q1889" s="15"/>
      <c r="R1889" s="15"/>
      <c r="S1889" s="15"/>
      <c r="T1889" s="15"/>
      <c r="U1889" s="15"/>
      <c r="V1889" s="1"/>
      <c r="W1889" s="1"/>
      <c r="X1889" s="1"/>
      <c r="Y1889" s="15"/>
      <c r="Z1889" s="15"/>
      <c r="AA1889" s="15"/>
      <c r="AB1889" s="15">
        <v>384</v>
      </c>
      <c r="AC1889" s="82"/>
      <c r="AD1889" s="16" t="s">
        <v>336</v>
      </c>
      <c r="AE1889" s="16" t="s">
        <v>336</v>
      </c>
      <c r="AF1889" s="16"/>
      <c r="AG1889" s="16"/>
      <c r="AH1889" s="16"/>
      <c r="AI1889" s="16" t="s">
        <v>1724</v>
      </c>
      <c r="AJ1889" s="16"/>
      <c r="AK1889" s="16"/>
      <c r="AL1889" s="16"/>
      <c r="AM1889" s="16"/>
      <c r="AN1889" s="16"/>
      <c r="AO1889" s="16"/>
      <c r="AP1889" s="16"/>
      <c r="AR1889" s="88" t="s">
        <v>96</v>
      </c>
      <c r="AS1889" s="88" t="s">
        <v>96</v>
      </c>
      <c r="AU1889" s="12" t="s">
        <v>1947</v>
      </c>
      <c r="AW1889" s="39">
        <v>90</v>
      </c>
      <c r="AY1889" s="12"/>
      <c r="AZ1889" s="12"/>
      <c r="BA1889" s="12"/>
    </row>
    <row r="1890" spans="1:53" ht="12" x14ac:dyDescent="0.2">
      <c r="A1890" s="10" t="s">
        <v>1675</v>
      </c>
      <c r="B1890" s="39">
        <v>891103</v>
      </c>
      <c r="C1890" s="42" t="s">
        <v>4164</v>
      </c>
      <c r="D1890" s="14" t="s">
        <v>2950</v>
      </c>
      <c r="E1890" s="14" t="s">
        <v>501</v>
      </c>
      <c r="F1890" s="1" t="s">
        <v>1635</v>
      </c>
      <c r="G1890" s="1" t="s">
        <v>1708</v>
      </c>
      <c r="H1890" s="1"/>
      <c r="I1890" s="1"/>
      <c r="J1890" s="1"/>
      <c r="K1890" s="1"/>
      <c r="L1890" s="1"/>
      <c r="M1890" s="1"/>
      <c r="O1890" s="16" t="s">
        <v>335</v>
      </c>
      <c r="P1890" s="1">
        <v>1</v>
      </c>
      <c r="Q1890" s="15"/>
      <c r="R1890" s="15"/>
      <c r="S1890" s="15"/>
      <c r="T1890" s="15"/>
      <c r="U1890" s="15"/>
      <c r="V1890" s="1"/>
      <c r="W1890" s="1"/>
      <c r="X1890" s="1"/>
      <c r="Y1890" s="15"/>
      <c r="Z1890" s="15"/>
      <c r="AA1890" s="15"/>
      <c r="AB1890" s="15">
        <v>384</v>
      </c>
      <c r="AC1890" s="82"/>
      <c r="AD1890" s="16" t="s">
        <v>336</v>
      </c>
      <c r="AE1890" s="16" t="s">
        <v>336</v>
      </c>
      <c r="AF1890" s="16"/>
      <c r="AG1890" s="16"/>
      <c r="AH1890" s="16"/>
      <c r="AI1890" s="16" t="s">
        <v>1724</v>
      </c>
      <c r="AJ1890" s="16"/>
      <c r="AK1890" s="16"/>
      <c r="AL1890" s="16"/>
      <c r="AM1890" s="16"/>
      <c r="AN1890" s="16"/>
      <c r="AO1890" s="16"/>
      <c r="AP1890" s="16"/>
      <c r="AR1890" s="88" t="s">
        <v>96</v>
      </c>
      <c r="AS1890" s="88" t="s">
        <v>96</v>
      </c>
      <c r="AU1890" s="12" t="s">
        <v>1947</v>
      </c>
      <c r="AW1890" s="39">
        <v>90</v>
      </c>
      <c r="AY1890" s="12"/>
      <c r="AZ1890" s="12"/>
      <c r="BA1890" s="12"/>
    </row>
    <row r="1891" spans="1:53" ht="12" x14ac:dyDescent="0.2">
      <c r="A1891" s="10" t="s">
        <v>1676</v>
      </c>
      <c r="B1891" s="39">
        <v>891104</v>
      </c>
      <c r="C1891" s="42" t="s">
        <v>4164</v>
      </c>
      <c r="D1891" s="14" t="s">
        <v>2950</v>
      </c>
      <c r="E1891" s="14" t="s">
        <v>501</v>
      </c>
      <c r="F1891" s="1" t="s">
        <v>1635</v>
      </c>
      <c r="G1891" s="1" t="s">
        <v>1708</v>
      </c>
      <c r="H1891" s="1"/>
      <c r="I1891" s="1"/>
      <c r="J1891" s="1"/>
      <c r="K1891" s="1"/>
      <c r="L1891" s="1"/>
      <c r="M1891" s="1"/>
      <c r="O1891" s="16" t="s">
        <v>335</v>
      </c>
      <c r="P1891" s="1">
        <v>1</v>
      </c>
      <c r="Q1891" s="15"/>
      <c r="R1891" s="15"/>
      <c r="S1891" s="15"/>
      <c r="T1891" s="15"/>
      <c r="U1891" s="15"/>
      <c r="V1891" s="1"/>
      <c r="W1891" s="1"/>
      <c r="X1891" s="1"/>
      <c r="Y1891" s="15"/>
      <c r="Z1891" s="15"/>
      <c r="AA1891" s="15"/>
      <c r="AB1891" s="15">
        <v>384</v>
      </c>
      <c r="AC1891" s="82"/>
      <c r="AD1891" s="16" t="s">
        <v>336</v>
      </c>
      <c r="AE1891" s="16" t="s">
        <v>336</v>
      </c>
      <c r="AF1891" s="16"/>
      <c r="AG1891" s="16"/>
      <c r="AH1891" s="16"/>
      <c r="AI1891" s="16" t="s">
        <v>1724</v>
      </c>
      <c r="AJ1891" s="16"/>
      <c r="AK1891" s="16"/>
      <c r="AL1891" s="16"/>
      <c r="AM1891" s="16"/>
      <c r="AN1891" s="16"/>
      <c r="AO1891" s="16"/>
      <c r="AP1891" s="16"/>
      <c r="AR1891" s="88" t="s">
        <v>96</v>
      </c>
      <c r="AS1891" s="88" t="s">
        <v>96</v>
      </c>
      <c r="AU1891" s="12" t="s">
        <v>1947</v>
      </c>
      <c r="AW1891" s="39">
        <v>90</v>
      </c>
      <c r="AY1891" s="12"/>
      <c r="AZ1891" s="12"/>
      <c r="BA1891" s="12"/>
    </row>
    <row r="1892" spans="1:53" ht="12" x14ac:dyDescent="0.2">
      <c r="A1892" s="10" t="s">
        <v>1677</v>
      </c>
      <c r="B1892" s="39">
        <v>891105</v>
      </c>
      <c r="C1892" s="42" t="s">
        <v>4164</v>
      </c>
      <c r="D1892" s="14" t="s">
        <v>2950</v>
      </c>
      <c r="E1892" s="14" t="s">
        <v>501</v>
      </c>
      <c r="F1892" s="1" t="s">
        <v>1635</v>
      </c>
      <c r="G1892" s="1" t="s">
        <v>1708</v>
      </c>
      <c r="H1892" s="1"/>
      <c r="I1892" s="1"/>
      <c r="J1892" s="1"/>
      <c r="K1892" s="1"/>
      <c r="L1892" s="1"/>
      <c r="M1892" s="1"/>
      <c r="O1892" s="16" t="s">
        <v>335</v>
      </c>
      <c r="P1892" s="1">
        <v>1</v>
      </c>
      <c r="Q1892" s="15"/>
      <c r="R1892" s="15"/>
      <c r="S1892" s="15"/>
      <c r="T1892" s="15"/>
      <c r="U1892" s="15"/>
      <c r="V1892" s="1"/>
      <c r="W1892" s="1"/>
      <c r="X1892" s="1"/>
      <c r="Y1892" s="15"/>
      <c r="Z1892" s="15"/>
      <c r="AA1892" s="15"/>
      <c r="AB1892" s="15">
        <v>384</v>
      </c>
      <c r="AC1892" s="82"/>
      <c r="AD1892" s="16" t="s">
        <v>336</v>
      </c>
      <c r="AE1892" s="16" t="s">
        <v>336</v>
      </c>
      <c r="AF1892" s="16"/>
      <c r="AG1892" s="16"/>
      <c r="AH1892" s="16"/>
      <c r="AI1892" s="16" t="s">
        <v>1724</v>
      </c>
      <c r="AJ1892" s="16"/>
      <c r="AK1892" s="16"/>
      <c r="AL1892" s="16"/>
      <c r="AM1892" s="16"/>
      <c r="AN1892" s="16"/>
      <c r="AO1892" s="16"/>
      <c r="AP1892" s="16"/>
      <c r="AR1892" s="88" t="s">
        <v>96</v>
      </c>
      <c r="AS1892" s="88" t="s">
        <v>96</v>
      </c>
      <c r="AU1892" s="12" t="s">
        <v>1947</v>
      </c>
      <c r="AW1892" s="39">
        <v>90</v>
      </c>
      <c r="AY1892" s="12"/>
      <c r="AZ1892" s="12"/>
      <c r="BA1892" s="12"/>
    </row>
    <row r="1893" spans="1:53" ht="12" x14ac:dyDescent="0.2">
      <c r="A1893" s="10" t="s">
        <v>1678</v>
      </c>
      <c r="B1893" s="39">
        <v>891201</v>
      </c>
      <c r="C1893" s="42" t="s">
        <v>4165</v>
      </c>
      <c r="D1893" s="14" t="s">
        <v>2950</v>
      </c>
      <c r="E1893" s="14" t="s">
        <v>501</v>
      </c>
      <c r="F1893" s="1" t="s">
        <v>928</v>
      </c>
      <c r="G1893" s="1" t="s">
        <v>1708</v>
      </c>
      <c r="H1893" s="1"/>
      <c r="I1893" s="1"/>
      <c r="J1893" s="1"/>
      <c r="K1893" s="1"/>
      <c r="L1893" s="1"/>
      <c r="M1893" s="1"/>
      <c r="O1893" s="16" t="s">
        <v>335</v>
      </c>
      <c r="P1893" s="1">
        <v>1</v>
      </c>
      <c r="Q1893" s="15"/>
      <c r="R1893" s="15"/>
      <c r="S1893" s="15"/>
      <c r="T1893" s="15"/>
      <c r="U1893" s="15"/>
      <c r="V1893" s="1"/>
      <c r="W1893" s="1"/>
      <c r="X1893" s="1"/>
      <c r="Y1893" s="15"/>
      <c r="Z1893" s="15"/>
      <c r="AA1893" s="15"/>
      <c r="AB1893" s="15">
        <v>384</v>
      </c>
      <c r="AC1893" s="82"/>
      <c r="AD1893" s="16" t="s">
        <v>336</v>
      </c>
      <c r="AE1893" s="16" t="s">
        <v>336</v>
      </c>
      <c r="AF1893" s="16"/>
      <c r="AG1893" s="16"/>
      <c r="AH1893" s="16"/>
      <c r="AI1893" s="16" t="s">
        <v>1725</v>
      </c>
      <c r="AJ1893" s="16"/>
      <c r="AK1893" s="16"/>
      <c r="AL1893" s="16"/>
      <c r="AM1893" s="16"/>
      <c r="AN1893" s="16"/>
      <c r="AO1893" s="16"/>
      <c r="AP1893" s="16"/>
      <c r="AR1893" s="88" t="s">
        <v>96</v>
      </c>
      <c r="AS1893" s="88" t="s">
        <v>96</v>
      </c>
      <c r="AU1893" s="12" t="s">
        <v>1947</v>
      </c>
      <c r="AW1893" s="39">
        <v>90</v>
      </c>
      <c r="AY1893" s="12"/>
      <c r="AZ1893" s="12"/>
      <c r="BA1893" s="12"/>
    </row>
    <row r="1894" spans="1:53" ht="12" x14ac:dyDescent="0.2">
      <c r="A1894" s="10" t="s">
        <v>1679</v>
      </c>
      <c r="B1894" s="39">
        <v>891202</v>
      </c>
      <c r="C1894" s="42" t="s">
        <v>4165</v>
      </c>
      <c r="D1894" s="14" t="s">
        <v>2950</v>
      </c>
      <c r="E1894" s="14" t="s">
        <v>501</v>
      </c>
      <c r="F1894" s="1" t="s">
        <v>928</v>
      </c>
      <c r="G1894" s="1" t="s">
        <v>1708</v>
      </c>
      <c r="H1894" s="1"/>
      <c r="I1894" s="1"/>
      <c r="J1894" s="1"/>
      <c r="K1894" s="1"/>
      <c r="L1894" s="1"/>
      <c r="M1894" s="1"/>
      <c r="O1894" s="16" t="s">
        <v>335</v>
      </c>
      <c r="P1894" s="1">
        <v>1</v>
      </c>
      <c r="Q1894" s="15"/>
      <c r="R1894" s="15"/>
      <c r="S1894" s="15"/>
      <c r="T1894" s="15"/>
      <c r="U1894" s="15"/>
      <c r="V1894" s="1"/>
      <c r="W1894" s="1"/>
      <c r="X1894" s="1"/>
      <c r="Y1894" s="15"/>
      <c r="Z1894" s="15"/>
      <c r="AA1894" s="15"/>
      <c r="AB1894" s="15">
        <v>384</v>
      </c>
      <c r="AC1894" s="82"/>
      <c r="AD1894" s="16" t="s">
        <v>336</v>
      </c>
      <c r="AE1894" s="16" t="s">
        <v>336</v>
      </c>
      <c r="AF1894" s="16"/>
      <c r="AG1894" s="16"/>
      <c r="AH1894" s="16"/>
      <c r="AI1894" s="16" t="s">
        <v>1725</v>
      </c>
      <c r="AJ1894" s="16"/>
      <c r="AK1894" s="16"/>
      <c r="AL1894" s="16"/>
      <c r="AM1894" s="16"/>
      <c r="AN1894" s="16"/>
      <c r="AO1894" s="16"/>
      <c r="AP1894" s="16"/>
      <c r="AR1894" s="88" t="s">
        <v>96</v>
      </c>
      <c r="AS1894" s="88" t="s">
        <v>96</v>
      </c>
      <c r="AU1894" s="12" t="s">
        <v>1947</v>
      </c>
      <c r="AW1894" s="39">
        <v>90</v>
      </c>
      <c r="AY1894" s="12"/>
      <c r="AZ1894" s="12"/>
      <c r="BA1894" s="12"/>
    </row>
    <row r="1895" spans="1:53" ht="12" x14ac:dyDescent="0.2">
      <c r="A1895" s="10" t="s">
        <v>1680</v>
      </c>
      <c r="B1895" s="39">
        <v>891203</v>
      </c>
      <c r="C1895" s="42" t="s">
        <v>4165</v>
      </c>
      <c r="D1895" s="14" t="s">
        <v>2950</v>
      </c>
      <c r="E1895" s="14" t="s">
        <v>501</v>
      </c>
      <c r="F1895" s="1" t="s">
        <v>928</v>
      </c>
      <c r="G1895" s="1" t="s">
        <v>1708</v>
      </c>
      <c r="H1895" s="1"/>
      <c r="I1895" s="1"/>
      <c r="J1895" s="1"/>
      <c r="K1895" s="1"/>
      <c r="L1895" s="1"/>
      <c r="M1895" s="1"/>
      <c r="O1895" s="16" t="s">
        <v>335</v>
      </c>
      <c r="P1895" s="1">
        <v>1</v>
      </c>
      <c r="Q1895" s="15"/>
      <c r="R1895" s="15"/>
      <c r="S1895" s="15"/>
      <c r="T1895" s="15"/>
      <c r="U1895" s="15"/>
      <c r="V1895" s="1"/>
      <c r="W1895" s="1"/>
      <c r="X1895" s="1"/>
      <c r="Y1895" s="15"/>
      <c r="Z1895" s="15"/>
      <c r="AA1895" s="15"/>
      <c r="AB1895" s="15">
        <v>384</v>
      </c>
      <c r="AC1895" s="82"/>
      <c r="AD1895" s="16" t="s">
        <v>336</v>
      </c>
      <c r="AE1895" s="16" t="s">
        <v>336</v>
      </c>
      <c r="AF1895" s="16"/>
      <c r="AG1895" s="16"/>
      <c r="AH1895" s="16"/>
      <c r="AI1895" s="16" t="s">
        <v>1725</v>
      </c>
      <c r="AJ1895" s="16"/>
      <c r="AK1895" s="16"/>
      <c r="AL1895" s="16"/>
      <c r="AM1895" s="16"/>
      <c r="AN1895" s="16"/>
      <c r="AO1895" s="16"/>
      <c r="AP1895" s="16"/>
      <c r="AR1895" s="88" t="s">
        <v>96</v>
      </c>
      <c r="AS1895" s="88" t="s">
        <v>96</v>
      </c>
      <c r="AU1895" s="12" t="s">
        <v>1947</v>
      </c>
      <c r="AW1895" s="39">
        <v>90</v>
      </c>
      <c r="AY1895" s="12"/>
      <c r="AZ1895" s="12"/>
      <c r="BA1895" s="12"/>
    </row>
    <row r="1896" spans="1:53" ht="12" x14ac:dyDescent="0.2">
      <c r="A1896" s="10" t="s">
        <v>1681</v>
      </c>
      <c r="B1896" s="39">
        <v>891204</v>
      </c>
      <c r="C1896" s="42" t="s">
        <v>4165</v>
      </c>
      <c r="D1896" s="14" t="s">
        <v>2950</v>
      </c>
      <c r="E1896" s="14" t="s">
        <v>501</v>
      </c>
      <c r="F1896" s="1" t="s">
        <v>928</v>
      </c>
      <c r="G1896" s="1" t="s">
        <v>1708</v>
      </c>
      <c r="H1896" s="1"/>
      <c r="I1896" s="1"/>
      <c r="J1896" s="1"/>
      <c r="K1896" s="1"/>
      <c r="L1896" s="1"/>
      <c r="M1896" s="1"/>
      <c r="O1896" s="16" t="s">
        <v>335</v>
      </c>
      <c r="P1896" s="1">
        <v>1</v>
      </c>
      <c r="Q1896" s="15"/>
      <c r="R1896" s="15"/>
      <c r="S1896" s="15"/>
      <c r="T1896" s="15"/>
      <c r="U1896" s="15"/>
      <c r="V1896" s="1"/>
      <c r="W1896" s="1"/>
      <c r="X1896" s="1"/>
      <c r="Y1896" s="15"/>
      <c r="Z1896" s="15"/>
      <c r="AA1896" s="15"/>
      <c r="AB1896" s="15">
        <v>384</v>
      </c>
      <c r="AC1896" s="82"/>
      <c r="AD1896" s="16" t="s">
        <v>336</v>
      </c>
      <c r="AE1896" s="16" t="s">
        <v>336</v>
      </c>
      <c r="AF1896" s="16"/>
      <c r="AG1896" s="16"/>
      <c r="AH1896" s="16"/>
      <c r="AI1896" s="16" t="s">
        <v>1725</v>
      </c>
      <c r="AJ1896" s="16"/>
      <c r="AK1896" s="16"/>
      <c r="AL1896" s="16"/>
      <c r="AM1896" s="16"/>
      <c r="AN1896" s="16"/>
      <c r="AO1896" s="16"/>
      <c r="AP1896" s="16"/>
      <c r="AR1896" s="88" t="s">
        <v>96</v>
      </c>
      <c r="AS1896" s="88" t="s">
        <v>96</v>
      </c>
      <c r="AU1896" s="12" t="s">
        <v>1947</v>
      </c>
      <c r="AW1896" s="39">
        <v>90</v>
      </c>
      <c r="AY1896" s="12"/>
      <c r="AZ1896" s="12"/>
      <c r="BA1896" s="12"/>
    </row>
    <row r="1897" spans="1:53" ht="12" x14ac:dyDescent="0.2">
      <c r="A1897" s="10" t="s">
        <v>1682</v>
      </c>
      <c r="B1897" s="39">
        <v>891205</v>
      </c>
      <c r="C1897" s="42" t="s">
        <v>4165</v>
      </c>
      <c r="D1897" s="14" t="s">
        <v>2950</v>
      </c>
      <c r="E1897" s="14" t="s">
        <v>501</v>
      </c>
      <c r="F1897" s="1" t="s">
        <v>928</v>
      </c>
      <c r="G1897" s="1" t="s">
        <v>1708</v>
      </c>
      <c r="H1897" s="1"/>
      <c r="I1897" s="1"/>
      <c r="J1897" s="1"/>
      <c r="K1897" s="1"/>
      <c r="L1897" s="1"/>
      <c r="M1897" s="1"/>
      <c r="O1897" s="16" t="s">
        <v>335</v>
      </c>
      <c r="P1897" s="1">
        <v>1</v>
      </c>
      <c r="Q1897" s="15"/>
      <c r="R1897" s="15"/>
      <c r="S1897" s="15"/>
      <c r="T1897" s="15"/>
      <c r="U1897" s="15"/>
      <c r="V1897" s="1"/>
      <c r="W1897" s="1"/>
      <c r="X1897" s="1"/>
      <c r="Y1897" s="15"/>
      <c r="Z1897" s="15"/>
      <c r="AA1897" s="15"/>
      <c r="AB1897" s="15">
        <v>384</v>
      </c>
      <c r="AC1897" s="82"/>
      <c r="AD1897" s="16" t="s">
        <v>336</v>
      </c>
      <c r="AE1897" s="16" t="s">
        <v>336</v>
      </c>
      <c r="AF1897" s="16"/>
      <c r="AG1897" s="16"/>
      <c r="AH1897" s="16"/>
      <c r="AI1897" s="16" t="s">
        <v>1725</v>
      </c>
      <c r="AJ1897" s="16"/>
      <c r="AK1897" s="16"/>
      <c r="AL1897" s="16"/>
      <c r="AM1897" s="16"/>
      <c r="AN1897" s="16"/>
      <c r="AO1897" s="16"/>
      <c r="AP1897" s="16"/>
      <c r="AR1897" s="88" t="s">
        <v>96</v>
      </c>
      <c r="AS1897" s="88" t="s">
        <v>96</v>
      </c>
      <c r="AU1897" s="12" t="s">
        <v>1947</v>
      </c>
      <c r="AW1897" s="39">
        <v>90</v>
      </c>
      <c r="AY1897" s="12"/>
      <c r="AZ1897" s="12"/>
      <c r="BA1897" s="12"/>
    </row>
    <row r="1898" spans="1:53" ht="12" x14ac:dyDescent="0.2">
      <c r="A1898" s="10" t="s">
        <v>1683</v>
      </c>
      <c r="B1898" s="39">
        <v>891301</v>
      </c>
      <c r="C1898" s="42" t="s">
        <v>4166</v>
      </c>
      <c r="D1898" s="14" t="s">
        <v>2950</v>
      </c>
      <c r="E1898" s="14" t="s">
        <v>501</v>
      </c>
      <c r="F1898" s="1" t="s">
        <v>310</v>
      </c>
      <c r="G1898" s="1" t="s">
        <v>1708</v>
      </c>
      <c r="H1898" s="1"/>
      <c r="I1898" s="1"/>
      <c r="J1898" s="1"/>
      <c r="K1898" s="1"/>
      <c r="L1898" s="1"/>
      <c r="M1898" s="1"/>
      <c r="O1898" s="16" t="s">
        <v>335</v>
      </c>
      <c r="P1898" s="1">
        <v>1</v>
      </c>
      <c r="Q1898" s="15"/>
      <c r="R1898" s="15"/>
      <c r="S1898" s="15"/>
      <c r="T1898" s="15"/>
      <c r="U1898" s="15"/>
      <c r="V1898" s="1"/>
      <c r="W1898" s="1"/>
      <c r="X1898" s="1"/>
      <c r="Y1898" s="15"/>
      <c r="Z1898" s="15"/>
      <c r="AA1898" s="15"/>
      <c r="AB1898" s="15">
        <v>384</v>
      </c>
      <c r="AC1898" s="82"/>
      <c r="AD1898" s="16" t="s">
        <v>336</v>
      </c>
      <c r="AE1898" s="16" t="s">
        <v>336</v>
      </c>
      <c r="AF1898" s="16"/>
      <c r="AG1898" s="16"/>
      <c r="AH1898" s="16"/>
      <c r="AI1898" s="16" t="s">
        <v>1726</v>
      </c>
      <c r="AJ1898" s="16"/>
      <c r="AK1898" s="16"/>
      <c r="AL1898" s="16"/>
      <c r="AM1898" s="16"/>
      <c r="AN1898" s="16"/>
      <c r="AO1898" s="16"/>
      <c r="AP1898" s="16"/>
      <c r="AR1898" s="88" t="s">
        <v>96</v>
      </c>
      <c r="AS1898" s="88" t="s">
        <v>96</v>
      </c>
      <c r="AU1898" s="12" t="s">
        <v>1947</v>
      </c>
      <c r="AW1898" s="39">
        <v>90</v>
      </c>
      <c r="AY1898" s="12"/>
      <c r="AZ1898" s="12"/>
      <c r="BA1898" s="12"/>
    </row>
    <row r="1899" spans="1:53" ht="12" x14ac:dyDescent="0.2">
      <c r="A1899" s="10" t="s">
        <v>1684</v>
      </c>
      <c r="B1899" s="39">
        <v>891302</v>
      </c>
      <c r="C1899" s="42" t="s">
        <v>4166</v>
      </c>
      <c r="D1899" s="14" t="s">
        <v>2950</v>
      </c>
      <c r="E1899" s="14" t="s">
        <v>501</v>
      </c>
      <c r="F1899" s="1" t="s">
        <v>310</v>
      </c>
      <c r="G1899" s="1" t="s">
        <v>1708</v>
      </c>
      <c r="H1899" s="1"/>
      <c r="I1899" s="1"/>
      <c r="J1899" s="1"/>
      <c r="K1899" s="1"/>
      <c r="L1899" s="1"/>
      <c r="M1899" s="1"/>
      <c r="O1899" s="16" t="s">
        <v>335</v>
      </c>
      <c r="P1899" s="1">
        <v>1</v>
      </c>
      <c r="Q1899" s="15"/>
      <c r="R1899" s="15"/>
      <c r="S1899" s="15"/>
      <c r="T1899" s="15"/>
      <c r="U1899" s="15"/>
      <c r="V1899" s="1"/>
      <c r="W1899" s="1"/>
      <c r="X1899" s="1"/>
      <c r="Y1899" s="15"/>
      <c r="Z1899" s="15"/>
      <c r="AA1899" s="15"/>
      <c r="AB1899" s="15">
        <v>384</v>
      </c>
      <c r="AC1899" s="82"/>
      <c r="AD1899" s="16" t="s">
        <v>336</v>
      </c>
      <c r="AE1899" s="16" t="s">
        <v>336</v>
      </c>
      <c r="AF1899" s="16"/>
      <c r="AG1899" s="16"/>
      <c r="AH1899" s="16"/>
      <c r="AI1899" s="16" t="s">
        <v>1726</v>
      </c>
      <c r="AJ1899" s="16"/>
      <c r="AK1899" s="16"/>
      <c r="AL1899" s="16"/>
      <c r="AM1899" s="16"/>
      <c r="AN1899" s="16"/>
      <c r="AO1899" s="16"/>
      <c r="AP1899" s="16"/>
      <c r="AR1899" s="88" t="s">
        <v>96</v>
      </c>
      <c r="AS1899" s="88" t="s">
        <v>96</v>
      </c>
      <c r="AU1899" s="12" t="s">
        <v>1947</v>
      </c>
      <c r="AW1899" s="39">
        <v>90</v>
      </c>
      <c r="AY1899" s="12"/>
      <c r="AZ1899" s="12"/>
      <c r="BA1899" s="12"/>
    </row>
    <row r="1900" spans="1:53" ht="12" x14ac:dyDescent="0.2">
      <c r="A1900" s="10" t="s">
        <v>1685</v>
      </c>
      <c r="B1900" s="39">
        <v>891303</v>
      </c>
      <c r="C1900" s="42" t="s">
        <v>4166</v>
      </c>
      <c r="D1900" s="14" t="s">
        <v>2950</v>
      </c>
      <c r="E1900" s="14" t="s">
        <v>501</v>
      </c>
      <c r="F1900" s="1" t="s">
        <v>310</v>
      </c>
      <c r="G1900" s="1" t="s">
        <v>1708</v>
      </c>
      <c r="H1900" s="1"/>
      <c r="I1900" s="1"/>
      <c r="J1900" s="1"/>
      <c r="K1900" s="1"/>
      <c r="L1900" s="1"/>
      <c r="M1900" s="1"/>
      <c r="O1900" s="16" t="s">
        <v>335</v>
      </c>
      <c r="P1900" s="1">
        <v>1</v>
      </c>
      <c r="Q1900" s="15"/>
      <c r="R1900" s="15"/>
      <c r="S1900" s="15"/>
      <c r="T1900" s="15"/>
      <c r="U1900" s="15"/>
      <c r="V1900" s="1"/>
      <c r="W1900" s="1"/>
      <c r="X1900" s="1"/>
      <c r="Y1900" s="15"/>
      <c r="Z1900" s="15"/>
      <c r="AA1900" s="15"/>
      <c r="AB1900" s="15">
        <v>384</v>
      </c>
      <c r="AC1900" s="82"/>
      <c r="AD1900" s="16" t="s">
        <v>336</v>
      </c>
      <c r="AE1900" s="16" t="s">
        <v>336</v>
      </c>
      <c r="AF1900" s="16"/>
      <c r="AG1900" s="16"/>
      <c r="AH1900" s="16"/>
      <c r="AI1900" s="16" t="s">
        <v>1726</v>
      </c>
      <c r="AJ1900" s="16"/>
      <c r="AK1900" s="16"/>
      <c r="AL1900" s="16"/>
      <c r="AM1900" s="16"/>
      <c r="AN1900" s="16"/>
      <c r="AO1900" s="16"/>
      <c r="AP1900" s="16"/>
      <c r="AR1900" s="88" t="s">
        <v>96</v>
      </c>
      <c r="AS1900" s="88" t="s">
        <v>96</v>
      </c>
      <c r="AU1900" s="12" t="s">
        <v>1947</v>
      </c>
      <c r="AW1900" s="39">
        <v>90</v>
      </c>
      <c r="AY1900" s="12"/>
      <c r="AZ1900" s="12"/>
      <c r="BA1900" s="12"/>
    </row>
    <row r="1901" spans="1:53" ht="12" x14ac:dyDescent="0.2">
      <c r="A1901" s="10" t="s">
        <v>1686</v>
      </c>
      <c r="B1901" s="39">
        <v>891304</v>
      </c>
      <c r="C1901" s="42" t="s">
        <v>4166</v>
      </c>
      <c r="D1901" s="14" t="s">
        <v>2950</v>
      </c>
      <c r="E1901" s="14" t="s">
        <v>501</v>
      </c>
      <c r="F1901" s="1" t="s">
        <v>310</v>
      </c>
      <c r="G1901" s="1" t="s">
        <v>1708</v>
      </c>
      <c r="H1901" s="1"/>
      <c r="I1901" s="1"/>
      <c r="J1901" s="1"/>
      <c r="K1901" s="1"/>
      <c r="L1901" s="1"/>
      <c r="M1901" s="1"/>
      <c r="O1901" s="16" t="s">
        <v>335</v>
      </c>
      <c r="P1901" s="1">
        <v>1</v>
      </c>
      <c r="Q1901" s="15"/>
      <c r="R1901" s="15"/>
      <c r="S1901" s="15"/>
      <c r="T1901" s="15"/>
      <c r="U1901" s="15"/>
      <c r="V1901" s="1"/>
      <c r="W1901" s="1"/>
      <c r="X1901" s="1"/>
      <c r="Y1901" s="15"/>
      <c r="Z1901" s="15"/>
      <c r="AA1901" s="15"/>
      <c r="AB1901" s="15">
        <v>384</v>
      </c>
      <c r="AC1901" s="82"/>
      <c r="AD1901" s="16" t="s">
        <v>336</v>
      </c>
      <c r="AE1901" s="16" t="s">
        <v>336</v>
      </c>
      <c r="AF1901" s="16"/>
      <c r="AG1901" s="16"/>
      <c r="AH1901" s="16"/>
      <c r="AI1901" s="16" t="s">
        <v>1726</v>
      </c>
      <c r="AJ1901" s="16"/>
      <c r="AK1901" s="16"/>
      <c r="AL1901" s="16"/>
      <c r="AM1901" s="16"/>
      <c r="AN1901" s="16"/>
      <c r="AO1901" s="16"/>
      <c r="AP1901" s="16"/>
      <c r="AR1901" s="88" t="s">
        <v>96</v>
      </c>
      <c r="AS1901" s="88" t="s">
        <v>96</v>
      </c>
      <c r="AU1901" s="12" t="s">
        <v>1947</v>
      </c>
      <c r="AW1901" s="39">
        <v>90</v>
      </c>
      <c r="AY1901" s="12"/>
      <c r="AZ1901" s="12"/>
      <c r="BA1901" s="12"/>
    </row>
    <row r="1902" spans="1:53" ht="12" x14ac:dyDescent="0.2">
      <c r="A1902" s="10" t="s">
        <v>1687</v>
      </c>
      <c r="B1902" s="39">
        <v>891305</v>
      </c>
      <c r="C1902" s="42" t="s">
        <v>4166</v>
      </c>
      <c r="D1902" s="14" t="s">
        <v>2950</v>
      </c>
      <c r="E1902" s="14" t="s">
        <v>501</v>
      </c>
      <c r="F1902" s="1" t="s">
        <v>310</v>
      </c>
      <c r="G1902" s="1" t="s">
        <v>1708</v>
      </c>
      <c r="H1902" s="1"/>
      <c r="I1902" s="1"/>
      <c r="J1902" s="1"/>
      <c r="K1902" s="1"/>
      <c r="L1902" s="1"/>
      <c r="M1902" s="1"/>
      <c r="O1902" s="16" t="s">
        <v>335</v>
      </c>
      <c r="P1902" s="1">
        <v>1</v>
      </c>
      <c r="Q1902" s="15"/>
      <c r="R1902" s="15"/>
      <c r="S1902" s="15"/>
      <c r="T1902" s="15"/>
      <c r="U1902" s="15"/>
      <c r="V1902" s="1"/>
      <c r="W1902" s="1"/>
      <c r="X1902" s="1"/>
      <c r="Y1902" s="15"/>
      <c r="Z1902" s="15"/>
      <c r="AA1902" s="15"/>
      <c r="AB1902" s="15">
        <v>384</v>
      </c>
      <c r="AC1902" s="82"/>
      <c r="AD1902" s="16" t="s">
        <v>336</v>
      </c>
      <c r="AE1902" s="16" t="s">
        <v>336</v>
      </c>
      <c r="AF1902" s="16"/>
      <c r="AG1902" s="16"/>
      <c r="AH1902" s="16"/>
      <c r="AI1902" s="16" t="s">
        <v>1726</v>
      </c>
      <c r="AJ1902" s="16"/>
      <c r="AK1902" s="16"/>
      <c r="AL1902" s="16"/>
      <c r="AM1902" s="16"/>
      <c r="AN1902" s="16"/>
      <c r="AO1902" s="16"/>
      <c r="AP1902" s="16"/>
      <c r="AR1902" s="88" t="s">
        <v>96</v>
      </c>
      <c r="AS1902" s="88" t="s">
        <v>96</v>
      </c>
      <c r="AU1902" s="12" t="s">
        <v>1947</v>
      </c>
      <c r="AW1902" s="39">
        <v>90</v>
      </c>
      <c r="AY1902" s="12"/>
      <c r="AZ1902" s="12"/>
      <c r="BA1902" s="12"/>
    </row>
    <row r="1903" spans="1:53" ht="12" x14ac:dyDescent="0.2">
      <c r="A1903" s="10" t="s">
        <v>1688</v>
      </c>
      <c r="B1903" s="39">
        <v>891401</v>
      </c>
      <c r="C1903" s="42" t="s">
        <v>4167</v>
      </c>
      <c r="D1903" s="14" t="s">
        <v>2950</v>
      </c>
      <c r="E1903" s="14" t="s">
        <v>501</v>
      </c>
      <c r="F1903" s="1" t="s">
        <v>456</v>
      </c>
      <c r="G1903" s="1" t="s">
        <v>1708</v>
      </c>
      <c r="H1903" s="1"/>
      <c r="I1903" s="1"/>
      <c r="J1903" s="1"/>
      <c r="K1903" s="1"/>
      <c r="L1903" s="1"/>
      <c r="M1903" s="1"/>
      <c r="O1903" s="16" t="s">
        <v>335</v>
      </c>
      <c r="P1903" s="1">
        <v>1</v>
      </c>
      <c r="Q1903" s="15"/>
      <c r="R1903" s="15"/>
      <c r="S1903" s="15"/>
      <c r="T1903" s="15"/>
      <c r="U1903" s="15"/>
      <c r="V1903" s="1"/>
      <c r="W1903" s="1"/>
      <c r="X1903" s="1"/>
      <c r="Y1903" s="15"/>
      <c r="Z1903" s="15"/>
      <c r="AA1903" s="15"/>
      <c r="AB1903" s="15">
        <v>384</v>
      </c>
      <c r="AC1903" s="82"/>
      <c r="AD1903" s="16" t="s">
        <v>336</v>
      </c>
      <c r="AE1903" s="16" t="s">
        <v>336</v>
      </c>
      <c r="AF1903" s="16"/>
      <c r="AG1903" s="16"/>
      <c r="AH1903" s="16"/>
      <c r="AI1903" s="16" t="s">
        <v>1727</v>
      </c>
      <c r="AJ1903" s="16"/>
      <c r="AK1903" s="16"/>
      <c r="AL1903" s="16"/>
      <c r="AM1903" s="16"/>
      <c r="AN1903" s="16"/>
      <c r="AO1903" s="16"/>
      <c r="AP1903" s="16"/>
      <c r="AR1903" s="88" t="s">
        <v>96</v>
      </c>
      <c r="AS1903" s="88" t="s">
        <v>96</v>
      </c>
      <c r="AU1903" s="12" t="s">
        <v>1947</v>
      </c>
      <c r="AW1903" s="39">
        <v>90</v>
      </c>
      <c r="AY1903" s="12"/>
      <c r="AZ1903" s="12"/>
      <c r="BA1903" s="12"/>
    </row>
    <row r="1904" spans="1:53" ht="12" x14ac:dyDescent="0.2">
      <c r="A1904" s="10" t="s">
        <v>1689</v>
      </c>
      <c r="B1904" s="39">
        <v>891402</v>
      </c>
      <c r="C1904" s="42" t="s">
        <v>4167</v>
      </c>
      <c r="D1904" s="14" t="s">
        <v>2950</v>
      </c>
      <c r="E1904" s="14" t="s">
        <v>501</v>
      </c>
      <c r="F1904" s="1" t="s">
        <v>456</v>
      </c>
      <c r="G1904" s="1" t="s">
        <v>1708</v>
      </c>
      <c r="H1904" s="1"/>
      <c r="I1904" s="1"/>
      <c r="J1904" s="1"/>
      <c r="K1904" s="1"/>
      <c r="L1904" s="1"/>
      <c r="M1904" s="1"/>
      <c r="O1904" s="16" t="s">
        <v>335</v>
      </c>
      <c r="P1904" s="1">
        <v>1</v>
      </c>
      <c r="Q1904" s="15"/>
      <c r="R1904" s="15"/>
      <c r="S1904" s="15"/>
      <c r="T1904" s="15"/>
      <c r="U1904" s="15"/>
      <c r="V1904" s="1"/>
      <c r="W1904" s="1"/>
      <c r="X1904" s="1"/>
      <c r="Y1904" s="15"/>
      <c r="Z1904" s="15"/>
      <c r="AA1904" s="15"/>
      <c r="AB1904" s="15">
        <v>384</v>
      </c>
      <c r="AC1904" s="82"/>
      <c r="AD1904" s="16" t="s">
        <v>336</v>
      </c>
      <c r="AE1904" s="16" t="s">
        <v>336</v>
      </c>
      <c r="AF1904" s="16"/>
      <c r="AG1904" s="16"/>
      <c r="AH1904" s="16"/>
      <c r="AI1904" s="16" t="s">
        <v>1727</v>
      </c>
      <c r="AJ1904" s="16"/>
      <c r="AK1904" s="16"/>
      <c r="AL1904" s="16"/>
      <c r="AM1904" s="16"/>
      <c r="AN1904" s="16"/>
      <c r="AO1904" s="16"/>
      <c r="AP1904" s="16"/>
      <c r="AR1904" s="88" t="s">
        <v>96</v>
      </c>
      <c r="AS1904" s="88" t="s">
        <v>96</v>
      </c>
      <c r="AU1904" s="12" t="s">
        <v>1947</v>
      </c>
      <c r="AW1904" s="39">
        <v>90</v>
      </c>
      <c r="AY1904" s="12"/>
      <c r="AZ1904" s="12"/>
      <c r="BA1904" s="12"/>
    </row>
    <row r="1905" spans="1:53" ht="12" x14ac:dyDescent="0.2">
      <c r="A1905" s="10" t="s">
        <v>1690</v>
      </c>
      <c r="B1905" s="39">
        <v>891403</v>
      </c>
      <c r="C1905" s="42" t="s">
        <v>4167</v>
      </c>
      <c r="D1905" s="14" t="s">
        <v>2950</v>
      </c>
      <c r="E1905" s="14" t="s">
        <v>501</v>
      </c>
      <c r="F1905" s="1" t="s">
        <v>456</v>
      </c>
      <c r="G1905" s="1" t="s">
        <v>1708</v>
      </c>
      <c r="H1905" s="1"/>
      <c r="I1905" s="1"/>
      <c r="J1905" s="1"/>
      <c r="K1905" s="1"/>
      <c r="L1905" s="1"/>
      <c r="M1905" s="1"/>
      <c r="O1905" s="16" t="s">
        <v>335</v>
      </c>
      <c r="P1905" s="1">
        <v>1</v>
      </c>
      <c r="Q1905" s="15"/>
      <c r="R1905" s="15"/>
      <c r="S1905" s="15"/>
      <c r="T1905" s="15"/>
      <c r="U1905" s="15"/>
      <c r="V1905" s="1"/>
      <c r="W1905" s="1"/>
      <c r="X1905" s="1"/>
      <c r="Y1905" s="15"/>
      <c r="Z1905" s="15"/>
      <c r="AA1905" s="15"/>
      <c r="AB1905" s="15">
        <v>384</v>
      </c>
      <c r="AC1905" s="82"/>
      <c r="AD1905" s="16" t="s">
        <v>336</v>
      </c>
      <c r="AE1905" s="16" t="s">
        <v>336</v>
      </c>
      <c r="AF1905" s="16"/>
      <c r="AG1905" s="16"/>
      <c r="AH1905" s="16"/>
      <c r="AI1905" s="16" t="s">
        <v>1727</v>
      </c>
      <c r="AJ1905" s="16"/>
      <c r="AK1905" s="16"/>
      <c r="AL1905" s="16"/>
      <c r="AM1905" s="16"/>
      <c r="AN1905" s="16"/>
      <c r="AO1905" s="16"/>
      <c r="AP1905" s="16"/>
      <c r="AR1905" s="88" t="s">
        <v>96</v>
      </c>
      <c r="AS1905" s="88" t="s">
        <v>96</v>
      </c>
      <c r="AU1905" s="12" t="s">
        <v>1947</v>
      </c>
      <c r="AW1905" s="39">
        <v>90</v>
      </c>
      <c r="AY1905" s="12"/>
      <c r="AZ1905" s="12"/>
      <c r="BA1905" s="12"/>
    </row>
    <row r="1906" spans="1:53" ht="12" x14ac:dyDescent="0.2">
      <c r="A1906" s="10" t="s">
        <v>1691</v>
      </c>
      <c r="B1906" s="39">
        <v>891404</v>
      </c>
      <c r="C1906" s="42" t="s">
        <v>4167</v>
      </c>
      <c r="D1906" s="14" t="s">
        <v>2950</v>
      </c>
      <c r="E1906" s="14" t="s">
        <v>501</v>
      </c>
      <c r="F1906" s="1" t="s">
        <v>456</v>
      </c>
      <c r="G1906" s="1" t="s">
        <v>1708</v>
      </c>
      <c r="H1906" s="1"/>
      <c r="I1906" s="1"/>
      <c r="J1906" s="1"/>
      <c r="K1906" s="1"/>
      <c r="L1906" s="1"/>
      <c r="M1906" s="1"/>
      <c r="O1906" s="16" t="s">
        <v>335</v>
      </c>
      <c r="P1906" s="1">
        <v>1</v>
      </c>
      <c r="Q1906" s="15"/>
      <c r="R1906" s="15"/>
      <c r="S1906" s="15"/>
      <c r="T1906" s="15"/>
      <c r="U1906" s="15"/>
      <c r="V1906" s="1"/>
      <c r="W1906" s="1"/>
      <c r="X1906" s="1"/>
      <c r="Y1906" s="15"/>
      <c r="Z1906" s="15"/>
      <c r="AA1906" s="15"/>
      <c r="AB1906" s="15">
        <v>384</v>
      </c>
      <c r="AC1906" s="82"/>
      <c r="AD1906" s="16" t="s">
        <v>336</v>
      </c>
      <c r="AE1906" s="16" t="s">
        <v>336</v>
      </c>
      <c r="AF1906" s="16"/>
      <c r="AG1906" s="16"/>
      <c r="AH1906" s="16"/>
      <c r="AI1906" s="16" t="s">
        <v>1727</v>
      </c>
      <c r="AJ1906" s="16"/>
      <c r="AK1906" s="16"/>
      <c r="AL1906" s="16"/>
      <c r="AM1906" s="16"/>
      <c r="AN1906" s="16"/>
      <c r="AO1906" s="16"/>
      <c r="AP1906" s="16"/>
      <c r="AR1906" s="88" t="s">
        <v>96</v>
      </c>
      <c r="AS1906" s="88" t="s">
        <v>96</v>
      </c>
      <c r="AU1906" s="12" t="s">
        <v>1947</v>
      </c>
      <c r="AW1906" s="39">
        <v>90</v>
      </c>
      <c r="AY1906" s="12"/>
      <c r="AZ1906" s="12"/>
      <c r="BA1906" s="12"/>
    </row>
    <row r="1907" spans="1:53" ht="12" x14ac:dyDescent="0.2">
      <c r="A1907" s="10" t="s">
        <v>1692</v>
      </c>
      <c r="B1907" s="39">
        <v>891405</v>
      </c>
      <c r="C1907" s="42" t="s">
        <v>4167</v>
      </c>
      <c r="D1907" s="14" t="s">
        <v>2950</v>
      </c>
      <c r="E1907" s="14" t="s">
        <v>501</v>
      </c>
      <c r="F1907" s="1" t="s">
        <v>456</v>
      </c>
      <c r="G1907" s="1" t="s">
        <v>1708</v>
      </c>
      <c r="H1907" s="1"/>
      <c r="I1907" s="1"/>
      <c r="J1907" s="1"/>
      <c r="K1907" s="1"/>
      <c r="L1907" s="1"/>
      <c r="M1907" s="1"/>
      <c r="O1907" s="16" t="s">
        <v>335</v>
      </c>
      <c r="P1907" s="1">
        <v>1</v>
      </c>
      <c r="Q1907" s="15"/>
      <c r="R1907" s="15"/>
      <c r="S1907" s="15"/>
      <c r="T1907" s="15"/>
      <c r="U1907" s="15"/>
      <c r="V1907" s="1"/>
      <c r="W1907" s="1"/>
      <c r="X1907" s="1"/>
      <c r="Y1907" s="15"/>
      <c r="Z1907" s="15"/>
      <c r="AA1907" s="15"/>
      <c r="AB1907" s="15">
        <v>384</v>
      </c>
      <c r="AC1907" s="82"/>
      <c r="AD1907" s="16" t="s">
        <v>336</v>
      </c>
      <c r="AE1907" s="16" t="s">
        <v>336</v>
      </c>
      <c r="AF1907" s="16"/>
      <c r="AG1907" s="16"/>
      <c r="AH1907" s="16"/>
      <c r="AI1907" s="16" t="s">
        <v>1727</v>
      </c>
      <c r="AJ1907" s="16"/>
      <c r="AK1907" s="16"/>
      <c r="AL1907" s="16"/>
      <c r="AM1907" s="16"/>
      <c r="AN1907" s="16"/>
      <c r="AO1907" s="16"/>
      <c r="AP1907" s="16"/>
      <c r="AR1907" s="88" t="s">
        <v>96</v>
      </c>
      <c r="AS1907" s="88" t="s">
        <v>96</v>
      </c>
      <c r="AU1907" s="12" t="s">
        <v>1947</v>
      </c>
      <c r="AW1907" s="39">
        <v>90</v>
      </c>
      <c r="AY1907" s="12"/>
      <c r="AZ1907" s="12"/>
      <c r="BA1907" s="12"/>
    </row>
    <row r="1908" spans="1:53" ht="12" x14ac:dyDescent="0.2">
      <c r="A1908" s="10" t="s">
        <v>1693</v>
      </c>
      <c r="B1908" s="39">
        <v>891501</v>
      </c>
      <c r="C1908" s="42" t="s">
        <v>4168</v>
      </c>
      <c r="D1908" s="14" t="s">
        <v>2950</v>
      </c>
      <c r="E1908" s="14" t="s">
        <v>501</v>
      </c>
      <c r="F1908" s="1" t="s">
        <v>927</v>
      </c>
      <c r="G1908" s="1" t="s">
        <v>1708</v>
      </c>
      <c r="H1908" s="1"/>
      <c r="I1908" s="1"/>
      <c r="J1908" s="1"/>
      <c r="K1908" s="1"/>
      <c r="L1908" s="1"/>
      <c r="M1908" s="1"/>
      <c r="O1908" s="16" t="s">
        <v>335</v>
      </c>
      <c r="P1908" s="1">
        <v>1</v>
      </c>
      <c r="Q1908" s="15"/>
      <c r="R1908" s="15"/>
      <c r="S1908" s="15"/>
      <c r="T1908" s="15"/>
      <c r="U1908" s="15"/>
      <c r="V1908" s="1"/>
      <c r="W1908" s="1"/>
      <c r="X1908" s="1"/>
      <c r="Y1908" s="15"/>
      <c r="Z1908" s="15"/>
      <c r="AA1908" s="15"/>
      <c r="AB1908" s="15">
        <v>384</v>
      </c>
      <c r="AC1908" s="82"/>
      <c r="AD1908" s="16" t="s">
        <v>336</v>
      </c>
      <c r="AE1908" s="16" t="s">
        <v>336</v>
      </c>
      <c r="AF1908" s="16"/>
      <c r="AG1908" s="16"/>
      <c r="AH1908" s="16"/>
      <c r="AI1908" s="16" t="s">
        <v>1728</v>
      </c>
      <c r="AJ1908" s="16"/>
      <c r="AK1908" s="16"/>
      <c r="AL1908" s="16"/>
      <c r="AM1908" s="16"/>
      <c r="AN1908" s="16"/>
      <c r="AO1908" s="16"/>
      <c r="AP1908" s="16"/>
      <c r="AR1908" s="88" t="s">
        <v>96</v>
      </c>
      <c r="AS1908" s="88" t="s">
        <v>96</v>
      </c>
      <c r="AU1908" s="12" t="s">
        <v>1947</v>
      </c>
      <c r="AW1908" s="39">
        <v>90</v>
      </c>
      <c r="AY1908" s="12"/>
      <c r="AZ1908" s="12"/>
      <c r="BA1908" s="12"/>
    </row>
    <row r="1909" spans="1:53" ht="12" x14ac:dyDescent="0.2">
      <c r="A1909" s="10" t="s">
        <v>1694</v>
      </c>
      <c r="B1909" s="39">
        <v>891502</v>
      </c>
      <c r="C1909" s="42" t="s">
        <v>4168</v>
      </c>
      <c r="D1909" s="14" t="s">
        <v>2950</v>
      </c>
      <c r="E1909" s="14" t="s">
        <v>501</v>
      </c>
      <c r="F1909" s="1" t="s">
        <v>927</v>
      </c>
      <c r="G1909" s="1" t="s">
        <v>1708</v>
      </c>
      <c r="H1909" s="1"/>
      <c r="I1909" s="1"/>
      <c r="J1909" s="1"/>
      <c r="K1909" s="1"/>
      <c r="L1909" s="1"/>
      <c r="M1909" s="1"/>
      <c r="O1909" s="16" t="s">
        <v>335</v>
      </c>
      <c r="P1909" s="1">
        <v>1</v>
      </c>
      <c r="Q1909" s="15"/>
      <c r="R1909" s="15"/>
      <c r="S1909" s="15"/>
      <c r="T1909" s="15"/>
      <c r="U1909" s="15"/>
      <c r="V1909" s="1"/>
      <c r="W1909" s="1"/>
      <c r="X1909" s="1"/>
      <c r="Y1909" s="15"/>
      <c r="Z1909" s="15"/>
      <c r="AA1909" s="15"/>
      <c r="AB1909" s="15">
        <v>384</v>
      </c>
      <c r="AC1909" s="82"/>
      <c r="AD1909" s="16" t="s">
        <v>336</v>
      </c>
      <c r="AE1909" s="16" t="s">
        <v>336</v>
      </c>
      <c r="AF1909" s="16"/>
      <c r="AG1909" s="16"/>
      <c r="AH1909" s="16"/>
      <c r="AI1909" s="16" t="s">
        <v>1728</v>
      </c>
      <c r="AJ1909" s="16"/>
      <c r="AK1909" s="16"/>
      <c r="AL1909" s="16"/>
      <c r="AM1909" s="16"/>
      <c r="AN1909" s="16"/>
      <c r="AO1909" s="16"/>
      <c r="AP1909" s="16"/>
      <c r="AR1909" s="88" t="s">
        <v>96</v>
      </c>
      <c r="AS1909" s="88" t="s">
        <v>96</v>
      </c>
      <c r="AU1909" s="12" t="s">
        <v>1947</v>
      </c>
      <c r="AW1909" s="39">
        <v>90</v>
      </c>
      <c r="AY1909" s="12"/>
      <c r="AZ1909" s="12"/>
      <c r="BA1909" s="12"/>
    </row>
    <row r="1910" spans="1:53" ht="12" x14ac:dyDescent="0.2">
      <c r="A1910" s="10" t="s">
        <v>1695</v>
      </c>
      <c r="B1910" s="39">
        <v>891503</v>
      </c>
      <c r="C1910" s="42" t="s">
        <v>4168</v>
      </c>
      <c r="D1910" s="14" t="s">
        <v>2950</v>
      </c>
      <c r="E1910" s="14" t="s">
        <v>501</v>
      </c>
      <c r="F1910" s="1" t="s">
        <v>927</v>
      </c>
      <c r="G1910" s="1" t="s">
        <v>1708</v>
      </c>
      <c r="H1910" s="1"/>
      <c r="I1910" s="1"/>
      <c r="J1910" s="1"/>
      <c r="K1910" s="1"/>
      <c r="L1910" s="1"/>
      <c r="M1910" s="1"/>
      <c r="O1910" s="16" t="s">
        <v>335</v>
      </c>
      <c r="P1910" s="1">
        <v>1</v>
      </c>
      <c r="Q1910" s="15"/>
      <c r="R1910" s="15"/>
      <c r="S1910" s="15"/>
      <c r="T1910" s="15"/>
      <c r="U1910" s="15"/>
      <c r="V1910" s="1"/>
      <c r="W1910" s="1"/>
      <c r="X1910" s="1"/>
      <c r="Y1910" s="15"/>
      <c r="Z1910" s="15"/>
      <c r="AA1910" s="15"/>
      <c r="AB1910" s="15">
        <v>384</v>
      </c>
      <c r="AC1910" s="82"/>
      <c r="AD1910" s="16" t="s">
        <v>336</v>
      </c>
      <c r="AE1910" s="16" t="s">
        <v>336</v>
      </c>
      <c r="AF1910" s="16"/>
      <c r="AG1910" s="16"/>
      <c r="AH1910" s="16"/>
      <c r="AI1910" s="16" t="s">
        <v>1728</v>
      </c>
      <c r="AJ1910" s="16"/>
      <c r="AK1910" s="16"/>
      <c r="AL1910" s="16"/>
      <c r="AM1910" s="16"/>
      <c r="AN1910" s="16"/>
      <c r="AO1910" s="16"/>
      <c r="AP1910" s="16"/>
      <c r="AR1910" s="88" t="s">
        <v>96</v>
      </c>
      <c r="AS1910" s="88" t="s">
        <v>96</v>
      </c>
      <c r="AU1910" s="12" t="s">
        <v>1947</v>
      </c>
      <c r="AW1910" s="39">
        <v>90</v>
      </c>
      <c r="AY1910" s="12"/>
      <c r="AZ1910" s="12"/>
      <c r="BA1910" s="12"/>
    </row>
    <row r="1911" spans="1:53" ht="12" x14ac:dyDescent="0.2">
      <c r="A1911" s="10" t="s">
        <v>1696</v>
      </c>
      <c r="B1911" s="39">
        <v>891504</v>
      </c>
      <c r="C1911" s="42" t="s">
        <v>4168</v>
      </c>
      <c r="D1911" s="14" t="s">
        <v>2950</v>
      </c>
      <c r="E1911" s="14" t="s">
        <v>501</v>
      </c>
      <c r="F1911" s="1" t="s">
        <v>927</v>
      </c>
      <c r="G1911" s="1" t="s">
        <v>1708</v>
      </c>
      <c r="H1911" s="1"/>
      <c r="I1911" s="1"/>
      <c r="J1911" s="1"/>
      <c r="K1911" s="1"/>
      <c r="L1911" s="1"/>
      <c r="M1911" s="1"/>
      <c r="O1911" s="16" t="s">
        <v>335</v>
      </c>
      <c r="P1911" s="1">
        <v>1</v>
      </c>
      <c r="Q1911" s="15"/>
      <c r="R1911" s="15"/>
      <c r="S1911" s="15"/>
      <c r="T1911" s="15"/>
      <c r="U1911" s="15"/>
      <c r="V1911" s="1"/>
      <c r="W1911" s="1"/>
      <c r="X1911" s="1"/>
      <c r="Y1911" s="15"/>
      <c r="Z1911" s="15"/>
      <c r="AA1911" s="15"/>
      <c r="AB1911" s="15">
        <v>384</v>
      </c>
      <c r="AC1911" s="82"/>
      <c r="AD1911" s="16" t="s">
        <v>336</v>
      </c>
      <c r="AE1911" s="16" t="s">
        <v>336</v>
      </c>
      <c r="AF1911" s="16"/>
      <c r="AG1911" s="16"/>
      <c r="AH1911" s="16"/>
      <c r="AI1911" s="16" t="s">
        <v>1728</v>
      </c>
      <c r="AJ1911" s="16"/>
      <c r="AK1911" s="16"/>
      <c r="AL1911" s="16"/>
      <c r="AM1911" s="16"/>
      <c r="AN1911" s="16"/>
      <c r="AO1911" s="16"/>
      <c r="AP1911" s="16"/>
      <c r="AR1911" s="88" t="s">
        <v>96</v>
      </c>
      <c r="AS1911" s="88" t="s">
        <v>96</v>
      </c>
      <c r="AU1911" s="12" t="s">
        <v>1947</v>
      </c>
      <c r="AW1911" s="39">
        <v>90</v>
      </c>
      <c r="AY1911" s="12"/>
      <c r="AZ1911" s="12"/>
      <c r="BA1911" s="12"/>
    </row>
    <row r="1912" spans="1:53" ht="12" x14ac:dyDescent="0.2">
      <c r="A1912" s="10" t="s">
        <v>1697</v>
      </c>
      <c r="B1912" s="39">
        <v>891505</v>
      </c>
      <c r="C1912" s="42" t="s">
        <v>4168</v>
      </c>
      <c r="D1912" s="14" t="s">
        <v>2950</v>
      </c>
      <c r="E1912" s="14" t="s">
        <v>501</v>
      </c>
      <c r="F1912" s="1" t="s">
        <v>927</v>
      </c>
      <c r="G1912" s="1" t="s">
        <v>1708</v>
      </c>
      <c r="H1912" s="1"/>
      <c r="I1912" s="1"/>
      <c r="O1912" s="16" t="s">
        <v>335</v>
      </c>
      <c r="P1912" s="1">
        <v>1</v>
      </c>
      <c r="Q1912" s="15"/>
      <c r="R1912" s="15"/>
      <c r="S1912" s="15"/>
      <c r="T1912" s="15"/>
      <c r="U1912" s="15"/>
      <c r="V1912" s="1"/>
      <c r="W1912" s="1"/>
      <c r="X1912" s="1"/>
      <c r="Y1912" s="15"/>
      <c r="Z1912" s="15"/>
      <c r="AA1912" s="15"/>
      <c r="AB1912" s="15">
        <v>384</v>
      </c>
      <c r="AC1912" s="82"/>
      <c r="AD1912" s="16" t="s">
        <v>336</v>
      </c>
      <c r="AE1912" s="16" t="s">
        <v>336</v>
      </c>
      <c r="AF1912" s="16"/>
      <c r="AG1912" s="16"/>
      <c r="AH1912" s="16"/>
      <c r="AI1912" s="16" t="s">
        <v>1728</v>
      </c>
      <c r="AJ1912" s="16"/>
      <c r="AK1912" s="16"/>
      <c r="AL1912" s="16"/>
      <c r="AM1912" s="16"/>
      <c r="AN1912" s="16"/>
      <c r="AO1912" s="16"/>
      <c r="AP1912" s="16"/>
      <c r="AR1912" s="88" t="s">
        <v>96</v>
      </c>
      <c r="AS1912" s="88" t="s">
        <v>96</v>
      </c>
      <c r="AU1912" s="12" t="s">
        <v>1947</v>
      </c>
      <c r="AW1912" s="39">
        <v>90</v>
      </c>
      <c r="AY1912" s="12"/>
      <c r="AZ1912" s="12"/>
      <c r="BA1912" s="12"/>
    </row>
    <row r="1913" spans="1:53" ht="12" x14ac:dyDescent="0.2">
      <c r="A1913" s="10" t="s">
        <v>1698</v>
      </c>
      <c r="B1913" s="39">
        <v>891601</v>
      </c>
      <c r="C1913" s="42" t="s">
        <v>4169</v>
      </c>
      <c r="D1913" s="14" t="s">
        <v>2950</v>
      </c>
      <c r="E1913" s="14" t="s">
        <v>501</v>
      </c>
      <c r="F1913" s="1" t="s">
        <v>1636</v>
      </c>
      <c r="G1913" s="1" t="s">
        <v>1708</v>
      </c>
      <c r="H1913" s="1"/>
      <c r="I1913" s="1"/>
      <c r="O1913" s="16" t="s">
        <v>335</v>
      </c>
      <c r="P1913" s="1">
        <v>1</v>
      </c>
      <c r="Q1913" s="15"/>
      <c r="R1913" s="15"/>
      <c r="S1913" s="15"/>
      <c r="T1913" s="15"/>
      <c r="U1913" s="15"/>
      <c r="V1913" s="1"/>
      <c r="W1913" s="1"/>
      <c r="X1913" s="1"/>
      <c r="Y1913" s="15"/>
      <c r="Z1913" s="15"/>
      <c r="AA1913" s="15"/>
      <c r="AB1913" s="15">
        <v>384</v>
      </c>
      <c r="AC1913" s="82"/>
      <c r="AD1913" s="16" t="s">
        <v>336</v>
      </c>
      <c r="AE1913" s="16" t="s">
        <v>336</v>
      </c>
      <c r="AF1913" s="16"/>
      <c r="AG1913" s="16"/>
      <c r="AH1913" s="16"/>
      <c r="AI1913" s="16" t="s">
        <v>1729</v>
      </c>
      <c r="AJ1913" s="16"/>
      <c r="AK1913" s="16"/>
      <c r="AL1913" s="16"/>
      <c r="AM1913" s="16"/>
      <c r="AN1913" s="16"/>
      <c r="AO1913" s="16"/>
      <c r="AP1913" s="16"/>
      <c r="AR1913" s="88" t="s">
        <v>96</v>
      </c>
      <c r="AS1913" s="88" t="s">
        <v>96</v>
      </c>
      <c r="AU1913" s="12" t="s">
        <v>1947</v>
      </c>
      <c r="AW1913" s="39">
        <v>90</v>
      </c>
      <c r="AY1913" s="12"/>
      <c r="AZ1913" s="12"/>
      <c r="BA1913" s="12"/>
    </row>
    <row r="1914" spans="1:53" ht="12" x14ac:dyDescent="0.2">
      <c r="A1914" s="10" t="s">
        <v>1699</v>
      </c>
      <c r="B1914" s="39">
        <v>891602</v>
      </c>
      <c r="C1914" s="42" t="s">
        <v>4169</v>
      </c>
      <c r="D1914" s="14" t="s">
        <v>2950</v>
      </c>
      <c r="E1914" s="14" t="s">
        <v>501</v>
      </c>
      <c r="F1914" s="1" t="s">
        <v>1636</v>
      </c>
      <c r="G1914" s="1" t="s">
        <v>1708</v>
      </c>
      <c r="H1914" s="1"/>
      <c r="I1914" s="1"/>
      <c r="O1914" s="16" t="s">
        <v>335</v>
      </c>
      <c r="P1914" s="1">
        <v>1</v>
      </c>
      <c r="Q1914" s="15"/>
      <c r="R1914" s="15"/>
      <c r="S1914" s="15"/>
      <c r="T1914" s="15"/>
      <c r="U1914" s="15"/>
      <c r="V1914" s="1"/>
      <c r="W1914" s="1"/>
      <c r="X1914" s="1"/>
      <c r="Y1914" s="15"/>
      <c r="Z1914" s="15"/>
      <c r="AA1914" s="15"/>
      <c r="AB1914" s="15">
        <v>384</v>
      </c>
      <c r="AC1914" s="82"/>
      <c r="AD1914" s="16" t="s">
        <v>336</v>
      </c>
      <c r="AE1914" s="16" t="s">
        <v>336</v>
      </c>
      <c r="AF1914" s="16"/>
      <c r="AG1914" s="16"/>
      <c r="AH1914" s="16"/>
      <c r="AI1914" s="16" t="s">
        <v>1729</v>
      </c>
      <c r="AJ1914" s="16"/>
      <c r="AK1914" s="16"/>
      <c r="AL1914" s="16"/>
      <c r="AM1914" s="16"/>
      <c r="AN1914" s="16"/>
      <c r="AO1914" s="16"/>
      <c r="AP1914" s="16"/>
      <c r="AR1914" s="88" t="s">
        <v>96</v>
      </c>
      <c r="AS1914" s="88" t="s">
        <v>96</v>
      </c>
      <c r="AU1914" s="12" t="s">
        <v>1947</v>
      </c>
      <c r="AW1914" s="39">
        <v>90</v>
      </c>
      <c r="AY1914" s="12"/>
      <c r="AZ1914" s="12"/>
      <c r="BA1914" s="12"/>
    </row>
    <row r="1915" spans="1:53" ht="12" x14ac:dyDescent="0.2">
      <c r="A1915" s="10" t="s">
        <v>1700</v>
      </c>
      <c r="B1915" s="39">
        <v>891603</v>
      </c>
      <c r="C1915" s="42" t="s">
        <v>4169</v>
      </c>
      <c r="D1915" s="14" t="s">
        <v>2950</v>
      </c>
      <c r="E1915" s="14" t="s">
        <v>501</v>
      </c>
      <c r="F1915" s="1" t="s">
        <v>1636</v>
      </c>
      <c r="G1915" s="1" t="s">
        <v>1708</v>
      </c>
      <c r="H1915" s="1"/>
      <c r="I1915" s="1"/>
      <c r="O1915" s="16" t="s">
        <v>335</v>
      </c>
      <c r="P1915" s="1">
        <v>1</v>
      </c>
      <c r="Q1915" s="15"/>
      <c r="R1915" s="15"/>
      <c r="S1915" s="15"/>
      <c r="T1915" s="15"/>
      <c r="U1915" s="15"/>
      <c r="V1915" s="1"/>
      <c r="W1915" s="1"/>
      <c r="X1915" s="1"/>
      <c r="Y1915" s="15"/>
      <c r="Z1915" s="15"/>
      <c r="AA1915" s="15"/>
      <c r="AB1915" s="15">
        <v>384</v>
      </c>
      <c r="AC1915" s="82"/>
      <c r="AD1915" s="16" t="s">
        <v>336</v>
      </c>
      <c r="AE1915" s="16" t="s">
        <v>336</v>
      </c>
      <c r="AF1915" s="16"/>
      <c r="AG1915" s="16"/>
      <c r="AH1915" s="16"/>
      <c r="AI1915" s="16" t="s">
        <v>1729</v>
      </c>
      <c r="AJ1915" s="16"/>
      <c r="AK1915" s="16"/>
      <c r="AL1915" s="16"/>
      <c r="AM1915" s="16"/>
      <c r="AN1915" s="16"/>
      <c r="AO1915" s="16"/>
      <c r="AP1915" s="16"/>
      <c r="AR1915" s="88" t="s">
        <v>96</v>
      </c>
      <c r="AS1915" s="88" t="s">
        <v>96</v>
      </c>
      <c r="AU1915" s="12" t="s">
        <v>1947</v>
      </c>
      <c r="AW1915" s="39">
        <v>90</v>
      </c>
      <c r="AY1915" s="12"/>
      <c r="AZ1915" s="12"/>
      <c r="BA1915" s="12"/>
    </row>
    <row r="1916" spans="1:53" ht="12" x14ac:dyDescent="0.2">
      <c r="A1916" s="10" t="s">
        <v>1701</v>
      </c>
      <c r="B1916" s="39">
        <v>891604</v>
      </c>
      <c r="C1916" s="42" t="s">
        <v>4169</v>
      </c>
      <c r="D1916" s="14" t="s">
        <v>2950</v>
      </c>
      <c r="E1916" s="14" t="s">
        <v>501</v>
      </c>
      <c r="F1916" s="1" t="s">
        <v>1636</v>
      </c>
      <c r="G1916" s="1" t="s">
        <v>1708</v>
      </c>
      <c r="H1916" s="1"/>
      <c r="I1916" s="1"/>
      <c r="O1916" s="16" t="s">
        <v>335</v>
      </c>
      <c r="P1916" s="1">
        <v>1</v>
      </c>
      <c r="Q1916" s="15"/>
      <c r="R1916" s="15"/>
      <c r="S1916" s="15"/>
      <c r="T1916" s="15"/>
      <c r="U1916" s="15"/>
      <c r="V1916" s="1"/>
      <c r="W1916" s="1"/>
      <c r="X1916" s="1"/>
      <c r="Y1916" s="15"/>
      <c r="Z1916" s="15"/>
      <c r="AA1916" s="15"/>
      <c r="AB1916" s="15">
        <v>384</v>
      </c>
      <c r="AC1916" s="82"/>
      <c r="AD1916" s="16" t="s">
        <v>336</v>
      </c>
      <c r="AE1916" s="16" t="s">
        <v>336</v>
      </c>
      <c r="AF1916" s="16"/>
      <c r="AG1916" s="16"/>
      <c r="AH1916" s="16"/>
      <c r="AI1916" s="16" t="s">
        <v>1729</v>
      </c>
      <c r="AJ1916" s="16"/>
      <c r="AK1916" s="16"/>
      <c r="AL1916" s="16"/>
      <c r="AM1916" s="16"/>
      <c r="AN1916" s="16"/>
      <c r="AO1916" s="16"/>
      <c r="AP1916" s="16"/>
      <c r="AR1916" s="88" t="s">
        <v>96</v>
      </c>
      <c r="AS1916" s="88" t="s">
        <v>96</v>
      </c>
      <c r="AU1916" s="12" t="s">
        <v>1947</v>
      </c>
      <c r="AW1916" s="39">
        <v>90</v>
      </c>
      <c r="AY1916" s="12"/>
      <c r="AZ1916" s="12"/>
      <c r="BA1916" s="12"/>
    </row>
    <row r="1917" spans="1:53" ht="12" x14ac:dyDescent="0.2">
      <c r="A1917" s="10" t="s">
        <v>1702</v>
      </c>
      <c r="B1917" s="39">
        <v>891605</v>
      </c>
      <c r="C1917" s="42" t="s">
        <v>4169</v>
      </c>
      <c r="D1917" s="14" t="s">
        <v>2950</v>
      </c>
      <c r="E1917" s="14" t="s">
        <v>501</v>
      </c>
      <c r="F1917" s="1" t="s">
        <v>1636</v>
      </c>
      <c r="G1917" s="1" t="s">
        <v>1708</v>
      </c>
      <c r="H1917" s="1"/>
      <c r="I1917" s="1"/>
      <c r="O1917" s="16" t="s">
        <v>335</v>
      </c>
      <c r="P1917" s="1">
        <v>1</v>
      </c>
      <c r="Q1917" s="15"/>
      <c r="R1917" s="15"/>
      <c r="S1917" s="15"/>
      <c r="T1917" s="15"/>
      <c r="U1917" s="15"/>
      <c r="V1917" s="1"/>
      <c r="W1917" s="1"/>
      <c r="X1917" s="1"/>
      <c r="Y1917" s="15"/>
      <c r="Z1917" s="15"/>
      <c r="AA1917" s="15"/>
      <c r="AB1917" s="15">
        <v>384</v>
      </c>
      <c r="AC1917" s="82"/>
      <c r="AD1917" s="16" t="s">
        <v>336</v>
      </c>
      <c r="AE1917" s="16" t="s">
        <v>336</v>
      </c>
      <c r="AF1917" s="16"/>
      <c r="AG1917" s="16"/>
      <c r="AH1917" s="16"/>
      <c r="AI1917" s="16" t="s">
        <v>1729</v>
      </c>
      <c r="AJ1917" s="16"/>
      <c r="AK1917" s="16"/>
      <c r="AL1917" s="16"/>
      <c r="AM1917" s="16"/>
      <c r="AN1917" s="16"/>
      <c r="AO1917" s="16"/>
      <c r="AP1917" s="16"/>
      <c r="AR1917" s="88" t="s">
        <v>96</v>
      </c>
      <c r="AS1917" s="88" t="s">
        <v>96</v>
      </c>
      <c r="AU1917" s="12" t="s">
        <v>1947</v>
      </c>
      <c r="AW1917" s="39">
        <v>90</v>
      </c>
      <c r="AY1917" s="12"/>
      <c r="AZ1917" s="12"/>
      <c r="BA1917" s="12"/>
    </row>
    <row r="1918" spans="1:53" ht="12" x14ac:dyDescent="0.2">
      <c r="A1918" s="10" t="s">
        <v>1703</v>
      </c>
      <c r="B1918" s="39">
        <v>891701</v>
      </c>
      <c r="C1918" s="42" t="s">
        <v>4170</v>
      </c>
      <c r="D1918" s="14" t="s">
        <v>2950</v>
      </c>
      <c r="E1918" s="14" t="s">
        <v>501</v>
      </c>
      <c r="F1918" s="1" t="s">
        <v>1637</v>
      </c>
      <c r="G1918" s="1" t="s">
        <v>1708</v>
      </c>
      <c r="H1918" s="1"/>
      <c r="I1918" s="1"/>
      <c r="O1918" s="16" t="s">
        <v>335</v>
      </c>
      <c r="P1918" s="1">
        <v>1</v>
      </c>
      <c r="Q1918" s="15"/>
      <c r="R1918" s="15"/>
      <c r="S1918" s="15"/>
      <c r="T1918" s="15"/>
      <c r="U1918" s="15"/>
      <c r="V1918" s="1"/>
      <c r="W1918" s="1"/>
      <c r="X1918" s="1"/>
      <c r="Y1918" s="15"/>
      <c r="Z1918" s="15"/>
      <c r="AA1918" s="15"/>
      <c r="AB1918" s="15">
        <v>384</v>
      </c>
      <c r="AC1918" s="82"/>
      <c r="AD1918" s="16" t="s">
        <v>336</v>
      </c>
      <c r="AE1918" s="16" t="s">
        <v>336</v>
      </c>
      <c r="AF1918" s="16"/>
      <c r="AG1918" s="16"/>
      <c r="AH1918" s="16"/>
      <c r="AI1918" s="16" t="s">
        <v>1730</v>
      </c>
      <c r="AJ1918" s="16"/>
      <c r="AK1918" s="16"/>
      <c r="AL1918" s="16"/>
      <c r="AM1918" s="16"/>
      <c r="AN1918" s="16"/>
      <c r="AO1918" s="16"/>
      <c r="AP1918" s="16"/>
      <c r="AR1918" s="88" t="s">
        <v>96</v>
      </c>
      <c r="AS1918" s="88" t="s">
        <v>96</v>
      </c>
      <c r="AU1918" s="12" t="s">
        <v>1947</v>
      </c>
      <c r="AW1918" s="39">
        <v>90</v>
      </c>
      <c r="AY1918" s="12"/>
      <c r="AZ1918" s="12"/>
      <c r="BA1918" s="12"/>
    </row>
    <row r="1919" spans="1:53" ht="12" x14ac:dyDescent="0.2">
      <c r="A1919" s="10" t="s">
        <v>1704</v>
      </c>
      <c r="B1919" s="39">
        <v>891702</v>
      </c>
      <c r="C1919" s="42" t="s">
        <v>4170</v>
      </c>
      <c r="D1919" s="14" t="s">
        <v>2950</v>
      </c>
      <c r="E1919" s="14" t="s">
        <v>501</v>
      </c>
      <c r="F1919" s="1" t="s">
        <v>1637</v>
      </c>
      <c r="G1919" s="1" t="s">
        <v>1708</v>
      </c>
      <c r="H1919" s="1"/>
      <c r="I1919" s="1"/>
      <c r="J1919" s="1"/>
      <c r="K1919" s="1"/>
      <c r="L1919" s="1"/>
      <c r="M1919" s="1"/>
      <c r="O1919" s="16" t="s">
        <v>335</v>
      </c>
      <c r="P1919" s="1">
        <v>1</v>
      </c>
      <c r="Q1919" s="15"/>
      <c r="R1919" s="15"/>
      <c r="S1919" s="15"/>
      <c r="T1919" s="15"/>
      <c r="U1919" s="15"/>
      <c r="V1919" s="1"/>
      <c r="W1919" s="1"/>
      <c r="X1919" s="1"/>
      <c r="Y1919" s="15"/>
      <c r="Z1919" s="15"/>
      <c r="AA1919" s="15"/>
      <c r="AB1919" s="15">
        <v>384</v>
      </c>
      <c r="AC1919" s="82"/>
      <c r="AD1919" s="16" t="s">
        <v>336</v>
      </c>
      <c r="AE1919" s="16" t="s">
        <v>336</v>
      </c>
      <c r="AF1919" s="16"/>
      <c r="AG1919" s="16"/>
      <c r="AH1919" s="16"/>
      <c r="AI1919" s="16" t="s">
        <v>1730</v>
      </c>
      <c r="AJ1919" s="16"/>
      <c r="AK1919" s="16"/>
      <c r="AL1919" s="16"/>
      <c r="AM1919" s="16"/>
      <c r="AN1919" s="16"/>
      <c r="AO1919" s="16"/>
      <c r="AP1919" s="16"/>
      <c r="AR1919" s="88" t="s">
        <v>96</v>
      </c>
      <c r="AS1919" s="88" t="s">
        <v>96</v>
      </c>
      <c r="AU1919" s="12" t="s">
        <v>1947</v>
      </c>
      <c r="AW1919" s="39">
        <v>90</v>
      </c>
      <c r="AY1919" s="12"/>
      <c r="AZ1919" s="12"/>
      <c r="BA1919" s="12"/>
    </row>
    <row r="1920" spans="1:53" ht="12" x14ac:dyDescent="0.2">
      <c r="A1920" s="10" t="s">
        <v>1705</v>
      </c>
      <c r="B1920" s="39">
        <v>891703</v>
      </c>
      <c r="C1920" s="42" t="s">
        <v>4170</v>
      </c>
      <c r="D1920" s="14" t="s">
        <v>2950</v>
      </c>
      <c r="E1920" s="14" t="s">
        <v>501</v>
      </c>
      <c r="F1920" s="1" t="s">
        <v>1637</v>
      </c>
      <c r="G1920" s="1" t="s">
        <v>1708</v>
      </c>
      <c r="H1920" s="1"/>
      <c r="I1920" s="1"/>
      <c r="O1920" s="16" t="s">
        <v>335</v>
      </c>
      <c r="P1920" s="1">
        <v>1</v>
      </c>
      <c r="Q1920" s="15"/>
      <c r="R1920" s="15"/>
      <c r="S1920" s="15"/>
      <c r="T1920" s="15"/>
      <c r="U1920" s="15"/>
      <c r="V1920" s="1"/>
      <c r="W1920" s="1"/>
      <c r="X1920" s="1"/>
      <c r="Y1920" s="15"/>
      <c r="Z1920" s="15"/>
      <c r="AA1920" s="15"/>
      <c r="AB1920" s="15">
        <v>384</v>
      </c>
      <c r="AC1920" s="82"/>
      <c r="AD1920" s="16" t="s">
        <v>336</v>
      </c>
      <c r="AE1920" s="16" t="s">
        <v>336</v>
      </c>
      <c r="AF1920" s="16"/>
      <c r="AI1920" s="16" t="s">
        <v>1730</v>
      </c>
      <c r="AJ1920" s="16"/>
      <c r="AK1920" s="16"/>
      <c r="AL1920" s="16"/>
      <c r="AM1920" s="16"/>
      <c r="AN1920" s="16"/>
      <c r="AO1920" s="16"/>
      <c r="AP1920" s="16"/>
      <c r="AR1920" s="88" t="s">
        <v>96</v>
      </c>
      <c r="AS1920" s="88" t="s">
        <v>96</v>
      </c>
      <c r="AU1920" s="12" t="s">
        <v>1947</v>
      </c>
      <c r="AW1920" s="39">
        <v>90</v>
      </c>
      <c r="AY1920" s="12"/>
      <c r="AZ1920" s="12"/>
      <c r="BA1920" s="12"/>
    </row>
    <row r="1921" spans="1:53" ht="12" x14ac:dyDescent="0.2">
      <c r="A1921" s="10" t="s">
        <v>1706</v>
      </c>
      <c r="B1921" s="39">
        <v>891704</v>
      </c>
      <c r="C1921" s="42" t="s">
        <v>4170</v>
      </c>
      <c r="D1921" s="14" t="s">
        <v>2950</v>
      </c>
      <c r="E1921" s="14" t="s">
        <v>501</v>
      </c>
      <c r="F1921" s="1" t="s">
        <v>1637</v>
      </c>
      <c r="G1921" s="1" t="s">
        <v>1708</v>
      </c>
      <c r="H1921" s="1"/>
      <c r="I1921" s="1"/>
      <c r="O1921" s="16" t="s">
        <v>335</v>
      </c>
      <c r="P1921" s="1">
        <v>1</v>
      </c>
      <c r="Q1921" s="15"/>
      <c r="R1921" s="15"/>
      <c r="S1921" s="15"/>
      <c r="T1921" s="15"/>
      <c r="U1921" s="15"/>
      <c r="V1921" s="1"/>
      <c r="W1921" s="1"/>
      <c r="X1921" s="1"/>
      <c r="Y1921" s="15"/>
      <c r="Z1921" s="15"/>
      <c r="AA1921" s="15"/>
      <c r="AB1921" s="15">
        <v>384</v>
      </c>
      <c r="AC1921" s="82"/>
      <c r="AD1921" s="16" t="s">
        <v>336</v>
      </c>
      <c r="AE1921" s="16" t="s">
        <v>336</v>
      </c>
      <c r="AF1921" s="16"/>
      <c r="AI1921" s="16" t="s">
        <v>1730</v>
      </c>
      <c r="AJ1921" s="16"/>
      <c r="AK1921" s="16"/>
      <c r="AL1921" s="16"/>
      <c r="AM1921" s="16"/>
      <c r="AN1921" s="16"/>
      <c r="AO1921" s="16"/>
      <c r="AP1921" s="16"/>
      <c r="AR1921" s="88" t="s">
        <v>96</v>
      </c>
      <c r="AS1921" s="88" t="s">
        <v>96</v>
      </c>
      <c r="AU1921" s="12" t="s">
        <v>1947</v>
      </c>
      <c r="AW1921" s="39">
        <v>90</v>
      </c>
      <c r="AY1921" s="12"/>
      <c r="AZ1921" s="12"/>
      <c r="BA1921" s="12"/>
    </row>
    <row r="1922" spans="1:53" ht="12" x14ac:dyDescent="0.2">
      <c r="A1922" s="10" t="s">
        <v>1707</v>
      </c>
      <c r="B1922" s="39">
        <v>891705</v>
      </c>
      <c r="C1922" s="42" t="s">
        <v>4170</v>
      </c>
      <c r="D1922" s="14" t="s">
        <v>2950</v>
      </c>
      <c r="E1922" s="14" t="s">
        <v>501</v>
      </c>
      <c r="F1922" s="1" t="s">
        <v>1637</v>
      </c>
      <c r="G1922" s="1" t="s">
        <v>1708</v>
      </c>
      <c r="H1922" s="1"/>
      <c r="I1922" s="1"/>
      <c r="O1922" s="16" t="s">
        <v>335</v>
      </c>
      <c r="P1922" s="1">
        <v>1</v>
      </c>
      <c r="Q1922" s="15"/>
      <c r="R1922" s="15"/>
      <c r="S1922" s="15"/>
      <c r="T1922" s="15"/>
      <c r="U1922" s="15"/>
      <c r="V1922" s="1"/>
      <c r="W1922" s="1"/>
      <c r="X1922" s="1"/>
      <c r="Y1922" s="15"/>
      <c r="Z1922" s="15"/>
      <c r="AA1922" s="15"/>
      <c r="AB1922" s="15">
        <v>384</v>
      </c>
      <c r="AC1922" s="82"/>
      <c r="AD1922" s="16" t="s">
        <v>336</v>
      </c>
      <c r="AE1922" s="16" t="s">
        <v>336</v>
      </c>
      <c r="AF1922" s="16"/>
      <c r="AI1922" s="16" t="s">
        <v>1730</v>
      </c>
      <c r="AJ1922" s="16"/>
      <c r="AK1922" s="16"/>
      <c r="AL1922" s="16"/>
      <c r="AM1922" s="16"/>
      <c r="AN1922" s="16"/>
      <c r="AO1922" s="16"/>
      <c r="AP1922" s="16"/>
      <c r="AR1922" s="88" t="s">
        <v>96</v>
      </c>
      <c r="AS1922" s="88" t="s">
        <v>96</v>
      </c>
      <c r="AU1922" s="12" t="s">
        <v>1947</v>
      </c>
      <c r="AW1922" s="39">
        <v>90</v>
      </c>
      <c r="AY1922" s="12"/>
      <c r="AZ1922" s="12"/>
      <c r="BA1922" s="12"/>
    </row>
    <row r="1923" spans="1:53" ht="12" x14ac:dyDescent="0.2">
      <c r="A1923" s="12" t="s">
        <v>1838</v>
      </c>
      <c r="B1923" s="39">
        <v>900001</v>
      </c>
      <c r="C1923" s="42" t="s">
        <v>4171</v>
      </c>
      <c r="D1923" s="86" t="s">
        <v>2951</v>
      </c>
      <c r="E1923" s="86" t="s">
        <v>0</v>
      </c>
      <c r="F1923" s="32" t="s">
        <v>436</v>
      </c>
      <c r="G1923" s="1" t="s">
        <v>1845</v>
      </c>
      <c r="H1923" s="1"/>
      <c r="O1923" s="16" t="s">
        <v>335</v>
      </c>
      <c r="P1923" s="1">
        <v>1</v>
      </c>
      <c r="Q1923" s="1"/>
      <c r="R1923" s="1"/>
      <c r="S1923" s="1"/>
      <c r="T1923" s="1"/>
      <c r="U1923" s="1"/>
      <c r="V1923" s="1"/>
      <c r="W1923" s="15">
        <v>283</v>
      </c>
      <c r="X1923" s="15">
        <v>283</v>
      </c>
      <c r="Y1923" s="1"/>
      <c r="Z1923" s="1"/>
      <c r="AA1923" s="15"/>
      <c r="AB1923" s="15"/>
      <c r="AD1923" s="16" t="s">
        <v>98</v>
      </c>
      <c r="AE1923" s="16" t="s">
        <v>98</v>
      </c>
      <c r="AF1923" s="16"/>
      <c r="AI1923" s="16" t="s">
        <v>1846</v>
      </c>
      <c r="AJ1923" s="16"/>
      <c r="AK1923" s="16"/>
      <c r="AL1923" s="16"/>
      <c r="AM1923" s="16"/>
      <c r="AN1923" s="16"/>
      <c r="AO1923" s="16"/>
      <c r="AP1923" s="16"/>
      <c r="AR1923" s="88" t="s">
        <v>96</v>
      </c>
      <c r="AS1923" s="88" t="s">
        <v>96</v>
      </c>
      <c r="AU1923" s="12" t="s">
        <v>1948</v>
      </c>
      <c r="AW1923" s="39">
        <v>90</v>
      </c>
      <c r="AY1923" s="12"/>
      <c r="AZ1923" s="12"/>
      <c r="BA1923" s="12"/>
    </row>
    <row r="1924" spans="1:53" ht="12" x14ac:dyDescent="0.2">
      <c r="A1924" s="12" t="s">
        <v>1839</v>
      </c>
      <c r="B1924" s="39">
        <v>900002</v>
      </c>
      <c r="C1924" s="42" t="s">
        <v>4172</v>
      </c>
      <c r="D1924" s="86" t="s">
        <v>2951</v>
      </c>
      <c r="E1924" s="86" t="s">
        <v>0</v>
      </c>
      <c r="F1924" s="32" t="s">
        <v>928</v>
      </c>
      <c r="G1924" s="1" t="s">
        <v>1303</v>
      </c>
      <c r="H1924" s="1"/>
      <c r="O1924" s="16" t="s">
        <v>335</v>
      </c>
      <c r="P1924" s="1">
        <v>1</v>
      </c>
      <c r="Q1924" s="1"/>
      <c r="R1924" s="1"/>
      <c r="S1924" s="1"/>
      <c r="T1924" s="1"/>
      <c r="U1924" s="1"/>
      <c r="V1924" s="1"/>
      <c r="W1924" s="15">
        <v>320</v>
      </c>
      <c r="X1924" s="15">
        <v>320</v>
      </c>
      <c r="Y1924" s="1"/>
      <c r="Z1924" s="1"/>
      <c r="AA1924" s="15"/>
      <c r="AB1924" s="15"/>
      <c r="AD1924" s="16" t="s">
        <v>98</v>
      </c>
      <c r="AE1924" s="16" t="s">
        <v>98</v>
      </c>
      <c r="AF1924" s="16"/>
      <c r="AI1924" s="16" t="s">
        <v>1846</v>
      </c>
      <c r="AJ1924" s="16"/>
      <c r="AK1924" s="16"/>
      <c r="AL1924" s="16"/>
      <c r="AM1924" s="16"/>
      <c r="AN1924" s="16"/>
      <c r="AO1924" s="16"/>
      <c r="AP1924" s="16"/>
      <c r="AR1924" s="88" t="s">
        <v>96</v>
      </c>
      <c r="AS1924" s="88" t="s">
        <v>96</v>
      </c>
      <c r="AU1924" s="12" t="s">
        <v>1948</v>
      </c>
      <c r="AW1924" s="39">
        <v>90</v>
      </c>
      <c r="AY1924" s="12"/>
      <c r="AZ1924" s="12"/>
      <c r="BA1924" s="12"/>
    </row>
    <row r="1925" spans="1:53" ht="12" x14ac:dyDescent="0.2">
      <c r="A1925" s="12" t="s">
        <v>1840</v>
      </c>
      <c r="B1925" s="39">
        <v>900003</v>
      </c>
      <c r="C1925" s="42" t="s">
        <v>4173</v>
      </c>
      <c r="D1925" s="86" t="s">
        <v>2951</v>
      </c>
      <c r="E1925" s="86" t="s">
        <v>0</v>
      </c>
      <c r="F1925" s="32" t="s">
        <v>310</v>
      </c>
      <c r="G1925" s="1" t="s">
        <v>1303</v>
      </c>
      <c r="H1925" s="1"/>
      <c r="O1925" s="16" t="s">
        <v>335</v>
      </c>
      <c r="P1925" s="1">
        <v>1</v>
      </c>
      <c r="Q1925" s="1"/>
      <c r="R1925" s="1"/>
      <c r="S1925" s="1"/>
      <c r="T1925" s="1"/>
      <c r="U1925" s="1"/>
      <c r="V1925" s="1"/>
      <c r="W1925" s="15">
        <v>352</v>
      </c>
      <c r="X1925" s="15">
        <v>352</v>
      </c>
      <c r="Y1925" s="1"/>
      <c r="Z1925" s="1"/>
      <c r="AA1925" s="15"/>
      <c r="AB1925" s="15"/>
      <c r="AD1925" s="16" t="s">
        <v>98</v>
      </c>
      <c r="AE1925" s="16" t="s">
        <v>98</v>
      </c>
      <c r="AF1925" s="16"/>
      <c r="AI1925" s="16" t="s">
        <v>1846</v>
      </c>
      <c r="AJ1925" s="16"/>
      <c r="AK1925" s="16"/>
      <c r="AL1925" s="16"/>
      <c r="AM1925" s="16"/>
      <c r="AN1925" s="16"/>
      <c r="AO1925" s="16"/>
      <c r="AP1925" s="16"/>
      <c r="AR1925" s="88" t="s">
        <v>96</v>
      </c>
      <c r="AS1925" s="88" t="s">
        <v>96</v>
      </c>
      <c r="AU1925" s="12" t="s">
        <v>1948</v>
      </c>
      <c r="AW1925" s="39">
        <v>90</v>
      </c>
      <c r="AY1925" s="12"/>
      <c r="AZ1925" s="12"/>
      <c r="BA1925" s="12"/>
    </row>
    <row r="1926" spans="1:53" ht="12" x14ac:dyDescent="0.2">
      <c r="A1926" s="12" t="s">
        <v>1841</v>
      </c>
      <c r="B1926" s="39">
        <v>900004</v>
      </c>
      <c r="C1926" s="42" t="s">
        <v>4174</v>
      </c>
      <c r="D1926" s="86" t="s">
        <v>2951</v>
      </c>
      <c r="E1926" s="86" t="s">
        <v>0</v>
      </c>
      <c r="F1926" s="32" t="s">
        <v>456</v>
      </c>
      <c r="G1926" s="1" t="s">
        <v>1303</v>
      </c>
      <c r="H1926" s="1"/>
      <c r="O1926" s="16" t="s">
        <v>335</v>
      </c>
      <c r="P1926" s="1">
        <v>1</v>
      </c>
      <c r="Q1926" s="1"/>
      <c r="R1926" s="1"/>
      <c r="S1926" s="1"/>
      <c r="T1926" s="1"/>
      <c r="U1926" s="1"/>
      <c r="V1926" s="1"/>
      <c r="W1926" s="15">
        <v>397</v>
      </c>
      <c r="X1926" s="15">
        <v>397</v>
      </c>
      <c r="Y1926" s="1"/>
      <c r="Z1926" s="1"/>
      <c r="AA1926" s="15"/>
      <c r="AB1926" s="15"/>
      <c r="AD1926" s="16" t="s">
        <v>98</v>
      </c>
      <c r="AE1926" s="16" t="s">
        <v>98</v>
      </c>
      <c r="AF1926" s="16"/>
      <c r="AI1926" s="16" t="s">
        <v>1846</v>
      </c>
      <c r="AJ1926" s="16"/>
      <c r="AK1926" s="16"/>
      <c r="AL1926" s="16"/>
      <c r="AM1926" s="16"/>
      <c r="AN1926" s="16"/>
      <c r="AO1926" s="16"/>
      <c r="AP1926" s="16"/>
      <c r="AR1926" s="88" t="s">
        <v>96</v>
      </c>
      <c r="AS1926" s="88" t="s">
        <v>96</v>
      </c>
      <c r="AU1926" s="12" t="s">
        <v>1948</v>
      </c>
      <c r="AW1926" s="39">
        <v>90</v>
      </c>
      <c r="AY1926" s="12"/>
      <c r="AZ1926" s="12"/>
      <c r="BA1926" s="12"/>
    </row>
    <row r="1927" spans="1:53" ht="12" x14ac:dyDescent="0.2">
      <c r="A1927" s="12" t="s">
        <v>1842</v>
      </c>
      <c r="B1927" s="39">
        <v>900005</v>
      </c>
      <c r="C1927" s="42" t="s">
        <v>4175</v>
      </c>
      <c r="D1927" s="86" t="s">
        <v>2951</v>
      </c>
      <c r="E1927" s="86" t="s">
        <v>0</v>
      </c>
      <c r="F1927" s="32" t="s">
        <v>927</v>
      </c>
      <c r="G1927" s="1" t="s">
        <v>1303</v>
      </c>
      <c r="H1927" s="1"/>
      <c r="O1927" s="16" t="s">
        <v>335</v>
      </c>
      <c r="P1927" s="1">
        <v>1</v>
      </c>
      <c r="Q1927" s="1"/>
      <c r="R1927" s="1"/>
      <c r="S1927" s="1"/>
      <c r="T1927" s="1"/>
      <c r="U1927" s="1"/>
      <c r="V1927" s="1"/>
      <c r="W1927" s="15">
        <v>362</v>
      </c>
      <c r="X1927" s="15">
        <v>362</v>
      </c>
      <c r="Y1927" s="1"/>
      <c r="Z1927" s="1"/>
      <c r="AA1927" s="15"/>
      <c r="AB1927" s="15"/>
      <c r="AD1927" s="16" t="s">
        <v>98</v>
      </c>
      <c r="AE1927" s="16" t="s">
        <v>98</v>
      </c>
      <c r="AF1927" s="16"/>
      <c r="AI1927" s="16" t="s">
        <v>1846</v>
      </c>
      <c r="AJ1927" s="16"/>
      <c r="AK1927" s="16"/>
      <c r="AL1927" s="16"/>
      <c r="AM1927" s="16"/>
      <c r="AN1927" s="16"/>
      <c r="AO1927" s="16"/>
      <c r="AP1927" s="16"/>
      <c r="AR1927" s="88" t="s">
        <v>96</v>
      </c>
      <c r="AS1927" s="88" t="s">
        <v>96</v>
      </c>
      <c r="AU1927" s="12" t="s">
        <v>1948</v>
      </c>
      <c r="AW1927" s="39">
        <v>90</v>
      </c>
      <c r="AY1927" s="12"/>
      <c r="AZ1927" s="12"/>
      <c r="BA1927" s="12"/>
    </row>
    <row r="1928" spans="1:53" ht="12" x14ac:dyDescent="0.2">
      <c r="A1928" s="12" t="s">
        <v>1843</v>
      </c>
      <c r="B1928" s="39">
        <v>900006</v>
      </c>
      <c r="C1928" s="42" t="s">
        <v>4176</v>
      </c>
      <c r="D1928" s="86" t="s">
        <v>2951</v>
      </c>
      <c r="E1928" s="86" t="s">
        <v>0</v>
      </c>
      <c r="F1928" s="32" t="s">
        <v>1636</v>
      </c>
      <c r="G1928" s="1" t="s">
        <v>1303</v>
      </c>
      <c r="H1928" s="1"/>
      <c r="O1928" s="16" t="s">
        <v>335</v>
      </c>
      <c r="P1928" s="1">
        <v>1</v>
      </c>
      <c r="Q1928" s="1"/>
      <c r="R1928" s="1"/>
      <c r="S1928" s="1"/>
      <c r="T1928" s="1"/>
      <c r="U1928" s="1"/>
      <c r="V1928" s="1"/>
      <c r="W1928" s="15">
        <v>370</v>
      </c>
      <c r="X1928" s="15">
        <v>370</v>
      </c>
      <c r="Y1928" s="1"/>
      <c r="Z1928" s="1"/>
      <c r="AA1928" s="15"/>
      <c r="AB1928" s="15"/>
      <c r="AD1928" s="16" t="s">
        <v>98</v>
      </c>
      <c r="AE1928" s="16" t="s">
        <v>98</v>
      </c>
      <c r="AF1928" s="16"/>
      <c r="AI1928" s="16" t="s">
        <v>1846</v>
      </c>
      <c r="AJ1928" s="16"/>
      <c r="AK1928" s="16"/>
      <c r="AL1928" s="16"/>
      <c r="AM1928" s="16"/>
      <c r="AN1928" s="16"/>
      <c r="AO1928" s="16"/>
      <c r="AP1928" s="16"/>
      <c r="AR1928" s="88" t="s">
        <v>96</v>
      </c>
      <c r="AS1928" s="88" t="s">
        <v>96</v>
      </c>
      <c r="AU1928" s="12" t="s">
        <v>1948</v>
      </c>
      <c r="AW1928" s="39">
        <v>90</v>
      </c>
      <c r="AY1928" s="12"/>
      <c r="AZ1928" s="12"/>
      <c r="BA1928" s="12"/>
    </row>
    <row r="1929" spans="1:53" ht="12" x14ac:dyDescent="0.2">
      <c r="A1929" s="12" t="s">
        <v>1844</v>
      </c>
      <c r="B1929" s="39">
        <v>900007</v>
      </c>
      <c r="C1929" s="42" t="s">
        <v>4177</v>
      </c>
      <c r="D1929" s="86" t="s">
        <v>2951</v>
      </c>
      <c r="E1929" s="86" t="s">
        <v>0</v>
      </c>
      <c r="F1929" s="32" t="s">
        <v>1637</v>
      </c>
      <c r="G1929" s="1" t="s">
        <v>1303</v>
      </c>
      <c r="H1929" s="1"/>
      <c r="O1929" s="16" t="s">
        <v>335</v>
      </c>
      <c r="P1929" s="1">
        <v>1</v>
      </c>
      <c r="Q1929" s="1"/>
      <c r="R1929" s="1"/>
      <c r="S1929" s="1"/>
      <c r="T1929" s="1"/>
      <c r="U1929" s="1"/>
      <c r="V1929" s="1"/>
      <c r="W1929" s="15">
        <v>370</v>
      </c>
      <c r="X1929" s="15">
        <v>370</v>
      </c>
      <c r="Y1929" s="1"/>
      <c r="Z1929" s="1"/>
      <c r="AA1929" s="15"/>
      <c r="AB1929" s="15"/>
      <c r="AD1929" s="16" t="s">
        <v>98</v>
      </c>
      <c r="AE1929" s="16" t="s">
        <v>98</v>
      </c>
      <c r="AF1929" s="16"/>
      <c r="AI1929" s="16" t="s">
        <v>1846</v>
      </c>
      <c r="AJ1929" s="16"/>
      <c r="AK1929" s="16"/>
      <c r="AL1929" s="16"/>
      <c r="AM1929" s="16"/>
      <c r="AN1929" s="16"/>
      <c r="AO1929" s="16"/>
      <c r="AP1929" s="16"/>
      <c r="AR1929" s="88" t="s">
        <v>96</v>
      </c>
      <c r="AS1929" s="88" t="s">
        <v>96</v>
      </c>
      <c r="AU1929" s="12" t="s">
        <v>1948</v>
      </c>
      <c r="AW1929" s="39">
        <v>90</v>
      </c>
      <c r="AY1929" s="12"/>
      <c r="AZ1929" s="12"/>
      <c r="BA1929" s="12"/>
    </row>
    <row r="1930" spans="1:53" ht="12" x14ac:dyDescent="0.2">
      <c r="A1930" s="10" t="s">
        <v>1904</v>
      </c>
      <c r="B1930" s="39">
        <v>160001</v>
      </c>
      <c r="C1930" s="42" t="s">
        <v>4178</v>
      </c>
      <c r="D1930" s="14" t="s">
        <v>2952</v>
      </c>
      <c r="E1930" s="14" t="s">
        <v>1901</v>
      </c>
      <c r="F1930" s="32" t="s">
        <v>312</v>
      </c>
      <c r="G1930" s="1" t="s">
        <v>2305</v>
      </c>
      <c r="H1930" s="1"/>
      <c r="I1930" s="1"/>
      <c r="O1930" s="16" t="s">
        <v>1338</v>
      </c>
      <c r="P1930" s="1">
        <v>71</v>
      </c>
      <c r="Q1930" s="15"/>
      <c r="R1930" s="15"/>
      <c r="S1930" s="15"/>
      <c r="T1930" s="15"/>
      <c r="U1930" s="15"/>
      <c r="V1930" s="1"/>
      <c r="W1930" s="1"/>
      <c r="X1930" s="1"/>
      <c r="Y1930" s="20">
        <v>190116</v>
      </c>
      <c r="Z1930" s="15"/>
      <c r="AA1930" s="15"/>
      <c r="AB1930" s="17"/>
      <c r="AC1930" s="82"/>
      <c r="AD1930" s="16" t="s">
        <v>98</v>
      </c>
      <c r="AE1930" s="102" t="s">
        <v>1906</v>
      </c>
      <c r="AF1930" s="16"/>
      <c r="AI1930" s="16"/>
      <c r="AJ1930" s="16"/>
      <c r="AK1930" s="16"/>
      <c r="AL1930" s="16"/>
      <c r="AM1930" s="16"/>
      <c r="AO1930" s="16"/>
      <c r="AP1930" s="16"/>
      <c r="AR1930" s="88"/>
      <c r="AS1930" s="88"/>
      <c r="AU1930" s="12" t="s">
        <v>1949</v>
      </c>
      <c r="AV1930" s="13"/>
      <c r="AW1930" s="39">
        <v>6</v>
      </c>
      <c r="AX1930" s="12">
        <f>VLOOKUP(AW1930,색인!$N$14:$O$19,2,FALSE)</f>
        <v>4</v>
      </c>
      <c r="AY1930" s="32" t="e">
        <f>"T"&amp;O1930&amp;"_"&amp;AX1930&amp;"옵션_"&amp;VLOOKUP(E1930,색인!$J$25:$K$29,2,FALSE)</f>
        <v>#N/A</v>
      </c>
      <c r="AZ1930" s="32" t="e">
        <f>VLOOKUP(G1930,색인!$J$32:$K$45,2,FALSE)</f>
        <v>#N/A</v>
      </c>
      <c r="BA1930" s="32" t="str">
        <f>_xlfn.IFNA(VLOOKUP(AY1930,표1[[검색용]:[OptionGroupIndex'[']22]],EquipItemTable!AZ1930,FALSE),"옵션고정안함")</f>
        <v>옵션고정안함</v>
      </c>
    </row>
    <row r="1931" spans="1:53" ht="12" x14ac:dyDescent="0.2">
      <c r="A1931" s="10" t="s">
        <v>1974</v>
      </c>
      <c r="B1931" s="39">
        <v>801001</v>
      </c>
      <c r="C1931" s="42" t="s">
        <v>4179</v>
      </c>
      <c r="D1931" s="86" t="s">
        <v>2953</v>
      </c>
      <c r="E1931" s="86" t="s">
        <v>0</v>
      </c>
      <c r="F1931" s="32" t="s">
        <v>436</v>
      </c>
      <c r="G1931" s="32" t="s">
        <v>1305</v>
      </c>
      <c r="O1931" s="32">
        <v>8</v>
      </c>
      <c r="P1931" s="32">
        <v>81</v>
      </c>
      <c r="Q1931" s="1"/>
      <c r="R1931" s="1"/>
      <c r="S1931" s="1"/>
      <c r="T1931" s="1"/>
      <c r="U1931" s="1"/>
      <c r="V1931" s="1"/>
      <c r="W1931" s="1">
        <v>5964</v>
      </c>
      <c r="X1931" s="1">
        <v>5964</v>
      </c>
      <c r="Y1931" s="1" t="s">
        <v>2193</v>
      </c>
      <c r="Z1931" s="1" t="s">
        <v>2193</v>
      </c>
      <c r="AA1931" s="1" t="s">
        <v>2193</v>
      </c>
      <c r="AB1931" s="1" t="s">
        <v>2193</v>
      </c>
      <c r="AD1931" s="12" t="s">
        <v>52</v>
      </c>
      <c r="AE1931" s="12" t="s">
        <v>2188</v>
      </c>
      <c r="AF1931" s="12" t="s">
        <v>2186</v>
      </c>
      <c r="AN1931" s="12"/>
      <c r="AR1931" s="34">
        <v>1</v>
      </c>
      <c r="AS1931" s="34">
        <v>1</v>
      </c>
      <c r="AU1931" s="12">
        <v>1001</v>
      </c>
      <c r="AW1931" s="39">
        <v>1</v>
      </c>
      <c r="AY1931" s="12"/>
      <c r="AZ1931" s="12"/>
      <c r="BA1931" s="12"/>
    </row>
    <row r="1932" spans="1:53" ht="12" x14ac:dyDescent="0.2">
      <c r="A1932" s="10" t="s">
        <v>1975</v>
      </c>
      <c r="B1932" s="39">
        <v>801002</v>
      </c>
      <c r="C1932" s="42" t="s">
        <v>4180</v>
      </c>
      <c r="D1932" s="86" t="s">
        <v>2953</v>
      </c>
      <c r="E1932" s="86" t="s">
        <v>0</v>
      </c>
      <c r="F1932" s="32" t="s">
        <v>436</v>
      </c>
      <c r="G1932" s="32" t="s">
        <v>1305</v>
      </c>
      <c r="O1932" s="32">
        <v>8</v>
      </c>
      <c r="P1932" s="32">
        <v>81</v>
      </c>
      <c r="Q1932" s="1"/>
      <c r="R1932" s="1"/>
      <c r="S1932" s="1"/>
      <c r="T1932" s="1"/>
      <c r="U1932" s="1"/>
      <c r="V1932" s="1"/>
      <c r="W1932" s="1">
        <v>6432</v>
      </c>
      <c r="X1932" s="1">
        <v>6432</v>
      </c>
      <c r="Y1932" s="1" t="s">
        <v>2193</v>
      </c>
      <c r="Z1932" s="1" t="s">
        <v>2193</v>
      </c>
      <c r="AA1932" s="1" t="s">
        <v>2193</v>
      </c>
      <c r="AB1932" s="1" t="s">
        <v>2193</v>
      </c>
      <c r="AD1932" s="12" t="s">
        <v>52</v>
      </c>
      <c r="AE1932" s="39" t="str">
        <f t="shared" ref="AE1932:AE1935" si="223">BA1932</f>
        <v>8132</v>
      </c>
      <c r="AN1932" s="12"/>
      <c r="AR1932" s="34">
        <v>1</v>
      </c>
      <c r="AS1932" s="34">
        <v>1</v>
      </c>
      <c r="AU1932" s="12" t="s">
        <v>1976</v>
      </c>
      <c r="AW1932" s="39">
        <v>2</v>
      </c>
      <c r="AX1932" s="12">
        <f>VLOOKUP(AW1932,색인!$N$14:$O$19,2,FALSE)</f>
        <v>1</v>
      </c>
      <c r="AY1932" s="39" t="str">
        <f>"T"&amp;O1932&amp;"_"&amp;AX1932&amp;"옵션_"&amp;VLOOKUP(E1932,색인!$J$25:$K$29,2,FALSE)</f>
        <v>T8_1옵션_장신구</v>
      </c>
      <c r="AZ1932" s="39">
        <f>VLOOKUP(G1932,색인!$J$32:$K$45,2,FALSE)</f>
        <v>3</v>
      </c>
      <c r="BA1932" s="39" t="str">
        <f>_xlfn.IFNA(VLOOKUP(AY1932,표1[[검색용]:[OptionGroupIndex'[']22]],EquipItemTable!AZ1932,FALSE),"옵션고정안함")</f>
        <v>8132</v>
      </c>
    </row>
    <row r="1933" spans="1:53" ht="12" x14ac:dyDescent="0.2">
      <c r="A1933" s="10" t="s">
        <v>1977</v>
      </c>
      <c r="B1933" s="39">
        <v>801003</v>
      </c>
      <c r="C1933" s="42" t="s">
        <v>4181</v>
      </c>
      <c r="D1933" s="86" t="s">
        <v>2953</v>
      </c>
      <c r="E1933" s="86" t="s">
        <v>0</v>
      </c>
      <c r="F1933" s="32" t="s">
        <v>436</v>
      </c>
      <c r="G1933" s="32" t="s">
        <v>1305</v>
      </c>
      <c r="O1933" s="32">
        <v>8</v>
      </c>
      <c r="P1933" s="32">
        <v>81</v>
      </c>
      <c r="Q1933" s="1"/>
      <c r="R1933" s="1"/>
      <c r="S1933" s="1"/>
      <c r="T1933" s="1"/>
      <c r="U1933" s="1"/>
      <c r="V1933" s="1"/>
      <c r="W1933" s="1">
        <v>6845</v>
      </c>
      <c r="X1933" s="1">
        <v>6845</v>
      </c>
      <c r="Y1933" s="1" t="s">
        <v>2193</v>
      </c>
      <c r="Z1933" s="1" t="s">
        <v>2193</v>
      </c>
      <c r="AA1933" s="1" t="s">
        <v>2193</v>
      </c>
      <c r="AB1933" s="1" t="s">
        <v>2193</v>
      </c>
      <c r="AD1933" s="12" t="s">
        <v>52</v>
      </c>
      <c r="AE1933" s="39" t="str">
        <f t="shared" si="223"/>
        <v>8232</v>
      </c>
      <c r="AN1933" s="12"/>
      <c r="AR1933" s="34">
        <v>1</v>
      </c>
      <c r="AS1933" s="34">
        <v>1</v>
      </c>
      <c r="AU1933" s="12" t="s">
        <v>1978</v>
      </c>
      <c r="AW1933" s="39">
        <v>3</v>
      </c>
      <c r="AX1933" s="12">
        <f>VLOOKUP(AW1933,색인!$N$14:$O$19,2,FALSE)</f>
        <v>2</v>
      </c>
      <c r="AY1933" s="39" t="str">
        <f>"T"&amp;O1933&amp;"_"&amp;AX1933&amp;"옵션_"&amp;VLOOKUP(E1933,색인!$J$25:$K$29,2,FALSE)</f>
        <v>T8_2옵션_장신구</v>
      </c>
      <c r="AZ1933" s="39">
        <f>VLOOKUP(G1933,색인!$J$32:$K$45,2,FALSE)</f>
        <v>3</v>
      </c>
      <c r="BA1933" s="39" t="str">
        <f>_xlfn.IFNA(VLOOKUP(AY1933,표1[[검색용]:[OptionGroupIndex'[']22]],EquipItemTable!AZ1933,FALSE),"옵션고정안함")</f>
        <v>8232</v>
      </c>
    </row>
    <row r="1934" spans="1:53" ht="12" x14ac:dyDescent="0.2">
      <c r="A1934" s="10" t="s">
        <v>1979</v>
      </c>
      <c r="B1934" s="39">
        <v>801004</v>
      </c>
      <c r="C1934" s="42" t="s">
        <v>4182</v>
      </c>
      <c r="D1934" s="86" t="s">
        <v>2953</v>
      </c>
      <c r="E1934" s="86" t="s">
        <v>0</v>
      </c>
      <c r="F1934" s="32" t="s">
        <v>436</v>
      </c>
      <c r="G1934" s="32" t="s">
        <v>1305</v>
      </c>
      <c r="O1934" s="32">
        <v>8</v>
      </c>
      <c r="P1934" s="32">
        <v>81</v>
      </c>
      <c r="Q1934" s="1"/>
      <c r="R1934" s="1"/>
      <c r="S1934" s="1"/>
      <c r="T1934" s="1"/>
      <c r="U1934" s="1"/>
      <c r="V1934" s="1"/>
      <c r="W1934" s="1">
        <v>7274</v>
      </c>
      <c r="X1934" s="1">
        <v>7274</v>
      </c>
      <c r="Y1934" s="1" t="s">
        <v>2193</v>
      </c>
      <c r="Z1934" s="1" t="s">
        <v>2193</v>
      </c>
      <c r="AA1934" s="1" t="s">
        <v>2193</v>
      </c>
      <c r="AB1934" s="1" t="s">
        <v>2193</v>
      </c>
      <c r="AD1934" s="12" t="s">
        <v>52</v>
      </c>
      <c r="AE1934" s="39" t="str">
        <f t="shared" si="223"/>
        <v>8332</v>
      </c>
      <c r="AN1934" s="12"/>
      <c r="AR1934" s="34">
        <v>1</v>
      </c>
      <c r="AS1934" s="34">
        <v>1</v>
      </c>
      <c r="AU1934" s="12" t="s">
        <v>1980</v>
      </c>
      <c r="AW1934" s="39">
        <v>4</v>
      </c>
      <c r="AX1934" s="12">
        <f>VLOOKUP(AW1934,색인!$N$14:$O$19,2,FALSE)</f>
        <v>3</v>
      </c>
      <c r="AY1934" s="39" t="str">
        <f>"T"&amp;O1934&amp;"_"&amp;AX1934&amp;"옵션_"&amp;VLOOKUP(E1934,색인!$J$25:$K$29,2,FALSE)</f>
        <v>T8_3옵션_장신구</v>
      </c>
      <c r="AZ1934" s="39">
        <f>VLOOKUP(G1934,색인!$J$32:$K$45,2,FALSE)</f>
        <v>3</v>
      </c>
      <c r="BA1934" s="39" t="str">
        <f>_xlfn.IFNA(VLOOKUP(AY1934,표1[[검색용]:[OptionGroupIndex'[']22]],EquipItemTable!AZ1934,FALSE),"옵션고정안함")</f>
        <v>8332</v>
      </c>
    </row>
    <row r="1935" spans="1:53" ht="12" x14ac:dyDescent="0.2">
      <c r="A1935" s="10" t="s">
        <v>1981</v>
      </c>
      <c r="B1935" s="39">
        <v>801005</v>
      </c>
      <c r="C1935" s="42" t="s">
        <v>4183</v>
      </c>
      <c r="D1935" s="86" t="s">
        <v>2953</v>
      </c>
      <c r="E1935" s="86" t="s">
        <v>0</v>
      </c>
      <c r="F1935" s="32" t="s">
        <v>436</v>
      </c>
      <c r="G1935" s="32" t="s">
        <v>1305</v>
      </c>
      <c r="O1935" s="32">
        <v>8</v>
      </c>
      <c r="P1935" s="32">
        <v>81</v>
      </c>
      <c r="Q1935" s="1"/>
      <c r="R1935" s="1"/>
      <c r="S1935" s="1"/>
      <c r="T1935" s="1"/>
      <c r="U1935" s="1"/>
      <c r="V1935" s="1"/>
      <c r="W1935" s="1">
        <v>7630</v>
      </c>
      <c r="X1935" s="1">
        <v>7630</v>
      </c>
      <c r="Y1935" s="1" t="s">
        <v>2193</v>
      </c>
      <c r="Z1935" s="1" t="s">
        <v>2193</v>
      </c>
      <c r="AA1935" s="1" t="s">
        <v>2193</v>
      </c>
      <c r="AB1935" s="1" t="s">
        <v>2193</v>
      </c>
      <c r="AD1935" s="12" t="s">
        <v>52</v>
      </c>
      <c r="AE1935" s="39" t="str">
        <f t="shared" si="223"/>
        <v>8332</v>
      </c>
      <c r="AN1935" s="32">
        <v>104</v>
      </c>
      <c r="AR1935" s="34">
        <v>1</v>
      </c>
      <c r="AS1935" s="34">
        <v>1</v>
      </c>
      <c r="AU1935" s="12" t="s">
        <v>1982</v>
      </c>
      <c r="AW1935" s="39">
        <v>5</v>
      </c>
      <c r="AX1935" s="12">
        <f>VLOOKUP(AW1935,색인!$N$14:$O$19,2,FALSE)</f>
        <v>3</v>
      </c>
      <c r="AY1935" s="39" t="str">
        <f>"T"&amp;O1935&amp;"_"&amp;AX1935&amp;"옵션_"&amp;VLOOKUP(E1935,색인!$J$25:$K$29,2,FALSE)</f>
        <v>T8_3옵션_장신구</v>
      </c>
      <c r="AZ1935" s="39">
        <f>VLOOKUP(G1935,색인!$J$32:$K$45,2,FALSE)</f>
        <v>3</v>
      </c>
      <c r="BA1935" s="39" t="str">
        <f>_xlfn.IFNA(VLOOKUP(AY1935,표1[[검색용]:[OptionGroupIndex'[']22]],EquipItemTable!AZ1935,FALSE),"옵션고정안함")</f>
        <v>8332</v>
      </c>
    </row>
    <row r="1936" spans="1:53" ht="12" x14ac:dyDescent="0.2">
      <c r="A1936" s="10" t="s">
        <v>1983</v>
      </c>
      <c r="B1936" s="39">
        <v>801006</v>
      </c>
      <c r="C1936" s="42" t="s">
        <v>3408</v>
      </c>
      <c r="D1936" s="86" t="s">
        <v>2953</v>
      </c>
      <c r="E1936" s="86" t="s">
        <v>0</v>
      </c>
      <c r="F1936" s="32" t="s">
        <v>436</v>
      </c>
      <c r="G1936" s="32" t="s">
        <v>1305</v>
      </c>
      <c r="O1936" s="32">
        <v>8</v>
      </c>
      <c r="P1936" s="32">
        <v>81</v>
      </c>
      <c r="Q1936" s="1"/>
      <c r="R1936" s="1"/>
      <c r="S1936" s="1"/>
      <c r="T1936" s="1"/>
      <c r="U1936" s="1"/>
      <c r="V1936" s="1"/>
      <c r="W1936" s="1">
        <v>7994</v>
      </c>
      <c r="X1936" s="1">
        <v>7994</v>
      </c>
      <c r="Y1936" s="1" t="s">
        <v>2193</v>
      </c>
      <c r="Z1936" s="1" t="s">
        <v>2193</v>
      </c>
      <c r="AA1936" s="1" t="s">
        <v>2193</v>
      </c>
      <c r="AB1936" s="1" t="s">
        <v>2193</v>
      </c>
      <c r="AD1936" s="12" t="s">
        <v>52</v>
      </c>
      <c r="AE1936" s="39" t="str">
        <f>BA1936</f>
        <v>8432</v>
      </c>
      <c r="AF1936" s="12" t="s">
        <v>2185</v>
      </c>
      <c r="AN1936" s="12">
        <v>1</v>
      </c>
      <c r="AR1936" s="34">
        <v>1</v>
      </c>
      <c r="AS1936" s="34">
        <v>1</v>
      </c>
      <c r="AU1936" s="12" t="s">
        <v>1936</v>
      </c>
      <c r="AW1936" s="39">
        <v>6</v>
      </c>
      <c r="AX1936" s="12">
        <f>VLOOKUP(AW1936,색인!$N$14:$O$19,2,FALSE)</f>
        <v>4</v>
      </c>
      <c r="AY1936" s="12" t="str">
        <f>"T"&amp;O1936&amp;"_"&amp;AX1936&amp;"옵션_"&amp;VLOOKUP(E1936,색인!$J$25:$K$29,2,FALSE)</f>
        <v>T8_4옵션_장신구</v>
      </c>
      <c r="AZ1936" s="12">
        <f>VLOOKUP(G1936,색인!$J$32:$K$45,2,FALSE)</f>
        <v>3</v>
      </c>
      <c r="BA1936" s="12" t="str">
        <f>_xlfn.IFNA(VLOOKUP(AY1936,표1[[검색용]:[OptionGroupIndex'[']22]],EquipItemTable!AZ1936,FALSE),"옵션고정안함")</f>
        <v>8432</v>
      </c>
    </row>
    <row r="1937" spans="1:53" ht="12" x14ac:dyDescent="0.2">
      <c r="A1937" s="10" t="s">
        <v>1985</v>
      </c>
      <c r="B1937" s="39">
        <v>801007</v>
      </c>
      <c r="C1937" s="42" t="s">
        <v>3409</v>
      </c>
      <c r="D1937" s="86" t="s">
        <v>2953</v>
      </c>
      <c r="E1937" s="86" t="s">
        <v>0</v>
      </c>
      <c r="F1937" s="32" t="s">
        <v>436</v>
      </c>
      <c r="G1937" s="32" t="s">
        <v>1305</v>
      </c>
      <c r="O1937" s="32">
        <v>8</v>
      </c>
      <c r="P1937" s="32">
        <v>81</v>
      </c>
      <c r="Q1937" s="1"/>
      <c r="R1937" s="1"/>
      <c r="S1937" s="1"/>
      <c r="T1937" s="1"/>
      <c r="U1937" s="1"/>
      <c r="V1937" s="1"/>
      <c r="W1937" s="1">
        <v>7994</v>
      </c>
      <c r="X1937" s="1">
        <v>7994</v>
      </c>
      <c r="Y1937" s="1" t="s">
        <v>2193</v>
      </c>
      <c r="Z1937" s="1" t="s">
        <v>2193</v>
      </c>
      <c r="AA1937" s="1" t="s">
        <v>2193</v>
      </c>
      <c r="AB1937" s="1" t="s">
        <v>2193</v>
      </c>
      <c r="AD1937" s="12" t="s">
        <v>52</v>
      </c>
      <c r="AE1937" s="39" t="str">
        <f>BA1937</f>
        <v>8432</v>
      </c>
      <c r="AF1937" s="12" t="s">
        <v>2185</v>
      </c>
      <c r="AN1937" s="12" t="s">
        <v>2228</v>
      </c>
      <c r="AR1937" s="34">
        <v>1</v>
      </c>
      <c r="AS1937" s="34">
        <v>1</v>
      </c>
      <c r="AU1937" s="12" t="s">
        <v>1936</v>
      </c>
      <c r="AW1937" s="39">
        <v>6</v>
      </c>
      <c r="AX1937" s="12">
        <f>VLOOKUP(AW1937,색인!$N$14:$O$19,2,FALSE)</f>
        <v>4</v>
      </c>
      <c r="AY1937" s="12" t="str">
        <f>"T"&amp;O1937&amp;"_"&amp;AX1937&amp;"옵션_"&amp;VLOOKUP(E1937,색인!$J$25:$K$29,2,FALSE)</f>
        <v>T8_4옵션_장신구</v>
      </c>
      <c r="AZ1937" s="12">
        <f>VLOOKUP(G1937,색인!$J$32:$K$45,2,FALSE)</f>
        <v>3</v>
      </c>
      <c r="BA1937" s="12" t="str">
        <f>_xlfn.IFNA(VLOOKUP(AY1937,표1[[검색용]:[OptionGroupIndex'[']22]],EquipItemTable!AZ1937,FALSE),"옵션고정안함")</f>
        <v>8432</v>
      </c>
    </row>
    <row r="1938" spans="1:53" ht="12" x14ac:dyDescent="0.2">
      <c r="A1938" s="10" t="s">
        <v>1986</v>
      </c>
      <c r="B1938" s="39">
        <v>801008</v>
      </c>
      <c r="C1938" s="42" t="s">
        <v>3410</v>
      </c>
      <c r="D1938" s="86" t="s">
        <v>2953</v>
      </c>
      <c r="E1938" s="86" t="s">
        <v>0</v>
      </c>
      <c r="F1938" s="32" t="s">
        <v>436</v>
      </c>
      <c r="G1938" s="32" t="s">
        <v>1305</v>
      </c>
      <c r="O1938" s="32">
        <v>8</v>
      </c>
      <c r="P1938" s="32">
        <v>81</v>
      </c>
      <c r="Q1938" s="1"/>
      <c r="R1938" s="1"/>
      <c r="S1938" s="1"/>
      <c r="T1938" s="1"/>
      <c r="U1938" s="1"/>
      <c r="V1938" s="1"/>
      <c r="W1938" s="1">
        <v>7994</v>
      </c>
      <c r="X1938" s="1">
        <v>7994</v>
      </c>
      <c r="Y1938" s="1" t="s">
        <v>2193</v>
      </c>
      <c r="Z1938" s="1" t="s">
        <v>2193</v>
      </c>
      <c r="AA1938" s="1" t="s">
        <v>2193</v>
      </c>
      <c r="AB1938" s="1" t="s">
        <v>2193</v>
      </c>
      <c r="AD1938" s="12" t="s">
        <v>52</v>
      </c>
      <c r="AE1938" s="39" t="str">
        <f>BA1938</f>
        <v>8432</v>
      </c>
      <c r="AF1938" s="12" t="s">
        <v>2185</v>
      </c>
      <c r="AN1938" s="12" t="s">
        <v>2229</v>
      </c>
      <c r="AR1938" s="34">
        <v>1</v>
      </c>
      <c r="AS1938" s="34">
        <v>1</v>
      </c>
      <c r="AU1938" s="12" t="s">
        <v>1936</v>
      </c>
      <c r="AW1938" s="39">
        <v>6</v>
      </c>
      <c r="AX1938" s="12">
        <f>VLOOKUP(AW1938,색인!$N$14:$O$19,2,FALSE)</f>
        <v>4</v>
      </c>
      <c r="AY1938" s="12" t="str">
        <f>"T"&amp;O1938&amp;"_"&amp;AX1938&amp;"옵션_"&amp;VLOOKUP(E1938,색인!$J$25:$K$29,2,FALSE)</f>
        <v>T8_4옵션_장신구</v>
      </c>
      <c r="AZ1938" s="12">
        <f>VLOOKUP(G1938,색인!$J$32:$K$45,2,FALSE)</f>
        <v>3</v>
      </c>
      <c r="BA1938" s="12" t="str">
        <f>_xlfn.IFNA(VLOOKUP(AY1938,표1[[검색용]:[OptionGroupIndex'[']22]],EquipItemTable!AZ1938,FALSE),"옵션고정안함")</f>
        <v>8432</v>
      </c>
    </row>
    <row r="1939" spans="1:53" ht="12" x14ac:dyDescent="0.2">
      <c r="A1939" s="10" t="s">
        <v>1987</v>
      </c>
      <c r="B1939" s="39">
        <v>801009</v>
      </c>
      <c r="C1939" s="42" t="s">
        <v>3411</v>
      </c>
      <c r="D1939" s="86" t="s">
        <v>2953</v>
      </c>
      <c r="E1939" s="86" t="s">
        <v>0</v>
      </c>
      <c r="F1939" s="32" t="s">
        <v>436</v>
      </c>
      <c r="G1939" s="32" t="s">
        <v>1305</v>
      </c>
      <c r="O1939" s="32">
        <v>8</v>
      </c>
      <c r="P1939" s="32">
        <v>81</v>
      </c>
      <c r="Q1939" s="1"/>
      <c r="R1939" s="1"/>
      <c r="S1939" s="1"/>
      <c r="T1939" s="1"/>
      <c r="U1939" s="1"/>
      <c r="V1939" s="1"/>
      <c r="W1939" s="1">
        <v>7994</v>
      </c>
      <c r="X1939" s="1">
        <v>7994</v>
      </c>
      <c r="Y1939" s="1" t="s">
        <v>2193</v>
      </c>
      <c r="Z1939" s="1" t="s">
        <v>2193</v>
      </c>
      <c r="AA1939" s="1" t="s">
        <v>2193</v>
      </c>
      <c r="AB1939" s="1" t="s">
        <v>2193</v>
      </c>
      <c r="AD1939" s="12" t="s">
        <v>52</v>
      </c>
      <c r="AE1939" s="39" t="str">
        <f>BA1939</f>
        <v>8432</v>
      </c>
      <c r="AF1939" s="12" t="s">
        <v>2185</v>
      </c>
      <c r="AN1939" s="12" t="s">
        <v>2230</v>
      </c>
      <c r="AR1939" s="34">
        <v>1</v>
      </c>
      <c r="AS1939" s="34">
        <v>1</v>
      </c>
      <c r="AU1939" s="12" t="s">
        <v>1936</v>
      </c>
      <c r="AW1939" s="39">
        <v>6</v>
      </c>
      <c r="AX1939" s="12">
        <f>VLOOKUP(AW1939,색인!$N$14:$O$19,2,FALSE)</f>
        <v>4</v>
      </c>
      <c r="AY1939" s="12" t="str">
        <f>"T"&amp;O1939&amp;"_"&amp;AX1939&amp;"옵션_"&amp;VLOOKUP(E1939,색인!$J$25:$K$29,2,FALSE)</f>
        <v>T8_4옵션_장신구</v>
      </c>
      <c r="AZ1939" s="12">
        <f>VLOOKUP(G1939,색인!$J$32:$K$45,2,FALSE)</f>
        <v>3</v>
      </c>
      <c r="BA1939" s="12" t="str">
        <f>_xlfn.IFNA(VLOOKUP(AY1939,표1[[검색용]:[OptionGroupIndex'[']22]],EquipItemTable!AZ1939,FALSE),"옵션고정안함")</f>
        <v>8432</v>
      </c>
    </row>
    <row r="1940" spans="1:53" ht="12" x14ac:dyDescent="0.2">
      <c r="A1940" s="10" t="s">
        <v>1988</v>
      </c>
      <c r="B1940" s="39">
        <v>801010</v>
      </c>
      <c r="C1940" s="42" t="s">
        <v>4184</v>
      </c>
      <c r="D1940" s="86" t="s">
        <v>2953</v>
      </c>
      <c r="E1940" s="86" t="s">
        <v>0</v>
      </c>
      <c r="F1940" s="32" t="s">
        <v>436</v>
      </c>
      <c r="G1940" s="32" t="s">
        <v>1305</v>
      </c>
      <c r="O1940" s="32">
        <v>8</v>
      </c>
      <c r="P1940" s="32">
        <v>81</v>
      </c>
      <c r="Q1940" s="1"/>
      <c r="R1940" s="1"/>
      <c r="S1940" s="1"/>
      <c r="T1940" s="1"/>
      <c r="U1940" s="1"/>
      <c r="V1940" s="1"/>
      <c r="W1940" s="1">
        <v>7994</v>
      </c>
      <c r="X1940" s="1">
        <v>7994</v>
      </c>
      <c r="Y1940" s="1" t="s">
        <v>2193</v>
      </c>
      <c r="Z1940" s="1" t="s">
        <v>2193</v>
      </c>
      <c r="AA1940" s="1" t="s">
        <v>2193</v>
      </c>
      <c r="AB1940" s="1" t="s">
        <v>2193</v>
      </c>
      <c r="AD1940" s="12" t="s">
        <v>52</v>
      </c>
      <c r="AE1940" s="39" t="s">
        <v>2187</v>
      </c>
      <c r="AF1940" s="12" t="s">
        <v>2185</v>
      </c>
      <c r="AN1940" s="12" t="s">
        <v>2231</v>
      </c>
      <c r="AR1940" s="34">
        <v>1</v>
      </c>
      <c r="AS1940" s="34">
        <v>1</v>
      </c>
      <c r="AU1940" s="12" t="s">
        <v>1936</v>
      </c>
      <c r="AW1940" s="39">
        <v>6</v>
      </c>
      <c r="AX1940" s="12">
        <f>VLOOKUP(AW1940,색인!$N$14:$O$19,2,FALSE)</f>
        <v>4</v>
      </c>
      <c r="AY1940" s="12" t="str">
        <f>"T"&amp;O1940&amp;"_"&amp;AX1940&amp;"옵션_"&amp;VLOOKUP(E1940,색인!$J$25:$K$29,2,FALSE)</f>
        <v>T8_4옵션_장신구</v>
      </c>
      <c r="AZ1940" s="12">
        <f>VLOOKUP(G1940,색인!$J$32:$K$45,2,FALSE)</f>
        <v>3</v>
      </c>
      <c r="BA1940" s="12" t="str">
        <f>_xlfn.IFNA(VLOOKUP(AY1940,표1[[검색용]:[OptionGroupIndex'[']22]],EquipItemTable!AZ1940,FALSE),"옵션고정안함")</f>
        <v>8432</v>
      </c>
    </row>
    <row r="1941" spans="1:53" ht="12" x14ac:dyDescent="0.2">
      <c r="A1941" s="10" t="s">
        <v>1989</v>
      </c>
      <c r="B1941" s="39">
        <v>802001</v>
      </c>
      <c r="C1941" s="42" t="s">
        <v>4185</v>
      </c>
      <c r="D1941" s="86" t="s">
        <v>2953</v>
      </c>
      <c r="E1941" s="86" t="s">
        <v>0</v>
      </c>
      <c r="F1941" s="32" t="s">
        <v>928</v>
      </c>
      <c r="G1941" s="32" t="s">
        <v>1357</v>
      </c>
      <c r="O1941" s="32">
        <v>8</v>
      </c>
      <c r="P1941" s="32">
        <v>81</v>
      </c>
      <c r="Q1941" s="1"/>
      <c r="R1941" s="1"/>
      <c r="S1941" s="1"/>
      <c r="T1941" s="1"/>
      <c r="U1941" s="1"/>
      <c r="V1941" s="1"/>
      <c r="W1941" s="1">
        <v>6774</v>
      </c>
      <c r="X1941" s="1">
        <v>6774</v>
      </c>
      <c r="Y1941" s="1" t="s">
        <v>2193</v>
      </c>
      <c r="Z1941" s="1" t="s">
        <v>2193</v>
      </c>
      <c r="AA1941" s="1" t="s">
        <v>2193</v>
      </c>
      <c r="AB1941" s="1" t="s">
        <v>2193</v>
      </c>
      <c r="AD1941" s="12" t="s">
        <v>52</v>
      </c>
      <c r="AE1941" s="12" t="s">
        <v>2187</v>
      </c>
      <c r="AF1941" s="12" t="s">
        <v>2185</v>
      </c>
      <c r="AN1941" s="12"/>
      <c r="AR1941" s="34">
        <v>1</v>
      </c>
      <c r="AS1941" s="34">
        <v>1</v>
      </c>
      <c r="AU1941" s="12">
        <v>1001</v>
      </c>
      <c r="AW1941" s="39">
        <v>1</v>
      </c>
      <c r="AY1941" s="12"/>
      <c r="AZ1941" s="12"/>
      <c r="BA1941" s="12"/>
    </row>
    <row r="1942" spans="1:53" ht="12" x14ac:dyDescent="0.2">
      <c r="A1942" s="10" t="s">
        <v>1990</v>
      </c>
      <c r="B1942" s="39">
        <v>802002</v>
      </c>
      <c r="C1942" s="42" t="s">
        <v>4186</v>
      </c>
      <c r="D1942" s="86" t="s">
        <v>2953</v>
      </c>
      <c r="E1942" s="86" t="s">
        <v>0</v>
      </c>
      <c r="F1942" s="32" t="s">
        <v>928</v>
      </c>
      <c r="G1942" s="32" t="s">
        <v>1357</v>
      </c>
      <c r="O1942" s="32">
        <v>8</v>
      </c>
      <c r="P1942" s="32">
        <v>81</v>
      </c>
      <c r="Q1942" s="1"/>
      <c r="R1942" s="1"/>
      <c r="S1942" s="1"/>
      <c r="T1942" s="1"/>
      <c r="U1942" s="1"/>
      <c r="V1942" s="1"/>
      <c r="W1942" s="1">
        <v>7304</v>
      </c>
      <c r="X1942" s="1">
        <v>7304</v>
      </c>
      <c r="Y1942" s="1" t="s">
        <v>2193</v>
      </c>
      <c r="Z1942" s="1" t="s">
        <v>2193</v>
      </c>
      <c r="AA1942" s="1" t="s">
        <v>2193</v>
      </c>
      <c r="AB1942" s="1" t="s">
        <v>2193</v>
      </c>
      <c r="AD1942" s="12" t="s">
        <v>52</v>
      </c>
      <c r="AE1942" s="39" t="str">
        <f t="shared" ref="AE1942:AE1945" si="224">BA1942</f>
        <v>8131</v>
      </c>
      <c r="AN1942" s="12"/>
      <c r="AR1942" s="34">
        <v>1</v>
      </c>
      <c r="AS1942" s="34">
        <v>1</v>
      </c>
      <c r="AU1942" s="12" t="s">
        <v>1976</v>
      </c>
      <c r="AW1942" s="39">
        <v>2</v>
      </c>
      <c r="AX1942" s="12">
        <f>VLOOKUP(AW1942,색인!$N$14:$O$19,2,FALSE)</f>
        <v>1</v>
      </c>
      <c r="AY1942" s="39" t="str">
        <f>"T"&amp;O1942&amp;"_"&amp;AX1942&amp;"옵션_"&amp;VLOOKUP(E1942,색인!$J$25:$K$29,2,FALSE)</f>
        <v>T8_1옵션_장신구</v>
      </c>
      <c r="AZ1942" s="39">
        <f>VLOOKUP(G1942,색인!$J$32:$K$45,2,FALSE)</f>
        <v>2</v>
      </c>
      <c r="BA1942" s="39" t="str">
        <f>_xlfn.IFNA(VLOOKUP(AY1942,표1[[검색용]:[OptionGroupIndex'[']22]],EquipItemTable!AZ1942,FALSE),"옵션고정안함")</f>
        <v>8131</v>
      </c>
    </row>
    <row r="1943" spans="1:53" ht="12" x14ac:dyDescent="0.2">
      <c r="A1943" s="10" t="s">
        <v>1991</v>
      </c>
      <c r="B1943" s="39">
        <v>802003</v>
      </c>
      <c r="C1943" s="42" t="s">
        <v>4187</v>
      </c>
      <c r="D1943" s="86" t="s">
        <v>2953</v>
      </c>
      <c r="E1943" s="86" t="s">
        <v>0</v>
      </c>
      <c r="F1943" s="32" t="s">
        <v>928</v>
      </c>
      <c r="G1943" s="32" t="s">
        <v>1357</v>
      </c>
      <c r="O1943" s="32">
        <v>8</v>
      </c>
      <c r="P1943" s="32">
        <v>81</v>
      </c>
      <c r="Q1943" s="1"/>
      <c r="R1943" s="1"/>
      <c r="S1943" s="1"/>
      <c r="T1943" s="1"/>
      <c r="U1943" s="1"/>
      <c r="V1943" s="1"/>
      <c r="W1943" s="1">
        <v>7774</v>
      </c>
      <c r="X1943" s="1">
        <v>7774</v>
      </c>
      <c r="Y1943" s="1" t="s">
        <v>2193</v>
      </c>
      <c r="Z1943" s="1" t="s">
        <v>2193</v>
      </c>
      <c r="AA1943" s="1" t="s">
        <v>2193</v>
      </c>
      <c r="AB1943" s="1" t="s">
        <v>2193</v>
      </c>
      <c r="AD1943" s="12" t="s">
        <v>52</v>
      </c>
      <c r="AE1943" s="39" t="str">
        <f t="shared" si="224"/>
        <v>8231</v>
      </c>
      <c r="AN1943" s="12"/>
      <c r="AR1943" s="34">
        <v>1</v>
      </c>
      <c r="AS1943" s="34">
        <v>1</v>
      </c>
      <c r="AU1943" s="12" t="s">
        <v>1978</v>
      </c>
      <c r="AW1943" s="39">
        <v>3</v>
      </c>
      <c r="AX1943" s="12">
        <f>VLOOKUP(AW1943,색인!$N$14:$O$19,2,FALSE)</f>
        <v>2</v>
      </c>
      <c r="AY1943" s="39" t="str">
        <f>"T"&amp;O1943&amp;"_"&amp;AX1943&amp;"옵션_"&amp;VLOOKUP(E1943,색인!$J$25:$K$29,2,FALSE)</f>
        <v>T8_2옵션_장신구</v>
      </c>
      <c r="AZ1943" s="39">
        <f>VLOOKUP(G1943,색인!$J$32:$K$45,2,FALSE)</f>
        <v>2</v>
      </c>
      <c r="BA1943" s="39" t="str">
        <f>_xlfn.IFNA(VLOOKUP(AY1943,표1[[검색용]:[OptionGroupIndex'[']22]],EquipItemTable!AZ1943,FALSE),"옵션고정안함")</f>
        <v>8231</v>
      </c>
    </row>
    <row r="1944" spans="1:53" ht="12" x14ac:dyDescent="0.2">
      <c r="A1944" s="10" t="s">
        <v>1992</v>
      </c>
      <c r="B1944" s="39">
        <v>802004</v>
      </c>
      <c r="C1944" s="42" t="s">
        <v>4188</v>
      </c>
      <c r="D1944" s="86" t="s">
        <v>2953</v>
      </c>
      <c r="E1944" s="86" t="s">
        <v>0</v>
      </c>
      <c r="F1944" s="32" t="s">
        <v>928</v>
      </c>
      <c r="G1944" s="32" t="s">
        <v>1357</v>
      </c>
      <c r="O1944" s="32">
        <v>8</v>
      </c>
      <c r="P1944" s="32">
        <v>81</v>
      </c>
      <c r="Q1944" s="1"/>
      <c r="R1944" s="1"/>
      <c r="S1944" s="1"/>
      <c r="T1944" s="1"/>
      <c r="U1944" s="1"/>
      <c r="V1944" s="1"/>
      <c r="W1944" s="1">
        <v>8262</v>
      </c>
      <c r="X1944" s="1">
        <v>8262</v>
      </c>
      <c r="Y1944" s="1" t="s">
        <v>2193</v>
      </c>
      <c r="Z1944" s="1" t="s">
        <v>2193</v>
      </c>
      <c r="AA1944" s="1" t="s">
        <v>2193</v>
      </c>
      <c r="AB1944" s="1" t="s">
        <v>2193</v>
      </c>
      <c r="AD1944" s="12" t="s">
        <v>52</v>
      </c>
      <c r="AE1944" s="39" t="str">
        <f t="shared" si="224"/>
        <v>8331</v>
      </c>
      <c r="AN1944" s="12"/>
      <c r="AR1944" s="34">
        <v>1</v>
      </c>
      <c r="AS1944" s="34">
        <v>1</v>
      </c>
      <c r="AU1944" s="12" t="s">
        <v>1980</v>
      </c>
      <c r="AW1944" s="39">
        <v>4</v>
      </c>
      <c r="AX1944" s="12">
        <f>VLOOKUP(AW1944,색인!$N$14:$O$19,2,FALSE)</f>
        <v>3</v>
      </c>
      <c r="AY1944" s="39" t="str">
        <f>"T"&amp;O1944&amp;"_"&amp;AX1944&amp;"옵션_"&amp;VLOOKUP(E1944,색인!$J$25:$K$29,2,FALSE)</f>
        <v>T8_3옵션_장신구</v>
      </c>
      <c r="AZ1944" s="39">
        <f>VLOOKUP(G1944,색인!$J$32:$K$45,2,FALSE)</f>
        <v>2</v>
      </c>
      <c r="BA1944" s="39" t="str">
        <f>_xlfn.IFNA(VLOOKUP(AY1944,표1[[검색용]:[OptionGroupIndex'[']22]],EquipItemTable!AZ1944,FALSE),"옵션고정안함")</f>
        <v>8331</v>
      </c>
    </row>
    <row r="1945" spans="1:53" ht="12" x14ac:dyDescent="0.2">
      <c r="A1945" s="10" t="s">
        <v>1993</v>
      </c>
      <c r="B1945" s="39">
        <v>802005</v>
      </c>
      <c r="C1945" s="42" t="s">
        <v>4189</v>
      </c>
      <c r="D1945" s="86" t="s">
        <v>2953</v>
      </c>
      <c r="E1945" s="86" t="s">
        <v>0</v>
      </c>
      <c r="F1945" s="32" t="s">
        <v>928</v>
      </c>
      <c r="G1945" s="32" t="s">
        <v>1357</v>
      </c>
      <c r="O1945" s="32">
        <v>8</v>
      </c>
      <c r="P1945" s="32">
        <v>81</v>
      </c>
      <c r="Q1945" s="1"/>
      <c r="R1945" s="1"/>
      <c r="S1945" s="1"/>
      <c r="T1945" s="1"/>
      <c r="U1945" s="1"/>
      <c r="V1945" s="1"/>
      <c r="W1945" s="1">
        <v>8666</v>
      </c>
      <c r="X1945" s="1">
        <v>8666</v>
      </c>
      <c r="Y1945" s="1" t="s">
        <v>2193</v>
      </c>
      <c r="Z1945" s="1" t="s">
        <v>2193</v>
      </c>
      <c r="AA1945" s="1" t="s">
        <v>2193</v>
      </c>
      <c r="AB1945" s="1" t="s">
        <v>2193</v>
      </c>
      <c r="AD1945" s="12" t="s">
        <v>52</v>
      </c>
      <c r="AE1945" s="39" t="str">
        <f t="shared" si="224"/>
        <v>8331</v>
      </c>
      <c r="AN1945" s="32">
        <v>104</v>
      </c>
      <c r="AR1945" s="34">
        <v>1</v>
      </c>
      <c r="AS1945" s="34">
        <v>1</v>
      </c>
      <c r="AU1945" s="12" t="s">
        <v>1982</v>
      </c>
      <c r="AW1945" s="39">
        <v>5</v>
      </c>
      <c r="AX1945" s="12">
        <f>VLOOKUP(AW1945,색인!$N$14:$O$19,2,FALSE)</f>
        <v>3</v>
      </c>
      <c r="AY1945" s="39" t="str">
        <f>"T"&amp;O1945&amp;"_"&amp;AX1945&amp;"옵션_"&amp;VLOOKUP(E1945,색인!$J$25:$K$29,2,FALSE)</f>
        <v>T8_3옵션_장신구</v>
      </c>
      <c r="AZ1945" s="39">
        <f>VLOOKUP(G1945,색인!$J$32:$K$45,2,FALSE)</f>
        <v>2</v>
      </c>
      <c r="BA1945" s="39" t="str">
        <f>_xlfn.IFNA(VLOOKUP(AY1945,표1[[검색용]:[OptionGroupIndex'[']22]],EquipItemTable!AZ1945,FALSE),"옵션고정안함")</f>
        <v>8331</v>
      </c>
    </row>
    <row r="1946" spans="1:53" ht="12" x14ac:dyDescent="0.2">
      <c r="A1946" s="10" t="s">
        <v>1994</v>
      </c>
      <c r="B1946" s="39">
        <v>802006</v>
      </c>
      <c r="C1946" s="42" t="s">
        <v>3447</v>
      </c>
      <c r="D1946" s="86" t="s">
        <v>2953</v>
      </c>
      <c r="E1946" s="86" t="s">
        <v>0</v>
      </c>
      <c r="F1946" s="32" t="s">
        <v>928</v>
      </c>
      <c r="G1946" s="32" t="s">
        <v>1357</v>
      </c>
      <c r="O1946" s="32">
        <v>8</v>
      </c>
      <c r="P1946" s="32">
        <v>81</v>
      </c>
      <c r="Q1946" s="1"/>
      <c r="R1946" s="1"/>
      <c r="S1946" s="1"/>
      <c r="T1946" s="1"/>
      <c r="U1946" s="1"/>
      <c r="V1946" s="1"/>
      <c r="W1946" s="1">
        <v>9081</v>
      </c>
      <c r="X1946" s="1">
        <v>9081</v>
      </c>
      <c r="Y1946" s="1" t="s">
        <v>2193</v>
      </c>
      <c r="Z1946" s="1" t="s">
        <v>2193</v>
      </c>
      <c r="AA1946" s="1" t="s">
        <v>2193</v>
      </c>
      <c r="AB1946" s="1" t="s">
        <v>2193</v>
      </c>
      <c r="AD1946" s="12" t="s">
        <v>52</v>
      </c>
      <c r="AE1946" s="39" t="str">
        <f>BA1946</f>
        <v>8431</v>
      </c>
      <c r="AF1946" s="12" t="s">
        <v>2185</v>
      </c>
      <c r="AN1946" s="12">
        <v>1</v>
      </c>
      <c r="AR1946" s="34">
        <v>1</v>
      </c>
      <c r="AS1946" s="34">
        <v>1</v>
      </c>
      <c r="AU1946" s="12" t="s">
        <v>1936</v>
      </c>
      <c r="AW1946" s="39">
        <v>6</v>
      </c>
      <c r="AX1946" s="12">
        <f>VLOOKUP(AW1946,색인!$N$14:$O$19,2,FALSE)</f>
        <v>4</v>
      </c>
      <c r="AY1946" s="12" t="str">
        <f>"T"&amp;O1946&amp;"_"&amp;AX1946&amp;"옵션_"&amp;VLOOKUP(E1946,색인!$J$25:$K$29,2,FALSE)</f>
        <v>T8_4옵션_장신구</v>
      </c>
      <c r="AZ1946" s="12">
        <f>VLOOKUP(G1946,색인!$J$32:$K$45,2,FALSE)</f>
        <v>2</v>
      </c>
      <c r="BA1946" s="12" t="str">
        <f>_xlfn.IFNA(VLOOKUP(AY1946,표1[[검색용]:[OptionGroupIndex'[']22]],EquipItemTable!AZ1946,FALSE),"옵션고정안함")</f>
        <v>8431</v>
      </c>
    </row>
    <row r="1947" spans="1:53" ht="12" x14ac:dyDescent="0.2">
      <c r="A1947" s="10" t="s">
        <v>1995</v>
      </c>
      <c r="B1947" s="39">
        <v>802007</v>
      </c>
      <c r="C1947" s="42" t="s">
        <v>3448</v>
      </c>
      <c r="D1947" s="86" t="s">
        <v>2953</v>
      </c>
      <c r="E1947" s="86" t="s">
        <v>0</v>
      </c>
      <c r="F1947" s="32" t="s">
        <v>928</v>
      </c>
      <c r="G1947" s="32" t="s">
        <v>1357</v>
      </c>
      <c r="O1947" s="32">
        <v>8</v>
      </c>
      <c r="P1947" s="32">
        <v>81</v>
      </c>
      <c r="Q1947" s="1"/>
      <c r="R1947" s="1"/>
      <c r="S1947" s="1"/>
      <c r="T1947" s="1"/>
      <c r="U1947" s="1"/>
      <c r="V1947" s="1"/>
      <c r="W1947" s="1">
        <v>9081</v>
      </c>
      <c r="X1947" s="1">
        <v>9081</v>
      </c>
      <c r="Y1947" s="1" t="s">
        <v>2193</v>
      </c>
      <c r="Z1947" s="1" t="s">
        <v>2193</v>
      </c>
      <c r="AA1947" s="1" t="s">
        <v>2193</v>
      </c>
      <c r="AB1947" s="1" t="s">
        <v>2193</v>
      </c>
      <c r="AD1947" s="12" t="s">
        <v>52</v>
      </c>
      <c r="AE1947" s="39" t="str">
        <f>BA1947</f>
        <v>8431</v>
      </c>
      <c r="AF1947" s="12" t="s">
        <v>2185</v>
      </c>
      <c r="AN1947" s="12" t="s">
        <v>1192</v>
      </c>
      <c r="AR1947" s="34">
        <v>1</v>
      </c>
      <c r="AS1947" s="34">
        <v>1</v>
      </c>
      <c r="AU1947" s="12" t="s">
        <v>1936</v>
      </c>
      <c r="AW1947" s="39">
        <v>6</v>
      </c>
      <c r="AX1947" s="12">
        <f>VLOOKUP(AW1947,색인!$N$14:$O$19,2,FALSE)</f>
        <v>4</v>
      </c>
      <c r="AY1947" s="12" t="str">
        <f>"T"&amp;O1947&amp;"_"&amp;AX1947&amp;"옵션_"&amp;VLOOKUP(E1947,색인!$J$25:$K$29,2,FALSE)</f>
        <v>T8_4옵션_장신구</v>
      </c>
      <c r="AZ1947" s="12">
        <f>VLOOKUP(G1947,색인!$J$32:$K$45,2,FALSE)</f>
        <v>2</v>
      </c>
      <c r="BA1947" s="12" t="str">
        <f>_xlfn.IFNA(VLOOKUP(AY1947,표1[[검색용]:[OptionGroupIndex'[']22]],EquipItemTable!AZ1947,FALSE),"옵션고정안함")</f>
        <v>8431</v>
      </c>
    </row>
    <row r="1948" spans="1:53" ht="12" x14ac:dyDescent="0.2">
      <c r="A1948" s="10" t="s">
        <v>1996</v>
      </c>
      <c r="B1948" s="39">
        <v>802008</v>
      </c>
      <c r="C1948" s="42" t="s">
        <v>3449</v>
      </c>
      <c r="D1948" s="86" t="s">
        <v>2953</v>
      </c>
      <c r="E1948" s="86" t="s">
        <v>0</v>
      </c>
      <c r="F1948" s="32" t="s">
        <v>928</v>
      </c>
      <c r="G1948" s="32" t="s">
        <v>1357</v>
      </c>
      <c r="O1948" s="32">
        <v>8</v>
      </c>
      <c r="P1948" s="32">
        <v>81</v>
      </c>
      <c r="Q1948" s="1"/>
      <c r="R1948" s="1"/>
      <c r="S1948" s="1"/>
      <c r="T1948" s="1"/>
      <c r="U1948" s="1"/>
      <c r="V1948" s="1"/>
      <c r="W1948" s="1">
        <v>9081</v>
      </c>
      <c r="X1948" s="1">
        <v>9081</v>
      </c>
      <c r="Y1948" s="1" t="s">
        <v>2193</v>
      </c>
      <c r="Z1948" s="1" t="s">
        <v>2193</v>
      </c>
      <c r="AA1948" s="1" t="s">
        <v>2193</v>
      </c>
      <c r="AB1948" s="1" t="s">
        <v>2193</v>
      </c>
      <c r="AD1948" s="12" t="s">
        <v>52</v>
      </c>
      <c r="AE1948" s="39" t="str">
        <f>BA1948</f>
        <v>8431</v>
      </c>
      <c r="AF1948" s="12" t="s">
        <v>2185</v>
      </c>
      <c r="AN1948" s="12" t="s">
        <v>369</v>
      </c>
      <c r="AR1948" s="34">
        <v>1</v>
      </c>
      <c r="AS1948" s="34">
        <v>1</v>
      </c>
      <c r="AU1948" s="12" t="s">
        <v>1936</v>
      </c>
      <c r="AW1948" s="39">
        <v>6</v>
      </c>
      <c r="AX1948" s="12">
        <f>VLOOKUP(AW1948,색인!$N$14:$O$19,2,FALSE)</f>
        <v>4</v>
      </c>
      <c r="AY1948" s="12" t="str">
        <f>"T"&amp;O1948&amp;"_"&amp;AX1948&amp;"옵션_"&amp;VLOOKUP(E1948,색인!$J$25:$K$29,2,FALSE)</f>
        <v>T8_4옵션_장신구</v>
      </c>
      <c r="AZ1948" s="12">
        <f>VLOOKUP(G1948,색인!$J$32:$K$45,2,FALSE)</f>
        <v>2</v>
      </c>
      <c r="BA1948" s="12" t="str">
        <f>_xlfn.IFNA(VLOOKUP(AY1948,표1[[검색용]:[OptionGroupIndex'[']22]],EquipItemTable!AZ1948,FALSE),"옵션고정안함")</f>
        <v>8431</v>
      </c>
    </row>
    <row r="1949" spans="1:53" ht="12" x14ac:dyDescent="0.2">
      <c r="A1949" s="10" t="s">
        <v>1997</v>
      </c>
      <c r="B1949" s="39">
        <v>802009</v>
      </c>
      <c r="C1949" s="42" t="s">
        <v>3450</v>
      </c>
      <c r="D1949" s="86" t="s">
        <v>2953</v>
      </c>
      <c r="E1949" s="86" t="s">
        <v>0</v>
      </c>
      <c r="F1949" s="32" t="s">
        <v>928</v>
      </c>
      <c r="G1949" s="32" t="s">
        <v>1357</v>
      </c>
      <c r="O1949" s="32">
        <v>8</v>
      </c>
      <c r="P1949" s="32">
        <v>81</v>
      </c>
      <c r="Q1949" s="1"/>
      <c r="R1949" s="1"/>
      <c r="S1949" s="1"/>
      <c r="T1949" s="1"/>
      <c r="U1949" s="1"/>
      <c r="V1949" s="1"/>
      <c r="W1949" s="1">
        <v>9081</v>
      </c>
      <c r="X1949" s="1">
        <v>9081</v>
      </c>
      <c r="Y1949" s="1" t="s">
        <v>2193</v>
      </c>
      <c r="Z1949" s="1" t="s">
        <v>2193</v>
      </c>
      <c r="AA1949" s="1" t="s">
        <v>2193</v>
      </c>
      <c r="AB1949" s="1" t="s">
        <v>2193</v>
      </c>
      <c r="AD1949" s="12" t="s">
        <v>52</v>
      </c>
      <c r="AE1949" s="39" t="str">
        <f>BA1949</f>
        <v>8431</v>
      </c>
      <c r="AF1949" s="12" t="s">
        <v>2185</v>
      </c>
      <c r="AN1949" s="12" t="s">
        <v>1194</v>
      </c>
      <c r="AR1949" s="34">
        <v>1</v>
      </c>
      <c r="AS1949" s="34">
        <v>1</v>
      </c>
      <c r="AU1949" s="12" t="s">
        <v>1936</v>
      </c>
      <c r="AW1949" s="39">
        <v>6</v>
      </c>
      <c r="AX1949" s="12">
        <f>VLOOKUP(AW1949,색인!$N$14:$O$19,2,FALSE)</f>
        <v>4</v>
      </c>
      <c r="AY1949" s="12" t="str">
        <f>"T"&amp;O1949&amp;"_"&amp;AX1949&amp;"옵션_"&amp;VLOOKUP(E1949,색인!$J$25:$K$29,2,FALSE)</f>
        <v>T8_4옵션_장신구</v>
      </c>
      <c r="AZ1949" s="12">
        <f>VLOOKUP(G1949,색인!$J$32:$K$45,2,FALSE)</f>
        <v>2</v>
      </c>
      <c r="BA1949" s="12" t="str">
        <f>_xlfn.IFNA(VLOOKUP(AY1949,표1[[검색용]:[OptionGroupIndex'[']22]],EquipItemTable!AZ1949,FALSE),"옵션고정안함")</f>
        <v>8431</v>
      </c>
    </row>
    <row r="1950" spans="1:53" ht="12" x14ac:dyDescent="0.2">
      <c r="A1950" s="10" t="s">
        <v>1998</v>
      </c>
      <c r="B1950" s="39">
        <v>802010</v>
      </c>
      <c r="C1950" s="42" t="s">
        <v>4190</v>
      </c>
      <c r="D1950" s="86" t="s">
        <v>2953</v>
      </c>
      <c r="E1950" s="86" t="s">
        <v>0</v>
      </c>
      <c r="F1950" s="32" t="s">
        <v>928</v>
      </c>
      <c r="G1950" s="32" t="s">
        <v>1357</v>
      </c>
      <c r="O1950" s="32">
        <v>8</v>
      </c>
      <c r="P1950" s="32">
        <v>81</v>
      </c>
      <c r="Q1950" s="1"/>
      <c r="R1950" s="1"/>
      <c r="S1950" s="1"/>
      <c r="T1950" s="1"/>
      <c r="U1950" s="1"/>
      <c r="V1950" s="1"/>
      <c r="W1950" s="1">
        <v>9081</v>
      </c>
      <c r="X1950" s="1">
        <v>9081</v>
      </c>
      <c r="Y1950" s="1" t="s">
        <v>2193</v>
      </c>
      <c r="Z1950" s="1" t="s">
        <v>2193</v>
      </c>
      <c r="AA1950" s="1" t="s">
        <v>2193</v>
      </c>
      <c r="AB1950" s="1" t="s">
        <v>2193</v>
      </c>
      <c r="AD1950" s="12" t="s">
        <v>52</v>
      </c>
      <c r="AE1950" s="39" t="s">
        <v>2187</v>
      </c>
      <c r="AF1950" s="12" t="s">
        <v>2185</v>
      </c>
      <c r="AN1950" s="12" t="s">
        <v>1169</v>
      </c>
      <c r="AR1950" s="34">
        <v>1</v>
      </c>
      <c r="AS1950" s="34">
        <v>1</v>
      </c>
      <c r="AU1950" s="12" t="s">
        <v>1936</v>
      </c>
      <c r="AW1950" s="39">
        <v>6</v>
      </c>
      <c r="AX1950" s="12">
        <f>VLOOKUP(AW1950,색인!$N$14:$O$19,2,FALSE)</f>
        <v>4</v>
      </c>
      <c r="AY1950" s="12" t="str">
        <f>"T"&amp;O1950&amp;"_"&amp;AX1950&amp;"옵션_"&amp;VLOOKUP(E1950,색인!$J$25:$K$29,2,FALSE)</f>
        <v>T8_4옵션_장신구</v>
      </c>
      <c r="AZ1950" s="12">
        <f>VLOOKUP(G1950,색인!$J$32:$K$45,2,FALSE)</f>
        <v>2</v>
      </c>
      <c r="BA1950" s="12" t="str">
        <f>_xlfn.IFNA(VLOOKUP(AY1950,표1[[검색용]:[OptionGroupIndex'[']22]],EquipItemTable!AZ1950,FALSE),"옵션고정안함")</f>
        <v>8431</v>
      </c>
    </row>
    <row r="1951" spans="1:53" ht="12" x14ac:dyDescent="0.2">
      <c r="A1951" s="10" t="s">
        <v>1999</v>
      </c>
      <c r="B1951" s="39">
        <v>803001</v>
      </c>
      <c r="C1951" s="42" t="s">
        <v>4191</v>
      </c>
      <c r="D1951" s="86" t="s">
        <v>2953</v>
      </c>
      <c r="E1951" s="86" t="s">
        <v>0</v>
      </c>
      <c r="F1951" s="32" t="s">
        <v>310</v>
      </c>
      <c r="G1951" s="32" t="s">
        <v>1358</v>
      </c>
      <c r="O1951" s="32">
        <v>8</v>
      </c>
      <c r="P1951" s="32">
        <v>81</v>
      </c>
      <c r="Q1951" s="1"/>
      <c r="R1951" s="1"/>
      <c r="S1951" s="1"/>
      <c r="T1951" s="1"/>
      <c r="U1951" s="1"/>
      <c r="V1951" s="1"/>
      <c r="W1951" s="1">
        <v>7434</v>
      </c>
      <c r="X1951" s="1">
        <v>7434</v>
      </c>
      <c r="Y1951" s="1" t="s">
        <v>2193</v>
      </c>
      <c r="Z1951" s="1" t="s">
        <v>2193</v>
      </c>
      <c r="AA1951" s="1" t="s">
        <v>2193</v>
      </c>
      <c r="AB1951" s="1" t="s">
        <v>2193</v>
      </c>
      <c r="AD1951" s="12" t="s">
        <v>52</v>
      </c>
      <c r="AE1951" s="12" t="s">
        <v>2187</v>
      </c>
      <c r="AF1951" s="12" t="s">
        <v>2185</v>
      </c>
      <c r="AN1951" s="12"/>
      <c r="AR1951" s="34">
        <v>1</v>
      </c>
      <c r="AS1951" s="34">
        <v>1</v>
      </c>
      <c r="AU1951" s="12">
        <v>1001</v>
      </c>
      <c r="AW1951" s="39">
        <v>1</v>
      </c>
      <c r="AY1951" s="12"/>
      <c r="AZ1951" s="12"/>
      <c r="BA1951" s="12"/>
    </row>
    <row r="1952" spans="1:53" ht="12" x14ac:dyDescent="0.2">
      <c r="A1952" s="10" t="s">
        <v>2000</v>
      </c>
      <c r="B1952" s="39">
        <v>803002</v>
      </c>
      <c r="C1952" s="42" t="s">
        <v>4192</v>
      </c>
      <c r="D1952" s="86" t="s">
        <v>2953</v>
      </c>
      <c r="E1952" s="86" t="s">
        <v>0</v>
      </c>
      <c r="F1952" s="32" t="s">
        <v>310</v>
      </c>
      <c r="G1952" s="32" t="s">
        <v>1358</v>
      </c>
      <c r="O1952" s="32">
        <v>8</v>
      </c>
      <c r="P1952" s="32">
        <v>81</v>
      </c>
      <c r="Q1952" s="1"/>
      <c r="R1952" s="1"/>
      <c r="S1952" s="1"/>
      <c r="T1952" s="1"/>
      <c r="U1952" s="1"/>
      <c r="V1952" s="1"/>
      <c r="W1952" s="1">
        <v>8019</v>
      </c>
      <c r="X1952" s="1">
        <v>8019</v>
      </c>
      <c r="Y1952" s="1" t="s">
        <v>2193</v>
      </c>
      <c r="Z1952" s="1" t="s">
        <v>2193</v>
      </c>
      <c r="AA1952" s="1" t="s">
        <v>2193</v>
      </c>
      <c r="AB1952" s="1" t="s">
        <v>2193</v>
      </c>
      <c r="AD1952" s="12" t="s">
        <v>52</v>
      </c>
      <c r="AE1952" s="39" t="str">
        <f t="shared" ref="AE1952:AE1955" si="225">BA1952</f>
        <v>8131</v>
      </c>
      <c r="AN1952" s="12"/>
      <c r="AR1952" s="34">
        <v>1</v>
      </c>
      <c r="AS1952" s="34">
        <v>1</v>
      </c>
      <c r="AU1952" s="12" t="s">
        <v>1976</v>
      </c>
      <c r="AW1952" s="39">
        <v>2</v>
      </c>
      <c r="AX1952" s="12">
        <f>VLOOKUP(AW1952,색인!$N$14:$O$19,2,FALSE)</f>
        <v>1</v>
      </c>
      <c r="AY1952" s="39" t="str">
        <f>"T"&amp;O1952&amp;"_"&amp;AX1952&amp;"옵션_"&amp;VLOOKUP(E1952,색인!$J$25:$K$29,2,FALSE)</f>
        <v>T8_1옵션_장신구</v>
      </c>
      <c r="AZ1952" s="39">
        <f>VLOOKUP(G1952,색인!$J$32:$K$45,2,FALSE)</f>
        <v>2</v>
      </c>
      <c r="BA1952" s="39" t="str">
        <f>_xlfn.IFNA(VLOOKUP(AY1952,표1[[검색용]:[OptionGroupIndex'[']22]],EquipItemTable!AZ1952,FALSE),"옵션고정안함")</f>
        <v>8131</v>
      </c>
    </row>
    <row r="1953" spans="1:53" ht="12" x14ac:dyDescent="0.2">
      <c r="A1953" s="10" t="s">
        <v>2001</v>
      </c>
      <c r="B1953" s="39">
        <v>803003</v>
      </c>
      <c r="C1953" s="42" t="s">
        <v>4193</v>
      </c>
      <c r="D1953" s="86" t="s">
        <v>2953</v>
      </c>
      <c r="E1953" s="86" t="s">
        <v>0</v>
      </c>
      <c r="F1953" s="32" t="s">
        <v>310</v>
      </c>
      <c r="G1953" s="32" t="s">
        <v>1358</v>
      </c>
      <c r="O1953" s="32">
        <v>8</v>
      </c>
      <c r="P1953" s="32">
        <v>81</v>
      </c>
      <c r="Q1953" s="1"/>
      <c r="R1953" s="1"/>
      <c r="S1953" s="1"/>
      <c r="T1953" s="1"/>
      <c r="U1953" s="1"/>
      <c r="V1953" s="1"/>
      <c r="W1953" s="1">
        <v>8535</v>
      </c>
      <c r="X1953" s="1">
        <v>8535</v>
      </c>
      <c r="Y1953" s="1" t="s">
        <v>2193</v>
      </c>
      <c r="Z1953" s="1" t="s">
        <v>2193</v>
      </c>
      <c r="AA1953" s="1" t="s">
        <v>2193</v>
      </c>
      <c r="AB1953" s="1" t="s">
        <v>2193</v>
      </c>
      <c r="AD1953" s="12" t="s">
        <v>52</v>
      </c>
      <c r="AE1953" s="39" t="str">
        <f t="shared" si="225"/>
        <v>8231</v>
      </c>
      <c r="AN1953" s="12"/>
      <c r="AR1953" s="34">
        <v>1</v>
      </c>
      <c r="AS1953" s="34">
        <v>1</v>
      </c>
      <c r="AU1953" s="12" t="s">
        <v>1978</v>
      </c>
      <c r="AW1953" s="39">
        <v>3</v>
      </c>
      <c r="AX1953" s="12">
        <f>VLOOKUP(AW1953,색인!$N$14:$O$19,2,FALSE)</f>
        <v>2</v>
      </c>
      <c r="AY1953" s="39" t="str">
        <f>"T"&amp;O1953&amp;"_"&amp;AX1953&amp;"옵션_"&amp;VLOOKUP(E1953,색인!$J$25:$K$29,2,FALSE)</f>
        <v>T8_2옵션_장신구</v>
      </c>
      <c r="AZ1953" s="39">
        <f>VLOOKUP(G1953,색인!$J$32:$K$45,2,FALSE)</f>
        <v>2</v>
      </c>
      <c r="BA1953" s="39" t="str">
        <f>_xlfn.IFNA(VLOOKUP(AY1953,표1[[검색용]:[OptionGroupIndex'[']22]],EquipItemTable!AZ1953,FALSE),"옵션고정안함")</f>
        <v>8231</v>
      </c>
    </row>
    <row r="1954" spans="1:53" ht="12" x14ac:dyDescent="0.2">
      <c r="A1954" s="10" t="s">
        <v>2002</v>
      </c>
      <c r="B1954" s="39">
        <v>803004</v>
      </c>
      <c r="C1954" s="42" t="s">
        <v>4194</v>
      </c>
      <c r="D1954" s="86" t="s">
        <v>2953</v>
      </c>
      <c r="E1954" s="86" t="s">
        <v>0</v>
      </c>
      <c r="F1954" s="32" t="s">
        <v>310</v>
      </c>
      <c r="G1954" s="32" t="s">
        <v>1358</v>
      </c>
      <c r="O1954" s="32">
        <v>8</v>
      </c>
      <c r="P1954" s="32">
        <v>81</v>
      </c>
      <c r="Q1954" s="1"/>
      <c r="R1954" s="1"/>
      <c r="S1954" s="1"/>
      <c r="T1954" s="1"/>
      <c r="U1954" s="1"/>
      <c r="V1954" s="1"/>
      <c r="W1954" s="1">
        <v>9069</v>
      </c>
      <c r="X1954" s="1">
        <v>9069</v>
      </c>
      <c r="Y1954" s="1" t="s">
        <v>2193</v>
      </c>
      <c r="Z1954" s="1" t="s">
        <v>2193</v>
      </c>
      <c r="AA1954" s="1" t="s">
        <v>2193</v>
      </c>
      <c r="AB1954" s="1" t="s">
        <v>2193</v>
      </c>
      <c r="AD1954" s="12" t="s">
        <v>52</v>
      </c>
      <c r="AE1954" s="39" t="str">
        <f t="shared" si="225"/>
        <v>8331</v>
      </c>
      <c r="AN1954" s="12"/>
      <c r="AR1954" s="34">
        <v>1</v>
      </c>
      <c r="AS1954" s="34">
        <v>1</v>
      </c>
      <c r="AU1954" s="12" t="s">
        <v>1980</v>
      </c>
      <c r="AW1954" s="39">
        <v>4</v>
      </c>
      <c r="AX1954" s="12">
        <f>VLOOKUP(AW1954,색인!$N$14:$O$19,2,FALSE)</f>
        <v>3</v>
      </c>
      <c r="AY1954" s="39" t="str">
        <f>"T"&amp;O1954&amp;"_"&amp;AX1954&amp;"옵션_"&amp;VLOOKUP(E1954,색인!$J$25:$K$29,2,FALSE)</f>
        <v>T8_3옵션_장신구</v>
      </c>
      <c r="AZ1954" s="39">
        <f>VLOOKUP(G1954,색인!$J$32:$K$45,2,FALSE)</f>
        <v>2</v>
      </c>
      <c r="BA1954" s="39" t="str">
        <f>_xlfn.IFNA(VLOOKUP(AY1954,표1[[검색용]:[OptionGroupIndex'[']22]],EquipItemTable!AZ1954,FALSE),"옵션고정안함")</f>
        <v>8331</v>
      </c>
    </row>
    <row r="1955" spans="1:53" ht="12" x14ac:dyDescent="0.2">
      <c r="A1955" s="10" t="s">
        <v>2003</v>
      </c>
      <c r="B1955" s="39">
        <v>803005</v>
      </c>
      <c r="C1955" s="42" t="s">
        <v>4195</v>
      </c>
      <c r="D1955" s="86" t="s">
        <v>2953</v>
      </c>
      <c r="E1955" s="86" t="s">
        <v>0</v>
      </c>
      <c r="F1955" s="32" t="s">
        <v>310</v>
      </c>
      <c r="G1955" s="32" t="s">
        <v>1358</v>
      </c>
      <c r="O1955" s="32">
        <v>8</v>
      </c>
      <c r="P1955" s="32">
        <v>81</v>
      </c>
      <c r="Q1955" s="1"/>
      <c r="R1955" s="1"/>
      <c r="S1955" s="1"/>
      <c r="T1955" s="1"/>
      <c r="U1955" s="1"/>
      <c r="V1955" s="1"/>
      <c r="W1955" s="1">
        <v>9513</v>
      </c>
      <c r="X1955" s="1">
        <v>9513</v>
      </c>
      <c r="Y1955" s="1" t="s">
        <v>2193</v>
      </c>
      <c r="Z1955" s="1" t="s">
        <v>2193</v>
      </c>
      <c r="AA1955" s="1" t="s">
        <v>2193</v>
      </c>
      <c r="AB1955" s="1" t="s">
        <v>2193</v>
      </c>
      <c r="AD1955" s="12" t="s">
        <v>52</v>
      </c>
      <c r="AE1955" s="39" t="str">
        <f t="shared" si="225"/>
        <v>8331</v>
      </c>
      <c r="AN1955" s="32">
        <v>104</v>
      </c>
      <c r="AR1955" s="34">
        <v>1</v>
      </c>
      <c r="AS1955" s="34">
        <v>1</v>
      </c>
      <c r="AU1955" s="12" t="s">
        <v>1982</v>
      </c>
      <c r="AW1955" s="39">
        <v>5</v>
      </c>
      <c r="AX1955" s="12">
        <f>VLOOKUP(AW1955,색인!$N$14:$O$19,2,FALSE)</f>
        <v>3</v>
      </c>
      <c r="AY1955" s="39" t="str">
        <f>"T"&amp;O1955&amp;"_"&amp;AX1955&amp;"옵션_"&amp;VLOOKUP(E1955,색인!$J$25:$K$29,2,FALSE)</f>
        <v>T8_3옵션_장신구</v>
      </c>
      <c r="AZ1955" s="39">
        <f>VLOOKUP(G1955,색인!$J$32:$K$45,2,FALSE)</f>
        <v>2</v>
      </c>
      <c r="BA1955" s="39" t="str">
        <f>_xlfn.IFNA(VLOOKUP(AY1955,표1[[검색용]:[OptionGroupIndex'[']22]],EquipItemTable!AZ1955,FALSE),"옵션고정안함")</f>
        <v>8331</v>
      </c>
    </row>
    <row r="1956" spans="1:53" ht="12" x14ac:dyDescent="0.2">
      <c r="A1956" s="10" t="s">
        <v>2004</v>
      </c>
      <c r="B1956" s="39">
        <v>803006</v>
      </c>
      <c r="C1956" s="42" t="s">
        <v>3488</v>
      </c>
      <c r="D1956" s="86" t="s">
        <v>2953</v>
      </c>
      <c r="E1956" s="86" t="s">
        <v>0</v>
      </c>
      <c r="F1956" s="32" t="s">
        <v>310</v>
      </c>
      <c r="G1956" s="32" t="s">
        <v>1358</v>
      </c>
      <c r="O1956" s="32">
        <v>8</v>
      </c>
      <c r="P1956" s="32">
        <v>81</v>
      </c>
      <c r="Q1956" s="1"/>
      <c r="R1956" s="1"/>
      <c r="S1956" s="1"/>
      <c r="T1956" s="1"/>
      <c r="U1956" s="1"/>
      <c r="V1956" s="1"/>
      <c r="W1956" s="1">
        <v>9969</v>
      </c>
      <c r="X1956" s="1">
        <v>9969</v>
      </c>
      <c r="Y1956" s="1" t="s">
        <v>2193</v>
      </c>
      <c r="Z1956" s="1" t="s">
        <v>2193</v>
      </c>
      <c r="AA1956" s="1" t="s">
        <v>2193</v>
      </c>
      <c r="AB1956" s="1" t="s">
        <v>2193</v>
      </c>
      <c r="AD1956" s="12" t="s">
        <v>52</v>
      </c>
      <c r="AE1956" s="39" t="str">
        <f>BA1956</f>
        <v>8431</v>
      </c>
      <c r="AF1956" s="12" t="s">
        <v>2185</v>
      </c>
      <c r="AN1956" s="12">
        <v>1</v>
      </c>
      <c r="AR1956" s="34">
        <v>1</v>
      </c>
      <c r="AS1956" s="34">
        <v>1</v>
      </c>
      <c r="AU1956" s="12" t="s">
        <v>1936</v>
      </c>
      <c r="AW1956" s="39">
        <v>6</v>
      </c>
      <c r="AX1956" s="12">
        <f>VLOOKUP(AW1956,색인!$N$14:$O$19,2,FALSE)</f>
        <v>4</v>
      </c>
      <c r="AY1956" s="12" t="str">
        <f>"T"&amp;O1956&amp;"_"&amp;AX1956&amp;"옵션_"&amp;VLOOKUP(E1956,색인!$J$25:$K$29,2,FALSE)</f>
        <v>T8_4옵션_장신구</v>
      </c>
      <c r="AZ1956" s="12">
        <f>VLOOKUP(G1956,색인!$J$32:$K$45,2,FALSE)</f>
        <v>2</v>
      </c>
      <c r="BA1956" s="12" t="str">
        <f>_xlfn.IFNA(VLOOKUP(AY1956,표1[[검색용]:[OptionGroupIndex'[']22]],EquipItemTable!AZ1956,FALSE),"옵션고정안함")</f>
        <v>8431</v>
      </c>
    </row>
    <row r="1957" spans="1:53" ht="12" x14ac:dyDescent="0.2">
      <c r="A1957" s="10" t="s">
        <v>2005</v>
      </c>
      <c r="B1957" s="39">
        <v>803007</v>
      </c>
      <c r="C1957" s="42" t="s">
        <v>3489</v>
      </c>
      <c r="D1957" s="86" t="s">
        <v>2953</v>
      </c>
      <c r="E1957" s="86" t="s">
        <v>0</v>
      </c>
      <c r="F1957" s="32" t="s">
        <v>310</v>
      </c>
      <c r="G1957" s="32" t="s">
        <v>1358</v>
      </c>
      <c r="O1957" s="32">
        <v>8</v>
      </c>
      <c r="P1957" s="32">
        <v>81</v>
      </c>
      <c r="Q1957" s="1"/>
      <c r="R1957" s="1"/>
      <c r="S1957" s="1"/>
      <c r="T1957" s="1"/>
      <c r="U1957" s="1"/>
      <c r="V1957" s="1"/>
      <c r="W1957" s="1">
        <v>9969</v>
      </c>
      <c r="X1957" s="1">
        <v>9969</v>
      </c>
      <c r="Y1957" s="1" t="s">
        <v>2193</v>
      </c>
      <c r="Z1957" s="1" t="s">
        <v>2193</v>
      </c>
      <c r="AA1957" s="1" t="s">
        <v>2193</v>
      </c>
      <c r="AB1957" s="1" t="s">
        <v>2193</v>
      </c>
      <c r="AD1957" s="12" t="s">
        <v>52</v>
      </c>
      <c r="AE1957" s="39" t="str">
        <f>BA1957</f>
        <v>8431</v>
      </c>
      <c r="AF1957" s="12" t="s">
        <v>2185</v>
      </c>
      <c r="AN1957" s="12" t="s">
        <v>1192</v>
      </c>
      <c r="AR1957" s="34">
        <v>1</v>
      </c>
      <c r="AS1957" s="34">
        <v>1</v>
      </c>
      <c r="AU1957" s="12" t="s">
        <v>1936</v>
      </c>
      <c r="AW1957" s="39">
        <v>6</v>
      </c>
      <c r="AX1957" s="12">
        <f>VLOOKUP(AW1957,색인!$N$14:$O$19,2,FALSE)</f>
        <v>4</v>
      </c>
      <c r="AY1957" s="12" t="str">
        <f>"T"&amp;O1957&amp;"_"&amp;AX1957&amp;"옵션_"&amp;VLOOKUP(E1957,색인!$J$25:$K$29,2,FALSE)</f>
        <v>T8_4옵션_장신구</v>
      </c>
      <c r="AZ1957" s="12">
        <f>VLOOKUP(G1957,색인!$J$32:$K$45,2,FALSE)</f>
        <v>2</v>
      </c>
      <c r="BA1957" s="12" t="str">
        <f>_xlfn.IFNA(VLOOKUP(AY1957,표1[[검색용]:[OptionGroupIndex'[']22]],EquipItemTable!AZ1957,FALSE),"옵션고정안함")</f>
        <v>8431</v>
      </c>
    </row>
    <row r="1958" spans="1:53" ht="12" x14ac:dyDescent="0.2">
      <c r="A1958" s="10" t="s">
        <v>2006</v>
      </c>
      <c r="B1958" s="39">
        <v>803008</v>
      </c>
      <c r="C1958" s="42" t="s">
        <v>3490</v>
      </c>
      <c r="D1958" s="86" t="s">
        <v>2953</v>
      </c>
      <c r="E1958" s="86" t="s">
        <v>0</v>
      </c>
      <c r="F1958" s="32" t="s">
        <v>310</v>
      </c>
      <c r="G1958" s="32" t="s">
        <v>1358</v>
      </c>
      <c r="O1958" s="32">
        <v>8</v>
      </c>
      <c r="P1958" s="32">
        <v>81</v>
      </c>
      <c r="Q1958" s="1"/>
      <c r="R1958" s="1"/>
      <c r="S1958" s="1"/>
      <c r="T1958" s="1"/>
      <c r="U1958" s="1"/>
      <c r="V1958" s="1"/>
      <c r="W1958" s="1">
        <v>9969</v>
      </c>
      <c r="X1958" s="1">
        <v>9969</v>
      </c>
      <c r="Y1958" s="1" t="s">
        <v>2193</v>
      </c>
      <c r="Z1958" s="1" t="s">
        <v>2193</v>
      </c>
      <c r="AA1958" s="1" t="s">
        <v>2193</v>
      </c>
      <c r="AB1958" s="1" t="s">
        <v>2193</v>
      </c>
      <c r="AD1958" s="12" t="s">
        <v>52</v>
      </c>
      <c r="AE1958" s="39" t="str">
        <f>BA1958</f>
        <v>8431</v>
      </c>
      <c r="AF1958" s="12" t="s">
        <v>2185</v>
      </c>
      <c r="AN1958" s="12" t="s">
        <v>369</v>
      </c>
      <c r="AR1958" s="34">
        <v>1</v>
      </c>
      <c r="AS1958" s="34">
        <v>1</v>
      </c>
      <c r="AU1958" s="12" t="s">
        <v>1936</v>
      </c>
      <c r="AW1958" s="39">
        <v>6</v>
      </c>
      <c r="AX1958" s="12">
        <f>VLOOKUP(AW1958,색인!$N$14:$O$19,2,FALSE)</f>
        <v>4</v>
      </c>
      <c r="AY1958" s="12" t="str">
        <f>"T"&amp;O1958&amp;"_"&amp;AX1958&amp;"옵션_"&amp;VLOOKUP(E1958,색인!$J$25:$K$29,2,FALSE)</f>
        <v>T8_4옵션_장신구</v>
      </c>
      <c r="AZ1958" s="12">
        <f>VLOOKUP(G1958,색인!$J$32:$K$45,2,FALSE)</f>
        <v>2</v>
      </c>
      <c r="BA1958" s="12" t="str">
        <f>_xlfn.IFNA(VLOOKUP(AY1958,표1[[검색용]:[OptionGroupIndex'[']22]],EquipItemTable!AZ1958,FALSE),"옵션고정안함")</f>
        <v>8431</v>
      </c>
    </row>
    <row r="1959" spans="1:53" ht="12" x14ac:dyDescent="0.2">
      <c r="A1959" s="10" t="s">
        <v>2007</v>
      </c>
      <c r="B1959" s="39">
        <v>803009</v>
      </c>
      <c r="C1959" s="42" t="s">
        <v>3491</v>
      </c>
      <c r="D1959" s="86" t="s">
        <v>2953</v>
      </c>
      <c r="E1959" s="86" t="s">
        <v>0</v>
      </c>
      <c r="F1959" s="32" t="s">
        <v>310</v>
      </c>
      <c r="G1959" s="32" t="s">
        <v>1358</v>
      </c>
      <c r="O1959" s="32">
        <v>8</v>
      </c>
      <c r="P1959" s="32">
        <v>81</v>
      </c>
      <c r="Q1959" s="1"/>
      <c r="R1959" s="1"/>
      <c r="S1959" s="1"/>
      <c r="T1959" s="1"/>
      <c r="U1959" s="1"/>
      <c r="V1959" s="1"/>
      <c r="W1959" s="1">
        <v>9969</v>
      </c>
      <c r="X1959" s="1">
        <v>9969</v>
      </c>
      <c r="Y1959" s="1" t="s">
        <v>2193</v>
      </c>
      <c r="Z1959" s="1" t="s">
        <v>2193</v>
      </c>
      <c r="AA1959" s="1" t="s">
        <v>2193</v>
      </c>
      <c r="AB1959" s="1" t="s">
        <v>2193</v>
      </c>
      <c r="AD1959" s="12" t="s">
        <v>52</v>
      </c>
      <c r="AE1959" s="39" t="str">
        <f>BA1959</f>
        <v>8431</v>
      </c>
      <c r="AF1959" s="12" t="s">
        <v>2185</v>
      </c>
      <c r="AN1959" s="12" t="s">
        <v>1194</v>
      </c>
      <c r="AR1959" s="34">
        <v>1</v>
      </c>
      <c r="AS1959" s="34">
        <v>1</v>
      </c>
      <c r="AU1959" s="12" t="s">
        <v>1936</v>
      </c>
      <c r="AW1959" s="39">
        <v>6</v>
      </c>
      <c r="AX1959" s="12">
        <f>VLOOKUP(AW1959,색인!$N$14:$O$19,2,FALSE)</f>
        <v>4</v>
      </c>
      <c r="AY1959" s="12" t="str">
        <f>"T"&amp;O1959&amp;"_"&amp;AX1959&amp;"옵션_"&amp;VLOOKUP(E1959,색인!$J$25:$K$29,2,FALSE)</f>
        <v>T8_4옵션_장신구</v>
      </c>
      <c r="AZ1959" s="12">
        <f>VLOOKUP(G1959,색인!$J$32:$K$45,2,FALSE)</f>
        <v>2</v>
      </c>
      <c r="BA1959" s="12" t="str">
        <f>_xlfn.IFNA(VLOOKUP(AY1959,표1[[검색용]:[OptionGroupIndex'[']22]],EquipItemTable!AZ1959,FALSE),"옵션고정안함")</f>
        <v>8431</v>
      </c>
    </row>
    <row r="1960" spans="1:53" ht="12" x14ac:dyDescent="0.2">
      <c r="A1960" s="10" t="s">
        <v>2008</v>
      </c>
      <c r="B1960" s="39">
        <v>803010</v>
      </c>
      <c r="C1960" s="42" t="s">
        <v>4196</v>
      </c>
      <c r="D1960" s="86" t="s">
        <v>2953</v>
      </c>
      <c r="E1960" s="86" t="s">
        <v>0</v>
      </c>
      <c r="F1960" s="32" t="s">
        <v>310</v>
      </c>
      <c r="G1960" s="32" t="s">
        <v>1358</v>
      </c>
      <c r="O1960" s="32">
        <v>8</v>
      </c>
      <c r="P1960" s="32">
        <v>81</v>
      </c>
      <c r="Q1960" s="1"/>
      <c r="R1960" s="1"/>
      <c r="S1960" s="1"/>
      <c r="T1960" s="1"/>
      <c r="U1960" s="1"/>
      <c r="V1960" s="1"/>
      <c r="W1960" s="1">
        <v>9969</v>
      </c>
      <c r="X1960" s="1">
        <v>9969</v>
      </c>
      <c r="Y1960" s="1" t="s">
        <v>2193</v>
      </c>
      <c r="Z1960" s="1" t="s">
        <v>2193</v>
      </c>
      <c r="AA1960" s="1" t="s">
        <v>2193</v>
      </c>
      <c r="AB1960" s="1" t="s">
        <v>2193</v>
      </c>
      <c r="AD1960" s="12" t="s">
        <v>52</v>
      </c>
      <c r="AE1960" s="39" t="s">
        <v>2187</v>
      </c>
      <c r="AF1960" s="12" t="s">
        <v>2185</v>
      </c>
      <c r="AN1960" s="12" t="s">
        <v>1169</v>
      </c>
      <c r="AR1960" s="34">
        <v>1</v>
      </c>
      <c r="AS1960" s="34">
        <v>1</v>
      </c>
      <c r="AU1960" s="12" t="s">
        <v>1936</v>
      </c>
      <c r="AW1960" s="39">
        <v>6</v>
      </c>
      <c r="AX1960" s="12">
        <f>VLOOKUP(AW1960,색인!$N$14:$O$19,2,FALSE)</f>
        <v>4</v>
      </c>
      <c r="AY1960" s="12" t="str">
        <f>"T"&amp;O1960&amp;"_"&amp;AX1960&amp;"옵션_"&amp;VLOOKUP(E1960,색인!$J$25:$K$29,2,FALSE)</f>
        <v>T8_4옵션_장신구</v>
      </c>
      <c r="AZ1960" s="12">
        <f>VLOOKUP(G1960,색인!$J$32:$K$45,2,FALSE)</f>
        <v>2</v>
      </c>
      <c r="BA1960" s="12" t="str">
        <f>_xlfn.IFNA(VLOOKUP(AY1960,표1[[검색용]:[OptionGroupIndex'[']22]],EquipItemTable!AZ1960,FALSE),"옵션고정안함")</f>
        <v>8431</v>
      </c>
    </row>
    <row r="1961" spans="1:53" ht="12" x14ac:dyDescent="0.2">
      <c r="A1961" s="10" t="s">
        <v>2009</v>
      </c>
      <c r="B1961" s="39">
        <v>804001</v>
      </c>
      <c r="C1961" s="42" t="s">
        <v>4197</v>
      </c>
      <c r="D1961" s="86" t="s">
        <v>2953</v>
      </c>
      <c r="E1961" s="86" t="s">
        <v>0</v>
      </c>
      <c r="F1961" s="32" t="s">
        <v>456</v>
      </c>
      <c r="G1961" s="32" t="s">
        <v>1396</v>
      </c>
      <c r="O1961" s="32">
        <v>8</v>
      </c>
      <c r="P1961" s="32">
        <v>81</v>
      </c>
      <c r="Q1961" s="1"/>
      <c r="R1961" s="1"/>
      <c r="S1961" s="1"/>
      <c r="T1961" s="1"/>
      <c r="U1961" s="1"/>
      <c r="V1961" s="1"/>
      <c r="W1961" s="1">
        <v>8391</v>
      </c>
      <c r="X1961" s="1">
        <v>8391</v>
      </c>
      <c r="Y1961" s="1" t="s">
        <v>2193</v>
      </c>
      <c r="Z1961" s="1" t="s">
        <v>2193</v>
      </c>
      <c r="AA1961" s="1" t="s">
        <v>2193</v>
      </c>
      <c r="AB1961" s="1" t="s">
        <v>2193</v>
      </c>
      <c r="AD1961" s="12" t="s">
        <v>52</v>
      </c>
      <c r="AE1961" s="12" t="s">
        <v>2187</v>
      </c>
      <c r="AF1961" s="12" t="s">
        <v>2185</v>
      </c>
      <c r="AN1961" s="12"/>
      <c r="AR1961" s="34">
        <v>1</v>
      </c>
      <c r="AS1961" s="34">
        <v>1</v>
      </c>
      <c r="AU1961" s="12">
        <v>1001</v>
      </c>
      <c r="AW1961" s="39">
        <v>1</v>
      </c>
      <c r="AY1961" s="12"/>
      <c r="AZ1961" s="12"/>
      <c r="BA1961" s="12"/>
    </row>
    <row r="1962" spans="1:53" ht="12" x14ac:dyDescent="0.2">
      <c r="A1962" s="10" t="s">
        <v>2010</v>
      </c>
      <c r="B1962" s="39">
        <v>804002</v>
      </c>
      <c r="C1962" s="42" t="s">
        <v>4198</v>
      </c>
      <c r="D1962" s="86" t="s">
        <v>2953</v>
      </c>
      <c r="E1962" s="86" t="s">
        <v>0</v>
      </c>
      <c r="F1962" s="32" t="s">
        <v>456</v>
      </c>
      <c r="G1962" s="32" t="s">
        <v>1396</v>
      </c>
      <c r="O1962" s="32">
        <v>8</v>
      </c>
      <c r="P1962" s="32">
        <v>81</v>
      </c>
      <c r="Q1962" s="1"/>
      <c r="R1962" s="1"/>
      <c r="S1962" s="1"/>
      <c r="T1962" s="1"/>
      <c r="U1962" s="1"/>
      <c r="V1962" s="1"/>
      <c r="W1962" s="1">
        <v>9050</v>
      </c>
      <c r="X1962" s="1">
        <v>9050</v>
      </c>
      <c r="Y1962" s="1" t="s">
        <v>2193</v>
      </c>
      <c r="Z1962" s="1" t="s">
        <v>2193</v>
      </c>
      <c r="AA1962" s="1" t="s">
        <v>2193</v>
      </c>
      <c r="AB1962" s="1" t="s">
        <v>2193</v>
      </c>
      <c r="AD1962" s="12" t="s">
        <v>52</v>
      </c>
      <c r="AE1962" s="39" t="str">
        <f t="shared" ref="AE1962:AE1965" si="226">BA1962</f>
        <v>8131</v>
      </c>
      <c r="AN1962" s="12"/>
      <c r="AR1962" s="34">
        <v>1</v>
      </c>
      <c r="AS1962" s="34">
        <v>1</v>
      </c>
      <c r="AU1962" s="12" t="s">
        <v>1976</v>
      </c>
      <c r="AW1962" s="39">
        <v>2</v>
      </c>
      <c r="AX1962" s="12">
        <f>VLOOKUP(AW1962,색인!$N$14:$O$19,2,FALSE)</f>
        <v>1</v>
      </c>
      <c r="AY1962" s="39" t="str">
        <f>"T"&amp;O1962&amp;"_"&amp;AX1962&amp;"옵션_"&amp;VLOOKUP(E1962,색인!$J$25:$K$29,2,FALSE)</f>
        <v>T8_1옵션_장신구</v>
      </c>
      <c r="AZ1962" s="39">
        <f>VLOOKUP(G1962,색인!$J$32:$K$45,2,FALSE)</f>
        <v>2</v>
      </c>
      <c r="BA1962" s="39" t="str">
        <f>_xlfn.IFNA(VLOOKUP(AY1962,표1[[검색용]:[OptionGroupIndex'[']22]],EquipItemTable!AZ1962,FALSE),"옵션고정안함")</f>
        <v>8131</v>
      </c>
    </row>
    <row r="1963" spans="1:53" ht="12" x14ac:dyDescent="0.2">
      <c r="A1963" s="10" t="s">
        <v>2011</v>
      </c>
      <c r="B1963" s="39">
        <v>804003</v>
      </c>
      <c r="C1963" s="42" t="s">
        <v>4199</v>
      </c>
      <c r="D1963" s="86" t="s">
        <v>2953</v>
      </c>
      <c r="E1963" s="86" t="s">
        <v>0</v>
      </c>
      <c r="F1963" s="32" t="s">
        <v>456</v>
      </c>
      <c r="G1963" s="32" t="s">
        <v>1396</v>
      </c>
      <c r="O1963" s="32">
        <v>8</v>
      </c>
      <c r="P1963" s="32">
        <v>81</v>
      </c>
      <c r="Q1963" s="1"/>
      <c r="R1963" s="1"/>
      <c r="S1963" s="1"/>
      <c r="T1963" s="1"/>
      <c r="U1963" s="1"/>
      <c r="V1963" s="1"/>
      <c r="W1963" s="1">
        <v>9633</v>
      </c>
      <c r="X1963" s="1">
        <v>9633</v>
      </c>
      <c r="Y1963" s="1" t="s">
        <v>2193</v>
      </c>
      <c r="Z1963" s="1" t="s">
        <v>2193</v>
      </c>
      <c r="AA1963" s="1" t="s">
        <v>2193</v>
      </c>
      <c r="AB1963" s="1" t="s">
        <v>2193</v>
      </c>
      <c r="AD1963" s="12" t="s">
        <v>52</v>
      </c>
      <c r="AE1963" s="39" t="str">
        <f t="shared" si="226"/>
        <v>8231</v>
      </c>
      <c r="AN1963" s="12"/>
      <c r="AR1963" s="34">
        <v>1</v>
      </c>
      <c r="AS1963" s="34">
        <v>1</v>
      </c>
      <c r="AU1963" s="12" t="s">
        <v>1978</v>
      </c>
      <c r="AW1963" s="39">
        <v>3</v>
      </c>
      <c r="AX1963" s="12">
        <f>VLOOKUP(AW1963,색인!$N$14:$O$19,2,FALSE)</f>
        <v>2</v>
      </c>
      <c r="AY1963" s="39" t="str">
        <f>"T"&amp;O1963&amp;"_"&amp;AX1963&amp;"옵션_"&amp;VLOOKUP(E1963,색인!$J$25:$K$29,2,FALSE)</f>
        <v>T8_2옵션_장신구</v>
      </c>
      <c r="AZ1963" s="39">
        <f>VLOOKUP(G1963,색인!$J$32:$K$45,2,FALSE)</f>
        <v>2</v>
      </c>
      <c r="BA1963" s="39" t="str">
        <f>_xlfn.IFNA(VLOOKUP(AY1963,표1[[검색용]:[OptionGroupIndex'[']22]],EquipItemTable!AZ1963,FALSE),"옵션고정안함")</f>
        <v>8231</v>
      </c>
    </row>
    <row r="1964" spans="1:53" ht="12" x14ac:dyDescent="0.2">
      <c r="A1964" s="10" t="s">
        <v>2012</v>
      </c>
      <c r="B1964" s="39">
        <v>804004</v>
      </c>
      <c r="C1964" s="42" t="s">
        <v>4200</v>
      </c>
      <c r="D1964" s="86" t="s">
        <v>2953</v>
      </c>
      <c r="E1964" s="86" t="s">
        <v>0</v>
      </c>
      <c r="F1964" s="32" t="s">
        <v>456</v>
      </c>
      <c r="G1964" s="32" t="s">
        <v>1396</v>
      </c>
      <c r="O1964" s="32">
        <v>8</v>
      </c>
      <c r="P1964" s="32">
        <v>81</v>
      </c>
      <c r="Q1964" s="1"/>
      <c r="R1964" s="1"/>
      <c r="S1964" s="1"/>
      <c r="T1964" s="1"/>
      <c r="U1964" s="1"/>
      <c r="V1964" s="1"/>
      <c r="W1964" s="1">
        <v>10237</v>
      </c>
      <c r="X1964" s="1">
        <v>10237</v>
      </c>
      <c r="Y1964" s="1" t="s">
        <v>2193</v>
      </c>
      <c r="Z1964" s="1" t="s">
        <v>2193</v>
      </c>
      <c r="AA1964" s="1" t="s">
        <v>2193</v>
      </c>
      <c r="AB1964" s="1" t="s">
        <v>2193</v>
      </c>
      <c r="AD1964" s="12" t="s">
        <v>52</v>
      </c>
      <c r="AE1964" s="39" t="str">
        <f t="shared" si="226"/>
        <v>8331</v>
      </c>
      <c r="AN1964" s="12"/>
      <c r="AR1964" s="34">
        <v>1</v>
      </c>
      <c r="AS1964" s="34">
        <v>1</v>
      </c>
      <c r="AU1964" s="12" t="s">
        <v>1980</v>
      </c>
      <c r="AW1964" s="39">
        <v>4</v>
      </c>
      <c r="AX1964" s="12">
        <f>VLOOKUP(AW1964,색인!$N$14:$O$19,2,FALSE)</f>
        <v>3</v>
      </c>
      <c r="AY1964" s="39" t="str">
        <f>"T"&amp;O1964&amp;"_"&amp;AX1964&amp;"옵션_"&amp;VLOOKUP(E1964,색인!$J$25:$K$29,2,FALSE)</f>
        <v>T8_3옵션_장신구</v>
      </c>
      <c r="AZ1964" s="39">
        <f>VLOOKUP(G1964,색인!$J$32:$K$45,2,FALSE)</f>
        <v>2</v>
      </c>
      <c r="BA1964" s="39" t="str">
        <f>_xlfn.IFNA(VLOOKUP(AY1964,표1[[검색용]:[OptionGroupIndex'[']22]],EquipItemTable!AZ1964,FALSE),"옵션고정안함")</f>
        <v>8331</v>
      </c>
    </row>
    <row r="1965" spans="1:53" ht="12" x14ac:dyDescent="0.2">
      <c r="A1965" s="10" t="s">
        <v>2013</v>
      </c>
      <c r="B1965" s="39">
        <v>804005</v>
      </c>
      <c r="C1965" s="42" t="s">
        <v>4201</v>
      </c>
      <c r="D1965" s="86" t="s">
        <v>2953</v>
      </c>
      <c r="E1965" s="86" t="s">
        <v>0</v>
      </c>
      <c r="F1965" s="32" t="s">
        <v>456</v>
      </c>
      <c r="G1965" s="32" t="s">
        <v>1396</v>
      </c>
      <c r="O1965" s="32">
        <v>8</v>
      </c>
      <c r="P1965" s="32">
        <v>81</v>
      </c>
      <c r="Q1965" s="1"/>
      <c r="R1965" s="1"/>
      <c r="S1965" s="1"/>
      <c r="T1965" s="1"/>
      <c r="U1965" s="1"/>
      <c r="V1965" s="1"/>
      <c r="W1965" s="1">
        <v>10738</v>
      </c>
      <c r="X1965" s="1">
        <v>10738</v>
      </c>
      <c r="Y1965" s="1" t="s">
        <v>2193</v>
      </c>
      <c r="Z1965" s="1" t="s">
        <v>2193</v>
      </c>
      <c r="AA1965" s="1" t="s">
        <v>2193</v>
      </c>
      <c r="AB1965" s="1" t="s">
        <v>2193</v>
      </c>
      <c r="AD1965" s="12" t="s">
        <v>52</v>
      </c>
      <c r="AE1965" s="39" t="str">
        <f t="shared" si="226"/>
        <v>8331</v>
      </c>
      <c r="AN1965" s="32">
        <v>104</v>
      </c>
      <c r="AR1965" s="34">
        <v>1</v>
      </c>
      <c r="AS1965" s="34">
        <v>1</v>
      </c>
      <c r="AU1965" s="12" t="s">
        <v>1982</v>
      </c>
      <c r="AW1965" s="39">
        <v>5</v>
      </c>
      <c r="AX1965" s="12">
        <f>VLOOKUP(AW1965,색인!$N$14:$O$19,2,FALSE)</f>
        <v>3</v>
      </c>
      <c r="AY1965" s="39" t="str">
        <f>"T"&amp;O1965&amp;"_"&amp;AX1965&amp;"옵션_"&amp;VLOOKUP(E1965,색인!$J$25:$K$29,2,FALSE)</f>
        <v>T8_3옵션_장신구</v>
      </c>
      <c r="AZ1965" s="39">
        <f>VLOOKUP(G1965,색인!$J$32:$K$45,2,FALSE)</f>
        <v>2</v>
      </c>
      <c r="BA1965" s="39" t="str">
        <f>_xlfn.IFNA(VLOOKUP(AY1965,표1[[검색용]:[OptionGroupIndex'[']22]],EquipItemTable!AZ1965,FALSE),"옵션고정안함")</f>
        <v>8331</v>
      </c>
    </row>
    <row r="1966" spans="1:53" ht="12" x14ac:dyDescent="0.2">
      <c r="A1966" s="10" t="s">
        <v>2014</v>
      </c>
      <c r="B1966" s="39">
        <v>804006</v>
      </c>
      <c r="C1966" s="42" t="s">
        <v>3526</v>
      </c>
      <c r="D1966" s="86" t="s">
        <v>2953</v>
      </c>
      <c r="E1966" s="86" t="s">
        <v>0</v>
      </c>
      <c r="F1966" s="32" t="s">
        <v>456</v>
      </c>
      <c r="G1966" s="32" t="s">
        <v>1396</v>
      </c>
      <c r="O1966" s="32">
        <v>8</v>
      </c>
      <c r="P1966" s="32">
        <v>81</v>
      </c>
      <c r="Q1966" s="1"/>
      <c r="R1966" s="1"/>
      <c r="S1966" s="1"/>
      <c r="T1966" s="1"/>
      <c r="U1966" s="1"/>
      <c r="V1966" s="1"/>
      <c r="W1966" s="1">
        <v>11252</v>
      </c>
      <c r="X1966" s="1">
        <v>11252</v>
      </c>
      <c r="Y1966" s="1" t="s">
        <v>2193</v>
      </c>
      <c r="Z1966" s="1" t="s">
        <v>2193</v>
      </c>
      <c r="AA1966" s="1" t="s">
        <v>2193</v>
      </c>
      <c r="AB1966" s="1" t="s">
        <v>2193</v>
      </c>
      <c r="AD1966" s="12" t="s">
        <v>52</v>
      </c>
      <c r="AE1966" s="39" t="str">
        <f>BA1966</f>
        <v>8431</v>
      </c>
      <c r="AF1966" s="12" t="s">
        <v>2185</v>
      </c>
      <c r="AN1966" s="12">
        <v>1</v>
      </c>
      <c r="AR1966" s="34">
        <v>1</v>
      </c>
      <c r="AS1966" s="34">
        <v>1</v>
      </c>
      <c r="AU1966" s="12" t="s">
        <v>1936</v>
      </c>
      <c r="AW1966" s="39">
        <v>6</v>
      </c>
      <c r="AX1966" s="12">
        <f>VLOOKUP(AW1966,색인!$N$14:$O$19,2,FALSE)</f>
        <v>4</v>
      </c>
      <c r="AY1966" s="12" t="str">
        <f>"T"&amp;O1966&amp;"_"&amp;AX1966&amp;"옵션_"&amp;VLOOKUP(E1966,색인!$J$25:$K$29,2,FALSE)</f>
        <v>T8_4옵션_장신구</v>
      </c>
      <c r="AZ1966" s="12">
        <f>VLOOKUP(G1966,색인!$J$32:$K$45,2,FALSE)</f>
        <v>2</v>
      </c>
      <c r="BA1966" s="12" t="str">
        <f>_xlfn.IFNA(VLOOKUP(AY1966,표1[[검색용]:[OptionGroupIndex'[']22]],EquipItemTable!AZ1966,FALSE),"옵션고정안함")</f>
        <v>8431</v>
      </c>
    </row>
    <row r="1967" spans="1:53" ht="12" x14ac:dyDescent="0.2">
      <c r="A1967" s="10" t="s">
        <v>2015</v>
      </c>
      <c r="B1967" s="39">
        <v>804007</v>
      </c>
      <c r="C1967" s="42" t="s">
        <v>3527</v>
      </c>
      <c r="D1967" s="86" t="s">
        <v>2953</v>
      </c>
      <c r="E1967" s="86" t="s">
        <v>0</v>
      </c>
      <c r="F1967" s="32" t="s">
        <v>456</v>
      </c>
      <c r="G1967" s="32" t="s">
        <v>1396</v>
      </c>
      <c r="O1967" s="32">
        <v>8</v>
      </c>
      <c r="P1967" s="32">
        <v>81</v>
      </c>
      <c r="Q1967" s="1"/>
      <c r="R1967" s="1"/>
      <c r="S1967" s="1"/>
      <c r="T1967" s="1"/>
      <c r="U1967" s="1"/>
      <c r="V1967" s="1"/>
      <c r="W1967" s="1">
        <v>11252</v>
      </c>
      <c r="X1967" s="1">
        <v>11252</v>
      </c>
      <c r="Y1967" s="1" t="s">
        <v>2193</v>
      </c>
      <c r="Z1967" s="1" t="s">
        <v>2193</v>
      </c>
      <c r="AA1967" s="1" t="s">
        <v>2193</v>
      </c>
      <c r="AB1967" s="1" t="s">
        <v>2193</v>
      </c>
      <c r="AD1967" s="12" t="s">
        <v>52</v>
      </c>
      <c r="AE1967" s="39" t="str">
        <f>BA1967</f>
        <v>8431</v>
      </c>
      <c r="AF1967" s="12" t="s">
        <v>2185</v>
      </c>
      <c r="AN1967" s="32" t="s">
        <v>1192</v>
      </c>
      <c r="AR1967" s="34">
        <v>1</v>
      </c>
      <c r="AS1967" s="34">
        <v>1</v>
      </c>
      <c r="AU1967" s="12" t="s">
        <v>1936</v>
      </c>
      <c r="AW1967" s="39">
        <v>6</v>
      </c>
      <c r="AX1967" s="12">
        <f>VLOOKUP(AW1967,색인!$N$14:$O$19,2,FALSE)</f>
        <v>4</v>
      </c>
      <c r="AY1967" s="12" t="str">
        <f>"T"&amp;O1967&amp;"_"&amp;AX1967&amp;"옵션_"&amp;VLOOKUP(E1967,색인!$J$25:$K$29,2,FALSE)</f>
        <v>T8_4옵션_장신구</v>
      </c>
      <c r="AZ1967" s="12">
        <f>VLOOKUP(G1967,색인!$J$32:$K$45,2,FALSE)</f>
        <v>2</v>
      </c>
      <c r="BA1967" s="12" t="str">
        <f>_xlfn.IFNA(VLOOKUP(AY1967,표1[[검색용]:[OptionGroupIndex'[']22]],EquipItemTable!AZ1967,FALSE),"옵션고정안함")</f>
        <v>8431</v>
      </c>
    </row>
    <row r="1968" spans="1:53" ht="12" x14ac:dyDescent="0.2">
      <c r="A1968" s="10" t="s">
        <v>2016</v>
      </c>
      <c r="B1968" s="39">
        <v>804008</v>
      </c>
      <c r="C1968" s="42" t="s">
        <v>3528</v>
      </c>
      <c r="D1968" s="86" t="s">
        <v>2953</v>
      </c>
      <c r="E1968" s="86" t="s">
        <v>0</v>
      </c>
      <c r="F1968" s="32" t="s">
        <v>456</v>
      </c>
      <c r="G1968" s="32" t="s">
        <v>1396</v>
      </c>
      <c r="O1968" s="32">
        <v>8</v>
      </c>
      <c r="P1968" s="32">
        <v>81</v>
      </c>
      <c r="Q1968" s="1"/>
      <c r="R1968" s="1"/>
      <c r="S1968" s="1"/>
      <c r="T1968" s="1"/>
      <c r="U1968" s="1"/>
      <c r="V1968" s="1"/>
      <c r="W1968" s="1">
        <v>11252</v>
      </c>
      <c r="X1968" s="1">
        <v>11252</v>
      </c>
      <c r="Y1968" s="1" t="s">
        <v>2193</v>
      </c>
      <c r="Z1968" s="1" t="s">
        <v>2193</v>
      </c>
      <c r="AA1968" s="1" t="s">
        <v>2193</v>
      </c>
      <c r="AB1968" s="1" t="s">
        <v>2193</v>
      </c>
      <c r="AD1968" s="12" t="s">
        <v>52</v>
      </c>
      <c r="AE1968" s="39" t="str">
        <f>BA1968</f>
        <v>8431</v>
      </c>
      <c r="AF1968" s="12" t="s">
        <v>2185</v>
      </c>
      <c r="AN1968" s="32" t="s">
        <v>369</v>
      </c>
      <c r="AR1968" s="34">
        <v>1</v>
      </c>
      <c r="AS1968" s="34">
        <v>1</v>
      </c>
      <c r="AU1968" s="12" t="s">
        <v>1936</v>
      </c>
      <c r="AW1968" s="39">
        <v>6</v>
      </c>
      <c r="AX1968" s="12">
        <f>VLOOKUP(AW1968,색인!$N$14:$O$19,2,FALSE)</f>
        <v>4</v>
      </c>
      <c r="AY1968" s="12" t="str">
        <f>"T"&amp;O1968&amp;"_"&amp;AX1968&amp;"옵션_"&amp;VLOOKUP(E1968,색인!$J$25:$K$29,2,FALSE)</f>
        <v>T8_4옵션_장신구</v>
      </c>
      <c r="AZ1968" s="12">
        <f>VLOOKUP(G1968,색인!$J$32:$K$45,2,FALSE)</f>
        <v>2</v>
      </c>
      <c r="BA1968" s="12" t="str">
        <f>_xlfn.IFNA(VLOOKUP(AY1968,표1[[검색용]:[OptionGroupIndex'[']22]],EquipItemTable!AZ1968,FALSE),"옵션고정안함")</f>
        <v>8431</v>
      </c>
    </row>
    <row r="1969" spans="1:53" ht="12" x14ac:dyDescent="0.2">
      <c r="A1969" s="10" t="s">
        <v>2017</v>
      </c>
      <c r="B1969" s="39">
        <v>804009</v>
      </c>
      <c r="C1969" s="42" t="s">
        <v>3529</v>
      </c>
      <c r="D1969" s="86" t="s">
        <v>2953</v>
      </c>
      <c r="E1969" s="86" t="s">
        <v>0</v>
      </c>
      <c r="F1969" s="32" t="s">
        <v>456</v>
      </c>
      <c r="G1969" s="32" t="s">
        <v>1396</v>
      </c>
      <c r="O1969" s="32">
        <v>8</v>
      </c>
      <c r="P1969" s="32">
        <v>81</v>
      </c>
      <c r="Q1969" s="1"/>
      <c r="R1969" s="1"/>
      <c r="S1969" s="1"/>
      <c r="T1969" s="1"/>
      <c r="U1969" s="1"/>
      <c r="V1969" s="1"/>
      <c r="W1969" s="1">
        <v>11252</v>
      </c>
      <c r="X1969" s="1">
        <v>11252</v>
      </c>
      <c r="Y1969" s="1" t="s">
        <v>2193</v>
      </c>
      <c r="Z1969" s="1" t="s">
        <v>2193</v>
      </c>
      <c r="AA1969" s="1" t="s">
        <v>2193</v>
      </c>
      <c r="AB1969" s="1" t="s">
        <v>2193</v>
      </c>
      <c r="AD1969" s="12" t="s">
        <v>52</v>
      </c>
      <c r="AE1969" s="39" t="str">
        <f>BA1969</f>
        <v>8431</v>
      </c>
      <c r="AF1969" s="12" t="s">
        <v>2185</v>
      </c>
      <c r="AN1969" s="32" t="s">
        <v>1194</v>
      </c>
      <c r="AR1969" s="34">
        <v>1</v>
      </c>
      <c r="AS1969" s="34">
        <v>1</v>
      </c>
      <c r="AU1969" s="12" t="s">
        <v>1936</v>
      </c>
      <c r="AW1969" s="39">
        <v>6</v>
      </c>
      <c r="AX1969" s="12">
        <f>VLOOKUP(AW1969,색인!$N$14:$O$19,2,FALSE)</f>
        <v>4</v>
      </c>
      <c r="AY1969" s="12" t="str">
        <f>"T"&amp;O1969&amp;"_"&amp;AX1969&amp;"옵션_"&amp;VLOOKUP(E1969,색인!$J$25:$K$29,2,FALSE)</f>
        <v>T8_4옵션_장신구</v>
      </c>
      <c r="AZ1969" s="12">
        <f>VLOOKUP(G1969,색인!$J$32:$K$45,2,FALSE)</f>
        <v>2</v>
      </c>
      <c r="BA1969" s="12" t="str">
        <f>_xlfn.IFNA(VLOOKUP(AY1969,표1[[검색용]:[OptionGroupIndex'[']22]],EquipItemTable!AZ1969,FALSE),"옵션고정안함")</f>
        <v>8431</v>
      </c>
    </row>
    <row r="1970" spans="1:53" ht="12" x14ac:dyDescent="0.2">
      <c r="A1970" s="10" t="s">
        <v>2018</v>
      </c>
      <c r="B1970" s="39">
        <v>804010</v>
      </c>
      <c r="C1970" s="42" t="s">
        <v>4202</v>
      </c>
      <c r="D1970" s="86" t="s">
        <v>2953</v>
      </c>
      <c r="E1970" s="86" t="s">
        <v>0</v>
      </c>
      <c r="F1970" s="32" t="s">
        <v>456</v>
      </c>
      <c r="G1970" s="32" t="s">
        <v>1396</v>
      </c>
      <c r="O1970" s="32">
        <v>8</v>
      </c>
      <c r="P1970" s="32">
        <v>81</v>
      </c>
      <c r="Q1970" s="1"/>
      <c r="R1970" s="1"/>
      <c r="S1970" s="1"/>
      <c r="T1970" s="1"/>
      <c r="U1970" s="1"/>
      <c r="V1970" s="1"/>
      <c r="W1970" s="1">
        <v>11252</v>
      </c>
      <c r="X1970" s="1">
        <v>11252</v>
      </c>
      <c r="Y1970" s="1" t="s">
        <v>2193</v>
      </c>
      <c r="Z1970" s="1" t="s">
        <v>2193</v>
      </c>
      <c r="AA1970" s="1" t="s">
        <v>2193</v>
      </c>
      <c r="AB1970" s="1" t="s">
        <v>2193</v>
      </c>
      <c r="AD1970" s="12" t="s">
        <v>52</v>
      </c>
      <c r="AE1970" s="39" t="s">
        <v>2187</v>
      </c>
      <c r="AF1970" s="12" t="s">
        <v>2185</v>
      </c>
      <c r="AN1970" s="32" t="s">
        <v>1169</v>
      </c>
      <c r="AR1970" s="34">
        <v>1</v>
      </c>
      <c r="AS1970" s="34">
        <v>1</v>
      </c>
      <c r="AU1970" s="12" t="s">
        <v>1936</v>
      </c>
      <c r="AW1970" s="39">
        <v>6</v>
      </c>
      <c r="AX1970" s="12">
        <f>VLOOKUP(AW1970,색인!$N$14:$O$19,2,FALSE)</f>
        <v>4</v>
      </c>
      <c r="AY1970" s="12" t="str">
        <f>"T"&amp;O1970&amp;"_"&amp;AX1970&amp;"옵션_"&amp;VLOOKUP(E1970,색인!$J$25:$K$29,2,FALSE)</f>
        <v>T8_4옵션_장신구</v>
      </c>
      <c r="AZ1970" s="12">
        <f>VLOOKUP(G1970,색인!$J$32:$K$45,2,FALSE)</f>
        <v>2</v>
      </c>
      <c r="BA1970" s="12" t="str">
        <f>_xlfn.IFNA(VLOOKUP(AY1970,표1[[검색용]:[OptionGroupIndex'[']22]],EquipItemTable!AZ1970,FALSE),"옵션고정안함")</f>
        <v>8431</v>
      </c>
    </row>
    <row r="1971" spans="1:53" ht="12" x14ac:dyDescent="0.2">
      <c r="A1971" s="10" t="s">
        <v>2019</v>
      </c>
      <c r="B1971" s="39">
        <v>805001</v>
      </c>
      <c r="C1971" s="42" t="s">
        <v>4203</v>
      </c>
      <c r="D1971" s="86" t="s">
        <v>2953</v>
      </c>
      <c r="E1971" s="86" t="s">
        <v>0</v>
      </c>
      <c r="F1971" s="32" t="s">
        <v>927</v>
      </c>
      <c r="G1971" s="32" t="s">
        <v>1415</v>
      </c>
      <c r="O1971" s="32">
        <v>8</v>
      </c>
      <c r="P1971" s="32">
        <v>81</v>
      </c>
      <c r="Q1971" s="1"/>
      <c r="R1971" s="1"/>
      <c r="S1971" s="1"/>
      <c r="T1971" s="1"/>
      <c r="U1971" s="1"/>
      <c r="V1971" s="1"/>
      <c r="W1971" s="1">
        <v>7656</v>
      </c>
      <c r="X1971" s="1">
        <v>7656</v>
      </c>
      <c r="Y1971" s="1" t="s">
        <v>2193</v>
      </c>
      <c r="Z1971" s="1" t="s">
        <v>2193</v>
      </c>
      <c r="AA1971" s="1" t="s">
        <v>2193</v>
      </c>
      <c r="AB1971" s="1" t="s">
        <v>2193</v>
      </c>
      <c r="AD1971" s="12" t="s">
        <v>52</v>
      </c>
      <c r="AE1971" s="12" t="s">
        <v>2187</v>
      </c>
      <c r="AF1971" s="12" t="s">
        <v>2185</v>
      </c>
      <c r="AN1971" s="12"/>
      <c r="AR1971" s="34">
        <v>1</v>
      </c>
      <c r="AS1971" s="34">
        <v>1</v>
      </c>
      <c r="AU1971" s="12">
        <v>1001</v>
      </c>
      <c r="AW1971" s="39">
        <v>1</v>
      </c>
      <c r="AY1971" s="12"/>
      <c r="AZ1971" s="12"/>
      <c r="BA1971" s="12"/>
    </row>
    <row r="1972" spans="1:53" ht="12" x14ac:dyDescent="0.2">
      <c r="A1972" s="10" t="s">
        <v>2020</v>
      </c>
      <c r="B1972" s="39">
        <v>805002</v>
      </c>
      <c r="C1972" s="42" t="s">
        <v>4204</v>
      </c>
      <c r="D1972" s="86" t="s">
        <v>2953</v>
      </c>
      <c r="E1972" s="86" t="s">
        <v>0</v>
      </c>
      <c r="F1972" s="32" t="s">
        <v>927</v>
      </c>
      <c r="G1972" s="32" t="s">
        <v>1415</v>
      </c>
      <c r="O1972" s="32">
        <v>8</v>
      </c>
      <c r="P1972" s="32">
        <v>81</v>
      </c>
      <c r="Q1972" s="1"/>
      <c r="R1972" s="1"/>
      <c r="S1972" s="1"/>
      <c r="T1972" s="1"/>
      <c r="U1972" s="1"/>
      <c r="V1972" s="1"/>
      <c r="W1972" s="1">
        <v>8257</v>
      </c>
      <c r="X1972" s="1">
        <v>8257</v>
      </c>
      <c r="Y1972" s="1" t="s">
        <v>2193</v>
      </c>
      <c r="Z1972" s="1" t="s">
        <v>2193</v>
      </c>
      <c r="AA1972" s="1" t="s">
        <v>2193</v>
      </c>
      <c r="AB1972" s="1" t="s">
        <v>2193</v>
      </c>
      <c r="AD1972" s="12" t="s">
        <v>52</v>
      </c>
      <c r="AE1972" s="39" t="str">
        <f t="shared" ref="AE1972:AE1975" si="227">BA1972</f>
        <v>8131</v>
      </c>
      <c r="AN1972" s="12"/>
      <c r="AR1972" s="34">
        <v>1</v>
      </c>
      <c r="AS1972" s="34">
        <v>1</v>
      </c>
      <c r="AU1972" s="12" t="s">
        <v>1976</v>
      </c>
      <c r="AW1972" s="39">
        <v>2</v>
      </c>
      <c r="AX1972" s="12">
        <f>VLOOKUP(AW1972,색인!$N$14:$O$19,2,FALSE)</f>
        <v>1</v>
      </c>
      <c r="AY1972" s="39" t="str">
        <f>"T"&amp;O1972&amp;"_"&amp;AX1972&amp;"옵션_"&amp;VLOOKUP(E1972,색인!$J$25:$K$29,2,FALSE)</f>
        <v>T8_1옵션_장신구</v>
      </c>
      <c r="AZ1972" s="39">
        <f>VLOOKUP(G1972,색인!$J$32:$K$45,2,FALSE)</f>
        <v>2</v>
      </c>
      <c r="BA1972" s="39" t="str">
        <f>_xlfn.IFNA(VLOOKUP(AY1972,표1[[검색용]:[OptionGroupIndex'[']22]],EquipItemTable!AZ1972,FALSE),"옵션고정안함")</f>
        <v>8131</v>
      </c>
    </row>
    <row r="1973" spans="1:53" ht="12" x14ac:dyDescent="0.2">
      <c r="A1973" s="10" t="s">
        <v>2021</v>
      </c>
      <c r="B1973" s="39">
        <v>805003</v>
      </c>
      <c r="C1973" s="42" t="s">
        <v>4205</v>
      </c>
      <c r="D1973" s="86" t="s">
        <v>2953</v>
      </c>
      <c r="E1973" s="86" t="s">
        <v>0</v>
      </c>
      <c r="F1973" s="32" t="s">
        <v>927</v>
      </c>
      <c r="G1973" s="32" t="s">
        <v>1415</v>
      </c>
      <c r="O1973" s="32">
        <v>8</v>
      </c>
      <c r="P1973" s="32">
        <v>81</v>
      </c>
      <c r="Q1973" s="1"/>
      <c r="R1973" s="1"/>
      <c r="S1973" s="1"/>
      <c r="T1973" s="1"/>
      <c r="U1973" s="1"/>
      <c r="V1973" s="1"/>
      <c r="W1973" s="1">
        <v>8788</v>
      </c>
      <c r="X1973" s="1">
        <v>8788</v>
      </c>
      <c r="Y1973" s="1" t="s">
        <v>2193</v>
      </c>
      <c r="Z1973" s="1" t="s">
        <v>2193</v>
      </c>
      <c r="AA1973" s="1" t="s">
        <v>2193</v>
      </c>
      <c r="AB1973" s="1" t="s">
        <v>2193</v>
      </c>
      <c r="AD1973" s="12" t="s">
        <v>52</v>
      </c>
      <c r="AE1973" s="39" t="str">
        <f t="shared" si="227"/>
        <v>8231</v>
      </c>
      <c r="AN1973" s="12"/>
      <c r="AR1973" s="34">
        <v>1</v>
      </c>
      <c r="AS1973" s="34">
        <v>1</v>
      </c>
      <c r="AU1973" s="12" t="s">
        <v>1978</v>
      </c>
      <c r="AW1973" s="39">
        <v>3</v>
      </c>
      <c r="AX1973" s="12">
        <f>VLOOKUP(AW1973,색인!$N$14:$O$19,2,FALSE)</f>
        <v>2</v>
      </c>
      <c r="AY1973" s="39" t="str">
        <f>"T"&amp;O1973&amp;"_"&amp;AX1973&amp;"옵션_"&amp;VLOOKUP(E1973,색인!$J$25:$K$29,2,FALSE)</f>
        <v>T8_2옵션_장신구</v>
      </c>
      <c r="AZ1973" s="39">
        <f>VLOOKUP(G1973,색인!$J$32:$K$45,2,FALSE)</f>
        <v>2</v>
      </c>
      <c r="BA1973" s="39" t="str">
        <f>_xlfn.IFNA(VLOOKUP(AY1973,표1[[검색용]:[OptionGroupIndex'[']22]],EquipItemTable!AZ1973,FALSE),"옵션고정안함")</f>
        <v>8231</v>
      </c>
    </row>
    <row r="1974" spans="1:53" ht="12" x14ac:dyDescent="0.2">
      <c r="A1974" s="10" t="s">
        <v>2022</v>
      </c>
      <c r="B1974" s="39">
        <v>805004</v>
      </c>
      <c r="C1974" s="42" t="s">
        <v>4206</v>
      </c>
      <c r="D1974" s="86" t="s">
        <v>2953</v>
      </c>
      <c r="E1974" s="86" t="s">
        <v>0</v>
      </c>
      <c r="F1974" s="32" t="s">
        <v>927</v>
      </c>
      <c r="G1974" s="32" t="s">
        <v>1415</v>
      </c>
      <c r="O1974" s="32">
        <v>8</v>
      </c>
      <c r="P1974" s="32">
        <v>81</v>
      </c>
      <c r="Q1974" s="1"/>
      <c r="R1974" s="1"/>
      <c r="S1974" s="1"/>
      <c r="T1974" s="1"/>
      <c r="U1974" s="1"/>
      <c r="V1974" s="1"/>
      <c r="W1974" s="1">
        <v>9339</v>
      </c>
      <c r="X1974" s="1">
        <v>9339</v>
      </c>
      <c r="Y1974" s="1" t="s">
        <v>2193</v>
      </c>
      <c r="Z1974" s="1" t="s">
        <v>2193</v>
      </c>
      <c r="AA1974" s="1" t="s">
        <v>2193</v>
      </c>
      <c r="AB1974" s="1" t="s">
        <v>2193</v>
      </c>
      <c r="AD1974" s="12" t="s">
        <v>52</v>
      </c>
      <c r="AE1974" s="39" t="str">
        <f t="shared" si="227"/>
        <v>8331</v>
      </c>
      <c r="AN1974" s="12"/>
      <c r="AR1974" s="34">
        <v>1</v>
      </c>
      <c r="AS1974" s="34">
        <v>1</v>
      </c>
      <c r="AU1974" s="12" t="s">
        <v>1980</v>
      </c>
      <c r="AW1974" s="39">
        <v>4</v>
      </c>
      <c r="AX1974" s="12">
        <f>VLOOKUP(AW1974,색인!$N$14:$O$19,2,FALSE)</f>
        <v>3</v>
      </c>
      <c r="AY1974" s="39" t="str">
        <f>"T"&amp;O1974&amp;"_"&amp;AX1974&amp;"옵션_"&amp;VLOOKUP(E1974,색인!$J$25:$K$29,2,FALSE)</f>
        <v>T8_3옵션_장신구</v>
      </c>
      <c r="AZ1974" s="39">
        <f>VLOOKUP(G1974,색인!$J$32:$K$45,2,FALSE)</f>
        <v>2</v>
      </c>
      <c r="BA1974" s="39" t="str">
        <f>_xlfn.IFNA(VLOOKUP(AY1974,표1[[검색용]:[OptionGroupIndex'[']22]],EquipItemTable!AZ1974,FALSE),"옵션고정안함")</f>
        <v>8331</v>
      </c>
    </row>
    <row r="1975" spans="1:53" ht="12" x14ac:dyDescent="0.2">
      <c r="A1975" s="10" t="s">
        <v>2023</v>
      </c>
      <c r="B1975" s="39">
        <v>805005</v>
      </c>
      <c r="C1975" s="42" t="s">
        <v>4207</v>
      </c>
      <c r="D1975" s="86" t="s">
        <v>2953</v>
      </c>
      <c r="E1975" s="86" t="s">
        <v>0</v>
      </c>
      <c r="F1975" s="32" t="s">
        <v>927</v>
      </c>
      <c r="G1975" s="32" t="s">
        <v>1415</v>
      </c>
      <c r="O1975" s="32">
        <v>8</v>
      </c>
      <c r="P1975" s="32">
        <v>81</v>
      </c>
      <c r="Q1975" s="1"/>
      <c r="R1975" s="1"/>
      <c r="S1975" s="1"/>
      <c r="T1975" s="1"/>
      <c r="U1975" s="1"/>
      <c r="V1975" s="1"/>
      <c r="W1975" s="1">
        <v>9797</v>
      </c>
      <c r="X1975" s="1">
        <v>9797</v>
      </c>
      <c r="Y1975" s="1" t="s">
        <v>2193</v>
      </c>
      <c r="Z1975" s="1" t="s">
        <v>2193</v>
      </c>
      <c r="AA1975" s="1" t="s">
        <v>2193</v>
      </c>
      <c r="AB1975" s="1" t="s">
        <v>2193</v>
      </c>
      <c r="AD1975" s="12" t="s">
        <v>52</v>
      </c>
      <c r="AE1975" s="39" t="str">
        <f t="shared" si="227"/>
        <v>8331</v>
      </c>
      <c r="AN1975" s="32">
        <v>104</v>
      </c>
      <c r="AR1975" s="34">
        <v>1</v>
      </c>
      <c r="AS1975" s="34">
        <v>1</v>
      </c>
      <c r="AU1975" s="12" t="s">
        <v>1982</v>
      </c>
      <c r="AW1975" s="39">
        <v>5</v>
      </c>
      <c r="AX1975" s="12">
        <f>VLOOKUP(AW1975,색인!$N$14:$O$19,2,FALSE)</f>
        <v>3</v>
      </c>
      <c r="AY1975" s="39" t="str">
        <f>"T"&amp;O1975&amp;"_"&amp;AX1975&amp;"옵션_"&amp;VLOOKUP(E1975,색인!$J$25:$K$29,2,FALSE)</f>
        <v>T8_3옵션_장신구</v>
      </c>
      <c r="AZ1975" s="39">
        <f>VLOOKUP(G1975,색인!$J$32:$K$45,2,FALSE)</f>
        <v>2</v>
      </c>
      <c r="BA1975" s="39" t="str">
        <f>_xlfn.IFNA(VLOOKUP(AY1975,표1[[검색용]:[OptionGroupIndex'[']22]],EquipItemTable!AZ1975,FALSE),"옵션고정안함")</f>
        <v>8331</v>
      </c>
    </row>
    <row r="1976" spans="1:53" ht="12" x14ac:dyDescent="0.2">
      <c r="A1976" s="10" t="s">
        <v>2024</v>
      </c>
      <c r="B1976" s="39">
        <v>805006</v>
      </c>
      <c r="C1976" s="42" t="s">
        <v>3565</v>
      </c>
      <c r="D1976" s="86" t="s">
        <v>2953</v>
      </c>
      <c r="E1976" s="86" t="s">
        <v>0</v>
      </c>
      <c r="F1976" s="32" t="s">
        <v>927</v>
      </c>
      <c r="G1976" s="32" t="s">
        <v>1415</v>
      </c>
      <c r="O1976" s="32">
        <v>8</v>
      </c>
      <c r="P1976" s="32">
        <v>81</v>
      </c>
      <c r="Q1976" s="1"/>
      <c r="R1976" s="1"/>
      <c r="S1976" s="1"/>
      <c r="T1976" s="1"/>
      <c r="U1976" s="1"/>
      <c r="V1976" s="1"/>
      <c r="W1976" s="1">
        <v>10266</v>
      </c>
      <c r="X1976" s="1">
        <v>10266</v>
      </c>
      <c r="Y1976" s="1" t="s">
        <v>2193</v>
      </c>
      <c r="Z1976" s="1" t="s">
        <v>2193</v>
      </c>
      <c r="AA1976" s="1" t="s">
        <v>2193</v>
      </c>
      <c r="AB1976" s="1" t="s">
        <v>2193</v>
      </c>
      <c r="AD1976" s="12" t="s">
        <v>52</v>
      </c>
      <c r="AE1976" s="39" t="str">
        <f>BA1976</f>
        <v>8431</v>
      </c>
      <c r="AF1976" s="12" t="s">
        <v>2185</v>
      </c>
      <c r="AN1976" s="12">
        <v>1</v>
      </c>
      <c r="AR1976" s="34">
        <v>1</v>
      </c>
      <c r="AS1976" s="34">
        <v>1</v>
      </c>
      <c r="AU1976" s="12" t="s">
        <v>1936</v>
      </c>
      <c r="AW1976" s="39">
        <v>6</v>
      </c>
      <c r="AX1976" s="12">
        <f>VLOOKUP(AW1976,색인!$N$14:$O$19,2,FALSE)</f>
        <v>4</v>
      </c>
      <c r="AY1976" s="12" t="str">
        <f>"T"&amp;O1976&amp;"_"&amp;AX1976&amp;"옵션_"&amp;VLOOKUP(E1976,색인!$J$25:$K$29,2,FALSE)</f>
        <v>T8_4옵션_장신구</v>
      </c>
      <c r="AZ1976" s="12">
        <f>VLOOKUP(G1976,색인!$J$32:$K$45,2,FALSE)</f>
        <v>2</v>
      </c>
      <c r="BA1976" s="12" t="str">
        <f>_xlfn.IFNA(VLOOKUP(AY1976,표1[[검색용]:[OptionGroupIndex'[']22]],EquipItemTable!AZ1976,FALSE),"옵션고정안함")</f>
        <v>8431</v>
      </c>
    </row>
    <row r="1977" spans="1:53" ht="12" x14ac:dyDescent="0.2">
      <c r="A1977" s="10" t="s">
        <v>2025</v>
      </c>
      <c r="B1977" s="39">
        <v>805007</v>
      </c>
      <c r="C1977" s="42" t="s">
        <v>3566</v>
      </c>
      <c r="D1977" s="86" t="s">
        <v>2953</v>
      </c>
      <c r="E1977" s="86" t="s">
        <v>0</v>
      </c>
      <c r="F1977" s="32" t="s">
        <v>927</v>
      </c>
      <c r="G1977" s="32" t="s">
        <v>1415</v>
      </c>
      <c r="O1977" s="32">
        <v>8</v>
      </c>
      <c r="P1977" s="32">
        <v>81</v>
      </c>
      <c r="Q1977" s="1"/>
      <c r="R1977" s="1"/>
      <c r="S1977" s="1"/>
      <c r="T1977" s="1"/>
      <c r="U1977" s="1"/>
      <c r="V1977" s="1"/>
      <c r="W1977" s="1">
        <v>10266</v>
      </c>
      <c r="X1977" s="1">
        <v>10266</v>
      </c>
      <c r="Y1977" s="1" t="s">
        <v>2193</v>
      </c>
      <c r="Z1977" s="1" t="s">
        <v>2193</v>
      </c>
      <c r="AA1977" s="1" t="s">
        <v>2193</v>
      </c>
      <c r="AB1977" s="1" t="s">
        <v>2193</v>
      </c>
      <c r="AD1977" s="12" t="s">
        <v>52</v>
      </c>
      <c r="AE1977" s="39" t="str">
        <f>BA1977</f>
        <v>8431</v>
      </c>
      <c r="AF1977" s="12" t="s">
        <v>2185</v>
      </c>
      <c r="AN1977" s="32" t="s">
        <v>1192</v>
      </c>
      <c r="AR1977" s="34">
        <v>1</v>
      </c>
      <c r="AS1977" s="34">
        <v>1</v>
      </c>
      <c r="AU1977" s="12" t="s">
        <v>1936</v>
      </c>
      <c r="AW1977" s="39">
        <v>6</v>
      </c>
      <c r="AX1977" s="12">
        <f>VLOOKUP(AW1977,색인!$N$14:$O$19,2,FALSE)</f>
        <v>4</v>
      </c>
      <c r="AY1977" s="12" t="str">
        <f>"T"&amp;O1977&amp;"_"&amp;AX1977&amp;"옵션_"&amp;VLOOKUP(E1977,색인!$J$25:$K$29,2,FALSE)</f>
        <v>T8_4옵션_장신구</v>
      </c>
      <c r="AZ1977" s="12">
        <f>VLOOKUP(G1977,색인!$J$32:$K$45,2,FALSE)</f>
        <v>2</v>
      </c>
      <c r="BA1977" s="12" t="str">
        <f>_xlfn.IFNA(VLOOKUP(AY1977,표1[[검색용]:[OptionGroupIndex'[']22]],EquipItemTable!AZ1977,FALSE),"옵션고정안함")</f>
        <v>8431</v>
      </c>
    </row>
    <row r="1978" spans="1:53" ht="12" x14ac:dyDescent="0.2">
      <c r="A1978" s="10" t="s">
        <v>2026</v>
      </c>
      <c r="B1978" s="39">
        <v>805008</v>
      </c>
      <c r="C1978" s="42" t="s">
        <v>3567</v>
      </c>
      <c r="D1978" s="86" t="s">
        <v>2953</v>
      </c>
      <c r="E1978" s="86" t="s">
        <v>0</v>
      </c>
      <c r="F1978" s="32" t="s">
        <v>927</v>
      </c>
      <c r="G1978" s="32" t="s">
        <v>1415</v>
      </c>
      <c r="O1978" s="32">
        <v>8</v>
      </c>
      <c r="P1978" s="32">
        <v>81</v>
      </c>
      <c r="Q1978" s="1"/>
      <c r="R1978" s="1"/>
      <c r="S1978" s="1"/>
      <c r="T1978" s="1"/>
      <c r="U1978" s="1"/>
      <c r="V1978" s="1"/>
      <c r="W1978" s="1">
        <v>10266</v>
      </c>
      <c r="X1978" s="1">
        <v>10266</v>
      </c>
      <c r="Y1978" s="1" t="s">
        <v>2193</v>
      </c>
      <c r="Z1978" s="1" t="s">
        <v>2193</v>
      </c>
      <c r="AA1978" s="1" t="s">
        <v>2193</v>
      </c>
      <c r="AB1978" s="1" t="s">
        <v>2193</v>
      </c>
      <c r="AD1978" s="12" t="s">
        <v>52</v>
      </c>
      <c r="AE1978" s="39" t="str">
        <f>BA1978</f>
        <v>8431</v>
      </c>
      <c r="AF1978" s="12" t="s">
        <v>2185</v>
      </c>
      <c r="AN1978" s="32" t="s">
        <v>369</v>
      </c>
      <c r="AR1978" s="34">
        <v>1</v>
      </c>
      <c r="AS1978" s="34">
        <v>1</v>
      </c>
      <c r="AU1978" s="12" t="s">
        <v>1936</v>
      </c>
      <c r="AW1978" s="39">
        <v>6</v>
      </c>
      <c r="AX1978" s="12">
        <f>VLOOKUP(AW1978,색인!$N$14:$O$19,2,FALSE)</f>
        <v>4</v>
      </c>
      <c r="AY1978" s="12" t="str">
        <f>"T"&amp;O1978&amp;"_"&amp;AX1978&amp;"옵션_"&amp;VLOOKUP(E1978,색인!$J$25:$K$29,2,FALSE)</f>
        <v>T8_4옵션_장신구</v>
      </c>
      <c r="AZ1978" s="12">
        <f>VLOOKUP(G1978,색인!$J$32:$K$45,2,FALSE)</f>
        <v>2</v>
      </c>
      <c r="BA1978" s="12" t="str">
        <f>_xlfn.IFNA(VLOOKUP(AY1978,표1[[검색용]:[OptionGroupIndex'[']22]],EquipItemTable!AZ1978,FALSE),"옵션고정안함")</f>
        <v>8431</v>
      </c>
    </row>
    <row r="1979" spans="1:53" ht="12" x14ac:dyDescent="0.2">
      <c r="A1979" s="10" t="s">
        <v>2027</v>
      </c>
      <c r="B1979" s="39">
        <v>805009</v>
      </c>
      <c r="C1979" s="42" t="s">
        <v>3568</v>
      </c>
      <c r="D1979" s="86" t="s">
        <v>2953</v>
      </c>
      <c r="E1979" s="86" t="s">
        <v>0</v>
      </c>
      <c r="F1979" s="32" t="s">
        <v>927</v>
      </c>
      <c r="G1979" s="32" t="s">
        <v>1415</v>
      </c>
      <c r="O1979" s="32">
        <v>8</v>
      </c>
      <c r="P1979" s="32">
        <v>81</v>
      </c>
      <c r="Q1979" s="1"/>
      <c r="R1979" s="1"/>
      <c r="S1979" s="1"/>
      <c r="T1979" s="1"/>
      <c r="U1979" s="1"/>
      <c r="V1979" s="1"/>
      <c r="W1979" s="1">
        <v>10266</v>
      </c>
      <c r="X1979" s="1">
        <v>10266</v>
      </c>
      <c r="Y1979" s="1" t="s">
        <v>2193</v>
      </c>
      <c r="Z1979" s="1" t="s">
        <v>2193</v>
      </c>
      <c r="AA1979" s="1" t="s">
        <v>2193</v>
      </c>
      <c r="AB1979" s="1" t="s">
        <v>2193</v>
      </c>
      <c r="AD1979" s="12" t="s">
        <v>52</v>
      </c>
      <c r="AE1979" s="39" t="str">
        <f>BA1979</f>
        <v>8431</v>
      </c>
      <c r="AF1979" s="12" t="s">
        <v>2185</v>
      </c>
      <c r="AN1979" s="32" t="s">
        <v>1194</v>
      </c>
      <c r="AR1979" s="34">
        <v>1</v>
      </c>
      <c r="AS1979" s="34">
        <v>1</v>
      </c>
      <c r="AU1979" s="12" t="s">
        <v>1936</v>
      </c>
      <c r="AW1979" s="39">
        <v>6</v>
      </c>
      <c r="AX1979" s="12">
        <f>VLOOKUP(AW1979,색인!$N$14:$O$19,2,FALSE)</f>
        <v>4</v>
      </c>
      <c r="AY1979" s="12" t="str">
        <f>"T"&amp;O1979&amp;"_"&amp;AX1979&amp;"옵션_"&amp;VLOOKUP(E1979,색인!$J$25:$K$29,2,FALSE)</f>
        <v>T8_4옵션_장신구</v>
      </c>
      <c r="AZ1979" s="12">
        <f>VLOOKUP(G1979,색인!$J$32:$K$45,2,FALSE)</f>
        <v>2</v>
      </c>
      <c r="BA1979" s="12" t="str">
        <f>_xlfn.IFNA(VLOOKUP(AY1979,표1[[검색용]:[OptionGroupIndex'[']22]],EquipItemTable!AZ1979,FALSE),"옵션고정안함")</f>
        <v>8431</v>
      </c>
    </row>
    <row r="1980" spans="1:53" ht="12" x14ac:dyDescent="0.2">
      <c r="A1980" s="10" t="s">
        <v>2028</v>
      </c>
      <c r="B1980" s="39">
        <v>805010</v>
      </c>
      <c r="C1980" s="42" t="s">
        <v>4208</v>
      </c>
      <c r="D1980" s="86" t="s">
        <v>2953</v>
      </c>
      <c r="E1980" s="86" t="s">
        <v>0</v>
      </c>
      <c r="F1980" s="32" t="s">
        <v>927</v>
      </c>
      <c r="G1980" s="32" t="s">
        <v>1415</v>
      </c>
      <c r="O1980" s="32">
        <v>8</v>
      </c>
      <c r="P1980" s="32">
        <v>81</v>
      </c>
      <c r="Q1980" s="1"/>
      <c r="R1980" s="1"/>
      <c r="S1980" s="1"/>
      <c r="T1980" s="1"/>
      <c r="U1980" s="1"/>
      <c r="V1980" s="1"/>
      <c r="W1980" s="1">
        <v>10266</v>
      </c>
      <c r="X1980" s="1">
        <v>10266</v>
      </c>
      <c r="Y1980" s="1" t="s">
        <v>2193</v>
      </c>
      <c r="Z1980" s="1" t="s">
        <v>2193</v>
      </c>
      <c r="AA1980" s="1" t="s">
        <v>2193</v>
      </c>
      <c r="AB1980" s="1" t="s">
        <v>2193</v>
      </c>
      <c r="AD1980" s="12" t="s">
        <v>52</v>
      </c>
      <c r="AE1980" s="39" t="s">
        <v>2187</v>
      </c>
      <c r="AF1980" s="12" t="s">
        <v>2185</v>
      </c>
      <c r="AN1980" s="32" t="s">
        <v>1169</v>
      </c>
      <c r="AR1980" s="34">
        <v>1</v>
      </c>
      <c r="AS1980" s="34">
        <v>1</v>
      </c>
      <c r="AU1980" s="12" t="s">
        <v>1936</v>
      </c>
      <c r="AW1980" s="39">
        <v>6</v>
      </c>
      <c r="AX1980" s="12">
        <f>VLOOKUP(AW1980,색인!$N$14:$O$19,2,FALSE)</f>
        <v>4</v>
      </c>
      <c r="AY1980" s="12" t="str">
        <f>"T"&amp;O1980&amp;"_"&amp;AX1980&amp;"옵션_"&amp;VLOOKUP(E1980,색인!$J$25:$K$29,2,FALSE)</f>
        <v>T8_4옵션_장신구</v>
      </c>
      <c r="AZ1980" s="12">
        <f>VLOOKUP(G1980,색인!$J$32:$K$45,2,FALSE)</f>
        <v>2</v>
      </c>
      <c r="BA1980" s="12" t="str">
        <f>_xlfn.IFNA(VLOOKUP(AY1980,표1[[검색용]:[OptionGroupIndex'[']22]],EquipItemTable!AZ1980,FALSE),"옵션고정안함")</f>
        <v>8431</v>
      </c>
    </row>
    <row r="1981" spans="1:53" ht="12" x14ac:dyDescent="0.2">
      <c r="A1981" s="10" t="s">
        <v>2029</v>
      </c>
      <c r="B1981" s="39">
        <v>806001</v>
      </c>
      <c r="C1981" s="42" t="s">
        <v>4209</v>
      </c>
      <c r="D1981" s="86" t="s">
        <v>2953</v>
      </c>
      <c r="E1981" s="86" t="s">
        <v>0</v>
      </c>
      <c r="F1981" s="32" t="s">
        <v>471</v>
      </c>
      <c r="G1981" s="32" t="s">
        <v>1434</v>
      </c>
      <c r="O1981" s="32">
        <v>8</v>
      </c>
      <c r="P1981" s="32">
        <v>81</v>
      </c>
      <c r="Q1981" s="1"/>
      <c r="R1981" s="1"/>
      <c r="S1981" s="1"/>
      <c r="T1981" s="1"/>
      <c r="U1981" s="1"/>
      <c r="V1981" s="1"/>
      <c r="W1981" s="1">
        <v>7803</v>
      </c>
      <c r="X1981" s="1">
        <v>7803</v>
      </c>
      <c r="Y1981" s="1" t="s">
        <v>2193</v>
      </c>
      <c r="Z1981" s="1" t="s">
        <v>2193</v>
      </c>
      <c r="AA1981" s="1" t="s">
        <v>2193</v>
      </c>
      <c r="AB1981" s="1" t="s">
        <v>2193</v>
      </c>
      <c r="AD1981" s="12" t="s">
        <v>52</v>
      </c>
      <c r="AE1981" s="12" t="s">
        <v>2187</v>
      </c>
      <c r="AF1981" s="12" t="s">
        <v>2185</v>
      </c>
      <c r="AN1981" s="12"/>
      <c r="AR1981" s="34">
        <v>1</v>
      </c>
      <c r="AS1981" s="34">
        <v>1</v>
      </c>
      <c r="AU1981" s="12">
        <v>1001</v>
      </c>
      <c r="AW1981" s="39">
        <v>1</v>
      </c>
      <c r="AY1981" s="12"/>
      <c r="AZ1981" s="12"/>
      <c r="BA1981" s="12"/>
    </row>
    <row r="1982" spans="1:53" ht="12" x14ac:dyDescent="0.2">
      <c r="A1982" s="10" t="s">
        <v>2030</v>
      </c>
      <c r="B1982" s="39">
        <v>806002</v>
      </c>
      <c r="C1982" s="42" t="s">
        <v>4210</v>
      </c>
      <c r="D1982" s="86" t="s">
        <v>2953</v>
      </c>
      <c r="E1982" s="86" t="s">
        <v>0</v>
      </c>
      <c r="F1982" s="32" t="s">
        <v>471</v>
      </c>
      <c r="G1982" s="32" t="s">
        <v>1434</v>
      </c>
      <c r="O1982" s="32">
        <v>8</v>
      </c>
      <c r="P1982" s="32">
        <v>81</v>
      </c>
      <c r="Q1982" s="1"/>
      <c r="R1982" s="1"/>
      <c r="S1982" s="1"/>
      <c r="T1982" s="1"/>
      <c r="U1982" s="1"/>
      <c r="V1982" s="1"/>
      <c r="W1982" s="1">
        <v>8416</v>
      </c>
      <c r="X1982" s="1">
        <v>8416</v>
      </c>
      <c r="Y1982" s="1" t="s">
        <v>2193</v>
      </c>
      <c r="Z1982" s="1" t="s">
        <v>2193</v>
      </c>
      <c r="AA1982" s="1" t="s">
        <v>2193</v>
      </c>
      <c r="AB1982" s="1" t="s">
        <v>2193</v>
      </c>
      <c r="AD1982" s="12" t="s">
        <v>52</v>
      </c>
      <c r="AE1982" s="39" t="str">
        <f t="shared" ref="AE1982:AE1985" si="228">BA1982</f>
        <v>8131</v>
      </c>
      <c r="AN1982" s="12"/>
      <c r="AR1982" s="34">
        <v>1</v>
      </c>
      <c r="AS1982" s="34">
        <v>1</v>
      </c>
      <c r="AU1982" s="12" t="s">
        <v>1976</v>
      </c>
      <c r="AW1982" s="39">
        <v>2</v>
      </c>
      <c r="AX1982" s="12">
        <f>VLOOKUP(AW1982,색인!$N$14:$O$19,2,FALSE)</f>
        <v>1</v>
      </c>
      <c r="AY1982" s="39" t="str">
        <f>"T"&amp;O1982&amp;"_"&amp;AX1982&amp;"옵션_"&amp;VLOOKUP(E1982,색인!$J$25:$K$29,2,FALSE)</f>
        <v>T8_1옵션_장신구</v>
      </c>
      <c r="AZ1982" s="39">
        <f>VLOOKUP(G1982,색인!$J$32:$K$45,2,FALSE)</f>
        <v>2</v>
      </c>
      <c r="BA1982" s="39" t="str">
        <f>_xlfn.IFNA(VLOOKUP(AY1982,표1[[검색용]:[OptionGroupIndex'[']22]],EquipItemTable!AZ1982,FALSE),"옵션고정안함")</f>
        <v>8131</v>
      </c>
    </row>
    <row r="1983" spans="1:53" ht="12" x14ac:dyDescent="0.2">
      <c r="A1983" s="10" t="s">
        <v>2031</v>
      </c>
      <c r="B1983" s="39">
        <v>806003</v>
      </c>
      <c r="C1983" s="42" t="s">
        <v>4211</v>
      </c>
      <c r="D1983" s="86" t="s">
        <v>2953</v>
      </c>
      <c r="E1983" s="86" t="s">
        <v>0</v>
      </c>
      <c r="F1983" s="32" t="s">
        <v>471</v>
      </c>
      <c r="G1983" s="32" t="s">
        <v>1434</v>
      </c>
      <c r="O1983" s="32">
        <v>8</v>
      </c>
      <c r="P1983" s="32">
        <v>81</v>
      </c>
      <c r="Q1983" s="1"/>
      <c r="R1983" s="1"/>
      <c r="S1983" s="1"/>
      <c r="T1983" s="1"/>
      <c r="U1983" s="1"/>
      <c r="V1983" s="1"/>
      <c r="W1983" s="1">
        <v>8957</v>
      </c>
      <c r="X1983" s="1">
        <v>8957</v>
      </c>
      <c r="Y1983" s="1" t="s">
        <v>2193</v>
      </c>
      <c r="Z1983" s="1" t="s">
        <v>2193</v>
      </c>
      <c r="AA1983" s="1" t="s">
        <v>2193</v>
      </c>
      <c r="AB1983" s="1" t="s">
        <v>2193</v>
      </c>
      <c r="AD1983" s="12" t="s">
        <v>52</v>
      </c>
      <c r="AE1983" s="39" t="str">
        <f t="shared" si="228"/>
        <v>8231</v>
      </c>
      <c r="AN1983" s="12"/>
      <c r="AR1983" s="34">
        <v>1</v>
      </c>
      <c r="AS1983" s="34">
        <v>1</v>
      </c>
      <c r="AU1983" s="12" t="s">
        <v>1978</v>
      </c>
      <c r="AW1983" s="39">
        <v>3</v>
      </c>
      <c r="AX1983" s="12">
        <f>VLOOKUP(AW1983,색인!$N$14:$O$19,2,FALSE)</f>
        <v>2</v>
      </c>
      <c r="AY1983" s="39" t="str">
        <f>"T"&amp;O1983&amp;"_"&amp;AX1983&amp;"옵션_"&amp;VLOOKUP(E1983,색인!$J$25:$K$29,2,FALSE)</f>
        <v>T8_2옵션_장신구</v>
      </c>
      <c r="AZ1983" s="39">
        <f>VLOOKUP(G1983,색인!$J$32:$K$45,2,FALSE)</f>
        <v>2</v>
      </c>
      <c r="BA1983" s="39" t="str">
        <f>_xlfn.IFNA(VLOOKUP(AY1983,표1[[검색용]:[OptionGroupIndex'[']22]],EquipItemTable!AZ1983,FALSE),"옵션고정안함")</f>
        <v>8231</v>
      </c>
    </row>
    <row r="1984" spans="1:53" ht="12" x14ac:dyDescent="0.2">
      <c r="A1984" s="10" t="s">
        <v>2032</v>
      </c>
      <c r="B1984" s="39">
        <v>806004</v>
      </c>
      <c r="C1984" s="42" t="s">
        <v>4212</v>
      </c>
      <c r="D1984" s="86" t="s">
        <v>2953</v>
      </c>
      <c r="E1984" s="86" t="s">
        <v>0</v>
      </c>
      <c r="F1984" s="32" t="s">
        <v>471</v>
      </c>
      <c r="G1984" s="32" t="s">
        <v>1434</v>
      </c>
      <c r="O1984" s="32">
        <v>8</v>
      </c>
      <c r="P1984" s="32">
        <v>81</v>
      </c>
      <c r="Q1984" s="1"/>
      <c r="R1984" s="1"/>
      <c r="S1984" s="1"/>
      <c r="T1984" s="1"/>
      <c r="U1984" s="1"/>
      <c r="V1984" s="1"/>
      <c r="W1984" s="1">
        <v>9518</v>
      </c>
      <c r="X1984" s="1">
        <v>9518</v>
      </c>
      <c r="Y1984" s="1" t="s">
        <v>2193</v>
      </c>
      <c r="Z1984" s="1" t="s">
        <v>2193</v>
      </c>
      <c r="AA1984" s="1" t="s">
        <v>2193</v>
      </c>
      <c r="AB1984" s="1" t="s">
        <v>2193</v>
      </c>
      <c r="AD1984" s="12" t="s">
        <v>52</v>
      </c>
      <c r="AE1984" s="39" t="str">
        <f t="shared" si="228"/>
        <v>8331</v>
      </c>
      <c r="AN1984" s="12"/>
      <c r="AR1984" s="34">
        <v>1</v>
      </c>
      <c r="AS1984" s="34">
        <v>1</v>
      </c>
      <c r="AU1984" s="12" t="s">
        <v>1980</v>
      </c>
      <c r="AW1984" s="39">
        <v>4</v>
      </c>
      <c r="AX1984" s="12">
        <f>VLOOKUP(AW1984,색인!$N$14:$O$19,2,FALSE)</f>
        <v>3</v>
      </c>
      <c r="AY1984" s="39" t="str">
        <f>"T"&amp;O1984&amp;"_"&amp;AX1984&amp;"옵션_"&amp;VLOOKUP(E1984,색인!$J$25:$K$29,2,FALSE)</f>
        <v>T8_3옵션_장신구</v>
      </c>
      <c r="AZ1984" s="39">
        <f>VLOOKUP(G1984,색인!$J$32:$K$45,2,FALSE)</f>
        <v>2</v>
      </c>
      <c r="BA1984" s="39" t="str">
        <f>_xlfn.IFNA(VLOOKUP(AY1984,표1[[검색용]:[OptionGroupIndex'[']22]],EquipItemTable!AZ1984,FALSE),"옵션고정안함")</f>
        <v>8331</v>
      </c>
    </row>
    <row r="1985" spans="1:53" ht="12" x14ac:dyDescent="0.2">
      <c r="A1985" s="10" t="s">
        <v>2033</v>
      </c>
      <c r="B1985" s="39">
        <v>806005</v>
      </c>
      <c r="C1985" s="42" t="s">
        <v>4213</v>
      </c>
      <c r="D1985" s="86" t="s">
        <v>2953</v>
      </c>
      <c r="E1985" s="86" t="s">
        <v>0</v>
      </c>
      <c r="F1985" s="32" t="s">
        <v>471</v>
      </c>
      <c r="G1985" s="32" t="s">
        <v>1434</v>
      </c>
      <c r="O1985" s="32">
        <v>8</v>
      </c>
      <c r="P1985" s="32">
        <v>81</v>
      </c>
      <c r="Q1985" s="1"/>
      <c r="R1985" s="1"/>
      <c r="S1985" s="1"/>
      <c r="T1985" s="1"/>
      <c r="U1985" s="1"/>
      <c r="V1985" s="1"/>
      <c r="W1985" s="1">
        <v>9986</v>
      </c>
      <c r="X1985" s="1">
        <v>9986</v>
      </c>
      <c r="Y1985" s="1" t="s">
        <v>2193</v>
      </c>
      <c r="Z1985" s="1" t="s">
        <v>2193</v>
      </c>
      <c r="AA1985" s="1" t="s">
        <v>2193</v>
      </c>
      <c r="AB1985" s="1" t="s">
        <v>2193</v>
      </c>
      <c r="AD1985" s="12" t="s">
        <v>52</v>
      </c>
      <c r="AE1985" s="39" t="str">
        <f t="shared" si="228"/>
        <v>8331</v>
      </c>
      <c r="AN1985" s="32">
        <v>104</v>
      </c>
      <c r="AR1985" s="34">
        <v>1</v>
      </c>
      <c r="AS1985" s="34">
        <v>1</v>
      </c>
      <c r="AU1985" s="12" t="s">
        <v>1982</v>
      </c>
      <c r="AW1985" s="39">
        <v>5</v>
      </c>
      <c r="AX1985" s="12">
        <f>VLOOKUP(AW1985,색인!$N$14:$O$19,2,FALSE)</f>
        <v>3</v>
      </c>
      <c r="AY1985" s="39" t="str">
        <f>"T"&amp;O1985&amp;"_"&amp;AX1985&amp;"옵션_"&amp;VLOOKUP(E1985,색인!$J$25:$K$29,2,FALSE)</f>
        <v>T8_3옵션_장신구</v>
      </c>
      <c r="AZ1985" s="39">
        <f>VLOOKUP(G1985,색인!$J$32:$K$45,2,FALSE)</f>
        <v>2</v>
      </c>
      <c r="BA1985" s="39" t="str">
        <f>_xlfn.IFNA(VLOOKUP(AY1985,표1[[검색용]:[OptionGroupIndex'[']22]],EquipItemTable!AZ1985,FALSE),"옵션고정안함")</f>
        <v>8331</v>
      </c>
    </row>
    <row r="1986" spans="1:53" ht="12" x14ac:dyDescent="0.2">
      <c r="A1986" s="10" t="s">
        <v>2034</v>
      </c>
      <c r="B1986" s="39">
        <v>806006</v>
      </c>
      <c r="C1986" s="42" t="s">
        <v>3601</v>
      </c>
      <c r="D1986" s="86" t="s">
        <v>2953</v>
      </c>
      <c r="E1986" s="86" t="s">
        <v>0</v>
      </c>
      <c r="F1986" s="32" t="s">
        <v>471</v>
      </c>
      <c r="G1986" s="32" t="s">
        <v>1434</v>
      </c>
      <c r="O1986" s="32">
        <v>8</v>
      </c>
      <c r="P1986" s="32">
        <v>81</v>
      </c>
      <c r="Q1986" s="1"/>
      <c r="R1986" s="1"/>
      <c r="S1986" s="1"/>
      <c r="T1986" s="1"/>
      <c r="U1986" s="1"/>
      <c r="V1986" s="1"/>
      <c r="W1986" s="1">
        <v>10462</v>
      </c>
      <c r="X1986" s="1">
        <v>10462</v>
      </c>
      <c r="Y1986" s="1" t="s">
        <v>2193</v>
      </c>
      <c r="Z1986" s="1" t="s">
        <v>2193</v>
      </c>
      <c r="AA1986" s="1" t="s">
        <v>2193</v>
      </c>
      <c r="AB1986" s="1" t="s">
        <v>2193</v>
      </c>
      <c r="AD1986" s="12" t="s">
        <v>52</v>
      </c>
      <c r="AE1986" s="39" t="str">
        <f>BA1986</f>
        <v>8431</v>
      </c>
      <c r="AF1986" s="12" t="s">
        <v>2185</v>
      </c>
      <c r="AN1986" s="12">
        <v>1</v>
      </c>
      <c r="AR1986" s="34">
        <v>1</v>
      </c>
      <c r="AS1986" s="34">
        <v>1</v>
      </c>
      <c r="AU1986" s="12" t="s">
        <v>1936</v>
      </c>
      <c r="AW1986" s="39">
        <v>6</v>
      </c>
      <c r="AX1986" s="12">
        <f>VLOOKUP(AW1986,색인!$N$14:$O$19,2,FALSE)</f>
        <v>4</v>
      </c>
      <c r="AY1986" s="12" t="str">
        <f>"T"&amp;O1986&amp;"_"&amp;AX1986&amp;"옵션_"&amp;VLOOKUP(E1986,색인!$J$25:$K$29,2,FALSE)</f>
        <v>T8_4옵션_장신구</v>
      </c>
      <c r="AZ1986" s="12">
        <f>VLOOKUP(G1986,색인!$J$32:$K$45,2,FALSE)</f>
        <v>2</v>
      </c>
      <c r="BA1986" s="12" t="str">
        <f>_xlfn.IFNA(VLOOKUP(AY1986,표1[[검색용]:[OptionGroupIndex'[']22]],EquipItemTable!AZ1986,FALSE),"옵션고정안함")</f>
        <v>8431</v>
      </c>
    </row>
    <row r="1987" spans="1:53" ht="12" x14ac:dyDescent="0.2">
      <c r="A1987" s="10" t="s">
        <v>2035</v>
      </c>
      <c r="B1987" s="39">
        <v>806007</v>
      </c>
      <c r="C1987" s="42" t="s">
        <v>3602</v>
      </c>
      <c r="D1987" s="86" t="s">
        <v>2953</v>
      </c>
      <c r="E1987" s="86" t="s">
        <v>0</v>
      </c>
      <c r="F1987" s="32" t="s">
        <v>471</v>
      </c>
      <c r="G1987" s="32" t="s">
        <v>1434</v>
      </c>
      <c r="O1987" s="32">
        <v>8</v>
      </c>
      <c r="P1987" s="32">
        <v>81</v>
      </c>
      <c r="Q1987" s="1"/>
      <c r="R1987" s="1"/>
      <c r="S1987" s="1"/>
      <c r="T1987" s="1"/>
      <c r="U1987" s="1"/>
      <c r="V1987" s="1"/>
      <c r="W1987" s="1">
        <v>10462</v>
      </c>
      <c r="X1987" s="1">
        <v>10462</v>
      </c>
      <c r="Y1987" s="1" t="s">
        <v>2193</v>
      </c>
      <c r="Z1987" s="1" t="s">
        <v>2193</v>
      </c>
      <c r="AA1987" s="1" t="s">
        <v>2193</v>
      </c>
      <c r="AB1987" s="1" t="s">
        <v>2193</v>
      </c>
      <c r="AD1987" s="12" t="s">
        <v>52</v>
      </c>
      <c r="AE1987" s="39" t="str">
        <f>BA1987</f>
        <v>8431</v>
      </c>
      <c r="AF1987" s="12" t="s">
        <v>2185</v>
      </c>
      <c r="AN1987" s="32" t="s">
        <v>1192</v>
      </c>
      <c r="AR1987" s="34">
        <v>1</v>
      </c>
      <c r="AS1987" s="34">
        <v>1</v>
      </c>
      <c r="AU1987" s="12" t="s">
        <v>1936</v>
      </c>
      <c r="AW1987" s="39">
        <v>6</v>
      </c>
      <c r="AX1987" s="12">
        <f>VLOOKUP(AW1987,색인!$N$14:$O$19,2,FALSE)</f>
        <v>4</v>
      </c>
      <c r="AY1987" s="12" t="str">
        <f>"T"&amp;O1987&amp;"_"&amp;AX1987&amp;"옵션_"&amp;VLOOKUP(E1987,색인!$J$25:$K$29,2,FALSE)</f>
        <v>T8_4옵션_장신구</v>
      </c>
      <c r="AZ1987" s="12">
        <f>VLOOKUP(G1987,색인!$J$32:$K$45,2,FALSE)</f>
        <v>2</v>
      </c>
      <c r="BA1987" s="12" t="str">
        <f>_xlfn.IFNA(VLOOKUP(AY1987,표1[[검색용]:[OptionGroupIndex'[']22]],EquipItemTable!AZ1987,FALSE),"옵션고정안함")</f>
        <v>8431</v>
      </c>
    </row>
    <row r="1988" spans="1:53" ht="12" x14ac:dyDescent="0.2">
      <c r="A1988" s="10" t="s">
        <v>2036</v>
      </c>
      <c r="B1988" s="39">
        <v>806008</v>
      </c>
      <c r="C1988" s="42" t="s">
        <v>3603</v>
      </c>
      <c r="D1988" s="86" t="s">
        <v>2953</v>
      </c>
      <c r="E1988" s="86" t="s">
        <v>0</v>
      </c>
      <c r="F1988" s="32" t="s">
        <v>471</v>
      </c>
      <c r="G1988" s="32" t="s">
        <v>1434</v>
      </c>
      <c r="O1988" s="32">
        <v>8</v>
      </c>
      <c r="P1988" s="32">
        <v>81</v>
      </c>
      <c r="Q1988" s="1"/>
      <c r="R1988" s="1"/>
      <c r="S1988" s="1"/>
      <c r="T1988" s="1"/>
      <c r="U1988" s="1"/>
      <c r="V1988" s="1"/>
      <c r="W1988" s="1">
        <v>10462</v>
      </c>
      <c r="X1988" s="1">
        <v>10462</v>
      </c>
      <c r="Y1988" s="1" t="s">
        <v>2193</v>
      </c>
      <c r="Z1988" s="1" t="s">
        <v>2193</v>
      </c>
      <c r="AA1988" s="1" t="s">
        <v>2193</v>
      </c>
      <c r="AB1988" s="1" t="s">
        <v>2193</v>
      </c>
      <c r="AD1988" s="12" t="s">
        <v>52</v>
      </c>
      <c r="AE1988" s="39" t="str">
        <f>BA1988</f>
        <v>8431</v>
      </c>
      <c r="AF1988" s="12" t="s">
        <v>2185</v>
      </c>
      <c r="AN1988" s="32" t="s">
        <v>369</v>
      </c>
      <c r="AR1988" s="34">
        <v>1</v>
      </c>
      <c r="AS1988" s="34">
        <v>1</v>
      </c>
      <c r="AU1988" s="12" t="s">
        <v>1936</v>
      </c>
      <c r="AW1988" s="39">
        <v>6</v>
      </c>
      <c r="AX1988" s="12">
        <f>VLOOKUP(AW1988,색인!$N$14:$O$19,2,FALSE)</f>
        <v>4</v>
      </c>
      <c r="AY1988" s="12" t="str">
        <f>"T"&amp;O1988&amp;"_"&amp;AX1988&amp;"옵션_"&amp;VLOOKUP(E1988,색인!$J$25:$K$29,2,FALSE)</f>
        <v>T8_4옵션_장신구</v>
      </c>
      <c r="AZ1988" s="12">
        <f>VLOOKUP(G1988,색인!$J$32:$K$45,2,FALSE)</f>
        <v>2</v>
      </c>
      <c r="BA1988" s="12" t="str">
        <f>_xlfn.IFNA(VLOOKUP(AY1988,표1[[검색용]:[OptionGroupIndex'[']22]],EquipItemTable!AZ1988,FALSE),"옵션고정안함")</f>
        <v>8431</v>
      </c>
    </row>
    <row r="1989" spans="1:53" ht="12" x14ac:dyDescent="0.2">
      <c r="A1989" s="10" t="s">
        <v>2037</v>
      </c>
      <c r="B1989" s="39">
        <v>806009</v>
      </c>
      <c r="C1989" s="42" t="s">
        <v>3604</v>
      </c>
      <c r="D1989" s="86" t="s">
        <v>2953</v>
      </c>
      <c r="E1989" s="86" t="s">
        <v>0</v>
      </c>
      <c r="F1989" s="32" t="s">
        <v>471</v>
      </c>
      <c r="G1989" s="32" t="s">
        <v>1434</v>
      </c>
      <c r="O1989" s="32">
        <v>8</v>
      </c>
      <c r="P1989" s="32">
        <v>81</v>
      </c>
      <c r="Q1989" s="1"/>
      <c r="R1989" s="1"/>
      <c r="S1989" s="1"/>
      <c r="T1989" s="1"/>
      <c r="U1989" s="1"/>
      <c r="V1989" s="1"/>
      <c r="W1989" s="1">
        <v>10462</v>
      </c>
      <c r="X1989" s="1">
        <v>10462</v>
      </c>
      <c r="Y1989" s="1" t="s">
        <v>2193</v>
      </c>
      <c r="Z1989" s="1" t="s">
        <v>2193</v>
      </c>
      <c r="AA1989" s="1" t="s">
        <v>2193</v>
      </c>
      <c r="AB1989" s="1" t="s">
        <v>2193</v>
      </c>
      <c r="AD1989" s="12" t="s">
        <v>52</v>
      </c>
      <c r="AE1989" s="39" t="str">
        <f>BA1989</f>
        <v>8431</v>
      </c>
      <c r="AF1989" s="12" t="s">
        <v>2185</v>
      </c>
      <c r="AN1989" s="32" t="s">
        <v>1194</v>
      </c>
      <c r="AR1989" s="34">
        <v>1</v>
      </c>
      <c r="AS1989" s="34">
        <v>1</v>
      </c>
      <c r="AU1989" s="12" t="s">
        <v>1936</v>
      </c>
      <c r="AW1989" s="39">
        <v>6</v>
      </c>
      <c r="AX1989" s="12">
        <f>VLOOKUP(AW1989,색인!$N$14:$O$19,2,FALSE)</f>
        <v>4</v>
      </c>
      <c r="AY1989" s="12" t="str">
        <f>"T"&amp;O1989&amp;"_"&amp;AX1989&amp;"옵션_"&amp;VLOOKUP(E1989,색인!$J$25:$K$29,2,FALSE)</f>
        <v>T8_4옵션_장신구</v>
      </c>
      <c r="AZ1989" s="12">
        <f>VLOOKUP(G1989,색인!$J$32:$K$45,2,FALSE)</f>
        <v>2</v>
      </c>
      <c r="BA1989" s="12" t="str">
        <f>_xlfn.IFNA(VLOOKUP(AY1989,표1[[검색용]:[OptionGroupIndex'[']22]],EquipItemTable!AZ1989,FALSE),"옵션고정안함")</f>
        <v>8431</v>
      </c>
    </row>
    <row r="1990" spans="1:53" ht="12" x14ac:dyDescent="0.2">
      <c r="A1990" s="10" t="s">
        <v>2038</v>
      </c>
      <c r="B1990" s="39">
        <v>806010</v>
      </c>
      <c r="C1990" s="42" t="s">
        <v>4214</v>
      </c>
      <c r="D1990" s="86" t="s">
        <v>2953</v>
      </c>
      <c r="E1990" s="86" t="s">
        <v>0</v>
      </c>
      <c r="F1990" s="32" t="s">
        <v>471</v>
      </c>
      <c r="G1990" s="32" t="s">
        <v>1434</v>
      </c>
      <c r="O1990" s="32">
        <v>8</v>
      </c>
      <c r="P1990" s="32">
        <v>81</v>
      </c>
      <c r="Q1990" s="1"/>
      <c r="R1990" s="1"/>
      <c r="S1990" s="1"/>
      <c r="T1990" s="1"/>
      <c r="U1990" s="1"/>
      <c r="V1990" s="1"/>
      <c r="W1990" s="1">
        <v>10462</v>
      </c>
      <c r="X1990" s="1">
        <v>10462</v>
      </c>
      <c r="Y1990" s="1" t="s">
        <v>2193</v>
      </c>
      <c r="Z1990" s="1" t="s">
        <v>2193</v>
      </c>
      <c r="AA1990" s="1" t="s">
        <v>2193</v>
      </c>
      <c r="AB1990" s="1" t="s">
        <v>2193</v>
      </c>
      <c r="AD1990" s="12" t="s">
        <v>52</v>
      </c>
      <c r="AE1990" s="39" t="s">
        <v>2187</v>
      </c>
      <c r="AF1990" s="12" t="s">
        <v>2185</v>
      </c>
      <c r="AN1990" s="32" t="s">
        <v>1169</v>
      </c>
      <c r="AR1990" s="34">
        <v>1</v>
      </c>
      <c r="AS1990" s="34">
        <v>1</v>
      </c>
      <c r="AU1990" s="12" t="s">
        <v>1936</v>
      </c>
      <c r="AW1990" s="39">
        <v>6</v>
      </c>
      <c r="AX1990" s="12">
        <f>VLOOKUP(AW1990,색인!$N$14:$O$19,2,FALSE)</f>
        <v>4</v>
      </c>
      <c r="AY1990" s="12" t="str">
        <f>"T"&amp;O1990&amp;"_"&amp;AX1990&amp;"옵션_"&amp;VLOOKUP(E1990,색인!$J$25:$K$29,2,FALSE)</f>
        <v>T8_4옵션_장신구</v>
      </c>
      <c r="AZ1990" s="12">
        <f>VLOOKUP(G1990,색인!$J$32:$K$45,2,FALSE)</f>
        <v>2</v>
      </c>
      <c r="BA1990" s="12" t="str">
        <f>_xlfn.IFNA(VLOOKUP(AY1990,표1[[검색용]:[OptionGroupIndex'[']22]],EquipItemTable!AZ1990,FALSE),"옵션고정안함")</f>
        <v>8431</v>
      </c>
    </row>
    <row r="1991" spans="1:53" ht="12" x14ac:dyDescent="0.2">
      <c r="A1991" s="10" t="s">
        <v>2039</v>
      </c>
      <c r="B1991" s="39">
        <v>807001</v>
      </c>
      <c r="C1991" s="42" t="s">
        <v>4215</v>
      </c>
      <c r="D1991" s="86" t="s">
        <v>2953</v>
      </c>
      <c r="E1991" s="86" t="s">
        <v>1</v>
      </c>
      <c r="F1991" s="32" t="s">
        <v>480</v>
      </c>
      <c r="G1991" s="32" t="s">
        <v>1453</v>
      </c>
      <c r="O1991" s="32">
        <v>8</v>
      </c>
      <c r="P1991" s="32">
        <v>81</v>
      </c>
      <c r="Q1991" s="1"/>
      <c r="R1991" s="1"/>
      <c r="S1991" s="1"/>
      <c r="T1991" s="1"/>
      <c r="U1991" s="1"/>
      <c r="V1991" s="1"/>
      <c r="W1991" s="1" t="s">
        <v>2193</v>
      </c>
      <c r="X1991" s="1" t="s">
        <v>2193</v>
      </c>
      <c r="Y1991" s="1" t="s">
        <v>2193</v>
      </c>
      <c r="Z1991" s="1" t="s">
        <v>2193</v>
      </c>
      <c r="AA1991" s="1">
        <v>3975</v>
      </c>
      <c r="AB1991" s="1" t="s">
        <v>2193</v>
      </c>
      <c r="AD1991" s="12" t="s">
        <v>52</v>
      </c>
      <c r="AE1991" s="12" t="s">
        <v>2187</v>
      </c>
      <c r="AF1991" s="12" t="s">
        <v>2185</v>
      </c>
      <c r="AN1991" s="12"/>
      <c r="AR1991" s="34">
        <v>1</v>
      </c>
      <c r="AS1991" s="34">
        <v>1</v>
      </c>
      <c r="AU1991" s="12">
        <v>1001</v>
      </c>
      <c r="AW1991" s="39">
        <v>1</v>
      </c>
      <c r="AY1991" s="12"/>
      <c r="AZ1991" s="12"/>
      <c r="BA1991" s="12"/>
    </row>
    <row r="1992" spans="1:53" ht="12" x14ac:dyDescent="0.2">
      <c r="A1992" s="10" t="s">
        <v>2040</v>
      </c>
      <c r="B1992" s="39">
        <v>807002</v>
      </c>
      <c r="C1992" s="42" t="s">
        <v>4216</v>
      </c>
      <c r="D1992" s="86" t="s">
        <v>2953</v>
      </c>
      <c r="E1992" s="86" t="s">
        <v>1</v>
      </c>
      <c r="F1992" s="32" t="s">
        <v>480</v>
      </c>
      <c r="G1992" s="32" t="s">
        <v>1453</v>
      </c>
      <c r="O1992" s="32">
        <v>8</v>
      </c>
      <c r="P1992" s="32">
        <v>81</v>
      </c>
      <c r="Q1992" s="1"/>
      <c r="R1992" s="1"/>
      <c r="S1992" s="1"/>
      <c r="T1992" s="1"/>
      <c r="U1992" s="1"/>
      <c r="V1992" s="1"/>
      <c r="W1992" s="1" t="s">
        <v>2193</v>
      </c>
      <c r="X1992" s="1" t="s">
        <v>2193</v>
      </c>
      <c r="Y1992" s="1" t="s">
        <v>2193</v>
      </c>
      <c r="Z1992" s="1" t="s">
        <v>2193</v>
      </c>
      <c r="AA1992" s="1">
        <v>4288</v>
      </c>
      <c r="AB1992" s="1" t="s">
        <v>2193</v>
      </c>
      <c r="AD1992" s="12" t="s">
        <v>52</v>
      </c>
      <c r="AE1992" s="39" t="str">
        <f t="shared" ref="AE1992:AE1995" si="229">BA1992</f>
        <v>8111,8112</v>
      </c>
      <c r="AN1992" s="12"/>
      <c r="AR1992" s="34">
        <v>1</v>
      </c>
      <c r="AS1992" s="34">
        <v>1</v>
      </c>
      <c r="AU1992" s="12" t="s">
        <v>1976</v>
      </c>
      <c r="AW1992" s="39">
        <v>2</v>
      </c>
      <c r="AX1992" s="12">
        <f>VLOOKUP(AW1992,색인!$N$14:$O$19,2,FALSE)</f>
        <v>1</v>
      </c>
      <c r="AY1992" s="39" t="str">
        <f>"T"&amp;O1992&amp;"_"&amp;AX1992&amp;"옵션_"&amp;VLOOKUP(E1992,색인!$J$25:$K$29,2,FALSE)</f>
        <v>T8_1옵션_방어구</v>
      </c>
      <c r="AZ1992" s="39">
        <f>VLOOKUP(G1992,색인!$J$32:$K$45,2,FALSE)</f>
        <v>4</v>
      </c>
      <c r="BA1992" s="39" t="str">
        <f>_xlfn.IFNA(VLOOKUP(AY1992,표1[[검색용]:[OptionGroupIndex'[']22]],EquipItemTable!AZ1992,FALSE),"옵션고정안함")</f>
        <v>8111,8112</v>
      </c>
    </row>
    <row r="1993" spans="1:53" ht="12" x14ac:dyDescent="0.2">
      <c r="A1993" s="10" t="s">
        <v>2041</v>
      </c>
      <c r="B1993" s="39">
        <v>807003</v>
      </c>
      <c r="C1993" s="42" t="s">
        <v>4217</v>
      </c>
      <c r="D1993" s="86" t="s">
        <v>2953</v>
      </c>
      <c r="E1993" s="86" t="s">
        <v>1</v>
      </c>
      <c r="F1993" s="32" t="s">
        <v>480</v>
      </c>
      <c r="G1993" s="32" t="s">
        <v>1453</v>
      </c>
      <c r="O1993" s="32">
        <v>8</v>
      </c>
      <c r="P1993" s="32">
        <v>81</v>
      </c>
      <c r="Q1993" s="1"/>
      <c r="R1993" s="1"/>
      <c r="S1993" s="1"/>
      <c r="T1993" s="1"/>
      <c r="U1993" s="1"/>
      <c r="V1993" s="1"/>
      <c r="W1993" s="1" t="s">
        <v>2193</v>
      </c>
      <c r="X1993" s="1" t="s">
        <v>2193</v>
      </c>
      <c r="Y1993" s="1" t="s">
        <v>2193</v>
      </c>
      <c r="Z1993" s="1" t="s">
        <v>2193</v>
      </c>
      <c r="AA1993" s="1">
        <v>4563</v>
      </c>
      <c r="AB1993" s="1" t="s">
        <v>2193</v>
      </c>
      <c r="AD1993" s="12" t="s">
        <v>52</v>
      </c>
      <c r="AE1993" s="39" t="str">
        <f t="shared" si="229"/>
        <v>8211,8212</v>
      </c>
      <c r="AN1993" s="12"/>
      <c r="AR1993" s="34">
        <v>1</v>
      </c>
      <c r="AS1993" s="34">
        <v>1</v>
      </c>
      <c r="AU1993" s="12" t="s">
        <v>1978</v>
      </c>
      <c r="AW1993" s="39">
        <v>3</v>
      </c>
      <c r="AX1993" s="12">
        <f>VLOOKUP(AW1993,색인!$N$14:$O$19,2,FALSE)</f>
        <v>2</v>
      </c>
      <c r="AY1993" s="39" t="str">
        <f>"T"&amp;O1993&amp;"_"&amp;AX1993&amp;"옵션_"&amp;VLOOKUP(E1993,색인!$J$25:$K$29,2,FALSE)</f>
        <v>T8_2옵션_방어구</v>
      </c>
      <c r="AZ1993" s="39">
        <f>VLOOKUP(G1993,색인!$J$32:$K$45,2,FALSE)</f>
        <v>4</v>
      </c>
      <c r="BA1993" s="39" t="str">
        <f>_xlfn.IFNA(VLOOKUP(AY1993,표1[[검색용]:[OptionGroupIndex'[']22]],EquipItemTable!AZ1993,FALSE),"옵션고정안함")</f>
        <v>8211,8212</v>
      </c>
    </row>
    <row r="1994" spans="1:53" ht="12" x14ac:dyDescent="0.2">
      <c r="A1994" s="10" t="s">
        <v>2042</v>
      </c>
      <c r="B1994" s="39">
        <v>807004</v>
      </c>
      <c r="C1994" s="42" t="s">
        <v>4218</v>
      </c>
      <c r="D1994" s="86" t="s">
        <v>2953</v>
      </c>
      <c r="E1994" s="86" t="s">
        <v>1</v>
      </c>
      <c r="F1994" s="32" t="s">
        <v>480</v>
      </c>
      <c r="G1994" s="32" t="s">
        <v>1453</v>
      </c>
      <c r="O1994" s="32">
        <v>8</v>
      </c>
      <c r="P1994" s="32">
        <v>81</v>
      </c>
      <c r="Q1994" s="1"/>
      <c r="R1994" s="1"/>
      <c r="S1994" s="1"/>
      <c r="T1994" s="1"/>
      <c r="U1994" s="1"/>
      <c r="V1994" s="1"/>
      <c r="W1994" s="1" t="s">
        <v>2193</v>
      </c>
      <c r="X1994" s="1" t="s">
        <v>2193</v>
      </c>
      <c r="Y1994" s="1" t="s">
        <v>2193</v>
      </c>
      <c r="Z1994" s="1" t="s">
        <v>2193</v>
      </c>
      <c r="AA1994" s="1">
        <v>4850</v>
      </c>
      <c r="AB1994" s="1" t="s">
        <v>2193</v>
      </c>
      <c r="AD1994" s="12" t="s">
        <v>52</v>
      </c>
      <c r="AE1994" s="39" t="str">
        <f t="shared" si="229"/>
        <v>8311,8312</v>
      </c>
      <c r="AN1994" s="12"/>
      <c r="AR1994" s="34">
        <v>1</v>
      </c>
      <c r="AS1994" s="34">
        <v>1</v>
      </c>
      <c r="AU1994" s="12" t="s">
        <v>1980</v>
      </c>
      <c r="AW1994" s="39">
        <v>4</v>
      </c>
      <c r="AX1994" s="12">
        <f>VLOOKUP(AW1994,색인!$N$14:$O$19,2,FALSE)</f>
        <v>3</v>
      </c>
      <c r="AY1994" s="39" t="str">
        <f>"T"&amp;O1994&amp;"_"&amp;AX1994&amp;"옵션_"&amp;VLOOKUP(E1994,색인!$J$25:$K$29,2,FALSE)</f>
        <v>T8_3옵션_방어구</v>
      </c>
      <c r="AZ1994" s="39">
        <f>VLOOKUP(G1994,색인!$J$32:$K$45,2,FALSE)</f>
        <v>4</v>
      </c>
      <c r="BA1994" s="39" t="str">
        <f>_xlfn.IFNA(VLOOKUP(AY1994,표1[[검색용]:[OptionGroupIndex'[']22]],EquipItemTable!AZ1994,FALSE),"옵션고정안함")</f>
        <v>8311,8312</v>
      </c>
    </row>
    <row r="1995" spans="1:53" ht="12" x14ac:dyDescent="0.2">
      <c r="A1995" s="10" t="s">
        <v>2043</v>
      </c>
      <c r="B1995" s="39">
        <v>807005</v>
      </c>
      <c r="C1995" s="42" t="s">
        <v>4219</v>
      </c>
      <c r="D1995" s="86" t="s">
        <v>2953</v>
      </c>
      <c r="E1995" s="86" t="s">
        <v>1</v>
      </c>
      <c r="F1995" s="32" t="s">
        <v>480</v>
      </c>
      <c r="G1995" s="32" t="s">
        <v>1453</v>
      </c>
      <c r="O1995" s="32">
        <v>8</v>
      </c>
      <c r="P1995" s="32">
        <v>81</v>
      </c>
      <c r="Q1995" s="1"/>
      <c r="R1995" s="1"/>
      <c r="S1995" s="1"/>
      <c r="T1995" s="1"/>
      <c r="U1995" s="1"/>
      <c r="V1995" s="1"/>
      <c r="W1995" s="1" t="s">
        <v>2193</v>
      </c>
      <c r="X1995" s="1" t="s">
        <v>2193</v>
      </c>
      <c r="Y1995" s="1" t="s">
        <v>2193</v>
      </c>
      <c r="Z1995" s="1" t="s">
        <v>2193</v>
      </c>
      <c r="AA1995" s="1">
        <v>5089</v>
      </c>
      <c r="AB1995" s="1" t="s">
        <v>2193</v>
      </c>
      <c r="AD1995" s="12" t="s">
        <v>52</v>
      </c>
      <c r="AE1995" s="39" t="str">
        <f t="shared" si="229"/>
        <v>8311,8312</v>
      </c>
      <c r="AN1995" s="32">
        <v>104</v>
      </c>
      <c r="AR1995" s="34">
        <v>1</v>
      </c>
      <c r="AS1995" s="34">
        <v>1</v>
      </c>
      <c r="AU1995" s="12" t="s">
        <v>1982</v>
      </c>
      <c r="AW1995" s="39">
        <v>5</v>
      </c>
      <c r="AX1995" s="12">
        <f>VLOOKUP(AW1995,색인!$N$14:$O$19,2,FALSE)</f>
        <v>3</v>
      </c>
      <c r="AY1995" s="39" t="str">
        <f>"T"&amp;O1995&amp;"_"&amp;AX1995&amp;"옵션_"&amp;VLOOKUP(E1995,색인!$J$25:$K$29,2,FALSE)</f>
        <v>T8_3옵션_방어구</v>
      </c>
      <c r="AZ1995" s="39">
        <f>VLOOKUP(G1995,색인!$J$32:$K$45,2,FALSE)</f>
        <v>4</v>
      </c>
      <c r="BA1995" s="39" t="str">
        <f>_xlfn.IFNA(VLOOKUP(AY1995,표1[[검색용]:[OptionGroupIndex'[']22]],EquipItemTable!AZ1995,FALSE),"옵션고정안함")</f>
        <v>8311,8312</v>
      </c>
    </row>
    <row r="1996" spans="1:53" ht="12" x14ac:dyDescent="0.2">
      <c r="A1996" s="10" t="s">
        <v>2044</v>
      </c>
      <c r="B1996" s="39">
        <v>807006</v>
      </c>
      <c r="C1996" s="42" t="s">
        <v>3639</v>
      </c>
      <c r="D1996" s="86" t="s">
        <v>2953</v>
      </c>
      <c r="E1996" s="86" t="s">
        <v>1</v>
      </c>
      <c r="F1996" s="32" t="s">
        <v>480</v>
      </c>
      <c r="G1996" s="32" t="s">
        <v>1453</v>
      </c>
      <c r="O1996" s="32">
        <v>8</v>
      </c>
      <c r="P1996" s="32">
        <v>81</v>
      </c>
      <c r="Q1996" s="1"/>
      <c r="R1996" s="1"/>
      <c r="S1996" s="1"/>
      <c r="T1996" s="1"/>
      <c r="U1996" s="1"/>
      <c r="V1996" s="1"/>
      <c r="W1996" s="1" t="s">
        <v>2193</v>
      </c>
      <c r="X1996" s="1" t="s">
        <v>2193</v>
      </c>
      <c r="Y1996" s="1" t="s">
        <v>2193</v>
      </c>
      <c r="Z1996" s="1" t="s">
        <v>2193</v>
      </c>
      <c r="AA1996" s="1">
        <v>5329</v>
      </c>
      <c r="AB1996" s="1" t="s">
        <v>2193</v>
      </c>
      <c r="AD1996" s="12" t="s">
        <v>52</v>
      </c>
      <c r="AE1996" s="39" t="str">
        <f>BA1996</f>
        <v>8411,8412</v>
      </c>
      <c r="AF1996" s="12" t="s">
        <v>2185</v>
      </c>
      <c r="AN1996" s="12">
        <v>1</v>
      </c>
      <c r="AR1996" s="34">
        <v>1</v>
      </c>
      <c r="AS1996" s="34">
        <v>1</v>
      </c>
      <c r="AU1996" s="12" t="s">
        <v>1936</v>
      </c>
      <c r="AW1996" s="39">
        <v>6</v>
      </c>
      <c r="AX1996" s="12">
        <f>VLOOKUP(AW1996,색인!$N$14:$O$19,2,FALSE)</f>
        <v>4</v>
      </c>
      <c r="AY1996" s="12" t="str">
        <f>"T"&amp;O1996&amp;"_"&amp;AX1996&amp;"옵션_"&amp;VLOOKUP(E1996,색인!$J$25:$K$29,2,FALSE)</f>
        <v>T8_4옵션_방어구</v>
      </c>
      <c r="AZ1996" s="12">
        <f>VLOOKUP(G1996,색인!$J$32:$K$45,2,FALSE)</f>
        <v>4</v>
      </c>
      <c r="BA1996" s="12" t="str">
        <f>_xlfn.IFNA(VLOOKUP(AY1996,표1[[검색용]:[OptionGroupIndex'[']22]],EquipItemTable!AZ1996,FALSE),"옵션고정안함")</f>
        <v>8411,8412</v>
      </c>
    </row>
    <row r="1997" spans="1:53" ht="12" x14ac:dyDescent="0.2">
      <c r="A1997" s="10" t="s">
        <v>2045</v>
      </c>
      <c r="B1997" s="39">
        <v>807007</v>
      </c>
      <c r="C1997" s="42" t="s">
        <v>3640</v>
      </c>
      <c r="D1997" s="86" t="s">
        <v>2953</v>
      </c>
      <c r="E1997" s="86" t="s">
        <v>1</v>
      </c>
      <c r="F1997" s="32" t="s">
        <v>480</v>
      </c>
      <c r="G1997" s="32" t="s">
        <v>1453</v>
      </c>
      <c r="O1997" s="32">
        <v>8</v>
      </c>
      <c r="P1997" s="32">
        <v>81</v>
      </c>
      <c r="Q1997" s="1"/>
      <c r="R1997" s="1"/>
      <c r="S1997" s="1"/>
      <c r="T1997" s="1"/>
      <c r="U1997" s="1"/>
      <c r="V1997" s="1"/>
      <c r="W1997" s="1" t="s">
        <v>2193</v>
      </c>
      <c r="X1997" s="1" t="s">
        <v>2193</v>
      </c>
      <c r="Y1997" s="1" t="s">
        <v>2193</v>
      </c>
      <c r="Z1997" s="1" t="s">
        <v>2193</v>
      </c>
      <c r="AA1997" s="1">
        <v>5329</v>
      </c>
      <c r="AB1997" s="1" t="s">
        <v>2193</v>
      </c>
      <c r="AD1997" s="12" t="s">
        <v>52</v>
      </c>
      <c r="AE1997" s="39" t="str">
        <f>BA1997</f>
        <v>8411,8412</v>
      </c>
      <c r="AF1997" s="12" t="s">
        <v>2185</v>
      </c>
      <c r="AN1997" s="32" t="s">
        <v>1192</v>
      </c>
      <c r="AR1997" s="34">
        <v>1</v>
      </c>
      <c r="AS1997" s="34">
        <v>1</v>
      </c>
      <c r="AU1997" s="12" t="s">
        <v>1936</v>
      </c>
      <c r="AW1997" s="39">
        <v>6</v>
      </c>
      <c r="AX1997" s="12">
        <f>VLOOKUP(AW1997,색인!$N$14:$O$19,2,FALSE)</f>
        <v>4</v>
      </c>
      <c r="AY1997" s="12" t="str">
        <f>"T"&amp;O1997&amp;"_"&amp;AX1997&amp;"옵션_"&amp;VLOOKUP(E1997,색인!$J$25:$K$29,2,FALSE)</f>
        <v>T8_4옵션_방어구</v>
      </c>
      <c r="AZ1997" s="12">
        <f>VLOOKUP(G1997,색인!$J$32:$K$45,2,FALSE)</f>
        <v>4</v>
      </c>
      <c r="BA1997" s="12" t="str">
        <f>_xlfn.IFNA(VLOOKUP(AY1997,표1[[검색용]:[OptionGroupIndex'[']22]],EquipItemTable!AZ1997,FALSE),"옵션고정안함")</f>
        <v>8411,8412</v>
      </c>
    </row>
    <row r="1998" spans="1:53" ht="12" x14ac:dyDescent="0.2">
      <c r="A1998" s="10" t="s">
        <v>2046</v>
      </c>
      <c r="B1998" s="39">
        <v>807008</v>
      </c>
      <c r="C1998" s="42" t="s">
        <v>3641</v>
      </c>
      <c r="D1998" s="86" t="s">
        <v>2953</v>
      </c>
      <c r="E1998" s="86" t="s">
        <v>1</v>
      </c>
      <c r="F1998" s="32" t="s">
        <v>480</v>
      </c>
      <c r="G1998" s="32" t="s">
        <v>1453</v>
      </c>
      <c r="O1998" s="32">
        <v>8</v>
      </c>
      <c r="P1998" s="32">
        <v>81</v>
      </c>
      <c r="Q1998" s="1"/>
      <c r="R1998" s="1"/>
      <c r="S1998" s="1"/>
      <c r="T1998" s="1"/>
      <c r="U1998" s="1"/>
      <c r="V1998" s="1"/>
      <c r="W1998" s="1" t="s">
        <v>2193</v>
      </c>
      <c r="X1998" s="1" t="s">
        <v>2193</v>
      </c>
      <c r="Y1998" s="1" t="s">
        <v>2193</v>
      </c>
      <c r="Z1998" s="1" t="s">
        <v>2193</v>
      </c>
      <c r="AA1998" s="1">
        <v>5329</v>
      </c>
      <c r="AB1998" s="1" t="s">
        <v>2193</v>
      </c>
      <c r="AD1998" s="12" t="s">
        <v>52</v>
      </c>
      <c r="AE1998" s="39" t="str">
        <f>BA1998</f>
        <v>8411,8412</v>
      </c>
      <c r="AF1998" s="12" t="s">
        <v>2185</v>
      </c>
      <c r="AN1998" s="32" t="s">
        <v>369</v>
      </c>
      <c r="AR1998" s="34">
        <v>1</v>
      </c>
      <c r="AS1998" s="34">
        <v>1</v>
      </c>
      <c r="AU1998" s="12" t="s">
        <v>1936</v>
      </c>
      <c r="AW1998" s="39">
        <v>6</v>
      </c>
      <c r="AX1998" s="12">
        <f>VLOOKUP(AW1998,색인!$N$14:$O$19,2,FALSE)</f>
        <v>4</v>
      </c>
      <c r="AY1998" s="12" t="str">
        <f>"T"&amp;O1998&amp;"_"&amp;AX1998&amp;"옵션_"&amp;VLOOKUP(E1998,색인!$J$25:$K$29,2,FALSE)</f>
        <v>T8_4옵션_방어구</v>
      </c>
      <c r="AZ1998" s="12">
        <f>VLOOKUP(G1998,색인!$J$32:$K$45,2,FALSE)</f>
        <v>4</v>
      </c>
      <c r="BA1998" s="12" t="str">
        <f>_xlfn.IFNA(VLOOKUP(AY1998,표1[[검색용]:[OptionGroupIndex'[']22]],EquipItemTable!AZ1998,FALSE),"옵션고정안함")</f>
        <v>8411,8412</v>
      </c>
    </row>
    <row r="1999" spans="1:53" ht="12" x14ac:dyDescent="0.2">
      <c r="A1999" s="10" t="s">
        <v>2047</v>
      </c>
      <c r="B1999" s="39">
        <v>807009</v>
      </c>
      <c r="C1999" s="42" t="s">
        <v>3642</v>
      </c>
      <c r="D1999" s="86" t="s">
        <v>2953</v>
      </c>
      <c r="E1999" s="86" t="s">
        <v>1</v>
      </c>
      <c r="F1999" s="32" t="s">
        <v>480</v>
      </c>
      <c r="G1999" s="32" t="s">
        <v>1453</v>
      </c>
      <c r="O1999" s="32">
        <v>8</v>
      </c>
      <c r="P1999" s="32">
        <v>81</v>
      </c>
      <c r="Q1999" s="1"/>
      <c r="R1999" s="1"/>
      <c r="S1999" s="1"/>
      <c r="T1999" s="1"/>
      <c r="U1999" s="1"/>
      <c r="V1999" s="1"/>
      <c r="W1999" s="1" t="s">
        <v>2193</v>
      </c>
      <c r="X1999" s="1" t="s">
        <v>2193</v>
      </c>
      <c r="Y1999" s="1" t="s">
        <v>2193</v>
      </c>
      <c r="Z1999" s="1" t="s">
        <v>2193</v>
      </c>
      <c r="AA1999" s="1">
        <v>5329</v>
      </c>
      <c r="AB1999" s="1" t="s">
        <v>2193</v>
      </c>
      <c r="AD1999" s="12" t="s">
        <v>52</v>
      </c>
      <c r="AE1999" s="39" t="str">
        <f>BA1999</f>
        <v>8411,8412</v>
      </c>
      <c r="AF1999" s="12" t="s">
        <v>2185</v>
      </c>
      <c r="AN1999" s="32" t="s">
        <v>1194</v>
      </c>
      <c r="AR1999" s="34">
        <v>1</v>
      </c>
      <c r="AS1999" s="34">
        <v>1</v>
      </c>
      <c r="AU1999" s="12" t="s">
        <v>1936</v>
      </c>
      <c r="AW1999" s="39">
        <v>6</v>
      </c>
      <c r="AX1999" s="12">
        <f>VLOOKUP(AW1999,색인!$N$14:$O$19,2,FALSE)</f>
        <v>4</v>
      </c>
      <c r="AY1999" s="12" t="str">
        <f>"T"&amp;O1999&amp;"_"&amp;AX1999&amp;"옵션_"&amp;VLOOKUP(E1999,색인!$J$25:$K$29,2,FALSE)</f>
        <v>T8_4옵션_방어구</v>
      </c>
      <c r="AZ1999" s="12">
        <f>VLOOKUP(G1999,색인!$J$32:$K$45,2,FALSE)</f>
        <v>4</v>
      </c>
      <c r="BA1999" s="12" t="str">
        <f>_xlfn.IFNA(VLOOKUP(AY1999,표1[[검색용]:[OptionGroupIndex'[']22]],EquipItemTable!AZ1999,FALSE),"옵션고정안함")</f>
        <v>8411,8412</v>
      </c>
    </row>
    <row r="2000" spans="1:53" ht="12" x14ac:dyDescent="0.2">
      <c r="A2000" s="10" t="s">
        <v>2048</v>
      </c>
      <c r="B2000" s="39">
        <v>807010</v>
      </c>
      <c r="C2000" s="42" t="s">
        <v>4220</v>
      </c>
      <c r="D2000" s="86" t="s">
        <v>2953</v>
      </c>
      <c r="E2000" s="86" t="s">
        <v>1</v>
      </c>
      <c r="F2000" s="32" t="s">
        <v>480</v>
      </c>
      <c r="G2000" s="32" t="s">
        <v>1453</v>
      </c>
      <c r="O2000" s="32">
        <v>8</v>
      </c>
      <c r="P2000" s="32">
        <v>81</v>
      </c>
      <c r="Q2000" s="1"/>
      <c r="R2000" s="1"/>
      <c r="S2000" s="1"/>
      <c r="T2000" s="1"/>
      <c r="U2000" s="1"/>
      <c r="V2000" s="1"/>
      <c r="W2000" s="1" t="s">
        <v>2193</v>
      </c>
      <c r="X2000" s="1" t="s">
        <v>2193</v>
      </c>
      <c r="Y2000" s="1" t="s">
        <v>2193</v>
      </c>
      <c r="Z2000" s="1" t="s">
        <v>2193</v>
      </c>
      <c r="AA2000" s="1">
        <v>5329</v>
      </c>
      <c r="AB2000" s="1" t="s">
        <v>2193</v>
      </c>
      <c r="AD2000" s="12" t="s">
        <v>52</v>
      </c>
      <c r="AE2000" s="39" t="s">
        <v>2187</v>
      </c>
      <c r="AF2000" s="12" t="s">
        <v>2185</v>
      </c>
      <c r="AN2000" s="32" t="s">
        <v>1169</v>
      </c>
      <c r="AR2000" s="34">
        <v>1</v>
      </c>
      <c r="AS2000" s="34">
        <v>1</v>
      </c>
      <c r="AU2000" s="12" t="s">
        <v>1936</v>
      </c>
      <c r="AW2000" s="39">
        <v>6</v>
      </c>
      <c r="AX2000" s="12">
        <f>VLOOKUP(AW2000,색인!$N$14:$O$19,2,FALSE)</f>
        <v>4</v>
      </c>
      <c r="AY2000" s="12" t="str">
        <f>"T"&amp;O2000&amp;"_"&amp;AX2000&amp;"옵션_"&amp;VLOOKUP(E2000,색인!$J$25:$K$29,2,FALSE)</f>
        <v>T8_4옵션_방어구</v>
      </c>
      <c r="AZ2000" s="12">
        <f>VLOOKUP(G2000,색인!$J$32:$K$45,2,FALSE)</f>
        <v>4</v>
      </c>
      <c r="BA2000" s="12" t="str">
        <f>_xlfn.IFNA(VLOOKUP(AY2000,표1[[검색용]:[OptionGroupIndex'[']22]],EquipItemTable!AZ2000,FALSE),"옵션고정안함")</f>
        <v>8411,8412</v>
      </c>
    </row>
    <row r="2001" spans="1:53" ht="12" x14ac:dyDescent="0.2">
      <c r="A2001" s="10" t="s">
        <v>2049</v>
      </c>
      <c r="B2001" s="39">
        <v>808001</v>
      </c>
      <c r="C2001" s="42" t="s">
        <v>4221</v>
      </c>
      <c r="D2001" s="86" t="s">
        <v>2953</v>
      </c>
      <c r="E2001" s="86" t="s">
        <v>1</v>
      </c>
      <c r="F2001" s="32" t="s">
        <v>311</v>
      </c>
      <c r="G2001" s="32" t="s">
        <v>1472</v>
      </c>
      <c r="O2001" s="32">
        <v>8</v>
      </c>
      <c r="P2001" s="32">
        <v>81</v>
      </c>
      <c r="Q2001" s="1"/>
      <c r="R2001" s="1"/>
      <c r="S2001" s="1"/>
      <c r="T2001" s="1"/>
      <c r="U2001" s="1"/>
      <c r="V2001" s="1"/>
      <c r="W2001" s="1" t="s">
        <v>2193</v>
      </c>
      <c r="X2001" s="1" t="s">
        <v>2193</v>
      </c>
      <c r="Y2001" s="1" t="s">
        <v>2193</v>
      </c>
      <c r="Z2001" s="1" t="s">
        <v>2193</v>
      </c>
      <c r="AA2001" s="1">
        <v>2652</v>
      </c>
      <c r="AB2001" s="1" t="s">
        <v>2193</v>
      </c>
      <c r="AD2001" s="12" t="s">
        <v>52</v>
      </c>
      <c r="AE2001" s="12" t="s">
        <v>2187</v>
      </c>
      <c r="AF2001" s="12" t="s">
        <v>2185</v>
      </c>
      <c r="AN2001" s="12"/>
      <c r="AR2001" s="34">
        <v>1</v>
      </c>
      <c r="AS2001" s="34">
        <v>1</v>
      </c>
      <c r="AU2001" s="12">
        <v>1001</v>
      </c>
      <c r="AW2001" s="39">
        <v>1</v>
      </c>
      <c r="AY2001" s="12"/>
      <c r="AZ2001" s="12"/>
      <c r="BA2001" s="12"/>
    </row>
    <row r="2002" spans="1:53" ht="12" x14ac:dyDescent="0.2">
      <c r="A2002" s="10" t="s">
        <v>2050</v>
      </c>
      <c r="B2002" s="39">
        <v>808002</v>
      </c>
      <c r="C2002" s="42" t="s">
        <v>4222</v>
      </c>
      <c r="D2002" s="86" t="s">
        <v>2953</v>
      </c>
      <c r="E2002" s="86" t="s">
        <v>1</v>
      </c>
      <c r="F2002" s="32" t="s">
        <v>311</v>
      </c>
      <c r="G2002" s="32" t="s">
        <v>1472</v>
      </c>
      <c r="O2002" s="32">
        <v>8</v>
      </c>
      <c r="P2002" s="32">
        <v>81</v>
      </c>
      <c r="Q2002" s="1"/>
      <c r="R2002" s="1"/>
      <c r="S2002" s="1"/>
      <c r="T2002" s="1"/>
      <c r="U2002" s="1"/>
      <c r="V2002" s="1"/>
      <c r="W2002" s="1" t="s">
        <v>2193</v>
      </c>
      <c r="X2002" s="1" t="s">
        <v>2193</v>
      </c>
      <c r="Y2002" s="1" t="s">
        <v>2193</v>
      </c>
      <c r="Z2002" s="1" t="s">
        <v>2193</v>
      </c>
      <c r="AA2002" s="1">
        <v>2860</v>
      </c>
      <c r="AB2002" s="1" t="s">
        <v>2193</v>
      </c>
      <c r="AD2002" s="12" t="s">
        <v>52</v>
      </c>
      <c r="AE2002" s="39" t="str">
        <f t="shared" ref="AE2002:AE2005" si="230">BA2002</f>
        <v>8111</v>
      </c>
      <c r="AN2002" s="12"/>
      <c r="AR2002" s="34">
        <v>1</v>
      </c>
      <c r="AS2002" s="34">
        <v>1</v>
      </c>
      <c r="AU2002" s="12" t="s">
        <v>1976</v>
      </c>
      <c r="AW2002" s="39">
        <v>2</v>
      </c>
      <c r="AX2002" s="12">
        <f>VLOOKUP(AW2002,색인!$N$14:$O$19,2,FALSE)</f>
        <v>1</v>
      </c>
      <c r="AY2002" s="39" t="str">
        <f>"T"&amp;O2002&amp;"_"&amp;AX2002&amp;"옵션_"&amp;VLOOKUP(E2002,색인!$J$25:$K$29,2,FALSE)</f>
        <v>T8_1옵션_방어구</v>
      </c>
      <c r="AZ2002" s="39">
        <f>VLOOKUP(G2002,색인!$J$32:$K$45,2,FALSE)</f>
        <v>2</v>
      </c>
      <c r="BA2002" s="39" t="str">
        <f>_xlfn.IFNA(VLOOKUP(AY2002,표1[[검색용]:[OptionGroupIndex'[']22]],EquipItemTable!AZ2002,FALSE),"옵션고정안함")</f>
        <v>8111</v>
      </c>
    </row>
    <row r="2003" spans="1:53" ht="12" x14ac:dyDescent="0.2">
      <c r="A2003" s="10" t="s">
        <v>2051</v>
      </c>
      <c r="B2003" s="39">
        <v>808003</v>
      </c>
      <c r="C2003" s="42" t="s">
        <v>4223</v>
      </c>
      <c r="D2003" s="86" t="s">
        <v>2953</v>
      </c>
      <c r="E2003" s="86" t="s">
        <v>1</v>
      </c>
      <c r="F2003" s="32" t="s">
        <v>311</v>
      </c>
      <c r="G2003" s="32" t="s">
        <v>1472</v>
      </c>
      <c r="O2003" s="32">
        <v>8</v>
      </c>
      <c r="P2003" s="32">
        <v>81</v>
      </c>
      <c r="Q2003" s="1"/>
      <c r="R2003" s="1"/>
      <c r="S2003" s="1"/>
      <c r="T2003" s="1"/>
      <c r="U2003" s="1"/>
      <c r="V2003" s="1"/>
      <c r="W2003" s="1" t="s">
        <v>2193</v>
      </c>
      <c r="X2003" s="1" t="s">
        <v>2193</v>
      </c>
      <c r="Y2003" s="1" t="s">
        <v>2193</v>
      </c>
      <c r="Z2003" s="1" t="s">
        <v>2193</v>
      </c>
      <c r="AA2003" s="1">
        <v>3042</v>
      </c>
      <c r="AB2003" s="1" t="s">
        <v>2193</v>
      </c>
      <c r="AD2003" s="12" t="s">
        <v>52</v>
      </c>
      <c r="AE2003" s="39" t="str">
        <f t="shared" si="230"/>
        <v>8211</v>
      </c>
      <c r="AN2003" s="12"/>
      <c r="AR2003" s="34">
        <v>1</v>
      </c>
      <c r="AS2003" s="34">
        <v>1</v>
      </c>
      <c r="AU2003" s="12" t="s">
        <v>1978</v>
      </c>
      <c r="AW2003" s="39">
        <v>3</v>
      </c>
      <c r="AX2003" s="12">
        <f>VLOOKUP(AW2003,색인!$N$14:$O$19,2,FALSE)</f>
        <v>2</v>
      </c>
      <c r="AY2003" s="39" t="str">
        <f>"T"&amp;O2003&amp;"_"&amp;AX2003&amp;"옵션_"&amp;VLOOKUP(E2003,색인!$J$25:$K$29,2,FALSE)</f>
        <v>T8_2옵션_방어구</v>
      </c>
      <c r="AZ2003" s="39">
        <f>VLOOKUP(G2003,색인!$J$32:$K$45,2,FALSE)</f>
        <v>2</v>
      </c>
      <c r="BA2003" s="39" t="str">
        <f>_xlfn.IFNA(VLOOKUP(AY2003,표1[[검색용]:[OptionGroupIndex'[']22]],EquipItemTable!AZ2003,FALSE),"옵션고정안함")</f>
        <v>8211</v>
      </c>
    </row>
    <row r="2004" spans="1:53" ht="12" x14ac:dyDescent="0.2">
      <c r="A2004" s="10" t="s">
        <v>2052</v>
      </c>
      <c r="B2004" s="39">
        <v>808004</v>
      </c>
      <c r="C2004" s="42" t="s">
        <v>4224</v>
      </c>
      <c r="D2004" s="86" t="s">
        <v>2953</v>
      </c>
      <c r="E2004" s="86" t="s">
        <v>1</v>
      </c>
      <c r="F2004" s="32" t="s">
        <v>311</v>
      </c>
      <c r="G2004" s="32" t="s">
        <v>1472</v>
      </c>
      <c r="O2004" s="32">
        <v>8</v>
      </c>
      <c r="P2004" s="32">
        <v>81</v>
      </c>
      <c r="Q2004" s="1"/>
      <c r="R2004" s="1"/>
      <c r="S2004" s="1"/>
      <c r="T2004" s="1"/>
      <c r="U2004" s="1"/>
      <c r="V2004" s="1"/>
      <c r="W2004" s="1" t="s">
        <v>2193</v>
      </c>
      <c r="X2004" s="1" t="s">
        <v>2193</v>
      </c>
      <c r="Y2004" s="1" t="s">
        <v>2193</v>
      </c>
      <c r="Z2004" s="1" t="s">
        <v>2193</v>
      </c>
      <c r="AA2004" s="1">
        <v>3234</v>
      </c>
      <c r="AB2004" s="1" t="s">
        <v>2193</v>
      </c>
      <c r="AD2004" s="12" t="s">
        <v>52</v>
      </c>
      <c r="AE2004" s="39" t="str">
        <f t="shared" si="230"/>
        <v>8311</v>
      </c>
      <c r="AN2004" s="12"/>
      <c r="AR2004" s="34">
        <v>1</v>
      </c>
      <c r="AS2004" s="34">
        <v>1</v>
      </c>
      <c r="AU2004" s="12" t="s">
        <v>1980</v>
      </c>
      <c r="AW2004" s="39">
        <v>4</v>
      </c>
      <c r="AX2004" s="12">
        <f>VLOOKUP(AW2004,색인!$N$14:$O$19,2,FALSE)</f>
        <v>3</v>
      </c>
      <c r="AY2004" s="39" t="str">
        <f>"T"&amp;O2004&amp;"_"&amp;AX2004&amp;"옵션_"&amp;VLOOKUP(E2004,색인!$J$25:$K$29,2,FALSE)</f>
        <v>T8_3옵션_방어구</v>
      </c>
      <c r="AZ2004" s="39">
        <f>VLOOKUP(G2004,색인!$J$32:$K$45,2,FALSE)</f>
        <v>2</v>
      </c>
      <c r="BA2004" s="39" t="str">
        <f>_xlfn.IFNA(VLOOKUP(AY2004,표1[[검색용]:[OptionGroupIndex'[']22]],EquipItemTable!AZ2004,FALSE),"옵션고정안함")</f>
        <v>8311</v>
      </c>
    </row>
    <row r="2005" spans="1:53" ht="12" x14ac:dyDescent="0.2">
      <c r="A2005" s="10" t="s">
        <v>2053</v>
      </c>
      <c r="B2005" s="39">
        <v>808005</v>
      </c>
      <c r="C2005" s="42" t="s">
        <v>4225</v>
      </c>
      <c r="D2005" s="86" t="s">
        <v>2953</v>
      </c>
      <c r="E2005" s="86" t="s">
        <v>1</v>
      </c>
      <c r="F2005" s="32" t="s">
        <v>311</v>
      </c>
      <c r="G2005" s="32" t="s">
        <v>1472</v>
      </c>
      <c r="O2005" s="32">
        <v>8</v>
      </c>
      <c r="P2005" s="32">
        <v>81</v>
      </c>
      <c r="Q2005" s="1"/>
      <c r="R2005" s="1"/>
      <c r="S2005" s="1"/>
      <c r="T2005" s="1"/>
      <c r="U2005" s="1"/>
      <c r="V2005" s="1"/>
      <c r="W2005" s="1" t="s">
        <v>2193</v>
      </c>
      <c r="X2005" s="1" t="s">
        <v>2193</v>
      </c>
      <c r="Y2005" s="1" t="s">
        <v>2193</v>
      </c>
      <c r="Z2005" s="1" t="s">
        <v>2193</v>
      </c>
      <c r="AA2005" s="1">
        <v>3392</v>
      </c>
      <c r="AB2005" s="1" t="s">
        <v>2193</v>
      </c>
      <c r="AD2005" s="12" t="s">
        <v>52</v>
      </c>
      <c r="AE2005" s="39" t="str">
        <f t="shared" si="230"/>
        <v>8311</v>
      </c>
      <c r="AN2005" s="32">
        <v>104</v>
      </c>
      <c r="AR2005" s="34">
        <v>1</v>
      </c>
      <c r="AS2005" s="34">
        <v>1</v>
      </c>
      <c r="AU2005" s="12" t="s">
        <v>1982</v>
      </c>
      <c r="AW2005" s="39">
        <v>5</v>
      </c>
      <c r="AX2005" s="12">
        <f>VLOOKUP(AW2005,색인!$N$14:$O$19,2,FALSE)</f>
        <v>3</v>
      </c>
      <c r="AY2005" s="39" t="str">
        <f>"T"&amp;O2005&amp;"_"&amp;AX2005&amp;"옵션_"&amp;VLOOKUP(E2005,색인!$J$25:$K$29,2,FALSE)</f>
        <v>T8_3옵션_방어구</v>
      </c>
      <c r="AZ2005" s="39">
        <f>VLOOKUP(G2005,색인!$J$32:$K$45,2,FALSE)</f>
        <v>2</v>
      </c>
      <c r="BA2005" s="39" t="str">
        <f>_xlfn.IFNA(VLOOKUP(AY2005,표1[[검색용]:[OptionGroupIndex'[']22]],EquipItemTable!AZ2005,FALSE),"옵션고정안함")</f>
        <v>8311</v>
      </c>
    </row>
    <row r="2006" spans="1:53" ht="12" x14ac:dyDescent="0.2">
      <c r="A2006" s="10" t="s">
        <v>2054</v>
      </c>
      <c r="B2006" s="39">
        <v>808006</v>
      </c>
      <c r="C2006" s="42" t="s">
        <v>3680</v>
      </c>
      <c r="D2006" s="86" t="s">
        <v>2953</v>
      </c>
      <c r="E2006" s="86" t="s">
        <v>1</v>
      </c>
      <c r="F2006" s="32" t="s">
        <v>311</v>
      </c>
      <c r="G2006" s="32" t="s">
        <v>1472</v>
      </c>
      <c r="O2006" s="32">
        <v>8</v>
      </c>
      <c r="P2006" s="32">
        <v>81</v>
      </c>
      <c r="Q2006" s="1"/>
      <c r="R2006" s="1"/>
      <c r="S2006" s="1"/>
      <c r="T2006" s="1"/>
      <c r="U2006" s="1"/>
      <c r="V2006" s="1"/>
      <c r="W2006" s="1" t="s">
        <v>2193</v>
      </c>
      <c r="X2006" s="1" t="s">
        <v>2193</v>
      </c>
      <c r="Y2006" s="1" t="s">
        <v>2193</v>
      </c>
      <c r="Z2006" s="1" t="s">
        <v>2193</v>
      </c>
      <c r="AA2006" s="1">
        <v>3553</v>
      </c>
      <c r="AB2006" s="1" t="s">
        <v>2193</v>
      </c>
      <c r="AD2006" s="12" t="s">
        <v>52</v>
      </c>
      <c r="AE2006" s="39" t="str">
        <f>BA2006</f>
        <v>8411</v>
      </c>
      <c r="AF2006" s="12" t="s">
        <v>2185</v>
      </c>
      <c r="AN2006" s="12">
        <v>1</v>
      </c>
      <c r="AR2006" s="34">
        <v>1</v>
      </c>
      <c r="AS2006" s="34">
        <v>1</v>
      </c>
      <c r="AU2006" s="12" t="s">
        <v>1936</v>
      </c>
      <c r="AW2006" s="39">
        <v>6</v>
      </c>
      <c r="AX2006" s="12">
        <f>VLOOKUP(AW2006,색인!$N$14:$O$19,2,FALSE)</f>
        <v>4</v>
      </c>
      <c r="AY2006" s="12" t="str">
        <f>"T"&amp;O2006&amp;"_"&amp;AX2006&amp;"옵션_"&amp;VLOOKUP(E2006,색인!$J$25:$K$29,2,FALSE)</f>
        <v>T8_4옵션_방어구</v>
      </c>
      <c r="AZ2006" s="12">
        <f>VLOOKUP(G2006,색인!$J$32:$K$45,2,FALSE)</f>
        <v>2</v>
      </c>
      <c r="BA2006" s="12" t="str">
        <f>_xlfn.IFNA(VLOOKUP(AY2006,표1[[검색용]:[OptionGroupIndex'[']22]],EquipItemTable!AZ2006,FALSE),"옵션고정안함")</f>
        <v>8411</v>
      </c>
    </row>
    <row r="2007" spans="1:53" ht="12" x14ac:dyDescent="0.2">
      <c r="A2007" s="10" t="s">
        <v>2055</v>
      </c>
      <c r="B2007" s="39">
        <v>808007</v>
      </c>
      <c r="C2007" s="42" t="s">
        <v>3681</v>
      </c>
      <c r="D2007" s="86" t="s">
        <v>2953</v>
      </c>
      <c r="E2007" s="86" t="s">
        <v>1</v>
      </c>
      <c r="F2007" s="32" t="s">
        <v>311</v>
      </c>
      <c r="G2007" s="32" t="s">
        <v>1472</v>
      </c>
      <c r="O2007" s="32">
        <v>8</v>
      </c>
      <c r="P2007" s="32">
        <v>81</v>
      </c>
      <c r="Q2007" s="1"/>
      <c r="R2007" s="1"/>
      <c r="S2007" s="1"/>
      <c r="T2007" s="1"/>
      <c r="U2007" s="1"/>
      <c r="V2007" s="1"/>
      <c r="W2007" s="1" t="s">
        <v>2193</v>
      </c>
      <c r="X2007" s="1" t="s">
        <v>2193</v>
      </c>
      <c r="Y2007" s="1" t="s">
        <v>2193</v>
      </c>
      <c r="Z2007" s="1" t="s">
        <v>2193</v>
      </c>
      <c r="AA2007" s="1">
        <v>3553</v>
      </c>
      <c r="AB2007" s="1" t="s">
        <v>2193</v>
      </c>
      <c r="AD2007" s="12" t="s">
        <v>52</v>
      </c>
      <c r="AE2007" s="39" t="str">
        <f>BA2007</f>
        <v>8411</v>
      </c>
      <c r="AF2007" s="12" t="s">
        <v>2185</v>
      </c>
      <c r="AN2007" s="32" t="s">
        <v>1192</v>
      </c>
      <c r="AR2007" s="34">
        <v>1</v>
      </c>
      <c r="AS2007" s="34">
        <v>1</v>
      </c>
      <c r="AU2007" s="12" t="s">
        <v>1936</v>
      </c>
      <c r="AW2007" s="39">
        <v>6</v>
      </c>
      <c r="AX2007" s="12">
        <f>VLOOKUP(AW2007,색인!$N$14:$O$19,2,FALSE)</f>
        <v>4</v>
      </c>
      <c r="AY2007" s="12" t="str">
        <f>"T"&amp;O2007&amp;"_"&amp;AX2007&amp;"옵션_"&amp;VLOOKUP(E2007,색인!$J$25:$K$29,2,FALSE)</f>
        <v>T8_4옵션_방어구</v>
      </c>
      <c r="AZ2007" s="12">
        <f>VLOOKUP(G2007,색인!$J$32:$K$45,2,FALSE)</f>
        <v>2</v>
      </c>
      <c r="BA2007" s="12" t="str">
        <f>_xlfn.IFNA(VLOOKUP(AY2007,표1[[검색용]:[OptionGroupIndex'[']22]],EquipItemTable!AZ2007,FALSE),"옵션고정안함")</f>
        <v>8411</v>
      </c>
    </row>
    <row r="2008" spans="1:53" ht="12" x14ac:dyDescent="0.2">
      <c r="A2008" s="10" t="s">
        <v>2056</v>
      </c>
      <c r="B2008" s="39">
        <v>808008</v>
      </c>
      <c r="C2008" s="42" t="s">
        <v>3682</v>
      </c>
      <c r="D2008" s="86" t="s">
        <v>2953</v>
      </c>
      <c r="E2008" s="86" t="s">
        <v>1</v>
      </c>
      <c r="F2008" s="32" t="s">
        <v>311</v>
      </c>
      <c r="G2008" s="32" t="s">
        <v>1472</v>
      </c>
      <c r="O2008" s="32">
        <v>8</v>
      </c>
      <c r="P2008" s="32">
        <v>81</v>
      </c>
      <c r="Q2008" s="1"/>
      <c r="R2008" s="1"/>
      <c r="S2008" s="1"/>
      <c r="T2008" s="1"/>
      <c r="U2008" s="1"/>
      <c r="V2008" s="1"/>
      <c r="W2008" s="1" t="s">
        <v>2193</v>
      </c>
      <c r="X2008" s="1" t="s">
        <v>2193</v>
      </c>
      <c r="Y2008" s="1" t="s">
        <v>2193</v>
      </c>
      <c r="Z2008" s="1" t="s">
        <v>2193</v>
      </c>
      <c r="AA2008" s="1">
        <v>3553</v>
      </c>
      <c r="AB2008" s="1" t="s">
        <v>2193</v>
      </c>
      <c r="AD2008" s="12" t="s">
        <v>52</v>
      </c>
      <c r="AE2008" s="39" t="str">
        <f>BA2008</f>
        <v>8411</v>
      </c>
      <c r="AF2008" s="12" t="s">
        <v>2185</v>
      </c>
      <c r="AN2008" s="32" t="s">
        <v>369</v>
      </c>
      <c r="AR2008" s="34">
        <v>1</v>
      </c>
      <c r="AS2008" s="34">
        <v>1</v>
      </c>
      <c r="AU2008" s="12" t="s">
        <v>1936</v>
      </c>
      <c r="AW2008" s="39">
        <v>6</v>
      </c>
      <c r="AX2008" s="12">
        <f>VLOOKUP(AW2008,색인!$N$14:$O$19,2,FALSE)</f>
        <v>4</v>
      </c>
      <c r="AY2008" s="12" t="str">
        <f>"T"&amp;O2008&amp;"_"&amp;AX2008&amp;"옵션_"&amp;VLOOKUP(E2008,색인!$J$25:$K$29,2,FALSE)</f>
        <v>T8_4옵션_방어구</v>
      </c>
      <c r="AZ2008" s="12">
        <f>VLOOKUP(G2008,색인!$J$32:$K$45,2,FALSE)</f>
        <v>2</v>
      </c>
      <c r="BA2008" s="12" t="str">
        <f>_xlfn.IFNA(VLOOKUP(AY2008,표1[[검색용]:[OptionGroupIndex'[']22]],EquipItemTable!AZ2008,FALSE),"옵션고정안함")</f>
        <v>8411</v>
      </c>
    </row>
    <row r="2009" spans="1:53" ht="12" x14ac:dyDescent="0.2">
      <c r="A2009" s="10" t="s">
        <v>2057</v>
      </c>
      <c r="B2009" s="39">
        <v>808009</v>
      </c>
      <c r="C2009" s="42" t="s">
        <v>3683</v>
      </c>
      <c r="D2009" s="86" t="s">
        <v>2953</v>
      </c>
      <c r="E2009" s="86" t="s">
        <v>1</v>
      </c>
      <c r="F2009" s="32" t="s">
        <v>311</v>
      </c>
      <c r="G2009" s="32" t="s">
        <v>1472</v>
      </c>
      <c r="O2009" s="32">
        <v>8</v>
      </c>
      <c r="P2009" s="32">
        <v>81</v>
      </c>
      <c r="Q2009" s="1"/>
      <c r="R2009" s="1"/>
      <c r="S2009" s="1"/>
      <c r="T2009" s="1"/>
      <c r="U2009" s="1"/>
      <c r="V2009" s="1"/>
      <c r="W2009" s="1" t="s">
        <v>2193</v>
      </c>
      <c r="X2009" s="1" t="s">
        <v>2193</v>
      </c>
      <c r="Y2009" s="1" t="s">
        <v>2193</v>
      </c>
      <c r="Z2009" s="1" t="s">
        <v>2193</v>
      </c>
      <c r="AA2009" s="1">
        <v>3553</v>
      </c>
      <c r="AB2009" s="1" t="s">
        <v>2193</v>
      </c>
      <c r="AD2009" s="12" t="s">
        <v>52</v>
      </c>
      <c r="AE2009" s="39" t="str">
        <f>BA2009</f>
        <v>8411</v>
      </c>
      <c r="AF2009" s="12" t="s">
        <v>2185</v>
      </c>
      <c r="AN2009" s="32" t="s">
        <v>1194</v>
      </c>
      <c r="AR2009" s="34">
        <v>1</v>
      </c>
      <c r="AS2009" s="34">
        <v>1</v>
      </c>
      <c r="AU2009" s="12" t="s">
        <v>1936</v>
      </c>
      <c r="AW2009" s="39">
        <v>6</v>
      </c>
      <c r="AX2009" s="12">
        <f>VLOOKUP(AW2009,색인!$N$14:$O$19,2,FALSE)</f>
        <v>4</v>
      </c>
      <c r="AY2009" s="12" t="str">
        <f>"T"&amp;O2009&amp;"_"&amp;AX2009&amp;"옵션_"&amp;VLOOKUP(E2009,색인!$J$25:$K$29,2,FALSE)</f>
        <v>T8_4옵션_방어구</v>
      </c>
      <c r="AZ2009" s="12">
        <f>VLOOKUP(G2009,색인!$J$32:$K$45,2,FALSE)</f>
        <v>2</v>
      </c>
      <c r="BA2009" s="12" t="str">
        <f>_xlfn.IFNA(VLOOKUP(AY2009,표1[[검색용]:[OptionGroupIndex'[']22]],EquipItemTable!AZ2009,FALSE),"옵션고정안함")</f>
        <v>8411</v>
      </c>
    </row>
    <row r="2010" spans="1:53" ht="12" x14ac:dyDescent="0.2">
      <c r="A2010" s="10" t="s">
        <v>2058</v>
      </c>
      <c r="B2010" s="39">
        <v>808010</v>
      </c>
      <c r="C2010" s="42" t="s">
        <v>4226</v>
      </c>
      <c r="D2010" s="86" t="s">
        <v>2953</v>
      </c>
      <c r="E2010" s="86" t="s">
        <v>1</v>
      </c>
      <c r="F2010" s="32" t="s">
        <v>311</v>
      </c>
      <c r="G2010" s="32" t="s">
        <v>1472</v>
      </c>
      <c r="O2010" s="32">
        <v>8</v>
      </c>
      <c r="P2010" s="32">
        <v>81</v>
      </c>
      <c r="Q2010" s="1"/>
      <c r="R2010" s="1"/>
      <c r="S2010" s="1"/>
      <c r="T2010" s="1"/>
      <c r="U2010" s="1"/>
      <c r="V2010" s="1"/>
      <c r="W2010" s="1" t="s">
        <v>2193</v>
      </c>
      <c r="X2010" s="1" t="s">
        <v>2193</v>
      </c>
      <c r="Y2010" s="1" t="s">
        <v>2193</v>
      </c>
      <c r="Z2010" s="1" t="s">
        <v>2193</v>
      </c>
      <c r="AA2010" s="1">
        <v>3553</v>
      </c>
      <c r="AB2010" s="1" t="s">
        <v>2193</v>
      </c>
      <c r="AD2010" s="12" t="s">
        <v>52</v>
      </c>
      <c r="AE2010" s="39" t="s">
        <v>2187</v>
      </c>
      <c r="AF2010" s="12" t="s">
        <v>2185</v>
      </c>
      <c r="AN2010" s="32" t="s">
        <v>1169</v>
      </c>
      <c r="AR2010" s="34">
        <v>1</v>
      </c>
      <c r="AS2010" s="34">
        <v>1</v>
      </c>
      <c r="AU2010" s="12" t="s">
        <v>1936</v>
      </c>
      <c r="AW2010" s="39">
        <v>6</v>
      </c>
      <c r="AX2010" s="12">
        <f>VLOOKUP(AW2010,색인!$N$14:$O$19,2,FALSE)</f>
        <v>4</v>
      </c>
      <c r="AY2010" s="12" t="str">
        <f>"T"&amp;O2010&amp;"_"&amp;AX2010&amp;"옵션_"&amp;VLOOKUP(E2010,색인!$J$25:$K$29,2,FALSE)</f>
        <v>T8_4옵션_방어구</v>
      </c>
      <c r="AZ2010" s="12">
        <f>VLOOKUP(G2010,색인!$J$32:$K$45,2,FALSE)</f>
        <v>2</v>
      </c>
      <c r="BA2010" s="12" t="str">
        <f>_xlfn.IFNA(VLOOKUP(AY2010,표1[[검색용]:[OptionGroupIndex'[']22]],EquipItemTable!AZ2010,FALSE),"옵션고정안함")</f>
        <v>8411</v>
      </c>
    </row>
    <row r="2011" spans="1:53" ht="12" x14ac:dyDescent="0.2">
      <c r="A2011" s="10" t="s">
        <v>2059</v>
      </c>
      <c r="B2011" s="39">
        <v>809001</v>
      </c>
      <c r="C2011" s="42" t="s">
        <v>4227</v>
      </c>
      <c r="D2011" s="86" t="s">
        <v>2953</v>
      </c>
      <c r="E2011" s="86" t="s">
        <v>1</v>
      </c>
      <c r="F2011" s="32" t="s">
        <v>471</v>
      </c>
      <c r="G2011" s="32" t="s">
        <v>1491</v>
      </c>
      <c r="O2011" s="32">
        <v>8</v>
      </c>
      <c r="P2011" s="32">
        <v>81</v>
      </c>
      <c r="Q2011" s="1"/>
      <c r="R2011" s="1"/>
      <c r="S2011" s="1"/>
      <c r="T2011" s="1"/>
      <c r="U2011" s="1"/>
      <c r="V2011" s="1"/>
      <c r="W2011" s="1" t="s">
        <v>2193</v>
      </c>
      <c r="X2011" s="1" t="s">
        <v>2193</v>
      </c>
      <c r="Y2011" s="1" t="s">
        <v>2193</v>
      </c>
      <c r="Z2011" s="1" t="s">
        <v>2193</v>
      </c>
      <c r="AA2011" s="1">
        <v>1326</v>
      </c>
      <c r="AB2011" s="1" t="s">
        <v>2193</v>
      </c>
      <c r="AD2011" s="12" t="s">
        <v>52</v>
      </c>
      <c r="AE2011" s="12" t="s">
        <v>2187</v>
      </c>
      <c r="AF2011" s="12" t="s">
        <v>2185</v>
      </c>
      <c r="AN2011" s="12"/>
      <c r="AR2011" s="34">
        <v>1</v>
      </c>
      <c r="AS2011" s="34">
        <v>1</v>
      </c>
      <c r="AU2011" s="12">
        <v>1001</v>
      </c>
      <c r="AW2011" s="39">
        <v>1</v>
      </c>
      <c r="AY2011" s="12"/>
      <c r="AZ2011" s="12"/>
      <c r="BA2011" s="12"/>
    </row>
    <row r="2012" spans="1:53" ht="12" x14ac:dyDescent="0.2">
      <c r="A2012" s="10" t="s">
        <v>2060</v>
      </c>
      <c r="B2012" s="39">
        <v>809002</v>
      </c>
      <c r="C2012" s="42" t="s">
        <v>4228</v>
      </c>
      <c r="D2012" s="86" t="s">
        <v>2953</v>
      </c>
      <c r="E2012" s="86" t="s">
        <v>1</v>
      </c>
      <c r="F2012" s="32" t="s">
        <v>471</v>
      </c>
      <c r="G2012" s="32" t="s">
        <v>1491</v>
      </c>
      <c r="O2012" s="32">
        <v>8</v>
      </c>
      <c r="P2012" s="32">
        <v>81</v>
      </c>
      <c r="Q2012" s="1"/>
      <c r="R2012" s="1"/>
      <c r="S2012" s="1"/>
      <c r="T2012" s="1"/>
      <c r="U2012" s="1"/>
      <c r="V2012" s="1"/>
      <c r="W2012" s="1" t="s">
        <v>2193</v>
      </c>
      <c r="X2012" s="1" t="s">
        <v>2193</v>
      </c>
      <c r="Y2012" s="1" t="s">
        <v>2193</v>
      </c>
      <c r="Z2012" s="1" t="s">
        <v>2193</v>
      </c>
      <c r="AA2012" s="1">
        <v>1432</v>
      </c>
      <c r="AB2012" s="1" t="s">
        <v>2193</v>
      </c>
      <c r="AD2012" s="12" t="s">
        <v>52</v>
      </c>
      <c r="AE2012" s="39" t="str">
        <f t="shared" ref="AE2012:AE2015" si="231">BA2012</f>
        <v>8111</v>
      </c>
      <c r="AN2012" s="12"/>
      <c r="AR2012" s="34">
        <v>1</v>
      </c>
      <c r="AS2012" s="34">
        <v>1</v>
      </c>
      <c r="AU2012" s="12" t="s">
        <v>1976</v>
      </c>
      <c r="AW2012" s="39">
        <v>2</v>
      </c>
      <c r="AX2012" s="12">
        <f>VLOOKUP(AW2012,색인!$N$14:$O$19,2,FALSE)</f>
        <v>1</v>
      </c>
      <c r="AY2012" s="39" t="str">
        <f>"T"&amp;O2012&amp;"_"&amp;AX2012&amp;"옵션_"&amp;VLOOKUP(E2012,색인!$J$25:$K$29,2,FALSE)</f>
        <v>T8_1옵션_방어구</v>
      </c>
      <c r="AZ2012" s="39">
        <f>VLOOKUP(G2012,색인!$J$32:$K$45,2,FALSE)</f>
        <v>2</v>
      </c>
      <c r="BA2012" s="39" t="str">
        <f>_xlfn.IFNA(VLOOKUP(AY2012,표1[[검색용]:[OptionGroupIndex'[']22]],EquipItemTable!AZ2012,FALSE),"옵션고정안함")</f>
        <v>8111</v>
      </c>
    </row>
    <row r="2013" spans="1:53" ht="12" x14ac:dyDescent="0.2">
      <c r="A2013" s="10" t="s">
        <v>2061</v>
      </c>
      <c r="B2013" s="39">
        <v>809003</v>
      </c>
      <c r="C2013" s="42" t="s">
        <v>4229</v>
      </c>
      <c r="D2013" s="86" t="s">
        <v>2953</v>
      </c>
      <c r="E2013" s="86" t="s">
        <v>1</v>
      </c>
      <c r="F2013" s="32" t="s">
        <v>471</v>
      </c>
      <c r="G2013" s="32" t="s">
        <v>1491</v>
      </c>
      <c r="O2013" s="32">
        <v>8</v>
      </c>
      <c r="P2013" s="32">
        <v>81</v>
      </c>
      <c r="Q2013" s="1"/>
      <c r="R2013" s="1"/>
      <c r="S2013" s="1"/>
      <c r="T2013" s="1"/>
      <c r="U2013" s="1"/>
      <c r="V2013" s="1"/>
      <c r="W2013" s="1" t="s">
        <v>2193</v>
      </c>
      <c r="X2013" s="1" t="s">
        <v>2193</v>
      </c>
      <c r="Y2013" s="1" t="s">
        <v>2193</v>
      </c>
      <c r="Z2013" s="1" t="s">
        <v>2193</v>
      </c>
      <c r="AA2013" s="1">
        <v>1521</v>
      </c>
      <c r="AB2013" s="1" t="s">
        <v>2193</v>
      </c>
      <c r="AD2013" s="12" t="s">
        <v>52</v>
      </c>
      <c r="AE2013" s="39" t="str">
        <f t="shared" si="231"/>
        <v>8211</v>
      </c>
      <c r="AN2013" s="12"/>
      <c r="AR2013" s="34">
        <v>1</v>
      </c>
      <c r="AS2013" s="34">
        <v>1</v>
      </c>
      <c r="AU2013" s="12" t="s">
        <v>1978</v>
      </c>
      <c r="AW2013" s="39">
        <v>3</v>
      </c>
      <c r="AX2013" s="12">
        <f>VLOOKUP(AW2013,색인!$N$14:$O$19,2,FALSE)</f>
        <v>2</v>
      </c>
      <c r="AY2013" s="39" t="str">
        <f>"T"&amp;O2013&amp;"_"&amp;AX2013&amp;"옵션_"&amp;VLOOKUP(E2013,색인!$J$25:$K$29,2,FALSE)</f>
        <v>T8_2옵션_방어구</v>
      </c>
      <c r="AZ2013" s="39">
        <f>VLOOKUP(G2013,색인!$J$32:$K$45,2,FALSE)</f>
        <v>2</v>
      </c>
      <c r="BA2013" s="39" t="str">
        <f>_xlfn.IFNA(VLOOKUP(AY2013,표1[[검색용]:[OptionGroupIndex'[']22]],EquipItemTable!AZ2013,FALSE),"옵션고정안함")</f>
        <v>8211</v>
      </c>
    </row>
    <row r="2014" spans="1:53" ht="12" x14ac:dyDescent="0.2">
      <c r="A2014" s="10" t="s">
        <v>2062</v>
      </c>
      <c r="B2014" s="39">
        <v>809004</v>
      </c>
      <c r="C2014" s="42" t="s">
        <v>4230</v>
      </c>
      <c r="D2014" s="86" t="s">
        <v>2953</v>
      </c>
      <c r="E2014" s="86" t="s">
        <v>1</v>
      </c>
      <c r="F2014" s="32" t="s">
        <v>471</v>
      </c>
      <c r="G2014" s="32" t="s">
        <v>1491</v>
      </c>
      <c r="O2014" s="32">
        <v>8</v>
      </c>
      <c r="P2014" s="32">
        <v>81</v>
      </c>
      <c r="Q2014" s="1"/>
      <c r="R2014" s="1"/>
      <c r="S2014" s="1"/>
      <c r="T2014" s="1"/>
      <c r="U2014" s="1"/>
      <c r="V2014" s="1"/>
      <c r="W2014" s="1" t="s">
        <v>2193</v>
      </c>
      <c r="X2014" s="1" t="s">
        <v>2193</v>
      </c>
      <c r="Y2014" s="1" t="s">
        <v>2193</v>
      </c>
      <c r="Z2014" s="1" t="s">
        <v>2193</v>
      </c>
      <c r="AA2014" s="1">
        <v>1617</v>
      </c>
      <c r="AB2014" s="1" t="s">
        <v>2193</v>
      </c>
      <c r="AD2014" s="12" t="s">
        <v>52</v>
      </c>
      <c r="AE2014" s="39" t="str">
        <f t="shared" si="231"/>
        <v>8311</v>
      </c>
      <c r="AN2014" s="12"/>
      <c r="AR2014" s="34">
        <v>1</v>
      </c>
      <c r="AS2014" s="34">
        <v>1</v>
      </c>
      <c r="AU2014" s="12" t="s">
        <v>1980</v>
      </c>
      <c r="AW2014" s="39">
        <v>4</v>
      </c>
      <c r="AX2014" s="12">
        <f>VLOOKUP(AW2014,색인!$N$14:$O$19,2,FALSE)</f>
        <v>3</v>
      </c>
      <c r="AY2014" s="39" t="str">
        <f>"T"&amp;O2014&amp;"_"&amp;AX2014&amp;"옵션_"&amp;VLOOKUP(E2014,색인!$J$25:$K$29,2,FALSE)</f>
        <v>T8_3옵션_방어구</v>
      </c>
      <c r="AZ2014" s="39">
        <f>VLOOKUP(G2014,색인!$J$32:$K$45,2,FALSE)</f>
        <v>2</v>
      </c>
      <c r="BA2014" s="39" t="str">
        <f>_xlfn.IFNA(VLOOKUP(AY2014,표1[[검색용]:[OptionGroupIndex'[']22]],EquipItemTable!AZ2014,FALSE),"옵션고정안함")</f>
        <v>8311</v>
      </c>
    </row>
    <row r="2015" spans="1:53" ht="12" x14ac:dyDescent="0.2">
      <c r="A2015" s="10" t="s">
        <v>2063</v>
      </c>
      <c r="B2015" s="39">
        <v>809005</v>
      </c>
      <c r="C2015" s="42" t="s">
        <v>4231</v>
      </c>
      <c r="D2015" s="86" t="s">
        <v>2953</v>
      </c>
      <c r="E2015" s="86" t="s">
        <v>1</v>
      </c>
      <c r="F2015" s="32" t="s">
        <v>471</v>
      </c>
      <c r="G2015" s="32" t="s">
        <v>1491</v>
      </c>
      <c r="O2015" s="32">
        <v>8</v>
      </c>
      <c r="P2015" s="32">
        <v>81</v>
      </c>
      <c r="Q2015" s="1"/>
      <c r="R2015" s="1"/>
      <c r="S2015" s="1"/>
      <c r="T2015" s="1"/>
      <c r="U2015" s="1"/>
      <c r="V2015" s="1"/>
      <c r="W2015" s="1" t="s">
        <v>2193</v>
      </c>
      <c r="X2015" s="1" t="s">
        <v>2193</v>
      </c>
      <c r="Y2015" s="1" t="s">
        <v>2193</v>
      </c>
      <c r="Z2015" s="1" t="s">
        <v>2193</v>
      </c>
      <c r="AA2015" s="1">
        <v>1698</v>
      </c>
      <c r="AB2015" s="1" t="s">
        <v>2193</v>
      </c>
      <c r="AD2015" s="12" t="s">
        <v>52</v>
      </c>
      <c r="AE2015" s="39" t="str">
        <f t="shared" si="231"/>
        <v>8311</v>
      </c>
      <c r="AN2015" s="32">
        <v>104</v>
      </c>
      <c r="AR2015" s="34">
        <v>1</v>
      </c>
      <c r="AS2015" s="34">
        <v>1</v>
      </c>
      <c r="AU2015" s="12" t="s">
        <v>1982</v>
      </c>
      <c r="AW2015" s="39">
        <v>5</v>
      </c>
      <c r="AX2015" s="12">
        <f>VLOOKUP(AW2015,색인!$N$14:$O$19,2,FALSE)</f>
        <v>3</v>
      </c>
      <c r="AY2015" s="39" t="str">
        <f>"T"&amp;O2015&amp;"_"&amp;AX2015&amp;"옵션_"&amp;VLOOKUP(E2015,색인!$J$25:$K$29,2,FALSE)</f>
        <v>T8_3옵션_방어구</v>
      </c>
      <c r="AZ2015" s="39">
        <f>VLOOKUP(G2015,색인!$J$32:$K$45,2,FALSE)</f>
        <v>2</v>
      </c>
      <c r="BA2015" s="39" t="str">
        <f>_xlfn.IFNA(VLOOKUP(AY2015,표1[[검색용]:[OptionGroupIndex'[']22]],EquipItemTable!AZ2015,FALSE),"옵션고정안함")</f>
        <v>8311</v>
      </c>
    </row>
    <row r="2016" spans="1:53" ht="12" x14ac:dyDescent="0.2">
      <c r="A2016" s="10" t="s">
        <v>2064</v>
      </c>
      <c r="B2016" s="39">
        <v>809006</v>
      </c>
      <c r="C2016" s="42" t="s">
        <v>3716</v>
      </c>
      <c r="D2016" s="86" t="s">
        <v>2953</v>
      </c>
      <c r="E2016" s="86" t="s">
        <v>1</v>
      </c>
      <c r="F2016" s="32" t="s">
        <v>471</v>
      </c>
      <c r="G2016" s="32" t="s">
        <v>1491</v>
      </c>
      <c r="O2016" s="32">
        <v>8</v>
      </c>
      <c r="P2016" s="32">
        <v>81</v>
      </c>
      <c r="Q2016" s="1"/>
      <c r="R2016" s="1"/>
      <c r="S2016" s="1"/>
      <c r="T2016" s="1"/>
      <c r="U2016" s="1"/>
      <c r="V2016" s="1"/>
      <c r="W2016" s="1" t="s">
        <v>2193</v>
      </c>
      <c r="X2016" s="1" t="s">
        <v>2193</v>
      </c>
      <c r="Y2016" s="1" t="s">
        <v>2193</v>
      </c>
      <c r="Z2016" s="1" t="s">
        <v>2193</v>
      </c>
      <c r="AA2016" s="1">
        <v>1777</v>
      </c>
      <c r="AB2016" s="1" t="s">
        <v>2193</v>
      </c>
      <c r="AD2016" s="12" t="s">
        <v>52</v>
      </c>
      <c r="AE2016" s="39" t="str">
        <f>BA2016</f>
        <v>8411</v>
      </c>
      <c r="AF2016" s="12" t="s">
        <v>2185</v>
      </c>
      <c r="AN2016" s="12">
        <v>1</v>
      </c>
      <c r="AR2016" s="34">
        <v>1</v>
      </c>
      <c r="AS2016" s="34">
        <v>1</v>
      </c>
      <c r="AU2016" s="12" t="s">
        <v>1936</v>
      </c>
      <c r="AW2016" s="39">
        <v>6</v>
      </c>
      <c r="AX2016" s="12">
        <f>VLOOKUP(AW2016,색인!$N$14:$O$19,2,FALSE)</f>
        <v>4</v>
      </c>
      <c r="AY2016" s="12" t="str">
        <f>"T"&amp;O2016&amp;"_"&amp;AX2016&amp;"옵션_"&amp;VLOOKUP(E2016,색인!$J$25:$K$29,2,FALSE)</f>
        <v>T8_4옵션_방어구</v>
      </c>
      <c r="AZ2016" s="12">
        <f>VLOOKUP(G2016,색인!$J$32:$K$45,2,FALSE)</f>
        <v>2</v>
      </c>
      <c r="BA2016" s="12" t="str">
        <f>_xlfn.IFNA(VLOOKUP(AY2016,표1[[검색용]:[OptionGroupIndex'[']22]],EquipItemTable!AZ2016,FALSE),"옵션고정안함")</f>
        <v>8411</v>
      </c>
    </row>
    <row r="2017" spans="1:53" ht="12" x14ac:dyDescent="0.2">
      <c r="A2017" s="10" t="s">
        <v>2065</v>
      </c>
      <c r="B2017" s="39">
        <v>809007</v>
      </c>
      <c r="C2017" s="42" t="s">
        <v>3717</v>
      </c>
      <c r="D2017" s="86" t="s">
        <v>2953</v>
      </c>
      <c r="E2017" s="86" t="s">
        <v>1</v>
      </c>
      <c r="F2017" s="32" t="s">
        <v>471</v>
      </c>
      <c r="G2017" s="32" t="s">
        <v>1491</v>
      </c>
      <c r="O2017" s="32">
        <v>8</v>
      </c>
      <c r="P2017" s="32">
        <v>81</v>
      </c>
      <c r="Q2017" s="1"/>
      <c r="R2017" s="1"/>
      <c r="S2017" s="1"/>
      <c r="T2017" s="1"/>
      <c r="U2017" s="1"/>
      <c r="V2017" s="1"/>
      <c r="W2017" s="1" t="s">
        <v>2193</v>
      </c>
      <c r="X2017" s="1" t="s">
        <v>2193</v>
      </c>
      <c r="Y2017" s="1" t="s">
        <v>2193</v>
      </c>
      <c r="Z2017" s="1" t="s">
        <v>2193</v>
      </c>
      <c r="AA2017" s="1">
        <v>1777</v>
      </c>
      <c r="AB2017" s="1" t="s">
        <v>2193</v>
      </c>
      <c r="AD2017" s="12" t="s">
        <v>52</v>
      </c>
      <c r="AE2017" s="39" t="str">
        <f>BA2017</f>
        <v>8411</v>
      </c>
      <c r="AF2017" s="12" t="s">
        <v>2185</v>
      </c>
      <c r="AN2017" s="32" t="s">
        <v>1192</v>
      </c>
      <c r="AR2017" s="34">
        <v>1</v>
      </c>
      <c r="AS2017" s="34">
        <v>1</v>
      </c>
      <c r="AU2017" s="12" t="s">
        <v>1936</v>
      </c>
      <c r="AW2017" s="39">
        <v>6</v>
      </c>
      <c r="AX2017" s="12">
        <f>VLOOKUP(AW2017,색인!$N$14:$O$19,2,FALSE)</f>
        <v>4</v>
      </c>
      <c r="AY2017" s="12" t="str">
        <f>"T"&amp;O2017&amp;"_"&amp;AX2017&amp;"옵션_"&amp;VLOOKUP(E2017,색인!$J$25:$K$29,2,FALSE)</f>
        <v>T8_4옵션_방어구</v>
      </c>
      <c r="AZ2017" s="12">
        <f>VLOOKUP(G2017,색인!$J$32:$K$45,2,FALSE)</f>
        <v>2</v>
      </c>
      <c r="BA2017" s="12" t="str">
        <f>_xlfn.IFNA(VLOOKUP(AY2017,표1[[검색용]:[OptionGroupIndex'[']22]],EquipItemTable!AZ2017,FALSE),"옵션고정안함")</f>
        <v>8411</v>
      </c>
    </row>
    <row r="2018" spans="1:53" ht="12" x14ac:dyDescent="0.2">
      <c r="A2018" s="10" t="s">
        <v>2066</v>
      </c>
      <c r="B2018" s="39">
        <v>809008</v>
      </c>
      <c r="C2018" s="42" t="s">
        <v>3718</v>
      </c>
      <c r="D2018" s="86" t="s">
        <v>2953</v>
      </c>
      <c r="E2018" s="86" t="s">
        <v>1</v>
      </c>
      <c r="F2018" s="32" t="s">
        <v>471</v>
      </c>
      <c r="G2018" s="32" t="s">
        <v>1491</v>
      </c>
      <c r="O2018" s="32">
        <v>8</v>
      </c>
      <c r="P2018" s="32">
        <v>81</v>
      </c>
      <c r="Q2018" s="1"/>
      <c r="R2018" s="1"/>
      <c r="S2018" s="1"/>
      <c r="T2018" s="1"/>
      <c r="U2018" s="1"/>
      <c r="V2018" s="1"/>
      <c r="W2018" s="1" t="s">
        <v>2193</v>
      </c>
      <c r="X2018" s="1" t="s">
        <v>2193</v>
      </c>
      <c r="Y2018" s="1" t="s">
        <v>2193</v>
      </c>
      <c r="Z2018" s="1" t="s">
        <v>2193</v>
      </c>
      <c r="AA2018" s="1">
        <v>1777</v>
      </c>
      <c r="AB2018" s="1" t="s">
        <v>2193</v>
      </c>
      <c r="AD2018" s="12" t="s">
        <v>52</v>
      </c>
      <c r="AE2018" s="39" t="str">
        <f>BA2018</f>
        <v>8411</v>
      </c>
      <c r="AF2018" s="12" t="s">
        <v>2185</v>
      </c>
      <c r="AN2018" s="32" t="s">
        <v>369</v>
      </c>
      <c r="AR2018" s="34">
        <v>1</v>
      </c>
      <c r="AS2018" s="34">
        <v>1</v>
      </c>
      <c r="AU2018" s="12" t="s">
        <v>1936</v>
      </c>
      <c r="AW2018" s="39">
        <v>6</v>
      </c>
      <c r="AX2018" s="12">
        <f>VLOOKUP(AW2018,색인!$N$14:$O$19,2,FALSE)</f>
        <v>4</v>
      </c>
      <c r="AY2018" s="12" t="str">
        <f>"T"&amp;O2018&amp;"_"&amp;AX2018&amp;"옵션_"&amp;VLOOKUP(E2018,색인!$J$25:$K$29,2,FALSE)</f>
        <v>T8_4옵션_방어구</v>
      </c>
      <c r="AZ2018" s="12">
        <f>VLOOKUP(G2018,색인!$J$32:$K$45,2,FALSE)</f>
        <v>2</v>
      </c>
      <c r="BA2018" s="12" t="str">
        <f>_xlfn.IFNA(VLOOKUP(AY2018,표1[[검색용]:[OptionGroupIndex'[']22]],EquipItemTable!AZ2018,FALSE),"옵션고정안함")</f>
        <v>8411</v>
      </c>
    </row>
    <row r="2019" spans="1:53" ht="12" x14ac:dyDescent="0.2">
      <c r="A2019" s="10" t="s">
        <v>2067</v>
      </c>
      <c r="B2019" s="39">
        <v>809009</v>
      </c>
      <c r="C2019" s="42" t="s">
        <v>3719</v>
      </c>
      <c r="D2019" s="86" t="s">
        <v>2953</v>
      </c>
      <c r="E2019" s="86" t="s">
        <v>1</v>
      </c>
      <c r="F2019" s="32" t="s">
        <v>471</v>
      </c>
      <c r="G2019" s="32" t="s">
        <v>1491</v>
      </c>
      <c r="O2019" s="32">
        <v>8</v>
      </c>
      <c r="P2019" s="32">
        <v>81</v>
      </c>
      <c r="Q2019" s="1"/>
      <c r="R2019" s="1"/>
      <c r="S2019" s="1"/>
      <c r="T2019" s="1"/>
      <c r="U2019" s="1"/>
      <c r="V2019" s="1"/>
      <c r="W2019" s="1" t="s">
        <v>2193</v>
      </c>
      <c r="X2019" s="1" t="s">
        <v>2193</v>
      </c>
      <c r="Y2019" s="1" t="s">
        <v>2193</v>
      </c>
      <c r="Z2019" s="1" t="s">
        <v>2193</v>
      </c>
      <c r="AA2019" s="1">
        <v>1777</v>
      </c>
      <c r="AB2019" s="1" t="s">
        <v>2193</v>
      </c>
      <c r="AD2019" s="12" t="s">
        <v>52</v>
      </c>
      <c r="AE2019" s="39" t="str">
        <f>BA2019</f>
        <v>8411</v>
      </c>
      <c r="AF2019" s="12" t="s">
        <v>2185</v>
      </c>
      <c r="AN2019" s="32" t="s">
        <v>1194</v>
      </c>
      <c r="AR2019" s="34">
        <v>1</v>
      </c>
      <c r="AS2019" s="34">
        <v>1</v>
      </c>
      <c r="AU2019" s="12" t="s">
        <v>1936</v>
      </c>
      <c r="AW2019" s="39">
        <v>6</v>
      </c>
      <c r="AX2019" s="12">
        <f>VLOOKUP(AW2019,색인!$N$14:$O$19,2,FALSE)</f>
        <v>4</v>
      </c>
      <c r="AY2019" s="12" t="str">
        <f>"T"&amp;O2019&amp;"_"&amp;AX2019&amp;"옵션_"&amp;VLOOKUP(E2019,색인!$J$25:$K$29,2,FALSE)</f>
        <v>T8_4옵션_방어구</v>
      </c>
      <c r="AZ2019" s="12">
        <f>VLOOKUP(G2019,색인!$J$32:$K$45,2,FALSE)</f>
        <v>2</v>
      </c>
      <c r="BA2019" s="12" t="str">
        <f>_xlfn.IFNA(VLOOKUP(AY2019,표1[[검색용]:[OptionGroupIndex'[']22]],EquipItemTable!AZ2019,FALSE),"옵션고정안함")</f>
        <v>8411</v>
      </c>
    </row>
    <row r="2020" spans="1:53" ht="12" x14ac:dyDescent="0.2">
      <c r="A2020" s="10" t="s">
        <v>2068</v>
      </c>
      <c r="B2020" s="39">
        <v>809010</v>
      </c>
      <c r="C2020" s="42" t="s">
        <v>4232</v>
      </c>
      <c r="D2020" s="86" t="s">
        <v>2953</v>
      </c>
      <c r="E2020" s="86" t="s">
        <v>1</v>
      </c>
      <c r="F2020" s="32" t="s">
        <v>471</v>
      </c>
      <c r="G2020" s="32" t="s">
        <v>1491</v>
      </c>
      <c r="O2020" s="32">
        <v>8</v>
      </c>
      <c r="P2020" s="32">
        <v>81</v>
      </c>
      <c r="Q2020" s="1"/>
      <c r="R2020" s="1"/>
      <c r="S2020" s="1"/>
      <c r="T2020" s="1"/>
      <c r="U2020" s="1"/>
      <c r="V2020" s="1"/>
      <c r="W2020" s="1" t="s">
        <v>2193</v>
      </c>
      <c r="X2020" s="1" t="s">
        <v>2193</v>
      </c>
      <c r="Y2020" s="1" t="s">
        <v>2193</v>
      </c>
      <c r="Z2020" s="1" t="s">
        <v>2193</v>
      </c>
      <c r="AA2020" s="1">
        <v>1777</v>
      </c>
      <c r="AB2020" s="1" t="s">
        <v>2193</v>
      </c>
      <c r="AD2020" s="12" t="s">
        <v>52</v>
      </c>
      <c r="AE2020" s="39" t="s">
        <v>2187</v>
      </c>
      <c r="AF2020" s="12" t="s">
        <v>2185</v>
      </c>
      <c r="AN2020" s="32" t="s">
        <v>1169</v>
      </c>
      <c r="AR2020" s="34">
        <v>1</v>
      </c>
      <c r="AS2020" s="34">
        <v>1</v>
      </c>
      <c r="AU2020" s="12" t="s">
        <v>1936</v>
      </c>
      <c r="AW2020" s="39">
        <v>6</v>
      </c>
      <c r="AX2020" s="12">
        <f>VLOOKUP(AW2020,색인!$N$14:$O$19,2,FALSE)</f>
        <v>4</v>
      </c>
      <c r="AY2020" s="12" t="str">
        <f>"T"&amp;O2020&amp;"_"&amp;AX2020&amp;"옵션_"&amp;VLOOKUP(E2020,색인!$J$25:$K$29,2,FALSE)</f>
        <v>T8_4옵션_방어구</v>
      </c>
      <c r="AZ2020" s="12">
        <f>VLOOKUP(G2020,색인!$J$32:$K$45,2,FALSE)</f>
        <v>2</v>
      </c>
      <c r="BA2020" s="12" t="str">
        <f>_xlfn.IFNA(VLOOKUP(AY2020,표1[[검색용]:[OptionGroupIndex'[']22]],EquipItemTable!AZ2020,FALSE),"옵션고정안함")</f>
        <v>8411</v>
      </c>
    </row>
    <row r="2021" spans="1:53" ht="12" x14ac:dyDescent="0.2">
      <c r="A2021" s="10" t="s">
        <v>2069</v>
      </c>
      <c r="B2021" s="39">
        <v>810001</v>
      </c>
      <c r="C2021" s="42" t="s">
        <v>4233</v>
      </c>
      <c r="D2021" s="86" t="s">
        <v>2953</v>
      </c>
      <c r="E2021" s="86" t="s">
        <v>501</v>
      </c>
      <c r="F2021" s="32" t="s">
        <v>480</v>
      </c>
      <c r="G2021" s="32" t="s">
        <v>1453</v>
      </c>
      <c r="O2021" s="32">
        <v>8</v>
      </c>
      <c r="P2021" s="32">
        <v>81</v>
      </c>
      <c r="Q2021" s="1"/>
      <c r="R2021" s="1"/>
      <c r="S2021" s="1"/>
      <c r="T2021" s="1"/>
      <c r="U2021" s="1"/>
      <c r="V2021" s="1"/>
      <c r="W2021" s="1" t="s">
        <v>2193</v>
      </c>
      <c r="X2021" s="1" t="s">
        <v>2193</v>
      </c>
      <c r="Y2021" s="1" t="s">
        <v>2193</v>
      </c>
      <c r="Z2021" s="1" t="s">
        <v>2193</v>
      </c>
      <c r="AA2021" s="1" t="s">
        <v>2193</v>
      </c>
      <c r="AB2021" s="1">
        <v>3975</v>
      </c>
      <c r="AD2021" s="12" t="s">
        <v>52</v>
      </c>
      <c r="AE2021" s="12" t="s">
        <v>2187</v>
      </c>
      <c r="AF2021" s="12" t="s">
        <v>2185</v>
      </c>
      <c r="AN2021" s="12"/>
      <c r="AR2021" s="34">
        <v>1</v>
      </c>
      <c r="AS2021" s="34">
        <v>1</v>
      </c>
      <c r="AU2021" s="12">
        <v>1001</v>
      </c>
      <c r="AW2021" s="39">
        <v>1</v>
      </c>
      <c r="AY2021" s="12"/>
      <c r="AZ2021" s="12"/>
      <c r="BA2021" s="12"/>
    </row>
    <row r="2022" spans="1:53" ht="12" x14ac:dyDescent="0.2">
      <c r="A2022" s="10" t="s">
        <v>2070</v>
      </c>
      <c r="B2022" s="39">
        <v>810002</v>
      </c>
      <c r="C2022" s="42" t="s">
        <v>4234</v>
      </c>
      <c r="D2022" s="86" t="s">
        <v>2953</v>
      </c>
      <c r="E2022" s="86" t="s">
        <v>501</v>
      </c>
      <c r="F2022" s="32" t="s">
        <v>480</v>
      </c>
      <c r="G2022" s="32" t="s">
        <v>1453</v>
      </c>
      <c r="O2022" s="32">
        <v>8</v>
      </c>
      <c r="P2022" s="32">
        <v>81</v>
      </c>
      <c r="Q2022" s="1"/>
      <c r="R2022" s="1"/>
      <c r="S2022" s="1"/>
      <c r="T2022" s="1"/>
      <c r="U2022" s="1"/>
      <c r="V2022" s="1"/>
      <c r="W2022" s="1" t="s">
        <v>2193</v>
      </c>
      <c r="X2022" s="1" t="s">
        <v>2193</v>
      </c>
      <c r="Y2022" s="1" t="s">
        <v>2193</v>
      </c>
      <c r="Z2022" s="1" t="s">
        <v>2193</v>
      </c>
      <c r="AA2022" s="1" t="s">
        <v>2193</v>
      </c>
      <c r="AB2022" s="1">
        <v>4288</v>
      </c>
      <c r="AD2022" s="12" t="s">
        <v>52</v>
      </c>
      <c r="AE2022" s="39" t="str">
        <f t="shared" ref="AE2022:AE2025" si="232">BA2022</f>
        <v>8121,8122</v>
      </c>
      <c r="AN2022" s="12"/>
      <c r="AR2022" s="34">
        <v>1</v>
      </c>
      <c r="AS2022" s="34">
        <v>1</v>
      </c>
      <c r="AU2022" s="12" t="s">
        <v>1976</v>
      </c>
      <c r="AW2022" s="39">
        <v>2</v>
      </c>
      <c r="AX2022" s="12">
        <f>VLOOKUP(AW2022,색인!$N$14:$O$19,2,FALSE)</f>
        <v>1</v>
      </c>
      <c r="AY2022" s="39" t="str">
        <f>"T"&amp;O2022&amp;"_"&amp;AX2022&amp;"옵션_"&amp;VLOOKUP(E2022,색인!$J$25:$K$29,2,FALSE)</f>
        <v>T8_1옵션_보조장비</v>
      </c>
      <c r="AZ2022" s="39">
        <f>VLOOKUP(G2022,색인!$J$32:$K$45,2,FALSE)</f>
        <v>4</v>
      </c>
      <c r="BA2022" s="39" t="str">
        <f>_xlfn.IFNA(VLOOKUP(AY2022,표1[[검색용]:[OptionGroupIndex'[']22]],EquipItemTable!AZ2022,FALSE),"옵션고정안함")</f>
        <v>8121,8122</v>
      </c>
    </row>
    <row r="2023" spans="1:53" ht="12" x14ac:dyDescent="0.2">
      <c r="A2023" s="10" t="s">
        <v>2071</v>
      </c>
      <c r="B2023" s="39">
        <v>810003</v>
      </c>
      <c r="C2023" s="42" t="s">
        <v>4235</v>
      </c>
      <c r="D2023" s="86" t="s">
        <v>2953</v>
      </c>
      <c r="E2023" s="86" t="s">
        <v>501</v>
      </c>
      <c r="F2023" s="32" t="s">
        <v>480</v>
      </c>
      <c r="G2023" s="32" t="s">
        <v>1453</v>
      </c>
      <c r="O2023" s="32">
        <v>8</v>
      </c>
      <c r="P2023" s="32">
        <v>81</v>
      </c>
      <c r="Q2023" s="1"/>
      <c r="R2023" s="1"/>
      <c r="S2023" s="1"/>
      <c r="T2023" s="1"/>
      <c r="U2023" s="1"/>
      <c r="V2023" s="1"/>
      <c r="W2023" s="1" t="s">
        <v>2193</v>
      </c>
      <c r="X2023" s="1" t="s">
        <v>2193</v>
      </c>
      <c r="Y2023" s="1" t="s">
        <v>2193</v>
      </c>
      <c r="Z2023" s="1" t="s">
        <v>2193</v>
      </c>
      <c r="AA2023" s="1" t="s">
        <v>2193</v>
      </c>
      <c r="AB2023" s="1">
        <v>4563</v>
      </c>
      <c r="AD2023" s="12" t="s">
        <v>52</v>
      </c>
      <c r="AE2023" s="39" t="str">
        <f t="shared" si="232"/>
        <v>8221,8222</v>
      </c>
      <c r="AN2023" s="12"/>
      <c r="AR2023" s="34">
        <v>1</v>
      </c>
      <c r="AS2023" s="34">
        <v>1</v>
      </c>
      <c r="AU2023" s="12" t="s">
        <v>1978</v>
      </c>
      <c r="AW2023" s="39">
        <v>3</v>
      </c>
      <c r="AX2023" s="12">
        <f>VLOOKUP(AW2023,색인!$N$14:$O$19,2,FALSE)</f>
        <v>2</v>
      </c>
      <c r="AY2023" s="39" t="str">
        <f>"T"&amp;O2023&amp;"_"&amp;AX2023&amp;"옵션_"&amp;VLOOKUP(E2023,색인!$J$25:$K$29,2,FALSE)</f>
        <v>T8_2옵션_보조장비</v>
      </c>
      <c r="AZ2023" s="39">
        <f>VLOOKUP(G2023,색인!$J$32:$K$45,2,FALSE)</f>
        <v>4</v>
      </c>
      <c r="BA2023" s="39" t="str">
        <f>_xlfn.IFNA(VLOOKUP(AY2023,표1[[검색용]:[OptionGroupIndex'[']22]],EquipItemTable!AZ2023,FALSE),"옵션고정안함")</f>
        <v>8221,8222</v>
      </c>
    </row>
    <row r="2024" spans="1:53" ht="12" x14ac:dyDescent="0.2">
      <c r="A2024" s="10" t="s">
        <v>2072</v>
      </c>
      <c r="B2024" s="39">
        <v>810004</v>
      </c>
      <c r="C2024" s="42" t="s">
        <v>4236</v>
      </c>
      <c r="D2024" s="86" t="s">
        <v>2953</v>
      </c>
      <c r="E2024" s="86" t="s">
        <v>501</v>
      </c>
      <c r="F2024" s="32" t="s">
        <v>480</v>
      </c>
      <c r="G2024" s="32" t="s">
        <v>1453</v>
      </c>
      <c r="O2024" s="32">
        <v>8</v>
      </c>
      <c r="P2024" s="32">
        <v>81</v>
      </c>
      <c r="Q2024" s="1"/>
      <c r="R2024" s="1"/>
      <c r="S2024" s="1"/>
      <c r="T2024" s="1"/>
      <c r="U2024" s="1"/>
      <c r="V2024" s="1"/>
      <c r="W2024" s="1" t="s">
        <v>2193</v>
      </c>
      <c r="X2024" s="1" t="s">
        <v>2193</v>
      </c>
      <c r="Y2024" s="1" t="s">
        <v>2193</v>
      </c>
      <c r="Z2024" s="1" t="s">
        <v>2193</v>
      </c>
      <c r="AA2024" s="1" t="s">
        <v>2193</v>
      </c>
      <c r="AB2024" s="1">
        <v>4850</v>
      </c>
      <c r="AD2024" s="12" t="s">
        <v>52</v>
      </c>
      <c r="AE2024" s="39" t="str">
        <f t="shared" si="232"/>
        <v>8321,8322</v>
      </c>
      <c r="AN2024" s="12"/>
      <c r="AR2024" s="34">
        <v>1</v>
      </c>
      <c r="AS2024" s="34">
        <v>1</v>
      </c>
      <c r="AU2024" s="12" t="s">
        <v>1980</v>
      </c>
      <c r="AW2024" s="39">
        <v>4</v>
      </c>
      <c r="AX2024" s="12">
        <f>VLOOKUP(AW2024,색인!$N$14:$O$19,2,FALSE)</f>
        <v>3</v>
      </c>
      <c r="AY2024" s="39" t="str">
        <f>"T"&amp;O2024&amp;"_"&amp;AX2024&amp;"옵션_"&amp;VLOOKUP(E2024,색인!$J$25:$K$29,2,FALSE)</f>
        <v>T8_3옵션_보조장비</v>
      </c>
      <c r="AZ2024" s="39">
        <f>VLOOKUP(G2024,색인!$J$32:$K$45,2,FALSE)</f>
        <v>4</v>
      </c>
      <c r="BA2024" s="39" t="str">
        <f>_xlfn.IFNA(VLOOKUP(AY2024,표1[[검색용]:[OptionGroupIndex'[']22]],EquipItemTable!AZ2024,FALSE),"옵션고정안함")</f>
        <v>8321,8322</v>
      </c>
    </row>
    <row r="2025" spans="1:53" ht="12" x14ac:dyDescent="0.2">
      <c r="A2025" s="10" t="s">
        <v>2073</v>
      </c>
      <c r="B2025" s="39">
        <v>810005</v>
      </c>
      <c r="C2025" s="42" t="s">
        <v>4237</v>
      </c>
      <c r="D2025" s="86" t="s">
        <v>2953</v>
      </c>
      <c r="E2025" s="86" t="s">
        <v>501</v>
      </c>
      <c r="F2025" s="32" t="s">
        <v>480</v>
      </c>
      <c r="G2025" s="32" t="s">
        <v>1453</v>
      </c>
      <c r="O2025" s="32">
        <v>8</v>
      </c>
      <c r="P2025" s="32">
        <v>81</v>
      </c>
      <c r="Q2025" s="1"/>
      <c r="R2025" s="1"/>
      <c r="S2025" s="1"/>
      <c r="T2025" s="1"/>
      <c r="U2025" s="1"/>
      <c r="V2025" s="1"/>
      <c r="W2025" s="1" t="s">
        <v>2193</v>
      </c>
      <c r="X2025" s="1" t="s">
        <v>2193</v>
      </c>
      <c r="Y2025" s="1" t="s">
        <v>2193</v>
      </c>
      <c r="Z2025" s="1" t="s">
        <v>2193</v>
      </c>
      <c r="AA2025" s="1" t="s">
        <v>2193</v>
      </c>
      <c r="AB2025" s="1">
        <v>5089</v>
      </c>
      <c r="AD2025" s="12" t="s">
        <v>52</v>
      </c>
      <c r="AE2025" s="39" t="str">
        <f t="shared" si="232"/>
        <v>8321,8322</v>
      </c>
      <c r="AN2025" s="32">
        <v>104</v>
      </c>
      <c r="AR2025" s="34">
        <v>1</v>
      </c>
      <c r="AS2025" s="34">
        <v>1</v>
      </c>
      <c r="AU2025" s="12" t="s">
        <v>1982</v>
      </c>
      <c r="AW2025" s="39">
        <v>5</v>
      </c>
      <c r="AX2025" s="12">
        <f>VLOOKUP(AW2025,색인!$N$14:$O$19,2,FALSE)</f>
        <v>3</v>
      </c>
      <c r="AY2025" s="39" t="str">
        <f>"T"&amp;O2025&amp;"_"&amp;AX2025&amp;"옵션_"&amp;VLOOKUP(E2025,색인!$J$25:$K$29,2,FALSE)</f>
        <v>T8_3옵션_보조장비</v>
      </c>
      <c r="AZ2025" s="39">
        <f>VLOOKUP(G2025,색인!$J$32:$K$45,2,FALSE)</f>
        <v>4</v>
      </c>
      <c r="BA2025" s="39" t="str">
        <f>_xlfn.IFNA(VLOOKUP(AY2025,표1[[검색용]:[OptionGroupIndex'[']22]],EquipItemTable!AZ2025,FALSE),"옵션고정안함")</f>
        <v>8321,8322</v>
      </c>
    </row>
    <row r="2026" spans="1:53" ht="12" x14ac:dyDescent="0.2">
      <c r="A2026" s="10" t="s">
        <v>2074</v>
      </c>
      <c r="B2026" s="39">
        <v>810006</v>
      </c>
      <c r="C2026" s="42" t="s">
        <v>3758</v>
      </c>
      <c r="D2026" s="86" t="s">
        <v>2953</v>
      </c>
      <c r="E2026" s="86" t="s">
        <v>501</v>
      </c>
      <c r="F2026" s="32" t="s">
        <v>480</v>
      </c>
      <c r="G2026" s="32" t="s">
        <v>1453</v>
      </c>
      <c r="O2026" s="32">
        <v>8</v>
      </c>
      <c r="P2026" s="32">
        <v>81</v>
      </c>
      <c r="Q2026" s="1"/>
      <c r="R2026" s="1"/>
      <c r="S2026" s="1"/>
      <c r="T2026" s="1"/>
      <c r="U2026" s="1"/>
      <c r="V2026" s="1"/>
      <c r="W2026" s="1" t="s">
        <v>2193</v>
      </c>
      <c r="X2026" s="1" t="s">
        <v>2193</v>
      </c>
      <c r="Y2026" s="1" t="s">
        <v>2193</v>
      </c>
      <c r="Z2026" s="1" t="s">
        <v>2193</v>
      </c>
      <c r="AA2026" s="1" t="s">
        <v>2193</v>
      </c>
      <c r="AB2026" s="1">
        <v>5329</v>
      </c>
      <c r="AD2026" s="12" t="s">
        <v>52</v>
      </c>
      <c r="AE2026" s="39" t="str">
        <f>BA2026</f>
        <v>8421,8422</v>
      </c>
      <c r="AF2026" s="12" t="s">
        <v>2185</v>
      </c>
      <c r="AN2026" s="12">
        <v>1</v>
      </c>
      <c r="AR2026" s="34">
        <v>1</v>
      </c>
      <c r="AS2026" s="34">
        <v>1</v>
      </c>
      <c r="AU2026" s="12" t="s">
        <v>1936</v>
      </c>
      <c r="AW2026" s="39">
        <v>6</v>
      </c>
      <c r="AX2026" s="12">
        <f>VLOOKUP(AW2026,색인!$N$14:$O$19,2,FALSE)</f>
        <v>4</v>
      </c>
      <c r="AY2026" s="12" t="str">
        <f>"T"&amp;O2026&amp;"_"&amp;AX2026&amp;"옵션_"&amp;VLOOKUP(E2026,색인!$J$25:$K$29,2,FALSE)</f>
        <v>T8_4옵션_보조장비</v>
      </c>
      <c r="AZ2026" s="12">
        <f>VLOOKUP(G2026,색인!$J$32:$K$45,2,FALSE)</f>
        <v>4</v>
      </c>
      <c r="BA2026" s="12" t="str">
        <f>_xlfn.IFNA(VLOOKUP(AY2026,표1[[검색용]:[OptionGroupIndex'[']22]],EquipItemTable!AZ2026,FALSE),"옵션고정안함")</f>
        <v>8421,8422</v>
      </c>
    </row>
    <row r="2027" spans="1:53" ht="12" x14ac:dyDescent="0.2">
      <c r="A2027" s="10" t="s">
        <v>2075</v>
      </c>
      <c r="B2027" s="39">
        <v>810007</v>
      </c>
      <c r="C2027" s="42" t="s">
        <v>3759</v>
      </c>
      <c r="D2027" s="86" t="s">
        <v>2953</v>
      </c>
      <c r="E2027" s="86" t="s">
        <v>501</v>
      </c>
      <c r="F2027" s="32" t="s">
        <v>480</v>
      </c>
      <c r="G2027" s="32" t="s">
        <v>1453</v>
      </c>
      <c r="O2027" s="32">
        <v>8</v>
      </c>
      <c r="P2027" s="32">
        <v>81</v>
      </c>
      <c r="Q2027" s="1"/>
      <c r="R2027" s="1"/>
      <c r="S2027" s="1"/>
      <c r="T2027" s="1"/>
      <c r="U2027" s="1"/>
      <c r="V2027" s="1"/>
      <c r="W2027" s="1" t="s">
        <v>2193</v>
      </c>
      <c r="X2027" s="1" t="s">
        <v>2193</v>
      </c>
      <c r="Y2027" s="1" t="s">
        <v>2193</v>
      </c>
      <c r="Z2027" s="1" t="s">
        <v>2193</v>
      </c>
      <c r="AA2027" s="1" t="s">
        <v>2193</v>
      </c>
      <c r="AB2027" s="1">
        <v>5329</v>
      </c>
      <c r="AD2027" s="12" t="s">
        <v>52</v>
      </c>
      <c r="AE2027" s="39" t="str">
        <f>BA2027</f>
        <v>8421,8422</v>
      </c>
      <c r="AF2027" s="12" t="s">
        <v>2185</v>
      </c>
      <c r="AN2027" s="32" t="s">
        <v>1192</v>
      </c>
      <c r="AR2027" s="34">
        <v>1</v>
      </c>
      <c r="AS2027" s="34">
        <v>1</v>
      </c>
      <c r="AU2027" s="12" t="s">
        <v>1936</v>
      </c>
      <c r="AW2027" s="39">
        <v>6</v>
      </c>
      <c r="AX2027" s="12">
        <f>VLOOKUP(AW2027,색인!$N$14:$O$19,2,FALSE)</f>
        <v>4</v>
      </c>
      <c r="AY2027" s="12" t="str">
        <f>"T"&amp;O2027&amp;"_"&amp;AX2027&amp;"옵션_"&amp;VLOOKUP(E2027,색인!$J$25:$K$29,2,FALSE)</f>
        <v>T8_4옵션_보조장비</v>
      </c>
      <c r="AZ2027" s="12">
        <f>VLOOKUP(G2027,색인!$J$32:$K$45,2,FALSE)</f>
        <v>4</v>
      </c>
      <c r="BA2027" s="12" t="str">
        <f>_xlfn.IFNA(VLOOKUP(AY2027,표1[[검색용]:[OptionGroupIndex'[']22]],EquipItemTable!AZ2027,FALSE),"옵션고정안함")</f>
        <v>8421,8422</v>
      </c>
    </row>
    <row r="2028" spans="1:53" ht="12" x14ac:dyDescent="0.2">
      <c r="A2028" s="10" t="s">
        <v>2076</v>
      </c>
      <c r="B2028" s="39">
        <v>810008</v>
      </c>
      <c r="C2028" s="42" t="s">
        <v>3760</v>
      </c>
      <c r="D2028" s="86" t="s">
        <v>2953</v>
      </c>
      <c r="E2028" s="86" t="s">
        <v>501</v>
      </c>
      <c r="F2028" s="32" t="s">
        <v>480</v>
      </c>
      <c r="G2028" s="32" t="s">
        <v>1453</v>
      </c>
      <c r="O2028" s="32">
        <v>8</v>
      </c>
      <c r="P2028" s="32">
        <v>81</v>
      </c>
      <c r="Q2028" s="1"/>
      <c r="R2028" s="1"/>
      <c r="S2028" s="1"/>
      <c r="T2028" s="1"/>
      <c r="U2028" s="1"/>
      <c r="V2028" s="1"/>
      <c r="W2028" s="1" t="s">
        <v>2193</v>
      </c>
      <c r="X2028" s="1" t="s">
        <v>2193</v>
      </c>
      <c r="Y2028" s="1" t="s">
        <v>2193</v>
      </c>
      <c r="Z2028" s="1" t="s">
        <v>2193</v>
      </c>
      <c r="AA2028" s="1" t="s">
        <v>2193</v>
      </c>
      <c r="AB2028" s="1">
        <v>5329</v>
      </c>
      <c r="AD2028" s="12" t="s">
        <v>52</v>
      </c>
      <c r="AE2028" s="39" t="str">
        <f>BA2028</f>
        <v>8421,8422</v>
      </c>
      <c r="AF2028" s="12" t="s">
        <v>2185</v>
      </c>
      <c r="AN2028" s="32" t="s">
        <v>369</v>
      </c>
      <c r="AR2028" s="34">
        <v>1</v>
      </c>
      <c r="AS2028" s="34">
        <v>1</v>
      </c>
      <c r="AU2028" s="12" t="s">
        <v>1936</v>
      </c>
      <c r="AW2028" s="39">
        <v>6</v>
      </c>
      <c r="AX2028" s="12">
        <f>VLOOKUP(AW2028,색인!$N$14:$O$19,2,FALSE)</f>
        <v>4</v>
      </c>
      <c r="AY2028" s="12" t="str">
        <f>"T"&amp;O2028&amp;"_"&amp;AX2028&amp;"옵션_"&amp;VLOOKUP(E2028,색인!$J$25:$K$29,2,FALSE)</f>
        <v>T8_4옵션_보조장비</v>
      </c>
      <c r="AZ2028" s="12">
        <f>VLOOKUP(G2028,색인!$J$32:$K$45,2,FALSE)</f>
        <v>4</v>
      </c>
      <c r="BA2028" s="12" t="str">
        <f>_xlfn.IFNA(VLOOKUP(AY2028,표1[[검색용]:[OptionGroupIndex'[']22]],EquipItemTable!AZ2028,FALSE),"옵션고정안함")</f>
        <v>8421,8422</v>
      </c>
    </row>
    <row r="2029" spans="1:53" ht="12" x14ac:dyDescent="0.2">
      <c r="A2029" s="10" t="s">
        <v>2077</v>
      </c>
      <c r="B2029" s="39">
        <v>810009</v>
      </c>
      <c r="C2029" s="42" t="s">
        <v>3761</v>
      </c>
      <c r="D2029" s="86" t="s">
        <v>2953</v>
      </c>
      <c r="E2029" s="86" t="s">
        <v>501</v>
      </c>
      <c r="F2029" s="32" t="s">
        <v>480</v>
      </c>
      <c r="G2029" s="32" t="s">
        <v>1453</v>
      </c>
      <c r="O2029" s="32">
        <v>8</v>
      </c>
      <c r="P2029" s="32">
        <v>81</v>
      </c>
      <c r="Q2029" s="1"/>
      <c r="R2029" s="1"/>
      <c r="S2029" s="1"/>
      <c r="T2029" s="1"/>
      <c r="U2029" s="1"/>
      <c r="V2029" s="1"/>
      <c r="W2029" s="1" t="s">
        <v>2193</v>
      </c>
      <c r="X2029" s="1" t="s">
        <v>2193</v>
      </c>
      <c r="Y2029" s="1" t="s">
        <v>2193</v>
      </c>
      <c r="Z2029" s="1" t="s">
        <v>2193</v>
      </c>
      <c r="AA2029" s="1" t="s">
        <v>2193</v>
      </c>
      <c r="AB2029" s="1">
        <v>5329</v>
      </c>
      <c r="AD2029" s="12" t="s">
        <v>52</v>
      </c>
      <c r="AE2029" s="39" t="str">
        <f>BA2029</f>
        <v>8421,8422</v>
      </c>
      <c r="AF2029" s="12" t="s">
        <v>2185</v>
      </c>
      <c r="AN2029" s="32" t="s">
        <v>1194</v>
      </c>
      <c r="AR2029" s="34">
        <v>1</v>
      </c>
      <c r="AS2029" s="34">
        <v>1</v>
      </c>
      <c r="AU2029" s="12" t="s">
        <v>1936</v>
      </c>
      <c r="AW2029" s="39">
        <v>6</v>
      </c>
      <c r="AX2029" s="12">
        <f>VLOOKUP(AW2029,색인!$N$14:$O$19,2,FALSE)</f>
        <v>4</v>
      </c>
      <c r="AY2029" s="12" t="str">
        <f>"T"&amp;O2029&amp;"_"&amp;AX2029&amp;"옵션_"&amp;VLOOKUP(E2029,색인!$J$25:$K$29,2,FALSE)</f>
        <v>T8_4옵션_보조장비</v>
      </c>
      <c r="AZ2029" s="12">
        <f>VLOOKUP(G2029,색인!$J$32:$K$45,2,FALSE)</f>
        <v>4</v>
      </c>
      <c r="BA2029" s="12" t="str">
        <f>_xlfn.IFNA(VLOOKUP(AY2029,표1[[검색용]:[OptionGroupIndex'[']22]],EquipItemTable!AZ2029,FALSE),"옵션고정안함")</f>
        <v>8421,8422</v>
      </c>
    </row>
    <row r="2030" spans="1:53" ht="12" x14ac:dyDescent="0.2">
      <c r="A2030" s="10" t="s">
        <v>2078</v>
      </c>
      <c r="B2030" s="39">
        <v>810010</v>
      </c>
      <c r="C2030" s="42" t="s">
        <v>4238</v>
      </c>
      <c r="D2030" s="86" t="s">
        <v>2953</v>
      </c>
      <c r="E2030" s="86" t="s">
        <v>501</v>
      </c>
      <c r="F2030" s="32" t="s">
        <v>480</v>
      </c>
      <c r="G2030" s="32" t="s">
        <v>1453</v>
      </c>
      <c r="O2030" s="32">
        <v>8</v>
      </c>
      <c r="P2030" s="32">
        <v>81</v>
      </c>
      <c r="Q2030" s="1"/>
      <c r="R2030" s="1"/>
      <c r="S2030" s="1"/>
      <c r="T2030" s="1"/>
      <c r="U2030" s="1"/>
      <c r="V2030" s="1"/>
      <c r="W2030" s="1" t="s">
        <v>2193</v>
      </c>
      <c r="X2030" s="1" t="s">
        <v>2193</v>
      </c>
      <c r="Y2030" s="1" t="s">
        <v>2193</v>
      </c>
      <c r="Z2030" s="1" t="s">
        <v>2193</v>
      </c>
      <c r="AA2030" s="1" t="s">
        <v>2193</v>
      </c>
      <c r="AB2030" s="1">
        <v>5329</v>
      </c>
      <c r="AD2030" s="12" t="s">
        <v>52</v>
      </c>
      <c r="AE2030" s="39" t="s">
        <v>2187</v>
      </c>
      <c r="AF2030" s="12" t="s">
        <v>2185</v>
      </c>
      <c r="AN2030" s="32" t="s">
        <v>1169</v>
      </c>
      <c r="AR2030" s="34">
        <v>1</v>
      </c>
      <c r="AS2030" s="34">
        <v>1</v>
      </c>
      <c r="AU2030" s="12" t="s">
        <v>1936</v>
      </c>
      <c r="AW2030" s="39">
        <v>6</v>
      </c>
      <c r="AX2030" s="12">
        <f>VLOOKUP(AW2030,색인!$N$14:$O$19,2,FALSE)</f>
        <v>4</v>
      </c>
      <c r="AY2030" s="12" t="str">
        <f>"T"&amp;O2030&amp;"_"&amp;AX2030&amp;"옵션_"&amp;VLOOKUP(E2030,색인!$J$25:$K$29,2,FALSE)</f>
        <v>T8_4옵션_보조장비</v>
      </c>
      <c r="AZ2030" s="12">
        <f>VLOOKUP(G2030,색인!$J$32:$K$45,2,FALSE)</f>
        <v>4</v>
      </c>
      <c r="BA2030" s="12" t="str">
        <f>_xlfn.IFNA(VLOOKUP(AY2030,표1[[검색용]:[OptionGroupIndex'[']22]],EquipItemTable!AZ2030,FALSE),"옵션고정안함")</f>
        <v>8421,8422</v>
      </c>
    </row>
    <row r="2031" spans="1:53" ht="12" x14ac:dyDescent="0.2">
      <c r="A2031" s="10" t="s">
        <v>2079</v>
      </c>
      <c r="B2031" s="39">
        <v>811001</v>
      </c>
      <c r="C2031" s="42" t="s">
        <v>4239</v>
      </c>
      <c r="D2031" s="86" t="s">
        <v>2953</v>
      </c>
      <c r="E2031" s="86" t="s">
        <v>501</v>
      </c>
      <c r="F2031" s="32" t="s">
        <v>311</v>
      </c>
      <c r="G2031" s="32" t="s">
        <v>1472</v>
      </c>
      <c r="O2031" s="32">
        <v>8</v>
      </c>
      <c r="P2031" s="32">
        <v>81</v>
      </c>
      <c r="Q2031" s="1"/>
      <c r="R2031" s="1"/>
      <c r="S2031" s="1"/>
      <c r="T2031" s="1"/>
      <c r="U2031" s="1"/>
      <c r="V2031" s="1"/>
      <c r="W2031" s="1" t="s">
        <v>2193</v>
      </c>
      <c r="X2031" s="1" t="s">
        <v>2193</v>
      </c>
      <c r="Y2031" s="1" t="s">
        <v>2193</v>
      </c>
      <c r="Z2031" s="1" t="s">
        <v>2193</v>
      </c>
      <c r="AA2031" s="1" t="s">
        <v>2193</v>
      </c>
      <c r="AB2031" s="1">
        <v>1326</v>
      </c>
      <c r="AD2031" s="12" t="s">
        <v>52</v>
      </c>
      <c r="AE2031" s="12" t="s">
        <v>2187</v>
      </c>
      <c r="AF2031" s="12" t="s">
        <v>2185</v>
      </c>
      <c r="AN2031" s="12"/>
      <c r="AR2031" s="34">
        <v>1</v>
      </c>
      <c r="AS2031" s="34">
        <v>1</v>
      </c>
      <c r="AU2031" s="12">
        <v>1001</v>
      </c>
      <c r="AW2031" s="39">
        <v>1</v>
      </c>
      <c r="AY2031" s="12"/>
      <c r="AZ2031" s="12"/>
      <c r="BA2031" s="12"/>
    </row>
    <row r="2032" spans="1:53" ht="12" x14ac:dyDescent="0.2">
      <c r="A2032" s="10" t="s">
        <v>2080</v>
      </c>
      <c r="B2032" s="39">
        <v>811002</v>
      </c>
      <c r="C2032" s="42" t="s">
        <v>4240</v>
      </c>
      <c r="D2032" s="86" t="s">
        <v>2953</v>
      </c>
      <c r="E2032" s="86" t="s">
        <v>501</v>
      </c>
      <c r="F2032" s="32" t="s">
        <v>311</v>
      </c>
      <c r="G2032" s="32" t="s">
        <v>1472</v>
      </c>
      <c r="O2032" s="32">
        <v>8</v>
      </c>
      <c r="P2032" s="32">
        <v>81</v>
      </c>
      <c r="Q2032" s="1"/>
      <c r="R2032" s="1"/>
      <c r="S2032" s="1"/>
      <c r="T2032" s="1"/>
      <c r="U2032" s="1"/>
      <c r="V2032" s="1"/>
      <c r="W2032" s="1" t="s">
        <v>2193</v>
      </c>
      <c r="X2032" s="1" t="s">
        <v>2193</v>
      </c>
      <c r="Y2032" s="1" t="s">
        <v>2193</v>
      </c>
      <c r="Z2032" s="1" t="s">
        <v>2193</v>
      </c>
      <c r="AA2032" s="1" t="s">
        <v>2193</v>
      </c>
      <c r="AB2032" s="1">
        <v>1432</v>
      </c>
      <c r="AD2032" s="12" t="s">
        <v>52</v>
      </c>
      <c r="AE2032" s="39" t="str">
        <f t="shared" ref="AE2032:AE2035" si="233">BA2032</f>
        <v>8121</v>
      </c>
      <c r="AN2032" s="12"/>
      <c r="AR2032" s="34">
        <v>1</v>
      </c>
      <c r="AS2032" s="34">
        <v>1</v>
      </c>
      <c r="AU2032" s="12" t="s">
        <v>1976</v>
      </c>
      <c r="AW2032" s="39">
        <v>2</v>
      </c>
      <c r="AX2032" s="12">
        <f>VLOOKUP(AW2032,색인!$N$14:$O$19,2,FALSE)</f>
        <v>1</v>
      </c>
      <c r="AY2032" s="39" t="str">
        <f>"T"&amp;O2032&amp;"_"&amp;AX2032&amp;"옵션_"&amp;VLOOKUP(E2032,색인!$J$25:$K$29,2,FALSE)</f>
        <v>T8_1옵션_보조장비</v>
      </c>
      <c r="AZ2032" s="39">
        <f>VLOOKUP(G2032,색인!$J$32:$K$45,2,FALSE)</f>
        <v>2</v>
      </c>
      <c r="BA2032" s="39" t="str">
        <f>_xlfn.IFNA(VLOOKUP(AY2032,표1[[검색용]:[OptionGroupIndex'[']22]],EquipItemTable!AZ2032,FALSE),"옵션고정안함")</f>
        <v>8121</v>
      </c>
    </row>
    <row r="2033" spans="1:53" ht="12" x14ac:dyDescent="0.2">
      <c r="A2033" s="10" t="s">
        <v>2081</v>
      </c>
      <c r="B2033" s="39">
        <v>811003</v>
      </c>
      <c r="C2033" s="42" t="s">
        <v>4241</v>
      </c>
      <c r="D2033" s="86" t="s">
        <v>2953</v>
      </c>
      <c r="E2033" s="86" t="s">
        <v>501</v>
      </c>
      <c r="F2033" s="32" t="s">
        <v>311</v>
      </c>
      <c r="G2033" s="32" t="s">
        <v>1472</v>
      </c>
      <c r="O2033" s="32">
        <v>8</v>
      </c>
      <c r="P2033" s="32">
        <v>81</v>
      </c>
      <c r="Q2033" s="1"/>
      <c r="R2033" s="1"/>
      <c r="S2033" s="1"/>
      <c r="T2033" s="1"/>
      <c r="U2033" s="1"/>
      <c r="V2033" s="1"/>
      <c r="W2033" s="1" t="s">
        <v>2193</v>
      </c>
      <c r="X2033" s="1" t="s">
        <v>2193</v>
      </c>
      <c r="Y2033" s="1" t="s">
        <v>2193</v>
      </c>
      <c r="Z2033" s="1" t="s">
        <v>2193</v>
      </c>
      <c r="AA2033" s="1" t="s">
        <v>2193</v>
      </c>
      <c r="AB2033" s="1">
        <v>1521</v>
      </c>
      <c r="AD2033" s="12" t="s">
        <v>52</v>
      </c>
      <c r="AE2033" s="39" t="str">
        <f t="shared" si="233"/>
        <v>8221</v>
      </c>
      <c r="AN2033" s="12"/>
      <c r="AR2033" s="34">
        <v>1</v>
      </c>
      <c r="AS2033" s="34">
        <v>1</v>
      </c>
      <c r="AU2033" s="12" t="s">
        <v>1978</v>
      </c>
      <c r="AW2033" s="39">
        <v>3</v>
      </c>
      <c r="AX2033" s="12">
        <f>VLOOKUP(AW2033,색인!$N$14:$O$19,2,FALSE)</f>
        <v>2</v>
      </c>
      <c r="AY2033" s="39" t="str">
        <f>"T"&amp;O2033&amp;"_"&amp;AX2033&amp;"옵션_"&amp;VLOOKUP(E2033,색인!$J$25:$K$29,2,FALSE)</f>
        <v>T8_2옵션_보조장비</v>
      </c>
      <c r="AZ2033" s="39">
        <f>VLOOKUP(G2033,색인!$J$32:$K$45,2,FALSE)</f>
        <v>2</v>
      </c>
      <c r="BA2033" s="39" t="str">
        <f>_xlfn.IFNA(VLOOKUP(AY2033,표1[[검색용]:[OptionGroupIndex'[']22]],EquipItemTable!AZ2033,FALSE),"옵션고정안함")</f>
        <v>8221</v>
      </c>
    </row>
    <row r="2034" spans="1:53" ht="12" x14ac:dyDescent="0.2">
      <c r="A2034" s="10" t="s">
        <v>2082</v>
      </c>
      <c r="B2034" s="39">
        <v>811004</v>
      </c>
      <c r="C2034" s="42" t="s">
        <v>4242</v>
      </c>
      <c r="D2034" s="86" t="s">
        <v>2953</v>
      </c>
      <c r="E2034" s="86" t="s">
        <v>501</v>
      </c>
      <c r="F2034" s="32" t="s">
        <v>311</v>
      </c>
      <c r="G2034" s="32" t="s">
        <v>1472</v>
      </c>
      <c r="O2034" s="32">
        <v>8</v>
      </c>
      <c r="P2034" s="32">
        <v>81</v>
      </c>
      <c r="Q2034" s="1"/>
      <c r="R2034" s="1"/>
      <c r="S2034" s="1"/>
      <c r="T2034" s="1"/>
      <c r="U2034" s="1"/>
      <c r="V2034" s="1"/>
      <c r="W2034" s="1" t="s">
        <v>2193</v>
      </c>
      <c r="X2034" s="1" t="s">
        <v>2193</v>
      </c>
      <c r="Y2034" s="1" t="s">
        <v>2193</v>
      </c>
      <c r="Z2034" s="1" t="s">
        <v>2193</v>
      </c>
      <c r="AA2034" s="1" t="s">
        <v>2193</v>
      </c>
      <c r="AB2034" s="1">
        <v>1617</v>
      </c>
      <c r="AD2034" s="12" t="s">
        <v>52</v>
      </c>
      <c r="AE2034" s="39" t="str">
        <f t="shared" si="233"/>
        <v>8321</v>
      </c>
      <c r="AN2034" s="12"/>
      <c r="AR2034" s="34">
        <v>1</v>
      </c>
      <c r="AS2034" s="34">
        <v>1</v>
      </c>
      <c r="AU2034" s="12" t="s">
        <v>1980</v>
      </c>
      <c r="AW2034" s="39">
        <v>4</v>
      </c>
      <c r="AX2034" s="12">
        <f>VLOOKUP(AW2034,색인!$N$14:$O$19,2,FALSE)</f>
        <v>3</v>
      </c>
      <c r="AY2034" s="39" t="str">
        <f>"T"&amp;O2034&amp;"_"&amp;AX2034&amp;"옵션_"&amp;VLOOKUP(E2034,색인!$J$25:$K$29,2,FALSE)</f>
        <v>T8_3옵션_보조장비</v>
      </c>
      <c r="AZ2034" s="39">
        <f>VLOOKUP(G2034,색인!$J$32:$K$45,2,FALSE)</f>
        <v>2</v>
      </c>
      <c r="BA2034" s="39" t="str">
        <f>_xlfn.IFNA(VLOOKUP(AY2034,표1[[검색용]:[OptionGroupIndex'[']22]],EquipItemTable!AZ2034,FALSE),"옵션고정안함")</f>
        <v>8321</v>
      </c>
    </row>
    <row r="2035" spans="1:53" ht="12" x14ac:dyDescent="0.2">
      <c r="A2035" s="10" t="s">
        <v>2083</v>
      </c>
      <c r="B2035" s="39">
        <v>811005</v>
      </c>
      <c r="C2035" s="42" t="s">
        <v>4243</v>
      </c>
      <c r="D2035" s="86" t="s">
        <v>2953</v>
      </c>
      <c r="E2035" s="86" t="s">
        <v>501</v>
      </c>
      <c r="F2035" s="32" t="s">
        <v>311</v>
      </c>
      <c r="G2035" s="32" t="s">
        <v>1472</v>
      </c>
      <c r="O2035" s="32">
        <v>8</v>
      </c>
      <c r="P2035" s="32">
        <v>81</v>
      </c>
      <c r="Q2035" s="1"/>
      <c r="R2035" s="1"/>
      <c r="S2035" s="1"/>
      <c r="T2035" s="1"/>
      <c r="U2035" s="1"/>
      <c r="V2035" s="1"/>
      <c r="W2035" s="1" t="s">
        <v>2193</v>
      </c>
      <c r="X2035" s="1" t="s">
        <v>2193</v>
      </c>
      <c r="Y2035" s="1" t="s">
        <v>2193</v>
      </c>
      <c r="Z2035" s="1" t="s">
        <v>2193</v>
      </c>
      <c r="AA2035" s="1" t="s">
        <v>2193</v>
      </c>
      <c r="AB2035" s="1">
        <v>1698</v>
      </c>
      <c r="AD2035" s="12" t="s">
        <v>52</v>
      </c>
      <c r="AE2035" s="39" t="str">
        <f t="shared" si="233"/>
        <v>8321</v>
      </c>
      <c r="AN2035" s="32">
        <v>104</v>
      </c>
      <c r="AR2035" s="34">
        <v>1</v>
      </c>
      <c r="AS2035" s="34">
        <v>1</v>
      </c>
      <c r="AU2035" s="12" t="s">
        <v>1982</v>
      </c>
      <c r="AW2035" s="39">
        <v>5</v>
      </c>
      <c r="AX2035" s="12">
        <f>VLOOKUP(AW2035,색인!$N$14:$O$19,2,FALSE)</f>
        <v>3</v>
      </c>
      <c r="AY2035" s="39" t="str">
        <f>"T"&amp;O2035&amp;"_"&amp;AX2035&amp;"옵션_"&amp;VLOOKUP(E2035,색인!$J$25:$K$29,2,FALSE)</f>
        <v>T8_3옵션_보조장비</v>
      </c>
      <c r="AZ2035" s="39">
        <f>VLOOKUP(G2035,색인!$J$32:$K$45,2,FALSE)</f>
        <v>2</v>
      </c>
      <c r="BA2035" s="39" t="str">
        <f>_xlfn.IFNA(VLOOKUP(AY2035,표1[[검색용]:[OptionGroupIndex'[']22]],EquipItemTable!AZ2035,FALSE),"옵션고정안함")</f>
        <v>8321</v>
      </c>
    </row>
    <row r="2036" spans="1:53" ht="12" customHeight="1" x14ac:dyDescent="0.2">
      <c r="A2036" s="10" t="s">
        <v>2084</v>
      </c>
      <c r="B2036" s="39">
        <v>811006</v>
      </c>
      <c r="C2036" s="42" t="s">
        <v>3800</v>
      </c>
      <c r="D2036" s="86" t="s">
        <v>2953</v>
      </c>
      <c r="E2036" s="86" t="s">
        <v>501</v>
      </c>
      <c r="F2036" s="32" t="s">
        <v>311</v>
      </c>
      <c r="G2036" s="32" t="s">
        <v>1472</v>
      </c>
      <c r="O2036" s="32">
        <v>8</v>
      </c>
      <c r="P2036" s="32">
        <v>81</v>
      </c>
      <c r="Q2036" s="1"/>
      <c r="R2036" s="1"/>
      <c r="S2036" s="1"/>
      <c r="T2036" s="1"/>
      <c r="U2036" s="1"/>
      <c r="V2036" s="1"/>
      <c r="W2036" s="1" t="s">
        <v>2193</v>
      </c>
      <c r="X2036" s="1" t="s">
        <v>2193</v>
      </c>
      <c r="Y2036" s="1" t="s">
        <v>2193</v>
      </c>
      <c r="Z2036" s="1" t="s">
        <v>2193</v>
      </c>
      <c r="AA2036" s="1" t="s">
        <v>2193</v>
      </c>
      <c r="AB2036" s="1">
        <v>1777</v>
      </c>
      <c r="AD2036" s="12" t="s">
        <v>52</v>
      </c>
      <c r="AE2036" s="39" t="str">
        <f>BA2036</f>
        <v>8421</v>
      </c>
      <c r="AF2036" s="12" t="s">
        <v>2185</v>
      </c>
      <c r="AN2036" s="12">
        <v>1</v>
      </c>
      <c r="AR2036" s="34">
        <v>1</v>
      </c>
      <c r="AS2036" s="34">
        <v>1</v>
      </c>
      <c r="AU2036" s="12" t="s">
        <v>1936</v>
      </c>
      <c r="AW2036" s="39">
        <v>6</v>
      </c>
      <c r="AX2036" s="12">
        <f>VLOOKUP(AW2036,색인!$N$14:$O$19,2,FALSE)</f>
        <v>4</v>
      </c>
      <c r="AY2036" s="12" t="str">
        <f>"T"&amp;O2036&amp;"_"&amp;AX2036&amp;"옵션_"&amp;VLOOKUP(E2036,색인!$J$25:$K$29,2,FALSE)</f>
        <v>T8_4옵션_보조장비</v>
      </c>
      <c r="AZ2036" s="12">
        <f>VLOOKUP(G2036,색인!$J$32:$K$45,2,FALSE)</f>
        <v>2</v>
      </c>
      <c r="BA2036" s="12" t="str">
        <f>_xlfn.IFNA(VLOOKUP(AY2036,표1[[검색용]:[OptionGroupIndex'[']22]],EquipItemTable!AZ2036,FALSE),"옵션고정안함")</f>
        <v>8421</v>
      </c>
    </row>
    <row r="2037" spans="1:53" ht="12" x14ac:dyDescent="0.2">
      <c r="A2037" s="10" t="s">
        <v>2085</v>
      </c>
      <c r="B2037" s="39">
        <v>811007</v>
      </c>
      <c r="C2037" s="42" t="s">
        <v>3801</v>
      </c>
      <c r="D2037" s="86" t="s">
        <v>2953</v>
      </c>
      <c r="E2037" s="86" t="s">
        <v>501</v>
      </c>
      <c r="F2037" s="32" t="s">
        <v>311</v>
      </c>
      <c r="G2037" s="32" t="s">
        <v>1472</v>
      </c>
      <c r="O2037" s="32">
        <v>8</v>
      </c>
      <c r="P2037" s="32">
        <v>81</v>
      </c>
      <c r="Q2037" s="1"/>
      <c r="R2037" s="1"/>
      <c r="S2037" s="1"/>
      <c r="T2037" s="1"/>
      <c r="U2037" s="1"/>
      <c r="V2037" s="1"/>
      <c r="W2037" s="1" t="s">
        <v>2193</v>
      </c>
      <c r="X2037" s="1" t="s">
        <v>2193</v>
      </c>
      <c r="Y2037" s="1" t="s">
        <v>2193</v>
      </c>
      <c r="Z2037" s="1" t="s">
        <v>2193</v>
      </c>
      <c r="AA2037" s="1" t="s">
        <v>2193</v>
      </c>
      <c r="AB2037" s="1">
        <v>1777</v>
      </c>
      <c r="AD2037" s="12" t="s">
        <v>52</v>
      </c>
      <c r="AE2037" s="39" t="str">
        <f>BA2037</f>
        <v>8421</v>
      </c>
      <c r="AF2037" s="12" t="s">
        <v>2185</v>
      </c>
      <c r="AN2037" s="32" t="s">
        <v>1192</v>
      </c>
      <c r="AR2037" s="34">
        <v>1</v>
      </c>
      <c r="AS2037" s="34">
        <v>1</v>
      </c>
      <c r="AU2037" s="12" t="s">
        <v>1936</v>
      </c>
      <c r="AW2037" s="39">
        <v>6</v>
      </c>
      <c r="AX2037" s="12">
        <f>VLOOKUP(AW2037,색인!$N$14:$O$19,2,FALSE)</f>
        <v>4</v>
      </c>
      <c r="AY2037" s="12" t="str">
        <f>"T"&amp;O2037&amp;"_"&amp;AX2037&amp;"옵션_"&amp;VLOOKUP(E2037,색인!$J$25:$K$29,2,FALSE)</f>
        <v>T8_4옵션_보조장비</v>
      </c>
      <c r="AZ2037" s="12">
        <f>VLOOKUP(G2037,색인!$J$32:$K$45,2,FALSE)</f>
        <v>2</v>
      </c>
      <c r="BA2037" s="12" t="str">
        <f>_xlfn.IFNA(VLOOKUP(AY2037,표1[[검색용]:[OptionGroupIndex'[']22]],EquipItemTable!AZ2037,FALSE),"옵션고정안함")</f>
        <v>8421</v>
      </c>
    </row>
    <row r="2038" spans="1:53" ht="12" x14ac:dyDescent="0.2">
      <c r="A2038" s="10" t="s">
        <v>2086</v>
      </c>
      <c r="B2038" s="39">
        <v>811008</v>
      </c>
      <c r="C2038" s="42" t="s">
        <v>3802</v>
      </c>
      <c r="D2038" s="86" t="s">
        <v>2953</v>
      </c>
      <c r="E2038" s="86" t="s">
        <v>501</v>
      </c>
      <c r="F2038" s="32" t="s">
        <v>311</v>
      </c>
      <c r="G2038" s="32" t="s">
        <v>1472</v>
      </c>
      <c r="O2038" s="32">
        <v>8</v>
      </c>
      <c r="P2038" s="32">
        <v>81</v>
      </c>
      <c r="Q2038" s="1"/>
      <c r="R2038" s="1"/>
      <c r="S2038" s="1"/>
      <c r="T2038" s="1"/>
      <c r="U2038" s="1"/>
      <c r="V2038" s="1"/>
      <c r="W2038" s="1" t="s">
        <v>2193</v>
      </c>
      <c r="X2038" s="1" t="s">
        <v>2193</v>
      </c>
      <c r="Y2038" s="1" t="s">
        <v>2193</v>
      </c>
      <c r="Z2038" s="1" t="s">
        <v>2193</v>
      </c>
      <c r="AA2038" s="1" t="s">
        <v>2193</v>
      </c>
      <c r="AB2038" s="1">
        <v>1777</v>
      </c>
      <c r="AD2038" s="12" t="s">
        <v>52</v>
      </c>
      <c r="AE2038" s="39" t="str">
        <f>BA2038</f>
        <v>8421</v>
      </c>
      <c r="AF2038" s="12" t="s">
        <v>2185</v>
      </c>
      <c r="AN2038" s="32" t="s">
        <v>369</v>
      </c>
      <c r="AR2038" s="34">
        <v>1</v>
      </c>
      <c r="AS2038" s="34">
        <v>1</v>
      </c>
      <c r="AU2038" s="12" t="s">
        <v>1936</v>
      </c>
      <c r="AW2038" s="39">
        <v>6</v>
      </c>
      <c r="AX2038" s="12">
        <f>VLOOKUP(AW2038,색인!$N$14:$O$19,2,FALSE)</f>
        <v>4</v>
      </c>
      <c r="AY2038" s="12" t="str">
        <f>"T"&amp;O2038&amp;"_"&amp;AX2038&amp;"옵션_"&amp;VLOOKUP(E2038,색인!$J$25:$K$29,2,FALSE)</f>
        <v>T8_4옵션_보조장비</v>
      </c>
      <c r="AZ2038" s="12">
        <f>VLOOKUP(G2038,색인!$J$32:$K$45,2,FALSE)</f>
        <v>2</v>
      </c>
      <c r="BA2038" s="12" t="str">
        <f>_xlfn.IFNA(VLOOKUP(AY2038,표1[[검색용]:[OptionGroupIndex'[']22]],EquipItemTable!AZ2038,FALSE),"옵션고정안함")</f>
        <v>8421</v>
      </c>
    </row>
    <row r="2039" spans="1:53" ht="12" x14ac:dyDescent="0.2">
      <c r="A2039" s="10" t="s">
        <v>2087</v>
      </c>
      <c r="B2039" s="39">
        <v>811009</v>
      </c>
      <c r="C2039" s="42" t="s">
        <v>3803</v>
      </c>
      <c r="D2039" s="86" t="s">
        <v>2953</v>
      </c>
      <c r="E2039" s="86" t="s">
        <v>501</v>
      </c>
      <c r="F2039" s="32" t="s">
        <v>311</v>
      </c>
      <c r="G2039" s="32" t="s">
        <v>1472</v>
      </c>
      <c r="O2039" s="32">
        <v>8</v>
      </c>
      <c r="P2039" s="32">
        <v>81</v>
      </c>
      <c r="Q2039" s="1"/>
      <c r="R2039" s="1"/>
      <c r="S2039" s="1"/>
      <c r="T2039" s="1"/>
      <c r="U2039" s="1"/>
      <c r="V2039" s="1"/>
      <c r="W2039" s="1" t="s">
        <v>2193</v>
      </c>
      <c r="X2039" s="1" t="s">
        <v>2193</v>
      </c>
      <c r="Y2039" s="1" t="s">
        <v>2193</v>
      </c>
      <c r="Z2039" s="1" t="s">
        <v>2193</v>
      </c>
      <c r="AA2039" s="1" t="s">
        <v>2193</v>
      </c>
      <c r="AB2039" s="1">
        <v>1777</v>
      </c>
      <c r="AD2039" s="12" t="s">
        <v>52</v>
      </c>
      <c r="AE2039" s="39" t="str">
        <f>BA2039</f>
        <v>8421</v>
      </c>
      <c r="AF2039" s="12" t="s">
        <v>2185</v>
      </c>
      <c r="AN2039" s="32" t="s">
        <v>1194</v>
      </c>
      <c r="AR2039" s="34">
        <v>1</v>
      </c>
      <c r="AS2039" s="34">
        <v>1</v>
      </c>
      <c r="AU2039" s="12" t="s">
        <v>1936</v>
      </c>
      <c r="AW2039" s="39">
        <v>6</v>
      </c>
      <c r="AX2039" s="12">
        <f>VLOOKUP(AW2039,색인!$N$14:$O$19,2,FALSE)</f>
        <v>4</v>
      </c>
      <c r="AY2039" s="12" t="str">
        <f>"T"&amp;O2039&amp;"_"&amp;AX2039&amp;"옵션_"&amp;VLOOKUP(E2039,색인!$J$25:$K$29,2,FALSE)</f>
        <v>T8_4옵션_보조장비</v>
      </c>
      <c r="AZ2039" s="12">
        <f>VLOOKUP(G2039,색인!$J$32:$K$45,2,FALSE)</f>
        <v>2</v>
      </c>
      <c r="BA2039" s="12" t="str">
        <f>_xlfn.IFNA(VLOOKUP(AY2039,표1[[검색용]:[OptionGroupIndex'[']22]],EquipItemTable!AZ2039,FALSE),"옵션고정안함")</f>
        <v>8421</v>
      </c>
    </row>
    <row r="2040" spans="1:53" ht="12" x14ac:dyDescent="0.2">
      <c r="A2040" s="10" t="s">
        <v>2088</v>
      </c>
      <c r="B2040" s="39">
        <v>811010</v>
      </c>
      <c r="C2040" s="42" t="s">
        <v>4244</v>
      </c>
      <c r="D2040" s="86" t="s">
        <v>2953</v>
      </c>
      <c r="E2040" s="86" t="s">
        <v>501</v>
      </c>
      <c r="F2040" s="32" t="s">
        <v>311</v>
      </c>
      <c r="G2040" s="32" t="s">
        <v>1472</v>
      </c>
      <c r="O2040" s="32">
        <v>8</v>
      </c>
      <c r="P2040" s="32">
        <v>81</v>
      </c>
      <c r="Q2040" s="1"/>
      <c r="R2040" s="1"/>
      <c r="S2040" s="1"/>
      <c r="T2040" s="1"/>
      <c r="U2040" s="1"/>
      <c r="V2040" s="1"/>
      <c r="W2040" s="1" t="s">
        <v>2193</v>
      </c>
      <c r="X2040" s="1" t="s">
        <v>2193</v>
      </c>
      <c r="Y2040" s="1" t="s">
        <v>2193</v>
      </c>
      <c r="Z2040" s="1" t="s">
        <v>2193</v>
      </c>
      <c r="AA2040" s="1" t="s">
        <v>2193</v>
      </c>
      <c r="AB2040" s="1">
        <v>1777</v>
      </c>
      <c r="AD2040" s="12" t="s">
        <v>52</v>
      </c>
      <c r="AE2040" s="39" t="s">
        <v>2187</v>
      </c>
      <c r="AF2040" s="12" t="s">
        <v>2185</v>
      </c>
      <c r="AN2040" s="32" t="s">
        <v>1169</v>
      </c>
      <c r="AR2040" s="34">
        <v>1</v>
      </c>
      <c r="AS2040" s="34">
        <v>1</v>
      </c>
      <c r="AU2040" s="12" t="s">
        <v>1936</v>
      </c>
      <c r="AW2040" s="39">
        <v>6</v>
      </c>
      <c r="AX2040" s="12">
        <f>VLOOKUP(AW2040,색인!$N$14:$O$19,2,FALSE)</f>
        <v>4</v>
      </c>
      <c r="AY2040" s="12" t="str">
        <f>"T"&amp;O2040&amp;"_"&amp;AX2040&amp;"옵션_"&amp;VLOOKUP(E2040,색인!$J$25:$K$29,2,FALSE)</f>
        <v>T8_4옵션_보조장비</v>
      </c>
      <c r="AZ2040" s="12">
        <f>VLOOKUP(G2040,색인!$J$32:$K$45,2,FALSE)</f>
        <v>2</v>
      </c>
      <c r="BA2040" s="12" t="str">
        <f>_xlfn.IFNA(VLOOKUP(AY2040,표1[[검색용]:[OptionGroupIndex'[']22]],EquipItemTable!AZ2040,FALSE),"옵션고정안함")</f>
        <v>8421</v>
      </c>
    </row>
    <row r="2041" spans="1:53" ht="12" x14ac:dyDescent="0.2">
      <c r="A2041" s="10" t="s">
        <v>2178</v>
      </c>
      <c r="B2041" s="39">
        <v>812001</v>
      </c>
      <c r="C2041" s="42" t="s">
        <v>4245</v>
      </c>
      <c r="D2041" s="86" t="s">
        <v>2953</v>
      </c>
      <c r="E2041" s="86" t="s">
        <v>501</v>
      </c>
      <c r="F2041" s="32" t="s">
        <v>471</v>
      </c>
      <c r="G2041" s="32" t="s">
        <v>1491</v>
      </c>
      <c r="O2041" s="32">
        <v>8</v>
      </c>
      <c r="P2041" s="32">
        <v>81</v>
      </c>
      <c r="Q2041" s="1"/>
      <c r="R2041" s="1"/>
      <c r="S2041" s="1"/>
      <c r="T2041" s="1"/>
      <c r="U2041" s="1"/>
      <c r="V2041" s="1"/>
      <c r="W2041" s="1" t="s">
        <v>2193</v>
      </c>
      <c r="X2041" s="1" t="s">
        <v>2193</v>
      </c>
      <c r="Y2041" s="1" t="s">
        <v>2193</v>
      </c>
      <c r="Z2041" s="1" t="s">
        <v>2193</v>
      </c>
      <c r="AA2041" s="1" t="s">
        <v>2193</v>
      </c>
      <c r="AB2041" s="1">
        <v>2652</v>
      </c>
      <c r="AD2041" s="12" t="s">
        <v>52</v>
      </c>
      <c r="AE2041" s="12" t="s">
        <v>2187</v>
      </c>
      <c r="AF2041" s="12" t="s">
        <v>2185</v>
      </c>
      <c r="AN2041" s="12"/>
      <c r="AR2041" s="34">
        <v>1</v>
      </c>
      <c r="AS2041" s="34">
        <v>1</v>
      </c>
      <c r="AU2041" s="12">
        <v>1001</v>
      </c>
      <c r="AW2041" s="39">
        <v>1</v>
      </c>
      <c r="AY2041" s="12"/>
      <c r="AZ2041" s="12"/>
      <c r="BA2041" s="12"/>
    </row>
    <row r="2042" spans="1:53" ht="12" x14ac:dyDescent="0.2">
      <c r="A2042" s="10" t="s">
        <v>2089</v>
      </c>
      <c r="B2042" s="39">
        <v>812002</v>
      </c>
      <c r="C2042" s="42" t="s">
        <v>4246</v>
      </c>
      <c r="D2042" s="86" t="s">
        <v>2953</v>
      </c>
      <c r="E2042" s="86" t="s">
        <v>501</v>
      </c>
      <c r="F2042" s="32" t="s">
        <v>471</v>
      </c>
      <c r="G2042" s="32" t="s">
        <v>1491</v>
      </c>
      <c r="O2042" s="32">
        <v>8</v>
      </c>
      <c r="P2042" s="32">
        <v>81</v>
      </c>
      <c r="Q2042" s="1"/>
      <c r="R2042" s="1"/>
      <c r="S2042" s="1"/>
      <c r="T2042" s="1"/>
      <c r="U2042" s="1"/>
      <c r="V2042" s="1"/>
      <c r="W2042" s="1" t="s">
        <v>2193</v>
      </c>
      <c r="X2042" s="1" t="s">
        <v>2193</v>
      </c>
      <c r="Y2042" s="1" t="s">
        <v>2193</v>
      </c>
      <c r="Z2042" s="1" t="s">
        <v>2193</v>
      </c>
      <c r="AA2042" s="1" t="s">
        <v>2193</v>
      </c>
      <c r="AB2042" s="1">
        <v>2860</v>
      </c>
      <c r="AD2042" s="12" t="s">
        <v>52</v>
      </c>
      <c r="AE2042" s="39" t="str">
        <f t="shared" ref="AE2042:AE2045" si="234">BA2042</f>
        <v>8121</v>
      </c>
      <c r="AN2042" s="12"/>
      <c r="AR2042" s="34">
        <v>1</v>
      </c>
      <c r="AS2042" s="34">
        <v>1</v>
      </c>
      <c r="AU2042" s="12" t="s">
        <v>1976</v>
      </c>
      <c r="AW2042" s="39">
        <v>2</v>
      </c>
      <c r="AX2042" s="12">
        <f>VLOOKUP(AW2042,색인!$N$14:$O$19,2,FALSE)</f>
        <v>1</v>
      </c>
      <c r="AY2042" s="39" t="str">
        <f>"T"&amp;O2042&amp;"_"&amp;AX2042&amp;"옵션_"&amp;VLOOKUP(E2042,색인!$J$25:$K$29,2,FALSE)</f>
        <v>T8_1옵션_보조장비</v>
      </c>
      <c r="AZ2042" s="39">
        <f>VLOOKUP(G2042,색인!$J$32:$K$45,2,FALSE)</f>
        <v>2</v>
      </c>
      <c r="BA2042" s="39" t="str">
        <f>_xlfn.IFNA(VLOOKUP(AY2042,표1[[검색용]:[OptionGroupIndex'[']22]],EquipItemTable!AZ2042,FALSE),"옵션고정안함")</f>
        <v>8121</v>
      </c>
    </row>
    <row r="2043" spans="1:53" ht="12" x14ac:dyDescent="0.2">
      <c r="A2043" s="10" t="s">
        <v>2090</v>
      </c>
      <c r="B2043" s="39">
        <v>812003</v>
      </c>
      <c r="C2043" s="42" t="s">
        <v>4247</v>
      </c>
      <c r="D2043" s="86" t="s">
        <v>2953</v>
      </c>
      <c r="E2043" s="86" t="s">
        <v>501</v>
      </c>
      <c r="F2043" s="32" t="s">
        <v>471</v>
      </c>
      <c r="G2043" s="32" t="s">
        <v>1491</v>
      </c>
      <c r="O2043" s="32">
        <v>8</v>
      </c>
      <c r="P2043" s="32">
        <v>81</v>
      </c>
      <c r="Q2043" s="1"/>
      <c r="R2043" s="1"/>
      <c r="S2043" s="1"/>
      <c r="T2043" s="1"/>
      <c r="U2043" s="1"/>
      <c r="V2043" s="1"/>
      <c r="W2043" s="1" t="s">
        <v>2193</v>
      </c>
      <c r="X2043" s="1" t="s">
        <v>2193</v>
      </c>
      <c r="Y2043" s="1" t="s">
        <v>2193</v>
      </c>
      <c r="Z2043" s="1" t="s">
        <v>2193</v>
      </c>
      <c r="AA2043" s="1" t="s">
        <v>2193</v>
      </c>
      <c r="AB2043" s="1">
        <v>3042</v>
      </c>
      <c r="AD2043" s="12" t="s">
        <v>52</v>
      </c>
      <c r="AE2043" s="39" t="str">
        <f t="shared" si="234"/>
        <v>8221</v>
      </c>
      <c r="AN2043" s="12"/>
      <c r="AR2043" s="34">
        <v>1</v>
      </c>
      <c r="AS2043" s="34">
        <v>1</v>
      </c>
      <c r="AU2043" s="12" t="s">
        <v>1978</v>
      </c>
      <c r="AW2043" s="39">
        <v>3</v>
      </c>
      <c r="AX2043" s="12">
        <f>VLOOKUP(AW2043,색인!$N$14:$O$19,2,FALSE)</f>
        <v>2</v>
      </c>
      <c r="AY2043" s="39" t="str">
        <f>"T"&amp;O2043&amp;"_"&amp;AX2043&amp;"옵션_"&amp;VLOOKUP(E2043,색인!$J$25:$K$29,2,FALSE)</f>
        <v>T8_2옵션_보조장비</v>
      </c>
      <c r="AZ2043" s="39">
        <f>VLOOKUP(G2043,색인!$J$32:$K$45,2,FALSE)</f>
        <v>2</v>
      </c>
      <c r="BA2043" s="39" t="str">
        <f>_xlfn.IFNA(VLOOKUP(AY2043,표1[[검색용]:[OptionGroupIndex'[']22]],EquipItemTable!AZ2043,FALSE),"옵션고정안함")</f>
        <v>8221</v>
      </c>
    </row>
    <row r="2044" spans="1:53" ht="12" x14ac:dyDescent="0.2">
      <c r="A2044" s="10" t="s">
        <v>2091</v>
      </c>
      <c r="B2044" s="39">
        <v>812004</v>
      </c>
      <c r="C2044" s="42" t="s">
        <v>4248</v>
      </c>
      <c r="D2044" s="86" t="s">
        <v>2953</v>
      </c>
      <c r="E2044" s="86" t="s">
        <v>501</v>
      </c>
      <c r="F2044" s="32" t="s">
        <v>471</v>
      </c>
      <c r="G2044" s="32" t="s">
        <v>1491</v>
      </c>
      <c r="O2044" s="32">
        <v>8</v>
      </c>
      <c r="P2044" s="32">
        <v>81</v>
      </c>
      <c r="Q2044" s="1"/>
      <c r="R2044" s="1"/>
      <c r="S2044" s="1"/>
      <c r="T2044" s="1"/>
      <c r="U2044" s="1"/>
      <c r="V2044" s="1"/>
      <c r="W2044" s="1" t="s">
        <v>2193</v>
      </c>
      <c r="X2044" s="1" t="s">
        <v>2193</v>
      </c>
      <c r="Y2044" s="1" t="s">
        <v>2193</v>
      </c>
      <c r="Z2044" s="1" t="s">
        <v>2193</v>
      </c>
      <c r="AA2044" s="1" t="s">
        <v>2193</v>
      </c>
      <c r="AB2044" s="1">
        <v>3234</v>
      </c>
      <c r="AD2044" s="12" t="s">
        <v>52</v>
      </c>
      <c r="AE2044" s="39" t="str">
        <f t="shared" si="234"/>
        <v>8321</v>
      </c>
      <c r="AN2044" s="12"/>
      <c r="AR2044" s="34">
        <v>1</v>
      </c>
      <c r="AS2044" s="34">
        <v>1</v>
      </c>
      <c r="AU2044" s="12" t="s">
        <v>1980</v>
      </c>
      <c r="AW2044" s="39">
        <v>4</v>
      </c>
      <c r="AX2044" s="12">
        <f>VLOOKUP(AW2044,색인!$N$14:$O$19,2,FALSE)</f>
        <v>3</v>
      </c>
      <c r="AY2044" s="39" t="str">
        <f>"T"&amp;O2044&amp;"_"&amp;AX2044&amp;"옵션_"&amp;VLOOKUP(E2044,색인!$J$25:$K$29,2,FALSE)</f>
        <v>T8_3옵션_보조장비</v>
      </c>
      <c r="AZ2044" s="39">
        <f>VLOOKUP(G2044,색인!$J$32:$K$45,2,FALSE)</f>
        <v>2</v>
      </c>
      <c r="BA2044" s="39" t="str">
        <f>_xlfn.IFNA(VLOOKUP(AY2044,표1[[검색용]:[OptionGroupIndex'[']22]],EquipItemTable!AZ2044,FALSE),"옵션고정안함")</f>
        <v>8321</v>
      </c>
    </row>
    <row r="2045" spans="1:53" ht="12" x14ac:dyDescent="0.2">
      <c r="A2045" s="10" t="s">
        <v>2092</v>
      </c>
      <c r="B2045" s="39">
        <v>812005</v>
      </c>
      <c r="C2045" s="42" t="s">
        <v>4249</v>
      </c>
      <c r="D2045" s="86" t="s">
        <v>2953</v>
      </c>
      <c r="E2045" s="86" t="s">
        <v>501</v>
      </c>
      <c r="F2045" s="32" t="s">
        <v>471</v>
      </c>
      <c r="G2045" s="32" t="s">
        <v>1491</v>
      </c>
      <c r="O2045" s="32">
        <v>8</v>
      </c>
      <c r="P2045" s="32">
        <v>81</v>
      </c>
      <c r="Q2045" s="1"/>
      <c r="R2045" s="1"/>
      <c r="S2045" s="1"/>
      <c r="T2045" s="1"/>
      <c r="U2045" s="1"/>
      <c r="V2045" s="1"/>
      <c r="W2045" s="1" t="s">
        <v>2193</v>
      </c>
      <c r="X2045" s="1" t="s">
        <v>2193</v>
      </c>
      <c r="Y2045" s="1" t="s">
        <v>2193</v>
      </c>
      <c r="Z2045" s="1" t="s">
        <v>2193</v>
      </c>
      <c r="AA2045" s="1" t="s">
        <v>2193</v>
      </c>
      <c r="AB2045" s="1">
        <v>3392</v>
      </c>
      <c r="AD2045" s="12" t="s">
        <v>52</v>
      </c>
      <c r="AE2045" s="39" t="str">
        <f t="shared" si="234"/>
        <v>8321</v>
      </c>
      <c r="AN2045" s="32">
        <v>104</v>
      </c>
      <c r="AR2045" s="34">
        <v>1</v>
      </c>
      <c r="AS2045" s="34">
        <v>1</v>
      </c>
      <c r="AU2045" s="12" t="s">
        <v>1982</v>
      </c>
      <c r="AW2045" s="39">
        <v>5</v>
      </c>
      <c r="AX2045" s="12">
        <f>VLOOKUP(AW2045,색인!$N$14:$O$19,2,FALSE)</f>
        <v>3</v>
      </c>
      <c r="AY2045" s="39" t="str">
        <f>"T"&amp;O2045&amp;"_"&amp;AX2045&amp;"옵션_"&amp;VLOOKUP(E2045,색인!$J$25:$K$29,2,FALSE)</f>
        <v>T8_3옵션_보조장비</v>
      </c>
      <c r="AZ2045" s="39">
        <f>VLOOKUP(G2045,색인!$J$32:$K$45,2,FALSE)</f>
        <v>2</v>
      </c>
      <c r="BA2045" s="39" t="str">
        <f>_xlfn.IFNA(VLOOKUP(AY2045,표1[[검색용]:[OptionGroupIndex'[']22]],EquipItemTable!AZ2045,FALSE),"옵션고정안함")</f>
        <v>8321</v>
      </c>
    </row>
    <row r="2046" spans="1:53" ht="12" x14ac:dyDescent="0.2">
      <c r="A2046" s="10" t="s">
        <v>2093</v>
      </c>
      <c r="B2046" s="39">
        <v>812006</v>
      </c>
      <c r="C2046" s="42" t="s">
        <v>3842</v>
      </c>
      <c r="D2046" s="86" t="s">
        <v>2953</v>
      </c>
      <c r="E2046" s="86" t="s">
        <v>501</v>
      </c>
      <c r="F2046" s="32" t="s">
        <v>471</v>
      </c>
      <c r="G2046" s="32" t="s">
        <v>1491</v>
      </c>
      <c r="O2046" s="32">
        <v>8</v>
      </c>
      <c r="P2046" s="32">
        <v>81</v>
      </c>
      <c r="Q2046" s="1"/>
      <c r="R2046" s="1"/>
      <c r="S2046" s="1"/>
      <c r="T2046" s="1"/>
      <c r="U2046" s="1"/>
      <c r="V2046" s="1"/>
      <c r="W2046" s="1" t="s">
        <v>2193</v>
      </c>
      <c r="X2046" s="1" t="s">
        <v>2193</v>
      </c>
      <c r="Y2046" s="1" t="s">
        <v>2193</v>
      </c>
      <c r="Z2046" s="1" t="s">
        <v>2193</v>
      </c>
      <c r="AA2046" s="1" t="s">
        <v>2193</v>
      </c>
      <c r="AB2046" s="1">
        <v>3553</v>
      </c>
      <c r="AD2046" s="12" t="s">
        <v>52</v>
      </c>
      <c r="AE2046" s="39" t="str">
        <f>BA2046</f>
        <v>8421</v>
      </c>
      <c r="AF2046" s="12" t="s">
        <v>2185</v>
      </c>
      <c r="AN2046" s="12">
        <v>1</v>
      </c>
      <c r="AR2046" s="34">
        <v>1</v>
      </c>
      <c r="AS2046" s="34">
        <v>1</v>
      </c>
      <c r="AU2046" s="12" t="s">
        <v>1936</v>
      </c>
      <c r="AW2046" s="39">
        <v>6</v>
      </c>
      <c r="AX2046" s="12">
        <f>VLOOKUP(AW2046,색인!$N$14:$O$19,2,FALSE)</f>
        <v>4</v>
      </c>
      <c r="AY2046" s="12" t="str">
        <f>"T"&amp;O2046&amp;"_"&amp;AX2046&amp;"옵션_"&amp;VLOOKUP(E2046,색인!$J$25:$K$29,2,FALSE)</f>
        <v>T8_4옵션_보조장비</v>
      </c>
      <c r="AZ2046" s="12">
        <f>VLOOKUP(G2046,색인!$J$32:$K$45,2,FALSE)</f>
        <v>2</v>
      </c>
      <c r="BA2046" s="12" t="str">
        <f>_xlfn.IFNA(VLOOKUP(AY2046,표1[[검색용]:[OptionGroupIndex'[']22]],EquipItemTable!AZ2046,FALSE),"옵션고정안함")</f>
        <v>8421</v>
      </c>
    </row>
    <row r="2047" spans="1:53" ht="12" x14ac:dyDescent="0.2">
      <c r="A2047" s="10" t="s">
        <v>2094</v>
      </c>
      <c r="B2047" s="39">
        <v>812007</v>
      </c>
      <c r="C2047" s="42" t="s">
        <v>3843</v>
      </c>
      <c r="D2047" s="86" t="s">
        <v>2953</v>
      </c>
      <c r="E2047" s="86" t="s">
        <v>501</v>
      </c>
      <c r="F2047" s="32" t="s">
        <v>471</v>
      </c>
      <c r="G2047" s="32" t="s">
        <v>1491</v>
      </c>
      <c r="O2047" s="32">
        <v>8</v>
      </c>
      <c r="P2047" s="32">
        <v>81</v>
      </c>
      <c r="Q2047" s="1"/>
      <c r="R2047" s="1"/>
      <c r="S2047" s="1"/>
      <c r="T2047" s="1"/>
      <c r="U2047" s="1"/>
      <c r="V2047" s="1"/>
      <c r="W2047" s="1" t="s">
        <v>2193</v>
      </c>
      <c r="X2047" s="1" t="s">
        <v>2193</v>
      </c>
      <c r="Y2047" s="1" t="s">
        <v>2193</v>
      </c>
      <c r="Z2047" s="1" t="s">
        <v>2193</v>
      </c>
      <c r="AA2047" s="1" t="s">
        <v>2193</v>
      </c>
      <c r="AB2047" s="1">
        <v>3553</v>
      </c>
      <c r="AD2047" s="12" t="s">
        <v>52</v>
      </c>
      <c r="AE2047" s="39" t="str">
        <f>BA2047</f>
        <v>8421</v>
      </c>
      <c r="AF2047" s="12" t="s">
        <v>2185</v>
      </c>
      <c r="AN2047" s="32" t="s">
        <v>1192</v>
      </c>
      <c r="AR2047" s="34">
        <v>1</v>
      </c>
      <c r="AS2047" s="34">
        <v>1</v>
      </c>
      <c r="AU2047" s="12" t="s">
        <v>1936</v>
      </c>
      <c r="AW2047" s="39">
        <v>6</v>
      </c>
      <c r="AX2047" s="12">
        <f>VLOOKUP(AW2047,색인!$N$14:$O$19,2,FALSE)</f>
        <v>4</v>
      </c>
      <c r="AY2047" s="12" t="str">
        <f>"T"&amp;O2047&amp;"_"&amp;AX2047&amp;"옵션_"&amp;VLOOKUP(E2047,색인!$J$25:$K$29,2,FALSE)</f>
        <v>T8_4옵션_보조장비</v>
      </c>
      <c r="AZ2047" s="12">
        <f>VLOOKUP(G2047,색인!$J$32:$K$45,2,FALSE)</f>
        <v>2</v>
      </c>
      <c r="BA2047" s="12" t="str">
        <f>_xlfn.IFNA(VLOOKUP(AY2047,표1[[검색용]:[OptionGroupIndex'[']22]],EquipItemTable!AZ2047,FALSE),"옵션고정안함")</f>
        <v>8421</v>
      </c>
    </row>
    <row r="2048" spans="1:53" ht="12" x14ac:dyDescent="0.2">
      <c r="A2048" s="10" t="s">
        <v>2095</v>
      </c>
      <c r="B2048" s="39">
        <v>812008</v>
      </c>
      <c r="C2048" s="42" t="s">
        <v>3844</v>
      </c>
      <c r="D2048" s="86" t="s">
        <v>2953</v>
      </c>
      <c r="E2048" s="86" t="s">
        <v>501</v>
      </c>
      <c r="F2048" s="32" t="s">
        <v>471</v>
      </c>
      <c r="G2048" s="32" t="s">
        <v>1491</v>
      </c>
      <c r="O2048" s="32">
        <v>8</v>
      </c>
      <c r="P2048" s="32">
        <v>81</v>
      </c>
      <c r="Q2048" s="1"/>
      <c r="R2048" s="1"/>
      <c r="S2048" s="1"/>
      <c r="T2048" s="1"/>
      <c r="U2048" s="1"/>
      <c r="V2048" s="1"/>
      <c r="W2048" s="1" t="s">
        <v>2193</v>
      </c>
      <c r="X2048" s="1" t="s">
        <v>2193</v>
      </c>
      <c r="Y2048" s="1" t="s">
        <v>2193</v>
      </c>
      <c r="Z2048" s="1" t="s">
        <v>2193</v>
      </c>
      <c r="AA2048" s="1" t="s">
        <v>2193</v>
      </c>
      <c r="AB2048" s="1">
        <v>3553</v>
      </c>
      <c r="AD2048" s="12" t="s">
        <v>52</v>
      </c>
      <c r="AE2048" s="39" t="str">
        <f>BA2048</f>
        <v>8421</v>
      </c>
      <c r="AF2048" s="12" t="s">
        <v>2185</v>
      </c>
      <c r="AN2048" s="32" t="s">
        <v>369</v>
      </c>
      <c r="AR2048" s="34">
        <v>1</v>
      </c>
      <c r="AS2048" s="34">
        <v>1</v>
      </c>
      <c r="AU2048" s="12" t="s">
        <v>1936</v>
      </c>
      <c r="AW2048" s="39">
        <v>6</v>
      </c>
      <c r="AX2048" s="12">
        <f>VLOOKUP(AW2048,색인!$N$14:$O$19,2,FALSE)</f>
        <v>4</v>
      </c>
      <c r="AY2048" s="12" t="str">
        <f>"T"&amp;O2048&amp;"_"&amp;AX2048&amp;"옵션_"&amp;VLOOKUP(E2048,색인!$J$25:$K$29,2,FALSE)</f>
        <v>T8_4옵션_보조장비</v>
      </c>
      <c r="AZ2048" s="12">
        <f>VLOOKUP(G2048,색인!$J$32:$K$45,2,FALSE)</f>
        <v>2</v>
      </c>
      <c r="BA2048" s="12" t="str">
        <f>_xlfn.IFNA(VLOOKUP(AY2048,표1[[검색용]:[OptionGroupIndex'[']22]],EquipItemTable!AZ2048,FALSE),"옵션고정안함")</f>
        <v>8421</v>
      </c>
    </row>
    <row r="2049" spans="1:53" ht="12" x14ac:dyDescent="0.2">
      <c r="A2049" s="10" t="s">
        <v>2096</v>
      </c>
      <c r="B2049" s="39">
        <v>812009</v>
      </c>
      <c r="C2049" s="42" t="s">
        <v>3845</v>
      </c>
      <c r="D2049" s="86" t="s">
        <v>2953</v>
      </c>
      <c r="E2049" s="86" t="s">
        <v>501</v>
      </c>
      <c r="F2049" s="32" t="s">
        <v>471</v>
      </c>
      <c r="G2049" s="32" t="s">
        <v>1491</v>
      </c>
      <c r="O2049" s="32">
        <v>8</v>
      </c>
      <c r="P2049" s="32">
        <v>81</v>
      </c>
      <c r="Q2049" s="1"/>
      <c r="R2049" s="1"/>
      <c r="S2049" s="1"/>
      <c r="T2049" s="1"/>
      <c r="U2049" s="1"/>
      <c r="V2049" s="1"/>
      <c r="W2049" s="1" t="s">
        <v>2193</v>
      </c>
      <c r="X2049" s="1" t="s">
        <v>2193</v>
      </c>
      <c r="Y2049" s="1" t="s">
        <v>2193</v>
      </c>
      <c r="Z2049" s="1" t="s">
        <v>2193</v>
      </c>
      <c r="AA2049" s="1" t="s">
        <v>2193</v>
      </c>
      <c r="AB2049" s="1">
        <v>3553</v>
      </c>
      <c r="AD2049" s="12" t="s">
        <v>52</v>
      </c>
      <c r="AE2049" s="39" t="str">
        <f>BA2049</f>
        <v>8421</v>
      </c>
      <c r="AF2049" s="12" t="s">
        <v>2185</v>
      </c>
      <c r="AN2049" s="32" t="s">
        <v>1194</v>
      </c>
      <c r="AR2049" s="34">
        <v>1</v>
      </c>
      <c r="AS2049" s="34">
        <v>1</v>
      </c>
      <c r="AU2049" s="12" t="s">
        <v>1936</v>
      </c>
      <c r="AW2049" s="39">
        <v>6</v>
      </c>
      <c r="AX2049" s="12">
        <f>VLOOKUP(AW2049,색인!$N$14:$O$19,2,FALSE)</f>
        <v>4</v>
      </c>
      <c r="AY2049" s="12" t="str">
        <f>"T"&amp;O2049&amp;"_"&amp;AX2049&amp;"옵션_"&amp;VLOOKUP(E2049,색인!$J$25:$K$29,2,FALSE)</f>
        <v>T8_4옵션_보조장비</v>
      </c>
      <c r="AZ2049" s="12">
        <f>VLOOKUP(G2049,색인!$J$32:$K$45,2,FALSE)</f>
        <v>2</v>
      </c>
      <c r="BA2049" s="12" t="str">
        <f>_xlfn.IFNA(VLOOKUP(AY2049,표1[[검색용]:[OptionGroupIndex'[']22]],EquipItemTable!AZ2049,FALSE),"옵션고정안함")</f>
        <v>8421</v>
      </c>
    </row>
    <row r="2050" spans="1:53" ht="12" x14ac:dyDescent="0.2">
      <c r="A2050" s="10" t="s">
        <v>2097</v>
      </c>
      <c r="B2050" s="39">
        <v>812010</v>
      </c>
      <c r="C2050" s="42" t="s">
        <v>4250</v>
      </c>
      <c r="D2050" s="86" t="s">
        <v>2953</v>
      </c>
      <c r="E2050" s="86" t="s">
        <v>501</v>
      </c>
      <c r="F2050" s="32" t="s">
        <v>471</v>
      </c>
      <c r="G2050" s="32" t="s">
        <v>1491</v>
      </c>
      <c r="O2050" s="32">
        <v>8</v>
      </c>
      <c r="P2050" s="32">
        <v>81</v>
      </c>
      <c r="Q2050" s="1"/>
      <c r="R2050" s="1"/>
      <c r="S2050" s="1"/>
      <c r="T2050" s="1"/>
      <c r="U2050" s="1"/>
      <c r="V2050" s="1"/>
      <c r="W2050" s="1" t="s">
        <v>2193</v>
      </c>
      <c r="X2050" s="1" t="s">
        <v>2193</v>
      </c>
      <c r="Y2050" s="1" t="s">
        <v>2193</v>
      </c>
      <c r="Z2050" s="1" t="s">
        <v>2193</v>
      </c>
      <c r="AA2050" s="1" t="s">
        <v>2193</v>
      </c>
      <c r="AB2050" s="1">
        <v>3553</v>
      </c>
      <c r="AD2050" s="12" t="s">
        <v>52</v>
      </c>
      <c r="AE2050" s="39" t="s">
        <v>2187</v>
      </c>
      <c r="AF2050" s="12" t="s">
        <v>2185</v>
      </c>
      <c r="AN2050" s="32" t="s">
        <v>1169</v>
      </c>
      <c r="AR2050" s="34">
        <v>1</v>
      </c>
      <c r="AS2050" s="34">
        <v>1</v>
      </c>
      <c r="AU2050" s="12" t="s">
        <v>1936</v>
      </c>
      <c r="AW2050" s="39">
        <v>6</v>
      </c>
      <c r="AX2050" s="12">
        <f>VLOOKUP(AW2050,색인!$N$14:$O$19,2,FALSE)</f>
        <v>4</v>
      </c>
      <c r="AY2050" s="12" t="str">
        <f>"T"&amp;O2050&amp;"_"&amp;AX2050&amp;"옵션_"&amp;VLOOKUP(E2050,색인!$J$25:$K$29,2,FALSE)</f>
        <v>T8_4옵션_보조장비</v>
      </c>
      <c r="AZ2050" s="12">
        <f>VLOOKUP(G2050,색인!$J$32:$K$45,2,FALSE)</f>
        <v>2</v>
      </c>
      <c r="BA2050" s="12" t="str">
        <f>_xlfn.IFNA(VLOOKUP(AY2050,표1[[검색용]:[OptionGroupIndex'[']22]],EquipItemTable!AZ2050,FALSE),"옵션고정안함")</f>
        <v>8421</v>
      </c>
    </row>
    <row r="2051" spans="1:53" ht="12" x14ac:dyDescent="0.2">
      <c r="A2051" s="10" t="s">
        <v>2098</v>
      </c>
      <c r="B2051" s="39">
        <v>813001</v>
      </c>
      <c r="C2051" s="42" t="s">
        <v>4251</v>
      </c>
      <c r="D2051" s="86" t="s">
        <v>2953</v>
      </c>
      <c r="E2051" s="86" t="s">
        <v>2</v>
      </c>
      <c r="F2051" s="32" t="s">
        <v>312</v>
      </c>
      <c r="G2051" s="32" t="s">
        <v>1568</v>
      </c>
      <c r="O2051" s="32">
        <v>8</v>
      </c>
      <c r="P2051" s="32">
        <v>81</v>
      </c>
      <c r="Q2051" s="1"/>
      <c r="R2051" s="1"/>
      <c r="S2051" s="1"/>
      <c r="T2051" s="1"/>
      <c r="U2051" s="1"/>
      <c r="V2051" s="1"/>
      <c r="W2051" s="1" t="s">
        <v>2193</v>
      </c>
      <c r="X2051" s="1" t="s">
        <v>2193</v>
      </c>
      <c r="Y2051" s="1">
        <v>169281</v>
      </c>
      <c r="Z2051" s="1" t="s">
        <v>2193</v>
      </c>
      <c r="AA2051" s="1" t="s">
        <v>2193</v>
      </c>
      <c r="AB2051" s="1" t="s">
        <v>2193</v>
      </c>
      <c r="AD2051" s="12" t="s">
        <v>52</v>
      </c>
      <c r="AE2051" s="12" t="s">
        <v>2187</v>
      </c>
      <c r="AF2051" s="12" t="s">
        <v>2185</v>
      </c>
      <c r="AN2051" s="12"/>
      <c r="AU2051" s="12">
        <v>1001</v>
      </c>
      <c r="AW2051" s="39">
        <v>1</v>
      </c>
      <c r="AY2051" s="12"/>
      <c r="AZ2051" s="12"/>
      <c r="BA2051" s="12"/>
    </row>
    <row r="2052" spans="1:53" ht="12" x14ac:dyDescent="0.2">
      <c r="A2052" s="10" t="s">
        <v>2099</v>
      </c>
      <c r="B2052" s="39">
        <v>813002</v>
      </c>
      <c r="C2052" s="42" t="s">
        <v>4252</v>
      </c>
      <c r="D2052" s="86" t="s">
        <v>2953</v>
      </c>
      <c r="E2052" s="86" t="s">
        <v>2</v>
      </c>
      <c r="F2052" s="32" t="s">
        <v>312</v>
      </c>
      <c r="G2052" s="32" t="s">
        <v>1568</v>
      </c>
      <c r="O2052" s="32">
        <v>8</v>
      </c>
      <c r="P2052" s="32">
        <v>81</v>
      </c>
      <c r="Q2052" s="1"/>
      <c r="R2052" s="1"/>
      <c r="S2052" s="1"/>
      <c r="T2052" s="1"/>
      <c r="U2052" s="1"/>
      <c r="V2052" s="1"/>
      <c r="W2052" s="1" t="s">
        <v>2193</v>
      </c>
      <c r="X2052" s="1" t="s">
        <v>2193</v>
      </c>
      <c r="Y2052" s="1">
        <v>182554</v>
      </c>
      <c r="Z2052" s="1" t="s">
        <v>2193</v>
      </c>
      <c r="AA2052" s="1" t="s">
        <v>2193</v>
      </c>
      <c r="AB2052" s="1" t="s">
        <v>2193</v>
      </c>
      <c r="AD2052" s="12" t="s">
        <v>52</v>
      </c>
      <c r="AE2052" s="39" t="str">
        <f t="shared" ref="AE2052:AE2055" si="235">BA2052</f>
        <v>8131,8132</v>
      </c>
      <c r="AN2052" s="12"/>
      <c r="AU2052" s="12" t="s">
        <v>1976</v>
      </c>
      <c r="AW2052" s="39">
        <v>2</v>
      </c>
      <c r="AX2052" s="12">
        <f>VLOOKUP(AW2052,색인!$N$14:$O$19,2,FALSE)</f>
        <v>1</v>
      </c>
      <c r="AY2052" s="39" t="str">
        <f>"T"&amp;O2052&amp;"_"&amp;AX2052&amp;"옵션_"&amp;VLOOKUP(E2052,색인!$J$25:$K$29,2,FALSE)</f>
        <v>T8_1옵션_장신구</v>
      </c>
      <c r="AZ2052" s="39">
        <f>VLOOKUP(G2052,색인!$J$32:$K$45,2,FALSE)</f>
        <v>4</v>
      </c>
      <c r="BA2052" s="39" t="str">
        <f>_xlfn.IFNA(VLOOKUP(AY2052,표1[[검색용]:[OptionGroupIndex'[']22]],EquipItemTable!AZ2052,FALSE),"옵션고정안함")</f>
        <v>8131,8132</v>
      </c>
    </row>
    <row r="2053" spans="1:53" ht="12" x14ac:dyDescent="0.2">
      <c r="A2053" s="10" t="s">
        <v>2100</v>
      </c>
      <c r="B2053" s="39">
        <v>813003</v>
      </c>
      <c r="C2053" s="42" t="s">
        <v>4253</v>
      </c>
      <c r="D2053" s="86" t="s">
        <v>2953</v>
      </c>
      <c r="E2053" s="86" t="s">
        <v>2</v>
      </c>
      <c r="F2053" s="32" t="s">
        <v>312</v>
      </c>
      <c r="G2053" s="32" t="s">
        <v>1568</v>
      </c>
      <c r="O2053" s="32">
        <v>8</v>
      </c>
      <c r="P2053" s="32">
        <v>81</v>
      </c>
      <c r="Q2053" s="1"/>
      <c r="R2053" s="1"/>
      <c r="S2053" s="1"/>
      <c r="T2053" s="1"/>
      <c r="U2053" s="1"/>
      <c r="V2053" s="1"/>
      <c r="W2053" s="1" t="s">
        <v>2193</v>
      </c>
      <c r="X2053" s="1" t="s">
        <v>2193</v>
      </c>
      <c r="Y2053" s="1">
        <v>194292</v>
      </c>
      <c r="Z2053" s="1" t="s">
        <v>2193</v>
      </c>
      <c r="AA2053" s="1" t="s">
        <v>2193</v>
      </c>
      <c r="AB2053" s="1" t="s">
        <v>2193</v>
      </c>
      <c r="AD2053" s="12" t="s">
        <v>52</v>
      </c>
      <c r="AE2053" s="39" t="str">
        <f t="shared" si="235"/>
        <v>8231,8232</v>
      </c>
      <c r="AN2053" s="12"/>
      <c r="AU2053" s="12" t="s">
        <v>1978</v>
      </c>
      <c r="AW2053" s="39">
        <v>3</v>
      </c>
      <c r="AX2053" s="12">
        <f>VLOOKUP(AW2053,색인!$N$14:$O$19,2,FALSE)</f>
        <v>2</v>
      </c>
      <c r="AY2053" s="39" t="str">
        <f>"T"&amp;O2053&amp;"_"&amp;AX2053&amp;"옵션_"&amp;VLOOKUP(E2053,색인!$J$25:$K$29,2,FALSE)</f>
        <v>T8_2옵션_장신구</v>
      </c>
      <c r="AZ2053" s="39">
        <f>VLOOKUP(G2053,색인!$J$32:$K$45,2,FALSE)</f>
        <v>4</v>
      </c>
      <c r="BA2053" s="39" t="str">
        <f>_xlfn.IFNA(VLOOKUP(AY2053,표1[[검색용]:[OptionGroupIndex'[']22]],EquipItemTable!AZ2053,FALSE),"옵션고정안함")</f>
        <v>8231,8232</v>
      </c>
    </row>
    <row r="2054" spans="1:53" ht="12" x14ac:dyDescent="0.2">
      <c r="A2054" s="10" t="s">
        <v>2101</v>
      </c>
      <c r="B2054" s="39">
        <v>813004</v>
      </c>
      <c r="C2054" s="42" t="s">
        <v>3249</v>
      </c>
      <c r="D2054" s="86" t="s">
        <v>2953</v>
      </c>
      <c r="E2054" s="86" t="s">
        <v>2</v>
      </c>
      <c r="F2054" s="32" t="s">
        <v>312</v>
      </c>
      <c r="G2054" s="32" t="s">
        <v>1568</v>
      </c>
      <c r="O2054" s="32">
        <v>8</v>
      </c>
      <c r="P2054" s="32">
        <v>81</v>
      </c>
      <c r="Q2054" s="1"/>
      <c r="R2054" s="1"/>
      <c r="S2054" s="1"/>
      <c r="T2054" s="1"/>
      <c r="U2054" s="1"/>
      <c r="V2054" s="1"/>
      <c r="W2054" s="1" t="s">
        <v>2193</v>
      </c>
      <c r="X2054" s="1" t="s">
        <v>2193</v>
      </c>
      <c r="Y2054" s="1">
        <v>206483</v>
      </c>
      <c r="Z2054" s="1" t="s">
        <v>2193</v>
      </c>
      <c r="AA2054" s="1" t="s">
        <v>2193</v>
      </c>
      <c r="AB2054" s="1" t="s">
        <v>2193</v>
      </c>
      <c r="AD2054" s="12" t="s">
        <v>52</v>
      </c>
      <c r="AE2054" s="39" t="str">
        <f t="shared" si="235"/>
        <v>8331,8332</v>
      </c>
      <c r="AN2054" s="12"/>
      <c r="AU2054" s="12" t="s">
        <v>1980</v>
      </c>
      <c r="AW2054" s="39">
        <v>4</v>
      </c>
      <c r="AX2054" s="12">
        <f>VLOOKUP(AW2054,색인!$N$14:$O$19,2,FALSE)</f>
        <v>3</v>
      </c>
      <c r="AY2054" s="39" t="str">
        <f>"T"&amp;O2054&amp;"_"&amp;AX2054&amp;"옵션_"&amp;VLOOKUP(E2054,색인!$J$25:$K$29,2,FALSE)</f>
        <v>T8_3옵션_장신구</v>
      </c>
      <c r="AZ2054" s="39">
        <f>VLOOKUP(G2054,색인!$J$32:$K$45,2,FALSE)</f>
        <v>4</v>
      </c>
      <c r="BA2054" s="39" t="str">
        <f>_xlfn.IFNA(VLOOKUP(AY2054,표1[[검색용]:[OptionGroupIndex'[']22]],EquipItemTable!AZ2054,FALSE),"옵션고정안함")</f>
        <v>8331,8332</v>
      </c>
    </row>
    <row r="2055" spans="1:53" ht="12" x14ac:dyDescent="0.2">
      <c r="A2055" s="10" t="s">
        <v>2102</v>
      </c>
      <c r="B2055" s="39">
        <v>813005</v>
      </c>
      <c r="C2055" s="42" t="s">
        <v>4254</v>
      </c>
      <c r="D2055" s="86" t="s">
        <v>2953</v>
      </c>
      <c r="E2055" s="86" t="s">
        <v>2</v>
      </c>
      <c r="F2055" s="32" t="s">
        <v>312</v>
      </c>
      <c r="G2055" s="32" t="s">
        <v>1568</v>
      </c>
      <c r="O2055" s="32">
        <v>8</v>
      </c>
      <c r="P2055" s="32">
        <v>81</v>
      </c>
      <c r="Q2055" s="1"/>
      <c r="R2055" s="1"/>
      <c r="S2055" s="1"/>
      <c r="T2055" s="1"/>
      <c r="U2055" s="1"/>
      <c r="V2055" s="1"/>
      <c r="W2055" s="1" t="s">
        <v>2193</v>
      </c>
      <c r="X2055" s="1" t="s">
        <v>2193</v>
      </c>
      <c r="Y2055" s="1">
        <v>216615</v>
      </c>
      <c r="Z2055" s="1" t="s">
        <v>2193</v>
      </c>
      <c r="AA2055" s="1" t="s">
        <v>2193</v>
      </c>
      <c r="AB2055" s="1" t="s">
        <v>2193</v>
      </c>
      <c r="AD2055" s="12" t="s">
        <v>52</v>
      </c>
      <c r="AE2055" s="39" t="str">
        <f t="shared" si="235"/>
        <v>8331,8332</v>
      </c>
      <c r="AN2055" s="32">
        <v>104</v>
      </c>
      <c r="AU2055" s="12" t="s">
        <v>1982</v>
      </c>
      <c r="AW2055" s="39">
        <v>5</v>
      </c>
      <c r="AX2055" s="12">
        <f>VLOOKUP(AW2055,색인!$N$14:$O$19,2,FALSE)</f>
        <v>3</v>
      </c>
      <c r="AY2055" s="39" t="str">
        <f>"T"&amp;O2055&amp;"_"&amp;AX2055&amp;"옵션_"&amp;VLOOKUP(E2055,색인!$J$25:$K$29,2,FALSE)</f>
        <v>T8_3옵션_장신구</v>
      </c>
      <c r="AZ2055" s="39">
        <f>VLOOKUP(G2055,색인!$J$32:$K$45,2,FALSE)</f>
        <v>4</v>
      </c>
      <c r="BA2055" s="39" t="str">
        <f>_xlfn.IFNA(VLOOKUP(AY2055,표1[[검색용]:[OptionGroupIndex'[']22]],EquipItemTable!AZ2055,FALSE),"옵션고정안함")</f>
        <v>8331,8332</v>
      </c>
    </row>
    <row r="2056" spans="1:53" ht="12" x14ac:dyDescent="0.2">
      <c r="A2056" s="10" t="s">
        <v>2179</v>
      </c>
      <c r="B2056" s="39">
        <v>813006</v>
      </c>
      <c r="C2056" s="42" t="s">
        <v>3894</v>
      </c>
      <c r="D2056" s="86" t="s">
        <v>2953</v>
      </c>
      <c r="E2056" s="86" t="s">
        <v>2</v>
      </c>
      <c r="F2056" s="32" t="s">
        <v>312</v>
      </c>
      <c r="G2056" s="32" t="s">
        <v>1568</v>
      </c>
      <c r="O2056" s="32">
        <v>8</v>
      </c>
      <c r="P2056" s="32">
        <v>81</v>
      </c>
      <c r="Q2056" s="1"/>
      <c r="R2056" s="1"/>
      <c r="S2056" s="1"/>
      <c r="T2056" s="1"/>
      <c r="U2056" s="1"/>
      <c r="V2056" s="1"/>
      <c r="W2056" s="1" t="s">
        <v>2193</v>
      </c>
      <c r="X2056" s="1" t="s">
        <v>2193</v>
      </c>
      <c r="Y2056" s="1">
        <v>226962</v>
      </c>
      <c r="Z2056" s="1" t="s">
        <v>2193</v>
      </c>
      <c r="AA2056" s="1" t="s">
        <v>2193</v>
      </c>
      <c r="AB2056" s="1" t="s">
        <v>2193</v>
      </c>
      <c r="AD2056" s="12" t="s">
        <v>52</v>
      </c>
      <c r="AE2056" s="39" t="str">
        <f>BA2056</f>
        <v>8431,8432</v>
      </c>
      <c r="AF2056" s="12" t="s">
        <v>2185</v>
      </c>
      <c r="AN2056" s="12">
        <v>1</v>
      </c>
      <c r="AU2056" s="12" t="s">
        <v>1936</v>
      </c>
      <c r="AW2056" s="39">
        <v>6</v>
      </c>
      <c r="AX2056" s="12">
        <f>VLOOKUP(AW2056,색인!$N$14:$O$19,2,FALSE)</f>
        <v>4</v>
      </c>
      <c r="AY2056" s="12" t="str">
        <f>"T"&amp;O2056&amp;"_"&amp;AX2056&amp;"옵션_"&amp;VLOOKUP(E2056,색인!$J$25:$K$29,2,FALSE)</f>
        <v>T8_4옵션_장신구</v>
      </c>
      <c r="AZ2056" s="12">
        <f>VLOOKUP(G2056,색인!$J$32:$K$45,2,FALSE)</f>
        <v>4</v>
      </c>
      <c r="BA2056" s="12" t="str">
        <f>_xlfn.IFNA(VLOOKUP(AY2056,표1[[검색용]:[OptionGroupIndex'[']22]],EquipItemTable!AZ2056,FALSE),"옵션고정안함")</f>
        <v>8431,8432</v>
      </c>
    </row>
    <row r="2057" spans="1:53" ht="12" x14ac:dyDescent="0.2">
      <c r="A2057" s="10" t="s">
        <v>2180</v>
      </c>
      <c r="B2057" s="39">
        <v>813007</v>
      </c>
      <c r="C2057" s="42" t="s">
        <v>3895</v>
      </c>
      <c r="D2057" s="86" t="s">
        <v>2953</v>
      </c>
      <c r="E2057" s="86" t="s">
        <v>2</v>
      </c>
      <c r="F2057" s="32" t="s">
        <v>312</v>
      </c>
      <c r="G2057" s="32" t="s">
        <v>1568</v>
      </c>
      <c r="O2057" s="32">
        <v>8</v>
      </c>
      <c r="P2057" s="32">
        <v>81</v>
      </c>
      <c r="Q2057" s="1"/>
      <c r="R2057" s="1"/>
      <c r="S2057" s="1"/>
      <c r="T2057" s="1"/>
      <c r="U2057" s="1"/>
      <c r="V2057" s="1"/>
      <c r="W2057" s="1" t="s">
        <v>2193</v>
      </c>
      <c r="X2057" s="1" t="s">
        <v>2193</v>
      </c>
      <c r="Y2057" s="1">
        <v>226962</v>
      </c>
      <c r="Z2057" s="1" t="s">
        <v>2193</v>
      </c>
      <c r="AA2057" s="1" t="s">
        <v>2193</v>
      </c>
      <c r="AB2057" s="1" t="s">
        <v>2193</v>
      </c>
      <c r="AD2057" s="12" t="s">
        <v>52</v>
      </c>
      <c r="AE2057" s="39" t="str">
        <f>BA2057</f>
        <v>8431,8432</v>
      </c>
      <c r="AF2057" s="12" t="s">
        <v>2185</v>
      </c>
      <c r="AN2057" s="32" t="s">
        <v>1192</v>
      </c>
      <c r="AU2057" s="12" t="s">
        <v>1936</v>
      </c>
      <c r="AW2057" s="39">
        <v>6</v>
      </c>
      <c r="AX2057" s="12">
        <f>VLOOKUP(AW2057,색인!$N$14:$O$19,2,FALSE)</f>
        <v>4</v>
      </c>
      <c r="AY2057" s="12" t="str">
        <f>"T"&amp;O2057&amp;"_"&amp;AX2057&amp;"옵션_"&amp;VLOOKUP(E2057,색인!$J$25:$K$29,2,FALSE)</f>
        <v>T8_4옵션_장신구</v>
      </c>
      <c r="AZ2057" s="12">
        <f>VLOOKUP(G2057,색인!$J$32:$K$45,2,FALSE)</f>
        <v>4</v>
      </c>
      <c r="BA2057" s="12" t="str">
        <f>_xlfn.IFNA(VLOOKUP(AY2057,표1[[검색용]:[OptionGroupIndex'[']22]],EquipItemTable!AZ2057,FALSE),"옵션고정안함")</f>
        <v>8431,8432</v>
      </c>
    </row>
    <row r="2058" spans="1:53" ht="12" x14ac:dyDescent="0.2">
      <c r="A2058" s="10" t="s">
        <v>2181</v>
      </c>
      <c r="B2058" s="39">
        <v>813008</v>
      </c>
      <c r="C2058" s="42" t="s">
        <v>3896</v>
      </c>
      <c r="D2058" s="86" t="s">
        <v>2953</v>
      </c>
      <c r="E2058" s="86" t="s">
        <v>2</v>
      </c>
      <c r="F2058" s="32" t="s">
        <v>312</v>
      </c>
      <c r="G2058" s="32" t="s">
        <v>1568</v>
      </c>
      <c r="O2058" s="32">
        <v>8</v>
      </c>
      <c r="P2058" s="32">
        <v>81</v>
      </c>
      <c r="Q2058" s="1"/>
      <c r="R2058" s="1"/>
      <c r="S2058" s="1"/>
      <c r="T2058" s="1"/>
      <c r="U2058" s="1"/>
      <c r="V2058" s="1"/>
      <c r="W2058" s="1" t="s">
        <v>2193</v>
      </c>
      <c r="X2058" s="1" t="s">
        <v>2193</v>
      </c>
      <c r="Y2058" s="1">
        <v>226962</v>
      </c>
      <c r="Z2058" s="1" t="s">
        <v>2193</v>
      </c>
      <c r="AA2058" s="1" t="s">
        <v>2193</v>
      </c>
      <c r="AB2058" s="1" t="s">
        <v>2193</v>
      </c>
      <c r="AD2058" s="12" t="s">
        <v>52</v>
      </c>
      <c r="AE2058" s="39" t="str">
        <f>BA2058</f>
        <v>8431,8432</v>
      </c>
      <c r="AF2058" s="12" t="s">
        <v>2185</v>
      </c>
      <c r="AN2058" s="32" t="s">
        <v>369</v>
      </c>
      <c r="AU2058" s="12" t="s">
        <v>1936</v>
      </c>
      <c r="AW2058" s="39">
        <v>6</v>
      </c>
      <c r="AX2058" s="12">
        <f>VLOOKUP(AW2058,색인!$N$14:$O$19,2,FALSE)</f>
        <v>4</v>
      </c>
      <c r="AY2058" s="12" t="str">
        <f>"T"&amp;O2058&amp;"_"&amp;AX2058&amp;"옵션_"&amp;VLOOKUP(E2058,색인!$J$25:$K$29,2,FALSE)</f>
        <v>T8_4옵션_장신구</v>
      </c>
      <c r="AZ2058" s="12">
        <f>VLOOKUP(G2058,색인!$J$32:$K$45,2,FALSE)</f>
        <v>4</v>
      </c>
      <c r="BA2058" s="12" t="str">
        <f>_xlfn.IFNA(VLOOKUP(AY2058,표1[[검색용]:[OptionGroupIndex'[']22]],EquipItemTable!AZ2058,FALSE),"옵션고정안함")</f>
        <v>8431,8432</v>
      </c>
    </row>
    <row r="2059" spans="1:53" ht="12" x14ac:dyDescent="0.2">
      <c r="A2059" s="10" t="s">
        <v>2182</v>
      </c>
      <c r="B2059" s="39">
        <v>813009</v>
      </c>
      <c r="C2059" s="42" t="s">
        <v>3897</v>
      </c>
      <c r="D2059" s="86" t="s">
        <v>2953</v>
      </c>
      <c r="E2059" s="86" t="s">
        <v>2</v>
      </c>
      <c r="F2059" s="32" t="s">
        <v>312</v>
      </c>
      <c r="G2059" s="32" t="s">
        <v>1568</v>
      </c>
      <c r="O2059" s="32">
        <v>8</v>
      </c>
      <c r="P2059" s="32">
        <v>81</v>
      </c>
      <c r="Q2059" s="1"/>
      <c r="R2059" s="1"/>
      <c r="S2059" s="1"/>
      <c r="T2059" s="1"/>
      <c r="U2059" s="1"/>
      <c r="V2059" s="1"/>
      <c r="W2059" s="1" t="s">
        <v>2193</v>
      </c>
      <c r="X2059" s="1" t="s">
        <v>2193</v>
      </c>
      <c r="Y2059" s="1">
        <v>226962</v>
      </c>
      <c r="Z2059" s="1" t="s">
        <v>2193</v>
      </c>
      <c r="AA2059" s="1" t="s">
        <v>2193</v>
      </c>
      <c r="AB2059" s="1" t="s">
        <v>2193</v>
      </c>
      <c r="AD2059" s="12" t="s">
        <v>52</v>
      </c>
      <c r="AE2059" s="39" t="str">
        <f>BA2059</f>
        <v>8431,8432</v>
      </c>
      <c r="AF2059" s="12" t="s">
        <v>2185</v>
      </c>
      <c r="AN2059" s="32" t="s">
        <v>1194</v>
      </c>
      <c r="AU2059" s="12" t="s">
        <v>1936</v>
      </c>
      <c r="AW2059" s="39">
        <v>6</v>
      </c>
      <c r="AX2059" s="12">
        <f>VLOOKUP(AW2059,색인!$N$14:$O$19,2,FALSE)</f>
        <v>4</v>
      </c>
      <c r="AY2059" s="12" t="str">
        <f>"T"&amp;O2059&amp;"_"&amp;AX2059&amp;"옵션_"&amp;VLOOKUP(E2059,색인!$J$25:$K$29,2,FALSE)</f>
        <v>T8_4옵션_장신구</v>
      </c>
      <c r="AZ2059" s="12">
        <f>VLOOKUP(G2059,색인!$J$32:$K$45,2,FALSE)</f>
        <v>4</v>
      </c>
      <c r="BA2059" s="12" t="str">
        <f>_xlfn.IFNA(VLOOKUP(AY2059,표1[[검색용]:[OptionGroupIndex'[']22]],EquipItemTable!AZ2059,FALSE),"옵션고정안함")</f>
        <v>8431,8432</v>
      </c>
    </row>
    <row r="2060" spans="1:53" ht="12" x14ac:dyDescent="0.2">
      <c r="A2060" s="10" t="s">
        <v>2183</v>
      </c>
      <c r="B2060" s="39">
        <v>813010</v>
      </c>
      <c r="C2060" s="42" t="s">
        <v>4255</v>
      </c>
      <c r="D2060" s="86" t="s">
        <v>2953</v>
      </c>
      <c r="E2060" s="86" t="s">
        <v>2</v>
      </c>
      <c r="F2060" s="32" t="s">
        <v>312</v>
      </c>
      <c r="G2060" s="32" t="s">
        <v>1568</v>
      </c>
      <c r="O2060" s="32">
        <v>8</v>
      </c>
      <c r="P2060" s="32">
        <v>81</v>
      </c>
      <c r="Q2060" s="1"/>
      <c r="R2060" s="1"/>
      <c r="S2060" s="1"/>
      <c r="T2060" s="1"/>
      <c r="U2060" s="1"/>
      <c r="V2060" s="1"/>
      <c r="W2060" s="1" t="s">
        <v>2193</v>
      </c>
      <c r="X2060" s="1" t="s">
        <v>2193</v>
      </c>
      <c r="Y2060" s="1">
        <v>226962</v>
      </c>
      <c r="Z2060" s="1" t="s">
        <v>2193</v>
      </c>
      <c r="AA2060" s="1" t="s">
        <v>2193</v>
      </c>
      <c r="AB2060" s="1" t="s">
        <v>2193</v>
      </c>
      <c r="AD2060" s="12" t="s">
        <v>52</v>
      </c>
      <c r="AE2060" s="39" t="s">
        <v>2187</v>
      </c>
      <c r="AF2060" s="12" t="s">
        <v>2185</v>
      </c>
      <c r="AN2060" s="32" t="s">
        <v>1169</v>
      </c>
      <c r="AU2060" s="12" t="s">
        <v>1936</v>
      </c>
      <c r="AW2060" s="39">
        <v>6</v>
      </c>
      <c r="AX2060" s="12">
        <f>VLOOKUP(AW2060,색인!$N$14:$O$19,2,FALSE)</f>
        <v>4</v>
      </c>
      <c r="AY2060" s="12" t="str">
        <f>"T"&amp;O2060&amp;"_"&amp;AX2060&amp;"옵션_"&amp;VLOOKUP(E2060,색인!$J$25:$K$29,2,FALSE)</f>
        <v>T8_4옵션_장신구</v>
      </c>
      <c r="AZ2060" s="12">
        <f>VLOOKUP(G2060,색인!$J$32:$K$45,2,FALSE)</f>
        <v>4</v>
      </c>
      <c r="BA2060" s="12" t="str">
        <f>_xlfn.IFNA(VLOOKUP(AY2060,표1[[검색용]:[OptionGroupIndex'[']22]],EquipItemTable!AZ2060,FALSE),"옵션고정안함")</f>
        <v>8431,8432</v>
      </c>
    </row>
    <row r="2061" spans="1:53" ht="12" x14ac:dyDescent="0.2">
      <c r="A2061" s="10" t="s">
        <v>2103</v>
      </c>
      <c r="B2061" s="39">
        <v>814001</v>
      </c>
      <c r="C2061" s="42" t="s">
        <v>4256</v>
      </c>
      <c r="D2061" s="86" t="s">
        <v>2953</v>
      </c>
      <c r="E2061" s="86" t="s">
        <v>2</v>
      </c>
      <c r="F2061" s="32" t="s">
        <v>312</v>
      </c>
      <c r="G2061" s="32" t="s">
        <v>1587</v>
      </c>
      <c r="O2061" s="32">
        <v>8</v>
      </c>
      <c r="P2061" s="32">
        <v>81</v>
      </c>
      <c r="Q2061" s="1"/>
      <c r="R2061" s="1"/>
      <c r="S2061" s="1"/>
      <c r="T2061" s="1"/>
      <c r="U2061" s="1"/>
      <c r="V2061" s="1"/>
      <c r="W2061" s="1">
        <v>3681</v>
      </c>
      <c r="X2061" s="1">
        <v>3681</v>
      </c>
      <c r="Y2061" s="1" t="s">
        <v>2193</v>
      </c>
      <c r="Z2061" s="1" t="s">
        <v>2193</v>
      </c>
      <c r="AA2061" s="1" t="s">
        <v>2193</v>
      </c>
      <c r="AB2061" s="1" t="s">
        <v>2193</v>
      </c>
      <c r="AD2061" s="12" t="s">
        <v>52</v>
      </c>
      <c r="AE2061" s="12" t="s">
        <v>2187</v>
      </c>
      <c r="AF2061" s="12" t="s">
        <v>2185</v>
      </c>
      <c r="AN2061" s="12"/>
      <c r="AU2061" s="12">
        <v>1001</v>
      </c>
      <c r="AW2061" s="39">
        <v>1</v>
      </c>
      <c r="AY2061" s="12"/>
      <c r="AZ2061" s="12"/>
      <c r="BA2061" s="12"/>
    </row>
    <row r="2062" spans="1:53" ht="12" x14ac:dyDescent="0.2">
      <c r="A2062" s="10" t="s">
        <v>2104</v>
      </c>
      <c r="B2062" s="39">
        <v>814002</v>
      </c>
      <c r="C2062" s="42" t="s">
        <v>4257</v>
      </c>
      <c r="D2062" s="86" t="s">
        <v>2953</v>
      </c>
      <c r="E2062" s="86" t="s">
        <v>2</v>
      </c>
      <c r="F2062" s="32" t="s">
        <v>312</v>
      </c>
      <c r="G2062" s="32" t="s">
        <v>1587</v>
      </c>
      <c r="O2062" s="32">
        <v>8</v>
      </c>
      <c r="P2062" s="32">
        <v>81</v>
      </c>
      <c r="Q2062" s="1"/>
      <c r="R2062" s="1"/>
      <c r="S2062" s="1"/>
      <c r="T2062" s="1"/>
      <c r="U2062" s="1"/>
      <c r="V2062" s="1"/>
      <c r="W2062" s="1">
        <v>3969</v>
      </c>
      <c r="X2062" s="1">
        <v>3969</v>
      </c>
      <c r="Y2062" s="1" t="s">
        <v>2193</v>
      </c>
      <c r="Z2062" s="1" t="s">
        <v>2193</v>
      </c>
      <c r="AA2062" s="1" t="s">
        <v>2193</v>
      </c>
      <c r="AB2062" s="1" t="s">
        <v>2193</v>
      </c>
      <c r="AD2062" s="12" t="s">
        <v>52</v>
      </c>
      <c r="AE2062" s="39" t="str">
        <f t="shared" ref="AE2062:AE2065" si="236">BA2062</f>
        <v>8131</v>
      </c>
      <c r="AN2062" s="12"/>
      <c r="AU2062" s="12" t="s">
        <v>1976</v>
      </c>
      <c r="AW2062" s="39">
        <v>2</v>
      </c>
      <c r="AX2062" s="12">
        <f>VLOOKUP(AW2062,색인!$N$14:$O$19,2,FALSE)</f>
        <v>1</v>
      </c>
      <c r="AY2062" s="39" t="str">
        <f>"T"&amp;O2062&amp;"_"&amp;AX2062&amp;"옵션_"&amp;VLOOKUP(E2062,색인!$J$25:$K$29,2,FALSE)</f>
        <v>T8_1옵션_장신구</v>
      </c>
      <c r="AZ2062" s="39">
        <f>VLOOKUP(G2062,색인!$J$32:$K$45,2,FALSE)</f>
        <v>2</v>
      </c>
      <c r="BA2062" s="39" t="str">
        <f>_xlfn.IFNA(VLOOKUP(AY2062,표1[[검색용]:[OptionGroupIndex'[']22]],EquipItemTable!AZ2062,FALSE),"옵션고정안함")</f>
        <v>8131</v>
      </c>
    </row>
    <row r="2063" spans="1:53" ht="12" x14ac:dyDescent="0.2">
      <c r="A2063" s="10" t="s">
        <v>2105</v>
      </c>
      <c r="B2063" s="39">
        <v>814003</v>
      </c>
      <c r="C2063" s="42" t="s">
        <v>4258</v>
      </c>
      <c r="D2063" s="86" t="s">
        <v>2953</v>
      </c>
      <c r="E2063" s="86" t="s">
        <v>2</v>
      </c>
      <c r="F2063" s="32" t="s">
        <v>312</v>
      </c>
      <c r="G2063" s="32" t="s">
        <v>1587</v>
      </c>
      <c r="O2063" s="32">
        <v>8</v>
      </c>
      <c r="P2063" s="32">
        <v>81</v>
      </c>
      <c r="Q2063" s="1"/>
      <c r="R2063" s="1"/>
      <c r="S2063" s="1"/>
      <c r="T2063" s="1"/>
      <c r="U2063" s="1"/>
      <c r="V2063" s="1"/>
      <c r="W2063" s="1">
        <v>4225</v>
      </c>
      <c r="X2063" s="1">
        <v>4225</v>
      </c>
      <c r="Y2063" s="1" t="s">
        <v>2193</v>
      </c>
      <c r="Z2063" s="1" t="s">
        <v>2193</v>
      </c>
      <c r="AA2063" s="1" t="s">
        <v>2193</v>
      </c>
      <c r="AB2063" s="1" t="s">
        <v>2193</v>
      </c>
      <c r="AD2063" s="12" t="s">
        <v>52</v>
      </c>
      <c r="AE2063" s="39" t="str">
        <f t="shared" si="236"/>
        <v>8231</v>
      </c>
      <c r="AN2063" s="12"/>
      <c r="AU2063" s="12" t="s">
        <v>1978</v>
      </c>
      <c r="AW2063" s="39">
        <v>3</v>
      </c>
      <c r="AX2063" s="12">
        <f>VLOOKUP(AW2063,색인!$N$14:$O$19,2,FALSE)</f>
        <v>2</v>
      </c>
      <c r="AY2063" s="39" t="str">
        <f>"T"&amp;O2063&amp;"_"&amp;AX2063&amp;"옵션_"&amp;VLOOKUP(E2063,색인!$J$25:$K$29,2,FALSE)</f>
        <v>T8_2옵션_장신구</v>
      </c>
      <c r="AZ2063" s="39">
        <f>VLOOKUP(G2063,색인!$J$32:$K$45,2,FALSE)</f>
        <v>2</v>
      </c>
      <c r="BA2063" s="39" t="str">
        <f>_xlfn.IFNA(VLOOKUP(AY2063,표1[[검색용]:[OptionGroupIndex'[']22]],EquipItemTable!AZ2063,FALSE),"옵션고정안함")</f>
        <v>8231</v>
      </c>
    </row>
    <row r="2064" spans="1:53" ht="12" x14ac:dyDescent="0.2">
      <c r="A2064" s="10" t="s">
        <v>2106</v>
      </c>
      <c r="B2064" s="39">
        <v>814004</v>
      </c>
      <c r="C2064" s="42" t="s">
        <v>4259</v>
      </c>
      <c r="D2064" s="86" t="s">
        <v>2953</v>
      </c>
      <c r="E2064" s="86" t="s">
        <v>2</v>
      </c>
      <c r="F2064" s="32" t="s">
        <v>312</v>
      </c>
      <c r="G2064" s="32" t="s">
        <v>1587</v>
      </c>
      <c r="O2064" s="32">
        <v>8</v>
      </c>
      <c r="P2064" s="32">
        <v>81</v>
      </c>
      <c r="Q2064" s="1"/>
      <c r="R2064" s="1"/>
      <c r="S2064" s="1"/>
      <c r="T2064" s="1"/>
      <c r="U2064" s="1"/>
      <c r="V2064" s="1"/>
      <c r="W2064" s="1">
        <v>4489</v>
      </c>
      <c r="X2064" s="1">
        <v>4489</v>
      </c>
      <c r="Y2064" s="1" t="s">
        <v>2193</v>
      </c>
      <c r="Z2064" s="1" t="s">
        <v>2193</v>
      </c>
      <c r="AA2064" s="1" t="s">
        <v>2193</v>
      </c>
      <c r="AB2064" s="1" t="s">
        <v>2193</v>
      </c>
      <c r="AD2064" s="12" t="s">
        <v>52</v>
      </c>
      <c r="AE2064" s="39" t="str">
        <f t="shared" si="236"/>
        <v>8331</v>
      </c>
      <c r="AN2064" s="12"/>
      <c r="AU2064" s="12" t="s">
        <v>1980</v>
      </c>
      <c r="AW2064" s="39">
        <v>4</v>
      </c>
      <c r="AX2064" s="12">
        <f>VLOOKUP(AW2064,색인!$N$14:$O$19,2,FALSE)</f>
        <v>3</v>
      </c>
      <c r="AY2064" s="39" t="str">
        <f>"T"&amp;O2064&amp;"_"&amp;AX2064&amp;"옵션_"&amp;VLOOKUP(E2064,색인!$J$25:$K$29,2,FALSE)</f>
        <v>T8_3옵션_장신구</v>
      </c>
      <c r="AZ2064" s="39">
        <f>VLOOKUP(G2064,색인!$J$32:$K$45,2,FALSE)</f>
        <v>2</v>
      </c>
      <c r="BA2064" s="39" t="str">
        <f>_xlfn.IFNA(VLOOKUP(AY2064,표1[[검색용]:[OptionGroupIndex'[']22]],EquipItemTable!AZ2064,FALSE),"옵션고정안함")</f>
        <v>8331</v>
      </c>
    </row>
    <row r="2065" spans="1:53" ht="12" x14ac:dyDescent="0.2">
      <c r="A2065" s="10" t="s">
        <v>2107</v>
      </c>
      <c r="B2065" s="39">
        <v>814005</v>
      </c>
      <c r="C2065" s="42" t="s">
        <v>4260</v>
      </c>
      <c r="D2065" s="86" t="s">
        <v>2953</v>
      </c>
      <c r="E2065" s="86" t="s">
        <v>2</v>
      </c>
      <c r="F2065" s="32" t="s">
        <v>312</v>
      </c>
      <c r="G2065" s="32" t="s">
        <v>1587</v>
      </c>
      <c r="O2065" s="32">
        <v>8</v>
      </c>
      <c r="P2065" s="32">
        <v>81</v>
      </c>
      <c r="Q2065" s="1"/>
      <c r="R2065" s="1"/>
      <c r="S2065" s="1"/>
      <c r="T2065" s="1"/>
      <c r="U2065" s="1"/>
      <c r="V2065" s="1"/>
      <c r="W2065" s="1">
        <v>4711</v>
      </c>
      <c r="X2065" s="1">
        <v>4711</v>
      </c>
      <c r="Y2065" s="1" t="s">
        <v>2193</v>
      </c>
      <c r="Z2065" s="1" t="s">
        <v>2193</v>
      </c>
      <c r="AA2065" s="1" t="s">
        <v>2193</v>
      </c>
      <c r="AB2065" s="1" t="s">
        <v>2193</v>
      </c>
      <c r="AD2065" s="12" t="s">
        <v>52</v>
      </c>
      <c r="AE2065" s="39" t="str">
        <f t="shared" si="236"/>
        <v>8331</v>
      </c>
      <c r="AN2065" s="32">
        <v>104</v>
      </c>
      <c r="AU2065" s="12" t="s">
        <v>1982</v>
      </c>
      <c r="AW2065" s="39">
        <v>5</v>
      </c>
      <c r="AX2065" s="12">
        <f>VLOOKUP(AW2065,색인!$N$14:$O$19,2,FALSE)</f>
        <v>3</v>
      </c>
      <c r="AY2065" s="39" t="str">
        <f>"T"&amp;O2065&amp;"_"&amp;AX2065&amp;"옵션_"&amp;VLOOKUP(E2065,색인!$J$25:$K$29,2,FALSE)</f>
        <v>T8_3옵션_장신구</v>
      </c>
      <c r="AZ2065" s="39">
        <f>VLOOKUP(G2065,색인!$J$32:$K$45,2,FALSE)</f>
        <v>2</v>
      </c>
      <c r="BA2065" s="39" t="str">
        <f>_xlfn.IFNA(VLOOKUP(AY2065,표1[[검색용]:[OptionGroupIndex'[']22]],EquipItemTable!AZ2065,FALSE),"옵션고정안함")</f>
        <v>8331</v>
      </c>
    </row>
    <row r="2066" spans="1:53" ht="12" x14ac:dyDescent="0.2">
      <c r="A2066" s="10" t="s">
        <v>2108</v>
      </c>
      <c r="B2066" s="39">
        <v>814006</v>
      </c>
      <c r="C2066" s="42" t="s">
        <v>3936</v>
      </c>
      <c r="D2066" s="86" t="s">
        <v>2953</v>
      </c>
      <c r="E2066" s="86" t="s">
        <v>2</v>
      </c>
      <c r="F2066" s="32" t="s">
        <v>312</v>
      </c>
      <c r="G2066" s="32" t="s">
        <v>1587</v>
      </c>
      <c r="O2066" s="32">
        <v>8</v>
      </c>
      <c r="P2066" s="32">
        <v>81</v>
      </c>
      <c r="Q2066" s="1"/>
      <c r="R2066" s="1"/>
      <c r="S2066" s="1"/>
      <c r="T2066" s="1"/>
      <c r="U2066" s="1"/>
      <c r="V2066" s="1"/>
      <c r="W2066" s="1">
        <v>4938</v>
      </c>
      <c r="X2066" s="1">
        <v>4938</v>
      </c>
      <c r="Y2066" s="1" t="s">
        <v>2193</v>
      </c>
      <c r="Z2066" s="1" t="s">
        <v>2193</v>
      </c>
      <c r="AA2066" s="1" t="s">
        <v>2193</v>
      </c>
      <c r="AB2066" s="1" t="s">
        <v>2193</v>
      </c>
      <c r="AD2066" s="12" t="s">
        <v>52</v>
      </c>
      <c r="AE2066" s="39" t="str">
        <f>BA2066</f>
        <v>8431</v>
      </c>
      <c r="AF2066" s="12" t="s">
        <v>2185</v>
      </c>
      <c r="AN2066" s="12">
        <v>1</v>
      </c>
      <c r="AU2066" s="12" t="s">
        <v>1936</v>
      </c>
      <c r="AW2066" s="39">
        <v>6</v>
      </c>
      <c r="AX2066" s="12">
        <f>VLOOKUP(AW2066,색인!$N$14:$O$19,2,FALSE)</f>
        <v>4</v>
      </c>
      <c r="AY2066" s="12" t="str">
        <f>"T"&amp;O2066&amp;"_"&amp;AX2066&amp;"옵션_"&amp;VLOOKUP(E2066,색인!$J$25:$K$29,2,FALSE)</f>
        <v>T8_4옵션_장신구</v>
      </c>
      <c r="AZ2066" s="12">
        <f>VLOOKUP(G2066,색인!$J$32:$K$45,2,FALSE)</f>
        <v>2</v>
      </c>
      <c r="BA2066" s="12" t="str">
        <f>_xlfn.IFNA(VLOOKUP(AY2066,표1[[검색용]:[OptionGroupIndex'[']22]],EquipItemTable!AZ2066,FALSE),"옵션고정안함")</f>
        <v>8431</v>
      </c>
    </row>
    <row r="2067" spans="1:53" ht="12" x14ac:dyDescent="0.2">
      <c r="A2067" s="10" t="s">
        <v>2109</v>
      </c>
      <c r="B2067" s="39">
        <v>814007</v>
      </c>
      <c r="C2067" s="42" t="s">
        <v>3937</v>
      </c>
      <c r="D2067" s="86" t="s">
        <v>2953</v>
      </c>
      <c r="E2067" s="86" t="s">
        <v>2</v>
      </c>
      <c r="F2067" s="32" t="s">
        <v>312</v>
      </c>
      <c r="G2067" s="32" t="s">
        <v>1587</v>
      </c>
      <c r="O2067" s="32">
        <v>8</v>
      </c>
      <c r="P2067" s="32">
        <v>81</v>
      </c>
      <c r="Q2067" s="1"/>
      <c r="R2067" s="1"/>
      <c r="S2067" s="1"/>
      <c r="T2067" s="1"/>
      <c r="U2067" s="1"/>
      <c r="V2067" s="1"/>
      <c r="W2067" s="1">
        <v>4938</v>
      </c>
      <c r="X2067" s="1">
        <v>4938</v>
      </c>
      <c r="Y2067" s="1" t="s">
        <v>2193</v>
      </c>
      <c r="Z2067" s="1" t="s">
        <v>2193</v>
      </c>
      <c r="AA2067" s="1" t="s">
        <v>2193</v>
      </c>
      <c r="AB2067" s="1" t="s">
        <v>2193</v>
      </c>
      <c r="AD2067" s="12" t="s">
        <v>52</v>
      </c>
      <c r="AE2067" s="39" t="str">
        <f>BA2067</f>
        <v>8431</v>
      </c>
      <c r="AF2067" s="12" t="s">
        <v>2185</v>
      </c>
      <c r="AN2067" s="32" t="s">
        <v>1192</v>
      </c>
      <c r="AU2067" s="12" t="s">
        <v>1936</v>
      </c>
      <c r="AW2067" s="39">
        <v>6</v>
      </c>
      <c r="AX2067" s="12">
        <f>VLOOKUP(AW2067,색인!$N$14:$O$19,2,FALSE)</f>
        <v>4</v>
      </c>
      <c r="AY2067" s="12" t="str">
        <f>"T"&amp;O2067&amp;"_"&amp;AX2067&amp;"옵션_"&amp;VLOOKUP(E2067,색인!$J$25:$K$29,2,FALSE)</f>
        <v>T8_4옵션_장신구</v>
      </c>
      <c r="AZ2067" s="12">
        <f>VLOOKUP(G2067,색인!$J$32:$K$45,2,FALSE)</f>
        <v>2</v>
      </c>
      <c r="BA2067" s="12" t="str">
        <f>_xlfn.IFNA(VLOOKUP(AY2067,표1[[검색용]:[OptionGroupIndex'[']22]],EquipItemTable!AZ2067,FALSE),"옵션고정안함")</f>
        <v>8431</v>
      </c>
    </row>
    <row r="2068" spans="1:53" ht="12" x14ac:dyDescent="0.2">
      <c r="A2068" s="10" t="s">
        <v>2110</v>
      </c>
      <c r="B2068" s="39">
        <v>814008</v>
      </c>
      <c r="C2068" s="42" t="s">
        <v>3938</v>
      </c>
      <c r="D2068" s="86" t="s">
        <v>2953</v>
      </c>
      <c r="E2068" s="86" t="s">
        <v>2</v>
      </c>
      <c r="F2068" s="32" t="s">
        <v>312</v>
      </c>
      <c r="G2068" s="32" t="s">
        <v>1587</v>
      </c>
      <c r="O2068" s="32">
        <v>8</v>
      </c>
      <c r="P2068" s="32">
        <v>81</v>
      </c>
      <c r="Q2068" s="1"/>
      <c r="R2068" s="1"/>
      <c r="S2068" s="1"/>
      <c r="T2068" s="1"/>
      <c r="U2068" s="1"/>
      <c r="V2068" s="1"/>
      <c r="W2068" s="1">
        <v>4938</v>
      </c>
      <c r="X2068" s="1">
        <v>4938</v>
      </c>
      <c r="Y2068" s="1" t="s">
        <v>2193</v>
      </c>
      <c r="Z2068" s="1" t="s">
        <v>2193</v>
      </c>
      <c r="AA2068" s="1" t="s">
        <v>2193</v>
      </c>
      <c r="AB2068" s="1" t="s">
        <v>2193</v>
      </c>
      <c r="AD2068" s="12" t="s">
        <v>52</v>
      </c>
      <c r="AE2068" s="39" t="str">
        <f>BA2068</f>
        <v>8431</v>
      </c>
      <c r="AF2068" s="12" t="s">
        <v>2185</v>
      </c>
      <c r="AN2068" s="32" t="s">
        <v>369</v>
      </c>
      <c r="AU2068" s="12" t="s">
        <v>1936</v>
      </c>
      <c r="AW2068" s="39">
        <v>6</v>
      </c>
      <c r="AX2068" s="12">
        <f>VLOOKUP(AW2068,색인!$N$14:$O$19,2,FALSE)</f>
        <v>4</v>
      </c>
      <c r="AY2068" s="12" t="str">
        <f>"T"&amp;O2068&amp;"_"&amp;AX2068&amp;"옵션_"&amp;VLOOKUP(E2068,색인!$J$25:$K$29,2,FALSE)</f>
        <v>T8_4옵션_장신구</v>
      </c>
      <c r="AZ2068" s="12">
        <f>VLOOKUP(G2068,색인!$J$32:$K$45,2,FALSE)</f>
        <v>2</v>
      </c>
      <c r="BA2068" s="12" t="str">
        <f>_xlfn.IFNA(VLOOKUP(AY2068,표1[[검색용]:[OptionGroupIndex'[']22]],EquipItemTable!AZ2068,FALSE),"옵션고정안함")</f>
        <v>8431</v>
      </c>
    </row>
    <row r="2069" spans="1:53" ht="12" x14ac:dyDescent="0.2">
      <c r="A2069" s="10" t="s">
        <v>2111</v>
      </c>
      <c r="B2069" s="39">
        <v>814009</v>
      </c>
      <c r="C2069" s="42" t="s">
        <v>3939</v>
      </c>
      <c r="D2069" s="86" t="s">
        <v>2953</v>
      </c>
      <c r="E2069" s="86" t="s">
        <v>2</v>
      </c>
      <c r="F2069" s="32" t="s">
        <v>312</v>
      </c>
      <c r="G2069" s="32" t="s">
        <v>1587</v>
      </c>
      <c r="O2069" s="32">
        <v>8</v>
      </c>
      <c r="P2069" s="32">
        <v>81</v>
      </c>
      <c r="Q2069" s="1"/>
      <c r="R2069" s="1"/>
      <c r="S2069" s="1"/>
      <c r="T2069" s="1"/>
      <c r="U2069" s="1"/>
      <c r="V2069" s="1"/>
      <c r="W2069" s="1">
        <v>4938</v>
      </c>
      <c r="X2069" s="1">
        <v>4938</v>
      </c>
      <c r="Y2069" s="1" t="s">
        <v>2193</v>
      </c>
      <c r="Z2069" s="1" t="s">
        <v>2193</v>
      </c>
      <c r="AA2069" s="1" t="s">
        <v>2193</v>
      </c>
      <c r="AB2069" s="1" t="s">
        <v>2193</v>
      </c>
      <c r="AD2069" s="12" t="s">
        <v>52</v>
      </c>
      <c r="AE2069" s="39" t="str">
        <f>BA2069</f>
        <v>8431</v>
      </c>
      <c r="AF2069" s="12" t="s">
        <v>2185</v>
      </c>
      <c r="AN2069" s="32" t="s">
        <v>1194</v>
      </c>
      <c r="AU2069" s="12" t="s">
        <v>1936</v>
      </c>
      <c r="AW2069" s="39">
        <v>6</v>
      </c>
      <c r="AX2069" s="12">
        <f>VLOOKUP(AW2069,색인!$N$14:$O$19,2,FALSE)</f>
        <v>4</v>
      </c>
      <c r="AY2069" s="12" t="str">
        <f>"T"&amp;O2069&amp;"_"&amp;AX2069&amp;"옵션_"&amp;VLOOKUP(E2069,색인!$J$25:$K$29,2,FALSE)</f>
        <v>T8_4옵션_장신구</v>
      </c>
      <c r="AZ2069" s="12">
        <f>VLOOKUP(G2069,색인!$J$32:$K$45,2,FALSE)</f>
        <v>2</v>
      </c>
      <c r="BA2069" s="12" t="str">
        <f>_xlfn.IFNA(VLOOKUP(AY2069,표1[[검색용]:[OptionGroupIndex'[']22]],EquipItemTable!AZ2069,FALSE),"옵션고정안함")</f>
        <v>8431</v>
      </c>
    </row>
    <row r="2070" spans="1:53" ht="12" x14ac:dyDescent="0.2">
      <c r="A2070" s="10" t="s">
        <v>2112</v>
      </c>
      <c r="B2070" s="39">
        <v>814010</v>
      </c>
      <c r="C2070" s="42" t="s">
        <v>4261</v>
      </c>
      <c r="D2070" s="86" t="s">
        <v>2953</v>
      </c>
      <c r="E2070" s="86" t="s">
        <v>2</v>
      </c>
      <c r="F2070" s="32" t="s">
        <v>312</v>
      </c>
      <c r="G2070" s="32" t="s">
        <v>1587</v>
      </c>
      <c r="O2070" s="32">
        <v>8</v>
      </c>
      <c r="P2070" s="32">
        <v>81</v>
      </c>
      <c r="Q2070" s="1"/>
      <c r="R2070" s="1"/>
      <c r="S2070" s="1"/>
      <c r="T2070" s="1"/>
      <c r="U2070" s="1"/>
      <c r="V2070" s="1"/>
      <c r="W2070" s="1">
        <v>4938</v>
      </c>
      <c r="X2070" s="1">
        <v>4938</v>
      </c>
      <c r="Y2070" s="1" t="s">
        <v>2193</v>
      </c>
      <c r="Z2070" s="1" t="s">
        <v>2193</v>
      </c>
      <c r="AA2070" s="1" t="s">
        <v>2193</v>
      </c>
      <c r="AB2070" s="1" t="s">
        <v>2193</v>
      </c>
      <c r="AD2070" s="12" t="s">
        <v>52</v>
      </c>
      <c r="AE2070" s="39" t="s">
        <v>2187</v>
      </c>
      <c r="AF2070" s="12" t="s">
        <v>2185</v>
      </c>
      <c r="AN2070" s="32" t="s">
        <v>1169</v>
      </c>
      <c r="AU2070" s="12" t="s">
        <v>1936</v>
      </c>
      <c r="AW2070" s="39">
        <v>6</v>
      </c>
      <c r="AX2070" s="12">
        <f>VLOOKUP(AW2070,색인!$N$14:$O$19,2,FALSE)</f>
        <v>4</v>
      </c>
      <c r="AY2070" s="12" t="str">
        <f>"T"&amp;O2070&amp;"_"&amp;AX2070&amp;"옵션_"&amp;VLOOKUP(E2070,색인!$J$25:$K$29,2,FALSE)</f>
        <v>T8_4옵션_장신구</v>
      </c>
      <c r="AZ2070" s="12">
        <f>VLOOKUP(G2070,색인!$J$32:$K$45,2,FALSE)</f>
        <v>2</v>
      </c>
      <c r="BA2070" s="12" t="str">
        <f>_xlfn.IFNA(VLOOKUP(AY2070,표1[[검색용]:[OptionGroupIndex'[']22]],EquipItemTable!AZ2070,FALSE),"옵션고정안함")</f>
        <v>8431</v>
      </c>
    </row>
    <row r="2071" spans="1:53" ht="12" x14ac:dyDescent="0.2">
      <c r="A2071" s="10" t="s">
        <v>2113</v>
      </c>
      <c r="B2071" s="39">
        <v>815001</v>
      </c>
      <c r="C2071" s="42" t="s">
        <v>4262</v>
      </c>
      <c r="D2071" s="86" t="s">
        <v>2953</v>
      </c>
      <c r="E2071" s="86" t="s">
        <v>2</v>
      </c>
      <c r="F2071" s="32" t="s">
        <v>312</v>
      </c>
      <c r="G2071" s="32" t="s">
        <v>1606</v>
      </c>
      <c r="O2071" s="32">
        <v>8</v>
      </c>
      <c r="P2071" s="32">
        <v>81</v>
      </c>
      <c r="Q2071" s="1"/>
      <c r="R2071" s="1"/>
      <c r="S2071" s="1"/>
      <c r="T2071" s="1"/>
      <c r="U2071" s="1"/>
      <c r="V2071" s="1"/>
      <c r="W2071" s="1" t="s">
        <v>2193</v>
      </c>
      <c r="X2071" s="1" t="s">
        <v>2193</v>
      </c>
      <c r="Y2071" s="1" t="s">
        <v>2193</v>
      </c>
      <c r="Z2071" s="1" t="s">
        <v>2193</v>
      </c>
      <c r="AA2071" s="1" t="s">
        <v>2193</v>
      </c>
      <c r="AB2071" s="1">
        <v>2652</v>
      </c>
      <c r="AD2071" s="12" t="s">
        <v>52</v>
      </c>
      <c r="AE2071" s="12" t="s">
        <v>2187</v>
      </c>
      <c r="AF2071" s="12" t="s">
        <v>2185</v>
      </c>
      <c r="AN2071" s="12"/>
      <c r="AU2071" s="12">
        <v>1001</v>
      </c>
      <c r="AW2071" s="39">
        <v>1</v>
      </c>
      <c r="AY2071" s="12"/>
      <c r="AZ2071" s="12"/>
      <c r="BA2071" s="12"/>
    </row>
    <row r="2072" spans="1:53" ht="12" x14ac:dyDescent="0.2">
      <c r="A2072" s="10" t="s">
        <v>2114</v>
      </c>
      <c r="B2072" s="39">
        <v>815002</v>
      </c>
      <c r="C2072" s="42" t="s">
        <v>4263</v>
      </c>
      <c r="D2072" s="86" t="s">
        <v>2953</v>
      </c>
      <c r="E2072" s="86" t="s">
        <v>2</v>
      </c>
      <c r="F2072" s="32" t="s">
        <v>312</v>
      </c>
      <c r="G2072" s="32" t="s">
        <v>1606</v>
      </c>
      <c r="O2072" s="32">
        <v>8</v>
      </c>
      <c r="P2072" s="32">
        <v>81</v>
      </c>
      <c r="Q2072" s="1"/>
      <c r="R2072" s="1"/>
      <c r="S2072" s="1"/>
      <c r="T2072" s="1"/>
      <c r="U2072" s="1"/>
      <c r="V2072" s="1"/>
      <c r="W2072" s="1" t="s">
        <v>2193</v>
      </c>
      <c r="X2072" s="1" t="s">
        <v>2193</v>
      </c>
      <c r="Y2072" s="1" t="s">
        <v>2193</v>
      </c>
      <c r="Z2072" s="1" t="s">
        <v>2193</v>
      </c>
      <c r="AA2072" s="1" t="s">
        <v>2193</v>
      </c>
      <c r="AB2072" s="1">
        <v>2860</v>
      </c>
      <c r="AD2072" s="12" t="s">
        <v>52</v>
      </c>
      <c r="AE2072" s="39" t="str">
        <f t="shared" ref="AE2072:AE2075" si="237">BA2072</f>
        <v>8131,8132</v>
      </c>
      <c r="AN2072" s="12"/>
      <c r="AU2072" s="12" t="s">
        <v>1976</v>
      </c>
      <c r="AW2072" s="39">
        <v>2</v>
      </c>
      <c r="AX2072" s="12">
        <f>VLOOKUP(AW2072,색인!$N$14:$O$19,2,FALSE)</f>
        <v>1</v>
      </c>
      <c r="AY2072" s="39" t="str">
        <f>"T"&amp;O2072&amp;"_"&amp;AX2072&amp;"옵션_"&amp;VLOOKUP(E2072,색인!$J$25:$K$29,2,FALSE)</f>
        <v>T8_1옵션_장신구</v>
      </c>
      <c r="AZ2072" s="39">
        <f>VLOOKUP(G2072,색인!$J$32:$K$45,2,FALSE)</f>
        <v>4</v>
      </c>
      <c r="BA2072" s="39" t="str">
        <f>_xlfn.IFNA(VLOOKUP(AY2072,표1[[검색용]:[OptionGroupIndex'[']22]],EquipItemTable!AZ2072,FALSE),"옵션고정안함")</f>
        <v>8131,8132</v>
      </c>
    </row>
    <row r="2073" spans="1:53" ht="12" x14ac:dyDescent="0.2">
      <c r="A2073" s="10" t="s">
        <v>2115</v>
      </c>
      <c r="B2073" s="39">
        <v>815003</v>
      </c>
      <c r="C2073" s="42" t="s">
        <v>4264</v>
      </c>
      <c r="D2073" s="86" t="s">
        <v>2953</v>
      </c>
      <c r="E2073" s="86" t="s">
        <v>2</v>
      </c>
      <c r="F2073" s="32" t="s">
        <v>312</v>
      </c>
      <c r="G2073" s="32" t="s">
        <v>1606</v>
      </c>
      <c r="O2073" s="32">
        <v>8</v>
      </c>
      <c r="P2073" s="32">
        <v>81</v>
      </c>
      <c r="Q2073" s="1"/>
      <c r="R2073" s="1"/>
      <c r="S2073" s="1"/>
      <c r="T2073" s="1"/>
      <c r="U2073" s="1"/>
      <c r="V2073" s="1"/>
      <c r="W2073" s="1" t="s">
        <v>2193</v>
      </c>
      <c r="X2073" s="1" t="s">
        <v>2193</v>
      </c>
      <c r="Y2073" s="1" t="s">
        <v>2193</v>
      </c>
      <c r="Z2073" s="1" t="s">
        <v>2193</v>
      </c>
      <c r="AA2073" s="1" t="s">
        <v>2193</v>
      </c>
      <c r="AB2073" s="1">
        <v>3042</v>
      </c>
      <c r="AD2073" s="12" t="s">
        <v>52</v>
      </c>
      <c r="AE2073" s="39" t="str">
        <f t="shared" si="237"/>
        <v>8231,8232</v>
      </c>
      <c r="AN2073" s="12"/>
      <c r="AU2073" s="12" t="s">
        <v>1978</v>
      </c>
      <c r="AW2073" s="39">
        <v>3</v>
      </c>
      <c r="AX2073" s="12">
        <f>VLOOKUP(AW2073,색인!$N$14:$O$19,2,FALSE)</f>
        <v>2</v>
      </c>
      <c r="AY2073" s="39" t="str">
        <f>"T"&amp;O2073&amp;"_"&amp;AX2073&amp;"옵션_"&amp;VLOOKUP(E2073,색인!$J$25:$K$29,2,FALSE)</f>
        <v>T8_2옵션_장신구</v>
      </c>
      <c r="AZ2073" s="39">
        <f>VLOOKUP(G2073,색인!$J$32:$K$45,2,FALSE)</f>
        <v>4</v>
      </c>
      <c r="BA2073" s="39" t="str">
        <f>_xlfn.IFNA(VLOOKUP(AY2073,표1[[검색용]:[OptionGroupIndex'[']22]],EquipItemTable!AZ2073,FALSE),"옵션고정안함")</f>
        <v>8231,8232</v>
      </c>
    </row>
    <row r="2074" spans="1:53" ht="12" x14ac:dyDescent="0.2">
      <c r="A2074" s="10" t="s">
        <v>2116</v>
      </c>
      <c r="B2074" s="39">
        <v>815004</v>
      </c>
      <c r="C2074" s="42" t="s">
        <v>4265</v>
      </c>
      <c r="D2074" s="86" t="s">
        <v>2953</v>
      </c>
      <c r="E2074" s="86" t="s">
        <v>2</v>
      </c>
      <c r="F2074" s="32" t="s">
        <v>312</v>
      </c>
      <c r="G2074" s="32" t="s">
        <v>1606</v>
      </c>
      <c r="O2074" s="32">
        <v>8</v>
      </c>
      <c r="P2074" s="32">
        <v>81</v>
      </c>
      <c r="Q2074" s="1"/>
      <c r="R2074" s="1"/>
      <c r="S2074" s="1"/>
      <c r="T2074" s="1"/>
      <c r="U2074" s="1"/>
      <c r="V2074" s="1"/>
      <c r="W2074" s="1" t="s">
        <v>2193</v>
      </c>
      <c r="X2074" s="1" t="s">
        <v>2193</v>
      </c>
      <c r="Y2074" s="1" t="s">
        <v>2193</v>
      </c>
      <c r="Z2074" s="1" t="s">
        <v>2193</v>
      </c>
      <c r="AA2074" s="1" t="s">
        <v>2193</v>
      </c>
      <c r="AB2074" s="1">
        <v>3234</v>
      </c>
      <c r="AD2074" s="12" t="s">
        <v>52</v>
      </c>
      <c r="AE2074" s="39" t="str">
        <f t="shared" si="237"/>
        <v>8331,8332</v>
      </c>
      <c r="AN2074" s="12"/>
      <c r="AU2074" s="12" t="s">
        <v>1980</v>
      </c>
      <c r="AW2074" s="39">
        <v>4</v>
      </c>
      <c r="AX2074" s="12">
        <f>VLOOKUP(AW2074,색인!$N$14:$O$19,2,FALSE)</f>
        <v>3</v>
      </c>
      <c r="AY2074" s="39" t="str">
        <f>"T"&amp;O2074&amp;"_"&amp;AX2074&amp;"옵션_"&amp;VLOOKUP(E2074,색인!$J$25:$K$29,2,FALSE)</f>
        <v>T8_3옵션_장신구</v>
      </c>
      <c r="AZ2074" s="39">
        <f>VLOOKUP(G2074,색인!$J$32:$K$45,2,FALSE)</f>
        <v>4</v>
      </c>
      <c r="BA2074" s="39" t="str">
        <f>_xlfn.IFNA(VLOOKUP(AY2074,표1[[검색용]:[OptionGroupIndex'[']22]],EquipItemTable!AZ2074,FALSE),"옵션고정안함")</f>
        <v>8331,8332</v>
      </c>
    </row>
    <row r="2075" spans="1:53" ht="12" x14ac:dyDescent="0.2">
      <c r="A2075" s="10" t="s">
        <v>2117</v>
      </c>
      <c r="B2075" s="39">
        <v>815005</v>
      </c>
      <c r="C2075" s="42" t="s">
        <v>4266</v>
      </c>
      <c r="D2075" s="86" t="s">
        <v>2953</v>
      </c>
      <c r="E2075" s="86" t="s">
        <v>2</v>
      </c>
      <c r="F2075" s="32" t="s">
        <v>312</v>
      </c>
      <c r="G2075" s="32" t="s">
        <v>1606</v>
      </c>
      <c r="O2075" s="32">
        <v>8</v>
      </c>
      <c r="P2075" s="32">
        <v>81</v>
      </c>
      <c r="Q2075" s="1"/>
      <c r="R2075" s="1"/>
      <c r="S2075" s="1"/>
      <c r="T2075" s="1"/>
      <c r="U2075" s="1"/>
      <c r="V2075" s="1"/>
      <c r="W2075" s="1" t="s">
        <v>2193</v>
      </c>
      <c r="X2075" s="1" t="s">
        <v>2193</v>
      </c>
      <c r="Y2075" s="1" t="s">
        <v>2193</v>
      </c>
      <c r="Z2075" s="1" t="s">
        <v>2193</v>
      </c>
      <c r="AA2075" s="1" t="s">
        <v>2193</v>
      </c>
      <c r="AB2075" s="1">
        <v>3392</v>
      </c>
      <c r="AD2075" s="12" t="s">
        <v>52</v>
      </c>
      <c r="AE2075" s="39" t="str">
        <f t="shared" si="237"/>
        <v>8331,8332</v>
      </c>
      <c r="AN2075" s="32">
        <v>104</v>
      </c>
      <c r="AU2075" s="12" t="s">
        <v>1982</v>
      </c>
      <c r="AW2075" s="39">
        <v>5</v>
      </c>
      <c r="AX2075" s="12">
        <f>VLOOKUP(AW2075,색인!$N$14:$O$19,2,FALSE)</f>
        <v>3</v>
      </c>
      <c r="AY2075" s="39" t="str">
        <f>"T"&amp;O2075&amp;"_"&amp;AX2075&amp;"옵션_"&amp;VLOOKUP(E2075,색인!$J$25:$K$29,2,FALSE)</f>
        <v>T8_3옵션_장신구</v>
      </c>
      <c r="AZ2075" s="39">
        <f>VLOOKUP(G2075,색인!$J$32:$K$45,2,FALSE)</f>
        <v>4</v>
      </c>
      <c r="BA2075" s="39" t="str">
        <f>_xlfn.IFNA(VLOOKUP(AY2075,표1[[검색용]:[OptionGroupIndex'[']22]],EquipItemTable!AZ2075,FALSE),"옵션고정안함")</f>
        <v>8331,8332</v>
      </c>
    </row>
    <row r="2076" spans="1:53" ht="12" x14ac:dyDescent="0.2">
      <c r="A2076" s="10" t="s">
        <v>2118</v>
      </c>
      <c r="B2076" s="39">
        <v>815006</v>
      </c>
      <c r="C2076" s="42" t="s">
        <v>3976</v>
      </c>
      <c r="D2076" s="86" t="s">
        <v>2953</v>
      </c>
      <c r="E2076" s="86" t="s">
        <v>2</v>
      </c>
      <c r="F2076" s="32" t="s">
        <v>312</v>
      </c>
      <c r="G2076" s="32" t="s">
        <v>1606</v>
      </c>
      <c r="O2076" s="32">
        <v>8</v>
      </c>
      <c r="P2076" s="32">
        <v>81</v>
      </c>
      <c r="Q2076" s="1"/>
      <c r="R2076" s="1"/>
      <c r="S2076" s="1"/>
      <c r="T2076" s="1"/>
      <c r="U2076" s="1"/>
      <c r="V2076" s="1"/>
      <c r="W2076" s="1" t="s">
        <v>2193</v>
      </c>
      <c r="X2076" s="1" t="s">
        <v>2193</v>
      </c>
      <c r="Y2076" s="1" t="s">
        <v>2193</v>
      </c>
      <c r="Z2076" s="1" t="s">
        <v>2193</v>
      </c>
      <c r="AA2076" s="1" t="s">
        <v>2193</v>
      </c>
      <c r="AB2076" s="1">
        <v>3553</v>
      </c>
      <c r="AD2076" s="12" t="s">
        <v>52</v>
      </c>
      <c r="AE2076" s="39" t="str">
        <f>BA2076</f>
        <v>8431,8432</v>
      </c>
      <c r="AF2076" s="12" t="s">
        <v>2185</v>
      </c>
      <c r="AN2076" s="12">
        <v>1</v>
      </c>
      <c r="AU2076" s="12" t="s">
        <v>1936</v>
      </c>
      <c r="AW2076" s="39">
        <v>6</v>
      </c>
      <c r="AX2076" s="12">
        <f>VLOOKUP(AW2076,색인!$N$14:$O$19,2,FALSE)</f>
        <v>4</v>
      </c>
      <c r="AY2076" s="12" t="str">
        <f>"T"&amp;O2076&amp;"_"&amp;AX2076&amp;"옵션_"&amp;VLOOKUP(E2076,색인!$J$25:$K$29,2,FALSE)</f>
        <v>T8_4옵션_장신구</v>
      </c>
      <c r="AZ2076" s="12">
        <f>VLOOKUP(G2076,색인!$J$32:$K$45,2,FALSE)</f>
        <v>4</v>
      </c>
      <c r="BA2076" s="12" t="str">
        <f>_xlfn.IFNA(VLOOKUP(AY2076,표1[[검색용]:[OptionGroupIndex'[']22]],EquipItemTable!AZ2076,FALSE),"옵션고정안함")</f>
        <v>8431,8432</v>
      </c>
    </row>
    <row r="2077" spans="1:53" ht="12" x14ac:dyDescent="0.2">
      <c r="A2077" s="10" t="s">
        <v>2119</v>
      </c>
      <c r="B2077" s="39">
        <v>815007</v>
      </c>
      <c r="C2077" s="42" t="s">
        <v>3977</v>
      </c>
      <c r="D2077" s="86" t="s">
        <v>2953</v>
      </c>
      <c r="E2077" s="86" t="s">
        <v>2</v>
      </c>
      <c r="F2077" s="32" t="s">
        <v>312</v>
      </c>
      <c r="G2077" s="32" t="s">
        <v>1606</v>
      </c>
      <c r="O2077" s="32">
        <v>8</v>
      </c>
      <c r="P2077" s="32">
        <v>81</v>
      </c>
      <c r="Q2077" s="1"/>
      <c r="R2077" s="1"/>
      <c r="S2077" s="1"/>
      <c r="T2077" s="1"/>
      <c r="U2077" s="1"/>
      <c r="V2077" s="1"/>
      <c r="W2077" s="1" t="s">
        <v>2193</v>
      </c>
      <c r="X2077" s="1" t="s">
        <v>2193</v>
      </c>
      <c r="Y2077" s="1" t="s">
        <v>2193</v>
      </c>
      <c r="Z2077" s="1" t="s">
        <v>2193</v>
      </c>
      <c r="AA2077" s="1" t="s">
        <v>2193</v>
      </c>
      <c r="AB2077" s="1">
        <v>3553</v>
      </c>
      <c r="AD2077" s="12" t="s">
        <v>52</v>
      </c>
      <c r="AE2077" s="39" t="str">
        <f>BA2077</f>
        <v>8431,8432</v>
      </c>
      <c r="AF2077" s="12" t="s">
        <v>2185</v>
      </c>
      <c r="AN2077" s="32" t="s">
        <v>1192</v>
      </c>
      <c r="AU2077" s="12" t="s">
        <v>1936</v>
      </c>
      <c r="AW2077" s="39">
        <v>6</v>
      </c>
      <c r="AX2077" s="12">
        <f>VLOOKUP(AW2077,색인!$N$14:$O$19,2,FALSE)</f>
        <v>4</v>
      </c>
      <c r="AY2077" s="12" t="str">
        <f>"T"&amp;O2077&amp;"_"&amp;AX2077&amp;"옵션_"&amp;VLOOKUP(E2077,색인!$J$25:$K$29,2,FALSE)</f>
        <v>T8_4옵션_장신구</v>
      </c>
      <c r="AZ2077" s="12">
        <f>VLOOKUP(G2077,색인!$J$32:$K$45,2,FALSE)</f>
        <v>4</v>
      </c>
      <c r="BA2077" s="12" t="str">
        <f>_xlfn.IFNA(VLOOKUP(AY2077,표1[[검색용]:[OptionGroupIndex'[']22]],EquipItemTable!AZ2077,FALSE),"옵션고정안함")</f>
        <v>8431,8432</v>
      </c>
    </row>
    <row r="2078" spans="1:53" ht="12" x14ac:dyDescent="0.2">
      <c r="A2078" s="10" t="s">
        <v>2120</v>
      </c>
      <c r="B2078" s="39">
        <v>815008</v>
      </c>
      <c r="C2078" s="42" t="s">
        <v>3978</v>
      </c>
      <c r="D2078" s="86" t="s">
        <v>2953</v>
      </c>
      <c r="E2078" s="86" t="s">
        <v>2</v>
      </c>
      <c r="F2078" s="32" t="s">
        <v>312</v>
      </c>
      <c r="G2078" s="32" t="s">
        <v>1606</v>
      </c>
      <c r="O2078" s="32">
        <v>8</v>
      </c>
      <c r="P2078" s="32">
        <v>81</v>
      </c>
      <c r="Q2078" s="1"/>
      <c r="R2078" s="1"/>
      <c r="S2078" s="1"/>
      <c r="T2078" s="1"/>
      <c r="U2078" s="1"/>
      <c r="V2078" s="1"/>
      <c r="W2078" s="1" t="s">
        <v>2193</v>
      </c>
      <c r="X2078" s="1" t="s">
        <v>2193</v>
      </c>
      <c r="Y2078" s="1" t="s">
        <v>2193</v>
      </c>
      <c r="Z2078" s="1" t="s">
        <v>2193</v>
      </c>
      <c r="AA2078" s="1" t="s">
        <v>2193</v>
      </c>
      <c r="AB2078" s="1">
        <v>3553</v>
      </c>
      <c r="AD2078" s="12" t="s">
        <v>52</v>
      </c>
      <c r="AE2078" s="39" t="str">
        <f>BA2078</f>
        <v>8431,8432</v>
      </c>
      <c r="AF2078" s="12" t="s">
        <v>2185</v>
      </c>
      <c r="AN2078" s="32" t="s">
        <v>369</v>
      </c>
      <c r="AU2078" s="12" t="s">
        <v>1936</v>
      </c>
      <c r="AW2078" s="39">
        <v>6</v>
      </c>
      <c r="AX2078" s="12">
        <f>VLOOKUP(AW2078,색인!$N$14:$O$19,2,FALSE)</f>
        <v>4</v>
      </c>
      <c r="AY2078" s="12" t="str">
        <f>"T"&amp;O2078&amp;"_"&amp;AX2078&amp;"옵션_"&amp;VLOOKUP(E2078,색인!$J$25:$K$29,2,FALSE)</f>
        <v>T8_4옵션_장신구</v>
      </c>
      <c r="AZ2078" s="12">
        <f>VLOOKUP(G2078,색인!$J$32:$K$45,2,FALSE)</f>
        <v>4</v>
      </c>
      <c r="BA2078" s="12" t="str">
        <f>_xlfn.IFNA(VLOOKUP(AY2078,표1[[검색용]:[OptionGroupIndex'[']22]],EquipItemTable!AZ2078,FALSE),"옵션고정안함")</f>
        <v>8431,8432</v>
      </c>
    </row>
    <row r="2079" spans="1:53" ht="12" x14ac:dyDescent="0.2">
      <c r="A2079" s="10" t="s">
        <v>2121</v>
      </c>
      <c r="B2079" s="39">
        <v>815009</v>
      </c>
      <c r="C2079" s="42" t="s">
        <v>3979</v>
      </c>
      <c r="D2079" s="86" t="s">
        <v>2953</v>
      </c>
      <c r="E2079" s="86" t="s">
        <v>2</v>
      </c>
      <c r="F2079" s="32" t="s">
        <v>312</v>
      </c>
      <c r="G2079" s="32" t="s">
        <v>1606</v>
      </c>
      <c r="O2079" s="32">
        <v>8</v>
      </c>
      <c r="P2079" s="32">
        <v>81</v>
      </c>
      <c r="Q2079" s="1"/>
      <c r="R2079" s="1"/>
      <c r="S2079" s="1"/>
      <c r="T2079" s="1"/>
      <c r="U2079" s="1"/>
      <c r="V2079" s="1"/>
      <c r="W2079" s="1" t="s">
        <v>2193</v>
      </c>
      <c r="X2079" s="1" t="s">
        <v>2193</v>
      </c>
      <c r="Y2079" s="1" t="s">
        <v>2193</v>
      </c>
      <c r="Z2079" s="1" t="s">
        <v>2193</v>
      </c>
      <c r="AA2079" s="1" t="s">
        <v>2193</v>
      </c>
      <c r="AB2079" s="1">
        <v>3553</v>
      </c>
      <c r="AD2079" s="12" t="s">
        <v>52</v>
      </c>
      <c r="AE2079" s="39" t="str">
        <f>BA2079</f>
        <v>8431,8432</v>
      </c>
      <c r="AF2079" s="12" t="s">
        <v>2185</v>
      </c>
      <c r="AN2079" s="32" t="s">
        <v>1194</v>
      </c>
      <c r="AU2079" s="12" t="s">
        <v>1936</v>
      </c>
      <c r="AW2079" s="39">
        <v>6</v>
      </c>
      <c r="AX2079" s="12">
        <f>VLOOKUP(AW2079,색인!$N$14:$O$19,2,FALSE)</f>
        <v>4</v>
      </c>
      <c r="AY2079" s="12" t="str">
        <f>"T"&amp;O2079&amp;"_"&amp;AX2079&amp;"옵션_"&amp;VLOOKUP(E2079,색인!$J$25:$K$29,2,FALSE)</f>
        <v>T8_4옵션_장신구</v>
      </c>
      <c r="AZ2079" s="12">
        <f>VLOOKUP(G2079,색인!$J$32:$K$45,2,FALSE)</f>
        <v>4</v>
      </c>
      <c r="BA2079" s="12" t="str">
        <f>_xlfn.IFNA(VLOOKUP(AY2079,표1[[검색용]:[OptionGroupIndex'[']22]],EquipItemTable!AZ2079,FALSE),"옵션고정안함")</f>
        <v>8431,8432</v>
      </c>
    </row>
    <row r="2080" spans="1:53" ht="12" x14ac:dyDescent="0.2">
      <c r="A2080" s="10" t="s">
        <v>2122</v>
      </c>
      <c r="B2080" s="39">
        <v>815010</v>
      </c>
      <c r="C2080" s="42" t="s">
        <v>4267</v>
      </c>
      <c r="D2080" s="86" t="s">
        <v>2953</v>
      </c>
      <c r="E2080" s="86" t="s">
        <v>2</v>
      </c>
      <c r="F2080" s="32" t="s">
        <v>312</v>
      </c>
      <c r="G2080" s="32" t="s">
        <v>1606</v>
      </c>
      <c r="O2080" s="32">
        <v>8</v>
      </c>
      <c r="P2080" s="32">
        <v>81</v>
      </c>
      <c r="Q2080" s="1"/>
      <c r="R2080" s="1"/>
      <c r="S2080" s="1"/>
      <c r="T2080" s="1"/>
      <c r="U2080" s="1"/>
      <c r="V2080" s="1"/>
      <c r="W2080" s="1" t="s">
        <v>2193</v>
      </c>
      <c r="X2080" s="1" t="s">
        <v>2193</v>
      </c>
      <c r="Y2080" s="1" t="s">
        <v>2193</v>
      </c>
      <c r="Z2080" s="1" t="s">
        <v>2193</v>
      </c>
      <c r="AA2080" s="1" t="s">
        <v>2193</v>
      </c>
      <c r="AB2080" s="1">
        <v>3553</v>
      </c>
      <c r="AD2080" s="12" t="s">
        <v>52</v>
      </c>
      <c r="AE2080" s="39" t="s">
        <v>2187</v>
      </c>
      <c r="AF2080" s="12" t="s">
        <v>2185</v>
      </c>
      <c r="AN2080" s="32" t="s">
        <v>1169</v>
      </c>
      <c r="AU2080" s="12" t="s">
        <v>1936</v>
      </c>
      <c r="AW2080" s="39">
        <v>6</v>
      </c>
      <c r="AX2080" s="12">
        <f>VLOOKUP(AW2080,색인!$N$14:$O$19,2,FALSE)</f>
        <v>4</v>
      </c>
      <c r="AY2080" s="12" t="str">
        <f>"T"&amp;O2080&amp;"_"&amp;AX2080&amp;"옵션_"&amp;VLOOKUP(E2080,색인!$J$25:$K$29,2,FALSE)</f>
        <v>T8_4옵션_장신구</v>
      </c>
      <c r="AZ2080" s="12">
        <f>VLOOKUP(G2080,색인!$J$32:$K$45,2,FALSE)</f>
        <v>4</v>
      </c>
      <c r="BA2080" s="12" t="str">
        <f>_xlfn.IFNA(VLOOKUP(AY2080,표1[[검색용]:[OptionGroupIndex'[']22]],EquipItemTable!AZ2080,FALSE),"옵션고정안함")</f>
        <v>8431,8432</v>
      </c>
    </row>
    <row r="2081" spans="1:53" ht="12" x14ac:dyDescent="0.2">
      <c r="A2081" s="10" t="s">
        <v>2123</v>
      </c>
      <c r="B2081" s="39">
        <v>816001</v>
      </c>
      <c r="C2081" s="42" t="s">
        <v>4268</v>
      </c>
      <c r="D2081" s="86" t="s">
        <v>2953</v>
      </c>
      <c r="E2081" s="86" t="s">
        <v>2</v>
      </c>
      <c r="F2081" s="32" t="s">
        <v>312</v>
      </c>
      <c r="G2081" s="32" t="s">
        <v>1625</v>
      </c>
      <c r="O2081" s="32">
        <v>8</v>
      </c>
      <c r="P2081" s="32">
        <v>81</v>
      </c>
      <c r="Q2081" s="1"/>
      <c r="R2081" s="1"/>
      <c r="S2081" s="1"/>
      <c r="T2081" s="1"/>
      <c r="U2081" s="1"/>
      <c r="V2081" s="1"/>
      <c r="W2081" s="1" t="s">
        <v>2193</v>
      </c>
      <c r="X2081" s="1" t="s">
        <v>2193</v>
      </c>
      <c r="Y2081" s="1" t="s">
        <v>2193</v>
      </c>
      <c r="Z2081" s="1" t="s">
        <v>2193</v>
      </c>
      <c r="AA2081" s="1">
        <v>2652</v>
      </c>
      <c r="AB2081" s="1" t="s">
        <v>2193</v>
      </c>
      <c r="AD2081" s="12" t="s">
        <v>52</v>
      </c>
      <c r="AE2081" s="12" t="s">
        <v>2187</v>
      </c>
      <c r="AF2081" s="12" t="s">
        <v>2185</v>
      </c>
      <c r="AN2081" s="12"/>
      <c r="AU2081" s="12">
        <v>1001</v>
      </c>
      <c r="AW2081" s="39">
        <v>1</v>
      </c>
      <c r="AY2081" s="12"/>
      <c r="AZ2081" s="12"/>
      <c r="BA2081" s="12"/>
    </row>
    <row r="2082" spans="1:53" ht="12" x14ac:dyDescent="0.2">
      <c r="A2082" s="10" t="s">
        <v>2124</v>
      </c>
      <c r="B2082" s="39">
        <v>816002</v>
      </c>
      <c r="C2082" s="42" t="s">
        <v>4269</v>
      </c>
      <c r="D2082" s="86" t="s">
        <v>2953</v>
      </c>
      <c r="E2082" s="86" t="s">
        <v>2</v>
      </c>
      <c r="F2082" s="32" t="s">
        <v>312</v>
      </c>
      <c r="G2082" s="32" t="s">
        <v>1625</v>
      </c>
      <c r="O2082" s="32">
        <v>8</v>
      </c>
      <c r="P2082" s="32">
        <v>81</v>
      </c>
      <c r="Q2082" s="1"/>
      <c r="R2082" s="1"/>
      <c r="S2082" s="1"/>
      <c r="T2082" s="1"/>
      <c r="U2082" s="1"/>
      <c r="V2082" s="1"/>
      <c r="W2082" s="1" t="s">
        <v>2193</v>
      </c>
      <c r="X2082" s="1" t="s">
        <v>2193</v>
      </c>
      <c r="Y2082" s="1" t="s">
        <v>2193</v>
      </c>
      <c r="Z2082" s="1" t="s">
        <v>2193</v>
      </c>
      <c r="AA2082" s="1">
        <v>2860</v>
      </c>
      <c r="AB2082" s="1" t="s">
        <v>2193</v>
      </c>
      <c r="AD2082" s="12" t="s">
        <v>52</v>
      </c>
      <c r="AE2082" s="39" t="str">
        <f t="shared" ref="AE2082:AE2085" si="238">BA2082</f>
        <v>8131,8132</v>
      </c>
      <c r="AN2082" s="12"/>
      <c r="AU2082" s="12" t="s">
        <v>1976</v>
      </c>
      <c r="AW2082" s="39">
        <v>2</v>
      </c>
      <c r="AX2082" s="12">
        <f>VLOOKUP(AW2082,색인!$N$14:$O$19,2,FALSE)</f>
        <v>1</v>
      </c>
      <c r="AY2082" s="39" t="str">
        <f>"T"&amp;O2082&amp;"_"&amp;AX2082&amp;"옵션_"&amp;VLOOKUP(E2082,색인!$J$25:$K$29,2,FALSE)</f>
        <v>T8_1옵션_장신구</v>
      </c>
      <c r="AZ2082" s="39">
        <f>VLOOKUP(G2082,색인!$J$32:$K$45,2,FALSE)</f>
        <v>4</v>
      </c>
      <c r="BA2082" s="39" t="str">
        <f>_xlfn.IFNA(VLOOKUP(AY2082,표1[[검색용]:[OptionGroupIndex'[']22]],EquipItemTable!AZ2082,FALSE),"옵션고정안함")</f>
        <v>8131,8132</v>
      </c>
    </row>
    <row r="2083" spans="1:53" ht="12" x14ac:dyDescent="0.2">
      <c r="A2083" s="10" t="s">
        <v>2125</v>
      </c>
      <c r="B2083" s="39">
        <v>816003</v>
      </c>
      <c r="C2083" s="42" t="s">
        <v>4270</v>
      </c>
      <c r="D2083" s="86" t="s">
        <v>2953</v>
      </c>
      <c r="E2083" s="86" t="s">
        <v>2</v>
      </c>
      <c r="F2083" s="32" t="s">
        <v>312</v>
      </c>
      <c r="G2083" s="32" t="s">
        <v>1625</v>
      </c>
      <c r="O2083" s="32">
        <v>8</v>
      </c>
      <c r="P2083" s="32">
        <v>81</v>
      </c>
      <c r="Q2083" s="1"/>
      <c r="R2083" s="1"/>
      <c r="S2083" s="1"/>
      <c r="T2083" s="1"/>
      <c r="U2083" s="1"/>
      <c r="V2083" s="1"/>
      <c r="W2083" s="1" t="s">
        <v>2193</v>
      </c>
      <c r="X2083" s="1" t="s">
        <v>2193</v>
      </c>
      <c r="Y2083" s="1" t="s">
        <v>2193</v>
      </c>
      <c r="Z2083" s="1" t="s">
        <v>2193</v>
      </c>
      <c r="AA2083" s="1">
        <v>3042</v>
      </c>
      <c r="AB2083" s="1" t="s">
        <v>2193</v>
      </c>
      <c r="AD2083" s="12" t="s">
        <v>52</v>
      </c>
      <c r="AE2083" s="39" t="str">
        <f t="shared" si="238"/>
        <v>8231,8232</v>
      </c>
      <c r="AN2083" s="12"/>
      <c r="AU2083" s="12" t="s">
        <v>1978</v>
      </c>
      <c r="AW2083" s="39">
        <v>3</v>
      </c>
      <c r="AX2083" s="12">
        <f>VLOOKUP(AW2083,색인!$N$14:$O$19,2,FALSE)</f>
        <v>2</v>
      </c>
      <c r="AY2083" s="39" t="str">
        <f>"T"&amp;O2083&amp;"_"&amp;AX2083&amp;"옵션_"&amp;VLOOKUP(E2083,색인!$J$25:$K$29,2,FALSE)</f>
        <v>T8_2옵션_장신구</v>
      </c>
      <c r="AZ2083" s="39">
        <f>VLOOKUP(G2083,색인!$J$32:$K$45,2,FALSE)</f>
        <v>4</v>
      </c>
      <c r="BA2083" s="39" t="str">
        <f>_xlfn.IFNA(VLOOKUP(AY2083,표1[[검색용]:[OptionGroupIndex'[']22]],EquipItemTable!AZ2083,FALSE),"옵션고정안함")</f>
        <v>8231,8232</v>
      </c>
    </row>
    <row r="2084" spans="1:53" ht="12" x14ac:dyDescent="0.2">
      <c r="A2084" s="10" t="s">
        <v>2126</v>
      </c>
      <c r="B2084" s="39">
        <v>816004</v>
      </c>
      <c r="C2084" s="42" t="s">
        <v>4271</v>
      </c>
      <c r="D2084" s="86" t="s">
        <v>2953</v>
      </c>
      <c r="E2084" s="86" t="s">
        <v>2</v>
      </c>
      <c r="F2084" s="32" t="s">
        <v>312</v>
      </c>
      <c r="G2084" s="32" t="s">
        <v>1625</v>
      </c>
      <c r="O2084" s="32">
        <v>8</v>
      </c>
      <c r="P2084" s="32">
        <v>81</v>
      </c>
      <c r="Q2084" s="1"/>
      <c r="R2084" s="1"/>
      <c r="S2084" s="1"/>
      <c r="T2084" s="1"/>
      <c r="U2084" s="1"/>
      <c r="V2084" s="1"/>
      <c r="W2084" s="1" t="s">
        <v>2193</v>
      </c>
      <c r="X2084" s="1" t="s">
        <v>2193</v>
      </c>
      <c r="Y2084" s="1" t="s">
        <v>2193</v>
      </c>
      <c r="Z2084" s="1" t="s">
        <v>2193</v>
      </c>
      <c r="AA2084" s="1">
        <v>3234</v>
      </c>
      <c r="AB2084" s="1" t="s">
        <v>2193</v>
      </c>
      <c r="AD2084" s="12" t="s">
        <v>52</v>
      </c>
      <c r="AE2084" s="39" t="str">
        <f t="shared" si="238"/>
        <v>8331,8332</v>
      </c>
      <c r="AN2084" s="12"/>
      <c r="AU2084" s="12" t="s">
        <v>1980</v>
      </c>
      <c r="AW2084" s="39">
        <v>4</v>
      </c>
      <c r="AX2084" s="12">
        <f>VLOOKUP(AW2084,색인!$N$14:$O$19,2,FALSE)</f>
        <v>3</v>
      </c>
      <c r="AY2084" s="39" t="str">
        <f>"T"&amp;O2084&amp;"_"&amp;AX2084&amp;"옵션_"&amp;VLOOKUP(E2084,색인!$J$25:$K$29,2,FALSE)</f>
        <v>T8_3옵션_장신구</v>
      </c>
      <c r="AZ2084" s="39">
        <f>VLOOKUP(G2084,색인!$J$32:$K$45,2,FALSE)</f>
        <v>4</v>
      </c>
      <c r="BA2084" s="39" t="str">
        <f>_xlfn.IFNA(VLOOKUP(AY2084,표1[[검색용]:[OptionGroupIndex'[']22]],EquipItemTable!AZ2084,FALSE),"옵션고정안함")</f>
        <v>8331,8332</v>
      </c>
    </row>
    <row r="2085" spans="1:53" ht="12" x14ac:dyDescent="0.2">
      <c r="A2085" s="10" t="s">
        <v>2127</v>
      </c>
      <c r="B2085" s="39">
        <v>816005</v>
      </c>
      <c r="C2085" s="42" t="s">
        <v>4272</v>
      </c>
      <c r="D2085" s="86" t="s">
        <v>2953</v>
      </c>
      <c r="E2085" s="86" t="s">
        <v>2</v>
      </c>
      <c r="F2085" s="32" t="s">
        <v>312</v>
      </c>
      <c r="G2085" s="32" t="s">
        <v>1625</v>
      </c>
      <c r="O2085" s="32">
        <v>8</v>
      </c>
      <c r="P2085" s="32">
        <v>81</v>
      </c>
      <c r="Q2085" s="1"/>
      <c r="R2085" s="1"/>
      <c r="S2085" s="1"/>
      <c r="T2085" s="1"/>
      <c r="U2085" s="1"/>
      <c r="V2085" s="1"/>
      <c r="W2085" s="1" t="s">
        <v>2193</v>
      </c>
      <c r="X2085" s="1" t="s">
        <v>2193</v>
      </c>
      <c r="Y2085" s="1" t="s">
        <v>2193</v>
      </c>
      <c r="Z2085" s="1" t="s">
        <v>2193</v>
      </c>
      <c r="AA2085" s="1">
        <v>3392</v>
      </c>
      <c r="AB2085" s="1" t="s">
        <v>2193</v>
      </c>
      <c r="AD2085" s="12" t="s">
        <v>52</v>
      </c>
      <c r="AE2085" s="39" t="str">
        <f t="shared" si="238"/>
        <v>8331,8332</v>
      </c>
      <c r="AN2085" s="32">
        <v>104</v>
      </c>
      <c r="AU2085" s="12" t="s">
        <v>1982</v>
      </c>
      <c r="AW2085" s="39">
        <v>5</v>
      </c>
      <c r="AX2085" s="12">
        <f>VLOOKUP(AW2085,색인!$N$14:$O$19,2,FALSE)</f>
        <v>3</v>
      </c>
      <c r="AY2085" s="39" t="str">
        <f>"T"&amp;O2085&amp;"_"&amp;AX2085&amp;"옵션_"&amp;VLOOKUP(E2085,색인!$J$25:$K$29,2,FALSE)</f>
        <v>T8_3옵션_장신구</v>
      </c>
      <c r="AZ2085" s="39">
        <f>VLOOKUP(G2085,색인!$J$32:$K$45,2,FALSE)</f>
        <v>4</v>
      </c>
      <c r="BA2085" s="39" t="str">
        <f>_xlfn.IFNA(VLOOKUP(AY2085,표1[[검색용]:[OptionGroupIndex'[']22]],EquipItemTable!AZ2085,FALSE),"옵션고정안함")</f>
        <v>8331,8332</v>
      </c>
    </row>
    <row r="2086" spans="1:53" ht="12" x14ac:dyDescent="0.2">
      <c r="A2086" s="10" t="s">
        <v>2128</v>
      </c>
      <c r="B2086" s="39">
        <v>816006</v>
      </c>
      <c r="C2086" s="42" t="s">
        <v>4017</v>
      </c>
      <c r="D2086" s="86" t="s">
        <v>2953</v>
      </c>
      <c r="E2086" s="86" t="s">
        <v>2</v>
      </c>
      <c r="F2086" s="32" t="s">
        <v>312</v>
      </c>
      <c r="G2086" s="32" t="s">
        <v>1625</v>
      </c>
      <c r="O2086" s="32">
        <v>8</v>
      </c>
      <c r="P2086" s="32">
        <v>81</v>
      </c>
      <c r="Q2086" s="1"/>
      <c r="R2086" s="1"/>
      <c r="S2086" s="1"/>
      <c r="T2086" s="1"/>
      <c r="U2086" s="1"/>
      <c r="V2086" s="1"/>
      <c r="W2086" s="1" t="s">
        <v>2193</v>
      </c>
      <c r="X2086" s="1" t="s">
        <v>2193</v>
      </c>
      <c r="Y2086" s="1" t="s">
        <v>2193</v>
      </c>
      <c r="Z2086" s="1" t="s">
        <v>2193</v>
      </c>
      <c r="AA2086" s="1">
        <v>3553</v>
      </c>
      <c r="AB2086" s="1" t="s">
        <v>2193</v>
      </c>
      <c r="AD2086" s="12" t="s">
        <v>52</v>
      </c>
      <c r="AE2086" s="39" t="str">
        <f>BA2086</f>
        <v>8431,8432</v>
      </c>
      <c r="AF2086" s="12" t="s">
        <v>2185</v>
      </c>
      <c r="AN2086" s="12">
        <v>1</v>
      </c>
      <c r="AU2086" s="12" t="s">
        <v>1936</v>
      </c>
      <c r="AW2086" s="39">
        <v>6</v>
      </c>
      <c r="AX2086" s="12">
        <f>VLOOKUP(AW2086,색인!$N$14:$O$19,2,FALSE)</f>
        <v>4</v>
      </c>
      <c r="AY2086" s="12" t="str">
        <f>"T"&amp;O2086&amp;"_"&amp;AX2086&amp;"옵션_"&amp;VLOOKUP(E2086,색인!$J$25:$K$29,2,FALSE)</f>
        <v>T8_4옵션_장신구</v>
      </c>
      <c r="AZ2086" s="12">
        <f>VLOOKUP(G2086,색인!$J$32:$K$45,2,FALSE)</f>
        <v>4</v>
      </c>
      <c r="BA2086" s="12" t="str">
        <f>_xlfn.IFNA(VLOOKUP(AY2086,표1[[검색용]:[OptionGroupIndex'[']22]],EquipItemTable!AZ2086,FALSE),"옵션고정안함")</f>
        <v>8431,8432</v>
      </c>
    </row>
    <row r="2087" spans="1:53" ht="12" x14ac:dyDescent="0.2">
      <c r="A2087" s="10" t="s">
        <v>2129</v>
      </c>
      <c r="B2087" s="39">
        <v>816007</v>
      </c>
      <c r="C2087" s="42" t="s">
        <v>4018</v>
      </c>
      <c r="D2087" s="86" t="s">
        <v>2953</v>
      </c>
      <c r="E2087" s="86" t="s">
        <v>2</v>
      </c>
      <c r="F2087" s="32" t="s">
        <v>312</v>
      </c>
      <c r="G2087" s="32" t="s">
        <v>1625</v>
      </c>
      <c r="O2087" s="32">
        <v>8</v>
      </c>
      <c r="P2087" s="32">
        <v>81</v>
      </c>
      <c r="Q2087" s="1"/>
      <c r="R2087" s="1"/>
      <c r="S2087" s="1"/>
      <c r="T2087" s="1"/>
      <c r="U2087" s="1"/>
      <c r="V2087" s="1"/>
      <c r="W2087" s="1" t="s">
        <v>2193</v>
      </c>
      <c r="X2087" s="1" t="s">
        <v>2193</v>
      </c>
      <c r="Y2087" s="1" t="s">
        <v>2193</v>
      </c>
      <c r="Z2087" s="1" t="s">
        <v>2193</v>
      </c>
      <c r="AA2087" s="1">
        <v>3553</v>
      </c>
      <c r="AB2087" s="1" t="s">
        <v>2193</v>
      </c>
      <c r="AD2087" s="12" t="s">
        <v>52</v>
      </c>
      <c r="AE2087" s="39" t="str">
        <f>BA2087</f>
        <v>8431,8432</v>
      </c>
      <c r="AF2087" s="12" t="s">
        <v>2185</v>
      </c>
      <c r="AN2087" s="32" t="s">
        <v>1192</v>
      </c>
      <c r="AU2087" s="12" t="s">
        <v>1936</v>
      </c>
      <c r="AW2087" s="39">
        <v>6</v>
      </c>
      <c r="AX2087" s="12">
        <f>VLOOKUP(AW2087,색인!$N$14:$O$19,2,FALSE)</f>
        <v>4</v>
      </c>
      <c r="AY2087" s="12" t="str">
        <f>"T"&amp;O2087&amp;"_"&amp;AX2087&amp;"옵션_"&amp;VLOOKUP(E2087,색인!$J$25:$K$29,2,FALSE)</f>
        <v>T8_4옵션_장신구</v>
      </c>
      <c r="AZ2087" s="12">
        <f>VLOOKUP(G2087,색인!$J$32:$K$45,2,FALSE)</f>
        <v>4</v>
      </c>
      <c r="BA2087" s="12" t="str">
        <f>_xlfn.IFNA(VLOOKUP(AY2087,표1[[검색용]:[OptionGroupIndex'[']22]],EquipItemTable!AZ2087,FALSE),"옵션고정안함")</f>
        <v>8431,8432</v>
      </c>
    </row>
    <row r="2088" spans="1:53" ht="12" x14ac:dyDescent="0.2">
      <c r="A2088" s="10" t="s">
        <v>2130</v>
      </c>
      <c r="B2088" s="39">
        <v>816008</v>
      </c>
      <c r="C2088" s="42" t="s">
        <v>4019</v>
      </c>
      <c r="D2088" s="86" t="s">
        <v>2953</v>
      </c>
      <c r="E2088" s="86" t="s">
        <v>2</v>
      </c>
      <c r="F2088" s="32" t="s">
        <v>312</v>
      </c>
      <c r="G2088" s="32" t="s">
        <v>1625</v>
      </c>
      <c r="O2088" s="32">
        <v>8</v>
      </c>
      <c r="P2088" s="32">
        <v>81</v>
      </c>
      <c r="Q2088" s="1"/>
      <c r="R2088" s="1"/>
      <c r="S2088" s="1"/>
      <c r="T2088" s="1"/>
      <c r="U2088" s="1"/>
      <c r="V2088" s="1"/>
      <c r="W2088" s="1" t="s">
        <v>2193</v>
      </c>
      <c r="X2088" s="1" t="s">
        <v>2193</v>
      </c>
      <c r="Y2088" s="1" t="s">
        <v>2193</v>
      </c>
      <c r="Z2088" s="1" t="s">
        <v>2193</v>
      </c>
      <c r="AA2088" s="1">
        <v>3553</v>
      </c>
      <c r="AB2088" s="1" t="s">
        <v>2193</v>
      </c>
      <c r="AD2088" s="12" t="s">
        <v>52</v>
      </c>
      <c r="AE2088" s="39" t="str">
        <f>BA2088</f>
        <v>8431,8432</v>
      </c>
      <c r="AF2088" s="12" t="s">
        <v>2185</v>
      </c>
      <c r="AN2088" s="32" t="s">
        <v>369</v>
      </c>
      <c r="AU2088" s="12" t="s">
        <v>1936</v>
      </c>
      <c r="AW2088" s="39">
        <v>6</v>
      </c>
      <c r="AX2088" s="12">
        <f>VLOOKUP(AW2088,색인!$N$14:$O$19,2,FALSE)</f>
        <v>4</v>
      </c>
      <c r="AY2088" s="12" t="str">
        <f>"T"&amp;O2088&amp;"_"&amp;AX2088&amp;"옵션_"&amp;VLOOKUP(E2088,색인!$J$25:$K$29,2,FALSE)</f>
        <v>T8_4옵션_장신구</v>
      </c>
      <c r="AZ2088" s="12">
        <f>VLOOKUP(G2088,색인!$J$32:$K$45,2,FALSE)</f>
        <v>4</v>
      </c>
      <c r="BA2088" s="12" t="str">
        <f>_xlfn.IFNA(VLOOKUP(AY2088,표1[[검색용]:[OptionGroupIndex'[']22]],EquipItemTable!AZ2088,FALSE),"옵션고정안함")</f>
        <v>8431,8432</v>
      </c>
    </row>
    <row r="2089" spans="1:53" ht="12" x14ac:dyDescent="0.2">
      <c r="A2089" s="10" t="s">
        <v>2131</v>
      </c>
      <c r="B2089" s="39">
        <v>816009</v>
      </c>
      <c r="C2089" s="42" t="s">
        <v>4020</v>
      </c>
      <c r="D2089" s="86" t="s">
        <v>2953</v>
      </c>
      <c r="E2089" s="86" t="s">
        <v>2</v>
      </c>
      <c r="F2089" s="32" t="s">
        <v>312</v>
      </c>
      <c r="G2089" s="32" t="s">
        <v>1625</v>
      </c>
      <c r="O2089" s="32">
        <v>8</v>
      </c>
      <c r="P2089" s="32">
        <v>81</v>
      </c>
      <c r="Q2089" s="1"/>
      <c r="R2089" s="1"/>
      <c r="S2089" s="1"/>
      <c r="T2089" s="1"/>
      <c r="U2089" s="1"/>
      <c r="V2089" s="1"/>
      <c r="W2089" s="1" t="s">
        <v>2193</v>
      </c>
      <c r="X2089" s="1" t="s">
        <v>2193</v>
      </c>
      <c r="Y2089" s="1" t="s">
        <v>2193</v>
      </c>
      <c r="Z2089" s="1" t="s">
        <v>2193</v>
      </c>
      <c r="AA2089" s="1">
        <v>3553</v>
      </c>
      <c r="AB2089" s="1" t="s">
        <v>2193</v>
      </c>
      <c r="AD2089" s="12" t="s">
        <v>52</v>
      </c>
      <c r="AE2089" s="39" t="str">
        <f>BA2089</f>
        <v>8431,8432</v>
      </c>
      <c r="AF2089" s="12" t="s">
        <v>2185</v>
      </c>
      <c r="AN2089" s="32" t="s">
        <v>1194</v>
      </c>
      <c r="AU2089" s="12" t="s">
        <v>1936</v>
      </c>
      <c r="AW2089" s="39">
        <v>6</v>
      </c>
      <c r="AX2089" s="12">
        <f>VLOOKUP(AW2089,색인!$N$14:$O$19,2,FALSE)</f>
        <v>4</v>
      </c>
      <c r="AY2089" s="12" t="str">
        <f>"T"&amp;O2089&amp;"_"&amp;AX2089&amp;"옵션_"&amp;VLOOKUP(E2089,색인!$J$25:$K$29,2,FALSE)</f>
        <v>T8_4옵션_장신구</v>
      </c>
      <c r="AZ2089" s="12">
        <f>VLOOKUP(G2089,색인!$J$32:$K$45,2,FALSE)</f>
        <v>4</v>
      </c>
      <c r="BA2089" s="12" t="str">
        <f>_xlfn.IFNA(VLOOKUP(AY2089,표1[[검색용]:[OptionGroupIndex'[']22]],EquipItemTable!AZ2089,FALSE),"옵션고정안함")</f>
        <v>8431,8432</v>
      </c>
    </row>
    <row r="2090" spans="1:53" ht="12" x14ac:dyDescent="0.2">
      <c r="A2090" s="10" t="s">
        <v>2132</v>
      </c>
      <c r="B2090" s="39">
        <v>816010</v>
      </c>
      <c r="C2090" s="42" t="s">
        <v>4273</v>
      </c>
      <c r="D2090" s="86" t="s">
        <v>2953</v>
      </c>
      <c r="E2090" s="86" t="s">
        <v>2</v>
      </c>
      <c r="F2090" s="32" t="s">
        <v>312</v>
      </c>
      <c r="G2090" s="32" t="s">
        <v>1625</v>
      </c>
      <c r="O2090" s="32">
        <v>8</v>
      </c>
      <c r="P2090" s="32">
        <v>81</v>
      </c>
      <c r="Q2090" s="1"/>
      <c r="R2090" s="1"/>
      <c r="S2090" s="1"/>
      <c r="T2090" s="1"/>
      <c r="U2090" s="1"/>
      <c r="V2090" s="1"/>
      <c r="W2090" s="1" t="s">
        <v>2193</v>
      </c>
      <c r="X2090" s="1" t="s">
        <v>2193</v>
      </c>
      <c r="Y2090" s="1" t="s">
        <v>2193</v>
      </c>
      <c r="Z2090" s="1" t="s">
        <v>2193</v>
      </c>
      <c r="AA2090" s="1">
        <v>3553</v>
      </c>
      <c r="AB2090" s="1" t="s">
        <v>2193</v>
      </c>
      <c r="AD2090" s="12" t="s">
        <v>52</v>
      </c>
      <c r="AE2090" s="39" t="s">
        <v>2187</v>
      </c>
      <c r="AF2090" s="12" t="s">
        <v>2185</v>
      </c>
      <c r="AN2090" s="32" t="s">
        <v>1169</v>
      </c>
      <c r="AU2090" s="12" t="s">
        <v>1936</v>
      </c>
      <c r="AW2090" s="39">
        <v>6</v>
      </c>
      <c r="AX2090" s="12">
        <f>VLOOKUP(AW2090,색인!$N$14:$O$19,2,FALSE)</f>
        <v>4</v>
      </c>
      <c r="AY2090" s="12" t="str">
        <f>"T"&amp;O2090&amp;"_"&amp;AX2090&amp;"옵션_"&amp;VLOOKUP(E2090,색인!$J$25:$K$29,2,FALSE)</f>
        <v>T8_4옵션_장신구</v>
      </c>
      <c r="AZ2090" s="12">
        <f>VLOOKUP(G2090,색인!$J$32:$K$45,2,FALSE)</f>
        <v>4</v>
      </c>
      <c r="BA2090" s="12" t="str">
        <f>_xlfn.IFNA(VLOOKUP(AY2090,표1[[검색용]:[OptionGroupIndex'[']22]],EquipItemTable!AZ2090,FALSE),"옵션고정안함")</f>
        <v>8431,8432</v>
      </c>
    </row>
    <row r="2091" spans="1:53" ht="12" x14ac:dyDescent="0.2">
      <c r="A2091" s="10" t="s">
        <v>2133</v>
      </c>
      <c r="B2091" s="39">
        <v>817001</v>
      </c>
      <c r="C2091" s="42" t="s">
        <v>4274</v>
      </c>
      <c r="D2091" s="86" t="s">
        <v>2953</v>
      </c>
      <c r="E2091" s="86" t="s">
        <v>1629</v>
      </c>
      <c r="F2091" s="32" t="s">
        <v>312</v>
      </c>
      <c r="G2091" s="32" t="s">
        <v>1630</v>
      </c>
      <c r="O2091" s="32">
        <v>8</v>
      </c>
      <c r="P2091" s="32">
        <v>81</v>
      </c>
      <c r="Q2091" s="1"/>
      <c r="R2091" s="1"/>
      <c r="S2091" s="1"/>
      <c r="T2091" s="1"/>
      <c r="U2091" s="1"/>
      <c r="V2091" s="1"/>
      <c r="W2091" s="1" t="s">
        <v>2193</v>
      </c>
      <c r="X2091" s="1" t="s">
        <v>2193</v>
      </c>
      <c r="Y2091" s="1">
        <v>169281</v>
      </c>
      <c r="Z2091" s="1" t="s">
        <v>2193</v>
      </c>
      <c r="AA2091" s="1" t="s">
        <v>2193</v>
      </c>
      <c r="AB2091" s="1" t="s">
        <v>2193</v>
      </c>
      <c r="AD2091" s="12" t="s">
        <v>52</v>
      </c>
      <c r="AE2091" s="12" t="s">
        <v>2187</v>
      </c>
      <c r="AF2091" s="12" t="s">
        <v>2185</v>
      </c>
      <c r="AN2091" s="12"/>
      <c r="AU2091" s="12" t="s">
        <v>2134</v>
      </c>
      <c r="AW2091" s="39">
        <v>1</v>
      </c>
      <c r="AY2091" s="12"/>
      <c r="AZ2091" s="12"/>
      <c r="BA2091" s="12"/>
    </row>
    <row r="2092" spans="1:53" ht="12" x14ac:dyDescent="0.2">
      <c r="A2092" s="10" t="s">
        <v>2135</v>
      </c>
      <c r="B2092" s="39">
        <v>817002</v>
      </c>
      <c r="C2092" s="42" t="s">
        <v>4275</v>
      </c>
      <c r="D2092" s="86" t="s">
        <v>2953</v>
      </c>
      <c r="E2092" s="86" t="s">
        <v>1629</v>
      </c>
      <c r="F2092" s="32" t="s">
        <v>312</v>
      </c>
      <c r="G2092" s="32" t="s">
        <v>1630</v>
      </c>
      <c r="O2092" s="32">
        <v>8</v>
      </c>
      <c r="P2092" s="32">
        <v>81</v>
      </c>
      <c r="Q2092" s="1"/>
      <c r="R2092" s="1"/>
      <c r="S2092" s="1"/>
      <c r="T2092" s="1"/>
      <c r="U2092" s="1"/>
      <c r="V2092" s="1"/>
      <c r="W2092" s="1" t="s">
        <v>2193</v>
      </c>
      <c r="X2092" s="1" t="s">
        <v>2193</v>
      </c>
      <c r="Y2092" s="1">
        <v>182554</v>
      </c>
      <c r="Z2092" s="1" t="s">
        <v>2193</v>
      </c>
      <c r="AA2092" s="1" t="s">
        <v>2193</v>
      </c>
      <c r="AB2092" s="1" t="s">
        <v>2193</v>
      </c>
      <c r="AD2092" s="12" t="s">
        <v>52</v>
      </c>
      <c r="AE2092" s="39" t="str">
        <f t="shared" ref="AE2092:AE2095" si="239">BA2092</f>
        <v>8141,8142</v>
      </c>
      <c r="AN2092" s="12"/>
      <c r="AU2092" s="12" t="s">
        <v>1976</v>
      </c>
      <c r="AW2092" s="39">
        <v>2</v>
      </c>
      <c r="AX2092" s="12">
        <f>VLOOKUP(AW2092,색인!$N$14:$O$19,2,FALSE)</f>
        <v>1</v>
      </c>
      <c r="AY2092" s="39" t="str">
        <f>"T"&amp;O2092&amp;"_"&amp;AX2092&amp;"옵션_"&amp;VLOOKUP(E2092,색인!$J$25:$K$29,2,FALSE)</f>
        <v>T8_1옵션_보주</v>
      </c>
      <c r="AZ2092" s="39">
        <f>VLOOKUP(G2092,색인!$J$32:$K$45,2,FALSE)</f>
        <v>4</v>
      </c>
      <c r="BA2092" s="39" t="str">
        <f>_xlfn.IFNA(VLOOKUP(AY2092,표1[[검색용]:[OptionGroupIndex'[']22]],EquipItemTable!AZ2092,FALSE),"옵션고정안함")</f>
        <v>8141,8142</v>
      </c>
    </row>
    <row r="2093" spans="1:53" ht="12" x14ac:dyDescent="0.2">
      <c r="A2093" s="10" t="s">
        <v>2136</v>
      </c>
      <c r="B2093" s="39">
        <v>817003</v>
      </c>
      <c r="C2093" s="42" t="s">
        <v>4276</v>
      </c>
      <c r="D2093" s="86" t="s">
        <v>2953</v>
      </c>
      <c r="E2093" s="86" t="s">
        <v>1629</v>
      </c>
      <c r="F2093" s="32" t="s">
        <v>312</v>
      </c>
      <c r="G2093" s="32" t="s">
        <v>1630</v>
      </c>
      <c r="O2093" s="32">
        <v>8</v>
      </c>
      <c r="P2093" s="32">
        <v>81</v>
      </c>
      <c r="Q2093" s="1"/>
      <c r="R2093" s="1"/>
      <c r="S2093" s="1"/>
      <c r="T2093" s="1"/>
      <c r="U2093" s="1"/>
      <c r="V2093" s="1"/>
      <c r="W2093" s="1" t="s">
        <v>2193</v>
      </c>
      <c r="X2093" s="1" t="s">
        <v>2193</v>
      </c>
      <c r="Y2093" s="1">
        <v>194292</v>
      </c>
      <c r="Z2093" s="1" t="s">
        <v>2193</v>
      </c>
      <c r="AA2093" s="1" t="s">
        <v>2193</v>
      </c>
      <c r="AB2093" s="1" t="s">
        <v>2193</v>
      </c>
      <c r="AD2093" s="12" t="s">
        <v>52</v>
      </c>
      <c r="AE2093" s="39" t="str">
        <f t="shared" si="239"/>
        <v>8241,8242</v>
      </c>
      <c r="AN2093" s="12"/>
      <c r="AU2093" s="12" t="s">
        <v>1978</v>
      </c>
      <c r="AW2093" s="39">
        <v>3</v>
      </c>
      <c r="AX2093" s="12">
        <f>VLOOKUP(AW2093,색인!$N$14:$O$19,2,FALSE)</f>
        <v>2</v>
      </c>
      <c r="AY2093" s="39" t="str">
        <f>"T"&amp;O2093&amp;"_"&amp;AX2093&amp;"옵션_"&amp;VLOOKUP(E2093,색인!$J$25:$K$29,2,FALSE)</f>
        <v>T8_2옵션_보주</v>
      </c>
      <c r="AZ2093" s="39">
        <f>VLOOKUP(G2093,색인!$J$32:$K$45,2,FALSE)</f>
        <v>4</v>
      </c>
      <c r="BA2093" s="39" t="str">
        <f>_xlfn.IFNA(VLOOKUP(AY2093,표1[[검색용]:[OptionGroupIndex'[']22]],EquipItemTable!AZ2093,FALSE),"옵션고정안함")</f>
        <v>8241,8242</v>
      </c>
    </row>
    <row r="2094" spans="1:53" ht="12" x14ac:dyDescent="0.2">
      <c r="A2094" s="10" t="s">
        <v>2137</v>
      </c>
      <c r="B2094" s="39">
        <v>817004</v>
      </c>
      <c r="C2094" s="42" t="s">
        <v>4277</v>
      </c>
      <c r="D2094" s="86" t="s">
        <v>2953</v>
      </c>
      <c r="E2094" s="86" t="s">
        <v>1629</v>
      </c>
      <c r="F2094" s="32" t="s">
        <v>312</v>
      </c>
      <c r="G2094" s="32" t="s">
        <v>1630</v>
      </c>
      <c r="O2094" s="32">
        <v>8</v>
      </c>
      <c r="P2094" s="32">
        <v>81</v>
      </c>
      <c r="Q2094" s="1"/>
      <c r="R2094" s="1"/>
      <c r="S2094" s="1"/>
      <c r="T2094" s="1"/>
      <c r="U2094" s="1"/>
      <c r="V2094" s="1"/>
      <c r="W2094" s="1" t="s">
        <v>2193</v>
      </c>
      <c r="X2094" s="1" t="s">
        <v>2193</v>
      </c>
      <c r="Y2094" s="1">
        <v>206483</v>
      </c>
      <c r="Z2094" s="1" t="s">
        <v>2193</v>
      </c>
      <c r="AA2094" s="1" t="s">
        <v>2193</v>
      </c>
      <c r="AB2094" s="1" t="s">
        <v>2193</v>
      </c>
      <c r="AD2094" s="12" t="s">
        <v>52</v>
      </c>
      <c r="AE2094" s="39" t="str">
        <f t="shared" si="239"/>
        <v>8341,8342</v>
      </c>
      <c r="AN2094" s="12"/>
      <c r="AU2094" s="12" t="s">
        <v>1980</v>
      </c>
      <c r="AW2094" s="39">
        <v>4</v>
      </c>
      <c r="AX2094" s="12">
        <f>VLOOKUP(AW2094,색인!$N$14:$O$19,2,FALSE)</f>
        <v>3</v>
      </c>
      <c r="AY2094" s="39" t="str">
        <f>"T"&amp;O2094&amp;"_"&amp;AX2094&amp;"옵션_"&amp;VLOOKUP(E2094,색인!$J$25:$K$29,2,FALSE)</f>
        <v>T8_3옵션_보주</v>
      </c>
      <c r="AZ2094" s="39">
        <f>VLOOKUP(G2094,색인!$J$32:$K$45,2,FALSE)</f>
        <v>4</v>
      </c>
      <c r="BA2094" s="39" t="str">
        <f>_xlfn.IFNA(VLOOKUP(AY2094,표1[[검색용]:[OptionGroupIndex'[']22]],EquipItemTable!AZ2094,FALSE),"옵션고정안함")</f>
        <v>8341,8342</v>
      </c>
    </row>
    <row r="2095" spans="1:53" ht="12" x14ac:dyDescent="0.2">
      <c r="A2095" s="10" t="s">
        <v>2138</v>
      </c>
      <c r="B2095" s="39">
        <v>817005</v>
      </c>
      <c r="C2095" s="42" t="s">
        <v>4278</v>
      </c>
      <c r="D2095" s="86" t="s">
        <v>2953</v>
      </c>
      <c r="E2095" s="86" t="s">
        <v>1629</v>
      </c>
      <c r="F2095" s="32" t="s">
        <v>312</v>
      </c>
      <c r="G2095" s="32" t="s">
        <v>1630</v>
      </c>
      <c r="O2095" s="32">
        <v>8</v>
      </c>
      <c r="P2095" s="32">
        <v>81</v>
      </c>
      <c r="Q2095" s="1"/>
      <c r="R2095" s="1"/>
      <c r="S2095" s="1"/>
      <c r="T2095" s="1"/>
      <c r="U2095" s="1"/>
      <c r="V2095" s="1"/>
      <c r="W2095" s="1" t="s">
        <v>2193</v>
      </c>
      <c r="X2095" s="1" t="s">
        <v>2193</v>
      </c>
      <c r="Y2095" s="1">
        <v>216615</v>
      </c>
      <c r="Z2095" s="1" t="s">
        <v>2193</v>
      </c>
      <c r="AA2095" s="1" t="s">
        <v>2193</v>
      </c>
      <c r="AB2095" s="1" t="s">
        <v>2193</v>
      </c>
      <c r="AD2095" s="12" t="s">
        <v>52</v>
      </c>
      <c r="AE2095" s="39" t="str">
        <f t="shared" si="239"/>
        <v>8341,8342</v>
      </c>
      <c r="AN2095" s="32">
        <v>104</v>
      </c>
      <c r="AU2095" s="12" t="s">
        <v>1982</v>
      </c>
      <c r="AW2095" s="39">
        <v>5</v>
      </c>
      <c r="AX2095" s="12">
        <f>VLOOKUP(AW2095,색인!$N$14:$O$19,2,FALSE)</f>
        <v>3</v>
      </c>
      <c r="AY2095" s="39" t="str">
        <f>"T"&amp;O2095&amp;"_"&amp;AX2095&amp;"옵션_"&amp;VLOOKUP(E2095,색인!$J$25:$K$29,2,FALSE)</f>
        <v>T8_3옵션_보주</v>
      </c>
      <c r="AZ2095" s="39">
        <f>VLOOKUP(G2095,색인!$J$32:$K$45,2,FALSE)</f>
        <v>4</v>
      </c>
      <c r="BA2095" s="39" t="str">
        <f>_xlfn.IFNA(VLOOKUP(AY2095,표1[[검색용]:[OptionGroupIndex'[']22]],EquipItemTable!AZ2095,FALSE),"옵션고정안함")</f>
        <v>8341,8342</v>
      </c>
    </row>
    <row r="2096" spans="1:53" ht="12" x14ac:dyDescent="0.2">
      <c r="A2096" s="10" t="s">
        <v>2139</v>
      </c>
      <c r="B2096" s="39">
        <v>817006</v>
      </c>
      <c r="C2096" s="42" t="s">
        <v>4039</v>
      </c>
      <c r="D2096" s="86" t="s">
        <v>2953</v>
      </c>
      <c r="E2096" s="86" t="s">
        <v>1629</v>
      </c>
      <c r="F2096" s="32" t="s">
        <v>312</v>
      </c>
      <c r="G2096" s="32" t="s">
        <v>1630</v>
      </c>
      <c r="O2096" s="32">
        <v>8</v>
      </c>
      <c r="P2096" s="32">
        <v>81</v>
      </c>
      <c r="Q2096" s="1"/>
      <c r="R2096" s="1"/>
      <c r="S2096" s="1"/>
      <c r="T2096" s="1"/>
      <c r="U2096" s="1"/>
      <c r="V2096" s="1"/>
      <c r="W2096" s="1" t="s">
        <v>2193</v>
      </c>
      <c r="X2096" s="1" t="s">
        <v>2193</v>
      </c>
      <c r="Y2096" s="1">
        <v>226962</v>
      </c>
      <c r="Z2096" s="1" t="s">
        <v>2193</v>
      </c>
      <c r="AA2096" s="1" t="s">
        <v>2193</v>
      </c>
      <c r="AB2096" s="1" t="s">
        <v>2193</v>
      </c>
      <c r="AD2096" s="12" t="s">
        <v>52</v>
      </c>
      <c r="AE2096" s="39" t="str">
        <f>BA2096</f>
        <v>8441,8442</v>
      </c>
      <c r="AF2096" s="12" t="s">
        <v>2185</v>
      </c>
      <c r="AN2096" s="12">
        <v>1</v>
      </c>
      <c r="AU2096" s="12" t="s">
        <v>1936</v>
      </c>
      <c r="AW2096" s="39">
        <v>6</v>
      </c>
      <c r="AX2096" s="12">
        <f>VLOOKUP(AW2096,색인!$N$14:$O$19,2,FALSE)</f>
        <v>4</v>
      </c>
      <c r="AY2096" s="12" t="str">
        <f>"T"&amp;O2096&amp;"_"&amp;AX2096&amp;"옵션_"&amp;VLOOKUP(E2096,색인!$J$25:$K$29,2,FALSE)</f>
        <v>T8_4옵션_보주</v>
      </c>
      <c r="AZ2096" s="12">
        <f>VLOOKUP(G2096,색인!$J$32:$K$45,2,FALSE)</f>
        <v>4</v>
      </c>
      <c r="BA2096" s="12" t="str">
        <f>_xlfn.IFNA(VLOOKUP(AY2096,표1[[검색용]:[OptionGroupIndex'[']22]],EquipItemTable!AZ2096,FALSE),"옵션고정안함")</f>
        <v>8441,8442</v>
      </c>
    </row>
    <row r="2097" spans="1:53" ht="12" x14ac:dyDescent="0.2">
      <c r="A2097" s="10" t="s">
        <v>2140</v>
      </c>
      <c r="B2097" s="39">
        <v>817007</v>
      </c>
      <c r="C2097" s="42" t="s">
        <v>4040</v>
      </c>
      <c r="D2097" s="86" t="s">
        <v>2953</v>
      </c>
      <c r="E2097" s="86" t="s">
        <v>1629</v>
      </c>
      <c r="F2097" s="32" t="s">
        <v>312</v>
      </c>
      <c r="G2097" s="32" t="s">
        <v>1630</v>
      </c>
      <c r="O2097" s="32">
        <v>8</v>
      </c>
      <c r="P2097" s="32">
        <v>81</v>
      </c>
      <c r="Q2097" s="1"/>
      <c r="R2097" s="1"/>
      <c r="S2097" s="1"/>
      <c r="T2097" s="1"/>
      <c r="U2097" s="1"/>
      <c r="V2097" s="1"/>
      <c r="W2097" s="1" t="s">
        <v>2193</v>
      </c>
      <c r="X2097" s="1" t="s">
        <v>2193</v>
      </c>
      <c r="Y2097" s="1">
        <v>226962</v>
      </c>
      <c r="Z2097" s="1" t="s">
        <v>2193</v>
      </c>
      <c r="AA2097" s="1" t="s">
        <v>2193</v>
      </c>
      <c r="AB2097" s="1" t="s">
        <v>2193</v>
      </c>
      <c r="AD2097" s="12" t="s">
        <v>52</v>
      </c>
      <c r="AE2097" s="39" t="str">
        <f>BA2097</f>
        <v>8441,8442</v>
      </c>
      <c r="AF2097" s="12" t="s">
        <v>2185</v>
      </c>
      <c r="AN2097" s="32" t="s">
        <v>1192</v>
      </c>
      <c r="AU2097" s="12" t="s">
        <v>1936</v>
      </c>
      <c r="AW2097" s="39">
        <v>6</v>
      </c>
      <c r="AX2097" s="12">
        <f>VLOOKUP(AW2097,색인!$N$14:$O$19,2,FALSE)</f>
        <v>4</v>
      </c>
      <c r="AY2097" s="12" t="str">
        <f>"T"&amp;O2097&amp;"_"&amp;AX2097&amp;"옵션_"&amp;VLOOKUP(E2097,색인!$J$25:$K$29,2,FALSE)</f>
        <v>T8_4옵션_보주</v>
      </c>
      <c r="AZ2097" s="12">
        <f>VLOOKUP(G2097,색인!$J$32:$K$45,2,FALSE)</f>
        <v>4</v>
      </c>
      <c r="BA2097" s="12" t="str">
        <f>_xlfn.IFNA(VLOOKUP(AY2097,표1[[검색용]:[OptionGroupIndex'[']22]],EquipItemTable!AZ2097,FALSE),"옵션고정안함")</f>
        <v>8441,8442</v>
      </c>
    </row>
    <row r="2098" spans="1:53" ht="12" x14ac:dyDescent="0.2">
      <c r="A2098" s="10" t="s">
        <v>2141</v>
      </c>
      <c r="B2098" s="39">
        <v>817008</v>
      </c>
      <c r="C2098" s="42" t="s">
        <v>4041</v>
      </c>
      <c r="D2098" s="86" t="s">
        <v>2953</v>
      </c>
      <c r="E2098" s="86" t="s">
        <v>1629</v>
      </c>
      <c r="F2098" s="32" t="s">
        <v>312</v>
      </c>
      <c r="G2098" s="32" t="s">
        <v>1630</v>
      </c>
      <c r="O2098" s="32">
        <v>8</v>
      </c>
      <c r="P2098" s="32">
        <v>81</v>
      </c>
      <c r="Q2098" s="1"/>
      <c r="R2098" s="1"/>
      <c r="S2098" s="1"/>
      <c r="T2098" s="1"/>
      <c r="U2098" s="1"/>
      <c r="V2098" s="1"/>
      <c r="W2098" s="1" t="s">
        <v>2193</v>
      </c>
      <c r="X2098" s="1" t="s">
        <v>2193</v>
      </c>
      <c r="Y2098" s="1">
        <v>226962</v>
      </c>
      <c r="Z2098" s="1" t="s">
        <v>2193</v>
      </c>
      <c r="AA2098" s="1" t="s">
        <v>2193</v>
      </c>
      <c r="AB2098" s="1" t="s">
        <v>2193</v>
      </c>
      <c r="AD2098" s="12" t="s">
        <v>52</v>
      </c>
      <c r="AE2098" s="39" t="str">
        <f>BA2098</f>
        <v>8441,8442</v>
      </c>
      <c r="AF2098" s="12" t="s">
        <v>2185</v>
      </c>
      <c r="AN2098" s="32" t="s">
        <v>369</v>
      </c>
      <c r="AU2098" s="12" t="s">
        <v>1936</v>
      </c>
      <c r="AW2098" s="39">
        <v>6</v>
      </c>
      <c r="AX2098" s="12">
        <f>VLOOKUP(AW2098,색인!$N$14:$O$19,2,FALSE)</f>
        <v>4</v>
      </c>
      <c r="AY2098" s="12" t="str">
        <f>"T"&amp;O2098&amp;"_"&amp;AX2098&amp;"옵션_"&amp;VLOOKUP(E2098,색인!$J$25:$K$29,2,FALSE)</f>
        <v>T8_4옵션_보주</v>
      </c>
      <c r="AZ2098" s="12">
        <f>VLOOKUP(G2098,색인!$J$32:$K$45,2,FALSE)</f>
        <v>4</v>
      </c>
      <c r="BA2098" s="12" t="str">
        <f>_xlfn.IFNA(VLOOKUP(AY2098,표1[[검색용]:[OptionGroupIndex'[']22]],EquipItemTable!AZ2098,FALSE),"옵션고정안함")</f>
        <v>8441,8442</v>
      </c>
    </row>
    <row r="2099" spans="1:53" ht="12" x14ac:dyDescent="0.2">
      <c r="A2099" s="10" t="s">
        <v>2142</v>
      </c>
      <c r="B2099" s="39">
        <v>817009</v>
      </c>
      <c r="C2099" s="42" t="s">
        <v>4042</v>
      </c>
      <c r="D2099" s="86" t="s">
        <v>2953</v>
      </c>
      <c r="E2099" s="86" t="s">
        <v>1629</v>
      </c>
      <c r="F2099" s="32" t="s">
        <v>312</v>
      </c>
      <c r="G2099" s="32" t="s">
        <v>1630</v>
      </c>
      <c r="O2099" s="32">
        <v>8</v>
      </c>
      <c r="P2099" s="32">
        <v>81</v>
      </c>
      <c r="Q2099" s="1"/>
      <c r="R2099" s="1"/>
      <c r="S2099" s="1"/>
      <c r="T2099" s="1"/>
      <c r="U2099" s="1"/>
      <c r="V2099" s="1"/>
      <c r="W2099" s="1" t="s">
        <v>2193</v>
      </c>
      <c r="X2099" s="1" t="s">
        <v>2193</v>
      </c>
      <c r="Y2099" s="1">
        <v>226962</v>
      </c>
      <c r="Z2099" s="1" t="s">
        <v>2193</v>
      </c>
      <c r="AA2099" s="1" t="s">
        <v>2193</v>
      </c>
      <c r="AB2099" s="1" t="s">
        <v>2193</v>
      </c>
      <c r="AD2099" s="12" t="s">
        <v>52</v>
      </c>
      <c r="AE2099" s="39" t="str">
        <f>BA2099</f>
        <v>8441,8442</v>
      </c>
      <c r="AF2099" s="12" t="s">
        <v>2185</v>
      </c>
      <c r="AN2099" s="32" t="s">
        <v>1194</v>
      </c>
      <c r="AU2099" s="12" t="s">
        <v>1936</v>
      </c>
      <c r="AW2099" s="39">
        <v>6</v>
      </c>
      <c r="AX2099" s="12">
        <f>VLOOKUP(AW2099,색인!$N$14:$O$19,2,FALSE)</f>
        <v>4</v>
      </c>
      <c r="AY2099" s="12" t="str">
        <f>"T"&amp;O2099&amp;"_"&amp;AX2099&amp;"옵션_"&amp;VLOOKUP(E2099,색인!$J$25:$K$29,2,FALSE)</f>
        <v>T8_4옵션_보주</v>
      </c>
      <c r="AZ2099" s="12">
        <f>VLOOKUP(G2099,색인!$J$32:$K$45,2,FALSE)</f>
        <v>4</v>
      </c>
      <c r="BA2099" s="12" t="str">
        <f>_xlfn.IFNA(VLOOKUP(AY2099,표1[[검색용]:[OptionGroupIndex'[']22]],EquipItemTable!AZ2099,FALSE),"옵션고정안함")</f>
        <v>8441,8442</v>
      </c>
    </row>
    <row r="2100" spans="1:53" ht="12" x14ac:dyDescent="0.2">
      <c r="A2100" s="10" t="s">
        <v>2143</v>
      </c>
      <c r="B2100" s="39">
        <v>817010</v>
      </c>
      <c r="C2100" s="42" t="s">
        <v>4279</v>
      </c>
      <c r="D2100" s="86" t="s">
        <v>2953</v>
      </c>
      <c r="E2100" s="86" t="s">
        <v>1629</v>
      </c>
      <c r="F2100" s="32" t="s">
        <v>312</v>
      </c>
      <c r="G2100" s="32" t="s">
        <v>1630</v>
      </c>
      <c r="O2100" s="32">
        <v>8</v>
      </c>
      <c r="P2100" s="32">
        <v>81</v>
      </c>
      <c r="Q2100" s="1"/>
      <c r="R2100" s="1"/>
      <c r="S2100" s="1"/>
      <c r="T2100" s="1"/>
      <c r="U2100" s="1"/>
      <c r="V2100" s="1"/>
      <c r="W2100" s="1" t="s">
        <v>2193</v>
      </c>
      <c r="X2100" s="1" t="s">
        <v>2193</v>
      </c>
      <c r="Y2100" s="1">
        <v>226962</v>
      </c>
      <c r="Z2100" s="1" t="s">
        <v>2193</v>
      </c>
      <c r="AA2100" s="1" t="s">
        <v>2193</v>
      </c>
      <c r="AB2100" s="1" t="s">
        <v>2193</v>
      </c>
      <c r="AD2100" s="12" t="s">
        <v>52</v>
      </c>
      <c r="AE2100" s="39" t="s">
        <v>2187</v>
      </c>
      <c r="AF2100" s="12" t="s">
        <v>2185</v>
      </c>
      <c r="AN2100" s="32" t="s">
        <v>1169</v>
      </c>
      <c r="AU2100" s="12" t="s">
        <v>1936</v>
      </c>
      <c r="AW2100" s="39">
        <v>6</v>
      </c>
      <c r="AX2100" s="12">
        <f>VLOOKUP(AW2100,색인!$N$14:$O$19,2,FALSE)</f>
        <v>4</v>
      </c>
      <c r="AY2100" s="12" t="str">
        <f>"T"&amp;O2100&amp;"_"&amp;AX2100&amp;"옵션_"&amp;VLOOKUP(E2100,색인!$J$25:$K$29,2,FALSE)</f>
        <v>T8_4옵션_보주</v>
      </c>
      <c r="AZ2100" s="12">
        <f>VLOOKUP(G2100,색인!$J$32:$K$45,2,FALSE)</f>
        <v>4</v>
      </c>
      <c r="BA2100" s="12" t="str">
        <f>_xlfn.IFNA(VLOOKUP(AY2100,표1[[검색용]:[OptionGroupIndex'[']22]],EquipItemTable!AZ2100,FALSE),"옵션고정안함")</f>
        <v>8441,8442</v>
      </c>
    </row>
    <row r="2101" spans="1:53" ht="12" x14ac:dyDescent="0.2">
      <c r="A2101" s="10" t="s">
        <v>2144</v>
      </c>
      <c r="B2101" s="39">
        <v>818001</v>
      </c>
      <c r="C2101" s="42" t="s">
        <v>4178</v>
      </c>
      <c r="D2101" s="86" t="s">
        <v>2953</v>
      </c>
      <c r="E2101" s="86" t="s">
        <v>1901</v>
      </c>
      <c r="F2101" s="32" t="s">
        <v>312</v>
      </c>
      <c r="G2101" s="1" t="s">
        <v>2305</v>
      </c>
      <c r="H2101" s="1"/>
      <c r="O2101" s="32">
        <v>8</v>
      </c>
      <c r="P2101" s="32">
        <v>81</v>
      </c>
      <c r="Q2101" s="1"/>
      <c r="R2101" s="1"/>
      <c r="S2101" s="1"/>
      <c r="T2101" s="1"/>
      <c r="U2101" s="1"/>
      <c r="V2101" s="1"/>
      <c r="W2101" s="1" t="s">
        <v>2193</v>
      </c>
      <c r="X2101" s="1" t="s">
        <v>2193</v>
      </c>
      <c r="Y2101" s="1">
        <v>226962</v>
      </c>
      <c r="Z2101" s="1" t="s">
        <v>2193</v>
      </c>
      <c r="AA2101" s="1" t="s">
        <v>2193</v>
      </c>
      <c r="AB2101" s="1" t="s">
        <v>2193</v>
      </c>
      <c r="AD2101" s="12" t="s">
        <v>52</v>
      </c>
      <c r="AE2101" s="39" t="s">
        <v>2192</v>
      </c>
      <c r="AF2101" s="12" t="s">
        <v>2185</v>
      </c>
      <c r="AU2101" s="12" t="s">
        <v>1949</v>
      </c>
      <c r="AW2101" s="39">
        <v>6</v>
      </c>
      <c r="AX2101" s="12">
        <f>VLOOKUP(AW2101,색인!$N$14:$O$19,2,FALSE)</f>
        <v>4</v>
      </c>
      <c r="AY2101" s="12" t="e">
        <f>"T"&amp;O2101&amp;"_"&amp;AX2101&amp;"옵션_"&amp;VLOOKUP(E2101,색인!$J$25:$K$29,2,FALSE)</f>
        <v>#N/A</v>
      </c>
      <c r="AZ2101" s="12" t="e">
        <f>VLOOKUP(G2101,색인!$J$32:$K$45,2,FALSE)</f>
        <v>#N/A</v>
      </c>
      <c r="BA2101" s="12" t="str">
        <f>_xlfn.IFNA(VLOOKUP(AY2101,표1[[검색용]:[OptionGroupIndex'[']22]],EquipItemTable!AZ2101,FALSE),"옵션고정안함")</f>
        <v>옵션고정안함</v>
      </c>
    </row>
    <row r="2102" spans="1:53" ht="12" x14ac:dyDescent="0.2">
      <c r="A2102" s="10" t="s">
        <v>2145</v>
      </c>
      <c r="B2102" s="39">
        <v>819001</v>
      </c>
      <c r="C2102" s="42" t="s">
        <v>3430</v>
      </c>
      <c r="D2102" s="86" t="s">
        <v>2953</v>
      </c>
      <c r="E2102" s="86" t="s">
        <v>0</v>
      </c>
      <c r="F2102" s="32" t="s">
        <v>436</v>
      </c>
      <c r="G2102" s="32" t="s">
        <v>1305</v>
      </c>
      <c r="O2102" s="32">
        <v>8</v>
      </c>
      <c r="P2102" s="32">
        <v>81</v>
      </c>
      <c r="Q2102" s="1"/>
      <c r="R2102" s="1"/>
      <c r="S2102" s="1"/>
      <c r="T2102" s="1"/>
      <c r="U2102" s="1"/>
      <c r="V2102" s="1"/>
      <c r="W2102" s="1">
        <v>7630</v>
      </c>
      <c r="X2102" s="1">
        <v>7630</v>
      </c>
      <c r="Y2102" s="1" t="s">
        <v>2193</v>
      </c>
      <c r="Z2102" s="1" t="s">
        <v>2193</v>
      </c>
      <c r="AA2102" s="1" t="s">
        <v>2193</v>
      </c>
      <c r="AB2102" s="1" t="s">
        <v>2193</v>
      </c>
      <c r="AD2102" s="12" t="s">
        <v>52</v>
      </c>
      <c r="AE2102" s="39" t="str">
        <f t="shared" ref="AE2102:AE2118" si="240">BA2102</f>
        <v>8332</v>
      </c>
      <c r="AN2102" s="12">
        <v>101</v>
      </c>
      <c r="AR2102" s="34">
        <v>1</v>
      </c>
      <c r="AS2102" s="34">
        <v>1</v>
      </c>
      <c r="AU2102" s="12" t="s">
        <v>1982</v>
      </c>
      <c r="AW2102" s="39">
        <v>5</v>
      </c>
      <c r="AX2102" s="12">
        <f>VLOOKUP(AW2102,색인!$N$14:$O$19,2,FALSE)</f>
        <v>3</v>
      </c>
      <c r="AY2102" s="39" t="str">
        <f>"T"&amp;O2102&amp;"_"&amp;AX2102&amp;"옵션_"&amp;VLOOKUP(E2102,색인!$J$25:$K$29,2,FALSE)</f>
        <v>T8_3옵션_장신구</v>
      </c>
      <c r="AZ2102" s="39">
        <f>VLOOKUP(G2102,색인!$J$32:$K$45,2,FALSE)</f>
        <v>3</v>
      </c>
      <c r="BA2102" s="39" t="str">
        <f>_xlfn.IFNA(VLOOKUP(AY2102,표1[[검색용]:[OptionGroupIndex'[']22]],EquipItemTable!AZ2102,FALSE),"옵션고정안함")</f>
        <v>8332</v>
      </c>
    </row>
    <row r="2103" spans="1:53" ht="12" x14ac:dyDescent="0.2">
      <c r="A2103" s="10" t="s">
        <v>2146</v>
      </c>
      <c r="B2103" s="39">
        <v>819002</v>
      </c>
      <c r="C2103" s="42" t="s">
        <v>3468</v>
      </c>
      <c r="D2103" s="86" t="s">
        <v>2953</v>
      </c>
      <c r="E2103" s="86" t="s">
        <v>0</v>
      </c>
      <c r="F2103" s="32" t="s">
        <v>928</v>
      </c>
      <c r="G2103" s="32" t="s">
        <v>1357</v>
      </c>
      <c r="O2103" s="32">
        <v>8</v>
      </c>
      <c r="P2103" s="32">
        <v>81</v>
      </c>
      <c r="Q2103" s="1"/>
      <c r="R2103" s="1"/>
      <c r="S2103" s="1"/>
      <c r="T2103" s="1"/>
      <c r="U2103" s="1"/>
      <c r="V2103" s="1"/>
      <c r="W2103" s="1">
        <v>8666</v>
      </c>
      <c r="X2103" s="1">
        <v>8666</v>
      </c>
      <c r="Y2103" s="1" t="s">
        <v>2193</v>
      </c>
      <c r="Z2103" s="1" t="s">
        <v>2193</v>
      </c>
      <c r="AA2103" s="1" t="s">
        <v>2193</v>
      </c>
      <c r="AB2103" s="1" t="s">
        <v>2193</v>
      </c>
      <c r="AD2103" s="12" t="s">
        <v>52</v>
      </c>
      <c r="AE2103" s="39" t="str">
        <f t="shared" si="240"/>
        <v>8331</v>
      </c>
      <c r="AN2103" s="12">
        <v>101</v>
      </c>
      <c r="AR2103" s="34">
        <v>1</v>
      </c>
      <c r="AS2103" s="34">
        <v>1</v>
      </c>
      <c r="AU2103" s="12" t="s">
        <v>1982</v>
      </c>
      <c r="AW2103" s="39">
        <v>5</v>
      </c>
      <c r="AX2103" s="12">
        <f>VLOOKUP(AW2103,색인!$N$14:$O$19,2,FALSE)</f>
        <v>3</v>
      </c>
      <c r="AY2103" s="39" t="str">
        <f>"T"&amp;O2103&amp;"_"&amp;AX2103&amp;"옵션_"&amp;VLOOKUP(E2103,색인!$J$25:$K$29,2,FALSE)</f>
        <v>T8_3옵션_장신구</v>
      </c>
      <c r="AZ2103" s="39">
        <f>VLOOKUP(G2103,색인!$J$32:$K$45,2,FALSE)</f>
        <v>2</v>
      </c>
      <c r="BA2103" s="39" t="str">
        <f>_xlfn.IFNA(VLOOKUP(AY2103,표1[[검색용]:[OptionGroupIndex'[']22]],EquipItemTable!AZ2103,FALSE),"옵션고정안함")</f>
        <v>8331</v>
      </c>
    </row>
    <row r="2104" spans="1:53" ht="12" x14ac:dyDescent="0.2">
      <c r="A2104" s="10" t="s">
        <v>2147</v>
      </c>
      <c r="B2104" s="39">
        <v>819003</v>
      </c>
      <c r="C2104" s="42" t="s">
        <v>3510</v>
      </c>
      <c r="D2104" s="86" t="s">
        <v>2953</v>
      </c>
      <c r="E2104" s="86" t="s">
        <v>0</v>
      </c>
      <c r="F2104" s="32" t="s">
        <v>310</v>
      </c>
      <c r="G2104" s="32" t="s">
        <v>1358</v>
      </c>
      <c r="O2104" s="32">
        <v>8</v>
      </c>
      <c r="P2104" s="32">
        <v>81</v>
      </c>
      <c r="Q2104" s="1"/>
      <c r="R2104" s="1"/>
      <c r="S2104" s="1"/>
      <c r="T2104" s="1"/>
      <c r="U2104" s="1"/>
      <c r="V2104" s="1"/>
      <c r="W2104" s="1">
        <v>9513</v>
      </c>
      <c r="X2104" s="1">
        <v>9513</v>
      </c>
      <c r="Y2104" s="1" t="s">
        <v>2193</v>
      </c>
      <c r="Z2104" s="1" t="s">
        <v>2193</v>
      </c>
      <c r="AA2104" s="1" t="s">
        <v>2193</v>
      </c>
      <c r="AB2104" s="1" t="s">
        <v>2193</v>
      </c>
      <c r="AD2104" s="12" t="s">
        <v>52</v>
      </c>
      <c r="AE2104" s="39" t="str">
        <f t="shared" si="240"/>
        <v>8331</v>
      </c>
      <c r="AN2104" s="12">
        <v>101</v>
      </c>
      <c r="AR2104" s="34">
        <v>1</v>
      </c>
      <c r="AS2104" s="34">
        <v>1</v>
      </c>
      <c r="AU2104" s="12" t="s">
        <v>1982</v>
      </c>
      <c r="AW2104" s="39">
        <v>5</v>
      </c>
      <c r="AX2104" s="12">
        <f>VLOOKUP(AW2104,색인!$N$14:$O$19,2,FALSE)</f>
        <v>3</v>
      </c>
      <c r="AY2104" s="39" t="str">
        <f>"T"&amp;O2104&amp;"_"&amp;AX2104&amp;"옵션_"&amp;VLOOKUP(E2104,색인!$J$25:$K$29,2,FALSE)</f>
        <v>T8_3옵션_장신구</v>
      </c>
      <c r="AZ2104" s="39">
        <f>VLOOKUP(G2104,색인!$J$32:$K$45,2,FALSE)</f>
        <v>2</v>
      </c>
      <c r="BA2104" s="39" t="str">
        <f>_xlfn.IFNA(VLOOKUP(AY2104,표1[[검색용]:[OptionGroupIndex'[']22]],EquipItemTable!AZ2104,FALSE),"옵션고정안함")</f>
        <v>8331</v>
      </c>
    </row>
    <row r="2105" spans="1:53" ht="12" x14ac:dyDescent="0.2">
      <c r="A2105" s="10" t="s">
        <v>2148</v>
      </c>
      <c r="B2105" s="39">
        <v>819004</v>
      </c>
      <c r="C2105" s="42" t="s">
        <v>3545</v>
      </c>
      <c r="D2105" s="86" t="s">
        <v>2953</v>
      </c>
      <c r="E2105" s="86" t="s">
        <v>0</v>
      </c>
      <c r="F2105" s="32" t="s">
        <v>456</v>
      </c>
      <c r="G2105" s="32" t="s">
        <v>1396</v>
      </c>
      <c r="O2105" s="32">
        <v>8</v>
      </c>
      <c r="P2105" s="32">
        <v>81</v>
      </c>
      <c r="Q2105" s="1"/>
      <c r="R2105" s="1"/>
      <c r="S2105" s="1"/>
      <c r="T2105" s="1"/>
      <c r="U2105" s="1"/>
      <c r="V2105" s="1"/>
      <c r="W2105" s="1">
        <v>10738</v>
      </c>
      <c r="X2105" s="1">
        <v>10738</v>
      </c>
      <c r="Y2105" s="1" t="s">
        <v>2193</v>
      </c>
      <c r="Z2105" s="1" t="s">
        <v>2193</v>
      </c>
      <c r="AA2105" s="1" t="s">
        <v>2193</v>
      </c>
      <c r="AB2105" s="1" t="s">
        <v>2193</v>
      </c>
      <c r="AD2105" s="12" t="s">
        <v>52</v>
      </c>
      <c r="AE2105" s="39" t="str">
        <f t="shared" si="240"/>
        <v>8331</v>
      </c>
      <c r="AN2105" s="12">
        <v>101</v>
      </c>
      <c r="AR2105" s="34">
        <v>1</v>
      </c>
      <c r="AS2105" s="34">
        <v>1</v>
      </c>
      <c r="AU2105" s="12" t="s">
        <v>1982</v>
      </c>
      <c r="AW2105" s="39">
        <v>5</v>
      </c>
      <c r="AX2105" s="12">
        <f>VLOOKUP(AW2105,색인!$N$14:$O$19,2,FALSE)</f>
        <v>3</v>
      </c>
      <c r="AY2105" s="39" t="str">
        <f>"T"&amp;O2105&amp;"_"&amp;AX2105&amp;"옵션_"&amp;VLOOKUP(E2105,색인!$J$25:$K$29,2,FALSE)</f>
        <v>T8_3옵션_장신구</v>
      </c>
      <c r="AZ2105" s="39">
        <f>VLOOKUP(G2105,색인!$J$32:$K$45,2,FALSE)</f>
        <v>2</v>
      </c>
      <c r="BA2105" s="39" t="str">
        <f>_xlfn.IFNA(VLOOKUP(AY2105,표1[[검색용]:[OptionGroupIndex'[']22]],EquipItemTable!AZ2105,FALSE),"옵션고정안함")</f>
        <v>8331</v>
      </c>
    </row>
    <row r="2106" spans="1:53" ht="12" x14ac:dyDescent="0.2">
      <c r="A2106" s="10" t="s">
        <v>2149</v>
      </c>
      <c r="B2106" s="39">
        <v>819005</v>
      </c>
      <c r="C2106" s="42" t="s">
        <v>3587</v>
      </c>
      <c r="D2106" s="86" t="s">
        <v>2953</v>
      </c>
      <c r="E2106" s="86" t="s">
        <v>0</v>
      </c>
      <c r="F2106" s="32" t="s">
        <v>927</v>
      </c>
      <c r="G2106" s="32" t="s">
        <v>1415</v>
      </c>
      <c r="O2106" s="32">
        <v>8</v>
      </c>
      <c r="P2106" s="32">
        <v>81</v>
      </c>
      <c r="Q2106" s="1"/>
      <c r="R2106" s="1"/>
      <c r="S2106" s="1"/>
      <c r="T2106" s="1"/>
      <c r="U2106" s="1"/>
      <c r="V2106" s="1"/>
      <c r="W2106" s="1">
        <v>9797</v>
      </c>
      <c r="X2106" s="1">
        <v>9797</v>
      </c>
      <c r="Y2106" s="1" t="s">
        <v>2193</v>
      </c>
      <c r="Z2106" s="1" t="s">
        <v>2193</v>
      </c>
      <c r="AA2106" s="1" t="s">
        <v>2193</v>
      </c>
      <c r="AB2106" s="1" t="s">
        <v>2193</v>
      </c>
      <c r="AD2106" s="12" t="s">
        <v>52</v>
      </c>
      <c r="AE2106" s="39" t="str">
        <f t="shared" si="240"/>
        <v>8331</v>
      </c>
      <c r="AN2106" s="12">
        <v>101</v>
      </c>
      <c r="AR2106" s="34">
        <v>1</v>
      </c>
      <c r="AS2106" s="34">
        <v>1</v>
      </c>
      <c r="AU2106" s="12" t="s">
        <v>1982</v>
      </c>
      <c r="AW2106" s="39">
        <v>5</v>
      </c>
      <c r="AX2106" s="12">
        <f>VLOOKUP(AW2106,색인!$N$14:$O$19,2,FALSE)</f>
        <v>3</v>
      </c>
      <c r="AY2106" s="39" t="str">
        <f>"T"&amp;O2106&amp;"_"&amp;AX2106&amp;"옵션_"&amp;VLOOKUP(E2106,색인!$J$25:$K$29,2,FALSE)</f>
        <v>T8_3옵션_장신구</v>
      </c>
      <c r="AZ2106" s="39">
        <f>VLOOKUP(G2106,색인!$J$32:$K$45,2,FALSE)</f>
        <v>2</v>
      </c>
      <c r="BA2106" s="39" t="str">
        <f>_xlfn.IFNA(VLOOKUP(AY2106,표1[[검색용]:[OptionGroupIndex'[']22]],EquipItemTable!AZ2106,FALSE),"옵션고정안함")</f>
        <v>8331</v>
      </c>
    </row>
    <row r="2107" spans="1:53" ht="12" x14ac:dyDescent="0.2">
      <c r="A2107" s="10" t="s">
        <v>2150</v>
      </c>
      <c r="B2107" s="39">
        <v>819006</v>
      </c>
      <c r="C2107" s="42" t="s">
        <v>3622</v>
      </c>
      <c r="D2107" s="86" t="s">
        <v>2953</v>
      </c>
      <c r="E2107" s="86" t="s">
        <v>0</v>
      </c>
      <c r="F2107" s="32" t="s">
        <v>471</v>
      </c>
      <c r="G2107" s="32" t="s">
        <v>1434</v>
      </c>
      <c r="O2107" s="32">
        <v>8</v>
      </c>
      <c r="P2107" s="32">
        <v>81</v>
      </c>
      <c r="Q2107" s="1"/>
      <c r="R2107" s="1"/>
      <c r="S2107" s="1"/>
      <c r="T2107" s="1"/>
      <c r="U2107" s="1"/>
      <c r="V2107" s="1"/>
      <c r="W2107" s="1">
        <v>9986</v>
      </c>
      <c r="X2107" s="1">
        <v>9986</v>
      </c>
      <c r="Y2107" s="1" t="s">
        <v>2193</v>
      </c>
      <c r="Z2107" s="1" t="s">
        <v>2193</v>
      </c>
      <c r="AA2107" s="1" t="s">
        <v>2193</v>
      </c>
      <c r="AB2107" s="1" t="s">
        <v>2193</v>
      </c>
      <c r="AD2107" s="12" t="s">
        <v>52</v>
      </c>
      <c r="AE2107" s="39" t="str">
        <f t="shared" si="240"/>
        <v>8331</v>
      </c>
      <c r="AN2107" s="12">
        <v>101</v>
      </c>
      <c r="AR2107" s="34">
        <v>1</v>
      </c>
      <c r="AS2107" s="34">
        <v>1</v>
      </c>
      <c r="AU2107" s="12" t="s">
        <v>1982</v>
      </c>
      <c r="AW2107" s="39">
        <v>5</v>
      </c>
      <c r="AX2107" s="12">
        <f>VLOOKUP(AW2107,색인!$N$14:$O$19,2,FALSE)</f>
        <v>3</v>
      </c>
      <c r="AY2107" s="39" t="str">
        <f>"T"&amp;O2107&amp;"_"&amp;AX2107&amp;"옵션_"&amp;VLOOKUP(E2107,색인!$J$25:$K$29,2,FALSE)</f>
        <v>T8_3옵션_장신구</v>
      </c>
      <c r="AZ2107" s="39">
        <f>VLOOKUP(G2107,색인!$J$32:$K$45,2,FALSE)</f>
        <v>2</v>
      </c>
      <c r="BA2107" s="39" t="str">
        <f>_xlfn.IFNA(VLOOKUP(AY2107,표1[[검색용]:[OptionGroupIndex'[']22]],EquipItemTable!AZ2107,FALSE),"옵션고정안함")</f>
        <v>8331</v>
      </c>
    </row>
    <row r="2108" spans="1:53" ht="12" x14ac:dyDescent="0.2">
      <c r="A2108" s="10" t="s">
        <v>2151</v>
      </c>
      <c r="B2108" s="39">
        <v>819007</v>
      </c>
      <c r="C2108" s="42" t="s">
        <v>3661</v>
      </c>
      <c r="D2108" s="86" t="s">
        <v>2953</v>
      </c>
      <c r="E2108" s="86" t="s">
        <v>1</v>
      </c>
      <c r="F2108" s="32" t="s">
        <v>480</v>
      </c>
      <c r="G2108" s="32" t="s">
        <v>1453</v>
      </c>
      <c r="O2108" s="32">
        <v>8</v>
      </c>
      <c r="P2108" s="32">
        <v>81</v>
      </c>
      <c r="Q2108" s="1"/>
      <c r="R2108" s="1"/>
      <c r="S2108" s="1"/>
      <c r="T2108" s="1"/>
      <c r="U2108" s="1"/>
      <c r="V2108" s="1"/>
      <c r="W2108" s="1" t="s">
        <v>2193</v>
      </c>
      <c r="X2108" s="1" t="s">
        <v>2193</v>
      </c>
      <c r="Y2108" s="1" t="s">
        <v>2193</v>
      </c>
      <c r="Z2108" s="1" t="s">
        <v>2193</v>
      </c>
      <c r="AA2108" s="1">
        <v>5089</v>
      </c>
      <c r="AB2108" s="1" t="s">
        <v>2193</v>
      </c>
      <c r="AD2108" s="12" t="s">
        <v>52</v>
      </c>
      <c r="AE2108" s="39" t="str">
        <f t="shared" si="240"/>
        <v>8311,8312</v>
      </c>
      <c r="AN2108" s="12">
        <v>101</v>
      </c>
      <c r="AR2108" s="34">
        <v>1</v>
      </c>
      <c r="AS2108" s="34">
        <v>1</v>
      </c>
      <c r="AU2108" s="12" t="s">
        <v>1982</v>
      </c>
      <c r="AW2108" s="39">
        <v>5</v>
      </c>
      <c r="AX2108" s="12">
        <f>VLOOKUP(AW2108,색인!$N$14:$O$19,2,FALSE)</f>
        <v>3</v>
      </c>
      <c r="AY2108" s="39" t="str">
        <f>"T"&amp;O2108&amp;"_"&amp;AX2108&amp;"옵션_"&amp;VLOOKUP(E2108,색인!$J$25:$K$29,2,FALSE)</f>
        <v>T8_3옵션_방어구</v>
      </c>
      <c r="AZ2108" s="39">
        <f>VLOOKUP(G2108,색인!$J$32:$K$45,2,FALSE)</f>
        <v>4</v>
      </c>
      <c r="BA2108" s="39" t="str">
        <f>_xlfn.IFNA(VLOOKUP(AY2108,표1[[검색용]:[OptionGroupIndex'[']22]],EquipItemTable!AZ2108,FALSE),"옵션고정안함")</f>
        <v>8311,8312</v>
      </c>
    </row>
    <row r="2109" spans="1:53" ht="12" x14ac:dyDescent="0.2">
      <c r="A2109" s="10" t="s">
        <v>2152</v>
      </c>
      <c r="B2109" s="39">
        <v>819008</v>
      </c>
      <c r="C2109" s="42" t="s">
        <v>3700</v>
      </c>
      <c r="D2109" s="86" t="s">
        <v>2953</v>
      </c>
      <c r="E2109" s="86" t="s">
        <v>1</v>
      </c>
      <c r="F2109" s="32" t="s">
        <v>311</v>
      </c>
      <c r="G2109" s="32" t="s">
        <v>1472</v>
      </c>
      <c r="O2109" s="32">
        <v>8</v>
      </c>
      <c r="P2109" s="32">
        <v>81</v>
      </c>
      <c r="Q2109" s="1"/>
      <c r="R2109" s="1"/>
      <c r="S2109" s="1"/>
      <c r="T2109" s="1"/>
      <c r="U2109" s="1"/>
      <c r="V2109" s="1"/>
      <c r="W2109" s="1" t="s">
        <v>2193</v>
      </c>
      <c r="X2109" s="1" t="s">
        <v>2193</v>
      </c>
      <c r="Y2109" s="1" t="s">
        <v>2193</v>
      </c>
      <c r="Z2109" s="1" t="s">
        <v>2193</v>
      </c>
      <c r="AA2109" s="1">
        <v>3392</v>
      </c>
      <c r="AB2109" s="1" t="s">
        <v>2193</v>
      </c>
      <c r="AD2109" s="12" t="s">
        <v>52</v>
      </c>
      <c r="AE2109" s="39" t="str">
        <f t="shared" si="240"/>
        <v>8311</v>
      </c>
      <c r="AN2109" s="12">
        <v>101</v>
      </c>
      <c r="AR2109" s="34">
        <v>1</v>
      </c>
      <c r="AS2109" s="34">
        <v>1</v>
      </c>
      <c r="AU2109" s="12" t="s">
        <v>1982</v>
      </c>
      <c r="AW2109" s="39">
        <v>5</v>
      </c>
      <c r="AX2109" s="12">
        <f>VLOOKUP(AW2109,색인!$N$14:$O$19,2,FALSE)</f>
        <v>3</v>
      </c>
      <c r="AY2109" s="39" t="str">
        <f>"T"&amp;O2109&amp;"_"&amp;AX2109&amp;"옵션_"&amp;VLOOKUP(E2109,색인!$J$25:$K$29,2,FALSE)</f>
        <v>T8_3옵션_방어구</v>
      </c>
      <c r="AZ2109" s="39">
        <f>VLOOKUP(G2109,색인!$J$32:$K$45,2,FALSE)</f>
        <v>2</v>
      </c>
      <c r="BA2109" s="39" t="str">
        <f>_xlfn.IFNA(VLOOKUP(AY2109,표1[[검색용]:[OptionGroupIndex'[']22]],EquipItemTable!AZ2109,FALSE),"옵션고정안함")</f>
        <v>8311</v>
      </c>
    </row>
    <row r="2110" spans="1:53" ht="12" x14ac:dyDescent="0.2">
      <c r="A2110" s="10" t="s">
        <v>2153</v>
      </c>
      <c r="B2110" s="39">
        <v>819009</v>
      </c>
      <c r="C2110" s="42" t="s">
        <v>3738</v>
      </c>
      <c r="D2110" s="86" t="s">
        <v>2953</v>
      </c>
      <c r="E2110" s="86" t="s">
        <v>1</v>
      </c>
      <c r="F2110" s="32" t="s">
        <v>471</v>
      </c>
      <c r="G2110" s="32" t="s">
        <v>1491</v>
      </c>
      <c r="O2110" s="32">
        <v>8</v>
      </c>
      <c r="P2110" s="32">
        <v>81</v>
      </c>
      <c r="Q2110" s="1"/>
      <c r="R2110" s="1"/>
      <c r="S2110" s="1"/>
      <c r="T2110" s="1"/>
      <c r="U2110" s="1"/>
      <c r="V2110" s="1"/>
      <c r="W2110" s="1" t="s">
        <v>2193</v>
      </c>
      <c r="X2110" s="1" t="s">
        <v>2193</v>
      </c>
      <c r="Y2110" s="1" t="s">
        <v>2193</v>
      </c>
      <c r="Z2110" s="1" t="s">
        <v>2193</v>
      </c>
      <c r="AA2110" s="1">
        <v>1698</v>
      </c>
      <c r="AB2110" s="1" t="s">
        <v>2193</v>
      </c>
      <c r="AD2110" s="12" t="s">
        <v>52</v>
      </c>
      <c r="AE2110" s="39" t="str">
        <f t="shared" si="240"/>
        <v>8311</v>
      </c>
      <c r="AN2110" s="12">
        <v>101</v>
      </c>
      <c r="AR2110" s="34">
        <v>1</v>
      </c>
      <c r="AS2110" s="34">
        <v>1</v>
      </c>
      <c r="AU2110" s="12" t="s">
        <v>1982</v>
      </c>
      <c r="AW2110" s="39">
        <v>5</v>
      </c>
      <c r="AX2110" s="12">
        <f>VLOOKUP(AW2110,색인!$N$14:$O$19,2,FALSE)</f>
        <v>3</v>
      </c>
      <c r="AY2110" s="39" t="str">
        <f>"T"&amp;O2110&amp;"_"&amp;AX2110&amp;"옵션_"&amp;VLOOKUP(E2110,색인!$J$25:$K$29,2,FALSE)</f>
        <v>T8_3옵션_방어구</v>
      </c>
      <c r="AZ2110" s="39">
        <f>VLOOKUP(G2110,색인!$J$32:$K$45,2,FALSE)</f>
        <v>2</v>
      </c>
      <c r="BA2110" s="39" t="str">
        <f>_xlfn.IFNA(VLOOKUP(AY2110,표1[[검색용]:[OptionGroupIndex'[']22]],EquipItemTable!AZ2110,FALSE),"옵션고정안함")</f>
        <v>8311</v>
      </c>
    </row>
    <row r="2111" spans="1:53" ht="12" x14ac:dyDescent="0.2">
      <c r="A2111" s="10" t="s">
        <v>2154</v>
      </c>
      <c r="B2111" s="39">
        <v>819010</v>
      </c>
      <c r="C2111" s="42" t="s">
        <v>3780</v>
      </c>
      <c r="D2111" s="86" t="s">
        <v>2953</v>
      </c>
      <c r="E2111" s="86" t="s">
        <v>501</v>
      </c>
      <c r="F2111" s="32" t="s">
        <v>480</v>
      </c>
      <c r="G2111" s="32" t="s">
        <v>1453</v>
      </c>
      <c r="O2111" s="32">
        <v>8</v>
      </c>
      <c r="P2111" s="32">
        <v>81</v>
      </c>
      <c r="Q2111" s="1"/>
      <c r="R2111" s="1"/>
      <c r="S2111" s="1"/>
      <c r="T2111" s="1"/>
      <c r="U2111" s="1"/>
      <c r="V2111" s="1"/>
      <c r="W2111" s="1" t="s">
        <v>2193</v>
      </c>
      <c r="X2111" s="1" t="s">
        <v>2193</v>
      </c>
      <c r="Y2111" s="1" t="s">
        <v>2193</v>
      </c>
      <c r="Z2111" s="1" t="s">
        <v>2193</v>
      </c>
      <c r="AA2111" s="1" t="s">
        <v>2193</v>
      </c>
      <c r="AB2111" s="1">
        <v>5089</v>
      </c>
      <c r="AD2111" s="12" t="s">
        <v>52</v>
      </c>
      <c r="AE2111" s="39" t="str">
        <f t="shared" si="240"/>
        <v>8321,8322</v>
      </c>
      <c r="AN2111" s="12">
        <v>101</v>
      </c>
      <c r="AR2111" s="34">
        <v>1</v>
      </c>
      <c r="AS2111" s="34">
        <v>1</v>
      </c>
      <c r="AU2111" s="12" t="s">
        <v>1982</v>
      </c>
      <c r="AW2111" s="39">
        <v>5</v>
      </c>
      <c r="AX2111" s="12">
        <f>VLOOKUP(AW2111,색인!$N$14:$O$19,2,FALSE)</f>
        <v>3</v>
      </c>
      <c r="AY2111" s="39" t="str">
        <f>"T"&amp;O2111&amp;"_"&amp;AX2111&amp;"옵션_"&amp;VLOOKUP(E2111,색인!$J$25:$K$29,2,FALSE)</f>
        <v>T8_3옵션_보조장비</v>
      </c>
      <c r="AZ2111" s="39">
        <f>VLOOKUP(G2111,색인!$J$32:$K$45,2,FALSE)</f>
        <v>4</v>
      </c>
      <c r="BA2111" s="39" t="str">
        <f>_xlfn.IFNA(VLOOKUP(AY2111,표1[[검색용]:[OptionGroupIndex'[']22]],EquipItemTable!AZ2111,FALSE),"옵션고정안함")</f>
        <v>8321,8322</v>
      </c>
    </row>
    <row r="2112" spans="1:53" ht="12" x14ac:dyDescent="0.2">
      <c r="A2112" s="10" t="s">
        <v>2155</v>
      </c>
      <c r="B2112" s="39">
        <v>819011</v>
      </c>
      <c r="C2112" s="42" t="s">
        <v>3822</v>
      </c>
      <c r="D2112" s="86" t="s">
        <v>2953</v>
      </c>
      <c r="E2112" s="86" t="s">
        <v>501</v>
      </c>
      <c r="F2112" s="32" t="s">
        <v>311</v>
      </c>
      <c r="G2112" s="32" t="s">
        <v>1472</v>
      </c>
      <c r="O2112" s="32">
        <v>8</v>
      </c>
      <c r="P2112" s="32">
        <v>81</v>
      </c>
      <c r="Q2112" s="1"/>
      <c r="R2112" s="1"/>
      <c r="S2112" s="1"/>
      <c r="T2112" s="1"/>
      <c r="U2112" s="1"/>
      <c r="V2112" s="1"/>
      <c r="W2112" s="1" t="s">
        <v>2193</v>
      </c>
      <c r="X2112" s="1" t="s">
        <v>2193</v>
      </c>
      <c r="Y2112" s="1" t="s">
        <v>2193</v>
      </c>
      <c r="Z2112" s="1" t="s">
        <v>2193</v>
      </c>
      <c r="AA2112" s="1" t="s">
        <v>2193</v>
      </c>
      <c r="AB2112" s="1">
        <v>1698</v>
      </c>
      <c r="AD2112" s="12" t="s">
        <v>52</v>
      </c>
      <c r="AE2112" s="39" t="str">
        <f t="shared" si="240"/>
        <v>8321</v>
      </c>
      <c r="AN2112" s="12">
        <v>101</v>
      </c>
      <c r="AR2112" s="34">
        <v>1</v>
      </c>
      <c r="AS2112" s="34">
        <v>1</v>
      </c>
      <c r="AU2112" s="12" t="s">
        <v>1982</v>
      </c>
      <c r="AW2112" s="39">
        <v>5</v>
      </c>
      <c r="AX2112" s="12">
        <f>VLOOKUP(AW2112,색인!$N$14:$O$19,2,FALSE)</f>
        <v>3</v>
      </c>
      <c r="AY2112" s="39" t="str">
        <f>"T"&amp;O2112&amp;"_"&amp;AX2112&amp;"옵션_"&amp;VLOOKUP(E2112,색인!$J$25:$K$29,2,FALSE)</f>
        <v>T8_3옵션_보조장비</v>
      </c>
      <c r="AZ2112" s="39">
        <f>VLOOKUP(G2112,색인!$J$32:$K$45,2,FALSE)</f>
        <v>2</v>
      </c>
      <c r="BA2112" s="39" t="str">
        <f>_xlfn.IFNA(VLOOKUP(AY2112,표1[[검색용]:[OptionGroupIndex'[']22]],EquipItemTable!AZ2112,FALSE),"옵션고정안함")</f>
        <v>8321</v>
      </c>
    </row>
    <row r="2113" spans="1:53" ht="12" x14ac:dyDescent="0.2">
      <c r="A2113" s="10" t="s">
        <v>2156</v>
      </c>
      <c r="B2113" s="39">
        <v>819012</v>
      </c>
      <c r="C2113" s="42" t="s">
        <v>3864</v>
      </c>
      <c r="D2113" s="86" t="s">
        <v>2953</v>
      </c>
      <c r="E2113" s="86" t="s">
        <v>501</v>
      </c>
      <c r="F2113" s="32" t="s">
        <v>471</v>
      </c>
      <c r="G2113" s="32" t="s">
        <v>1491</v>
      </c>
      <c r="O2113" s="32">
        <v>8</v>
      </c>
      <c r="P2113" s="32">
        <v>81</v>
      </c>
      <c r="Q2113" s="1"/>
      <c r="R2113" s="1"/>
      <c r="S2113" s="1"/>
      <c r="T2113" s="1"/>
      <c r="U2113" s="1"/>
      <c r="V2113" s="1"/>
      <c r="W2113" s="1" t="s">
        <v>2193</v>
      </c>
      <c r="X2113" s="1" t="s">
        <v>2193</v>
      </c>
      <c r="Y2113" s="1" t="s">
        <v>2193</v>
      </c>
      <c r="Z2113" s="1" t="s">
        <v>2193</v>
      </c>
      <c r="AA2113" s="1" t="s">
        <v>2193</v>
      </c>
      <c r="AB2113" s="1">
        <v>3392</v>
      </c>
      <c r="AD2113" s="12" t="s">
        <v>52</v>
      </c>
      <c r="AE2113" s="39" t="str">
        <f t="shared" si="240"/>
        <v>8321</v>
      </c>
      <c r="AN2113" s="12">
        <v>101</v>
      </c>
      <c r="AR2113" s="34">
        <v>1</v>
      </c>
      <c r="AS2113" s="34">
        <v>1</v>
      </c>
      <c r="AU2113" s="12" t="s">
        <v>1982</v>
      </c>
      <c r="AW2113" s="39">
        <v>5</v>
      </c>
      <c r="AX2113" s="12">
        <f>VLOOKUP(AW2113,색인!$N$14:$O$19,2,FALSE)</f>
        <v>3</v>
      </c>
      <c r="AY2113" s="39" t="str">
        <f>"T"&amp;O2113&amp;"_"&amp;AX2113&amp;"옵션_"&amp;VLOOKUP(E2113,색인!$J$25:$K$29,2,FALSE)</f>
        <v>T8_3옵션_보조장비</v>
      </c>
      <c r="AZ2113" s="39">
        <f>VLOOKUP(G2113,색인!$J$32:$K$45,2,FALSE)</f>
        <v>2</v>
      </c>
      <c r="BA2113" s="39" t="str">
        <f>_xlfn.IFNA(VLOOKUP(AY2113,표1[[검색용]:[OptionGroupIndex'[']22]],EquipItemTable!AZ2113,FALSE),"옵션고정안함")</f>
        <v>8321</v>
      </c>
    </row>
    <row r="2114" spans="1:53" ht="12" x14ac:dyDescent="0.2">
      <c r="A2114" s="10" t="s">
        <v>2157</v>
      </c>
      <c r="B2114" s="39">
        <v>819013</v>
      </c>
      <c r="C2114" s="42" t="s">
        <v>3904</v>
      </c>
      <c r="D2114" s="86" t="s">
        <v>2953</v>
      </c>
      <c r="E2114" s="86" t="s">
        <v>2</v>
      </c>
      <c r="F2114" s="32" t="s">
        <v>312</v>
      </c>
      <c r="G2114" s="32" t="s">
        <v>1568</v>
      </c>
      <c r="O2114" s="32">
        <v>8</v>
      </c>
      <c r="P2114" s="32">
        <v>81</v>
      </c>
      <c r="Q2114" s="1"/>
      <c r="R2114" s="1"/>
      <c r="S2114" s="1"/>
      <c r="T2114" s="1"/>
      <c r="U2114" s="1"/>
      <c r="V2114" s="1"/>
      <c r="W2114" s="1" t="s">
        <v>2193</v>
      </c>
      <c r="X2114" s="1" t="s">
        <v>2193</v>
      </c>
      <c r="Y2114" s="1">
        <v>216615</v>
      </c>
      <c r="Z2114" s="1" t="s">
        <v>2193</v>
      </c>
      <c r="AA2114" s="1" t="s">
        <v>2193</v>
      </c>
      <c r="AB2114" s="1" t="s">
        <v>2193</v>
      </c>
      <c r="AD2114" s="12" t="s">
        <v>52</v>
      </c>
      <c r="AE2114" s="39" t="str">
        <f t="shared" si="240"/>
        <v>8331,8332</v>
      </c>
      <c r="AN2114" s="12">
        <v>101</v>
      </c>
      <c r="AU2114" s="12" t="s">
        <v>1982</v>
      </c>
      <c r="AW2114" s="39">
        <v>5</v>
      </c>
      <c r="AX2114" s="12">
        <f>VLOOKUP(AW2114,색인!$N$14:$O$19,2,FALSE)</f>
        <v>3</v>
      </c>
      <c r="AY2114" s="39" t="str">
        <f>"T"&amp;O2114&amp;"_"&amp;AX2114&amp;"옵션_"&amp;VLOOKUP(E2114,색인!$J$25:$K$29,2,FALSE)</f>
        <v>T8_3옵션_장신구</v>
      </c>
      <c r="AZ2114" s="39">
        <f>VLOOKUP(G2114,색인!$J$32:$K$45,2,FALSE)</f>
        <v>4</v>
      </c>
      <c r="BA2114" s="39" t="str">
        <f>_xlfn.IFNA(VLOOKUP(AY2114,표1[[검색용]:[OptionGroupIndex'[']22]],EquipItemTable!AZ2114,FALSE),"옵션고정안함")</f>
        <v>8331,8332</v>
      </c>
    </row>
    <row r="2115" spans="1:53" ht="12" x14ac:dyDescent="0.2">
      <c r="A2115" s="10" t="s">
        <v>2158</v>
      </c>
      <c r="B2115" s="39">
        <v>819014</v>
      </c>
      <c r="C2115" s="42" t="s">
        <v>3946</v>
      </c>
      <c r="D2115" s="86" t="s">
        <v>2953</v>
      </c>
      <c r="E2115" s="86" t="s">
        <v>2</v>
      </c>
      <c r="F2115" s="32" t="s">
        <v>312</v>
      </c>
      <c r="G2115" s="32" t="s">
        <v>1587</v>
      </c>
      <c r="O2115" s="32">
        <v>8</v>
      </c>
      <c r="P2115" s="32">
        <v>81</v>
      </c>
      <c r="Q2115" s="1"/>
      <c r="R2115" s="1"/>
      <c r="S2115" s="1"/>
      <c r="T2115" s="1"/>
      <c r="U2115" s="1"/>
      <c r="V2115" s="1"/>
      <c r="W2115" s="1">
        <v>4711</v>
      </c>
      <c r="X2115" s="1">
        <v>4711</v>
      </c>
      <c r="Y2115" s="1" t="s">
        <v>2193</v>
      </c>
      <c r="Z2115" s="1" t="s">
        <v>2193</v>
      </c>
      <c r="AA2115" s="1" t="s">
        <v>2193</v>
      </c>
      <c r="AB2115" s="1" t="s">
        <v>2193</v>
      </c>
      <c r="AD2115" s="12" t="s">
        <v>52</v>
      </c>
      <c r="AE2115" s="39" t="str">
        <f t="shared" si="240"/>
        <v>8331</v>
      </c>
      <c r="AN2115" s="12">
        <v>101</v>
      </c>
      <c r="AU2115" s="12" t="s">
        <v>1982</v>
      </c>
      <c r="AW2115" s="39">
        <v>5</v>
      </c>
      <c r="AX2115" s="12">
        <f>VLOOKUP(AW2115,색인!$N$14:$O$19,2,FALSE)</f>
        <v>3</v>
      </c>
      <c r="AY2115" s="39" t="str">
        <f>"T"&amp;O2115&amp;"_"&amp;AX2115&amp;"옵션_"&amp;VLOOKUP(E2115,색인!$J$25:$K$29,2,FALSE)</f>
        <v>T8_3옵션_장신구</v>
      </c>
      <c r="AZ2115" s="39">
        <f>VLOOKUP(G2115,색인!$J$32:$K$45,2,FALSE)</f>
        <v>2</v>
      </c>
      <c r="BA2115" s="39" t="str">
        <f>_xlfn.IFNA(VLOOKUP(AY2115,표1[[검색용]:[OptionGroupIndex'[']22]],EquipItemTable!AZ2115,FALSE),"옵션고정안함")</f>
        <v>8331</v>
      </c>
    </row>
    <row r="2116" spans="1:53" ht="12" x14ac:dyDescent="0.2">
      <c r="A2116" s="10" t="s">
        <v>2159</v>
      </c>
      <c r="B2116" s="39">
        <v>819015</v>
      </c>
      <c r="C2116" s="42" t="s">
        <v>3986</v>
      </c>
      <c r="D2116" s="86" t="s">
        <v>2953</v>
      </c>
      <c r="E2116" s="86" t="s">
        <v>2</v>
      </c>
      <c r="F2116" s="32" t="s">
        <v>312</v>
      </c>
      <c r="G2116" s="32" t="s">
        <v>1606</v>
      </c>
      <c r="O2116" s="32">
        <v>8</v>
      </c>
      <c r="P2116" s="32">
        <v>81</v>
      </c>
      <c r="Q2116" s="1"/>
      <c r="R2116" s="1"/>
      <c r="S2116" s="1"/>
      <c r="T2116" s="1"/>
      <c r="U2116" s="1"/>
      <c r="V2116" s="1"/>
      <c r="W2116" s="1" t="s">
        <v>2193</v>
      </c>
      <c r="X2116" s="1" t="s">
        <v>2193</v>
      </c>
      <c r="Y2116" s="1" t="s">
        <v>2193</v>
      </c>
      <c r="Z2116" s="1" t="s">
        <v>2193</v>
      </c>
      <c r="AA2116" s="1" t="s">
        <v>2193</v>
      </c>
      <c r="AB2116" s="1">
        <v>3392</v>
      </c>
      <c r="AD2116" s="12" t="s">
        <v>52</v>
      </c>
      <c r="AE2116" s="39" t="str">
        <f t="shared" si="240"/>
        <v>8331,8332</v>
      </c>
      <c r="AN2116" s="12">
        <v>101</v>
      </c>
      <c r="AU2116" s="12" t="s">
        <v>1982</v>
      </c>
      <c r="AW2116" s="39">
        <v>5</v>
      </c>
      <c r="AX2116" s="12">
        <f>VLOOKUP(AW2116,색인!$N$14:$O$19,2,FALSE)</f>
        <v>3</v>
      </c>
      <c r="AY2116" s="39" t="str">
        <f>"T"&amp;O2116&amp;"_"&amp;AX2116&amp;"옵션_"&amp;VLOOKUP(E2116,색인!$J$25:$K$29,2,FALSE)</f>
        <v>T8_3옵션_장신구</v>
      </c>
      <c r="AZ2116" s="39">
        <f>VLOOKUP(G2116,색인!$J$32:$K$45,2,FALSE)</f>
        <v>4</v>
      </c>
      <c r="BA2116" s="39" t="str">
        <f>_xlfn.IFNA(VLOOKUP(AY2116,표1[[검색용]:[OptionGroupIndex'[']22]],EquipItemTable!AZ2116,FALSE),"옵션고정안함")</f>
        <v>8331,8332</v>
      </c>
    </row>
    <row r="2117" spans="1:53" ht="12" x14ac:dyDescent="0.2">
      <c r="A2117" s="10" t="s">
        <v>2160</v>
      </c>
      <c r="B2117" s="39">
        <v>819016</v>
      </c>
      <c r="C2117" s="42" t="s">
        <v>4027</v>
      </c>
      <c r="D2117" s="86" t="s">
        <v>2953</v>
      </c>
      <c r="E2117" s="86" t="s">
        <v>2</v>
      </c>
      <c r="F2117" s="32" t="s">
        <v>312</v>
      </c>
      <c r="G2117" s="32" t="s">
        <v>1625</v>
      </c>
      <c r="O2117" s="32">
        <v>8</v>
      </c>
      <c r="P2117" s="32">
        <v>81</v>
      </c>
      <c r="Q2117" s="1"/>
      <c r="R2117" s="1"/>
      <c r="S2117" s="1"/>
      <c r="T2117" s="1"/>
      <c r="U2117" s="1"/>
      <c r="V2117" s="1"/>
      <c r="W2117" s="1" t="s">
        <v>2193</v>
      </c>
      <c r="X2117" s="1" t="s">
        <v>2193</v>
      </c>
      <c r="Y2117" s="1" t="s">
        <v>2193</v>
      </c>
      <c r="Z2117" s="1" t="s">
        <v>2193</v>
      </c>
      <c r="AA2117" s="1">
        <v>3392</v>
      </c>
      <c r="AB2117" s="1" t="s">
        <v>2193</v>
      </c>
      <c r="AD2117" s="12" t="s">
        <v>52</v>
      </c>
      <c r="AE2117" s="39" t="str">
        <f t="shared" si="240"/>
        <v>8331,8332</v>
      </c>
      <c r="AN2117" s="12">
        <v>101</v>
      </c>
      <c r="AU2117" s="12" t="s">
        <v>1982</v>
      </c>
      <c r="AW2117" s="39">
        <v>5</v>
      </c>
      <c r="AX2117" s="12">
        <f>VLOOKUP(AW2117,색인!$N$14:$O$19,2,FALSE)</f>
        <v>3</v>
      </c>
      <c r="AY2117" s="39" t="str">
        <f>"T"&amp;O2117&amp;"_"&amp;AX2117&amp;"옵션_"&amp;VLOOKUP(E2117,색인!$J$25:$K$29,2,FALSE)</f>
        <v>T8_3옵션_장신구</v>
      </c>
      <c r="AZ2117" s="39">
        <f>VLOOKUP(G2117,색인!$J$32:$K$45,2,FALSE)</f>
        <v>4</v>
      </c>
      <c r="BA2117" s="39" t="str">
        <f>_xlfn.IFNA(VLOOKUP(AY2117,표1[[검색용]:[OptionGroupIndex'[']22]],EquipItemTable!AZ2117,FALSE),"옵션고정안함")</f>
        <v>8331,8332</v>
      </c>
    </row>
    <row r="2118" spans="1:53" ht="12" x14ac:dyDescent="0.2">
      <c r="A2118" s="10" t="s">
        <v>2161</v>
      </c>
      <c r="B2118" s="39">
        <v>819017</v>
      </c>
      <c r="C2118" s="42" t="s">
        <v>4057</v>
      </c>
      <c r="D2118" s="86" t="s">
        <v>2953</v>
      </c>
      <c r="E2118" s="86" t="s">
        <v>1629</v>
      </c>
      <c r="F2118" s="32" t="s">
        <v>312</v>
      </c>
      <c r="G2118" s="32" t="s">
        <v>1630</v>
      </c>
      <c r="O2118" s="32">
        <v>8</v>
      </c>
      <c r="P2118" s="32">
        <v>81</v>
      </c>
      <c r="Q2118" s="1"/>
      <c r="R2118" s="1"/>
      <c r="S2118" s="1"/>
      <c r="T2118" s="1"/>
      <c r="U2118" s="1"/>
      <c r="V2118" s="1"/>
      <c r="W2118" s="1" t="s">
        <v>2193</v>
      </c>
      <c r="X2118" s="1" t="s">
        <v>2193</v>
      </c>
      <c r="Y2118" s="1">
        <v>216615</v>
      </c>
      <c r="Z2118" s="1" t="s">
        <v>2193</v>
      </c>
      <c r="AA2118" s="1" t="s">
        <v>2193</v>
      </c>
      <c r="AB2118" s="1" t="s">
        <v>2193</v>
      </c>
      <c r="AD2118" s="12" t="s">
        <v>52</v>
      </c>
      <c r="AE2118" s="39" t="str">
        <f t="shared" si="240"/>
        <v>8341,8342</v>
      </c>
      <c r="AN2118" s="12">
        <v>101</v>
      </c>
      <c r="AU2118" s="12" t="s">
        <v>1982</v>
      </c>
      <c r="AW2118" s="39">
        <v>5</v>
      </c>
      <c r="AX2118" s="12">
        <f>VLOOKUP(AW2118,색인!$N$14:$O$19,2,FALSE)</f>
        <v>3</v>
      </c>
      <c r="AY2118" s="39" t="str">
        <f>"T"&amp;O2118&amp;"_"&amp;AX2118&amp;"옵션_"&amp;VLOOKUP(E2118,색인!$J$25:$K$29,2,FALSE)</f>
        <v>T8_3옵션_보주</v>
      </c>
      <c r="AZ2118" s="39">
        <f>VLOOKUP(G2118,색인!$J$32:$K$45,2,FALSE)</f>
        <v>4</v>
      </c>
      <c r="BA2118" s="39" t="str">
        <f>_xlfn.IFNA(VLOOKUP(AY2118,표1[[검색용]:[OptionGroupIndex'[']22]],EquipItemTable!AZ2118,FALSE),"옵션고정안함")</f>
        <v>8341,8342</v>
      </c>
    </row>
    <row r="2119" spans="1:53" ht="12" x14ac:dyDescent="0.2">
      <c r="A2119" s="10" t="s">
        <v>2162</v>
      </c>
      <c r="B2119" s="39">
        <v>820001</v>
      </c>
      <c r="C2119" s="42" t="s">
        <v>3431</v>
      </c>
      <c r="D2119" s="86" t="s">
        <v>2953</v>
      </c>
      <c r="E2119" s="86" t="s">
        <v>0</v>
      </c>
      <c r="F2119" s="32" t="s">
        <v>436</v>
      </c>
      <c r="G2119" s="32" t="s">
        <v>1305</v>
      </c>
      <c r="O2119" s="32">
        <v>8</v>
      </c>
      <c r="P2119" s="32">
        <v>81</v>
      </c>
      <c r="Q2119" s="1"/>
      <c r="R2119" s="1"/>
      <c r="S2119" s="1"/>
      <c r="T2119" s="1"/>
      <c r="U2119" s="1"/>
      <c r="V2119" s="1"/>
      <c r="W2119" s="1">
        <v>7994</v>
      </c>
      <c r="X2119" s="1">
        <v>7994</v>
      </c>
      <c r="Y2119" s="1" t="s">
        <v>2193</v>
      </c>
      <c r="Z2119" s="1" t="s">
        <v>2193</v>
      </c>
      <c r="AA2119" s="1" t="s">
        <v>2193</v>
      </c>
      <c r="AB2119" s="1" t="s">
        <v>2193</v>
      </c>
      <c r="AD2119" s="12" t="s">
        <v>52</v>
      </c>
      <c r="AE2119" s="39" t="s">
        <v>2187</v>
      </c>
      <c r="AF2119" s="12" t="s">
        <v>2185</v>
      </c>
      <c r="AN2119" s="12">
        <v>102</v>
      </c>
      <c r="AR2119" s="34">
        <v>1</v>
      </c>
      <c r="AS2119" s="34">
        <v>1</v>
      </c>
      <c r="AU2119" s="12" t="s">
        <v>1984</v>
      </c>
      <c r="AW2119" s="39">
        <v>6</v>
      </c>
      <c r="AX2119" s="12">
        <f>VLOOKUP(AW2119,색인!$N$14:$O$19,2,FALSE)</f>
        <v>4</v>
      </c>
      <c r="AY2119" s="12" t="str">
        <f>"T"&amp;O2119&amp;"_"&amp;AX2119&amp;"옵션_"&amp;VLOOKUP(E2119,색인!$J$25:$K$29,2,FALSE)</f>
        <v>T8_4옵션_장신구</v>
      </c>
      <c r="AZ2119" s="12">
        <f>VLOOKUP(G2119,색인!$J$32:$K$45,2,FALSE)</f>
        <v>3</v>
      </c>
      <c r="BA2119" s="12" t="str">
        <f>_xlfn.IFNA(VLOOKUP(AY2119,표1[[검색용]:[OptionGroupIndex'[']22]],EquipItemTable!AZ2119,FALSE),"옵션고정안함")</f>
        <v>8432</v>
      </c>
    </row>
    <row r="2120" spans="1:53" ht="12" x14ac:dyDescent="0.2">
      <c r="A2120" s="10" t="s">
        <v>2163</v>
      </c>
      <c r="B2120" s="39">
        <v>820002</v>
      </c>
      <c r="C2120" s="42" t="s">
        <v>3469</v>
      </c>
      <c r="D2120" s="86" t="s">
        <v>2953</v>
      </c>
      <c r="E2120" s="86" t="s">
        <v>0</v>
      </c>
      <c r="F2120" s="32" t="s">
        <v>928</v>
      </c>
      <c r="G2120" s="32" t="s">
        <v>1357</v>
      </c>
      <c r="O2120" s="32">
        <v>8</v>
      </c>
      <c r="P2120" s="32">
        <v>81</v>
      </c>
      <c r="Q2120" s="1"/>
      <c r="R2120" s="1"/>
      <c r="S2120" s="1"/>
      <c r="T2120" s="1"/>
      <c r="U2120" s="1"/>
      <c r="V2120" s="1"/>
      <c r="W2120" s="1">
        <v>9081</v>
      </c>
      <c r="X2120" s="1">
        <v>9081</v>
      </c>
      <c r="Y2120" s="1" t="s">
        <v>2193</v>
      </c>
      <c r="Z2120" s="1" t="s">
        <v>2193</v>
      </c>
      <c r="AA2120" s="1" t="s">
        <v>2193</v>
      </c>
      <c r="AB2120" s="1" t="s">
        <v>2193</v>
      </c>
      <c r="AD2120" s="12" t="s">
        <v>52</v>
      </c>
      <c r="AE2120" s="39" t="s">
        <v>2187</v>
      </c>
      <c r="AF2120" s="12" t="s">
        <v>2185</v>
      </c>
      <c r="AN2120" s="12">
        <v>102</v>
      </c>
      <c r="AR2120" s="34">
        <v>1</v>
      </c>
      <c r="AS2120" s="34">
        <v>1</v>
      </c>
      <c r="AU2120" s="12" t="s">
        <v>1984</v>
      </c>
      <c r="AW2120" s="39">
        <v>6</v>
      </c>
      <c r="AX2120" s="12">
        <f>VLOOKUP(AW2120,색인!$N$14:$O$19,2,FALSE)</f>
        <v>4</v>
      </c>
      <c r="AY2120" s="12" t="str">
        <f>"T"&amp;O2120&amp;"_"&amp;AX2120&amp;"옵션_"&amp;VLOOKUP(E2120,색인!$J$25:$K$29,2,FALSE)</f>
        <v>T8_4옵션_장신구</v>
      </c>
      <c r="AZ2120" s="12">
        <f>VLOOKUP(G2120,색인!$J$32:$K$45,2,FALSE)</f>
        <v>2</v>
      </c>
      <c r="BA2120" s="12" t="str">
        <f>_xlfn.IFNA(VLOOKUP(AY2120,표1[[검색용]:[OptionGroupIndex'[']22]],EquipItemTable!AZ2120,FALSE),"옵션고정안함")</f>
        <v>8431</v>
      </c>
    </row>
    <row r="2121" spans="1:53" ht="12" x14ac:dyDescent="0.2">
      <c r="A2121" s="10" t="s">
        <v>2164</v>
      </c>
      <c r="B2121" s="39">
        <v>820003</v>
      </c>
      <c r="C2121" s="42" t="s">
        <v>3511</v>
      </c>
      <c r="D2121" s="86" t="s">
        <v>2953</v>
      </c>
      <c r="E2121" s="86" t="s">
        <v>0</v>
      </c>
      <c r="F2121" s="32" t="s">
        <v>310</v>
      </c>
      <c r="G2121" s="32" t="s">
        <v>1358</v>
      </c>
      <c r="O2121" s="32">
        <v>8</v>
      </c>
      <c r="P2121" s="32">
        <v>81</v>
      </c>
      <c r="Q2121" s="1"/>
      <c r="R2121" s="1"/>
      <c r="S2121" s="1"/>
      <c r="T2121" s="1"/>
      <c r="U2121" s="1"/>
      <c r="V2121" s="1"/>
      <c r="W2121" s="1">
        <v>9969</v>
      </c>
      <c r="X2121" s="1">
        <v>9969</v>
      </c>
      <c r="Y2121" s="1" t="s">
        <v>2193</v>
      </c>
      <c r="Z2121" s="1" t="s">
        <v>2193</v>
      </c>
      <c r="AA2121" s="1" t="s">
        <v>2193</v>
      </c>
      <c r="AB2121" s="1" t="s">
        <v>2193</v>
      </c>
      <c r="AD2121" s="12" t="s">
        <v>52</v>
      </c>
      <c r="AE2121" s="39" t="s">
        <v>2187</v>
      </c>
      <c r="AF2121" s="12" t="s">
        <v>2185</v>
      </c>
      <c r="AN2121" s="12">
        <v>102</v>
      </c>
      <c r="AR2121" s="34">
        <v>1</v>
      </c>
      <c r="AS2121" s="34">
        <v>1</v>
      </c>
      <c r="AU2121" s="12" t="s">
        <v>1984</v>
      </c>
      <c r="AW2121" s="39">
        <v>6</v>
      </c>
      <c r="AX2121" s="12">
        <f>VLOOKUP(AW2121,색인!$N$14:$O$19,2,FALSE)</f>
        <v>4</v>
      </c>
      <c r="AY2121" s="12" t="str">
        <f>"T"&amp;O2121&amp;"_"&amp;AX2121&amp;"옵션_"&amp;VLOOKUP(E2121,색인!$J$25:$K$29,2,FALSE)</f>
        <v>T8_4옵션_장신구</v>
      </c>
      <c r="AZ2121" s="12">
        <f>VLOOKUP(G2121,색인!$J$32:$K$45,2,FALSE)</f>
        <v>2</v>
      </c>
      <c r="BA2121" s="12" t="str">
        <f>_xlfn.IFNA(VLOOKUP(AY2121,표1[[검색용]:[OptionGroupIndex'[']22]],EquipItemTable!AZ2121,FALSE),"옵션고정안함")</f>
        <v>8431</v>
      </c>
    </row>
    <row r="2122" spans="1:53" ht="12" x14ac:dyDescent="0.2">
      <c r="A2122" s="10" t="s">
        <v>2165</v>
      </c>
      <c r="B2122" s="39">
        <v>820004</v>
      </c>
      <c r="C2122" s="42" t="s">
        <v>3546</v>
      </c>
      <c r="D2122" s="86" t="s">
        <v>2953</v>
      </c>
      <c r="E2122" s="86" t="s">
        <v>0</v>
      </c>
      <c r="F2122" s="32" t="s">
        <v>456</v>
      </c>
      <c r="G2122" s="32" t="s">
        <v>1396</v>
      </c>
      <c r="O2122" s="32">
        <v>8</v>
      </c>
      <c r="P2122" s="32">
        <v>81</v>
      </c>
      <c r="Q2122" s="1"/>
      <c r="R2122" s="1"/>
      <c r="S2122" s="1"/>
      <c r="T2122" s="1"/>
      <c r="U2122" s="1"/>
      <c r="V2122" s="1"/>
      <c r="W2122" s="1">
        <v>11252</v>
      </c>
      <c r="X2122" s="1">
        <v>11252</v>
      </c>
      <c r="Y2122" s="1" t="s">
        <v>2193</v>
      </c>
      <c r="Z2122" s="1" t="s">
        <v>2193</v>
      </c>
      <c r="AA2122" s="1" t="s">
        <v>2193</v>
      </c>
      <c r="AB2122" s="1" t="s">
        <v>2193</v>
      </c>
      <c r="AD2122" s="12" t="s">
        <v>52</v>
      </c>
      <c r="AE2122" s="39" t="s">
        <v>2187</v>
      </c>
      <c r="AF2122" s="12" t="s">
        <v>2185</v>
      </c>
      <c r="AN2122" s="12">
        <v>102</v>
      </c>
      <c r="AR2122" s="34">
        <v>1</v>
      </c>
      <c r="AS2122" s="34">
        <v>1</v>
      </c>
      <c r="AU2122" s="12" t="s">
        <v>1984</v>
      </c>
      <c r="AW2122" s="39">
        <v>6</v>
      </c>
      <c r="AX2122" s="12">
        <f>VLOOKUP(AW2122,색인!$N$14:$O$19,2,FALSE)</f>
        <v>4</v>
      </c>
      <c r="AY2122" s="12" t="str">
        <f>"T"&amp;O2122&amp;"_"&amp;AX2122&amp;"옵션_"&amp;VLOOKUP(E2122,색인!$J$25:$K$29,2,FALSE)</f>
        <v>T8_4옵션_장신구</v>
      </c>
      <c r="AZ2122" s="12">
        <f>VLOOKUP(G2122,색인!$J$32:$K$45,2,FALSE)</f>
        <v>2</v>
      </c>
      <c r="BA2122" s="12" t="str">
        <f>_xlfn.IFNA(VLOOKUP(AY2122,표1[[검색용]:[OptionGroupIndex'[']22]],EquipItemTable!AZ2122,FALSE),"옵션고정안함")</f>
        <v>8431</v>
      </c>
    </row>
    <row r="2123" spans="1:53" ht="12" x14ac:dyDescent="0.2">
      <c r="A2123" s="10" t="s">
        <v>2166</v>
      </c>
      <c r="B2123" s="39">
        <v>820005</v>
      </c>
      <c r="C2123" s="42" t="s">
        <v>3588</v>
      </c>
      <c r="D2123" s="86" t="s">
        <v>2953</v>
      </c>
      <c r="E2123" s="86" t="s">
        <v>0</v>
      </c>
      <c r="F2123" s="32" t="s">
        <v>927</v>
      </c>
      <c r="G2123" s="32" t="s">
        <v>1415</v>
      </c>
      <c r="O2123" s="32">
        <v>8</v>
      </c>
      <c r="P2123" s="32">
        <v>81</v>
      </c>
      <c r="Q2123" s="1"/>
      <c r="R2123" s="1"/>
      <c r="S2123" s="1"/>
      <c r="T2123" s="1"/>
      <c r="U2123" s="1"/>
      <c r="V2123" s="1"/>
      <c r="W2123" s="1">
        <v>10266</v>
      </c>
      <c r="X2123" s="1">
        <v>10266</v>
      </c>
      <c r="Y2123" s="1" t="s">
        <v>2193</v>
      </c>
      <c r="Z2123" s="1" t="s">
        <v>2193</v>
      </c>
      <c r="AA2123" s="1" t="s">
        <v>2193</v>
      </c>
      <c r="AB2123" s="1" t="s">
        <v>2193</v>
      </c>
      <c r="AD2123" s="12" t="s">
        <v>52</v>
      </c>
      <c r="AE2123" s="39" t="s">
        <v>2187</v>
      </c>
      <c r="AF2123" s="12" t="s">
        <v>2185</v>
      </c>
      <c r="AN2123" s="12">
        <v>102</v>
      </c>
      <c r="AR2123" s="34">
        <v>1</v>
      </c>
      <c r="AS2123" s="34">
        <v>1</v>
      </c>
      <c r="AU2123" s="12" t="s">
        <v>1984</v>
      </c>
      <c r="AW2123" s="39">
        <v>6</v>
      </c>
      <c r="AX2123" s="12">
        <f>VLOOKUP(AW2123,색인!$N$14:$O$19,2,FALSE)</f>
        <v>4</v>
      </c>
      <c r="AY2123" s="12" t="str">
        <f>"T"&amp;O2123&amp;"_"&amp;AX2123&amp;"옵션_"&amp;VLOOKUP(E2123,색인!$J$25:$K$29,2,FALSE)</f>
        <v>T8_4옵션_장신구</v>
      </c>
      <c r="AZ2123" s="12">
        <f>VLOOKUP(G2123,색인!$J$32:$K$45,2,FALSE)</f>
        <v>2</v>
      </c>
      <c r="BA2123" s="12" t="str">
        <f>_xlfn.IFNA(VLOOKUP(AY2123,표1[[검색용]:[OptionGroupIndex'[']22]],EquipItemTable!AZ2123,FALSE),"옵션고정안함")</f>
        <v>8431</v>
      </c>
    </row>
    <row r="2124" spans="1:53" ht="12" x14ac:dyDescent="0.2">
      <c r="A2124" s="10" t="s">
        <v>2167</v>
      </c>
      <c r="B2124" s="39">
        <v>820006</v>
      </c>
      <c r="C2124" s="42" t="s">
        <v>3623</v>
      </c>
      <c r="D2124" s="86" t="s">
        <v>2953</v>
      </c>
      <c r="E2124" s="86" t="s">
        <v>0</v>
      </c>
      <c r="F2124" s="32" t="s">
        <v>471</v>
      </c>
      <c r="G2124" s="32" t="s">
        <v>1434</v>
      </c>
      <c r="O2124" s="32">
        <v>8</v>
      </c>
      <c r="P2124" s="32">
        <v>81</v>
      </c>
      <c r="Q2124" s="1"/>
      <c r="R2124" s="1"/>
      <c r="S2124" s="1"/>
      <c r="T2124" s="1"/>
      <c r="U2124" s="1"/>
      <c r="V2124" s="1"/>
      <c r="W2124" s="1">
        <v>10462</v>
      </c>
      <c r="X2124" s="1">
        <v>10462</v>
      </c>
      <c r="Y2124" s="1" t="s">
        <v>2193</v>
      </c>
      <c r="Z2124" s="1" t="s">
        <v>2193</v>
      </c>
      <c r="AA2124" s="1" t="s">
        <v>2193</v>
      </c>
      <c r="AB2124" s="1" t="s">
        <v>2193</v>
      </c>
      <c r="AD2124" s="12" t="s">
        <v>52</v>
      </c>
      <c r="AE2124" s="39" t="s">
        <v>2187</v>
      </c>
      <c r="AF2124" s="12" t="s">
        <v>2185</v>
      </c>
      <c r="AN2124" s="12">
        <v>102</v>
      </c>
      <c r="AR2124" s="34">
        <v>1</v>
      </c>
      <c r="AS2124" s="34">
        <v>1</v>
      </c>
      <c r="AU2124" s="12" t="s">
        <v>1984</v>
      </c>
      <c r="AW2124" s="39">
        <v>6</v>
      </c>
      <c r="AX2124" s="12">
        <f>VLOOKUP(AW2124,색인!$N$14:$O$19,2,FALSE)</f>
        <v>4</v>
      </c>
      <c r="AY2124" s="12" t="str">
        <f>"T"&amp;O2124&amp;"_"&amp;AX2124&amp;"옵션_"&amp;VLOOKUP(E2124,색인!$J$25:$K$29,2,FALSE)</f>
        <v>T8_4옵션_장신구</v>
      </c>
      <c r="AZ2124" s="12">
        <f>VLOOKUP(G2124,색인!$J$32:$K$45,2,FALSE)</f>
        <v>2</v>
      </c>
      <c r="BA2124" s="12" t="str">
        <f>_xlfn.IFNA(VLOOKUP(AY2124,표1[[검색용]:[OptionGroupIndex'[']22]],EquipItemTable!AZ2124,FALSE),"옵션고정안함")</f>
        <v>8431</v>
      </c>
    </row>
    <row r="2125" spans="1:53" ht="12" x14ac:dyDescent="0.2">
      <c r="A2125" s="10" t="s">
        <v>2168</v>
      </c>
      <c r="B2125" s="39">
        <v>820007</v>
      </c>
      <c r="C2125" s="42" t="s">
        <v>3662</v>
      </c>
      <c r="D2125" s="86" t="s">
        <v>2953</v>
      </c>
      <c r="E2125" s="86" t="s">
        <v>1</v>
      </c>
      <c r="F2125" s="32" t="s">
        <v>480</v>
      </c>
      <c r="G2125" s="32" t="s">
        <v>1453</v>
      </c>
      <c r="O2125" s="32">
        <v>8</v>
      </c>
      <c r="P2125" s="32">
        <v>81</v>
      </c>
      <c r="Q2125" s="1"/>
      <c r="R2125" s="1"/>
      <c r="S2125" s="1"/>
      <c r="T2125" s="1"/>
      <c r="U2125" s="1"/>
      <c r="V2125" s="1"/>
      <c r="W2125" s="1" t="s">
        <v>2193</v>
      </c>
      <c r="X2125" s="1" t="s">
        <v>2193</v>
      </c>
      <c r="Y2125" s="1" t="s">
        <v>2193</v>
      </c>
      <c r="Z2125" s="1" t="s">
        <v>2193</v>
      </c>
      <c r="AA2125" s="1">
        <v>5329</v>
      </c>
      <c r="AB2125" s="1" t="s">
        <v>2193</v>
      </c>
      <c r="AD2125" s="12" t="s">
        <v>52</v>
      </c>
      <c r="AE2125" s="39" t="s">
        <v>2187</v>
      </c>
      <c r="AF2125" s="12" t="s">
        <v>2185</v>
      </c>
      <c r="AN2125" s="12">
        <v>102</v>
      </c>
      <c r="AR2125" s="34">
        <v>1</v>
      </c>
      <c r="AS2125" s="34">
        <v>1</v>
      </c>
      <c r="AU2125" s="12" t="s">
        <v>1984</v>
      </c>
      <c r="AW2125" s="39">
        <v>6</v>
      </c>
      <c r="AX2125" s="12">
        <f>VLOOKUP(AW2125,색인!$N$14:$O$19,2,FALSE)</f>
        <v>4</v>
      </c>
      <c r="AY2125" s="12" t="str">
        <f>"T"&amp;O2125&amp;"_"&amp;AX2125&amp;"옵션_"&amp;VLOOKUP(E2125,색인!$J$25:$K$29,2,FALSE)</f>
        <v>T8_4옵션_방어구</v>
      </c>
      <c r="AZ2125" s="12">
        <f>VLOOKUP(G2125,색인!$J$32:$K$45,2,FALSE)</f>
        <v>4</v>
      </c>
      <c r="BA2125" s="12" t="str">
        <f>_xlfn.IFNA(VLOOKUP(AY2125,표1[[검색용]:[OptionGroupIndex'[']22]],EquipItemTable!AZ2125,FALSE),"옵션고정안함")</f>
        <v>8411,8412</v>
      </c>
    </row>
    <row r="2126" spans="1:53" ht="12" x14ac:dyDescent="0.2">
      <c r="A2126" s="10" t="s">
        <v>2169</v>
      </c>
      <c r="B2126" s="39">
        <v>820008</v>
      </c>
      <c r="C2126" s="42" t="s">
        <v>3701</v>
      </c>
      <c r="D2126" s="86" t="s">
        <v>2953</v>
      </c>
      <c r="E2126" s="86" t="s">
        <v>1</v>
      </c>
      <c r="F2126" s="32" t="s">
        <v>311</v>
      </c>
      <c r="G2126" s="32" t="s">
        <v>1472</v>
      </c>
      <c r="O2126" s="32">
        <v>8</v>
      </c>
      <c r="P2126" s="32">
        <v>81</v>
      </c>
      <c r="W2126" s="12" t="s">
        <v>2193</v>
      </c>
      <c r="X2126" s="12" t="s">
        <v>2193</v>
      </c>
      <c r="Y2126" s="12" t="s">
        <v>2193</v>
      </c>
      <c r="Z2126" s="12" t="s">
        <v>2193</v>
      </c>
      <c r="AA2126" s="12">
        <v>3553</v>
      </c>
      <c r="AB2126" s="12" t="s">
        <v>2193</v>
      </c>
      <c r="AD2126" s="12" t="s">
        <v>52</v>
      </c>
      <c r="AE2126" s="39" t="s">
        <v>2187</v>
      </c>
      <c r="AF2126" s="12" t="s">
        <v>2185</v>
      </c>
      <c r="AN2126" s="12">
        <v>102</v>
      </c>
      <c r="AR2126" s="34">
        <v>1</v>
      </c>
      <c r="AS2126" s="34">
        <v>1</v>
      </c>
      <c r="AU2126" s="12" t="s">
        <v>1984</v>
      </c>
      <c r="AW2126" s="39">
        <v>6</v>
      </c>
      <c r="AX2126" s="12">
        <f>VLOOKUP(AW2126,색인!$N$14:$O$19,2,FALSE)</f>
        <v>4</v>
      </c>
      <c r="AY2126" s="12" t="str">
        <f>"T"&amp;O2126&amp;"_"&amp;AX2126&amp;"옵션_"&amp;VLOOKUP(E2126,색인!$J$25:$K$29,2,FALSE)</f>
        <v>T8_4옵션_방어구</v>
      </c>
      <c r="AZ2126" s="12">
        <f>VLOOKUP(G2126,색인!$J$32:$K$45,2,FALSE)</f>
        <v>2</v>
      </c>
      <c r="BA2126" s="12" t="str">
        <f>_xlfn.IFNA(VLOOKUP(AY2126,표1[[검색용]:[OptionGroupIndex'[']22]],EquipItemTable!AZ2126,FALSE),"옵션고정안함")</f>
        <v>8411</v>
      </c>
    </row>
    <row r="2127" spans="1:53" ht="12" x14ac:dyDescent="0.2">
      <c r="A2127" s="10" t="s">
        <v>2170</v>
      </c>
      <c r="B2127" s="39">
        <v>820009</v>
      </c>
      <c r="C2127" s="42" t="s">
        <v>3739</v>
      </c>
      <c r="D2127" s="86" t="s">
        <v>2953</v>
      </c>
      <c r="E2127" s="86" t="s">
        <v>1</v>
      </c>
      <c r="F2127" s="32" t="s">
        <v>471</v>
      </c>
      <c r="G2127" s="32" t="s">
        <v>1491</v>
      </c>
      <c r="O2127" s="32">
        <v>8</v>
      </c>
      <c r="P2127" s="32">
        <v>81</v>
      </c>
      <c r="W2127" s="12" t="s">
        <v>2193</v>
      </c>
      <c r="X2127" s="12" t="s">
        <v>2193</v>
      </c>
      <c r="Y2127" s="12" t="s">
        <v>2193</v>
      </c>
      <c r="Z2127" s="12" t="s">
        <v>2193</v>
      </c>
      <c r="AA2127" s="12">
        <v>1777</v>
      </c>
      <c r="AB2127" s="12" t="s">
        <v>2193</v>
      </c>
      <c r="AD2127" s="12" t="s">
        <v>52</v>
      </c>
      <c r="AE2127" s="39" t="s">
        <v>2187</v>
      </c>
      <c r="AF2127" s="12" t="s">
        <v>2185</v>
      </c>
      <c r="AN2127" s="12">
        <v>102</v>
      </c>
      <c r="AR2127" s="34">
        <v>1</v>
      </c>
      <c r="AS2127" s="34">
        <v>1</v>
      </c>
      <c r="AU2127" s="12" t="s">
        <v>1984</v>
      </c>
      <c r="AW2127" s="39">
        <v>6</v>
      </c>
      <c r="AX2127" s="12">
        <f>VLOOKUP(AW2127,색인!$N$14:$O$19,2,FALSE)</f>
        <v>4</v>
      </c>
      <c r="AY2127" s="12" t="str">
        <f>"T"&amp;O2127&amp;"_"&amp;AX2127&amp;"옵션_"&amp;VLOOKUP(E2127,색인!$J$25:$K$29,2,FALSE)</f>
        <v>T8_4옵션_방어구</v>
      </c>
      <c r="AZ2127" s="12">
        <f>VLOOKUP(G2127,색인!$J$32:$K$45,2,FALSE)</f>
        <v>2</v>
      </c>
      <c r="BA2127" s="12" t="str">
        <f>_xlfn.IFNA(VLOOKUP(AY2127,표1[[검색용]:[OptionGroupIndex'[']22]],EquipItemTable!AZ2127,FALSE),"옵션고정안함")</f>
        <v>8411</v>
      </c>
    </row>
    <row r="2128" spans="1:53" ht="12" x14ac:dyDescent="0.2">
      <c r="A2128" s="10" t="s">
        <v>2171</v>
      </c>
      <c r="B2128" s="39">
        <v>820010</v>
      </c>
      <c r="C2128" s="42" t="s">
        <v>3781</v>
      </c>
      <c r="D2128" s="86" t="s">
        <v>2953</v>
      </c>
      <c r="E2128" s="86" t="s">
        <v>501</v>
      </c>
      <c r="F2128" s="32" t="s">
        <v>480</v>
      </c>
      <c r="G2128" s="32" t="s">
        <v>1453</v>
      </c>
      <c r="O2128" s="32">
        <v>8</v>
      </c>
      <c r="P2128" s="32">
        <v>81</v>
      </c>
      <c r="W2128" s="12" t="s">
        <v>2193</v>
      </c>
      <c r="X2128" s="12" t="s">
        <v>2193</v>
      </c>
      <c r="Y2128" s="12" t="s">
        <v>2193</v>
      </c>
      <c r="Z2128" s="12" t="s">
        <v>2193</v>
      </c>
      <c r="AA2128" s="12" t="s">
        <v>2193</v>
      </c>
      <c r="AB2128" s="12">
        <v>5329</v>
      </c>
      <c r="AD2128" s="12" t="s">
        <v>52</v>
      </c>
      <c r="AE2128" s="39" t="s">
        <v>2187</v>
      </c>
      <c r="AF2128" s="12" t="s">
        <v>2185</v>
      </c>
      <c r="AN2128" s="12">
        <v>102</v>
      </c>
      <c r="AR2128" s="34">
        <v>1</v>
      </c>
      <c r="AS2128" s="34">
        <v>1</v>
      </c>
      <c r="AU2128" s="12" t="s">
        <v>1984</v>
      </c>
      <c r="AW2128" s="39">
        <v>6</v>
      </c>
      <c r="AX2128" s="12">
        <f>VLOOKUP(AW2128,색인!$N$14:$O$19,2,FALSE)</f>
        <v>4</v>
      </c>
      <c r="AY2128" s="12" t="str">
        <f>"T"&amp;O2128&amp;"_"&amp;AX2128&amp;"옵션_"&amp;VLOOKUP(E2128,색인!$J$25:$K$29,2,FALSE)</f>
        <v>T8_4옵션_보조장비</v>
      </c>
      <c r="AZ2128" s="12">
        <f>VLOOKUP(G2128,색인!$J$32:$K$45,2,FALSE)</f>
        <v>4</v>
      </c>
      <c r="BA2128" s="12" t="str">
        <f>_xlfn.IFNA(VLOOKUP(AY2128,표1[[검색용]:[OptionGroupIndex'[']22]],EquipItemTable!AZ2128,FALSE),"옵션고정안함")</f>
        <v>8421,8422</v>
      </c>
    </row>
    <row r="2129" spans="1:53" ht="12" x14ac:dyDescent="0.2">
      <c r="A2129" s="10" t="s">
        <v>2172</v>
      </c>
      <c r="B2129" s="39">
        <v>820011</v>
      </c>
      <c r="C2129" s="42" t="s">
        <v>3823</v>
      </c>
      <c r="D2129" s="86" t="s">
        <v>2953</v>
      </c>
      <c r="E2129" s="86" t="s">
        <v>501</v>
      </c>
      <c r="F2129" s="32" t="s">
        <v>311</v>
      </c>
      <c r="G2129" s="32" t="s">
        <v>1472</v>
      </c>
      <c r="O2129" s="32">
        <v>8</v>
      </c>
      <c r="P2129" s="32">
        <v>81</v>
      </c>
      <c r="W2129" s="12" t="s">
        <v>2193</v>
      </c>
      <c r="X2129" s="12" t="s">
        <v>2193</v>
      </c>
      <c r="Y2129" s="12" t="s">
        <v>2193</v>
      </c>
      <c r="Z2129" s="12" t="s">
        <v>2193</v>
      </c>
      <c r="AA2129" s="12" t="s">
        <v>2193</v>
      </c>
      <c r="AB2129" s="12">
        <v>1777</v>
      </c>
      <c r="AD2129" s="12" t="s">
        <v>52</v>
      </c>
      <c r="AE2129" s="39" t="s">
        <v>2187</v>
      </c>
      <c r="AF2129" s="12" t="s">
        <v>2185</v>
      </c>
      <c r="AN2129" s="12">
        <v>102</v>
      </c>
      <c r="AR2129" s="34">
        <v>1</v>
      </c>
      <c r="AS2129" s="34">
        <v>1</v>
      </c>
      <c r="AU2129" s="12" t="s">
        <v>1984</v>
      </c>
      <c r="AW2129" s="39">
        <v>6</v>
      </c>
      <c r="AX2129" s="12">
        <f>VLOOKUP(AW2129,색인!$N$14:$O$19,2,FALSE)</f>
        <v>4</v>
      </c>
      <c r="AY2129" s="12" t="str">
        <f>"T"&amp;O2129&amp;"_"&amp;AX2129&amp;"옵션_"&amp;VLOOKUP(E2129,색인!$J$25:$K$29,2,FALSE)</f>
        <v>T8_4옵션_보조장비</v>
      </c>
      <c r="AZ2129" s="12">
        <f>VLOOKUP(G2129,색인!$J$32:$K$45,2,FALSE)</f>
        <v>2</v>
      </c>
      <c r="BA2129" s="12" t="str">
        <f>_xlfn.IFNA(VLOOKUP(AY2129,표1[[검색용]:[OptionGroupIndex'[']22]],EquipItemTable!AZ2129,FALSE),"옵션고정안함")</f>
        <v>8421</v>
      </c>
    </row>
    <row r="2130" spans="1:53" ht="12" x14ac:dyDescent="0.2">
      <c r="A2130" s="10" t="s">
        <v>2173</v>
      </c>
      <c r="B2130" s="39">
        <v>820012</v>
      </c>
      <c r="C2130" s="42" t="s">
        <v>3865</v>
      </c>
      <c r="D2130" s="86" t="s">
        <v>2953</v>
      </c>
      <c r="E2130" s="86" t="s">
        <v>501</v>
      </c>
      <c r="F2130" s="32" t="s">
        <v>471</v>
      </c>
      <c r="G2130" s="32" t="s">
        <v>1491</v>
      </c>
      <c r="O2130" s="32">
        <v>8</v>
      </c>
      <c r="P2130" s="32">
        <v>81</v>
      </c>
      <c r="W2130" s="12" t="s">
        <v>2193</v>
      </c>
      <c r="X2130" s="12" t="s">
        <v>2193</v>
      </c>
      <c r="Y2130" s="12" t="s">
        <v>2193</v>
      </c>
      <c r="Z2130" s="12" t="s">
        <v>2193</v>
      </c>
      <c r="AA2130" s="12" t="s">
        <v>2193</v>
      </c>
      <c r="AB2130" s="12">
        <v>3553</v>
      </c>
      <c r="AD2130" s="12" t="s">
        <v>52</v>
      </c>
      <c r="AE2130" s="39" t="s">
        <v>2187</v>
      </c>
      <c r="AF2130" s="12" t="s">
        <v>2185</v>
      </c>
      <c r="AN2130" s="12">
        <v>102</v>
      </c>
      <c r="AR2130" s="34">
        <v>1</v>
      </c>
      <c r="AS2130" s="34">
        <v>1</v>
      </c>
      <c r="AU2130" s="12" t="s">
        <v>1984</v>
      </c>
      <c r="AW2130" s="39">
        <v>6</v>
      </c>
      <c r="AX2130" s="12">
        <f>VLOOKUP(AW2130,색인!$N$14:$O$19,2,FALSE)</f>
        <v>4</v>
      </c>
      <c r="AY2130" s="12" t="str">
        <f>"T"&amp;O2130&amp;"_"&amp;AX2130&amp;"옵션_"&amp;VLOOKUP(E2130,색인!$J$25:$K$29,2,FALSE)</f>
        <v>T8_4옵션_보조장비</v>
      </c>
      <c r="AZ2130" s="12">
        <f>VLOOKUP(G2130,색인!$J$32:$K$45,2,FALSE)</f>
        <v>2</v>
      </c>
      <c r="BA2130" s="12" t="str">
        <f>_xlfn.IFNA(VLOOKUP(AY2130,표1[[검색용]:[OptionGroupIndex'[']22]],EquipItemTable!AZ2130,FALSE),"옵션고정안함")</f>
        <v>8421</v>
      </c>
    </row>
    <row r="2131" spans="1:53" ht="12" x14ac:dyDescent="0.2">
      <c r="A2131" s="10" t="s">
        <v>2174</v>
      </c>
      <c r="B2131" s="39">
        <v>820013</v>
      </c>
      <c r="C2131" s="42" t="s">
        <v>3905</v>
      </c>
      <c r="D2131" s="86" t="s">
        <v>2953</v>
      </c>
      <c r="E2131" s="86" t="s">
        <v>2</v>
      </c>
      <c r="F2131" s="32" t="s">
        <v>312</v>
      </c>
      <c r="G2131" s="32" t="s">
        <v>1568</v>
      </c>
      <c r="O2131" s="32">
        <v>8</v>
      </c>
      <c r="P2131" s="32">
        <v>81</v>
      </c>
      <c r="W2131" s="12" t="s">
        <v>2193</v>
      </c>
      <c r="X2131" s="12" t="s">
        <v>2193</v>
      </c>
      <c r="Y2131" s="12">
        <v>226962</v>
      </c>
      <c r="Z2131" s="12" t="s">
        <v>2193</v>
      </c>
      <c r="AA2131" s="12" t="s">
        <v>2193</v>
      </c>
      <c r="AB2131" s="12" t="s">
        <v>2193</v>
      </c>
      <c r="AD2131" s="12" t="s">
        <v>52</v>
      </c>
      <c r="AE2131" s="39" t="s">
        <v>2187</v>
      </c>
      <c r="AF2131" s="12" t="s">
        <v>2185</v>
      </c>
      <c r="AN2131" s="12">
        <v>102</v>
      </c>
      <c r="AU2131" s="12" t="s">
        <v>1984</v>
      </c>
      <c r="AW2131" s="39">
        <v>6</v>
      </c>
      <c r="AX2131" s="12">
        <f>VLOOKUP(AW2131,색인!$N$14:$O$19,2,FALSE)</f>
        <v>4</v>
      </c>
      <c r="AY2131" s="12" t="str">
        <f>"T"&amp;O2131&amp;"_"&amp;AX2131&amp;"옵션_"&amp;VLOOKUP(E2131,색인!$J$25:$K$29,2,FALSE)</f>
        <v>T8_4옵션_장신구</v>
      </c>
      <c r="AZ2131" s="12">
        <f>VLOOKUP(G2131,색인!$J$32:$K$45,2,FALSE)</f>
        <v>4</v>
      </c>
      <c r="BA2131" s="12" t="str">
        <f>_xlfn.IFNA(VLOOKUP(AY2131,표1[[검색용]:[OptionGroupIndex'[']22]],EquipItemTable!AZ2131,FALSE),"옵션고정안함")</f>
        <v>8431,8432</v>
      </c>
    </row>
    <row r="2132" spans="1:53" ht="12" x14ac:dyDescent="0.2">
      <c r="A2132" s="10" t="s">
        <v>2175</v>
      </c>
      <c r="B2132" s="39">
        <v>820014</v>
      </c>
      <c r="C2132" s="42" t="s">
        <v>3947</v>
      </c>
      <c r="D2132" s="86" t="s">
        <v>2953</v>
      </c>
      <c r="E2132" s="86" t="s">
        <v>2</v>
      </c>
      <c r="F2132" s="32" t="s">
        <v>312</v>
      </c>
      <c r="G2132" s="32" t="s">
        <v>1587</v>
      </c>
      <c r="O2132" s="32">
        <v>8</v>
      </c>
      <c r="P2132" s="32">
        <v>81</v>
      </c>
      <c r="W2132" s="12">
        <v>4938</v>
      </c>
      <c r="X2132" s="12">
        <v>4938</v>
      </c>
      <c r="Y2132" s="12" t="s">
        <v>2193</v>
      </c>
      <c r="Z2132" s="12" t="s">
        <v>2193</v>
      </c>
      <c r="AA2132" s="12" t="s">
        <v>2193</v>
      </c>
      <c r="AB2132" s="12" t="s">
        <v>2193</v>
      </c>
      <c r="AD2132" s="12" t="s">
        <v>52</v>
      </c>
      <c r="AE2132" s="39" t="s">
        <v>2187</v>
      </c>
      <c r="AF2132" s="12" t="s">
        <v>2185</v>
      </c>
      <c r="AN2132" s="12">
        <v>102</v>
      </c>
      <c r="AU2132" s="12" t="s">
        <v>1984</v>
      </c>
      <c r="AW2132" s="39">
        <v>6</v>
      </c>
      <c r="AX2132" s="12">
        <f>VLOOKUP(AW2132,색인!$N$14:$O$19,2,FALSE)</f>
        <v>4</v>
      </c>
      <c r="AY2132" s="12" t="str">
        <f>"T"&amp;O2132&amp;"_"&amp;AX2132&amp;"옵션_"&amp;VLOOKUP(E2132,색인!$J$25:$K$29,2,FALSE)</f>
        <v>T8_4옵션_장신구</v>
      </c>
      <c r="AZ2132" s="12">
        <f>VLOOKUP(G2132,색인!$J$32:$K$45,2,FALSE)</f>
        <v>2</v>
      </c>
      <c r="BA2132" s="12" t="str">
        <f>_xlfn.IFNA(VLOOKUP(AY2132,표1[[검색용]:[OptionGroupIndex'[']22]],EquipItemTable!AZ2132,FALSE),"옵션고정안함")</f>
        <v>8431</v>
      </c>
    </row>
    <row r="2133" spans="1:53" ht="12" x14ac:dyDescent="0.2">
      <c r="A2133" s="10" t="s">
        <v>2176</v>
      </c>
      <c r="B2133" s="39">
        <v>820015</v>
      </c>
      <c r="C2133" s="42" t="s">
        <v>3987</v>
      </c>
      <c r="D2133" s="86" t="s">
        <v>2953</v>
      </c>
      <c r="E2133" s="86" t="s">
        <v>2</v>
      </c>
      <c r="F2133" s="32" t="s">
        <v>312</v>
      </c>
      <c r="G2133" s="32" t="s">
        <v>1606</v>
      </c>
      <c r="O2133" s="32">
        <v>8</v>
      </c>
      <c r="P2133" s="32">
        <v>81</v>
      </c>
      <c r="W2133" s="12" t="s">
        <v>2193</v>
      </c>
      <c r="X2133" s="12" t="s">
        <v>2193</v>
      </c>
      <c r="Y2133" s="12" t="s">
        <v>2193</v>
      </c>
      <c r="Z2133" s="12" t="s">
        <v>2193</v>
      </c>
      <c r="AA2133" s="12" t="s">
        <v>2193</v>
      </c>
      <c r="AB2133" s="12">
        <v>3553</v>
      </c>
      <c r="AD2133" s="12" t="s">
        <v>52</v>
      </c>
      <c r="AE2133" s="39" t="s">
        <v>2187</v>
      </c>
      <c r="AF2133" s="12" t="s">
        <v>2185</v>
      </c>
      <c r="AN2133" s="12">
        <v>102</v>
      </c>
      <c r="AU2133" s="12" t="s">
        <v>1984</v>
      </c>
      <c r="AW2133" s="39">
        <v>6</v>
      </c>
      <c r="AX2133" s="12">
        <f>VLOOKUP(AW2133,색인!$N$14:$O$19,2,FALSE)</f>
        <v>4</v>
      </c>
      <c r="AY2133" s="12" t="str">
        <f>"T"&amp;O2133&amp;"_"&amp;AX2133&amp;"옵션_"&amp;VLOOKUP(E2133,색인!$J$25:$K$29,2,FALSE)</f>
        <v>T8_4옵션_장신구</v>
      </c>
      <c r="AZ2133" s="12">
        <f>VLOOKUP(G2133,색인!$J$32:$K$45,2,FALSE)</f>
        <v>4</v>
      </c>
      <c r="BA2133" s="12" t="str">
        <f>_xlfn.IFNA(VLOOKUP(AY2133,표1[[검색용]:[OptionGroupIndex'[']22]],EquipItemTable!AZ2133,FALSE),"옵션고정안함")</f>
        <v>8431,8432</v>
      </c>
    </row>
    <row r="2134" spans="1:53" ht="12" x14ac:dyDescent="0.2">
      <c r="A2134" s="10" t="s">
        <v>2177</v>
      </c>
      <c r="B2134" s="39">
        <v>820016</v>
      </c>
      <c r="C2134" s="42" t="s">
        <v>4028</v>
      </c>
      <c r="D2134" s="86" t="s">
        <v>2953</v>
      </c>
      <c r="E2134" s="86" t="s">
        <v>2</v>
      </c>
      <c r="F2134" s="32" t="s">
        <v>312</v>
      </c>
      <c r="G2134" s="32" t="s">
        <v>1625</v>
      </c>
      <c r="O2134" s="32">
        <v>8</v>
      </c>
      <c r="P2134" s="32">
        <v>81</v>
      </c>
      <c r="W2134" s="12" t="s">
        <v>2193</v>
      </c>
      <c r="X2134" s="12" t="s">
        <v>2193</v>
      </c>
      <c r="Y2134" s="12" t="s">
        <v>2193</v>
      </c>
      <c r="Z2134" s="12" t="s">
        <v>2193</v>
      </c>
      <c r="AA2134" s="12">
        <v>3553</v>
      </c>
      <c r="AB2134" s="12" t="s">
        <v>2193</v>
      </c>
      <c r="AD2134" s="12" t="s">
        <v>52</v>
      </c>
      <c r="AE2134" s="39" t="s">
        <v>2187</v>
      </c>
      <c r="AF2134" s="12" t="s">
        <v>2185</v>
      </c>
      <c r="AN2134" s="12">
        <v>102</v>
      </c>
      <c r="AU2134" s="12" t="s">
        <v>1984</v>
      </c>
      <c r="AW2134" s="39">
        <v>6</v>
      </c>
      <c r="AX2134" s="12">
        <f>VLOOKUP(AW2134,색인!$N$14:$O$19,2,FALSE)</f>
        <v>4</v>
      </c>
      <c r="AY2134" s="12" t="str">
        <f>"T"&amp;O2134&amp;"_"&amp;AX2134&amp;"옵션_"&amp;VLOOKUP(E2134,색인!$J$25:$K$29,2,FALSE)</f>
        <v>T8_4옵션_장신구</v>
      </c>
      <c r="AZ2134" s="12">
        <f>VLOOKUP(G2134,색인!$J$32:$K$45,2,FALSE)</f>
        <v>4</v>
      </c>
      <c r="BA2134" s="12" t="str">
        <f>_xlfn.IFNA(VLOOKUP(AY2134,표1[[검색용]:[OptionGroupIndex'[']22]],EquipItemTable!AZ2134,FALSE),"옵션고정안함")</f>
        <v>8431,8432</v>
      </c>
    </row>
    <row r="2135" spans="1:53" ht="12" x14ac:dyDescent="0.2">
      <c r="A2135" s="10" t="s">
        <v>2221</v>
      </c>
      <c r="B2135" s="39">
        <v>820017</v>
      </c>
      <c r="C2135" s="42" t="s">
        <v>4058</v>
      </c>
      <c r="D2135" s="86" t="s">
        <v>2953</v>
      </c>
      <c r="E2135" s="86" t="s">
        <v>1629</v>
      </c>
      <c r="F2135" s="32" t="s">
        <v>312</v>
      </c>
      <c r="G2135" s="32" t="s">
        <v>1630</v>
      </c>
      <c r="O2135" s="32">
        <v>8</v>
      </c>
      <c r="P2135" s="32">
        <v>81</v>
      </c>
      <c r="W2135" s="12" t="s">
        <v>2193</v>
      </c>
      <c r="X2135" s="12" t="s">
        <v>2193</v>
      </c>
      <c r="Y2135" s="12">
        <v>226962</v>
      </c>
      <c r="Z2135" s="12" t="s">
        <v>2193</v>
      </c>
      <c r="AA2135" s="12" t="s">
        <v>2193</v>
      </c>
      <c r="AB2135" s="12" t="s">
        <v>2193</v>
      </c>
      <c r="AD2135" s="12" t="s">
        <v>52</v>
      </c>
      <c r="AE2135" s="39" t="s">
        <v>2187</v>
      </c>
      <c r="AF2135" s="12" t="s">
        <v>2185</v>
      </c>
      <c r="AN2135" s="12">
        <v>102</v>
      </c>
      <c r="AU2135" s="12" t="s">
        <v>1984</v>
      </c>
      <c r="AW2135" s="39">
        <v>6</v>
      </c>
      <c r="AX2135" s="12">
        <f>VLOOKUP(AW2135,색인!$N$14:$O$19,2,FALSE)</f>
        <v>4</v>
      </c>
      <c r="AY2135" s="12" t="str">
        <f>"T"&amp;O2135&amp;"_"&amp;AX2135&amp;"옵션_"&amp;VLOOKUP(E2135,색인!$J$25:$K$29,2,FALSE)</f>
        <v>T8_4옵션_보주</v>
      </c>
      <c r="AZ2135" s="12">
        <f>VLOOKUP(G2135,색인!$J$32:$K$45,2,FALSE)</f>
        <v>4</v>
      </c>
      <c r="BA2135" s="12" t="str">
        <f>_xlfn.IFNA(VLOOKUP(AY2135,표1[[검색용]:[OptionGroupIndex'[']22]],EquipItemTable!AZ2135,FALSE),"옵션고정안함")</f>
        <v>8441,8442</v>
      </c>
    </row>
    <row r="2136" spans="1:53" ht="12" x14ac:dyDescent="0.2">
      <c r="A2136" s="10" t="s">
        <v>2204</v>
      </c>
      <c r="B2136" s="39">
        <v>801011</v>
      </c>
      <c r="C2136" s="42" t="s">
        <v>4280</v>
      </c>
      <c r="D2136" s="86" t="s">
        <v>2953</v>
      </c>
      <c r="E2136" s="86" t="s">
        <v>0</v>
      </c>
      <c r="F2136" s="32" t="s">
        <v>436</v>
      </c>
      <c r="G2136" s="32" t="s">
        <v>1305</v>
      </c>
      <c r="O2136" s="32">
        <v>8</v>
      </c>
      <c r="P2136" s="32">
        <v>81</v>
      </c>
      <c r="W2136" s="12">
        <v>7994</v>
      </c>
      <c r="X2136" s="12">
        <v>7994</v>
      </c>
      <c r="Y2136" s="12" t="s">
        <v>2193</v>
      </c>
      <c r="Z2136" s="12" t="s">
        <v>2193</v>
      </c>
      <c r="AA2136" s="12" t="s">
        <v>2193</v>
      </c>
      <c r="AB2136" s="12" t="s">
        <v>2193</v>
      </c>
      <c r="AD2136" s="12" t="s">
        <v>52</v>
      </c>
      <c r="AE2136" s="39" t="s">
        <v>2187</v>
      </c>
      <c r="AF2136" s="12" t="s">
        <v>2185</v>
      </c>
      <c r="AN2136" s="32">
        <v>6</v>
      </c>
      <c r="AR2136" s="34">
        <v>1</v>
      </c>
      <c r="AS2136" s="34">
        <v>1</v>
      </c>
      <c r="AU2136" s="12" t="s">
        <v>1936</v>
      </c>
      <c r="AW2136" s="39">
        <v>6</v>
      </c>
      <c r="AX2136" s="12">
        <f>VLOOKUP(AW2136,색인!$N$14:$O$19,2,FALSE)</f>
        <v>4</v>
      </c>
      <c r="AY2136" s="12" t="str">
        <f>"T"&amp;O2136&amp;"_"&amp;AX2136&amp;"옵션_"&amp;VLOOKUP(E2136,색인!$J$25:$K$29,2,FALSE)</f>
        <v>T8_4옵션_장신구</v>
      </c>
      <c r="AZ2136" s="12">
        <f>VLOOKUP(G2136,색인!$J$32:$K$45,2,FALSE)</f>
        <v>3</v>
      </c>
      <c r="BA2136" s="12" t="str">
        <f>_xlfn.IFNA(VLOOKUP(AY2136,표1[[검색용]:[OptionGroupIndex'[']22]],EquipItemTable!AZ2136,FALSE),"옵션고정안함")</f>
        <v>8432</v>
      </c>
    </row>
    <row r="2137" spans="1:53" ht="12" x14ac:dyDescent="0.2">
      <c r="A2137" s="10" t="s">
        <v>2205</v>
      </c>
      <c r="B2137" s="39">
        <v>802011</v>
      </c>
      <c r="C2137" s="42" t="s">
        <v>4281</v>
      </c>
      <c r="D2137" s="86" t="s">
        <v>2953</v>
      </c>
      <c r="E2137" s="86" t="s">
        <v>0</v>
      </c>
      <c r="F2137" s="32" t="s">
        <v>928</v>
      </c>
      <c r="G2137" s="32" t="s">
        <v>1357</v>
      </c>
      <c r="O2137" s="32">
        <v>8</v>
      </c>
      <c r="P2137" s="32">
        <v>81</v>
      </c>
      <c r="W2137" s="12">
        <v>9081</v>
      </c>
      <c r="X2137" s="12">
        <v>9081</v>
      </c>
      <c r="Y2137" s="12" t="s">
        <v>2193</v>
      </c>
      <c r="Z2137" s="12" t="s">
        <v>2193</v>
      </c>
      <c r="AA2137" s="12" t="s">
        <v>2193</v>
      </c>
      <c r="AB2137" s="12" t="s">
        <v>2193</v>
      </c>
      <c r="AD2137" s="12" t="s">
        <v>52</v>
      </c>
      <c r="AE2137" s="39" t="s">
        <v>2187</v>
      </c>
      <c r="AF2137" s="12" t="s">
        <v>2185</v>
      </c>
      <c r="AN2137" s="32">
        <v>6</v>
      </c>
      <c r="AR2137" s="34">
        <v>1</v>
      </c>
      <c r="AS2137" s="34">
        <v>1</v>
      </c>
      <c r="AU2137" s="12" t="s">
        <v>1936</v>
      </c>
      <c r="AW2137" s="39">
        <v>6</v>
      </c>
      <c r="AX2137" s="12">
        <f>VLOOKUP(AW2137,색인!$N$14:$O$19,2,FALSE)</f>
        <v>4</v>
      </c>
      <c r="AY2137" s="12" t="str">
        <f>"T"&amp;O2137&amp;"_"&amp;AX2137&amp;"옵션_"&amp;VLOOKUP(E2137,색인!$J$25:$K$29,2,FALSE)</f>
        <v>T8_4옵션_장신구</v>
      </c>
      <c r="AZ2137" s="12">
        <f>VLOOKUP(G2137,색인!$J$32:$K$45,2,FALSE)</f>
        <v>2</v>
      </c>
      <c r="BA2137" s="12" t="str">
        <f>_xlfn.IFNA(VLOOKUP(AY2137,표1[[검색용]:[OptionGroupIndex'[']22]],EquipItemTable!AZ2137,FALSE),"옵션고정안함")</f>
        <v>8431</v>
      </c>
    </row>
    <row r="2138" spans="1:53" ht="12" x14ac:dyDescent="0.2">
      <c r="A2138" s="10" t="s">
        <v>2206</v>
      </c>
      <c r="B2138" s="39">
        <v>803011</v>
      </c>
      <c r="C2138" s="42" t="s">
        <v>4282</v>
      </c>
      <c r="D2138" s="86" t="s">
        <v>2953</v>
      </c>
      <c r="E2138" s="86" t="s">
        <v>0</v>
      </c>
      <c r="F2138" s="32" t="s">
        <v>310</v>
      </c>
      <c r="G2138" s="32" t="s">
        <v>1358</v>
      </c>
      <c r="O2138" s="32">
        <v>8</v>
      </c>
      <c r="P2138" s="32">
        <v>81</v>
      </c>
      <c r="W2138" s="12">
        <v>9969</v>
      </c>
      <c r="X2138" s="12">
        <v>9969</v>
      </c>
      <c r="Y2138" s="12" t="s">
        <v>2193</v>
      </c>
      <c r="Z2138" s="12" t="s">
        <v>2193</v>
      </c>
      <c r="AA2138" s="12" t="s">
        <v>2193</v>
      </c>
      <c r="AB2138" s="12" t="s">
        <v>2193</v>
      </c>
      <c r="AD2138" s="12" t="s">
        <v>52</v>
      </c>
      <c r="AE2138" s="39" t="s">
        <v>2187</v>
      </c>
      <c r="AF2138" s="12" t="s">
        <v>2185</v>
      </c>
      <c r="AN2138" s="32">
        <v>6</v>
      </c>
      <c r="AR2138" s="34">
        <v>1</v>
      </c>
      <c r="AS2138" s="34">
        <v>1</v>
      </c>
      <c r="AU2138" s="12" t="s">
        <v>1936</v>
      </c>
      <c r="AW2138" s="39">
        <v>6</v>
      </c>
      <c r="AX2138" s="12">
        <f>VLOOKUP(AW2138,색인!$N$14:$O$19,2,FALSE)</f>
        <v>4</v>
      </c>
      <c r="AY2138" s="12" t="str">
        <f>"T"&amp;O2138&amp;"_"&amp;AX2138&amp;"옵션_"&amp;VLOOKUP(E2138,색인!$J$25:$K$29,2,FALSE)</f>
        <v>T8_4옵션_장신구</v>
      </c>
      <c r="AZ2138" s="12">
        <f>VLOOKUP(G2138,색인!$J$32:$K$45,2,FALSE)</f>
        <v>2</v>
      </c>
      <c r="BA2138" s="12" t="str">
        <f>_xlfn.IFNA(VLOOKUP(AY2138,표1[[검색용]:[OptionGroupIndex'[']22]],EquipItemTable!AZ2138,FALSE),"옵션고정안함")</f>
        <v>8431</v>
      </c>
    </row>
    <row r="2139" spans="1:53" ht="12" x14ac:dyDescent="0.2">
      <c r="A2139" s="10" t="s">
        <v>2207</v>
      </c>
      <c r="B2139" s="39">
        <v>804011</v>
      </c>
      <c r="C2139" s="42" t="s">
        <v>4283</v>
      </c>
      <c r="D2139" s="86" t="s">
        <v>2953</v>
      </c>
      <c r="E2139" s="86" t="s">
        <v>0</v>
      </c>
      <c r="F2139" s="32" t="s">
        <v>456</v>
      </c>
      <c r="G2139" s="32" t="s">
        <v>1396</v>
      </c>
      <c r="O2139" s="32">
        <v>8</v>
      </c>
      <c r="P2139" s="32">
        <v>81</v>
      </c>
      <c r="W2139" s="12">
        <v>11252</v>
      </c>
      <c r="X2139" s="12">
        <v>11252</v>
      </c>
      <c r="Y2139" s="12" t="s">
        <v>2193</v>
      </c>
      <c r="Z2139" s="12" t="s">
        <v>2193</v>
      </c>
      <c r="AA2139" s="12" t="s">
        <v>2193</v>
      </c>
      <c r="AB2139" s="12" t="s">
        <v>2193</v>
      </c>
      <c r="AD2139" s="12" t="s">
        <v>52</v>
      </c>
      <c r="AE2139" s="39" t="s">
        <v>2187</v>
      </c>
      <c r="AF2139" s="12" t="s">
        <v>2185</v>
      </c>
      <c r="AN2139" s="32">
        <v>6</v>
      </c>
      <c r="AR2139" s="34">
        <v>1</v>
      </c>
      <c r="AS2139" s="34">
        <v>1</v>
      </c>
      <c r="AU2139" s="12" t="s">
        <v>1936</v>
      </c>
      <c r="AW2139" s="39">
        <v>6</v>
      </c>
      <c r="AX2139" s="12">
        <f>VLOOKUP(AW2139,색인!$N$14:$O$19,2,FALSE)</f>
        <v>4</v>
      </c>
      <c r="AY2139" s="12" t="str">
        <f>"T"&amp;O2139&amp;"_"&amp;AX2139&amp;"옵션_"&amp;VLOOKUP(E2139,색인!$J$25:$K$29,2,FALSE)</f>
        <v>T8_4옵션_장신구</v>
      </c>
      <c r="AZ2139" s="12">
        <f>VLOOKUP(G2139,색인!$J$32:$K$45,2,FALSE)</f>
        <v>2</v>
      </c>
      <c r="BA2139" s="12" t="str">
        <f>_xlfn.IFNA(VLOOKUP(AY2139,표1[[검색용]:[OptionGroupIndex'[']22]],EquipItemTable!AZ2139,FALSE),"옵션고정안함")</f>
        <v>8431</v>
      </c>
    </row>
    <row r="2140" spans="1:53" ht="12" x14ac:dyDescent="0.2">
      <c r="A2140" s="10" t="s">
        <v>2208</v>
      </c>
      <c r="B2140" s="39">
        <v>805011</v>
      </c>
      <c r="C2140" s="42" t="s">
        <v>4284</v>
      </c>
      <c r="D2140" s="86" t="s">
        <v>2953</v>
      </c>
      <c r="E2140" s="86" t="s">
        <v>0</v>
      </c>
      <c r="F2140" s="32" t="s">
        <v>927</v>
      </c>
      <c r="G2140" s="32" t="s">
        <v>1415</v>
      </c>
      <c r="O2140" s="32">
        <v>8</v>
      </c>
      <c r="P2140" s="32">
        <v>81</v>
      </c>
      <c r="W2140" s="12">
        <v>10266</v>
      </c>
      <c r="X2140" s="12">
        <v>10266</v>
      </c>
      <c r="Y2140" s="12" t="s">
        <v>2193</v>
      </c>
      <c r="Z2140" s="12" t="s">
        <v>2193</v>
      </c>
      <c r="AA2140" s="12" t="s">
        <v>2193</v>
      </c>
      <c r="AB2140" s="12" t="s">
        <v>2193</v>
      </c>
      <c r="AD2140" s="12" t="s">
        <v>52</v>
      </c>
      <c r="AE2140" s="39" t="s">
        <v>2187</v>
      </c>
      <c r="AF2140" s="12" t="s">
        <v>2185</v>
      </c>
      <c r="AN2140" s="32">
        <v>6</v>
      </c>
      <c r="AR2140" s="34">
        <v>1</v>
      </c>
      <c r="AS2140" s="34">
        <v>1</v>
      </c>
      <c r="AU2140" s="12" t="s">
        <v>1936</v>
      </c>
      <c r="AW2140" s="39">
        <v>6</v>
      </c>
      <c r="AX2140" s="12">
        <f>VLOOKUP(AW2140,색인!$N$14:$O$19,2,FALSE)</f>
        <v>4</v>
      </c>
      <c r="AY2140" s="12" t="str">
        <f>"T"&amp;O2140&amp;"_"&amp;AX2140&amp;"옵션_"&amp;VLOOKUP(E2140,색인!$J$25:$K$29,2,FALSE)</f>
        <v>T8_4옵션_장신구</v>
      </c>
      <c r="AZ2140" s="12">
        <f>VLOOKUP(G2140,색인!$J$32:$K$45,2,FALSE)</f>
        <v>2</v>
      </c>
      <c r="BA2140" s="12" t="str">
        <f>_xlfn.IFNA(VLOOKUP(AY2140,표1[[검색용]:[OptionGroupIndex'[']22]],EquipItemTable!AZ2140,FALSE),"옵션고정안함")</f>
        <v>8431</v>
      </c>
    </row>
    <row r="2141" spans="1:53" ht="12" x14ac:dyDescent="0.2">
      <c r="A2141" s="10" t="s">
        <v>2209</v>
      </c>
      <c r="B2141" s="39">
        <v>806011</v>
      </c>
      <c r="C2141" s="42" t="s">
        <v>4285</v>
      </c>
      <c r="D2141" s="86" t="s">
        <v>2953</v>
      </c>
      <c r="E2141" s="86" t="s">
        <v>0</v>
      </c>
      <c r="F2141" s="32" t="s">
        <v>471</v>
      </c>
      <c r="G2141" s="32" t="s">
        <v>1434</v>
      </c>
      <c r="O2141" s="32">
        <v>8</v>
      </c>
      <c r="P2141" s="32">
        <v>81</v>
      </c>
      <c r="W2141" s="12">
        <v>10462</v>
      </c>
      <c r="X2141" s="12">
        <v>10462</v>
      </c>
      <c r="Y2141" s="12" t="s">
        <v>2193</v>
      </c>
      <c r="Z2141" s="12" t="s">
        <v>2193</v>
      </c>
      <c r="AA2141" s="12" t="s">
        <v>2193</v>
      </c>
      <c r="AB2141" s="12" t="s">
        <v>2193</v>
      </c>
      <c r="AD2141" s="12" t="s">
        <v>52</v>
      </c>
      <c r="AE2141" s="39" t="s">
        <v>2187</v>
      </c>
      <c r="AF2141" s="12" t="s">
        <v>2185</v>
      </c>
      <c r="AN2141" s="32">
        <v>6</v>
      </c>
      <c r="AR2141" s="34">
        <v>1</v>
      </c>
      <c r="AS2141" s="34">
        <v>1</v>
      </c>
      <c r="AU2141" s="12" t="s">
        <v>1936</v>
      </c>
      <c r="AW2141" s="39">
        <v>6</v>
      </c>
      <c r="AX2141" s="12">
        <f>VLOOKUP(AW2141,색인!$N$14:$O$19,2,FALSE)</f>
        <v>4</v>
      </c>
      <c r="AY2141" s="12" t="str">
        <f>"T"&amp;O2141&amp;"_"&amp;AX2141&amp;"옵션_"&amp;VLOOKUP(E2141,색인!$J$25:$K$29,2,FALSE)</f>
        <v>T8_4옵션_장신구</v>
      </c>
      <c r="AZ2141" s="12">
        <f>VLOOKUP(G2141,색인!$J$32:$K$45,2,FALSE)</f>
        <v>2</v>
      </c>
      <c r="BA2141" s="12" t="str">
        <f>_xlfn.IFNA(VLOOKUP(AY2141,표1[[검색용]:[OptionGroupIndex'[']22]],EquipItemTable!AZ2141,FALSE),"옵션고정안함")</f>
        <v>8431</v>
      </c>
    </row>
    <row r="2142" spans="1:53" ht="12" x14ac:dyDescent="0.2">
      <c r="A2142" s="10" t="s">
        <v>2210</v>
      </c>
      <c r="B2142" s="39">
        <v>807011</v>
      </c>
      <c r="C2142" s="42" t="s">
        <v>4286</v>
      </c>
      <c r="D2142" s="86" t="s">
        <v>2953</v>
      </c>
      <c r="E2142" s="86" t="s">
        <v>1</v>
      </c>
      <c r="F2142" s="32" t="s">
        <v>480</v>
      </c>
      <c r="G2142" s="32" t="s">
        <v>1453</v>
      </c>
      <c r="O2142" s="32">
        <v>8</v>
      </c>
      <c r="P2142" s="32">
        <v>81</v>
      </c>
      <c r="W2142" s="12" t="s">
        <v>2193</v>
      </c>
      <c r="X2142" s="12" t="s">
        <v>2193</v>
      </c>
      <c r="Y2142" s="12" t="s">
        <v>2193</v>
      </c>
      <c r="Z2142" s="12" t="s">
        <v>2193</v>
      </c>
      <c r="AA2142" s="12">
        <v>5329</v>
      </c>
      <c r="AB2142" s="12" t="s">
        <v>2193</v>
      </c>
      <c r="AD2142" s="12" t="s">
        <v>52</v>
      </c>
      <c r="AE2142" s="39" t="s">
        <v>2187</v>
      </c>
      <c r="AF2142" s="12" t="s">
        <v>2185</v>
      </c>
      <c r="AN2142" s="32">
        <v>6</v>
      </c>
      <c r="AR2142" s="34">
        <v>1</v>
      </c>
      <c r="AS2142" s="34">
        <v>1</v>
      </c>
      <c r="AU2142" s="12" t="s">
        <v>1936</v>
      </c>
      <c r="AW2142" s="39">
        <v>6</v>
      </c>
      <c r="AX2142" s="12">
        <f>VLOOKUP(AW2142,색인!$N$14:$O$19,2,FALSE)</f>
        <v>4</v>
      </c>
      <c r="AY2142" s="12" t="str">
        <f>"T"&amp;O2142&amp;"_"&amp;AX2142&amp;"옵션_"&amp;VLOOKUP(E2142,색인!$J$25:$K$29,2,FALSE)</f>
        <v>T8_4옵션_방어구</v>
      </c>
      <c r="AZ2142" s="12">
        <f>VLOOKUP(G2142,색인!$J$32:$K$45,2,FALSE)</f>
        <v>4</v>
      </c>
      <c r="BA2142" s="12" t="str">
        <f>_xlfn.IFNA(VLOOKUP(AY2142,표1[[검색용]:[OptionGroupIndex'[']22]],EquipItemTable!AZ2142,FALSE),"옵션고정안함")</f>
        <v>8411,8412</v>
      </c>
    </row>
    <row r="2143" spans="1:53" ht="12" x14ac:dyDescent="0.2">
      <c r="A2143" s="10" t="s">
        <v>2211</v>
      </c>
      <c r="B2143" s="39">
        <v>808011</v>
      </c>
      <c r="C2143" s="42" t="s">
        <v>4287</v>
      </c>
      <c r="D2143" s="86" t="s">
        <v>2953</v>
      </c>
      <c r="E2143" s="86" t="s">
        <v>1</v>
      </c>
      <c r="F2143" s="32" t="s">
        <v>311</v>
      </c>
      <c r="G2143" s="32" t="s">
        <v>1472</v>
      </c>
      <c r="O2143" s="32">
        <v>8</v>
      </c>
      <c r="P2143" s="32">
        <v>81</v>
      </c>
      <c r="W2143" s="12" t="s">
        <v>2193</v>
      </c>
      <c r="X2143" s="12" t="s">
        <v>2193</v>
      </c>
      <c r="Y2143" s="12" t="s">
        <v>2193</v>
      </c>
      <c r="Z2143" s="12" t="s">
        <v>2193</v>
      </c>
      <c r="AA2143" s="12">
        <v>3553</v>
      </c>
      <c r="AB2143" s="12" t="s">
        <v>2193</v>
      </c>
      <c r="AD2143" s="12" t="s">
        <v>52</v>
      </c>
      <c r="AE2143" s="39" t="s">
        <v>2187</v>
      </c>
      <c r="AF2143" s="12" t="s">
        <v>2185</v>
      </c>
      <c r="AN2143" s="32">
        <v>6</v>
      </c>
      <c r="AR2143" s="34">
        <v>1</v>
      </c>
      <c r="AS2143" s="34">
        <v>1</v>
      </c>
      <c r="AU2143" s="12" t="s">
        <v>1936</v>
      </c>
      <c r="AW2143" s="39">
        <v>6</v>
      </c>
      <c r="AX2143" s="12">
        <f>VLOOKUP(AW2143,색인!$N$14:$O$19,2,FALSE)</f>
        <v>4</v>
      </c>
      <c r="AY2143" s="12" t="str">
        <f>"T"&amp;O2143&amp;"_"&amp;AX2143&amp;"옵션_"&amp;VLOOKUP(E2143,색인!$J$25:$K$29,2,FALSE)</f>
        <v>T8_4옵션_방어구</v>
      </c>
      <c r="AZ2143" s="12">
        <f>VLOOKUP(G2143,색인!$J$32:$K$45,2,FALSE)</f>
        <v>2</v>
      </c>
      <c r="BA2143" s="12" t="str">
        <f>_xlfn.IFNA(VLOOKUP(AY2143,표1[[검색용]:[OptionGroupIndex'[']22]],EquipItemTable!AZ2143,FALSE),"옵션고정안함")</f>
        <v>8411</v>
      </c>
    </row>
    <row r="2144" spans="1:53" ht="12" x14ac:dyDescent="0.2">
      <c r="A2144" s="10" t="s">
        <v>2212</v>
      </c>
      <c r="B2144" s="39">
        <v>809011</v>
      </c>
      <c r="C2144" s="42" t="s">
        <v>4288</v>
      </c>
      <c r="D2144" s="86" t="s">
        <v>2953</v>
      </c>
      <c r="E2144" s="86" t="s">
        <v>1</v>
      </c>
      <c r="F2144" s="32" t="s">
        <v>471</v>
      </c>
      <c r="G2144" s="32" t="s">
        <v>1491</v>
      </c>
      <c r="O2144" s="32">
        <v>8</v>
      </c>
      <c r="P2144" s="32">
        <v>81</v>
      </c>
      <c r="W2144" s="12" t="s">
        <v>2193</v>
      </c>
      <c r="X2144" s="12" t="s">
        <v>2193</v>
      </c>
      <c r="Y2144" s="12" t="s">
        <v>2193</v>
      </c>
      <c r="Z2144" s="12" t="s">
        <v>2193</v>
      </c>
      <c r="AA2144" s="12">
        <v>1777</v>
      </c>
      <c r="AB2144" s="12" t="s">
        <v>2193</v>
      </c>
      <c r="AD2144" s="12" t="s">
        <v>52</v>
      </c>
      <c r="AE2144" s="39" t="s">
        <v>2187</v>
      </c>
      <c r="AF2144" s="12" t="s">
        <v>2185</v>
      </c>
      <c r="AN2144" s="32">
        <v>6</v>
      </c>
      <c r="AR2144" s="34">
        <v>1</v>
      </c>
      <c r="AS2144" s="34">
        <v>1</v>
      </c>
      <c r="AU2144" s="12" t="s">
        <v>1936</v>
      </c>
      <c r="AW2144" s="39">
        <v>6</v>
      </c>
      <c r="AX2144" s="12">
        <f>VLOOKUP(AW2144,색인!$N$14:$O$19,2,FALSE)</f>
        <v>4</v>
      </c>
      <c r="AY2144" s="12" t="str">
        <f>"T"&amp;O2144&amp;"_"&amp;AX2144&amp;"옵션_"&amp;VLOOKUP(E2144,색인!$J$25:$K$29,2,FALSE)</f>
        <v>T8_4옵션_방어구</v>
      </c>
      <c r="AZ2144" s="12">
        <f>VLOOKUP(G2144,색인!$J$32:$K$45,2,FALSE)</f>
        <v>2</v>
      </c>
      <c r="BA2144" s="12" t="str">
        <f>_xlfn.IFNA(VLOOKUP(AY2144,표1[[검색용]:[OptionGroupIndex'[']22]],EquipItemTable!AZ2144,FALSE),"옵션고정안함")</f>
        <v>8411</v>
      </c>
    </row>
    <row r="2145" spans="1:53" ht="12" x14ac:dyDescent="0.2">
      <c r="A2145" s="10" t="s">
        <v>2213</v>
      </c>
      <c r="B2145" s="39">
        <v>810011</v>
      </c>
      <c r="C2145" s="42" t="s">
        <v>4289</v>
      </c>
      <c r="D2145" s="86" t="s">
        <v>2953</v>
      </c>
      <c r="E2145" s="86" t="s">
        <v>501</v>
      </c>
      <c r="F2145" s="32" t="s">
        <v>480</v>
      </c>
      <c r="G2145" s="32" t="s">
        <v>1453</v>
      </c>
      <c r="O2145" s="32">
        <v>8</v>
      </c>
      <c r="P2145" s="32">
        <v>81</v>
      </c>
      <c r="W2145" s="12" t="s">
        <v>2193</v>
      </c>
      <c r="X2145" s="12" t="s">
        <v>2193</v>
      </c>
      <c r="Y2145" s="12" t="s">
        <v>2193</v>
      </c>
      <c r="Z2145" s="12" t="s">
        <v>2193</v>
      </c>
      <c r="AA2145" s="12" t="s">
        <v>2193</v>
      </c>
      <c r="AB2145" s="12">
        <v>5329</v>
      </c>
      <c r="AD2145" s="12" t="s">
        <v>52</v>
      </c>
      <c r="AE2145" s="39" t="s">
        <v>2187</v>
      </c>
      <c r="AF2145" s="12" t="s">
        <v>2185</v>
      </c>
      <c r="AN2145" s="32">
        <v>6</v>
      </c>
      <c r="AR2145" s="34">
        <v>1</v>
      </c>
      <c r="AS2145" s="34">
        <v>1</v>
      </c>
      <c r="AU2145" s="12" t="s">
        <v>1936</v>
      </c>
      <c r="AW2145" s="39">
        <v>6</v>
      </c>
      <c r="AX2145" s="12">
        <f>VLOOKUP(AW2145,색인!$N$14:$O$19,2,FALSE)</f>
        <v>4</v>
      </c>
      <c r="AY2145" s="12" t="str">
        <f>"T"&amp;O2145&amp;"_"&amp;AX2145&amp;"옵션_"&amp;VLOOKUP(E2145,색인!$J$25:$K$29,2,FALSE)</f>
        <v>T8_4옵션_보조장비</v>
      </c>
      <c r="AZ2145" s="12">
        <f>VLOOKUP(G2145,색인!$J$32:$K$45,2,FALSE)</f>
        <v>4</v>
      </c>
      <c r="BA2145" s="12" t="str">
        <f>_xlfn.IFNA(VLOOKUP(AY2145,표1[[검색용]:[OptionGroupIndex'[']22]],EquipItemTable!AZ2145,FALSE),"옵션고정안함")</f>
        <v>8421,8422</v>
      </c>
    </row>
    <row r="2146" spans="1:53" ht="12" x14ac:dyDescent="0.2">
      <c r="A2146" s="10" t="s">
        <v>2214</v>
      </c>
      <c r="B2146" s="39">
        <v>811011</v>
      </c>
      <c r="C2146" s="42" t="s">
        <v>4290</v>
      </c>
      <c r="D2146" s="86" t="s">
        <v>2953</v>
      </c>
      <c r="E2146" s="86" t="s">
        <v>501</v>
      </c>
      <c r="F2146" s="32" t="s">
        <v>311</v>
      </c>
      <c r="G2146" s="32" t="s">
        <v>1472</v>
      </c>
      <c r="O2146" s="32">
        <v>8</v>
      </c>
      <c r="P2146" s="32">
        <v>81</v>
      </c>
      <c r="W2146" s="12" t="s">
        <v>2193</v>
      </c>
      <c r="X2146" s="12" t="s">
        <v>2193</v>
      </c>
      <c r="Y2146" s="12" t="s">
        <v>2193</v>
      </c>
      <c r="Z2146" s="12" t="s">
        <v>2193</v>
      </c>
      <c r="AA2146" s="12" t="s">
        <v>2193</v>
      </c>
      <c r="AB2146" s="12">
        <v>1777</v>
      </c>
      <c r="AD2146" s="12" t="s">
        <v>52</v>
      </c>
      <c r="AE2146" s="39" t="s">
        <v>2187</v>
      </c>
      <c r="AF2146" s="12" t="s">
        <v>2185</v>
      </c>
      <c r="AN2146" s="32">
        <v>6</v>
      </c>
      <c r="AR2146" s="34">
        <v>1</v>
      </c>
      <c r="AS2146" s="34">
        <v>1</v>
      </c>
      <c r="AU2146" s="12" t="s">
        <v>1936</v>
      </c>
      <c r="AW2146" s="39">
        <v>6</v>
      </c>
      <c r="AX2146" s="12">
        <f>VLOOKUP(AW2146,색인!$N$14:$O$19,2,FALSE)</f>
        <v>4</v>
      </c>
      <c r="AY2146" s="12" t="str">
        <f>"T"&amp;O2146&amp;"_"&amp;AX2146&amp;"옵션_"&amp;VLOOKUP(E2146,색인!$J$25:$K$29,2,FALSE)</f>
        <v>T8_4옵션_보조장비</v>
      </c>
      <c r="AZ2146" s="12">
        <f>VLOOKUP(G2146,색인!$J$32:$K$45,2,FALSE)</f>
        <v>2</v>
      </c>
      <c r="BA2146" s="12" t="str">
        <f>_xlfn.IFNA(VLOOKUP(AY2146,표1[[검색용]:[OptionGroupIndex'[']22]],EquipItemTable!AZ2146,FALSE),"옵션고정안함")</f>
        <v>8421</v>
      </c>
    </row>
    <row r="2147" spans="1:53" ht="12" x14ac:dyDescent="0.2">
      <c r="A2147" s="10" t="s">
        <v>2215</v>
      </c>
      <c r="B2147" s="39">
        <v>812011</v>
      </c>
      <c r="C2147" s="42" t="s">
        <v>4291</v>
      </c>
      <c r="D2147" s="86" t="s">
        <v>2953</v>
      </c>
      <c r="E2147" s="86" t="s">
        <v>501</v>
      </c>
      <c r="F2147" s="32" t="s">
        <v>471</v>
      </c>
      <c r="G2147" s="32" t="s">
        <v>1491</v>
      </c>
      <c r="O2147" s="32">
        <v>8</v>
      </c>
      <c r="P2147" s="32">
        <v>81</v>
      </c>
      <c r="W2147" s="12" t="s">
        <v>2193</v>
      </c>
      <c r="X2147" s="12" t="s">
        <v>2193</v>
      </c>
      <c r="Y2147" s="12" t="s">
        <v>2193</v>
      </c>
      <c r="Z2147" s="12" t="s">
        <v>2193</v>
      </c>
      <c r="AA2147" s="12" t="s">
        <v>2193</v>
      </c>
      <c r="AB2147" s="12">
        <v>3553</v>
      </c>
      <c r="AD2147" s="12" t="s">
        <v>52</v>
      </c>
      <c r="AE2147" s="39" t="s">
        <v>2187</v>
      </c>
      <c r="AF2147" s="12" t="s">
        <v>2185</v>
      </c>
      <c r="AN2147" s="32">
        <v>6</v>
      </c>
      <c r="AR2147" s="34">
        <v>1</v>
      </c>
      <c r="AS2147" s="34">
        <v>1</v>
      </c>
      <c r="AU2147" s="12" t="s">
        <v>1936</v>
      </c>
      <c r="AW2147" s="39">
        <v>6</v>
      </c>
      <c r="AX2147" s="12">
        <f>VLOOKUP(AW2147,색인!$N$14:$O$19,2,FALSE)</f>
        <v>4</v>
      </c>
      <c r="AY2147" s="12" t="str">
        <f>"T"&amp;O2147&amp;"_"&amp;AX2147&amp;"옵션_"&amp;VLOOKUP(E2147,색인!$J$25:$K$29,2,FALSE)</f>
        <v>T8_4옵션_보조장비</v>
      </c>
      <c r="AZ2147" s="12">
        <f>VLOOKUP(G2147,색인!$J$32:$K$45,2,FALSE)</f>
        <v>2</v>
      </c>
      <c r="BA2147" s="12" t="str">
        <f>_xlfn.IFNA(VLOOKUP(AY2147,표1[[검색용]:[OptionGroupIndex'[']22]],EquipItemTable!AZ2147,FALSE),"옵션고정안함")</f>
        <v>8421</v>
      </c>
    </row>
    <row r="2148" spans="1:53" ht="12" x14ac:dyDescent="0.2">
      <c r="A2148" s="10" t="s">
        <v>2216</v>
      </c>
      <c r="B2148" s="39">
        <v>813011</v>
      </c>
      <c r="C2148" s="42" t="s">
        <v>4292</v>
      </c>
      <c r="D2148" s="86" t="s">
        <v>2953</v>
      </c>
      <c r="E2148" s="86" t="s">
        <v>2</v>
      </c>
      <c r="F2148" s="32" t="s">
        <v>312</v>
      </c>
      <c r="G2148" s="32" t="s">
        <v>1568</v>
      </c>
      <c r="O2148" s="32">
        <v>8</v>
      </c>
      <c r="P2148" s="32">
        <v>81</v>
      </c>
      <c r="W2148" s="12" t="s">
        <v>2193</v>
      </c>
      <c r="X2148" s="12" t="s">
        <v>2193</v>
      </c>
      <c r="Y2148" s="12">
        <v>226962</v>
      </c>
      <c r="Z2148" s="12" t="s">
        <v>2193</v>
      </c>
      <c r="AA2148" s="12" t="s">
        <v>2193</v>
      </c>
      <c r="AB2148" s="12" t="s">
        <v>2193</v>
      </c>
      <c r="AD2148" s="12" t="s">
        <v>52</v>
      </c>
      <c r="AE2148" s="39" t="s">
        <v>2187</v>
      </c>
      <c r="AF2148" s="12" t="s">
        <v>2185</v>
      </c>
      <c r="AN2148" s="32">
        <v>6</v>
      </c>
      <c r="AU2148" s="12" t="s">
        <v>1936</v>
      </c>
      <c r="AW2148" s="39">
        <v>6</v>
      </c>
      <c r="AX2148" s="12">
        <f>VLOOKUP(AW2148,색인!$N$14:$O$19,2,FALSE)</f>
        <v>4</v>
      </c>
      <c r="AY2148" s="12" t="str">
        <f>"T"&amp;O2148&amp;"_"&amp;AX2148&amp;"옵션_"&amp;VLOOKUP(E2148,색인!$J$25:$K$29,2,FALSE)</f>
        <v>T8_4옵션_장신구</v>
      </c>
      <c r="AZ2148" s="12">
        <f>VLOOKUP(G2148,색인!$J$32:$K$45,2,FALSE)</f>
        <v>4</v>
      </c>
      <c r="BA2148" s="12" t="str">
        <f>_xlfn.IFNA(VLOOKUP(AY2148,표1[[검색용]:[OptionGroupIndex'[']22]],EquipItemTable!AZ2148,FALSE),"옵션고정안함")</f>
        <v>8431,8432</v>
      </c>
    </row>
    <row r="2149" spans="1:53" ht="12" x14ac:dyDescent="0.2">
      <c r="A2149" s="10" t="s">
        <v>2217</v>
      </c>
      <c r="B2149" s="39">
        <v>814011</v>
      </c>
      <c r="C2149" s="42" t="s">
        <v>4293</v>
      </c>
      <c r="D2149" s="86" t="s">
        <v>2953</v>
      </c>
      <c r="E2149" s="86" t="s">
        <v>2</v>
      </c>
      <c r="F2149" s="32" t="s">
        <v>312</v>
      </c>
      <c r="G2149" s="32" t="s">
        <v>1587</v>
      </c>
      <c r="O2149" s="32">
        <v>8</v>
      </c>
      <c r="P2149" s="32">
        <v>81</v>
      </c>
      <c r="W2149" s="12">
        <v>4938</v>
      </c>
      <c r="X2149" s="12">
        <v>4938</v>
      </c>
      <c r="Y2149" s="12" t="s">
        <v>2193</v>
      </c>
      <c r="Z2149" s="12" t="s">
        <v>2193</v>
      </c>
      <c r="AA2149" s="12" t="s">
        <v>2193</v>
      </c>
      <c r="AB2149" s="12" t="s">
        <v>2193</v>
      </c>
      <c r="AD2149" s="12" t="s">
        <v>52</v>
      </c>
      <c r="AE2149" s="39" t="s">
        <v>2187</v>
      </c>
      <c r="AF2149" s="12" t="s">
        <v>2185</v>
      </c>
      <c r="AN2149" s="32">
        <v>6</v>
      </c>
      <c r="AU2149" s="12" t="s">
        <v>1936</v>
      </c>
      <c r="AW2149" s="39">
        <v>6</v>
      </c>
      <c r="AX2149" s="12">
        <f>VLOOKUP(AW2149,색인!$N$14:$O$19,2,FALSE)</f>
        <v>4</v>
      </c>
      <c r="AY2149" s="12" t="str">
        <f>"T"&amp;O2149&amp;"_"&amp;AX2149&amp;"옵션_"&amp;VLOOKUP(E2149,색인!$J$25:$K$29,2,FALSE)</f>
        <v>T8_4옵션_장신구</v>
      </c>
      <c r="AZ2149" s="12">
        <f>VLOOKUP(G2149,색인!$J$32:$K$45,2,FALSE)</f>
        <v>2</v>
      </c>
      <c r="BA2149" s="12" t="str">
        <f>_xlfn.IFNA(VLOOKUP(AY2149,표1[[검색용]:[OptionGroupIndex'[']22]],EquipItemTable!AZ2149,FALSE),"옵션고정안함")</f>
        <v>8431</v>
      </c>
    </row>
    <row r="2150" spans="1:53" ht="12" x14ac:dyDescent="0.2">
      <c r="A2150" s="10" t="s">
        <v>2218</v>
      </c>
      <c r="B2150" s="39">
        <v>815011</v>
      </c>
      <c r="C2150" s="42" t="s">
        <v>4294</v>
      </c>
      <c r="D2150" s="86" t="s">
        <v>2953</v>
      </c>
      <c r="E2150" s="86" t="s">
        <v>2</v>
      </c>
      <c r="F2150" s="32" t="s">
        <v>312</v>
      </c>
      <c r="G2150" s="32" t="s">
        <v>1606</v>
      </c>
      <c r="O2150" s="32">
        <v>8</v>
      </c>
      <c r="P2150" s="32">
        <v>81</v>
      </c>
      <c r="W2150" s="12" t="s">
        <v>2193</v>
      </c>
      <c r="X2150" s="12" t="s">
        <v>2193</v>
      </c>
      <c r="Y2150" s="12" t="s">
        <v>2193</v>
      </c>
      <c r="Z2150" s="12" t="s">
        <v>2193</v>
      </c>
      <c r="AA2150" s="12" t="s">
        <v>2193</v>
      </c>
      <c r="AB2150" s="12">
        <v>3553</v>
      </c>
      <c r="AD2150" s="12" t="s">
        <v>52</v>
      </c>
      <c r="AE2150" s="39" t="s">
        <v>2187</v>
      </c>
      <c r="AF2150" s="12" t="s">
        <v>2185</v>
      </c>
      <c r="AN2150" s="32">
        <v>6</v>
      </c>
      <c r="AU2150" s="12" t="s">
        <v>1936</v>
      </c>
      <c r="AW2150" s="39">
        <v>6</v>
      </c>
      <c r="AX2150" s="12">
        <f>VLOOKUP(AW2150,색인!$N$14:$O$19,2,FALSE)</f>
        <v>4</v>
      </c>
      <c r="AY2150" s="12" t="str">
        <f>"T"&amp;O2150&amp;"_"&amp;AX2150&amp;"옵션_"&amp;VLOOKUP(E2150,색인!$J$25:$K$29,2,FALSE)</f>
        <v>T8_4옵션_장신구</v>
      </c>
      <c r="AZ2150" s="12">
        <f>VLOOKUP(G2150,색인!$J$32:$K$45,2,FALSE)</f>
        <v>4</v>
      </c>
      <c r="BA2150" s="12" t="str">
        <f>_xlfn.IFNA(VLOOKUP(AY2150,표1[[검색용]:[OptionGroupIndex'[']22]],EquipItemTable!AZ2150,FALSE),"옵션고정안함")</f>
        <v>8431,8432</v>
      </c>
    </row>
    <row r="2151" spans="1:53" ht="12" x14ac:dyDescent="0.2">
      <c r="A2151" s="10" t="s">
        <v>2219</v>
      </c>
      <c r="B2151" s="39">
        <v>816011</v>
      </c>
      <c r="C2151" s="42" t="s">
        <v>4295</v>
      </c>
      <c r="D2151" s="86" t="s">
        <v>2953</v>
      </c>
      <c r="E2151" s="86" t="s">
        <v>2</v>
      </c>
      <c r="F2151" s="32" t="s">
        <v>312</v>
      </c>
      <c r="G2151" s="32" t="s">
        <v>1625</v>
      </c>
      <c r="O2151" s="32">
        <v>8</v>
      </c>
      <c r="P2151" s="32">
        <v>81</v>
      </c>
      <c r="W2151" s="12" t="s">
        <v>2193</v>
      </c>
      <c r="X2151" s="12" t="s">
        <v>2193</v>
      </c>
      <c r="Y2151" s="12" t="s">
        <v>2193</v>
      </c>
      <c r="Z2151" s="12" t="s">
        <v>2193</v>
      </c>
      <c r="AA2151" s="12">
        <v>3553</v>
      </c>
      <c r="AB2151" s="12" t="s">
        <v>2193</v>
      </c>
      <c r="AD2151" s="12" t="s">
        <v>52</v>
      </c>
      <c r="AE2151" s="39" t="s">
        <v>2187</v>
      </c>
      <c r="AF2151" s="12" t="s">
        <v>2185</v>
      </c>
      <c r="AN2151" s="32">
        <v>6</v>
      </c>
      <c r="AU2151" s="12" t="s">
        <v>1936</v>
      </c>
      <c r="AW2151" s="39">
        <v>6</v>
      </c>
      <c r="AX2151" s="12">
        <f>VLOOKUP(AW2151,색인!$N$14:$O$19,2,FALSE)</f>
        <v>4</v>
      </c>
      <c r="AY2151" s="12" t="str">
        <f>"T"&amp;O2151&amp;"_"&amp;AX2151&amp;"옵션_"&amp;VLOOKUP(E2151,색인!$J$25:$K$29,2,FALSE)</f>
        <v>T8_4옵션_장신구</v>
      </c>
      <c r="AZ2151" s="12">
        <f>VLOOKUP(G2151,색인!$J$32:$K$45,2,FALSE)</f>
        <v>4</v>
      </c>
      <c r="BA2151" s="12" t="str">
        <f>_xlfn.IFNA(VLOOKUP(AY2151,표1[[검색용]:[OptionGroupIndex'[']22]],EquipItemTable!AZ2151,FALSE),"옵션고정안함")</f>
        <v>8431,8432</v>
      </c>
    </row>
    <row r="2152" spans="1:53" ht="12" x14ac:dyDescent="0.2">
      <c r="A2152" s="10" t="s">
        <v>2220</v>
      </c>
      <c r="B2152" s="39">
        <v>817011</v>
      </c>
      <c r="C2152" s="42" t="s">
        <v>4296</v>
      </c>
      <c r="D2152" s="86" t="s">
        <v>2953</v>
      </c>
      <c r="E2152" s="86" t="s">
        <v>1629</v>
      </c>
      <c r="F2152" s="32" t="s">
        <v>312</v>
      </c>
      <c r="G2152" s="32" t="s">
        <v>1630</v>
      </c>
      <c r="O2152" s="32">
        <v>8</v>
      </c>
      <c r="P2152" s="32">
        <v>81</v>
      </c>
      <c r="W2152" s="12" t="s">
        <v>2193</v>
      </c>
      <c r="X2152" s="12" t="s">
        <v>2193</v>
      </c>
      <c r="Y2152" s="12">
        <v>226962</v>
      </c>
      <c r="Z2152" s="12" t="s">
        <v>2193</v>
      </c>
      <c r="AA2152" s="12" t="s">
        <v>2193</v>
      </c>
      <c r="AB2152" s="12" t="s">
        <v>2193</v>
      </c>
      <c r="AD2152" s="12" t="s">
        <v>52</v>
      </c>
      <c r="AE2152" s="39" t="s">
        <v>2187</v>
      </c>
      <c r="AF2152" s="12" t="s">
        <v>2185</v>
      </c>
      <c r="AN2152" s="32">
        <v>6</v>
      </c>
      <c r="AU2152" s="12" t="s">
        <v>1936</v>
      </c>
      <c r="AW2152" s="39">
        <v>6</v>
      </c>
      <c r="AX2152" s="12">
        <f>VLOOKUP(AW2152,색인!$N$14:$O$19,2,FALSE)</f>
        <v>4</v>
      </c>
      <c r="AY2152" s="12" t="str">
        <f>"T"&amp;O2152&amp;"_"&amp;AX2152&amp;"옵션_"&amp;VLOOKUP(E2152,색인!$J$25:$K$29,2,FALSE)</f>
        <v>T8_4옵션_보주</v>
      </c>
      <c r="AZ2152" s="12">
        <f>VLOOKUP(G2152,색인!$J$32:$K$45,2,FALSE)</f>
        <v>4</v>
      </c>
      <c r="BA2152" s="12" t="str">
        <f>_xlfn.IFNA(VLOOKUP(AY2152,표1[[검색용]:[OptionGroupIndex'[']22]],EquipItemTable!AZ2152,FALSE),"옵션고정안함")</f>
        <v>8441,8442</v>
      </c>
    </row>
    <row r="2153" spans="1:53" s="33" customFormat="1" ht="12" x14ac:dyDescent="0.2">
      <c r="A2153" s="31" t="s">
        <v>2656</v>
      </c>
      <c r="B2153" s="39">
        <v>801012</v>
      </c>
      <c r="C2153" s="42" t="s">
        <v>3405</v>
      </c>
      <c r="D2153" s="86" t="s">
        <v>2954</v>
      </c>
      <c r="E2153" s="86" t="s">
        <v>0</v>
      </c>
      <c r="F2153" s="32" t="s">
        <v>436</v>
      </c>
      <c r="G2153" s="32" t="s">
        <v>1305</v>
      </c>
      <c r="H2153" s="32"/>
      <c r="I2153" s="32"/>
      <c r="J2153" s="32"/>
      <c r="K2153" s="32"/>
      <c r="L2153" s="32"/>
      <c r="M2153" s="32"/>
      <c r="N2153" s="8"/>
      <c r="O2153" s="32">
        <v>8</v>
      </c>
      <c r="P2153" s="32">
        <v>81</v>
      </c>
      <c r="Q2153" s="1"/>
      <c r="R2153" s="1"/>
      <c r="S2153" s="1"/>
      <c r="T2153" s="1"/>
      <c r="U2153" s="1"/>
      <c r="V2153" s="1"/>
      <c r="W2153" s="1">
        <v>6432</v>
      </c>
      <c r="X2153" s="1">
        <v>6432</v>
      </c>
      <c r="Y2153" s="1" t="s">
        <v>2193</v>
      </c>
      <c r="Z2153" s="1" t="s">
        <v>2193</v>
      </c>
      <c r="AA2153" s="1" t="s">
        <v>2193</v>
      </c>
      <c r="AB2153" s="1" t="s">
        <v>2193</v>
      </c>
      <c r="AC2153" s="8"/>
      <c r="AD2153" s="12" t="s">
        <v>52</v>
      </c>
      <c r="AE2153" s="39" t="str">
        <f t="shared" ref="AE2153:AE2184" si="241">BA2153</f>
        <v>8132</v>
      </c>
      <c r="AF2153" s="12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8"/>
      <c r="AR2153" s="34">
        <v>1</v>
      </c>
      <c r="AS2153" s="34">
        <v>1</v>
      </c>
      <c r="AT2153" s="8"/>
      <c r="AU2153" s="12" t="s">
        <v>1976</v>
      </c>
      <c r="AW2153" s="36">
        <v>2</v>
      </c>
      <c r="AX2153" s="33">
        <f>VLOOKUP(AW2153,색인!$N$14:$O$19,2,FALSE)</f>
        <v>1</v>
      </c>
      <c r="AY2153" s="36" t="str">
        <f>"T"&amp;O2153&amp;"_"&amp;AX2153&amp;"옵션_"&amp;VLOOKUP(E2153,색인!$J$25:$K$29,2,FALSE)</f>
        <v>T8_1옵션_장신구</v>
      </c>
      <c r="AZ2153" s="36">
        <f>VLOOKUP(G2153,색인!$J$32:$K$45,2,FALSE)</f>
        <v>3</v>
      </c>
      <c r="BA2153" s="36" t="str">
        <f>_xlfn.IFNA(VLOOKUP(AY2153,표1[[검색용]:[OptionGroupIndex'[']22]],EquipItemTable!AZ2153,FALSE),"옵션고정안함")</f>
        <v>8132</v>
      </c>
    </row>
    <row r="2154" spans="1:53" s="33" customFormat="1" ht="12" x14ac:dyDescent="0.2">
      <c r="A2154" s="31" t="s">
        <v>2657</v>
      </c>
      <c r="B2154" s="39">
        <v>801013</v>
      </c>
      <c r="C2154" s="42" t="s">
        <v>3434</v>
      </c>
      <c r="D2154" s="86" t="s">
        <v>2954</v>
      </c>
      <c r="E2154" s="86" t="s">
        <v>0</v>
      </c>
      <c r="F2154" s="32" t="s">
        <v>436</v>
      </c>
      <c r="G2154" s="32" t="s">
        <v>1305</v>
      </c>
      <c r="H2154" s="32"/>
      <c r="I2154" s="32"/>
      <c r="J2154" s="32"/>
      <c r="K2154" s="32"/>
      <c r="L2154" s="32"/>
      <c r="M2154" s="32"/>
      <c r="N2154" s="8"/>
      <c r="O2154" s="32">
        <v>8</v>
      </c>
      <c r="P2154" s="32">
        <v>81</v>
      </c>
      <c r="Q2154" s="1"/>
      <c r="R2154" s="1"/>
      <c r="S2154" s="1"/>
      <c r="T2154" s="1"/>
      <c r="U2154" s="1"/>
      <c r="V2154" s="1"/>
      <c r="W2154" s="1">
        <v>6845</v>
      </c>
      <c r="X2154" s="1">
        <v>6845</v>
      </c>
      <c r="Y2154" s="1" t="s">
        <v>2193</v>
      </c>
      <c r="Z2154" s="1" t="s">
        <v>2193</v>
      </c>
      <c r="AA2154" s="1" t="s">
        <v>2193</v>
      </c>
      <c r="AB2154" s="1" t="s">
        <v>2193</v>
      </c>
      <c r="AC2154" s="8"/>
      <c r="AD2154" s="12" t="s">
        <v>52</v>
      </c>
      <c r="AE2154" s="39" t="str">
        <f t="shared" si="241"/>
        <v>8232</v>
      </c>
      <c r="AF2154" s="12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8"/>
      <c r="AR2154" s="34">
        <v>1</v>
      </c>
      <c r="AS2154" s="34">
        <v>1</v>
      </c>
      <c r="AT2154" s="8"/>
      <c r="AU2154" s="12" t="s">
        <v>1978</v>
      </c>
      <c r="AW2154" s="36">
        <v>3</v>
      </c>
      <c r="AX2154" s="33">
        <f>VLOOKUP(AW2154,색인!$N$14:$O$19,2,FALSE)</f>
        <v>2</v>
      </c>
      <c r="AY2154" s="36" t="str">
        <f>"T"&amp;O2154&amp;"_"&amp;AX2154&amp;"옵션_"&amp;VLOOKUP(E2154,색인!$J$25:$K$29,2,FALSE)</f>
        <v>T8_2옵션_장신구</v>
      </c>
      <c r="AZ2154" s="36">
        <f>VLOOKUP(G2154,색인!$J$32:$K$45,2,FALSE)</f>
        <v>3</v>
      </c>
      <c r="BA2154" s="36" t="str">
        <f>_xlfn.IFNA(VLOOKUP(AY2154,표1[[검색용]:[OptionGroupIndex'[']22]],EquipItemTable!AZ2154,FALSE),"옵션고정안함")</f>
        <v>8232</v>
      </c>
    </row>
    <row r="2155" spans="1:53" s="33" customFormat="1" ht="12" x14ac:dyDescent="0.2">
      <c r="A2155" s="31" t="s">
        <v>2658</v>
      </c>
      <c r="B2155" s="39">
        <v>801014</v>
      </c>
      <c r="C2155" s="42" t="s">
        <v>3403</v>
      </c>
      <c r="D2155" s="86" t="s">
        <v>2954</v>
      </c>
      <c r="E2155" s="86" t="s">
        <v>0</v>
      </c>
      <c r="F2155" s="32" t="s">
        <v>436</v>
      </c>
      <c r="G2155" s="32" t="s">
        <v>1305</v>
      </c>
      <c r="H2155" s="32"/>
      <c r="I2155" s="32"/>
      <c r="J2155" s="32"/>
      <c r="K2155" s="32"/>
      <c r="L2155" s="32"/>
      <c r="M2155" s="32"/>
      <c r="N2155" s="8"/>
      <c r="O2155" s="32">
        <v>8</v>
      </c>
      <c r="P2155" s="32">
        <v>81</v>
      </c>
      <c r="Q2155" s="1"/>
      <c r="R2155" s="1"/>
      <c r="S2155" s="1"/>
      <c r="T2155" s="1"/>
      <c r="U2155" s="1"/>
      <c r="V2155" s="1"/>
      <c r="W2155" s="1">
        <v>7274</v>
      </c>
      <c r="X2155" s="1">
        <v>7274</v>
      </c>
      <c r="Y2155" s="1" t="s">
        <v>2193</v>
      </c>
      <c r="Z2155" s="1" t="s">
        <v>2193</v>
      </c>
      <c r="AA2155" s="1" t="s">
        <v>2193</v>
      </c>
      <c r="AB2155" s="1" t="s">
        <v>2193</v>
      </c>
      <c r="AC2155" s="8"/>
      <c r="AD2155" s="12" t="s">
        <v>52</v>
      </c>
      <c r="AE2155" s="39" t="str">
        <f t="shared" si="241"/>
        <v>8332</v>
      </c>
      <c r="AF2155" s="12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8"/>
      <c r="AR2155" s="34">
        <v>1</v>
      </c>
      <c r="AS2155" s="34">
        <v>1</v>
      </c>
      <c r="AT2155" s="8"/>
      <c r="AU2155" s="12" t="s">
        <v>1980</v>
      </c>
      <c r="AW2155" s="36">
        <v>4</v>
      </c>
      <c r="AX2155" s="33">
        <f>VLOOKUP(AW2155,색인!$N$14:$O$19,2,FALSE)</f>
        <v>3</v>
      </c>
      <c r="AY2155" s="36" t="str">
        <f>"T"&amp;O2155&amp;"_"&amp;AX2155&amp;"옵션_"&amp;VLOOKUP(E2155,색인!$J$25:$K$29,2,FALSE)</f>
        <v>T8_3옵션_장신구</v>
      </c>
      <c r="AZ2155" s="36">
        <f>VLOOKUP(G2155,색인!$J$32:$K$45,2,FALSE)</f>
        <v>3</v>
      </c>
      <c r="BA2155" s="36" t="str">
        <f>_xlfn.IFNA(VLOOKUP(AY2155,표1[[검색용]:[OptionGroupIndex'[']22]],EquipItemTable!AZ2155,FALSE),"옵션고정안함")</f>
        <v>8332</v>
      </c>
    </row>
    <row r="2156" spans="1:53" s="33" customFormat="1" ht="12" customHeight="1" x14ac:dyDescent="0.2">
      <c r="A2156" s="31" t="s">
        <v>2659</v>
      </c>
      <c r="B2156" s="39">
        <v>801015</v>
      </c>
      <c r="C2156" s="42" t="s">
        <v>3424</v>
      </c>
      <c r="D2156" s="86" t="s">
        <v>2954</v>
      </c>
      <c r="E2156" s="86" t="s">
        <v>0</v>
      </c>
      <c r="F2156" s="32" t="s">
        <v>436</v>
      </c>
      <c r="G2156" s="32" t="s">
        <v>1305</v>
      </c>
      <c r="H2156" s="32"/>
      <c r="I2156" s="32"/>
      <c r="J2156" s="32"/>
      <c r="K2156" s="32"/>
      <c r="L2156" s="32"/>
      <c r="M2156" s="32"/>
      <c r="N2156" s="8"/>
      <c r="O2156" s="32">
        <v>8</v>
      </c>
      <c r="P2156" s="32">
        <v>81</v>
      </c>
      <c r="Q2156" s="1"/>
      <c r="R2156" s="1"/>
      <c r="S2156" s="1"/>
      <c r="T2156" s="1"/>
      <c r="U2156" s="1"/>
      <c r="V2156" s="1"/>
      <c r="W2156" s="1">
        <v>7630</v>
      </c>
      <c r="X2156" s="1">
        <v>7630</v>
      </c>
      <c r="Y2156" s="1" t="s">
        <v>2193</v>
      </c>
      <c r="Z2156" s="1" t="s">
        <v>2193</v>
      </c>
      <c r="AA2156" s="1" t="s">
        <v>2193</v>
      </c>
      <c r="AB2156" s="1" t="s">
        <v>2193</v>
      </c>
      <c r="AC2156" s="8"/>
      <c r="AD2156" s="12" t="s">
        <v>52</v>
      </c>
      <c r="AE2156" s="39" t="str">
        <f t="shared" si="241"/>
        <v>8332</v>
      </c>
      <c r="AF2156" s="12"/>
      <c r="AG2156" s="12"/>
      <c r="AH2156" s="12"/>
      <c r="AI2156" s="12"/>
      <c r="AJ2156" s="12"/>
      <c r="AK2156" s="12"/>
      <c r="AL2156" s="12"/>
      <c r="AM2156" s="12"/>
      <c r="AN2156" s="12" t="s">
        <v>2834</v>
      </c>
      <c r="AO2156" s="12"/>
      <c r="AP2156" s="12"/>
      <c r="AQ2156" s="8"/>
      <c r="AR2156" s="34">
        <v>1</v>
      </c>
      <c r="AS2156" s="34">
        <v>1</v>
      </c>
      <c r="AT2156" s="8"/>
      <c r="AU2156" s="12" t="s">
        <v>1982</v>
      </c>
      <c r="AW2156" s="36">
        <v>5</v>
      </c>
      <c r="AX2156" s="33">
        <f>VLOOKUP(AW2156,색인!$N$14:$O$19,2,FALSE)</f>
        <v>3</v>
      </c>
      <c r="AY2156" s="36" t="str">
        <f>"T"&amp;O2156&amp;"_"&amp;AX2156&amp;"옵션_"&amp;VLOOKUP(E2156,색인!$J$25:$K$29,2,FALSE)</f>
        <v>T8_3옵션_장신구</v>
      </c>
      <c r="AZ2156" s="36">
        <f>VLOOKUP(G2156,색인!$J$32:$K$45,2,FALSE)</f>
        <v>3</v>
      </c>
      <c r="BA2156" s="36" t="str">
        <f>_xlfn.IFNA(VLOOKUP(AY2156,표1[[검색용]:[OptionGroupIndex'[']22]],EquipItemTable!AZ2156,FALSE),"옵션고정안함")</f>
        <v>8332</v>
      </c>
    </row>
    <row r="2157" spans="1:53" s="33" customFormat="1" ht="12" customHeight="1" x14ac:dyDescent="0.2">
      <c r="A2157" s="31" t="s">
        <v>2660</v>
      </c>
      <c r="B2157" s="39">
        <v>802012</v>
      </c>
      <c r="C2157" s="42" t="s">
        <v>3455</v>
      </c>
      <c r="D2157" s="86" t="s">
        <v>2954</v>
      </c>
      <c r="E2157" s="86" t="s">
        <v>0</v>
      </c>
      <c r="F2157" s="32" t="s">
        <v>928</v>
      </c>
      <c r="G2157" s="32" t="s">
        <v>1357</v>
      </c>
      <c r="H2157" s="32"/>
      <c r="I2157" s="32"/>
      <c r="J2157" s="32"/>
      <c r="K2157" s="32"/>
      <c r="L2157" s="32"/>
      <c r="M2157" s="32"/>
      <c r="N2157" s="8"/>
      <c r="O2157" s="32">
        <v>8</v>
      </c>
      <c r="P2157" s="32">
        <v>81</v>
      </c>
      <c r="Q2157" s="1"/>
      <c r="R2157" s="1"/>
      <c r="S2157" s="1"/>
      <c r="T2157" s="1"/>
      <c r="U2157" s="1"/>
      <c r="V2157" s="1"/>
      <c r="W2157" s="1">
        <v>7304</v>
      </c>
      <c r="X2157" s="1">
        <v>7304</v>
      </c>
      <c r="Y2157" s="1" t="s">
        <v>2193</v>
      </c>
      <c r="Z2157" s="1" t="s">
        <v>2193</v>
      </c>
      <c r="AA2157" s="1" t="s">
        <v>2193</v>
      </c>
      <c r="AB2157" s="1" t="s">
        <v>2193</v>
      </c>
      <c r="AC2157" s="8"/>
      <c r="AD2157" s="12" t="s">
        <v>52</v>
      </c>
      <c r="AE2157" s="39" t="str">
        <f t="shared" si="241"/>
        <v>8131</v>
      </c>
      <c r="AF2157" s="12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8"/>
      <c r="AR2157" s="34">
        <v>1</v>
      </c>
      <c r="AS2157" s="34">
        <v>1</v>
      </c>
      <c r="AT2157" s="8"/>
      <c r="AU2157" s="12" t="s">
        <v>1976</v>
      </c>
      <c r="AW2157" s="36">
        <v>2</v>
      </c>
      <c r="AX2157" s="33">
        <f>VLOOKUP(AW2157,색인!$N$14:$O$19,2,FALSE)</f>
        <v>1</v>
      </c>
      <c r="AY2157" s="36" t="str">
        <f>"T"&amp;O2157&amp;"_"&amp;AX2157&amp;"옵션_"&amp;VLOOKUP(E2157,색인!$J$25:$K$29,2,FALSE)</f>
        <v>T8_1옵션_장신구</v>
      </c>
      <c r="AZ2157" s="36">
        <f>VLOOKUP(G2157,색인!$J$32:$K$45,2,FALSE)</f>
        <v>2</v>
      </c>
      <c r="BA2157" s="36" t="str">
        <f>_xlfn.IFNA(VLOOKUP(AY2157,표1[[검색용]:[OptionGroupIndex'[']22]],EquipItemTable!AZ2157,FALSE),"옵션고정안함")</f>
        <v>8131</v>
      </c>
    </row>
    <row r="2158" spans="1:53" s="33" customFormat="1" ht="12" customHeight="1" x14ac:dyDescent="0.2">
      <c r="A2158" s="31" t="s">
        <v>2661</v>
      </c>
      <c r="B2158" s="39">
        <v>802013</v>
      </c>
      <c r="C2158" s="42" t="s">
        <v>3452</v>
      </c>
      <c r="D2158" s="86" t="s">
        <v>2954</v>
      </c>
      <c r="E2158" s="86" t="s">
        <v>0</v>
      </c>
      <c r="F2158" s="32" t="s">
        <v>928</v>
      </c>
      <c r="G2158" s="32" t="s">
        <v>1357</v>
      </c>
      <c r="H2158" s="32"/>
      <c r="I2158" s="32"/>
      <c r="J2158" s="32"/>
      <c r="K2158" s="32"/>
      <c r="L2158" s="32"/>
      <c r="M2158" s="32"/>
      <c r="N2158" s="8"/>
      <c r="O2158" s="32">
        <v>8</v>
      </c>
      <c r="P2158" s="32">
        <v>81</v>
      </c>
      <c r="Q2158" s="1"/>
      <c r="R2158" s="1"/>
      <c r="S2158" s="1"/>
      <c r="T2158" s="1"/>
      <c r="U2158" s="1"/>
      <c r="V2158" s="1"/>
      <c r="W2158" s="1">
        <v>7774</v>
      </c>
      <c r="X2158" s="1">
        <v>7774</v>
      </c>
      <c r="Y2158" s="1" t="s">
        <v>2193</v>
      </c>
      <c r="Z2158" s="1" t="s">
        <v>2193</v>
      </c>
      <c r="AA2158" s="1" t="s">
        <v>2193</v>
      </c>
      <c r="AB2158" s="1" t="s">
        <v>2193</v>
      </c>
      <c r="AC2158" s="8"/>
      <c r="AD2158" s="12" t="s">
        <v>52</v>
      </c>
      <c r="AE2158" s="39" t="str">
        <f t="shared" si="241"/>
        <v>8231</v>
      </c>
      <c r="AF2158" s="12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8"/>
      <c r="AR2158" s="34">
        <v>1</v>
      </c>
      <c r="AS2158" s="34">
        <v>1</v>
      </c>
      <c r="AT2158" s="8"/>
      <c r="AU2158" s="12" t="s">
        <v>1978</v>
      </c>
      <c r="AW2158" s="36">
        <v>3</v>
      </c>
      <c r="AX2158" s="33">
        <f>VLOOKUP(AW2158,색인!$N$14:$O$19,2,FALSE)</f>
        <v>2</v>
      </c>
      <c r="AY2158" s="36" t="str">
        <f>"T"&amp;O2158&amp;"_"&amp;AX2158&amp;"옵션_"&amp;VLOOKUP(E2158,색인!$J$25:$K$29,2,FALSE)</f>
        <v>T8_2옵션_장신구</v>
      </c>
      <c r="AZ2158" s="36">
        <f>VLOOKUP(G2158,색인!$J$32:$K$45,2,FALSE)</f>
        <v>2</v>
      </c>
      <c r="BA2158" s="36" t="str">
        <f>_xlfn.IFNA(VLOOKUP(AY2158,표1[[검색용]:[OptionGroupIndex'[']22]],EquipItemTable!AZ2158,FALSE),"옵션고정안함")</f>
        <v>8231</v>
      </c>
    </row>
    <row r="2159" spans="1:53" s="33" customFormat="1" ht="12" customHeight="1" x14ac:dyDescent="0.2">
      <c r="A2159" s="31" t="s">
        <v>2662</v>
      </c>
      <c r="B2159" s="39">
        <v>802014</v>
      </c>
      <c r="C2159" s="42" t="s">
        <v>3453</v>
      </c>
      <c r="D2159" s="86" t="s">
        <v>2954</v>
      </c>
      <c r="E2159" s="86" t="s">
        <v>0</v>
      </c>
      <c r="F2159" s="32" t="s">
        <v>928</v>
      </c>
      <c r="G2159" s="32" t="s">
        <v>1357</v>
      </c>
      <c r="H2159" s="32"/>
      <c r="I2159" s="32"/>
      <c r="J2159" s="32"/>
      <c r="K2159" s="32"/>
      <c r="L2159" s="32"/>
      <c r="M2159" s="32"/>
      <c r="N2159" s="8"/>
      <c r="O2159" s="32">
        <v>8</v>
      </c>
      <c r="P2159" s="32">
        <v>81</v>
      </c>
      <c r="Q2159" s="1"/>
      <c r="R2159" s="1"/>
      <c r="S2159" s="1"/>
      <c r="T2159" s="1"/>
      <c r="U2159" s="1"/>
      <c r="V2159" s="1"/>
      <c r="W2159" s="1">
        <v>8262</v>
      </c>
      <c r="X2159" s="1">
        <v>8262</v>
      </c>
      <c r="Y2159" s="1" t="s">
        <v>2193</v>
      </c>
      <c r="Z2159" s="1" t="s">
        <v>2193</v>
      </c>
      <c r="AA2159" s="1" t="s">
        <v>2193</v>
      </c>
      <c r="AB2159" s="1" t="s">
        <v>2193</v>
      </c>
      <c r="AC2159" s="8"/>
      <c r="AD2159" s="12" t="s">
        <v>52</v>
      </c>
      <c r="AE2159" s="39" t="str">
        <f t="shared" si="241"/>
        <v>8331</v>
      </c>
      <c r="AF2159" s="12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8"/>
      <c r="AR2159" s="34">
        <v>1</v>
      </c>
      <c r="AS2159" s="34">
        <v>1</v>
      </c>
      <c r="AT2159" s="8"/>
      <c r="AU2159" s="12" t="s">
        <v>1980</v>
      </c>
      <c r="AW2159" s="36">
        <v>4</v>
      </c>
      <c r="AX2159" s="33">
        <f>VLOOKUP(AW2159,색인!$N$14:$O$19,2,FALSE)</f>
        <v>3</v>
      </c>
      <c r="AY2159" s="36" t="str">
        <f>"T"&amp;O2159&amp;"_"&amp;AX2159&amp;"옵션_"&amp;VLOOKUP(E2159,색인!$J$25:$K$29,2,FALSE)</f>
        <v>T8_3옵션_장신구</v>
      </c>
      <c r="AZ2159" s="36">
        <f>VLOOKUP(G2159,색인!$J$32:$K$45,2,FALSE)</f>
        <v>2</v>
      </c>
      <c r="BA2159" s="36" t="str">
        <f>_xlfn.IFNA(VLOOKUP(AY2159,표1[[검색용]:[OptionGroupIndex'[']22]],EquipItemTable!AZ2159,FALSE),"옵션고정안함")</f>
        <v>8331</v>
      </c>
    </row>
    <row r="2160" spans="1:53" s="33" customFormat="1" ht="12" customHeight="1" x14ac:dyDescent="0.2">
      <c r="A2160" s="31" t="s">
        <v>2663</v>
      </c>
      <c r="B2160" s="39">
        <v>802015</v>
      </c>
      <c r="C2160" s="42" t="s">
        <v>3462</v>
      </c>
      <c r="D2160" s="86" t="s">
        <v>2954</v>
      </c>
      <c r="E2160" s="86" t="s">
        <v>0</v>
      </c>
      <c r="F2160" s="32" t="s">
        <v>928</v>
      </c>
      <c r="G2160" s="32" t="s">
        <v>1357</v>
      </c>
      <c r="H2160" s="32"/>
      <c r="I2160" s="32"/>
      <c r="J2160" s="32"/>
      <c r="K2160" s="32"/>
      <c r="L2160" s="32"/>
      <c r="M2160" s="32"/>
      <c r="N2160" s="8"/>
      <c r="O2160" s="32">
        <v>8</v>
      </c>
      <c r="P2160" s="32">
        <v>81</v>
      </c>
      <c r="Q2160" s="1"/>
      <c r="R2160" s="1"/>
      <c r="S2160" s="1"/>
      <c r="T2160" s="1"/>
      <c r="U2160" s="1"/>
      <c r="V2160" s="1"/>
      <c r="W2160" s="1">
        <v>8666</v>
      </c>
      <c r="X2160" s="1">
        <v>8666</v>
      </c>
      <c r="Y2160" s="1" t="s">
        <v>2193</v>
      </c>
      <c r="Z2160" s="1" t="s">
        <v>2193</v>
      </c>
      <c r="AA2160" s="1" t="s">
        <v>2193</v>
      </c>
      <c r="AB2160" s="1" t="s">
        <v>2193</v>
      </c>
      <c r="AC2160" s="8"/>
      <c r="AD2160" s="12" t="s">
        <v>52</v>
      </c>
      <c r="AE2160" s="39" t="str">
        <f t="shared" si="241"/>
        <v>8331</v>
      </c>
      <c r="AF2160" s="12"/>
      <c r="AG2160" s="12"/>
      <c r="AH2160" s="12"/>
      <c r="AI2160" s="12"/>
      <c r="AJ2160" s="12"/>
      <c r="AK2160" s="12"/>
      <c r="AL2160" s="12"/>
      <c r="AM2160" s="12"/>
      <c r="AN2160" s="12" t="s">
        <v>2834</v>
      </c>
      <c r="AO2160" s="12"/>
      <c r="AP2160" s="12"/>
      <c r="AQ2160" s="8"/>
      <c r="AR2160" s="34">
        <v>1</v>
      </c>
      <c r="AS2160" s="34">
        <v>1</v>
      </c>
      <c r="AT2160" s="8"/>
      <c r="AU2160" s="12" t="s">
        <v>1982</v>
      </c>
      <c r="AW2160" s="36">
        <v>5</v>
      </c>
      <c r="AX2160" s="33">
        <f>VLOOKUP(AW2160,색인!$N$14:$O$19,2,FALSE)</f>
        <v>3</v>
      </c>
      <c r="AY2160" s="36" t="str">
        <f>"T"&amp;O2160&amp;"_"&amp;AX2160&amp;"옵션_"&amp;VLOOKUP(E2160,색인!$J$25:$K$29,2,FALSE)</f>
        <v>T8_3옵션_장신구</v>
      </c>
      <c r="AZ2160" s="36">
        <f>VLOOKUP(G2160,색인!$J$32:$K$45,2,FALSE)</f>
        <v>2</v>
      </c>
      <c r="BA2160" s="36" t="str">
        <f>_xlfn.IFNA(VLOOKUP(AY2160,표1[[검색용]:[OptionGroupIndex'[']22]],EquipItemTable!AZ2160,FALSE),"옵션고정안함")</f>
        <v>8331</v>
      </c>
    </row>
    <row r="2161" spans="1:53" s="33" customFormat="1" ht="12" customHeight="1" x14ac:dyDescent="0.2">
      <c r="A2161" s="31" t="s">
        <v>2664</v>
      </c>
      <c r="B2161" s="39">
        <v>803012</v>
      </c>
      <c r="C2161" s="42" t="s">
        <v>3501</v>
      </c>
      <c r="D2161" s="86" t="s">
        <v>2954</v>
      </c>
      <c r="E2161" s="86" t="s">
        <v>0</v>
      </c>
      <c r="F2161" s="32" t="s">
        <v>310</v>
      </c>
      <c r="G2161" s="32" t="s">
        <v>1358</v>
      </c>
      <c r="H2161" s="32"/>
      <c r="I2161" s="32"/>
      <c r="J2161" s="32"/>
      <c r="K2161" s="32"/>
      <c r="L2161" s="32"/>
      <c r="M2161" s="32"/>
      <c r="N2161" s="8"/>
      <c r="O2161" s="32">
        <v>8</v>
      </c>
      <c r="P2161" s="32">
        <v>81</v>
      </c>
      <c r="Q2161" s="1"/>
      <c r="R2161" s="1"/>
      <c r="S2161" s="1"/>
      <c r="T2161" s="1"/>
      <c r="U2161" s="1"/>
      <c r="V2161" s="1"/>
      <c r="W2161" s="1">
        <v>8019</v>
      </c>
      <c r="X2161" s="1">
        <v>8019</v>
      </c>
      <c r="Y2161" s="1" t="s">
        <v>2193</v>
      </c>
      <c r="Z2161" s="1" t="s">
        <v>2193</v>
      </c>
      <c r="AA2161" s="1" t="s">
        <v>2193</v>
      </c>
      <c r="AB2161" s="1" t="s">
        <v>2193</v>
      </c>
      <c r="AC2161" s="8"/>
      <c r="AD2161" s="12" t="s">
        <v>52</v>
      </c>
      <c r="AE2161" s="39" t="str">
        <f t="shared" si="241"/>
        <v>8131</v>
      </c>
      <c r="AF2161" s="12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8"/>
      <c r="AR2161" s="34">
        <v>1</v>
      </c>
      <c r="AS2161" s="34">
        <v>1</v>
      </c>
      <c r="AT2161" s="8"/>
      <c r="AU2161" s="12" t="s">
        <v>1976</v>
      </c>
      <c r="AW2161" s="36">
        <v>2</v>
      </c>
      <c r="AX2161" s="33">
        <f>VLOOKUP(AW2161,색인!$N$14:$O$19,2,FALSE)</f>
        <v>1</v>
      </c>
      <c r="AY2161" s="36" t="str">
        <f>"T"&amp;O2161&amp;"_"&amp;AX2161&amp;"옵션_"&amp;VLOOKUP(E2161,색인!$J$25:$K$29,2,FALSE)</f>
        <v>T8_1옵션_장신구</v>
      </c>
      <c r="AZ2161" s="36">
        <f>VLOOKUP(G2161,색인!$J$32:$K$45,2,FALSE)</f>
        <v>2</v>
      </c>
      <c r="BA2161" s="36" t="str">
        <f>_xlfn.IFNA(VLOOKUP(AY2161,표1[[검색용]:[OptionGroupIndex'[']22]],EquipItemTable!AZ2161,FALSE),"옵션고정안함")</f>
        <v>8131</v>
      </c>
    </row>
    <row r="2162" spans="1:53" s="33" customFormat="1" ht="12" customHeight="1" x14ac:dyDescent="0.2">
      <c r="A2162" s="31" t="s">
        <v>2665</v>
      </c>
      <c r="B2162" s="39">
        <v>803013</v>
      </c>
      <c r="C2162" s="42" t="s">
        <v>3502</v>
      </c>
      <c r="D2162" s="86" t="s">
        <v>2954</v>
      </c>
      <c r="E2162" s="86" t="s">
        <v>0</v>
      </c>
      <c r="F2162" s="32" t="s">
        <v>310</v>
      </c>
      <c r="G2162" s="32" t="s">
        <v>1358</v>
      </c>
      <c r="H2162" s="32"/>
      <c r="I2162" s="32"/>
      <c r="J2162" s="32"/>
      <c r="K2162" s="32"/>
      <c r="L2162" s="32"/>
      <c r="M2162" s="32"/>
      <c r="N2162" s="8"/>
      <c r="O2162" s="32">
        <v>8</v>
      </c>
      <c r="P2162" s="32">
        <v>81</v>
      </c>
      <c r="Q2162" s="1"/>
      <c r="R2162" s="1"/>
      <c r="S2162" s="1"/>
      <c r="T2162" s="1"/>
      <c r="U2162" s="1"/>
      <c r="V2162" s="1"/>
      <c r="W2162" s="1">
        <v>8535</v>
      </c>
      <c r="X2162" s="1">
        <v>8535</v>
      </c>
      <c r="Y2162" s="1" t="s">
        <v>2193</v>
      </c>
      <c r="Z2162" s="1" t="s">
        <v>2193</v>
      </c>
      <c r="AA2162" s="1" t="s">
        <v>2193</v>
      </c>
      <c r="AB2162" s="1" t="s">
        <v>2193</v>
      </c>
      <c r="AC2162" s="8"/>
      <c r="AD2162" s="12" t="s">
        <v>52</v>
      </c>
      <c r="AE2162" s="39" t="str">
        <f t="shared" si="241"/>
        <v>8231</v>
      </c>
      <c r="AF2162" s="12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8"/>
      <c r="AR2162" s="34">
        <v>1</v>
      </c>
      <c r="AS2162" s="34">
        <v>1</v>
      </c>
      <c r="AT2162" s="8"/>
      <c r="AU2162" s="12" t="s">
        <v>1978</v>
      </c>
      <c r="AW2162" s="36">
        <v>3</v>
      </c>
      <c r="AX2162" s="33">
        <f>VLOOKUP(AW2162,색인!$N$14:$O$19,2,FALSE)</f>
        <v>2</v>
      </c>
      <c r="AY2162" s="36" t="str">
        <f>"T"&amp;O2162&amp;"_"&amp;AX2162&amp;"옵션_"&amp;VLOOKUP(E2162,색인!$J$25:$K$29,2,FALSE)</f>
        <v>T8_2옵션_장신구</v>
      </c>
      <c r="AZ2162" s="36">
        <f>VLOOKUP(G2162,색인!$J$32:$K$45,2,FALSE)</f>
        <v>2</v>
      </c>
      <c r="BA2162" s="36" t="str">
        <f>_xlfn.IFNA(VLOOKUP(AY2162,표1[[검색용]:[OptionGroupIndex'[']22]],EquipItemTable!AZ2162,FALSE),"옵션고정안함")</f>
        <v>8231</v>
      </c>
    </row>
    <row r="2163" spans="1:53" s="33" customFormat="1" ht="12" customHeight="1" x14ac:dyDescent="0.2">
      <c r="A2163" s="31" t="s">
        <v>2666</v>
      </c>
      <c r="B2163" s="39">
        <v>803014</v>
      </c>
      <c r="C2163" s="42" t="s">
        <v>4297</v>
      </c>
      <c r="D2163" s="86" t="s">
        <v>2954</v>
      </c>
      <c r="E2163" s="86" t="s">
        <v>0</v>
      </c>
      <c r="F2163" s="32" t="s">
        <v>310</v>
      </c>
      <c r="G2163" s="32" t="s">
        <v>1358</v>
      </c>
      <c r="H2163" s="32"/>
      <c r="I2163" s="32"/>
      <c r="J2163" s="32"/>
      <c r="K2163" s="32"/>
      <c r="L2163" s="32"/>
      <c r="M2163" s="32"/>
      <c r="N2163" s="8"/>
      <c r="O2163" s="32">
        <v>8</v>
      </c>
      <c r="P2163" s="32">
        <v>81</v>
      </c>
      <c r="Q2163" s="1"/>
      <c r="R2163" s="1"/>
      <c r="S2163" s="1"/>
      <c r="T2163" s="1"/>
      <c r="U2163" s="1"/>
      <c r="V2163" s="1"/>
      <c r="W2163" s="1">
        <v>9069</v>
      </c>
      <c r="X2163" s="1">
        <v>9069</v>
      </c>
      <c r="Y2163" s="1" t="s">
        <v>2193</v>
      </c>
      <c r="Z2163" s="1" t="s">
        <v>2193</v>
      </c>
      <c r="AA2163" s="1" t="s">
        <v>2193</v>
      </c>
      <c r="AB2163" s="1" t="s">
        <v>2193</v>
      </c>
      <c r="AC2163" s="8"/>
      <c r="AD2163" s="12" t="s">
        <v>52</v>
      </c>
      <c r="AE2163" s="39" t="str">
        <f t="shared" si="241"/>
        <v>8331</v>
      </c>
      <c r="AF2163" s="12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8"/>
      <c r="AR2163" s="34">
        <v>1</v>
      </c>
      <c r="AS2163" s="34">
        <v>1</v>
      </c>
      <c r="AT2163" s="8"/>
      <c r="AU2163" s="12" t="s">
        <v>1980</v>
      </c>
      <c r="AW2163" s="36">
        <v>4</v>
      </c>
      <c r="AX2163" s="33">
        <f>VLOOKUP(AW2163,색인!$N$14:$O$19,2,FALSE)</f>
        <v>3</v>
      </c>
      <c r="AY2163" s="36" t="str">
        <f>"T"&amp;O2163&amp;"_"&amp;AX2163&amp;"옵션_"&amp;VLOOKUP(E2163,색인!$J$25:$K$29,2,FALSE)</f>
        <v>T8_3옵션_장신구</v>
      </c>
      <c r="AZ2163" s="36">
        <f>VLOOKUP(G2163,색인!$J$32:$K$45,2,FALSE)</f>
        <v>2</v>
      </c>
      <c r="BA2163" s="36" t="str">
        <f>_xlfn.IFNA(VLOOKUP(AY2163,표1[[검색용]:[OptionGroupIndex'[']22]],EquipItemTable!AZ2163,FALSE),"옵션고정안함")</f>
        <v>8331</v>
      </c>
    </row>
    <row r="2164" spans="1:53" s="33" customFormat="1" ht="12" customHeight="1" x14ac:dyDescent="0.2">
      <c r="A2164" s="31" t="s">
        <v>2667</v>
      </c>
      <c r="B2164" s="39">
        <v>803015</v>
      </c>
      <c r="C2164" s="42" t="s">
        <v>3504</v>
      </c>
      <c r="D2164" s="86" t="s">
        <v>2954</v>
      </c>
      <c r="E2164" s="86" t="s">
        <v>0</v>
      </c>
      <c r="F2164" s="32" t="s">
        <v>310</v>
      </c>
      <c r="G2164" s="32" t="s">
        <v>1358</v>
      </c>
      <c r="H2164" s="32"/>
      <c r="I2164" s="32"/>
      <c r="J2164" s="32"/>
      <c r="K2164" s="32"/>
      <c r="L2164" s="32"/>
      <c r="M2164" s="32"/>
      <c r="N2164" s="8"/>
      <c r="O2164" s="32">
        <v>8</v>
      </c>
      <c r="P2164" s="32">
        <v>81</v>
      </c>
      <c r="Q2164" s="1"/>
      <c r="R2164" s="1"/>
      <c r="S2164" s="1"/>
      <c r="T2164" s="1"/>
      <c r="U2164" s="1"/>
      <c r="V2164" s="1"/>
      <c r="W2164" s="1">
        <v>9513</v>
      </c>
      <c r="X2164" s="1">
        <v>9513</v>
      </c>
      <c r="Y2164" s="1" t="s">
        <v>2193</v>
      </c>
      <c r="Z2164" s="1" t="s">
        <v>2193</v>
      </c>
      <c r="AA2164" s="1" t="s">
        <v>2193</v>
      </c>
      <c r="AB2164" s="1" t="s">
        <v>2193</v>
      </c>
      <c r="AC2164" s="8"/>
      <c r="AD2164" s="12" t="s">
        <v>52</v>
      </c>
      <c r="AE2164" s="39" t="str">
        <f t="shared" si="241"/>
        <v>8331</v>
      </c>
      <c r="AF2164" s="12"/>
      <c r="AG2164" s="12"/>
      <c r="AH2164" s="12"/>
      <c r="AI2164" s="12"/>
      <c r="AJ2164" s="12"/>
      <c r="AK2164" s="12"/>
      <c r="AL2164" s="12"/>
      <c r="AM2164" s="12"/>
      <c r="AN2164" s="12" t="s">
        <v>2834</v>
      </c>
      <c r="AO2164" s="12"/>
      <c r="AP2164" s="12"/>
      <c r="AQ2164" s="8"/>
      <c r="AR2164" s="34">
        <v>1</v>
      </c>
      <c r="AS2164" s="34">
        <v>1</v>
      </c>
      <c r="AT2164" s="8"/>
      <c r="AU2164" s="12" t="s">
        <v>1982</v>
      </c>
      <c r="AW2164" s="36">
        <v>5</v>
      </c>
      <c r="AX2164" s="33">
        <f>VLOOKUP(AW2164,색인!$N$14:$O$19,2,FALSE)</f>
        <v>3</v>
      </c>
      <c r="AY2164" s="36" t="str">
        <f>"T"&amp;O2164&amp;"_"&amp;AX2164&amp;"옵션_"&amp;VLOOKUP(E2164,색인!$J$25:$K$29,2,FALSE)</f>
        <v>T8_3옵션_장신구</v>
      </c>
      <c r="AZ2164" s="36">
        <f>VLOOKUP(G2164,색인!$J$32:$K$45,2,FALSE)</f>
        <v>2</v>
      </c>
      <c r="BA2164" s="36" t="str">
        <f>_xlfn.IFNA(VLOOKUP(AY2164,표1[[검색용]:[OptionGroupIndex'[']22]],EquipItemTable!AZ2164,FALSE),"옵션고정안함")</f>
        <v>8331</v>
      </c>
    </row>
    <row r="2165" spans="1:53" s="33" customFormat="1" ht="12" customHeight="1" x14ac:dyDescent="0.2">
      <c r="A2165" s="31" t="s">
        <v>2668</v>
      </c>
      <c r="B2165" s="39">
        <v>804012</v>
      </c>
      <c r="C2165" s="42" t="s">
        <v>37</v>
      </c>
      <c r="D2165" s="86" t="s">
        <v>2954</v>
      </c>
      <c r="E2165" s="86" t="s">
        <v>0</v>
      </c>
      <c r="F2165" s="32" t="s">
        <v>456</v>
      </c>
      <c r="G2165" s="32" t="s">
        <v>1396</v>
      </c>
      <c r="H2165" s="32"/>
      <c r="I2165" s="32"/>
      <c r="J2165" s="32"/>
      <c r="K2165" s="32"/>
      <c r="L2165" s="32"/>
      <c r="M2165" s="32"/>
      <c r="N2165" s="8"/>
      <c r="O2165" s="32">
        <v>8</v>
      </c>
      <c r="P2165" s="32">
        <v>81</v>
      </c>
      <c r="Q2165" s="1"/>
      <c r="R2165" s="1"/>
      <c r="S2165" s="1"/>
      <c r="T2165" s="1"/>
      <c r="U2165" s="1"/>
      <c r="V2165" s="1"/>
      <c r="W2165" s="1">
        <v>9050</v>
      </c>
      <c r="X2165" s="1">
        <v>9050</v>
      </c>
      <c r="Y2165" s="1" t="s">
        <v>2193</v>
      </c>
      <c r="Z2165" s="1" t="s">
        <v>2193</v>
      </c>
      <c r="AA2165" s="1" t="s">
        <v>2193</v>
      </c>
      <c r="AB2165" s="1" t="s">
        <v>2193</v>
      </c>
      <c r="AC2165" s="8"/>
      <c r="AD2165" s="12" t="s">
        <v>52</v>
      </c>
      <c r="AE2165" s="39" t="str">
        <f t="shared" si="241"/>
        <v>8131</v>
      </c>
      <c r="AF2165" s="12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8"/>
      <c r="AR2165" s="34">
        <v>1</v>
      </c>
      <c r="AS2165" s="34">
        <v>1</v>
      </c>
      <c r="AT2165" s="8"/>
      <c r="AU2165" s="12" t="s">
        <v>1976</v>
      </c>
      <c r="AW2165" s="36">
        <v>2</v>
      </c>
      <c r="AX2165" s="33">
        <f>VLOOKUP(AW2165,색인!$N$14:$O$19,2,FALSE)</f>
        <v>1</v>
      </c>
      <c r="AY2165" s="36" t="str">
        <f>"T"&amp;O2165&amp;"_"&amp;AX2165&amp;"옵션_"&amp;VLOOKUP(E2165,색인!$J$25:$K$29,2,FALSE)</f>
        <v>T8_1옵션_장신구</v>
      </c>
      <c r="AZ2165" s="36">
        <f>VLOOKUP(G2165,색인!$J$32:$K$45,2,FALSE)</f>
        <v>2</v>
      </c>
      <c r="BA2165" s="36" t="str">
        <f>_xlfn.IFNA(VLOOKUP(AY2165,표1[[검색용]:[OptionGroupIndex'[']22]],EquipItemTable!AZ2165,FALSE),"옵션고정안함")</f>
        <v>8131</v>
      </c>
    </row>
    <row r="2166" spans="1:53" s="33" customFormat="1" ht="12" customHeight="1" x14ac:dyDescent="0.2">
      <c r="A2166" s="31" t="s">
        <v>2669</v>
      </c>
      <c r="B2166" s="39">
        <v>804013</v>
      </c>
      <c r="C2166" s="42" t="s">
        <v>3519</v>
      </c>
      <c r="D2166" s="86" t="s">
        <v>2954</v>
      </c>
      <c r="E2166" s="86" t="s">
        <v>0</v>
      </c>
      <c r="F2166" s="32" t="s">
        <v>456</v>
      </c>
      <c r="G2166" s="32" t="s">
        <v>1396</v>
      </c>
      <c r="H2166" s="32"/>
      <c r="I2166" s="32"/>
      <c r="J2166" s="32"/>
      <c r="K2166" s="32"/>
      <c r="L2166" s="32"/>
      <c r="M2166" s="32"/>
      <c r="N2166" s="8"/>
      <c r="O2166" s="32">
        <v>8</v>
      </c>
      <c r="P2166" s="32">
        <v>81</v>
      </c>
      <c r="Q2166" s="1"/>
      <c r="R2166" s="1"/>
      <c r="S2166" s="1"/>
      <c r="T2166" s="1"/>
      <c r="U2166" s="1"/>
      <c r="V2166" s="1"/>
      <c r="W2166" s="1">
        <v>9633</v>
      </c>
      <c r="X2166" s="1">
        <v>9633</v>
      </c>
      <c r="Y2166" s="1" t="s">
        <v>2193</v>
      </c>
      <c r="Z2166" s="1" t="s">
        <v>2193</v>
      </c>
      <c r="AA2166" s="1" t="s">
        <v>2193</v>
      </c>
      <c r="AB2166" s="1" t="s">
        <v>2193</v>
      </c>
      <c r="AC2166" s="8"/>
      <c r="AD2166" s="12" t="s">
        <v>52</v>
      </c>
      <c r="AE2166" s="39" t="str">
        <f t="shared" si="241"/>
        <v>8231</v>
      </c>
      <c r="AF2166" s="12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8"/>
      <c r="AR2166" s="34">
        <v>1</v>
      </c>
      <c r="AS2166" s="34">
        <v>1</v>
      </c>
      <c r="AT2166" s="8"/>
      <c r="AU2166" s="12" t="s">
        <v>1978</v>
      </c>
      <c r="AW2166" s="36">
        <v>3</v>
      </c>
      <c r="AX2166" s="33">
        <f>VLOOKUP(AW2166,색인!$N$14:$O$19,2,FALSE)</f>
        <v>2</v>
      </c>
      <c r="AY2166" s="36" t="str">
        <f>"T"&amp;O2166&amp;"_"&amp;AX2166&amp;"옵션_"&amp;VLOOKUP(E2166,색인!$J$25:$K$29,2,FALSE)</f>
        <v>T8_2옵션_장신구</v>
      </c>
      <c r="AZ2166" s="36">
        <f>VLOOKUP(G2166,색인!$J$32:$K$45,2,FALSE)</f>
        <v>2</v>
      </c>
      <c r="BA2166" s="36" t="str">
        <f>_xlfn.IFNA(VLOOKUP(AY2166,표1[[검색용]:[OptionGroupIndex'[']22]],EquipItemTable!AZ2166,FALSE),"옵션고정안함")</f>
        <v>8231</v>
      </c>
    </row>
    <row r="2167" spans="1:53" s="33" customFormat="1" ht="12" customHeight="1" x14ac:dyDescent="0.2">
      <c r="A2167" s="31" t="s">
        <v>2670</v>
      </c>
      <c r="B2167" s="39">
        <v>804014</v>
      </c>
      <c r="C2167" s="42" t="s">
        <v>3532</v>
      </c>
      <c r="D2167" s="86" t="s">
        <v>2954</v>
      </c>
      <c r="E2167" s="86" t="s">
        <v>0</v>
      </c>
      <c r="F2167" s="32" t="s">
        <v>456</v>
      </c>
      <c r="G2167" s="32" t="s">
        <v>1396</v>
      </c>
      <c r="H2167" s="32"/>
      <c r="I2167" s="32"/>
      <c r="J2167" s="32"/>
      <c r="K2167" s="32"/>
      <c r="L2167" s="32"/>
      <c r="M2167" s="32"/>
      <c r="N2167" s="8"/>
      <c r="O2167" s="32">
        <v>8</v>
      </c>
      <c r="P2167" s="32">
        <v>81</v>
      </c>
      <c r="Q2167" s="1"/>
      <c r="R2167" s="1"/>
      <c r="S2167" s="1"/>
      <c r="T2167" s="1"/>
      <c r="U2167" s="1"/>
      <c r="V2167" s="1"/>
      <c r="W2167" s="1">
        <v>10237</v>
      </c>
      <c r="X2167" s="1">
        <v>10237</v>
      </c>
      <c r="Y2167" s="1" t="s">
        <v>2193</v>
      </c>
      <c r="Z2167" s="1" t="s">
        <v>2193</v>
      </c>
      <c r="AA2167" s="1" t="s">
        <v>2193</v>
      </c>
      <c r="AB2167" s="1" t="s">
        <v>2193</v>
      </c>
      <c r="AC2167" s="8"/>
      <c r="AD2167" s="12" t="s">
        <v>52</v>
      </c>
      <c r="AE2167" s="39" t="str">
        <f t="shared" si="241"/>
        <v>8331</v>
      </c>
      <c r="AF2167" s="12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8"/>
      <c r="AR2167" s="34">
        <v>1</v>
      </c>
      <c r="AS2167" s="34">
        <v>1</v>
      </c>
      <c r="AT2167" s="8"/>
      <c r="AU2167" s="12" t="s">
        <v>1980</v>
      </c>
      <c r="AW2167" s="36">
        <v>4</v>
      </c>
      <c r="AX2167" s="33">
        <f>VLOOKUP(AW2167,색인!$N$14:$O$19,2,FALSE)</f>
        <v>3</v>
      </c>
      <c r="AY2167" s="36" t="str">
        <f>"T"&amp;O2167&amp;"_"&amp;AX2167&amp;"옵션_"&amp;VLOOKUP(E2167,색인!$J$25:$K$29,2,FALSE)</f>
        <v>T8_3옵션_장신구</v>
      </c>
      <c r="AZ2167" s="36">
        <f>VLOOKUP(G2167,색인!$J$32:$K$45,2,FALSE)</f>
        <v>2</v>
      </c>
      <c r="BA2167" s="36" t="str">
        <f>_xlfn.IFNA(VLOOKUP(AY2167,표1[[검색용]:[OptionGroupIndex'[']22]],EquipItemTable!AZ2167,FALSE),"옵션고정안함")</f>
        <v>8331</v>
      </c>
    </row>
    <row r="2168" spans="1:53" s="33" customFormat="1" ht="12" customHeight="1" x14ac:dyDescent="0.2">
      <c r="A2168" s="31" t="s">
        <v>2671</v>
      </c>
      <c r="B2168" s="39">
        <v>804015</v>
      </c>
      <c r="C2168" s="42" t="s">
        <v>3539</v>
      </c>
      <c r="D2168" s="86" t="s">
        <v>2954</v>
      </c>
      <c r="E2168" s="86" t="s">
        <v>0</v>
      </c>
      <c r="F2168" s="32" t="s">
        <v>456</v>
      </c>
      <c r="G2168" s="32" t="s">
        <v>1396</v>
      </c>
      <c r="H2168" s="32"/>
      <c r="I2168" s="32"/>
      <c r="J2168" s="32"/>
      <c r="K2168" s="32"/>
      <c r="L2168" s="32"/>
      <c r="M2168" s="32"/>
      <c r="N2168" s="8"/>
      <c r="O2168" s="32">
        <v>8</v>
      </c>
      <c r="P2168" s="32">
        <v>81</v>
      </c>
      <c r="Q2168" s="1"/>
      <c r="R2168" s="1"/>
      <c r="S2168" s="1"/>
      <c r="T2168" s="1"/>
      <c r="U2168" s="1"/>
      <c r="V2168" s="1"/>
      <c r="W2168" s="1">
        <v>10738</v>
      </c>
      <c r="X2168" s="1">
        <v>10738</v>
      </c>
      <c r="Y2168" s="1" t="s">
        <v>2193</v>
      </c>
      <c r="Z2168" s="1" t="s">
        <v>2193</v>
      </c>
      <c r="AA2168" s="1" t="s">
        <v>2193</v>
      </c>
      <c r="AB2168" s="1" t="s">
        <v>2193</v>
      </c>
      <c r="AC2168" s="8"/>
      <c r="AD2168" s="12" t="s">
        <v>52</v>
      </c>
      <c r="AE2168" s="39" t="str">
        <f t="shared" si="241"/>
        <v>8331</v>
      </c>
      <c r="AF2168" s="12"/>
      <c r="AG2168" s="12"/>
      <c r="AH2168" s="12"/>
      <c r="AI2168" s="12"/>
      <c r="AJ2168" s="12"/>
      <c r="AK2168" s="12"/>
      <c r="AL2168" s="12"/>
      <c r="AM2168" s="12"/>
      <c r="AN2168" s="12" t="s">
        <v>2834</v>
      </c>
      <c r="AO2168" s="12"/>
      <c r="AP2168" s="12"/>
      <c r="AQ2168" s="8"/>
      <c r="AR2168" s="34">
        <v>1</v>
      </c>
      <c r="AS2168" s="34">
        <v>1</v>
      </c>
      <c r="AT2168" s="8"/>
      <c r="AU2168" s="12" t="s">
        <v>1982</v>
      </c>
      <c r="AW2168" s="36">
        <v>5</v>
      </c>
      <c r="AX2168" s="33">
        <f>VLOOKUP(AW2168,색인!$N$14:$O$19,2,FALSE)</f>
        <v>3</v>
      </c>
      <c r="AY2168" s="36" t="str">
        <f>"T"&amp;O2168&amp;"_"&amp;AX2168&amp;"옵션_"&amp;VLOOKUP(E2168,색인!$J$25:$K$29,2,FALSE)</f>
        <v>T8_3옵션_장신구</v>
      </c>
      <c r="AZ2168" s="36">
        <f>VLOOKUP(G2168,색인!$J$32:$K$45,2,FALSE)</f>
        <v>2</v>
      </c>
      <c r="BA2168" s="36" t="str">
        <f>_xlfn.IFNA(VLOOKUP(AY2168,표1[[검색용]:[OptionGroupIndex'[']22]],EquipItemTable!AZ2168,FALSE),"옵션고정안함")</f>
        <v>8331</v>
      </c>
    </row>
    <row r="2169" spans="1:53" s="33" customFormat="1" ht="12" customHeight="1" x14ac:dyDescent="0.2">
      <c r="A2169" s="31" t="s">
        <v>2672</v>
      </c>
      <c r="B2169" s="39">
        <v>805012</v>
      </c>
      <c r="C2169" s="42" t="s">
        <v>3590</v>
      </c>
      <c r="D2169" s="86" t="s">
        <v>2954</v>
      </c>
      <c r="E2169" s="86" t="s">
        <v>0</v>
      </c>
      <c r="F2169" s="32" t="s">
        <v>927</v>
      </c>
      <c r="G2169" s="32" t="s">
        <v>1415</v>
      </c>
      <c r="H2169" s="32"/>
      <c r="I2169" s="32"/>
      <c r="J2169" s="32"/>
      <c r="K2169" s="32"/>
      <c r="L2169" s="32"/>
      <c r="M2169" s="32"/>
      <c r="N2169" s="8"/>
      <c r="O2169" s="32">
        <v>8</v>
      </c>
      <c r="P2169" s="32">
        <v>81</v>
      </c>
      <c r="Q2169" s="1"/>
      <c r="R2169" s="1"/>
      <c r="S2169" s="1"/>
      <c r="T2169" s="1"/>
      <c r="U2169" s="1"/>
      <c r="V2169" s="1"/>
      <c r="W2169" s="1">
        <v>8257</v>
      </c>
      <c r="X2169" s="1">
        <v>8257</v>
      </c>
      <c r="Y2169" s="1" t="s">
        <v>2193</v>
      </c>
      <c r="Z2169" s="1" t="s">
        <v>2193</v>
      </c>
      <c r="AA2169" s="1" t="s">
        <v>2193</v>
      </c>
      <c r="AB2169" s="1" t="s">
        <v>2193</v>
      </c>
      <c r="AC2169" s="8"/>
      <c r="AD2169" s="12" t="s">
        <v>52</v>
      </c>
      <c r="AE2169" s="39" t="str">
        <f t="shared" si="241"/>
        <v>8131</v>
      </c>
      <c r="AF2169" s="12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8"/>
      <c r="AR2169" s="34">
        <v>1</v>
      </c>
      <c r="AS2169" s="34">
        <v>1</v>
      </c>
      <c r="AT2169" s="8"/>
      <c r="AU2169" s="12" t="s">
        <v>1976</v>
      </c>
      <c r="AW2169" s="36">
        <v>2</v>
      </c>
      <c r="AX2169" s="33">
        <f>VLOOKUP(AW2169,색인!$N$14:$O$19,2,FALSE)</f>
        <v>1</v>
      </c>
      <c r="AY2169" s="36" t="str">
        <f>"T"&amp;O2169&amp;"_"&amp;AX2169&amp;"옵션_"&amp;VLOOKUP(E2169,색인!$J$25:$K$29,2,FALSE)</f>
        <v>T8_1옵션_장신구</v>
      </c>
      <c r="AZ2169" s="36">
        <f>VLOOKUP(G2169,색인!$J$32:$K$45,2,FALSE)</f>
        <v>2</v>
      </c>
      <c r="BA2169" s="36" t="str">
        <f>_xlfn.IFNA(VLOOKUP(AY2169,표1[[검색용]:[OptionGroupIndex'[']22]],EquipItemTable!AZ2169,FALSE),"옵션고정안함")</f>
        <v>8131</v>
      </c>
    </row>
    <row r="2170" spans="1:53" s="33" customFormat="1" ht="12" customHeight="1" x14ac:dyDescent="0.2">
      <c r="A2170" s="31" t="s">
        <v>2673</v>
      </c>
      <c r="B2170" s="39">
        <v>805013</v>
      </c>
      <c r="C2170" s="42" t="s">
        <v>3571</v>
      </c>
      <c r="D2170" s="86" t="s">
        <v>2954</v>
      </c>
      <c r="E2170" s="86" t="s">
        <v>0</v>
      </c>
      <c r="F2170" s="32" t="s">
        <v>927</v>
      </c>
      <c r="G2170" s="32" t="s">
        <v>1415</v>
      </c>
      <c r="H2170" s="32"/>
      <c r="I2170" s="32"/>
      <c r="J2170" s="32"/>
      <c r="K2170" s="32"/>
      <c r="L2170" s="32"/>
      <c r="M2170" s="32"/>
      <c r="N2170" s="8"/>
      <c r="O2170" s="32">
        <v>8</v>
      </c>
      <c r="P2170" s="32">
        <v>81</v>
      </c>
      <c r="Q2170" s="1"/>
      <c r="R2170" s="1"/>
      <c r="S2170" s="1"/>
      <c r="T2170" s="1"/>
      <c r="U2170" s="1"/>
      <c r="V2170" s="1"/>
      <c r="W2170" s="1">
        <v>8788</v>
      </c>
      <c r="X2170" s="1">
        <v>8788</v>
      </c>
      <c r="Y2170" s="1" t="s">
        <v>2193</v>
      </c>
      <c r="Z2170" s="1" t="s">
        <v>2193</v>
      </c>
      <c r="AA2170" s="1" t="s">
        <v>2193</v>
      </c>
      <c r="AB2170" s="1" t="s">
        <v>2193</v>
      </c>
      <c r="AC2170" s="8"/>
      <c r="AD2170" s="12" t="s">
        <v>52</v>
      </c>
      <c r="AE2170" s="39" t="str">
        <f t="shared" si="241"/>
        <v>8231</v>
      </c>
      <c r="AF2170" s="12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8"/>
      <c r="AR2170" s="34">
        <v>1</v>
      </c>
      <c r="AS2170" s="34">
        <v>1</v>
      </c>
      <c r="AT2170" s="8"/>
      <c r="AU2170" s="12" t="s">
        <v>1978</v>
      </c>
      <c r="AW2170" s="36">
        <v>3</v>
      </c>
      <c r="AX2170" s="33">
        <f>VLOOKUP(AW2170,색인!$N$14:$O$19,2,FALSE)</f>
        <v>2</v>
      </c>
      <c r="AY2170" s="36" t="str">
        <f>"T"&amp;O2170&amp;"_"&amp;AX2170&amp;"옵션_"&amp;VLOOKUP(E2170,색인!$J$25:$K$29,2,FALSE)</f>
        <v>T8_2옵션_장신구</v>
      </c>
      <c r="AZ2170" s="36">
        <f>VLOOKUP(G2170,색인!$J$32:$K$45,2,FALSE)</f>
        <v>2</v>
      </c>
      <c r="BA2170" s="36" t="str">
        <f>_xlfn.IFNA(VLOOKUP(AY2170,표1[[검색용]:[OptionGroupIndex'[']22]],EquipItemTable!AZ2170,FALSE),"옵션고정안함")</f>
        <v>8231</v>
      </c>
    </row>
    <row r="2171" spans="1:53" s="33" customFormat="1" ht="12" customHeight="1" x14ac:dyDescent="0.2">
      <c r="A2171" s="31" t="s">
        <v>2674</v>
      </c>
      <c r="B2171" s="39">
        <v>805014</v>
      </c>
      <c r="C2171" s="42" t="s">
        <v>3564</v>
      </c>
      <c r="D2171" s="86" t="s">
        <v>2954</v>
      </c>
      <c r="E2171" s="86" t="s">
        <v>0</v>
      </c>
      <c r="F2171" s="32" t="s">
        <v>927</v>
      </c>
      <c r="G2171" s="32" t="s">
        <v>1415</v>
      </c>
      <c r="H2171" s="32"/>
      <c r="I2171" s="32"/>
      <c r="J2171" s="32"/>
      <c r="K2171" s="32"/>
      <c r="L2171" s="32"/>
      <c r="M2171" s="32"/>
      <c r="N2171" s="8"/>
      <c r="O2171" s="32">
        <v>8</v>
      </c>
      <c r="P2171" s="32">
        <v>81</v>
      </c>
      <c r="Q2171" s="1"/>
      <c r="R2171" s="1"/>
      <c r="S2171" s="1"/>
      <c r="T2171" s="1"/>
      <c r="U2171" s="1"/>
      <c r="V2171" s="1"/>
      <c r="W2171" s="1">
        <v>9339</v>
      </c>
      <c r="X2171" s="1">
        <v>9339</v>
      </c>
      <c r="Y2171" s="1" t="s">
        <v>2193</v>
      </c>
      <c r="Z2171" s="1" t="s">
        <v>2193</v>
      </c>
      <c r="AA2171" s="1" t="s">
        <v>2193</v>
      </c>
      <c r="AB2171" s="1" t="s">
        <v>2193</v>
      </c>
      <c r="AC2171" s="8"/>
      <c r="AD2171" s="12" t="s">
        <v>52</v>
      </c>
      <c r="AE2171" s="39" t="str">
        <f t="shared" si="241"/>
        <v>8331</v>
      </c>
      <c r="AF2171" s="12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8"/>
      <c r="AR2171" s="34">
        <v>1</v>
      </c>
      <c r="AS2171" s="34">
        <v>1</v>
      </c>
      <c r="AT2171" s="8"/>
      <c r="AU2171" s="12" t="s">
        <v>1980</v>
      </c>
      <c r="AW2171" s="36">
        <v>4</v>
      </c>
      <c r="AX2171" s="33">
        <f>VLOOKUP(AW2171,색인!$N$14:$O$19,2,FALSE)</f>
        <v>3</v>
      </c>
      <c r="AY2171" s="36" t="str">
        <f>"T"&amp;O2171&amp;"_"&amp;AX2171&amp;"옵션_"&amp;VLOOKUP(E2171,색인!$J$25:$K$29,2,FALSE)</f>
        <v>T8_3옵션_장신구</v>
      </c>
      <c r="AZ2171" s="36">
        <f>VLOOKUP(G2171,색인!$J$32:$K$45,2,FALSE)</f>
        <v>2</v>
      </c>
      <c r="BA2171" s="36" t="str">
        <f>_xlfn.IFNA(VLOOKUP(AY2171,표1[[검색용]:[OptionGroupIndex'[']22]],EquipItemTable!AZ2171,FALSE),"옵션고정안함")</f>
        <v>8331</v>
      </c>
    </row>
    <row r="2172" spans="1:53" s="33" customFormat="1" ht="12" customHeight="1" x14ac:dyDescent="0.2">
      <c r="A2172" s="31" t="s">
        <v>2675</v>
      </c>
      <c r="B2172" s="39">
        <v>805015</v>
      </c>
      <c r="C2172" s="42" t="s">
        <v>3581</v>
      </c>
      <c r="D2172" s="86" t="s">
        <v>2954</v>
      </c>
      <c r="E2172" s="86" t="s">
        <v>0</v>
      </c>
      <c r="F2172" s="32" t="s">
        <v>927</v>
      </c>
      <c r="G2172" s="32" t="s">
        <v>1415</v>
      </c>
      <c r="H2172" s="32"/>
      <c r="I2172" s="32"/>
      <c r="J2172" s="32"/>
      <c r="K2172" s="32"/>
      <c r="L2172" s="32"/>
      <c r="M2172" s="32"/>
      <c r="N2172" s="8"/>
      <c r="O2172" s="32">
        <v>8</v>
      </c>
      <c r="P2172" s="32">
        <v>81</v>
      </c>
      <c r="Q2172" s="1"/>
      <c r="R2172" s="1"/>
      <c r="S2172" s="1"/>
      <c r="T2172" s="1"/>
      <c r="U2172" s="1"/>
      <c r="V2172" s="1"/>
      <c r="W2172" s="1">
        <v>9797</v>
      </c>
      <c r="X2172" s="1">
        <v>9797</v>
      </c>
      <c r="Y2172" s="1" t="s">
        <v>2193</v>
      </c>
      <c r="Z2172" s="1" t="s">
        <v>2193</v>
      </c>
      <c r="AA2172" s="1" t="s">
        <v>2193</v>
      </c>
      <c r="AB2172" s="1" t="s">
        <v>2193</v>
      </c>
      <c r="AC2172" s="8"/>
      <c r="AD2172" s="12" t="s">
        <v>52</v>
      </c>
      <c r="AE2172" s="39" t="str">
        <f t="shared" si="241"/>
        <v>8331</v>
      </c>
      <c r="AF2172" s="12"/>
      <c r="AG2172" s="12"/>
      <c r="AH2172" s="12"/>
      <c r="AI2172" s="12"/>
      <c r="AJ2172" s="12"/>
      <c r="AK2172" s="12"/>
      <c r="AL2172" s="12"/>
      <c r="AM2172" s="12"/>
      <c r="AN2172" s="12" t="s">
        <v>2834</v>
      </c>
      <c r="AO2172" s="12"/>
      <c r="AP2172" s="12"/>
      <c r="AQ2172" s="8"/>
      <c r="AR2172" s="34">
        <v>1</v>
      </c>
      <c r="AS2172" s="34">
        <v>1</v>
      </c>
      <c r="AT2172" s="8"/>
      <c r="AU2172" s="12" t="s">
        <v>1982</v>
      </c>
      <c r="AW2172" s="36">
        <v>5</v>
      </c>
      <c r="AX2172" s="33">
        <f>VLOOKUP(AW2172,색인!$N$14:$O$19,2,FALSE)</f>
        <v>3</v>
      </c>
      <c r="AY2172" s="36" t="str">
        <f>"T"&amp;O2172&amp;"_"&amp;AX2172&amp;"옵션_"&amp;VLOOKUP(E2172,색인!$J$25:$K$29,2,FALSE)</f>
        <v>T8_3옵션_장신구</v>
      </c>
      <c r="AZ2172" s="36">
        <f>VLOOKUP(G2172,색인!$J$32:$K$45,2,FALSE)</f>
        <v>2</v>
      </c>
      <c r="BA2172" s="36" t="str">
        <f>_xlfn.IFNA(VLOOKUP(AY2172,표1[[검색용]:[OptionGroupIndex'[']22]],EquipItemTable!AZ2172,FALSE),"옵션고정안함")</f>
        <v>8331</v>
      </c>
    </row>
    <row r="2173" spans="1:53" s="33" customFormat="1" ht="12" customHeight="1" x14ac:dyDescent="0.2">
      <c r="A2173" s="31" t="s">
        <v>2676</v>
      </c>
      <c r="B2173" s="39">
        <v>806012</v>
      </c>
      <c r="C2173" s="42" t="s">
        <v>3625</v>
      </c>
      <c r="D2173" s="86" t="s">
        <v>2954</v>
      </c>
      <c r="E2173" s="86" t="s">
        <v>0</v>
      </c>
      <c r="F2173" s="32" t="s">
        <v>471</v>
      </c>
      <c r="G2173" s="32" t="s">
        <v>1434</v>
      </c>
      <c r="H2173" s="32"/>
      <c r="I2173" s="32"/>
      <c r="J2173" s="32"/>
      <c r="K2173" s="32"/>
      <c r="L2173" s="32"/>
      <c r="M2173" s="32"/>
      <c r="N2173" s="8"/>
      <c r="O2173" s="32">
        <v>8</v>
      </c>
      <c r="P2173" s="32">
        <v>81</v>
      </c>
      <c r="Q2173" s="1"/>
      <c r="R2173" s="1"/>
      <c r="S2173" s="1"/>
      <c r="T2173" s="1"/>
      <c r="U2173" s="1"/>
      <c r="V2173" s="1"/>
      <c r="W2173" s="1">
        <v>8416</v>
      </c>
      <c r="X2173" s="1">
        <v>8416</v>
      </c>
      <c r="Y2173" s="1" t="s">
        <v>2193</v>
      </c>
      <c r="Z2173" s="1" t="s">
        <v>2193</v>
      </c>
      <c r="AA2173" s="1" t="s">
        <v>2193</v>
      </c>
      <c r="AB2173" s="1" t="s">
        <v>2193</v>
      </c>
      <c r="AC2173" s="8"/>
      <c r="AD2173" s="12" t="s">
        <v>52</v>
      </c>
      <c r="AE2173" s="39" t="str">
        <f t="shared" si="241"/>
        <v>8131</v>
      </c>
      <c r="AF2173" s="12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8"/>
      <c r="AR2173" s="34">
        <v>1</v>
      </c>
      <c r="AS2173" s="34">
        <v>1</v>
      </c>
      <c r="AT2173" s="8"/>
      <c r="AU2173" s="12" t="s">
        <v>1976</v>
      </c>
      <c r="AW2173" s="36">
        <v>2</v>
      </c>
      <c r="AX2173" s="33">
        <f>VLOOKUP(AW2173,색인!$N$14:$O$19,2,FALSE)</f>
        <v>1</v>
      </c>
      <c r="AY2173" s="36" t="str">
        <f>"T"&amp;O2173&amp;"_"&amp;AX2173&amp;"옵션_"&amp;VLOOKUP(E2173,색인!$J$25:$K$29,2,FALSE)</f>
        <v>T8_1옵션_장신구</v>
      </c>
      <c r="AZ2173" s="36">
        <f>VLOOKUP(G2173,색인!$J$32:$K$45,2,FALSE)</f>
        <v>2</v>
      </c>
      <c r="BA2173" s="36" t="str">
        <f>_xlfn.IFNA(VLOOKUP(AY2173,표1[[검색용]:[OptionGroupIndex'[']22]],EquipItemTable!AZ2173,FALSE),"옵션고정안함")</f>
        <v>8131</v>
      </c>
    </row>
    <row r="2174" spans="1:53" s="33" customFormat="1" ht="12" customHeight="1" x14ac:dyDescent="0.2">
      <c r="A2174" s="31" t="s">
        <v>2677</v>
      </c>
      <c r="B2174" s="39">
        <v>806013</v>
      </c>
      <c r="C2174" s="42" t="s">
        <v>30</v>
      </c>
      <c r="D2174" s="86" t="s">
        <v>2954</v>
      </c>
      <c r="E2174" s="86" t="s">
        <v>0</v>
      </c>
      <c r="F2174" s="32" t="s">
        <v>471</v>
      </c>
      <c r="G2174" s="32" t="s">
        <v>1434</v>
      </c>
      <c r="H2174" s="32"/>
      <c r="I2174" s="32"/>
      <c r="J2174" s="32"/>
      <c r="K2174" s="32"/>
      <c r="L2174" s="32"/>
      <c r="M2174" s="32"/>
      <c r="N2174" s="8"/>
      <c r="O2174" s="32">
        <v>8</v>
      </c>
      <c r="P2174" s="32">
        <v>81</v>
      </c>
      <c r="Q2174" s="1"/>
      <c r="R2174" s="1"/>
      <c r="S2174" s="1"/>
      <c r="T2174" s="1"/>
      <c r="U2174" s="1"/>
      <c r="V2174" s="1"/>
      <c r="W2174" s="1">
        <v>8957</v>
      </c>
      <c r="X2174" s="1">
        <v>8957</v>
      </c>
      <c r="Y2174" s="1" t="s">
        <v>2193</v>
      </c>
      <c r="Z2174" s="1" t="s">
        <v>2193</v>
      </c>
      <c r="AA2174" s="1" t="s">
        <v>2193</v>
      </c>
      <c r="AB2174" s="1" t="s">
        <v>2193</v>
      </c>
      <c r="AC2174" s="8"/>
      <c r="AD2174" s="12" t="s">
        <v>52</v>
      </c>
      <c r="AE2174" s="39" t="str">
        <f t="shared" si="241"/>
        <v>8231</v>
      </c>
      <c r="AF2174" s="12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8"/>
      <c r="AR2174" s="34">
        <v>1</v>
      </c>
      <c r="AS2174" s="34">
        <v>1</v>
      </c>
      <c r="AT2174" s="8"/>
      <c r="AU2174" s="12" t="s">
        <v>1978</v>
      </c>
      <c r="AW2174" s="36">
        <v>3</v>
      </c>
      <c r="AX2174" s="33">
        <f>VLOOKUP(AW2174,색인!$N$14:$O$19,2,FALSE)</f>
        <v>2</v>
      </c>
      <c r="AY2174" s="36" t="str">
        <f>"T"&amp;O2174&amp;"_"&amp;AX2174&amp;"옵션_"&amp;VLOOKUP(E2174,색인!$J$25:$K$29,2,FALSE)</f>
        <v>T8_2옵션_장신구</v>
      </c>
      <c r="AZ2174" s="36">
        <f>VLOOKUP(G2174,색인!$J$32:$K$45,2,FALSE)</f>
        <v>2</v>
      </c>
      <c r="BA2174" s="36" t="str">
        <f>_xlfn.IFNA(VLOOKUP(AY2174,표1[[검색용]:[OptionGroupIndex'[']22]],EquipItemTable!AZ2174,FALSE),"옵션고정안함")</f>
        <v>8231</v>
      </c>
    </row>
    <row r="2175" spans="1:53" s="33" customFormat="1" ht="12" customHeight="1" x14ac:dyDescent="0.2">
      <c r="A2175" s="31" t="s">
        <v>2678</v>
      </c>
      <c r="B2175" s="39">
        <v>806014</v>
      </c>
      <c r="C2175" s="42" t="s">
        <v>3607</v>
      </c>
      <c r="D2175" s="86" t="s">
        <v>2954</v>
      </c>
      <c r="E2175" s="86" t="s">
        <v>0</v>
      </c>
      <c r="F2175" s="32" t="s">
        <v>471</v>
      </c>
      <c r="G2175" s="32" t="s">
        <v>1434</v>
      </c>
      <c r="H2175" s="32"/>
      <c r="I2175" s="32"/>
      <c r="J2175" s="32"/>
      <c r="K2175" s="32"/>
      <c r="L2175" s="32"/>
      <c r="M2175" s="32"/>
      <c r="N2175" s="8"/>
      <c r="O2175" s="32">
        <v>8</v>
      </c>
      <c r="P2175" s="32">
        <v>81</v>
      </c>
      <c r="Q2175" s="1"/>
      <c r="R2175" s="1"/>
      <c r="S2175" s="1"/>
      <c r="T2175" s="1"/>
      <c r="U2175" s="1"/>
      <c r="V2175" s="1"/>
      <c r="W2175" s="1">
        <v>9518</v>
      </c>
      <c r="X2175" s="1">
        <v>9518</v>
      </c>
      <c r="Y2175" s="1" t="s">
        <v>2193</v>
      </c>
      <c r="Z2175" s="1" t="s">
        <v>2193</v>
      </c>
      <c r="AA2175" s="1" t="s">
        <v>2193</v>
      </c>
      <c r="AB2175" s="1" t="s">
        <v>2193</v>
      </c>
      <c r="AC2175" s="8"/>
      <c r="AD2175" s="12" t="s">
        <v>52</v>
      </c>
      <c r="AE2175" s="39" t="str">
        <f t="shared" si="241"/>
        <v>8331</v>
      </c>
      <c r="AF2175" s="12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8"/>
      <c r="AR2175" s="34">
        <v>1</v>
      </c>
      <c r="AS2175" s="34">
        <v>1</v>
      </c>
      <c r="AT2175" s="8"/>
      <c r="AU2175" s="12" t="s">
        <v>1980</v>
      </c>
      <c r="AW2175" s="36">
        <v>4</v>
      </c>
      <c r="AX2175" s="33">
        <f>VLOOKUP(AW2175,색인!$N$14:$O$19,2,FALSE)</f>
        <v>3</v>
      </c>
      <c r="AY2175" s="36" t="str">
        <f>"T"&amp;O2175&amp;"_"&amp;AX2175&amp;"옵션_"&amp;VLOOKUP(E2175,색인!$J$25:$K$29,2,FALSE)</f>
        <v>T8_3옵션_장신구</v>
      </c>
      <c r="AZ2175" s="36">
        <f>VLOOKUP(G2175,색인!$J$32:$K$45,2,FALSE)</f>
        <v>2</v>
      </c>
      <c r="BA2175" s="36" t="str">
        <f>_xlfn.IFNA(VLOOKUP(AY2175,표1[[검색용]:[OptionGroupIndex'[']22]],EquipItemTable!AZ2175,FALSE),"옵션고정안함")</f>
        <v>8331</v>
      </c>
    </row>
    <row r="2176" spans="1:53" s="33" customFormat="1" ht="12" customHeight="1" x14ac:dyDescent="0.2">
      <c r="A2176" s="31" t="s">
        <v>2679</v>
      </c>
      <c r="B2176" s="39">
        <v>806015</v>
      </c>
      <c r="C2176" s="42" t="s">
        <v>3616</v>
      </c>
      <c r="D2176" s="86" t="s">
        <v>2954</v>
      </c>
      <c r="E2176" s="86" t="s">
        <v>0</v>
      </c>
      <c r="F2176" s="32" t="s">
        <v>471</v>
      </c>
      <c r="G2176" s="32" t="s">
        <v>1434</v>
      </c>
      <c r="H2176" s="32"/>
      <c r="I2176" s="32"/>
      <c r="J2176" s="32"/>
      <c r="K2176" s="32"/>
      <c r="L2176" s="32"/>
      <c r="M2176" s="32"/>
      <c r="N2176" s="8"/>
      <c r="O2176" s="32">
        <v>8</v>
      </c>
      <c r="P2176" s="32">
        <v>81</v>
      </c>
      <c r="Q2176" s="1"/>
      <c r="R2176" s="1"/>
      <c r="S2176" s="1"/>
      <c r="T2176" s="1"/>
      <c r="U2176" s="1"/>
      <c r="V2176" s="1"/>
      <c r="W2176" s="1">
        <v>9986</v>
      </c>
      <c r="X2176" s="1">
        <v>9986</v>
      </c>
      <c r="Y2176" s="1" t="s">
        <v>2193</v>
      </c>
      <c r="Z2176" s="1" t="s">
        <v>2193</v>
      </c>
      <c r="AA2176" s="1" t="s">
        <v>2193</v>
      </c>
      <c r="AB2176" s="1" t="s">
        <v>2193</v>
      </c>
      <c r="AC2176" s="8"/>
      <c r="AD2176" s="12" t="s">
        <v>52</v>
      </c>
      <c r="AE2176" s="39" t="str">
        <f t="shared" si="241"/>
        <v>8331</v>
      </c>
      <c r="AF2176" s="12"/>
      <c r="AG2176" s="12"/>
      <c r="AH2176" s="12"/>
      <c r="AI2176" s="12"/>
      <c r="AJ2176" s="12"/>
      <c r="AK2176" s="12"/>
      <c r="AL2176" s="12"/>
      <c r="AM2176" s="12"/>
      <c r="AN2176" s="12" t="s">
        <v>2834</v>
      </c>
      <c r="AO2176" s="12"/>
      <c r="AP2176" s="12"/>
      <c r="AQ2176" s="8"/>
      <c r="AR2176" s="34">
        <v>1</v>
      </c>
      <c r="AS2176" s="34">
        <v>1</v>
      </c>
      <c r="AT2176" s="8"/>
      <c r="AU2176" s="12" t="s">
        <v>1982</v>
      </c>
      <c r="AW2176" s="36">
        <v>5</v>
      </c>
      <c r="AX2176" s="33">
        <f>VLOOKUP(AW2176,색인!$N$14:$O$19,2,FALSE)</f>
        <v>3</v>
      </c>
      <c r="AY2176" s="36" t="str">
        <f>"T"&amp;O2176&amp;"_"&amp;AX2176&amp;"옵션_"&amp;VLOOKUP(E2176,색인!$J$25:$K$29,2,FALSE)</f>
        <v>T8_3옵션_장신구</v>
      </c>
      <c r="AZ2176" s="36">
        <f>VLOOKUP(G2176,색인!$J$32:$K$45,2,FALSE)</f>
        <v>2</v>
      </c>
      <c r="BA2176" s="36" t="str">
        <f>_xlfn.IFNA(VLOOKUP(AY2176,표1[[검색용]:[OptionGroupIndex'[']22]],EquipItemTable!AZ2176,FALSE),"옵션고정안함")</f>
        <v>8331</v>
      </c>
    </row>
    <row r="2177" spans="1:53" s="33" customFormat="1" ht="12" customHeight="1" x14ac:dyDescent="0.2">
      <c r="A2177" s="31" t="s">
        <v>2680</v>
      </c>
      <c r="B2177" s="39">
        <v>807012</v>
      </c>
      <c r="C2177" s="42" t="s">
        <v>3664</v>
      </c>
      <c r="D2177" s="86" t="s">
        <v>2954</v>
      </c>
      <c r="E2177" s="86" t="s">
        <v>1</v>
      </c>
      <c r="F2177" s="32" t="s">
        <v>480</v>
      </c>
      <c r="G2177" s="32" t="s">
        <v>1453</v>
      </c>
      <c r="H2177" s="32"/>
      <c r="I2177" s="32"/>
      <c r="J2177" s="32"/>
      <c r="K2177" s="32"/>
      <c r="L2177" s="32"/>
      <c r="M2177" s="32"/>
      <c r="N2177" s="8"/>
      <c r="O2177" s="32">
        <v>8</v>
      </c>
      <c r="P2177" s="32">
        <v>81</v>
      </c>
      <c r="Q2177" s="1"/>
      <c r="R2177" s="1"/>
      <c r="S2177" s="1"/>
      <c r="T2177" s="1"/>
      <c r="U2177" s="1"/>
      <c r="V2177" s="1"/>
      <c r="W2177" s="1" t="s">
        <v>2193</v>
      </c>
      <c r="X2177" s="1" t="s">
        <v>2193</v>
      </c>
      <c r="Y2177" s="1" t="s">
        <v>2193</v>
      </c>
      <c r="Z2177" s="1" t="s">
        <v>2193</v>
      </c>
      <c r="AA2177" s="1">
        <v>4288</v>
      </c>
      <c r="AB2177" s="1" t="s">
        <v>2193</v>
      </c>
      <c r="AC2177" s="8"/>
      <c r="AD2177" s="12" t="s">
        <v>52</v>
      </c>
      <c r="AE2177" s="39" t="str">
        <f t="shared" si="241"/>
        <v>8111,8112</v>
      </c>
      <c r="AF2177" s="12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8"/>
      <c r="AR2177" s="34">
        <v>1</v>
      </c>
      <c r="AS2177" s="34">
        <v>1</v>
      </c>
      <c r="AT2177" s="8"/>
      <c r="AU2177" s="12" t="s">
        <v>1976</v>
      </c>
      <c r="AW2177" s="36">
        <v>2</v>
      </c>
      <c r="AX2177" s="33">
        <f>VLOOKUP(AW2177,색인!$N$14:$O$19,2,FALSE)</f>
        <v>1</v>
      </c>
      <c r="AY2177" s="36" t="str">
        <f>"T"&amp;O2177&amp;"_"&amp;AX2177&amp;"옵션_"&amp;VLOOKUP(E2177,색인!$J$25:$K$29,2,FALSE)</f>
        <v>T8_1옵션_방어구</v>
      </c>
      <c r="AZ2177" s="36">
        <f>VLOOKUP(G2177,색인!$J$32:$K$45,2,FALSE)</f>
        <v>4</v>
      </c>
      <c r="BA2177" s="36" t="str">
        <f>_xlfn.IFNA(VLOOKUP(AY2177,표1[[검색용]:[OptionGroupIndex'[']22]],EquipItemTable!AZ2177,FALSE),"옵션고정안함")</f>
        <v>8111,8112</v>
      </c>
    </row>
    <row r="2178" spans="1:53" s="33" customFormat="1" ht="12" customHeight="1" x14ac:dyDescent="0.2">
      <c r="A2178" s="31" t="s">
        <v>2681</v>
      </c>
      <c r="B2178" s="39">
        <v>807013</v>
      </c>
      <c r="C2178" s="42" t="s">
        <v>3649</v>
      </c>
      <c r="D2178" s="86" t="s">
        <v>2954</v>
      </c>
      <c r="E2178" s="86" t="s">
        <v>1</v>
      </c>
      <c r="F2178" s="32" t="s">
        <v>480</v>
      </c>
      <c r="G2178" s="32" t="s">
        <v>1453</v>
      </c>
      <c r="H2178" s="32"/>
      <c r="I2178" s="32"/>
      <c r="J2178" s="32"/>
      <c r="K2178" s="32"/>
      <c r="L2178" s="32"/>
      <c r="M2178" s="32"/>
      <c r="N2178" s="8"/>
      <c r="O2178" s="32">
        <v>8</v>
      </c>
      <c r="P2178" s="32">
        <v>81</v>
      </c>
      <c r="Q2178" s="1"/>
      <c r="R2178" s="1"/>
      <c r="S2178" s="1"/>
      <c r="T2178" s="1"/>
      <c r="U2178" s="1"/>
      <c r="V2178" s="1"/>
      <c r="W2178" s="1" t="s">
        <v>2193</v>
      </c>
      <c r="X2178" s="1" t="s">
        <v>2193</v>
      </c>
      <c r="Y2178" s="1" t="s">
        <v>2193</v>
      </c>
      <c r="Z2178" s="1" t="s">
        <v>2193</v>
      </c>
      <c r="AA2178" s="1">
        <v>4563</v>
      </c>
      <c r="AB2178" s="1" t="s">
        <v>2193</v>
      </c>
      <c r="AC2178" s="8"/>
      <c r="AD2178" s="12" t="s">
        <v>52</v>
      </c>
      <c r="AE2178" s="39" t="str">
        <f t="shared" si="241"/>
        <v>8211,8212</v>
      </c>
      <c r="AF2178" s="12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8"/>
      <c r="AR2178" s="34">
        <v>1</v>
      </c>
      <c r="AS2178" s="34">
        <v>1</v>
      </c>
      <c r="AT2178" s="8"/>
      <c r="AU2178" s="12" t="s">
        <v>1978</v>
      </c>
      <c r="AW2178" s="36">
        <v>3</v>
      </c>
      <c r="AX2178" s="33">
        <f>VLOOKUP(AW2178,색인!$N$14:$O$19,2,FALSE)</f>
        <v>2</v>
      </c>
      <c r="AY2178" s="36" t="str">
        <f>"T"&amp;O2178&amp;"_"&amp;AX2178&amp;"옵션_"&amp;VLOOKUP(E2178,색인!$J$25:$K$29,2,FALSE)</f>
        <v>T8_2옵션_방어구</v>
      </c>
      <c r="AZ2178" s="36">
        <f>VLOOKUP(G2178,색인!$J$32:$K$45,2,FALSE)</f>
        <v>4</v>
      </c>
      <c r="BA2178" s="36" t="str">
        <f>_xlfn.IFNA(VLOOKUP(AY2178,표1[[검색용]:[OptionGroupIndex'[']22]],EquipItemTable!AZ2178,FALSE),"옵션고정안함")</f>
        <v>8211,8212</v>
      </c>
    </row>
    <row r="2179" spans="1:53" s="33" customFormat="1" ht="12" customHeight="1" x14ac:dyDescent="0.2">
      <c r="A2179" s="31" t="s">
        <v>2682</v>
      </c>
      <c r="B2179" s="39">
        <v>807014</v>
      </c>
      <c r="C2179" s="42" t="s">
        <v>3646</v>
      </c>
      <c r="D2179" s="86" t="s">
        <v>2954</v>
      </c>
      <c r="E2179" s="86" t="s">
        <v>1</v>
      </c>
      <c r="F2179" s="32" t="s">
        <v>480</v>
      </c>
      <c r="G2179" s="32" t="s">
        <v>1453</v>
      </c>
      <c r="H2179" s="32"/>
      <c r="I2179" s="32"/>
      <c r="J2179" s="32"/>
      <c r="K2179" s="32"/>
      <c r="L2179" s="32"/>
      <c r="M2179" s="32"/>
      <c r="N2179" s="8"/>
      <c r="O2179" s="32">
        <v>8</v>
      </c>
      <c r="P2179" s="32">
        <v>81</v>
      </c>
      <c r="Q2179" s="1"/>
      <c r="R2179" s="1"/>
      <c r="S2179" s="1"/>
      <c r="T2179" s="1"/>
      <c r="U2179" s="1"/>
      <c r="V2179" s="1"/>
      <c r="W2179" s="1" t="s">
        <v>2193</v>
      </c>
      <c r="X2179" s="1" t="s">
        <v>2193</v>
      </c>
      <c r="Y2179" s="1" t="s">
        <v>2193</v>
      </c>
      <c r="Z2179" s="1" t="s">
        <v>2193</v>
      </c>
      <c r="AA2179" s="1">
        <v>4850</v>
      </c>
      <c r="AB2179" s="1" t="s">
        <v>2193</v>
      </c>
      <c r="AC2179" s="8"/>
      <c r="AD2179" s="12" t="s">
        <v>52</v>
      </c>
      <c r="AE2179" s="39" t="str">
        <f t="shared" si="241"/>
        <v>8311,8312</v>
      </c>
      <c r="AF2179" s="12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8"/>
      <c r="AR2179" s="34">
        <v>1</v>
      </c>
      <c r="AS2179" s="34">
        <v>1</v>
      </c>
      <c r="AT2179" s="8"/>
      <c r="AU2179" s="12" t="s">
        <v>1980</v>
      </c>
      <c r="AW2179" s="36">
        <v>4</v>
      </c>
      <c r="AX2179" s="33">
        <f>VLOOKUP(AW2179,색인!$N$14:$O$19,2,FALSE)</f>
        <v>3</v>
      </c>
      <c r="AY2179" s="36" t="str">
        <f>"T"&amp;O2179&amp;"_"&amp;AX2179&amp;"옵션_"&amp;VLOOKUP(E2179,색인!$J$25:$K$29,2,FALSE)</f>
        <v>T8_3옵션_방어구</v>
      </c>
      <c r="AZ2179" s="36">
        <f>VLOOKUP(G2179,색인!$J$32:$K$45,2,FALSE)</f>
        <v>4</v>
      </c>
      <c r="BA2179" s="36" t="str">
        <f>_xlfn.IFNA(VLOOKUP(AY2179,표1[[검색용]:[OptionGroupIndex'[']22]],EquipItemTable!AZ2179,FALSE),"옵션고정안함")</f>
        <v>8311,8312</v>
      </c>
    </row>
    <row r="2180" spans="1:53" s="33" customFormat="1" ht="12" x14ac:dyDescent="0.2">
      <c r="A2180" s="31" t="s">
        <v>2683</v>
      </c>
      <c r="B2180" s="39">
        <v>807015</v>
      </c>
      <c r="C2180" s="42" t="s">
        <v>3655</v>
      </c>
      <c r="D2180" s="86" t="s">
        <v>2954</v>
      </c>
      <c r="E2180" s="86" t="s">
        <v>1</v>
      </c>
      <c r="F2180" s="32" t="s">
        <v>480</v>
      </c>
      <c r="G2180" s="32" t="s">
        <v>1453</v>
      </c>
      <c r="H2180" s="32"/>
      <c r="I2180" s="32"/>
      <c r="J2180" s="32"/>
      <c r="K2180" s="32"/>
      <c r="L2180" s="32"/>
      <c r="M2180" s="32"/>
      <c r="N2180" s="8"/>
      <c r="O2180" s="32">
        <v>8</v>
      </c>
      <c r="P2180" s="32">
        <v>81</v>
      </c>
      <c r="Q2180" s="1"/>
      <c r="R2180" s="1"/>
      <c r="S2180" s="1"/>
      <c r="T2180" s="1"/>
      <c r="U2180" s="1"/>
      <c r="V2180" s="1"/>
      <c r="W2180" s="1" t="s">
        <v>2193</v>
      </c>
      <c r="X2180" s="1" t="s">
        <v>2193</v>
      </c>
      <c r="Y2180" s="1" t="s">
        <v>2193</v>
      </c>
      <c r="Z2180" s="1" t="s">
        <v>2193</v>
      </c>
      <c r="AA2180" s="1">
        <v>5089</v>
      </c>
      <c r="AB2180" s="1" t="s">
        <v>2193</v>
      </c>
      <c r="AC2180" s="8"/>
      <c r="AD2180" s="12" t="s">
        <v>52</v>
      </c>
      <c r="AE2180" s="39" t="str">
        <f t="shared" si="241"/>
        <v>8311,8312</v>
      </c>
      <c r="AF2180" s="12"/>
      <c r="AG2180" s="12"/>
      <c r="AH2180" s="12"/>
      <c r="AI2180" s="12"/>
      <c r="AJ2180" s="12"/>
      <c r="AK2180" s="12"/>
      <c r="AL2180" s="12"/>
      <c r="AM2180" s="12"/>
      <c r="AN2180" s="12" t="s">
        <v>2834</v>
      </c>
      <c r="AO2180" s="12"/>
      <c r="AP2180" s="12"/>
      <c r="AQ2180" s="8"/>
      <c r="AR2180" s="34">
        <v>1</v>
      </c>
      <c r="AS2180" s="34">
        <v>1</v>
      </c>
      <c r="AT2180" s="8"/>
      <c r="AU2180" s="12" t="s">
        <v>1982</v>
      </c>
      <c r="AW2180" s="36">
        <v>5</v>
      </c>
      <c r="AX2180" s="33">
        <f>VLOOKUP(AW2180,색인!$N$14:$O$19,2,FALSE)</f>
        <v>3</v>
      </c>
      <c r="AY2180" s="36" t="str">
        <f>"T"&amp;O2180&amp;"_"&amp;AX2180&amp;"옵션_"&amp;VLOOKUP(E2180,색인!$J$25:$K$29,2,FALSE)</f>
        <v>T8_3옵션_방어구</v>
      </c>
      <c r="AZ2180" s="36">
        <f>VLOOKUP(G2180,색인!$J$32:$K$45,2,FALSE)</f>
        <v>4</v>
      </c>
      <c r="BA2180" s="36" t="str">
        <f>_xlfn.IFNA(VLOOKUP(AY2180,표1[[검색용]:[OptionGroupIndex'[']22]],EquipItemTable!AZ2180,FALSE),"옵션고정안함")</f>
        <v>8311,8312</v>
      </c>
    </row>
    <row r="2181" spans="1:53" s="33" customFormat="1" ht="12" x14ac:dyDescent="0.2">
      <c r="A2181" s="31" t="s">
        <v>2684</v>
      </c>
      <c r="B2181" s="39">
        <v>808012</v>
      </c>
      <c r="C2181" s="42" t="s">
        <v>3677</v>
      </c>
      <c r="D2181" s="86" t="s">
        <v>2954</v>
      </c>
      <c r="E2181" s="86" t="s">
        <v>1</v>
      </c>
      <c r="F2181" s="32" t="s">
        <v>311</v>
      </c>
      <c r="G2181" s="32" t="s">
        <v>1472</v>
      </c>
      <c r="H2181" s="32"/>
      <c r="I2181" s="32"/>
      <c r="J2181" s="32"/>
      <c r="K2181" s="32"/>
      <c r="L2181" s="32"/>
      <c r="M2181" s="32"/>
      <c r="N2181" s="8"/>
      <c r="O2181" s="32">
        <v>8</v>
      </c>
      <c r="P2181" s="32">
        <v>81</v>
      </c>
      <c r="Q2181" s="1"/>
      <c r="R2181" s="1"/>
      <c r="S2181" s="1"/>
      <c r="T2181" s="1"/>
      <c r="U2181" s="1"/>
      <c r="V2181" s="1"/>
      <c r="W2181" s="1" t="s">
        <v>2193</v>
      </c>
      <c r="X2181" s="1" t="s">
        <v>2193</v>
      </c>
      <c r="Y2181" s="1" t="s">
        <v>2193</v>
      </c>
      <c r="Z2181" s="1" t="s">
        <v>2193</v>
      </c>
      <c r="AA2181" s="1">
        <v>2860</v>
      </c>
      <c r="AB2181" s="1" t="s">
        <v>2193</v>
      </c>
      <c r="AC2181" s="8"/>
      <c r="AD2181" s="12" t="s">
        <v>52</v>
      </c>
      <c r="AE2181" s="39" t="str">
        <f t="shared" si="241"/>
        <v>8111</v>
      </c>
      <c r="AF2181" s="12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8"/>
      <c r="AR2181" s="34">
        <v>1</v>
      </c>
      <c r="AS2181" s="34">
        <v>1</v>
      </c>
      <c r="AT2181" s="8"/>
      <c r="AU2181" s="12" t="s">
        <v>1976</v>
      </c>
      <c r="AW2181" s="36">
        <v>2</v>
      </c>
      <c r="AX2181" s="33">
        <f>VLOOKUP(AW2181,색인!$N$14:$O$19,2,FALSE)</f>
        <v>1</v>
      </c>
      <c r="AY2181" s="36" t="str">
        <f>"T"&amp;O2181&amp;"_"&amp;AX2181&amp;"옵션_"&amp;VLOOKUP(E2181,색인!$J$25:$K$29,2,FALSE)</f>
        <v>T8_1옵션_방어구</v>
      </c>
      <c r="AZ2181" s="36">
        <f>VLOOKUP(G2181,색인!$J$32:$K$45,2,FALSE)</f>
        <v>2</v>
      </c>
      <c r="BA2181" s="36" t="str">
        <f>_xlfn.IFNA(VLOOKUP(AY2181,표1[[검색용]:[OptionGroupIndex'[']22]],EquipItemTable!AZ2181,FALSE),"옵션고정안함")</f>
        <v>8111</v>
      </c>
    </row>
    <row r="2182" spans="1:53" s="33" customFormat="1" ht="12" x14ac:dyDescent="0.2">
      <c r="A2182" s="31" t="s">
        <v>2685</v>
      </c>
      <c r="B2182" s="39">
        <v>808013</v>
      </c>
      <c r="C2182" s="42" t="s">
        <v>15</v>
      </c>
      <c r="D2182" s="86" t="s">
        <v>2954</v>
      </c>
      <c r="E2182" s="86" t="s">
        <v>1</v>
      </c>
      <c r="F2182" s="32" t="s">
        <v>311</v>
      </c>
      <c r="G2182" s="32" t="s">
        <v>1472</v>
      </c>
      <c r="H2182" s="32"/>
      <c r="I2182" s="32"/>
      <c r="J2182" s="32"/>
      <c r="K2182" s="32"/>
      <c r="L2182" s="32"/>
      <c r="M2182" s="32"/>
      <c r="N2182" s="8"/>
      <c r="O2182" s="32">
        <v>8</v>
      </c>
      <c r="P2182" s="32">
        <v>81</v>
      </c>
      <c r="Q2182" s="1"/>
      <c r="R2182" s="1"/>
      <c r="S2182" s="1"/>
      <c r="T2182" s="1"/>
      <c r="U2182" s="1"/>
      <c r="V2182" s="1"/>
      <c r="W2182" s="1" t="s">
        <v>2193</v>
      </c>
      <c r="X2182" s="1" t="s">
        <v>2193</v>
      </c>
      <c r="Y2182" s="1" t="s">
        <v>2193</v>
      </c>
      <c r="Z2182" s="1" t="s">
        <v>2193</v>
      </c>
      <c r="AA2182" s="1">
        <v>3042</v>
      </c>
      <c r="AB2182" s="1" t="s">
        <v>2193</v>
      </c>
      <c r="AC2182" s="8"/>
      <c r="AD2182" s="12" t="s">
        <v>52</v>
      </c>
      <c r="AE2182" s="39" t="str">
        <f t="shared" si="241"/>
        <v>8211</v>
      </c>
      <c r="AF2182" s="12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8"/>
      <c r="AR2182" s="34">
        <v>1</v>
      </c>
      <c r="AS2182" s="34">
        <v>1</v>
      </c>
      <c r="AT2182" s="8"/>
      <c r="AU2182" s="12" t="s">
        <v>1978</v>
      </c>
      <c r="AW2182" s="36">
        <v>3</v>
      </c>
      <c r="AX2182" s="33">
        <f>VLOOKUP(AW2182,색인!$N$14:$O$19,2,FALSE)</f>
        <v>2</v>
      </c>
      <c r="AY2182" s="36" t="str">
        <f>"T"&amp;O2182&amp;"_"&amp;AX2182&amp;"옵션_"&amp;VLOOKUP(E2182,색인!$J$25:$K$29,2,FALSE)</f>
        <v>T8_2옵션_방어구</v>
      </c>
      <c r="AZ2182" s="36">
        <f>VLOOKUP(G2182,색인!$J$32:$K$45,2,FALSE)</f>
        <v>2</v>
      </c>
      <c r="BA2182" s="36" t="str">
        <f>_xlfn.IFNA(VLOOKUP(AY2182,표1[[검색용]:[OptionGroupIndex'[']22]],EquipItemTable!AZ2182,FALSE),"옵션고정안함")</f>
        <v>8211</v>
      </c>
    </row>
    <row r="2183" spans="1:53" s="33" customFormat="1" ht="12" x14ac:dyDescent="0.2">
      <c r="A2183" s="31" t="s">
        <v>2686</v>
      </c>
      <c r="B2183" s="39">
        <v>808014</v>
      </c>
      <c r="C2183" s="42" t="s">
        <v>3679</v>
      </c>
      <c r="D2183" s="86" t="s">
        <v>2954</v>
      </c>
      <c r="E2183" s="86" t="s">
        <v>1</v>
      </c>
      <c r="F2183" s="32" t="s">
        <v>311</v>
      </c>
      <c r="G2183" s="32" t="s">
        <v>1472</v>
      </c>
      <c r="H2183" s="32"/>
      <c r="I2183" s="32"/>
      <c r="J2183" s="32"/>
      <c r="K2183" s="32"/>
      <c r="L2183" s="32"/>
      <c r="M2183" s="32"/>
      <c r="N2183" s="8"/>
      <c r="O2183" s="32">
        <v>8</v>
      </c>
      <c r="P2183" s="32">
        <v>81</v>
      </c>
      <c r="Q2183" s="1"/>
      <c r="R2183" s="1"/>
      <c r="S2183" s="1"/>
      <c r="T2183" s="1"/>
      <c r="U2183" s="1"/>
      <c r="V2183" s="1"/>
      <c r="W2183" s="1" t="s">
        <v>2193</v>
      </c>
      <c r="X2183" s="1" t="s">
        <v>2193</v>
      </c>
      <c r="Y2183" s="1" t="s">
        <v>2193</v>
      </c>
      <c r="Z2183" s="1" t="s">
        <v>2193</v>
      </c>
      <c r="AA2183" s="1">
        <v>3234</v>
      </c>
      <c r="AB2183" s="1" t="s">
        <v>2193</v>
      </c>
      <c r="AC2183" s="8"/>
      <c r="AD2183" s="12" t="s">
        <v>52</v>
      </c>
      <c r="AE2183" s="39" t="str">
        <f t="shared" si="241"/>
        <v>8311</v>
      </c>
      <c r="AF2183" s="12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8"/>
      <c r="AR2183" s="34">
        <v>1</v>
      </c>
      <c r="AS2183" s="34">
        <v>1</v>
      </c>
      <c r="AT2183" s="8"/>
      <c r="AU2183" s="12" t="s">
        <v>1980</v>
      </c>
      <c r="AW2183" s="36">
        <v>4</v>
      </c>
      <c r="AX2183" s="33">
        <f>VLOOKUP(AW2183,색인!$N$14:$O$19,2,FALSE)</f>
        <v>3</v>
      </c>
      <c r="AY2183" s="36" t="str">
        <f>"T"&amp;O2183&amp;"_"&amp;AX2183&amp;"옵션_"&amp;VLOOKUP(E2183,색인!$J$25:$K$29,2,FALSE)</f>
        <v>T8_3옵션_방어구</v>
      </c>
      <c r="AZ2183" s="36">
        <f>VLOOKUP(G2183,색인!$J$32:$K$45,2,FALSE)</f>
        <v>2</v>
      </c>
      <c r="BA2183" s="36" t="str">
        <f>_xlfn.IFNA(VLOOKUP(AY2183,표1[[검색용]:[OptionGroupIndex'[']22]],EquipItemTable!AZ2183,FALSE),"옵션고정안함")</f>
        <v>8311</v>
      </c>
    </row>
    <row r="2184" spans="1:53" s="33" customFormat="1" ht="12" customHeight="1" x14ac:dyDescent="0.2">
      <c r="A2184" s="31" t="s">
        <v>2687</v>
      </c>
      <c r="B2184" s="39">
        <v>808015</v>
      </c>
      <c r="C2184" s="42" t="s">
        <v>3694</v>
      </c>
      <c r="D2184" s="86" t="s">
        <v>2954</v>
      </c>
      <c r="E2184" s="86" t="s">
        <v>1</v>
      </c>
      <c r="F2184" s="32" t="s">
        <v>311</v>
      </c>
      <c r="G2184" s="32" t="s">
        <v>1472</v>
      </c>
      <c r="H2184" s="32"/>
      <c r="I2184" s="32"/>
      <c r="J2184" s="32"/>
      <c r="K2184" s="32"/>
      <c r="L2184" s="32"/>
      <c r="M2184" s="32"/>
      <c r="N2184" s="8"/>
      <c r="O2184" s="32">
        <v>8</v>
      </c>
      <c r="P2184" s="32">
        <v>81</v>
      </c>
      <c r="Q2184" s="1"/>
      <c r="R2184" s="1"/>
      <c r="S2184" s="1"/>
      <c r="T2184" s="1"/>
      <c r="U2184" s="1"/>
      <c r="V2184" s="1"/>
      <c r="W2184" s="1" t="s">
        <v>2193</v>
      </c>
      <c r="X2184" s="1" t="s">
        <v>2193</v>
      </c>
      <c r="Y2184" s="1" t="s">
        <v>2193</v>
      </c>
      <c r="Z2184" s="1" t="s">
        <v>2193</v>
      </c>
      <c r="AA2184" s="1">
        <v>3392</v>
      </c>
      <c r="AB2184" s="1" t="s">
        <v>2193</v>
      </c>
      <c r="AC2184" s="8"/>
      <c r="AD2184" s="12" t="s">
        <v>52</v>
      </c>
      <c r="AE2184" s="39" t="str">
        <f t="shared" si="241"/>
        <v>8311</v>
      </c>
      <c r="AF2184" s="12"/>
      <c r="AG2184" s="12"/>
      <c r="AH2184" s="12"/>
      <c r="AI2184" s="12"/>
      <c r="AJ2184" s="12"/>
      <c r="AK2184" s="12"/>
      <c r="AL2184" s="12"/>
      <c r="AM2184" s="12"/>
      <c r="AN2184" s="12" t="s">
        <v>2834</v>
      </c>
      <c r="AO2184" s="12"/>
      <c r="AP2184" s="12"/>
      <c r="AQ2184" s="8"/>
      <c r="AR2184" s="34">
        <v>1</v>
      </c>
      <c r="AS2184" s="34">
        <v>1</v>
      </c>
      <c r="AT2184" s="8"/>
      <c r="AU2184" s="12" t="s">
        <v>1982</v>
      </c>
      <c r="AW2184" s="36">
        <v>5</v>
      </c>
      <c r="AX2184" s="33">
        <f>VLOOKUP(AW2184,색인!$N$14:$O$19,2,FALSE)</f>
        <v>3</v>
      </c>
      <c r="AY2184" s="36" t="str">
        <f>"T"&amp;O2184&amp;"_"&amp;AX2184&amp;"옵션_"&amp;VLOOKUP(E2184,색인!$J$25:$K$29,2,FALSE)</f>
        <v>T8_3옵션_방어구</v>
      </c>
      <c r="AZ2184" s="36">
        <f>VLOOKUP(G2184,색인!$J$32:$K$45,2,FALSE)</f>
        <v>2</v>
      </c>
      <c r="BA2184" s="36" t="str">
        <f>_xlfn.IFNA(VLOOKUP(AY2184,표1[[검색용]:[OptionGroupIndex'[']22]],EquipItemTable!AZ2184,FALSE),"옵션고정안함")</f>
        <v>8311</v>
      </c>
    </row>
    <row r="2185" spans="1:53" s="33" customFormat="1" ht="12" customHeight="1" x14ac:dyDescent="0.2">
      <c r="A2185" s="31" t="s">
        <v>2688</v>
      </c>
      <c r="B2185" s="39">
        <v>809012</v>
      </c>
      <c r="C2185" s="42" t="s">
        <v>4298</v>
      </c>
      <c r="D2185" s="86" t="s">
        <v>2954</v>
      </c>
      <c r="E2185" s="86" t="s">
        <v>1</v>
      </c>
      <c r="F2185" s="32" t="s">
        <v>471</v>
      </c>
      <c r="G2185" s="32" t="s">
        <v>1491</v>
      </c>
      <c r="H2185" s="32"/>
      <c r="I2185" s="32"/>
      <c r="J2185" s="32"/>
      <c r="K2185" s="32"/>
      <c r="L2185" s="32"/>
      <c r="M2185" s="32"/>
      <c r="N2185" s="8"/>
      <c r="O2185" s="32">
        <v>8</v>
      </c>
      <c r="P2185" s="32">
        <v>81</v>
      </c>
      <c r="Q2185" s="1"/>
      <c r="R2185" s="1"/>
      <c r="S2185" s="1"/>
      <c r="T2185" s="1"/>
      <c r="U2185" s="1"/>
      <c r="V2185" s="1"/>
      <c r="W2185" s="1" t="s">
        <v>2193</v>
      </c>
      <c r="X2185" s="1" t="s">
        <v>2193</v>
      </c>
      <c r="Y2185" s="1" t="s">
        <v>2193</v>
      </c>
      <c r="Z2185" s="1" t="s">
        <v>2193</v>
      </c>
      <c r="AA2185" s="1">
        <v>1432</v>
      </c>
      <c r="AB2185" s="1" t="s">
        <v>2193</v>
      </c>
      <c r="AC2185" s="8"/>
      <c r="AD2185" s="12" t="s">
        <v>52</v>
      </c>
      <c r="AE2185" s="39" t="str">
        <f t="shared" ref="AE2185:AE2220" si="242">BA2185</f>
        <v>8111</v>
      </c>
      <c r="AF2185" s="12"/>
      <c r="AG2185" s="12"/>
      <c r="AH2185" s="12"/>
      <c r="AI2185" s="12"/>
      <c r="AJ2185" s="12"/>
      <c r="AK2185" s="12"/>
      <c r="AL2185" s="12"/>
      <c r="AM2185" s="12"/>
      <c r="AN2185" s="12"/>
      <c r="AO2185" s="12"/>
      <c r="AP2185" s="12"/>
      <c r="AQ2185" s="8"/>
      <c r="AR2185" s="34">
        <v>1</v>
      </c>
      <c r="AS2185" s="34">
        <v>1</v>
      </c>
      <c r="AT2185" s="8"/>
      <c r="AU2185" s="12" t="s">
        <v>1976</v>
      </c>
      <c r="AW2185" s="36">
        <v>2</v>
      </c>
      <c r="AX2185" s="33">
        <f>VLOOKUP(AW2185,색인!$N$14:$O$19,2,FALSE)</f>
        <v>1</v>
      </c>
      <c r="AY2185" s="36" t="str">
        <f>"T"&amp;O2185&amp;"_"&amp;AX2185&amp;"옵션_"&amp;VLOOKUP(E2185,색인!$J$25:$K$29,2,FALSE)</f>
        <v>T8_1옵션_방어구</v>
      </c>
      <c r="AZ2185" s="36">
        <f>VLOOKUP(G2185,색인!$J$32:$K$45,2,FALSE)</f>
        <v>2</v>
      </c>
      <c r="BA2185" s="36" t="str">
        <f>_xlfn.IFNA(VLOOKUP(AY2185,표1[[검색용]:[OptionGroupIndex'[']22]],EquipItemTable!AZ2185,FALSE),"옵션고정안함")</f>
        <v>8111</v>
      </c>
    </row>
    <row r="2186" spans="1:53" s="33" customFormat="1" ht="12" customHeight="1" x14ac:dyDescent="0.2">
      <c r="A2186" s="31" t="s">
        <v>2689</v>
      </c>
      <c r="B2186" s="39">
        <v>809013</v>
      </c>
      <c r="C2186" s="42" t="s">
        <v>3711</v>
      </c>
      <c r="D2186" s="86" t="s">
        <v>2954</v>
      </c>
      <c r="E2186" s="86" t="s">
        <v>1</v>
      </c>
      <c r="F2186" s="32" t="s">
        <v>471</v>
      </c>
      <c r="G2186" s="32" t="s">
        <v>1491</v>
      </c>
      <c r="H2186" s="32"/>
      <c r="I2186" s="32"/>
      <c r="J2186" s="32"/>
      <c r="K2186" s="32"/>
      <c r="L2186" s="32"/>
      <c r="M2186" s="32"/>
      <c r="N2186" s="8"/>
      <c r="O2186" s="32">
        <v>8</v>
      </c>
      <c r="P2186" s="32">
        <v>81</v>
      </c>
      <c r="Q2186" s="1"/>
      <c r="R2186" s="1"/>
      <c r="S2186" s="1"/>
      <c r="T2186" s="1"/>
      <c r="U2186" s="1"/>
      <c r="V2186" s="1"/>
      <c r="W2186" s="1" t="s">
        <v>2193</v>
      </c>
      <c r="X2186" s="1" t="s">
        <v>2193</v>
      </c>
      <c r="Y2186" s="1" t="s">
        <v>2193</v>
      </c>
      <c r="Z2186" s="1" t="s">
        <v>2193</v>
      </c>
      <c r="AA2186" s="1">
        <v>1521</v>
      </c>
      <c r="AB2186" s="1" t="s">
        <v>2193</v>
      </c>
      <c r="AC2186" s="8"/>
      <c r="AD2186" s="12" t="s">
        <v>52</v>
      </c>
      <c r="AE2186" s="39" t="str">
        <f t="shared" si="242"/>
        <v>8211</v>
      </c>
      <c r="AF2186" s="12"/>
      <c r="AG2186" s="12"/>
      <c r="AH2186" s="12"/>
      <c r="AI2186" s="12"/>
      <c r="AJ2186" s="12"/>
      <c r="AK2186" s="12"/>
      <c r="AL2186" s="12"/>
      <c r="AM2186" s="12"/>
      <c r="AN2186" s="12"/>
      <c r="AO2186" s="12"/>
      <c r="AP2186" s="12"/>
      <c r="AQ2186" s="8"/>
      <c r="AR2186" s="34">
        <v>1</v>
      </c>
      <c r="AS2186" s="34">
        <v>1</v>
      </c>
      <c r="AT2186" s="8"/>
      <c r="AU2186" s="12" t="s">
        <v>1978</v>
      </c>
      <c r="AW2186" s="36">
        <v>3</v>
      </c>
      <c r="AX2186" s="33">
        <f>VLOOKUP(AW2186,색인!$N$14:$O$19,2,FALSE)</f>
        <v>2</v>
      </c>
      <c r="AY2186" s="36" t="str">
        <f>"T"&amp;O2186&amp;"_"&amp;AX2186&amp;"옵션_"&amp;VLOOKUP(E2186,색인!$J$25:$K$29,2,FALSE)</f>
        <v>T8_2옵션_방어구</v>
      </c>
      <c r="AZ2186" s="36">
        <f>VLOOKUP(G2186,색인!$J$32:$K$45,2,FALSE)</f>
        <v>2</v>
      </c>
      <c r="BA2186" s="36" t="str">
        <f>_xlfn.IFNA(VLOOKUP(AY2186,표1[[검색용]:[OptionGroupIndex'[']22]],EquipItemTable!AZ2186,FALSE),"옵션고정안함")</f>
        <v>8211</v>
      </c>
    </row>
    <row r="2187" spans="1:53" s="33" customFormat="1" ht="12" customHeight="1" x14ac:dyDescent="0.2">
      <c r="A2187" s="31" t="s">
        <v>2690</v>
      </c>
      <c r="B2187" s="39">
        <v>809014</v>
      </c>
      <c r="C2187" s="42" t="s">
        <v>3712</v>
      </c>
      <c r="D2187" s="86" t="s">
        <v>2954</v>
      </c>
      <c r="E2187" s="86" t="s">
        <v>1</v>
      </c>
      <c r="F2187" s="32" t="s">
        <v>471</v>
      </c>
      <c r="G2187" s="32" t="s">
        <v>1491</v>
      </c>
      <c r="H2187" s="32"/>
      <c r="I2187" s="32"/>
      <c r="J2187" s="32"/>
      <c r="K2187" s="32"/>
      <c r="L2187" s="32"/>
      <c r="M2187" s="32"/>
      <c r="N2187" s="8"/>
      <c r="O2187" s="32">
        <v>8</v>
      </c>
      <c r="P2187" s="32">
        <v>81</v>
      </c>
      <c r="Q2187" s="1"/>
      <c r="R2187" s="1"/>
      <c r="S2187" s="1"/>
      <c r="T2187" s="1"/>
      <c r="U2187" s="1"/>
      <c r="V2187" s="1"/>
      <c r="W2187" s="1" t="s">
        <v>2193</v>
      </c>
      <c r="X2187" s="1" t="s">
        <v>2193</v>
      </c>
      <c r="Y2187" s="1" t="s">
        <v>2193</v>
      </c>
      <c r="Z2187" s="1" t="s">
        <v>2193</v>
      </c>
      <c r="AA2187" s="1">
        <v>1617</v>
      </c>
      <c r="AB2187" s="1" t="s">
        <v>2193</v>
      </c>
      <c r="AC2187" s="8"/>
      <c r="AD2187" s="12" t="s">
        <v>52</v>
      </c>
      <c r="AE2187" s="39" t="str">
        <f t="shared" si="242"/>
        <v>8311</v>
      </c>
      <c r="AF2187" s="12"/>
      <c r="AG2187" s="12"/>
      <c r="AH2187" s="12"/>
      <c r="AI2187" s="12"/>
      <c r="AJ2187" s="12"/>
      <c r="AK2187" s="12"/>
      <c r="AL2187" s="12"/>
      <c r="AM2187" s="12"/>
      <c r="AN2187" s="12"/>
      <c r="AO2187" s="12"/>
      <c r="AP2187" s="12"/>
      <c r="AQ2187" s="8"/>
      <c r="AR2187" s="34">
        <v>1</v>
      </c>
      <c r="AS2187" s="34">
        <v>1</v>
      </c>
      <c r="AT2187" s="8"/>
      <c r="AU2187" s="12" t="s">
        <v>1980</v>
      </c>
      <c r="AW2187" s="36">
        <v>4</v>
      </c>
      <c r="AX2187" s="33">
        <f>VLOOKUP(AW2187,색인!$N$14:$O$19,2,FALSE)</f>
        <v>3</v>
      </c>
      <c r="AY2187" s="36" t="str">
        <f>"T"&amp;O2187&amp;"_"&amp;AX2187&amp;"옵션_"&amp;VLOOKUP(E2187,색인!$J$25:$K$29,2,FALSE)</f>
        <v>T8_3옵션_방어구</v>
      </c>
      <c r="AZ2187" s="36">
        <f>VLOOKUP(G2187,색인!$J$32:$K$45,2,FALSE)</f>
        <v>2</v>
      </c>
      <c r="BA2187" s="36" t="str">
        <f>_xlfn.IFNA(VLOOKUP(AY2187,표1[[검색용]:[OptionGroupIndex'[']22]],EquipItemTable!AZ2187,FALSE),"옵션고정안함")</f>
        <v>8311</v>
      </c>
    </row>
    <row r="2188" spans="1:53" s="33" customFormat="1" ht="12" x14ac:dyDescent="0.2">
      <c r="A2188" s="31" t="s">
        <v>2691</v>
      </c>
      <c r="B2188" s="39">
        <v>809015</v>
      </c>
      <c r="C2188" s="42" t="s">
        <v>3732</v>
      </c>
      <c r="D2188" s="86" t="s">
        <v>2954</v>
      </c>
      <c r="E2188" s="86" t="s">
        <v>1</v>
      </c>
      <c r="F2188" s="32" t="s">
        <v>471</v>
      </c>
      <c r="G2188" s="32" t="s">
        <v>1491</v>
      </c>
      <c r="H2188" s="32"/>
      <c r="I2188" s="32"/>
      <c r="J2188" s="32"/>
      <c r="K2188" s="32"/>
      <c r="L2188" s="32"/>
      <c r="M2188" s="32"/>
      <c r="N2188" s="8"/>
      <c r="O2188" s="32">
        <v>8</v>
      </c>
      <c r="P2188" s="32">
        <v>81</v>
      </c>
      <c r="Q2188" s="1"/>
      <c r="R2188" s="1"/>
      <c r="S2188" s="1"/>
      <c r="T2188" s="1"/>
      <c r="U2188" s="1"/>
      <c r="V2188" s="1"/>
      <c r="W2188" s="1" t="s">
        <v>2193</v>
      </c>
      <c r="X2188" s="1" t="s">
        <v>2193</v>
      </c>
      <c r="Y2188" s="1" t="s">
        <v>2193</v>
      </c>
      <c r="Z2188" s="1" t="s">
        <v>2193</v>
      </c>
      <c r="AA2188" s="1">
        <v>1698</v>
      </c>
      <c r="AB2188" s="1" t="s">
        <v>2193</v>
      </c>
      <c r="AC2188" s="8"/>
      <c r="AD2188" s="12" t="s">
        <v>52</v>
      </c>
      <c r="AE2188" s="39" t="str">
        <f t="shared" si="242"/>
        <v>8311</v>
      </c>
      <c r="AF2188" s="12"/>
      <c r="AG2188" s="12"/>
      <c r="AH2188" s="12"/>
      <c r="AI2188" s="12"/>
      <c r="AJ2188" s="12"/>
      <c r="AK2188" s="12"/>
      <c r="AL2188" s="12"/>
      <c r="AM2188" s="12"/>
      <c r="AN2188" s="12" t="s">
        <v>2834</v>
      </c>
      <c r="AO2188" s="12"/>
      <c r="AP2188" s="12"/>
      <c r="AQ2188" s="8"/>
      <c r="AR2188" s="34">
        <v>1</v>
      </c>
      <c r="AS2188" s="34">
        <v>1</v>
      </c>
      <c r="AT2188" s="8"/>
      <c r="AU2188" s="12" t="s">
        <v>1982</v>
      </c>
      <c r="AW2188" s="36">
        <v>5</v>
      </c>
      <c r="AX2188" s="33">
        <f>VLOOKUP(AW2188,색인!$N$14:$O$19,2,FALSE)</f>
        <v>3</v>
      </c>
      <c r="AY2188" s="36" t="str">
        <f>"T"&amp;O2188&amp;"_"&amp;AX2188&amp;"옵션_"&amp;VLOOKUP(E2188,색인!$J$25:$K$29,2,FALSE)</f>
        <v>T8_3옵션_방어구</v>
      </c>
      <c r="AZ2188" s="36">
        <f>VLOOKUP(G2188,색인!$J$32:$K$45,2,FALSE)</f>
        <v>2</v>
      </c>
      <c r="BA2188" s="36" t="str">
        <f>_xlfn.IFNA(VLOOKUP(AY2188,표1[[검색용]:[OptionGroupIndex'[']22]],EquipItemTable!AZ2188,FALSE),"옵션고정안함")</f>
        <v>8311</v>
      </c>
    </row>
    <row r="2189" spans="1:53" s="33" customFormat="1" ht="12" x14ac:dyDescent="0.2">
      <c r="A2189" s="31" t="s">
        <v>2692</v>
      </c>
      <c r="B2189" s="39">
        <v>810012</v>
      </c>
      <c r="C2189" s="42" t="s">
        <v>3771</v>
      </c>
      <c r="D2189" s="86" t="s">
        <v>2954</v>
      </c>
      <c r="E2189" s="86" t="s">
        <v>501</v>
      </c>
      <c r="F2189" s="32" t="s">
        <v>480</v>
      </c>
      <c r="G2189" s="32" t="s">
        <v>1453</v>
      </c>
      <c r="H2189" s="32"/>
      <c r="I2189" s="32"/>
      <c r="J2189" s="32"/>
      <c r="K2189" s="32"/>
      <c r="L2189" s="32"/>
      <c r="M2189" s="32"/>
      <c r="N2189" s="8"/>
      <c r="O2189" s="32">
        <v>8</v>
      </c>
      <c r="P2189" s="32">
        <v>81</v>
      </c>
      <c r="Q2189" s="1"/>
      <c r="R2189" s="1"/>
      <c r="S2189" s="1"/>
      <c r="T2189" s="1"/>
      <c r="U2189" s="1"/>
      <c r="V2189" s="1"/>
      <c r="W2189" s="1" t="s">
        <v>2193</v>
      </c>
      <c r="X2189" s="1" t="s">
        <v>2193</v>
      </c>
      <c r="Y2189" s="1" t="s">
        <v>2193</v>
      </c>
      <c r="Z2189" s="1" t="s">
        <v>2193</v>
      </c>
      <c r="AA2189" s="1" t="s">
        <v>2193</v>
      </c>
      <c r="AB2189" s="1">
        <v>4288</v>
      </c>
      <c r="AC2189" s="8"/>
      <c r="AD2189" s="12" t="s">
        <v>52</v>
      </c>
      <c r="AE2189" s="39" t="str">
        <f t="shared" si="242"/>
        <v>8121,8122</v>
      </c>
      <c r="AF2189" s="12"/>
      <c r="AG2189" s="12"/>
      <c r="AH2189" s="12"/>
      <c r="AI2189" s="12"/>
      <c r="AJ2189" s="12"/>
      <c r="AK2189" s="12"/>
      <c r="AL2189" s="12"/>
      <c r="AM2189" s="12"/>
      <c r="AN2189" s="12"/>
      <c r="AO2189" s="12"/>
      <c r="AP2189" s="12"/>
      <c r="AQ2189" s="8"/>
      <c r="AR2189" s="34">
        <v>1</v>
      </c>
      <c r="AS2189" s="34">
        <v>1</v>
      </c>
      <c r="AT2189" s="8"/>
      <c r="AU2189" s="12" t="s">
        <v>1976</v>
      </c>
      <c r="AW2189" s="36">
        <v>2</v>
      </c>
      <c r="AX2189" s="33">
        <f>VLOOKUP(AW2189,색인!$N$14:$O$19,2,FALSE)</f>
        <v>1</v>
      </c>
      <c r="AY2189" s="36" t="str">
        <f>"T"&amp;O2189&amp;"_"&amp;AX2189&amp;"옵션_"&amp;VLOOKUP(E2189,색인!$J$25:$K$29,2,FALSE)</f>
        <v>T8_1옵션_보조장비</v>
      </c>
      <c r="AZ2189" s="36">
        <f>VLOOKUP(G2189,색인!$J$32:$K$45,2,FALSE)</f>
        <v>4</v>
      </c>
      <c r="BA2189" s="36" t="str">
        <f>_xlfn.IFNA(VLOOKUP(AY2189,표1[[검색용]:[OptionGroupIndex'[']22]],EquipItemTable!AZ2189,FALSE),"옵션고정안함")</f>
        <v>8121,8122</v>
      </c>
    </row>
    <row r="2190" spans="1:53" s="33" customFormat="1" ht="12" x14ac:dyDescent="0.2">
      <c r="A2190" s="31" t="s">
        <v>2693</v>
      </c>
      <c r="B2190" s="39">
        <v>810013</v>
      </c>
      <c r="C2190" s="42" t="s">
        <v>3764</v>
      </c>
      <c r="D2190" s="86" t="s">
        <v>2954</v>
      </c>
      <c r="E2190" s="86" t="s">
        <v>501</v>
      </c>
      <c r="F2190" s="32" t="s">
        <v>480</v>
      </c>
      <c r="G2190" s="32" t="s">
        <v>1453</v>
      </c>
      <c r="H2190" s="32"/>
      <c r="I2190" s="32"/>
      <c r="J2190" s="32"/>
      <c r="K2190" s="32"/>
      <c r="L2190" s="32"/>
      <c r="M2190" s="32"/>
      <c r="N2190" s="8"/>
      <c r="O2190" s="32">
        <v>8</v>
      </c>
      <c r="P2190" s="32">
        <v>81</v>
      </c>
      <c r="Q2190" s="1"/>
      <c r="R2190" s="1"/>
      <c r="S2190" s="1"/>
      <c r="T2190" s="1"/>
      <c r="U2190" s="1"/>
      <c r="V2190" s="1"/>
      <c r="W2190" s="1" t="s">
        <v>2193</v>
      </c>
      <c r="X2190" s="1" t="s">
        <v>2193</v>
      </c>
      <c r="Y2190" s="1" t="s">
        <v>2193</v>
      </c>
      <c r="Z2190" s="1" t="s">
        <v>2193</v>
      </c>
      <c r="AA2190" s="1" t="s">
        <v>2193</v>
      </c>
      <c r="AB2190" s="1">
        <v>4563</v>
      </c>
      <c r="AC2190" s="8"/>
      <c r="AD2190" s="12" t="s">
        <v>52</v>
      </c>
      <c r="AE2190" s="39" t="str">
        <f t="shared" si="242"/>
        <v>8221,8222</v>
      </c>
      <c r="AF2190" s="12"/>
      <c r="AG2190" s="12"/>
      <c r="AH2190" s="12"/>
      <c r="AI2190" s="12"/>
      <c r="AJ2190" s="12"/>
      <c r="AK2190" s="12"/>
      <c r="AL2190" s="12"/>
      <c r="AM2190" s="12"/>
      <c r="AN2190" s="12"/>
      <c r="AO2190" s="12"/>
      <c r="AP2190" s="12"/>
      <c r="AQ2190" s="8"/>
      <c r="AR2190" s="34">
        <v>1</v>
      </c>
      <c r="AS2190" s="34">
        <v>1</v>
      </c>
      <c r="AT2190" s="8"/>
      <c r="AU2190" s="12" t="s">
        <v>1978</v>
      </c>
      <c r="AW2190" s="36">
        <v>3</v>
      </c>
      <c r="AX2190" s="33">
        <f>VLOOKUP(AW2190,색인!$N$14:$O$19,2,FALSE)</f>
        <v>2</v>
      </c>
      <c r="AY2190" s="36" t="str">
        <f>"T"&amp;O2190&amp;"_"&amp;AX2190&amp;"옵션_"&amp;VLOOKUP(E2190,색인!$J$25:$K$29,2,FALSE)</f>
        <v>T8_2옵션_보조장비</v>
      </c>
      <c r="AZ2190" s="36">
        <f>VLOOKUP(G2190,색인!$J$32:$K$45,2,FALSE)</f>
        <v>4</v>
      </c>
      <c r="BA2190" s="36" t="str">
        <f>_xlfn.IFNA(VLOOKUP(AY2190,표1[[검색용]:[OptionGroupIndex'[']22]],EquipItemTable!AZ2190,FALSE),"옵션고정안함")</f>
        <v>8221,8222</v>
      </c>
    </row>
    <row r="2191" spans="1:53" s="33" customFormat="1" ht="12" x14ac:dyDescent="0.2">
      <c r="A2191" s="31" t="s">
        <v>2694</v>
      </c>
      <c r="B2191" s="39">
        <v>810014</v>
      </c>
      <c r="C2191" s="42" t="s">
        <v>3785</v>
      </c>
      <c r="D2191" s="86" t="s">
        <v>2954</v>
      </c>
      <c r="E2191" s="86" t="s">
        <v>501</v>
      </c>
      <c r="F2191" s="32" t="s">
        <v>480</v>
      </c>
      <c r="G2191" s="32" t="s">
        <v>1453</v>
      </c>
      <c r="H2191" s="32"/>
      <c r="I2191" s="32"/>
      <c r="J2191" s="32"/>
      <c r="K2191" s="32"/>
      <c r="L2191" s="32"/>
      <c r="M2191" s="32"/>
      <c r="N2191" s="8"/>
      <c r="O2191" s="32">
        <v>8</v>
      </c>
      <c r="P2191" s="32">
        <v>81</v>
      </c>
      <c r="Q2191" s="1"/>
      <c r="R2191" s="1"/>
      <c r="S2191" s="1"/>
      <c r="T2191" s="1"/>
      <c r="U2191" s="1"/>
      <c r="V2191" s="1"/>
      <c r="W2191" s="1" t="s">
        <v>2193</v>
      </c>
      <c r="X2191" s="1" t="s">
        <v>2193</v>
      </c>
      <c r="Y2191" s="1" t="s">
        <v>2193</v>
      </c>
      <c r="Z2191" s="1" t="s">
        <v>2193</v>
      </c>
      <c r="AA2191" s="1" t="s">
        <v>2193</v>
      </c>
      <c r="AB2191" s="1">
        <v>4850</v>
      </c>
      <c r="AC2191" s="8"/>
      <c r="AD2191" s="12" t="s">
        <v>52</v>
      </c>
      <c r="AE2191" s="39" t="str">
        <f t="shared" si="242"/>
        <v>8321,8322</v>
      </c>
      <c r="AF2191" s="12"/>
      <c r="AG2191" s="12"/>
      <c r="AH2191" s="12"/>
      <c r="AI2191" s="12"/>
      <c r="AJ2191" s="12"/>
      <c r="AK2191" s="12"/>
      <c r="AL2191" s="12"/>
      <c r="AM2191" s="12"/>
      <c r="AN2191" s="12"/>
      <c r="AO2191" s="12"/>
      <c r="AP2191" s="12"/>
      <c r="AQ2191" s="8"/>
      <c r="AR2191" s="34">
        <v>1</v>
      </c>
      <c r="AS2191" s="34">
        <v>1</v>
      </c>
      <c r="AT2191" s="8"/>
      <c r="AU2191" s="12" t="s">
        <v>1980</v>
      </c>
      <c r="AW2191" s="36">
        <v>4</v>
      </c>
      <c r="AX2191" s="33">
        <f>VLOOKUP(AW2191,색인!$N$14:$O$19,2,FALSE)</f>
        <v>3</v>
      </c>
      <c r="AY2191" s="36" t="str">
        <f>"T"&amp;O2191&amp;"_"&amp;AX2191&amp;"옵션_"&amp;VLOOKUP(E2191,색인!$J$25:$K$29,2,FALSE)</f>
        <v>T8_3옵션_보조장비</v>
      </c>
      <c r="AZ2191" s="36">
        <f>VLOOKUP(G2191,색인!$J$32:$K$45,2,FALSE)</f>
        <v>4</v>
      </c>
      <c r="BA2191" s="36" t="str">
        <f>_xlfn.IFNA(VLOOKUP(AY2191,표1[[검색용]:[OptionGroupIndex'[']22]],EquipItemTable!AZ2191,FALSE),"옵션고정안함")</f>
        <v>8321,8322</v>
      </c>
    </row>
    <row r="2192" spans="1:53" s="33" customFormat="1" ht="12" customHeight="1" x14ac:dyDescent="0.2">
      <c r="A2192" s="31" t="s">
        <v>2695</v>
      </c>
      <c r="B2192" s="39">
        <v>810015</v>
      </c>
      <c r="C2192" s="42" t="s">
        <v>3774</v>
      </c>
      <c r="D2192" s="86" t="s">
        <v>2954</v>
      </c>
      <c r="E2192" s="86" t="s">
        <v>501</v>
      </c>
      <c r="F2192" s="32" t="s">
        <v>480</v>
      </c>
      <c r="G2192" s="32" t="s">
        <v>1453</v>
      </c>
      <c r="H2192" s="32"/>
      <c r="I2192" s="32"/>
      <c r="J2192" s="32"/>
      <c r="K2192" s="32"/>
      <c r="L2192" s="32"/>
      <c r="M2192" s="32"/>
      <c r="N2192" s="8"/>
      <c r="O2192" s="32">
        <v>8</v>
      </c>
      <c r="P2192" s="32">
        <v>81</v>
      </c>
      <c r="Q2192" s="1"/>
      <c r="R2192" s="1"/>
      <c r="S2192" s="1"/>
      <c r="T2192" s="1"/>
      <c r="U2192" s="1"/>
      <c r="V2192" s="1"/>
      <c r="W2192" s="1" t="s">
        <v>2193</v>
      </c>
      <c r="X2192" s="1" t="s">
        <v>2193</v>
      </c>
      <c r="Y2192" s="1" t="s">
        <v>2193</v>
      </c>
      <c r="Z2192" s="1" t="s">
        <v>2193</v>
      </c>
      <c r="AA2192" s="1" t="s">
        <v>2193</v>
      </c>
      <c r="AB2192" s="1">
        <v>5089</v>
      </c>
      <c r="AC2192" s="8"/>
      <c r="AD2192" s="12" t="s">
        <v>52</v>
      </c>
      <c r="AE2192" s="39" t="str">
        <f t="shared" si="242"/>
        <v>8321,8322</v>
      </c>
      <c r="AF2192" s="12"/>
      <c r="AG2192" s="12"/>
      <c r="AH2192" s="12"/>
      <c r="AI2192" s="12"/>
      <c r="AJ2192" s="12"/>
      <c r="AK2192" s="12"/>
      <c r="AL2192" s="12"/>
      <c r="AM2192" s="12"/>
      <c r="AN2192" s="12" t="s">
        <v>2834</v>
      </c>
      <c r="AO2192" s="12"/>
      <c r="AP2192" s="12"/>
      <c r="AQ2192" s="8"/>
      <c r="AR2192" s="34">
        <v>1</v>
      </c>
      <c r="AS2192" s="34">
        <v>1</v>
      </c>
      <c r="AT2192" s="8"/>
      <c r="AU2192" s="12" t="s">
        <v>1982</v>
      </c>
      <c r="AW2192" s="36">
        <v>5</v>
      </c>
      <c r="AX2192" s="33">
        <f>VLOOKUP(AW2192,색인!$N$14:$O$19,2,FALSE)</f>
        <v>3</v>
      </c>
      <c r="AY2192" s="36" t="str">
        <f>"T"&amp;O2192&amp;"_"&amp;AX2192&amp;"옵션_"&amp;VLOOKUP(E2192,색인!$J$25:$K$29,2,FALSE)</f>
        <v>T8_3옵션_보조장비</v>
      </c>
      <c r="AZ2192" s="36">
        <f>VLOOKUP(G2192,색인!$J$32:$K$45,2,FALSE)</f>
        <v>4</v>
      </c>
      <c r="BA2192" s="36" t="str">
        <f>_xlfn.IFNA(VLOOKUP(AY2192,표1[[검색용]:[OptionGroupIndex'[']22]],EquipItemTable!AZ2192,FALSE),"옵션고정안함")</f>
        <v>8321,8322</v>
      </c>
    </row>
    <row r="2193" spans="1:53" s="33" customFormat="1" ht="12" customHeight="1" x14ac:dyDescent="0.2">
      <c r="A2193" s="31" t="s">
        <v>2696</v>
      </c>
      <c r="B2193" s="39">
        <v>811012</v>
      </c>
      <c r="C2193" s="42" t="s">
        <v>3805</v>
      </c>
      <c r="D2193" s="86" t="s">
        <v>2954</v>
      </c>
      <c r="E2193" s="86" t="s">
        <v>501</v>
      </c>
      <c r="F2193" s="32" t="s">
        <v>311</v>
      </c>
      <c r="G2193" s="32" t="s">
        <v>1472</v>
      </c>
      <c r="H2193" s="32"/>
      <c r="I2193" s="32"/>
      <c r="J2193" s="32"/>
      <c r="K2193" s="32"/>
      <c r="L2193" s="32"/>
      <c r="M2193" s="32"/>
      <c r="N2193" s="8"/>
      <c r="O2193" s="32">
        <v>8</v>
      </c>
      <c r="P2193" s="32">
        <v>81</v>
      </c>
      <c r="Q2193" s="1"/>
      <c r="R2193" s="1"/>
      <c r="S2193" s="1"/>
      <c r="T2193" s="1"/>
      <c r="U2193" s="1"/>
      <c r="V2193" s="1"/>
      <c r="W2193" s="1" t="s">
        <v>2193</v>
      </c>
      <c r="X2193" s="1" t="s">
        <v>2193</v>
      </c>
      <c r="Y2193" s="1" t="s">
        <v>2193</v>
      </c>
      <c r="Z2193" s="1" t="s">
        <v>2193</v>
      </c>
      <c r="AA2193" s="1" t="s">
        <v>2193</v>
      </c>
      <c r="AB2193" s="1">
        <v>1432</v>
      </c>
      <c r="AC2193" s="8"/>
      <c r="AD2193" s="12" t="s">
        <v>52</v>
      </c>
      <c r="AE2193" s="39" t="str">
        <f t="shared" si="242"/>
        <v>8121</v>
      </c>
      <c r="AF2193" s="12"/>
      <c r="AG2193" s="12"/>
      <c r="AH2193" s="12"/>
      <c r="AI2193" s="12"/>
      <c r="AJ2193" s="12"/>
      <c r="AK2193" s="12"/>
      <c r="AL2193" s="12"/>
      <c r="AM2193" s="12"/>
      <c r="AN2193" s="12"/>
      <c r="AO2193" s="12"/>
      <c r="AP2193" s="12"/>
      <c r="AQ2193" s="8"/>
      <c r="AR2193" s="34">
        <v>1</v>
      </c>
      <c r="AS2193" s="34">
        <v>1</v>
      </c>
      <c r="AT2193" s="8"/>
      <c r="AU2193" s="12" t="s">
        <v>1976</v>
      </c>
      <c r="AW2193" s="36">
        <v>2</v>
      </c>
      <c r="AX2193" s="33">
        <f>VLOOKUP(AW2193,색인!$N$14:$O$19,2,FALSE)</f>
        <v>1</v>
      </c>
      <c r="AY2193" s="36" t="str">
        <f>"T"&amp;O2193&amp;"_"&amp;AX2193&amp;"옵션_"&amp;VLOOKUP(E2193,색인!$J$25:$K$29,2,FALSE)</f>
        <v>T8_1옵션_보조장비</v>
      </c>
      <c r="AZ2193" s="36">
        <f>VLOOKUP(G2193,색인!$J$32:$K$45,2,FALSE)</f>
        <v>2</v>
      </c>
      <c r="BA2193" s="36" t="str">
        <f>_xlfn.IFNA(VLOOKUP(AY2193,표1[[검색용]:[OptionGroupIndex'[']22]],EquipItemTable!AZ2193,FALSE),"옵션고정안함")</f>
        <v>8121</v>
      </c>
    </row>
    <row r="2194" spans="1:53" s="33" customFormat="1" ht="12" customHeight="1" x14ac:dyDescent="0.2">
      <c r="A2194" s="31" t="s">
        <v>2697</v>
      </c>
      <c r="B2194" s="39">
        <v>811013</v>
      </c>
      <c r="C2194" s="42" t="s">
        <v>3806</v>
      </c>
      <c r="D2194" s="86" t="s">
        <v>2954</v>
      </c>
      <c r="E2194" s="86" t="s">
        <v>501</v>
      </c>
      <c r="F2194" s="32" t="s">
        <v>311</v>
      </c>
      <c r="G2194" s="32" t="s">
        <v>1472</v>
      </c>
      <c r="H2194" s="32"/>
      <c r="I2194" s="32"/>
      <c r="J2194" s="32"/>
      <c r="K2194" s="32"/>
      <c r="L2194" s="32"/>
      <c r="M2194" s="32"/>
      <c r="N2194" s="8"/>
      <c r="O2194" s="32">
        <v>8</v>
      </c>
      <c r="P2194" s="32">
        <v>81</v>
      </c>
      <c r="Q2194" s="1"/>
      <c r="R2194" s="1"/>
      <c r="S2194" s="1"/>
      <c r="T2194" s="1"/>
      <c r="U2194" s="1"/>
      <c r="V2194" s="1"/>
      <c r="W2194" s="1" t="s">
        <v>2193</v>
      </c>
      <c r="X2194" s="1" t="s">
        <v>2193</v>
      </c>
      <c r="Y2194" s="1" t="s">
        <v>2193</v>
      </c>
      <c r="Z2194" s="1" t="s">
        <v>2193</v>
      </c>
      <c r="AA2194" s="1" t="s">
        <v>2193</v>
      </c>
      <c r="AB2194" s="1">
        <v>1521</v>
      </c>
      <c r="AC2194" s="8"/>
      <c r="AD2194" s="12" t="s">
        <v>52</v>
      </c>
      <c r="AE2194" s="39" t="str">
        <f t="shared" si="242"/>
        <v>8221</v>
      </c>
      <c r="AF2194" s="12"/>
      <c r="AG2194" s="12"/>
      <c r="AH2194" s="12"/>
      <c r="AI2194" s="12"/>
      <c r="AJ2194" s="12"/>
      <c r="AK2194" s="12"/>
      <c r="AL2194" s="12"/>
      <c r="AM2194" s="12"/>
      <c r="AN2194" s="12"/>
      <c r="AO2194" s="12"/>
      <c r="AP2194" s="12"/>
      <c r="AQ2194" s="8"/>
      <c r="AR2194" s="34">
        <v>1</v>
      </c>
      <c r="AS2194" s="34">
        <v>1</v>
      </c>
      <c r="AT2194" s="8"/>
      <c r="AU2194" s="12" t="s">
        <v>1978</v>
      </c>
      <c r="AW2194" s="36">
        <v>3</v>
      </c>
      <c r="AX2194" s="33">
        <f>VLOOKUP(AW2194,색인!$N$14:$O$19,2,FALSE)</f>
        <v>2</v>
      </c>
      <c r="AY2194" s="36" t="str">
        <f>"T"&amp;O2194&amp;"_"&amp;AX2194&amp;"옵션_"&amp;VLOOKUP(E2194,색인!$J$25:$K$29,2,FALSE)</f>
        <v>T8_2옵션_보조장비</v>
      </c>
      <c r="AZ2194" s="36">
        <f>VLOOKUP(G2194,색인!$J$32:$K$45,2,FALSE)</f>
        <v>2</v>
      </c>
      <c r="BA2194" s="36" t="str">
        <f>_xlfn.IFNA(VLOOKUP(AY2194,표1[[검색용]:[OptionGroupIndex'[']22]],EquipItemTable!AZ2194,FALSE),"옵션고정안함")</f>
        <v>8221</v>
      </c>
    </row>
    <row r="2195" spans="1:53" s="33" customFormat="1" ht="12" customHeight="1" x14ac:dyDescent="0.2">
      <c r="A2195" s="31" t="s">
        <v>2698</v>
      </c>
      <c r="B2195" s="39">
        <v>811014</v>
      </c>
      <c r="C2195" s="42" t="s">
        <v>3799</v>
      </c>
      <c r="D2195" s="86" t="s">
        <v>2954</v>
      </c>
      <c r="E2195" s="86" t="s">
        <v>501</v>
      </c>
      <c r="F2195" s="32" t="s">
        <v>311</v>
      </c>
      <c r="G2195" s="32" t="s">
        <v>1472</v>
      </c>
      <c r="H2195" s="32"/>
      <c r="I2195" s="32"/>
      <c r="J2195" s="32"/>
      <c r="K2195" s="32"/>
      <c r="L2195" s="32"/>
      <c r="M2195" s="32"/>
      <c r="N2195" s="8"/>
      <c r="O2195" s="32">
        <v>8</v>
      </c>
      <c r="P2195" s="32">
        <v>81</v>
      </c>
      <c r="Q2195" s="1"/>
      <c r="R2195" s="1"/>
      <c r="S2195" s="1"/>
      <c r="T2195" s="1"/>
      <c r="U2195" s="1"/>
      <c r="V2195" s="1"/>
      <c r="W2195" s="1" t="s">
        <v>2193</v>
      </c>
      <c r="X2195" s="1" t="s">
        <v>2193</v>
      </c>
      <c r="Y2195" s="1" t="s">
        <v>2193</v>
      </c>
      <c r="Z2195" s="1" t="s">
        <v>2193</v>
      </c>
      <c r="AA2195" s="1" t="s">
        <v>2193</v>
      </c>
      <c r="AB2195" s="1">
        <v>1617</v>
      </c>
      <c r="AC2195" s="8"/>
      <c r="AD2195" s="12" t="s">
        <v>52</v>
      </c>
      <c r="AE2195" s="39" t="str">
        <f t="shared" si="242"/>
        <v>8321</v>
      </c>
      <c r="AF2195" s="12"/>
      <c r="AG2195" s="12"/>
      <c r="AH2195" s="12"/>
      <c r="AI2195" s="12"/>
      <c r="AJ2195" s="12"/>
      <c r="AK2195" s="12"/>
      <c r="AL2195" s="12"/>
      <c r="AM2195" s="12"/>
      <c r="AN2195" s="12"/>
      <c r="AO2195" s="12"/>
      <c r="AP2195" s="12"/>
      <c r="AQ2195" s="8"/>
      <c r="AR2195" s="34">
        <v>1</v>
      </c>
      <c r="AS2195" s="34">
        <v>1</v>
      </c>
      <c r="AT2195" s="8"/>
      <c r="AU2195" s="12" t="s">
        <v>1980</v>
      </c>
      <c r="AW2195" s="36">
        <v>4</v>
      </c>
      <c r="AX2195" s="33">
        <f>VLOOKUP(AW2195,색인!$N$14:$O$19,2,FALSE)</f>
        <v>3</v>
      </c>
      <c r="AY2195" s="36" t="str">
        <f>"T"&amp;O2195&amp;"_"&amp;AX2195&amp;"옵션_"&amp;VLOOKUP(E2195,색인!$J$25:$K$29,2,FALSE)</f>
        <v>T8_3옵션_보조장비</v>
      </c>
      <c r="AZ2195" s="36">
        <f>VLOOKUP(G2195,색인!$J$32:$K$45,2,FALSE)</f>
        <v>2</v>
      </c>
      <c r="BA2195" s="36" t="str">
        <f>_xlfn.IFNA(VLOOKUP(AY2195,표1[[검색용]:[OptionGroupIndex'[']22]],EquipItemTable!AZ2195,FALSE),"옵션고정안함")</f>
        <v>8321</v>
      </c>
    </row>
    <row r="2196" spans="1:53" s="33" customFormat="1" ht="12" x14ac:dyDescent="0.2">
      <c r="A2196" s="31" t="s">
        <v>2699</v>
      </c>
      <c r="B2196" s="39">
        <v>811015</v>
      </c>
      <c r="C2196" s="42" t="s">
        <v>3816</v>
      </c>
      <c r="D2196" s="86" t="s">
        <v>2954</v>
      </c>
      <c r="E2196" s="86" t="s">
        <v>501</v>
      </c>
      <c r="F2196" s="32" t="s">
        <v>311</v>
      </c>
      <c r="G2196" s="32" t="s">
        <v>1472</v>
      </c>
      <c r="H2196" s="32"/>
      <c r="I2196" s="32"/>
      <c r="J2196" s="32"/>
      <c r="K2196" s="32"/>
      <c r="L2196" s="32"/>
      <c r="M2196" s="32"/>
      <c r="N2196" s="8"/>
      <c r="O2196" s="32">
        <v>8</v>
      </c>
      <c r="P2196" s="32">
        <v>81</v>
      </c>
      <c r="Q2196" s="1"/>
      <c r="R2196" s="1"/>
      <c r="S2196" s="1"/>
      <c r="T2196" s="1"/>
      <c r="U2196" s="1"/>
      <c r="V2196" s="1"/>
      <c r="W2196" s="1" t="s">
        <v>2193</v>
      </c>
      <c r="X2196" s="1" t="s">
        <v>2193</v>
      </c>
      <c r="Y2196" s="1" t="s">
        <v>2193</v>
      </c>
      <c r="Z2196" s="1" t="s">
        <v>2193</v>
      </c>
      <c r="AA2196" s="1" t="s">
        <v>2193</v>
      </c>
      <c r="AB2196" s="1">
        <v>1698</v>
      </c>
      <c r="AC2196" s="8"/>
      <c r="AD2196" s="12" t="s">
        <v>52</v>
      </c>
      <c r="AE2196" s="39" t="str">
        <f t="shared" si="242"/>
        <v>8321</v>
      </c>
      <c r="AF2196" s="12"/>
      <c r="AG2196" s="12"/>
      <c r="AH2196" s="12"/>
      <c r="AI2196" s="12"/>
      <c r="AJ2196" s="12"/>
      <c r="AK2196" s="12"/>
      <c r="AL2196" s="12"/>
      <c r="AM2196" s="12"/>
      <c r="AN2196" s="12" t="s">
        <v>2834</v>
      </c>
      <c r="AO2196" s="12"/>
      <c r="AP2196" s="12"/>
      <c r="AQ2196" s="8"/>
      <c r="AR2196" s="34">
        <v>1</v>
      </c>
      <c r="AS2196" s="34">
        <v>1</v>
      </c>
      <c r="AT2196" s="8"/>
      <c r="AU2196" s="12" t="s">
        <v>1982</v>
      </c>
      <c r="AW2196" s="36">
        <v>5</v>
      </c>
      <c r="AX2196" s="33">
        <f>VLOOKUP(AW2196,색인!$N$14:$O$19,2,FALSE)</f>
        <v>3</v>
      </c>
      <c r="AY2196" s="36" t="str">
        <f>"T"&amp;O2196&amp;"_"&amp;AX2196&amp;"옵션_"&amp;VLOOKUP(E2196,색인!$J$25:$K$29,2,FALSE)</f>
        <v>T8_3옵션_보조장비</v>
      </c>
      <c r="AZ2196" s="36">
        <f>VLOOKUP(G2196,색인!$J$32:$K$45,2,FALSE)</f>
        <v>2</v>
      </c>
      <c r="BA2196" s="36" t="str">
        <f>_xlfn.IFNA(VLOOKUP(AY2196,표1[[검색용]:[OptionGroupIndex'[']22]],EquipItemTable!AZ2196,FALSE),"옵션고정안함")</f>
        <v>8321</v>
      </c>
    </row>
    <row r="2197" spans="1:53" s="33" customFormat="1" ht="12" customHeight="1" x14ac:dyDescent="0.2">
      <c r="A2197" s="31" t="s">
        <v>2700</v>
      </c>
      <c r="B2197" s="39">
        <v>812012</v>
      </c>
      <c r="C2197" s="42" t="s">
        <v>3847</v>
      </c>
      <c r="D2197" s="86" t="s">
        <v>2954</v>
      </c>
      <c r="E2197" s="86" t="s">
        <v>501</v>
      </c>
      <c r="F2197" s="32" t="s">
        <v>471</v>
      </c>
      <c r="G2197" s="32" t="s">
        <v>1491</v>
      </c>
      <c r="H2197" s="32"/>
      <c r="I2197" s="32"/>
      <c r="J2197" s="32"/>
      <c r="K2197" s="32"/>
      <c r="L2197" s="32"/>
      <c r="M2197" s="32"/>
      <c r="N2197" s="8"/>
      <c r="O2197" s="32">
        <v>8</v>
      </c>
      <c r="P2197" s="32">
        <v>81</v>
      </c>
      <c r="Q2197" s="1"/>
      <c r="R2197" s="1"/>
      <c r="S2197" s="1"/>
      <c r="T2197" s="1"/>
      <c r="U2197" s="1"/>
      <c r="V2197" s="1"/>
      <c r="W2197" s="1" t="s">
        <v>2193</v>
      </c>
      <c r="X2197" s="1" t="s">
        <v>2193</v>
      </c>
      <c r="Y2197" s="1" t="s">
        <v>2193</v>
      </c>
      <c r="Z2197" s="1" t="s">
        <v>2193</v>
      </c>
      <c r="AA2197" s="1" t="s">
        <v>2193</v>
      </c>
      <c r="AB2197" s="1">
        <v>2860</v>
      </c>
      <c r="AC2197" s="8"/>
      <c r="AD2197" s="12" t="s">
        <v>52</v>
      </c>
      <c r="AE2197" s="39" t="str">
        <f t="shared" si="242"/>
        <v>8121</v>
      </c>
      <c r="AF2197" s="12"/>
      <c r="AG2197" s="12"/>
      <c r="AH2197" s="12"/>
      <c r="AI2197" s="12"/>
      <c r="AJ2197" s="12"/>
      <c r="AK2197" s="12"/>
      <c r="AL2197" s="12"/>
      <c r="AM2197" s="12"/>
      <c r="AN2197" s="12"/>
      <c r="AO2197" s="12"/>
      <c r="AP2197" s="12"/>
      <c r="AQ2197" s="8"/>
      <c r="AR2197" s="34">
        <v>1</v>
      </c>
      <c r="AS2197" s="34">
        <v>1</v>
      </c>
      <c r="AT2197" s="8"/>
      <c r="AU2197" s="12" t="s">
        <v>1976</v>
      </c>
      <c r="AW2197" s="36">
        <v>2</v>
      </c>
      <c r="AX2197" s="33">
        <f>VLOOKUP(AW2197,색인!$N$14:$O$19,2,FALSE)</f>
        <v>1</v>
      </c>
      <c r="AY2197" s="36" t="str">
        <f>"T"&amp;O2197&amp;"_"&amp;AX2197&amp;"옵션_"&amp;VLOOKUP(E2197,색인!$J$25:$K$29,2,FALSE)</f>
        <v>T8_1옵션_보조장비</v>
      </c>
      <c r="AZ2197" s="36">
        <f>VLOOKUP(G2197,색인!$J$32:$K$45,2,FALSE)</f>
        <v>2</v>
      </c>
      <c r="BA2197" s="36" t="str">
        <f>_xlfn.IFNA(VLOOKUP(AY2197,표1[[검색용]:[OptionGroupIndex'[']22]],EquipItemTable!AZ2197,FALSE),"옵션고정안함")</f>
        <v>8121</v>
      </c>
    </row>
    <row r="2198" spans="1:53" s="33" customFormat="1" ht="12" customHeight="1" x14ac:dyDescent="0.2">
      <c r="A2198" s="31" t="s">
        <v>2701</v>
      </c>
      <c r="B2198" s="39">
        <v>812013</v>
      </c>
      <c r="C2198" s="42" t="s">
        <v>3868</v>
      </c>
      <c r="D2198" s="86" t="s">
        <v>2954</v>
      </c>
      <c r="E2198" s="86" t="s">
        <v>501</v>
      </c>
      <c r="F2198" s="32" t="s">
        <v>471</v>
      </c>
      <c r="G2198" s="32" t="s">
        <v>1491</v>
      </c>
      <c r="H2198" s="32"/>
      <c r="I2198" s="32"/>
      <c r="J2198" s="32"/>
      <c r="K2198" s="32"/>
      <c r="L2198" s="32"/>
      <c r="M2198" s="32"/>
      <c r="N2198" s="8"/>
      <c r="O2198" s="32">
        <v>8</v>
      </c>
      <c r="P2198" s="32">
        <v>81</v>
      </c>
      <c r="Q2198" s="1"/>
      <c r="R2198" s="1"/>
      <c r="S2198" s="1"/>
      <c r="T2198" s="1"/>
      <c r="U2198" s="1"/>
      <c r="V2198" s="1"/>
      <c r="W2198" s="1" t="s">
        <v>2193</v>
      </c>
      <c r="X2198" s="1" t="s">
        <v>2193</v>
      </c>
      <c r="Y2198" s="1" t="s">
        <v>2193</v>
      </c>
      <c r="Z2198" s="1" t="s">
        <v>2193</v>
      </c>
      <c r="AA2198" s="1" t="s">
        <v>2193</v>
      </c>
      <c r="AB2198" s="1">
        <v>3042</v>
      </c>
      <c r="AC2198" s="8"/>
      <c r="AD2198" s="12" t="s">
        <v>52</v>
      </c>
      <c r="AE2198" s="39" t="str">
        <f t="shared" si="242"/>
        <v>8221</v>
      </c>
      <c r="AF2198" s="12"/>
      <c r="AG2198" s="12"/>
      <c r="AH2198" s="12"/>
      <c r="AI2198" s="12"/>
      <c r="AJ2198" s="12"/>
      <c r="AK2198" s="12"/>
      <c r="AL2198" s="12"/>
      <c r="AM2198" s="12"/>
      <c r="AN2198" s="12"/>
      <c r="AO2198" s="12"/>
      <c r="AP2198" s="12"/>
      <c r="AQ2198" s="8"/>
      <c r="AR2198" s="34">
        <v>1</v>
      </c>
      <c r="AS2198" s="34">
        <v>1</v>
      </c>
      <c r="AT2198" s="8"/>
      <c r="AU2198" s="12" t="s">
        <v>1978</v>
      </c>
      <c r="AW2198" s="36">
        <v>3</v>
      </c>
      <c r="AX2198" s="33">
        <f>VLOOKUP(AW2198,색인!$N$14:$O$19,2,FALSE)</f>
        <v>2</v>
      </c>
      <c r="AY2198" s="36" t="str">
        <f>"T"&amp;O2198&amp;"_"&amp;AX2198&amp;"옵션_"&amp;VLOOKUP(E2198,색인!$J$25:$K$29,2,FALSE)</f>
        <v>T8_2옵션_보조장비</v>
      </c>
      <c r="AZ2198" s="36">
        <f>VLOOKUP(G2198,색인!$J$32:$K$45,2,FALSE)</f>
        <v>2</v>
      </c>
      <c r="BA2198" s="36" t="str">
        <f>_xlfn.IFNA(VLOOKUP(AY2198,표1[[검색용]:[OptionGroupIndex'[']22]],EquipItemTable!AZ2198,FALSE),"옵션고정안함")</f>
        <v>8221</v>
      </c>
    </row>
    <row r="2199" spans="1:53" s="33" customFormat="1" ht="12" customHeight="1" x14ac:dyDescent="0.2">
      <c r="A2199" s="31" t="s">
        <v>2702</v>
      </c>
      <c r="B2199" s="39">
        <v>812014</v>
      </c>
      <c r="C2199" s="42" t="s">
        <v>3837</v>
      </c>
      <c r="D2199" s="86" t="s">
        <v>2954</v>
      </c>
      <c r="E2199" s="86" t="s">
        <v>501</v>
      </c>
      <c r="F2199" s="32" t="s">
        <v>471</v>
      </c>
      <c r="G2199" s="32" t="s">
        <v>1491</v>
      </c>
      <c r="H2199" s="32"/>
      <c r="I2199" s="32"/>
      <c r="J2199" s="32"/>
      <c r="K2199" s="32"/>
      <c r="L2199" s="32"/>
      <c r="M2199" s="32"/>
      <c r="N2199" s="8"/>
      <c r="O2199" s="32">
        <v>8</v>
      </c>
      <c r="P2199" s="32">
        <v>81</v>
      </c>
      <c r="Q2199" s="1"/>
      <c r="R2199" s="1"/>
      <c r="S2199" s="1"/>
      <c r="T2199" s="1"/>
      <c r="U2199" s="1"/>
      <c r="V2199" s="1"/>
      <c r="W2199" s="1" t="s">
        <v>2193</v>
      </c>
      <c r="X2199" s="1" t="s">
        <v>2193</v>
      </c>
      <c r="Y2199" s="1" t="s">
        <v>2193</v>
      </c>
      <c r="Z2199" s="1" t="s">
        <v>2193</v>
      </c>
      <c r="AA2199" s="1" t="s">
        <v>2193</v>
      </c>
      <c r="AB2199" s="1">
        <v>3234</v>
      </c>
      <c r="AC2199" s="8"/>
      <c r="AD2199" s="12" t="s">
        <v>52</v>
      </c>
      <c r="AE2199" s="39" t="str">
        <f t="shared" si="242"/>
        <v>8321</v>
      </c>
      <c r="AF2199" s="12"/>
      <c r="AG2199" s="12"/>
      <c r="AH2199" s="12"/>
      <c r="AI2199" s="12"/>
      <c r="AJ2199" s="12"/>
      <c r="AK2199" s="12"/>
      <c r="AL2199" s="12"/>
      <c r="AM2199" s="12"/>
      <c r="AN2199" s="12"/>
      <c r="AO2199" s="12"/>
      <c r="AP2199" s="12"/>
      <c r="AQ2199" s="8"/>
      <c r="AR2199" s="34">
        <v>1</v>
      </c>
      <c r="AS2199" s="34">
        <v>1</v>
      </c>
      <c r="AT2199" s="8"/>
      <c r="AU2199" s="12" t="s">
        <v>1980</v>
      </c>
      <c r="AW2199" s="36">
        <v>4</v>
      </c>
      <c r="AX2199" s="33">
        <f>VLOOKUP(AW2199,색인!$N$14:$O$19,2,FALSE)</f>
        <v>3</v>
      </c>
      <c r="AY2199" s="36" t="str">
        <f>"T"&amp;O2199&amp;"_"&amp;AX2199&amp;"옵션_"&amp;VLOOKUP(E2199,색인!$J$25:$K$29,2,FALSE)</f>
        <v>T8_3옵션_보조장비</v>
      </c>
      <c r="AZ2199" s="36">
        <f>VLOOKUP(G2199,색인!$J$32:$K$45,2,FALSE)</f>
        <v>2</v>
      </c>
      <c r="BA2199" s="36" t="str">
        <f>_xlfn.IFNA(VLOOKUP(AY2199,표1[[검색용]:[OptionGroupIndex'[']22]],EquipItemTable!AZ2199,FALSE),"옵션고정안함")</f>
        <v>8321</v>
      </c>
    </row>
    <row r="2200" spans="1:53" s="33" customFormat="1" ht="12" customHeight="1" x14ac:dyDescent="0.2">
      <c r="A2200" s="31" t="s">
        <v>2703</v>
      </c>
      <c r="B2200" s="39">
        <v>812015</v>
      </c>
      <c r="C2200" s="42" t="s">
        <v>3858</v>
      </c>
      <c r="D2200" s="86" t="s">
        <v>2954</v>
      </c>
      <c r="E2200" s="86" t="s">
        <v>501</v>
      </c>
      <c r="F2200" s="32" t="s">
        <v>471</v>
      </c>
      <c r="G2200" s="32" t="s">
        <v>1491</v>
      </c>
      <c r="H2200" s="32"/>
      <c r="I2200" s="32"/>
      <c r="J2200" s="32"/>
      <c r="K2200" s="32"/>
      <c r="L2200" s="32"/>
      <c r="M2200" s="32"/>
      <c r="N2200" s="8"/>
      <c r="O2200" s="32">
        <v>8</v>
      </c>
      <c r="P2200" s="32">
        <v>81</v>
      </c>
      <c r="Q2200" s="1"/>
      <c r="R2200" s="1"/>
      <c r="S2200" s="1"/>
      <c r="T2200" s="1"/>
      <c r="U2200" s="1"/>
      <c r="V2200" s="1"/>
      <c r="W2200" s="1" t="s">
        <v>2193</v>
      </c>
      <c r="X2200" s="1" t="s">
        <v>2193</v>
      </c>
      <c r="Y2200" s="1" t="s">
        <v>2193</v>
      </c>
      <c r="Z2200" s="1" t="s">
        <v>2193</v>
      </c>
      <c r="AA2200" s="1" t="s">
        <v>2193</v>
      </c>
      <c r="AB2200" s="1">
        <v>3392</v>
      </c>
      <c r="AC2200" s="8"/>
      <c r="AD2200" s="12" t="s">
        <v>52</v>
      </c>
      <c r="AE2200" s="39" t="str">
        <f t="shared" si="242"/>
        <v>8321</v>
      </c>
      <c r="AF2200" s="12"/>
      <c r="AG2200" s="12"/>
      <c r="AH2200" s="12"/>
      <c r="AI2200" s="12"/>
      <c r="AJ2200" s="12"/>
      <c r="AK2200" s="12"/>
      <c r="AL2200" s="12"/>
      <c r="AM2200" s="12"/>
      <c r="AN2200" s="12" t="s">
        <v>2834</v>
      </c>
      <c r="AO2200" s="12"/>
      <c r="AP2200" s="12"/>
      <c r="AQ2200" s="8"/>
      <c r="AR2200" s="34">
        <v>1</v>
      </c>
      <c r="AS2200" s="34">
        <v>1</v>
      </c>
      <c r="AT2200" s="8"/>
      <c r="AU2200" s="12" t="s">
        <v>1982</v>
      </c>
      <c r="AW2200" s="36">
        <v>5</v>
      </c>
      <c r="AX2200" s="33">
        <f>VLOOKUP(AW2200,색인!$N$14:$O$19,2,FALSE)</f>
        <v>3</v>
      </c>
      <c r="AY2200" s="36" t="str">
        <f>"T"&amp;O2200&amp;"_"&amp;AX2200&amp;"옵션_"&amp;VLOOKUP(E2200,색인!$J$25:$K$29,2,FALSE)</f>
        <v>T8_3옵션_보조장비</v>
      </c>
      <c r="AZ2200" s="36">
        <f>VLOOKUP(G2200,색인!$J$32:$K$45,2,FALSE)</f>
        <v>2</v>
      </c>
      <c r="BA2200" s="36" t="str">
        <f>_xlfn.IFNA(VLOOKUP(AY2200,표1[[검색용]:[OptionGroupIndex'[']22]],EquipItemTable!AZ2200,FALSE),"옵션고정안함")</f>
        <v>8321</v>
      </c>
    </row>
    <row r="2201" spans="1:53" s="33" customFormat="1" ht="12" customHeight="1" x14ac:dyDescent="0.2">
      <c r="A2201" s="31" t="s">
        <v>2704</v>
      </c>
      <c r="B2201" s="39">
        <v>813012</v>
      </c>
      <c r="C2201" s="42" t="s">
        <v>3873</v>
      </c>
      <c r="D2201" s="86" t="s">
        <v>2954</v>
      </c>
      <c r="E2201" s="86" t="s">
        <v>2</v>
      </c>
      <c r="F2201" s="32" t="s">
        <v>312</v>
      </c>
      <c r="G2201" s="32" t="s">
        <v>1568</v>
      </c>
      <c r="H2201" s="32"/>
      <c r="I2201" s="32"/>
      <c r="J2201" s="32"/>
      <c r="K2201" s="32"/>
      <c r="L2201" s="32"/>
      <c r="M2201" s="32"/>
      <c r="N2201" s="8"/>
      <c r="O2201" s="32">
        <v>8</v>
      </c>
      <c r="P2201" s="32">
        <v>81</v>
      </c>
      <c r="Q2201" s="1"/>
      <c r="R2201" s="1"/>
      <c r="S2201" s="1"/>
      <c r="T2201" s="1"/>
      <c r="U2201" s="1"/>
      <c r="V2201" s="1"/>
      <c r="W2201" s="1" t="s">
        <v>2193</v>
      </c>
      <c r="X2201" s="1" t="s">
        <v>2193</v>
      </c>
      <c r="Y2201" s="1">
        <v>182554</v>
      </c>
      <c r="Z2201" s="1" t="s">
        <v>2193</v>
      </c>
      <c r="AA2201" s="1" t="s">
        <v>2193</v>
      </c>
      <c r="AB2201" s="1" t="s">
        <v>2193</v>
      </c>
      <c r="AC2201" s="8"/>
      <c r="AD2201" s="12" t="s">
        <v>52</v>
      </c>
      <c r="AE2201" s="39" t="str">
        <f t="shared" si="242"/>
        <v>8131,8132</v>
      </c>
      <c r="AF2201" s="12"/>
      <c r="AG2201" s="12"/>
      <c r="AH2201" s="12"/>
      <c r="AI2201" s="12"/>
      <c r="AJ2201" s="12"/>
      <c r="AK2201" s="12"/>
      <c r="AL2201" s="12"/>
      <c r="AM2201" s="12"/>
      <c r="AN2201" s="12"/>
      <c r="AO2201" s="12"/>
      <c r="AP2201" s="12"/>
      <c r="AQ2201" s="8"/>
      <c r="AR2201" s="34"/>
      <c r="AS2201" s="34"/>
      <c r="AT2201" s="8"/>
      <c r="AU2201" s="12" t="s">
        <v>1976</v>
      </c>
      <c r="AW2201" s="36">
        <v>2</v>
      </c>
      <c r="AX2201" s="33">
        <f>VLOOKUP(AW2201,색인!$N$14:$O$19,2,FALSE)</f>
        <v>1</v>
      </c>
      <c r="AY2201" s="36" t="str">
        <f>"T"&amp;O2201&amp;"_"&amp;AX2201&amp;"옵션_"&amp;VLOOKUP(E2201,색인!$J$25:$K$29,2,FALSE)</f>
        <v>T8_1옵션_장신구</v>
      </c>
      <c r="AZ2201" s="36">
        <f>VLOOKUP(G2201,색인!$J$32:$K$45,2,FALSE)</f>
        <v>4</v>
      </c>
      <c r="BA2201" s="36" t="str">
        <f>_xlfn.IFNA(VLOOKUP(AY2201,표1[[검색용]:[OptionGroupIndex'[']22]],EquipItemTable!AZ2201,FALSE),"옵션고정안함")</f>
        <v>8131,8132</v>
      </c>
    </row>
    <row r="2202" spans="1:53" s="33" customFormat="1" ht="12" customHeight="1" x14ac:dyDescent="0.2">
      <c r="A2202" s="31" t="s">
        <v>2705</v>
      </c>
      <c r="B2202" s="39">
        <v>813013</v>
      </c>
      <c r="C2202" s="42" t="s">
        <v>3892</v>
      </c>
      <c r="D2202" s="86" t="s">
        <v>2954</v>
      </c>
      <c r="E2202" s="86" t="s">
        <v>2</v>
      </c>
      <c r="F2202" s="32" t="s">
        <v>312</v>
      </c>
      <c r="G2202" s="32" t="s">
        <v>1568</v>
      </c>
      <c r="H2202" s="32"/>
      <c r="I2202" s="32"/>
      <c r="J2202" s="32"/>
      <c r="K2202" s="32"/>
      <c r="L2202" s="32"/>
      <c r="M2202" s="32"/>
      <c r="N2202" s="8"/>
      <c r="O2202" s="32">
        <v>8</v>
      </c>
      <c r="P2202" s="32">
        <v>81</v>
      </c>
      <c r="Q2202" s="1"/>
      <c r="R2202" s="1"/>
      <c r="S2202" s="1"/>
      <c r="T2202" s="1"/>
      <c r="U2202" s="1"/>
      <c r="V2202" s="1"/>
      <c r="W2202" s="1" t="s">
        <v>2193</v>
      </c>
      <c r="X2202" s="1" t="s">
        <v>2193</v>
      </c>
      <c r="Y2202" s="1">
        <v>194292</v>
      </c>
      <c r="Z2202" s="1" t="s">
        <v>2193</v>
      </c>
      <c r="AA2202" s="1" t="s">
        <v>2193</v>
      </c>
      <c r="AB2202" s="1" t="s">
        <v>2193</v>
      </c>
      <c r="AC2202" s="8"/>
      <c r="AD2202" s="12" t="s">
        <v>52</v>
      </c>
      <c r="AE2202" s="39" t="str">
        <f t="shared" si="242"/>
        <v>8231,8232</v>
      </c>
      <c r="AF2202" s="12"/>
      <c r="AG2202" s="12"/>
      <c r="AH2202" s="12"/>
      <c r="AI2202" s="12"/>
      <c r="AJ2202" s="12"/>
      <c r="AK2202" s="12"/>
      <c r="AL2202" s="12"/>
      <c r="AM2202" s="12"/>
      <c r="AN2202" s="12"/>
      <c r="AO2202" s="12"/>
      <c r="AP2202" s="12"/>
      <c r="AQ2202" s="8"/>
      <c r="AR2202" s="34"/>
      <c r="AS2202" s="34"/>
      <c r="AT2202" s="8"/>
      <c r="AU2202" s="12" t="s">
        <v>1978</v>
      </c>
      <c r="AW2202" s="36">
        <v>3</v>
      </c>
      <c r="AX2202" s="33">
        <f>VLOOKUP(AW2202,색인!$N$14:$O$19,2,FALSE)</f>
        <v>2</v>
      </c>
      <c r="AY2202" s="36" t="str">
        <f>"T"&amp;O2202&amp;"_"&amp;AX2202&amp;"옵션_"&amp;VLOOKUP(E2202,색인!$J$25:$K$29,2,FALSE)</f>
        <v>T8_2옵션_장신구</v>
      </c>
      <c r="AZ2202" s="36">
        <f>VLOOKUP(G2202,색인!$J$32:$K$45,2,FALSE)</f>
        <v>4</v>
      </c>
      <c r="BA2202" s="36" t="str">
        <f>_xlfn.IFNA(VLOOKUP(AY2202,표1[[검색용]:[OptionGroupIndex'[']22]],EquipItemTable!AZ2202,FALSE),"옵션고정안함")</f>
        <v>8231,8232</v>
      </c>
    </row>
    <row r="2203" spans="1:53" s="33" customFormat="1" ht="12" customHeight="1" x14ac:dyDescent="0.2">
      <c r="A2203" s="31" t="s">
        <v>2706</v>
      </c>
      <c r="B2203" s="39">
        <v>813014</v>
      </c>
      <c r="C2203" s="42" t="s">
        <v>3878</v>
      </c>
      <c r="D2203" s="86" t="s">
        <v>2954</v>
      </c>
      <c r="E2203" s="86" t="s">
        <v>2</v>
      </c>
      <c r="F2203" s="32" t="s">
        <v>312</v>
      </c>
      <c r="G2203" s="32" t="s">
        <v>1568</v>
      </c>
      <c r="H2203" s="32"/>
      <c r="I2203" s="32"/>
      <c r="J2203" s="32"/>
      <c r="K2203" s="32"/>
      <c r="L2203" s="32"/>
      <c r="M2203" s="32"/>
      <c r="N2203" s="8"/>
      <c r="O2203" s="32">
        <v>8</v>
      </c>
      <c r="P2203" s="32">
        <v>81</v>
      </c>
      <c r="Q2203" s="1"/>
      <c r="R2203" s="1"/>
      <c r="S2203" s="1"/>
      <c r="T2203" s="1"/>
      <c r="U2203" s="1"/>
      <c r="V2203" s="1"/>
      <c r="W2203" s="1" t="s">
        <v>2193</v>
      </c>
      <c r="X2203" s="1" t="s">
        <v>2193</v>
      </c>
      <c r="Y2203" s="1">
        <v>206483</v>
      </c>
      <c r="Z2203" s="1" t="s">
        <v>2193</v>
      </c>
      <c r="AA2203" s="1" t="s">
        <v>2193</v>
      </c>
      <c r="AB2203" s="1" t="s">
        <v>2193</v>
      </c>
      <c r="AC2203" s="8"/>
      <c r="AD2203" s="12" t="s">
        <v>52</v>
      </c>
      <c r="AE2203" s="39" t="str">
        <f t="shared" si="242"/>
        <v>8331,8332</v>
      </c>
      <c r="AF2203" s="12"/>
      <c r="AG2203" s="12"/>
      <c r="AH2203" s="12"/>
      <c r="AI2203" s="12"/>
      <c r="AJ2203" s="12"/>
      <c r="AK2203" s="12"/>
      <c r="AL2203" s="12"/>
      <c r="AM2203" s="12"/>
      <c r="AN2203" s="12"/>
      <c r="AO2203" s="12"/>
      <c r="AP2203" s="12"/>
      <c r="AQ2203" s="8"/>
      <c r="AR2203" s="34"/>
      <c r="AS2203" s="34"/>
      <c r="AT2203" s="8"/>
      <c r="AU2203" s="12" t="s">
        <v>1980</v>
      </c>
      <c r="AW2203" s="36">
        <v>4</v>
      </c>
      <c r="AX2203" s="33">
        <f>VLOOKUP(AW2203,색인!$N$14:$O$19,2,FALSE)</f>
        <v>3</v>
      </c>
      <c r="AY2203" s="36" t="str">
        <f>"T"&amp;O2203&amp;"_"&amp;AX2203&amp;"옵션_"&amp;VLOOKUP(E2203,색인!$J$25:$K$29,2,FALSE)</f>
        <v>T8_3옵션_장신구</v>
      </c>
      <c r="AZ2203" s="36">
        <f>VLOOKUP(G2203,색인!$J$32:$K$45,2,FALSE)</f>
        <v>4</v>
      </c>
      <c r="BA2203" s="36" t="str">
        <f>_xlfn.IFNA(VLOOKUP(AY2203,표1[[검색용]:[OptionGroupIndex'[']22]],EquipItemTable!AZ2203,FALSE),"옵션고정안함")</f>
        <v>8331,8332</v>
      </c>
    </row>
    <row r="2204" spans="1:53" s="33" customFormat="1" ht="12" customHeight="1" x14ac:dyDescent="0.2">
      <c r="A2204" s="31" t="s">
        <v>2707</v>
      </c>
      <c r="B2204" s="39">
        <v>813015</v>
      </c>
      <c r="C2204" s="42" t="s">
        <v>3898</v>
      </c>
      <c r="D2204" s="86" t="s">
        <v>2954</v>
      </c>
      <c r="E2204" s="86" t="s">
        <v>2</v>
      </c>
      <c r="F2204" s="32" t="s">
        <v>312</v>
      </c>
      <c r="G2204" s="32" t="s">
        <v>1568</v>
      </c>
      <c r="H2204" s="32"/>
      <c r="I2204" s="32"/>
      <c r="J2204" s="32"/>
      <c r="K2204" s="32"/>
      <c r="L2204" s="32"/>
      <c r="M2204" s="32"/>
      <c r="N2204" s="8"/>
      <c r="O2204" s="32">
        <v>8</v>
      </c>
      <c r="P2204" s="32">
        <v>81</v>
      </c>
      <c r="Q2204" s="1"/>
      <c r="R2204" s="1"/>
      <c r="S2204" s="1"/>
      <c r="T2204" s="1"/>
      <c r="U2204" s="1"/>
      <c r="V2204" s="1"/>
      <c r="W2204" s="1" t="s">
        <v>2193</v>
      </c>
      <c r="X2204" s="1" t="s">
        <v>2193</v>
      </c>
      <c r="Y2204" s="1">
        <v>216615</v>
      </c>
      <c r="Z2204" s="1" t="s">
        <v>2193</v>
      </c>
      <c r="AA2204" s="1" t="s">
        <v>2193</v>
      </c>
      <c r="AB2204" s="1" t="s">
        <v>2193</v>
      </c>
      <c r="AC2204" s="8"/>
      <c r="AD2204" s="12" t="s">
        <v>52</v>
      </c>
      <c r="AE2204" s="39" t="str">
        <f t="shared" si="242"/>
        <v>8331,8332</v>
      </c>
      <c r="AF2204" s="12"/>
      <c r="AG2204" s="12"/>
      <c r="AH2204" s="12"/>
      <c r="AI2204" s="12"/>
      <c r="AJ2204" s="12"/>
      <c r="AK2204" s="12"/>
      <c r="AL2204" s="12"/>
      <c r="AM2204" s="12"/>
      <c r="AN2204" s="12" t="s">
        <v>2834</v>
      </c>
      <c r="AO2204" s="12"/>
      <c r="AP2204" s="12"/>
      <c r="AQ2204" s="8"/>
      <c r="AR2204" s="34"/>
      <c r="AS2204" s="34"/>
      <c r="AT2204" s="8"/>
      <c r="AU2204" s="12" t="s">
        <v>1982</v>
      </c>
      <c r="AW2204" s="36">
        <v>5</v>
      </c>
      <c r="AX2204" s="33">
        <f>VLOOKUP(AW2204,색인!$N$14:$O$19,2,FALSE)</f>
        <v>3</v>
      </c>
      <c r="AY2204" s="36" t="str">
        <f>"T"&amp;O2204&amp;"_"&amp;AX2204&amp;"옵션_"&amp;VLOOKUP(E2204,색인!$J$25:$K$29,2,FALSE)</f>
        <v>T8_3옵션_장신구</v>
      </c>
      <c r="AZ2204" s="36">
        <f>VLOOKUP(G2204,색인!$J$32:$K$45,2,FALSE)</f>
        <v>4</v>
      </c>
      <c r="BA2204" s="36" t="str">
        <f>_xlfn.IFNA(VLOOKUP(AY2204,표1[[검색용]:[OptionGroupIndex'[']22]],EquipItemTable!AZ2204,FALSE),"옵션고정안함")</f>
        <v>8331,8332</v>
      </c>
    </row>
    <row r="2205" spans="1:53" s="33" customFormat="1" ht="12" customHeight="1" x14ac:dyDescent="0.2">
      <c r="A2205" s="31" t="s">
        <v>2708</v>
      </c>
      <c r="B2205" s="39">
        <v>814012</v>
      </c>
      <c r="C2205" s="42" t="s">
        <v>4299</v>
      </c>
      <c r="D2205" s="86" t="s">
        <v>2954</v>
      </c>
      <c r="E2205" s="86" t="s">
        <v>2</v>
      </c>
      <c r="F2205" s="32" t="s">
        <v>312</v>
      </c>
      <c r="G2205" s="32" t="s">
        <v>1587</v>
      </c>
      <c r="H2205" s="32"/>
      <c r="I2205" s="32"/>
      <c r="J2205" s="32"/>
      <c r="K2205" s="32"/>
      <c r="L2205" s="32"/>
      <c r="M2205" s="32"/>
      <c r="N2205" s="8"/>
      <c r="O2205" s="32">
        <v>8</v>
      </c>
      <c r="P2205" s="32">
        <v>81</v>
      </c>
      <c r="Q2205" s="1"/>
      <c r="R2205" s="1"/>
      <c r="S2205" s="1"/>
      <c r="T2205" s="1"/>
      <c r="U2205" s="1"/>
      <c r="V2205" s="1"/>
      <c r="W2205" s="1">
        <v>3969</v>
      </c>
      <c r="X2205" s="1">
        <v>3969</v>
      </c>
      <c r="Y2205" s="1" t="s">
        <v>2193</v>
      </c>
      <c r="Z2205" s="1" t="s">
        <v>2193</v>
      </c>
      <c r="AA2205" s="1" t="s">
        <v>2193</v>
      </c>
      <c r="AB2205" s="1" t="s">
        <v>2193</v>
      </c>
      <c r="AC2205" s="8"/>
      <c r="AD2205" s="12" t="s">
        <v>52</v>
      </c>
      <c r="AE2205" s="39" t="str">
        <f t="shared" si="242"/>
        <v>8131</v>
      </c>
      <c r="AF2205" s="12"/>
      <c r="AG2205" s="12"/>
      <c r="AH2205" s="12"/>
      <c r="AI2205" s="12"/>
      <c r="AJ2205" s="12"/>
      <c r="AK2205" s="12"/>
      <c r="AL2205" s="12"/>
      <c r="AM2205" s="12"/>
      <c r="AN2205" s="12"/>
      <c r="AO2205" s="12"/>
      <c r="AP2205" s="12"/>
      <c r="AQ2205" s="8"/>
      <c r="AR2205" s="34"/>
      <c r="AS2205" s="34"/>
      <c r="AT2205" s="8"/>
      <c r="AU2205" s="12" t="s">
        <v>1976</v>
      </c>
      <c r="AW2205" s="36">
        <v>2</v>
      </c>
      <c r="AX2205" s="33">
        <f>VLOOKUP(AW2205,색인!$N$14:$O$19,2,FALSE)</f>
        <v>1</v>
      </c>
      <c r="AY2205" s="36" t="str">
        <f>"T"&amp;O2205&amp;"_"&amp;AX2205&amp;"옵션_"&amp;VLOOKUP(E2205,색인!$J$25:$K$29,2,FALSE)</f>
        <v>T8_1옵션_장신구</v>
      </c>
      <c r="AZ2205" s="36">
        <f>VLOOKUP(G2205,색인!$J$32:$K$45,2,FALSE)</f>
        <v>2</v>
      </c>
      <c r="BA2205" s="36" t="str">
        <f>_xlfn.IFNA(VLOOKUP(AY2205,표1[[검색용]:[OptionGroupIndex'[']22]],EquipItemTable!AZ2205,FALSE),"옵션고정안함")</f>
        <v>8131</v>
      </c>
    </row>
    <row r="2206" spans="1:53" s="33" customFormat="1" ht="12" customHeight="1" x14ac:dyDescent="0.2">
      <c r="A2206" s="31" t="s">
        <v>2709</v>
      </c>
      <c r="B2206" s="39">
        <v>814013</v>
      </c>
      <c r="C2206" s="42" t="s">
        <v>4300</v>
      </c>
      <c r="D2206" s="86" t="s">
        <v>2954</v>
      </c>
      <c r="E2206" s="86" t="s">
        <v>2</v>
      </c>
      <c r="F2206" s="32" t="s">
        <v>312</v>
      </c>
      <c r="G2206" s="32" t="s">
        <v>1587</v>
      </c>
      <c r="H2206" s="32"/>
      <c r="I2206" s="32"/>
      <c r="J2206" s="32"/>
      <c r="K2206" s="32"/>
      <c r="L2206" s="32"/>
      <c r="M2206" s="32"/>
      <c r="N2206" s="8"/>
      <c r="O2206" s="32">
        <v>8</v>
      </c>
      <c r="P2206" s="32">
        <v>81</v>
      </c>
      <c r="Q2206" s="1"/>
      <c r="R2206" s="1"/>
      <c r="S2206" s="1"/>
      <c r="T2206" s="1"/>
      <c r="U2206" s="1"/>
      <c r="V2206" s="1"/>
      <c r="W2206" s="1">
        <v>4225</v>
      </c>
      <c r="X2206" s="1">
        <v>4225</v>
      </c>
      <c r="Y2206" s="1" t="s">
        <v>2193</v>
      </c>
      <c r="Z2206" s="1" t="s">
        <v>2193</v>
      </c>
      <c r="AA2206" s="1" t="s">
        <v>2193</v>
      </c>
      <c r="AB2206" s="1" t="s">
        <v>2193</v>
      </c>
      <c r="AC2206" s="8"/>
      <c r="AD2206" s="12" t="s">
        <v>52</v>
      </c>
      <c r="AE2206" s="39" t="str">
        <f t="shared" si="242"/>
        <v>8231</v>
      </c>
      <c r="AF2206" s="12"/>
      <c r="AG2206" s="12"/>
      <c r="AH2206" s="12"/>
      <c r="AI2206" s="12"/>
      <c r="AJ2206" s="12"/>
      <c r="AK2206" s="12"/>
      <c r="AL2206" s="12"/>
      <c r="AM2206" s="12"/>
      <c r="AN2206" s="12"/>
      <c r="AO2206" s="12"/>
      <c r="AP2206" s="12"/>
      <c r="AQ2206" s="8"/>
      <c r="AR2206" s="34"/>
      <c r="AS2206" s="34"/>
      <c r="AT2206" s="8"/>
      <c r="AU2206" s="12" t="s">
        <v>1978</v>
      </c>
      <c r="AW2206" s="36">
        <v>3</v>
      </c>
      <c r="AX2206" s="33">
        <f>VLOOKUP(AW2206,색인!$N$14:$O$19,2,FALSE)</f>
        <v>2</v>
      </c>
      <c r="AY2206" s="36" t="str">
        <f>"T"&amp;O2206&amp;"_"&amp;AX2206&amp;"옵션_"&amp;VLOOKUP(E2206,색인!$J$25:$K$29,2,FALSE)</f>
        <v>T8_2옵션_장신구</v>
      </c>
      <c r="AZ2206" s="36">
        <f>VLOOKUP(G2206,색인!$J$32:$K$45,2,FALSE)</f>
        <v>2</v>
      </c>
      <c r="BA2206" s="36" t="str">
        <f>_xlfn.IFNA(VLOOKUP(AY2206,표1[[검색용]:[OptionGroupIndex'[']22]],EquipItemTable!AZ2206,FALSE),"옵션고정안함")</f>
        <v>8231</v>
      </c>
    </row>
    <row r="2207" spans="1:53" s="33" customFormat="1" ht="12" customHeight="1" x14ac:dyDescent="0.2">
      <c r="A2207" s="31" t="s">
        <v>2710</v>
      </c>
      <c r="B2207" s="39">
        <v>814014</v>
      </c>
      <c r="C2207" s="42" t="s">
        <v>3927</v>
      </c>
      <c r="D2207" s="86" t="s">
        <v>2954</v>
      </c>
      <c r="E2207" s="86" t="s">
        <v>2</v>
      </c>
      <c r="F2207" s="32" t="s">
        <v>312</v>
      </c>
      <c r="G2207" s="32" t="s">
        <v>1587</v>
      </c>
      <c r="H2207" s="32"/>
      <c r="I2207" s="32"/>
      <c r="J2207" s="32"/>
      <c r="K2207" s="32"/>
      <c r="L2207" s="32"/>
      <c r="M2207" s="32"/>
      <c r="N2207" s="8"/>
      <c r="O2207" s="32">
        <v>8</v>
      </c>
      <c r="P2207" s="32">
        <v>81</v>
      </c>
      <c r="Q2207" s="1"/>
      <c r="R2207" s="1"/>
      <c r="S2207" s="1"/>
      <c r="T2207" s="1"/>
      <c r="U2207" s="1"/>
      <c r="V2207" s="1"/>
      <c r="W2207" s="1">
        <v>4489</v>
      </c>
      <c r="X2207" s="1">
        <v>4489</v>
      </c>
      <c r="Y2207" s="1" t="s">
        <v>2193</v>
      </c>
      <c r="Z2207" s="1" t="s">
        <v>2193</v>
      </c>
      <c r="AA2207" s="1" t="s">
        <v>2193</v>
      </c>
      <c r="AB2207" s="1" t="s">
        <v>2193</v>
      </c>
      <c r="AC2207" s="8"/>
      <c r="AD2207" s="12" t="s">
        <v>52</v>
      </c>
      <c r="AE2207" s="39" t="str">
        <f t="shared" si="242"/>
        <v>8331</v>
      </c>
      <c r="AF2207" s="12"/>
      <c r="AG2207" s="12"/>
      <c r="AH2207" s="12"/>
      <c r="AI2207" s="12"/>
      <c r="AJ2207" s="12"/>
      <c r="AK2207" s="12"/>
      <c r="AL2207" s="12"/>
      <c r="AM2207" s="12"/>
      <c r="AN2207" s="12"/>
      <c r="AO2207" s="12"/>
      <c r="AP2207" s="12"/>
      <c r="AQ2207" s="8"/>
      <c r="AR2207" s="34"/>
      <c r="AS2207" s="34"/>
      <c r="AT2207" s="8"/>
      <c r="AU2207" s="12" t="s">
        <v>1980</v>
      </c>
      <c r="AW2207" s="36">
        <v>4</v>
      </c>
      <c r="AX2207" s="33">
        <f>VLOOKUP(AW2207,색인!$N$14:$O$19,2,FALSE)</f>
        <v>3</v>
      </c>
      <c r="AY2207" s="36" t="str">
        <f>"T"&amp;O2207&amp;"_"&amp;AX2207&amp;"옵션_"&amp;VLOOKUP(E2207,색인!$J$25:$K$29,2,FALSE)</f>
        <v>T8_3옵션_장신구</v>
      </c>
      <c r="AZ2207" s="36">
        <f>VLOOKUP(G2207,색인!$J$32:$K$45,2,FALSE)</f>
        <v>2</v>
      </c>
      <c r="BA2207" s="36" t="str">
        <f>_xlfn.IFNA(VLOOKUP(AY2207,표1[[검색용]:[OptionGroupIndex'[']22]],EquipItemTable!AZ2207,FALSE),"옵션고정안함")</f>
        <v>8331</v>
      </c>
    </row>
    <row r="2208" spans="1:53" s="33" customFormat="1" ht="12" customHeight="1" x14ac:dyDescent="0.2">
      <c r="A2208" s="31" t="s">
        <v>2711</v>
      </c>
      <c r="B2208" s="39">
        <v>814015</v>
      </c>
      <c r="C2208" s="42" t="s">
        <v>3940</v>
      </c>
      <c r="D2208" s="86" t="s">
        <v>2954</v>
      </c>
      <c r="E2208" s="86" t="s">
        <v>2</v>
      </c>
      <c r="F2208" s="32" t="s">
        <v>312</v>
      </c>
      <c r="G2208" s="32" t="s">
        <v>1587</v>
      </c>
      <c r="H2208" s="32"/>
      <c r="I2208" s="32"/>
      <c r="J2208" s="32"/>
      <c r="K2208" s="32"/>
      <c r="L2208" s="32"/>
      <c r="M2208" s="32"/>
      <c r="N2208" s="8"/>
      <c r="O2208" s="32">
        <v>8</v>
      </c>
      <c r="P2208" s="32">
        <v>81</v>
      </c>
      <c r="Q2208" s="1"/>
      <c r="R2208" s="1"/>
      <c r="S2208" s="1"/>
      <c r="T2208" s="1"/>
      <c r="U2208" s="1"/>
      <c r="V2208" s="1"/>
      <c r="W2208" s="1">
        <v>4711</v>
      </c>
      <c r="X2208" s="1">
        <v>4711</v>
      </c>
      <c r="Y2208" s="1" t="s">
        <v>2193</v>
      </c>
      <c r="Z2208" s="1" t="s">
        <v>2193</v>
      </c>
      <c r="AA2208" s="1" t="s">
        <v>2193</v>
      </c>
      <c r="AB2208" s="1" t="s">
        <v>2193</v>
      </c>
      <c r="AC2208" s="8"/>
      <c r="AD2208" s="12" t="s">
        <v>52</v>
      </c>
      <c r="AE2208" s="39" t="str">
        <f t="shared" si="242"/>
        <v>8331</v>
      </c>
      <c r="AF2208" s="12"/>
      <c r="AG2208" s="12"/>
      <c r="AH2208" s="12"/>
      <c r="AI2208" s="12"/>
      <c r="AJ2208" s="12"/>
      <c r="AK2208" s="12"/>
      <c r="AL2208" s="12"/>
      <c r="AM2208" s="12"/>
      <c r="AN2208" s="12" t="s">
        <v>2834</v>
      </c>
      <c r="AO2208" s="12"/>
      <c r="AP2208" s="12"/>
      <c r="AQ2208" s="8"/>
      <c r="AR2208" s="34"/>
      <c r="AS2208" s="34"/>
      <c r="AT2208" s="8"/>
      <c r="AU2208" s="12" t="s">
        <v>1982</v>
      </c>
      <c r="AW2208" s="36">
        <v>5</v>
      </c>
      <c r="AX2208" s="33">
        <f>VLOOKUP(AW2208,색인!$N$14:$O$19,2,FALSE)</f>
        <v>3</v>
      </c>
      <c r="AY2208" s="36" t="str">
        <f>"T"&amp;O2208&amp;"_"&amp;AX2208&amp;"옵션_"&amp;VLOOKUP(E2208,색인!$J$25:$K$29,2,FALSE)</f>
        <v>T8_3옵션_장신구</v>
      </c>
      <c r="AZ2208" s="36">
        <f>VLOOKUP(G2208,색인!$J$32:$K$45,2,FALSE)</f>
        <v>2</v>
      </c>
      <c r="BA2208" s="36" t="str">
        <f>_xlfn.IFNA(VLOOKUP(AY2208,표1[[검색용]:[OptionGroupIndex'[']22]],EquipItemTable!AZ2208,FALSE),"옵션고정안함")</f>
        <v>8331</v>
      </c>
    </row>
    <row r="2209" spans="1:53" s="33" customFormat="1" ht="12" customHeight="1" x14ac:dyDescent="0.2">
      <c r="A2209" s="31" t="s">
        <v>2712</v>
      </c>
      <c r="B2209" s="39">
        <v>815012</v>
      </c>
      <c r="C2209" s="42" t="s">
        <v>3989</v>
      </c>
      <c r="D2209" s="86" t="s">
        <v>2954</v>
      </c>
      <c r="E2209" s="86" t="s">
        <v>2</v>
      </c>
      <c r="F2209" s="32" t="s">
        <v>312</v>
      </c>
      <c r="G2209" s="32" t="s">
        <v>1606</v>
      </c>
      <c r="H2209" s="32"/>
      <c r="I2209" s="32"/>
      <c r="J2209" s="32"/>
      <c r="K2209" s="32"/>
      <c r="L2209" s="32"/>
      <c r="M2209" s="32"/>
      <c r="N2209" s="8"/>
      <c r="O2209" s="32">
        <v>8</v>
      </c>
      <c r="P2209" s="32">
        <v>81</v>
      </c>
      <c r="Q2209" s="1"/>
      <c r="R2209" s="1"/>
      <c r="S2209" s="1"/>
      <c r="T2209" s="1"/>
      <c r="U2209" s="1"/>
      <c r="V2209" s="1"/>
      <c r="W2209" s="1" t="s">
        <v>2193</v>
      </c>
      <c r="X2209" s="1" t="s">
        <v>2193</v>
      </c>
      <c r="Y2209" s="1" t="s">
        <v>2193</v>
      </c>
      <c r="Z2209" s="1" t="s">
        <v>2193</v>
      </c>
      <c r="AA2209" s="1" t="s">
        <v>2193</v>
      </c>
      <c r="AB2209" s="1">
        <v>2860</v>
      </c>
      <c r="AC2209" s="8"/>
      <c r="AD2209" s="12" t="s">
        <v>52</v>
      </c>
      <c r="AE2209" s="39" t="str">
        <f t="shared" si="242"/>
        <v>8131,8132</v>
      </c>
      <c r="AF2209" s="12"/>
      <c r="AG2209" s="12"/>
      <c r="AH2209" s="12"/>
      <c r="AI2209" s="12"/>
      <c r="AJ2209" s="12"/>
      <c r="AK2209" s="12"/>
      <c r="AL2209" s="12"/>
      <c r="AM2209" s="12"/>
      <c r="AN2209" s="12"/>
      <c r="AO2209" s="12"/>
      <c r="AP2209" s="12"/>
      <c r="AQ2209" s="8"/>
      <c r="AR2209" s="34"/>
      <c r="AS2209" s="34"/>
      <c r="AT2209" s="8"/>
      <c r="AU2209" s="12" t="s">
        <v>1976</v>
      </c>
      <c r="AW2209" s="36">
        <v>2</v>
      </c>
      <c r="AX2209" s="33">
        <f>VLOOKUP(AW2209,색인!$N$14:$O$19,2,FALSE)</f>
        <v>1</v>
      </c>
      <c r="AY2209" s="36" t="str">
        <f>"T"&amp;O2209&amp;"_"&amp;AX2209&amp;"옵션_"&amp;VLOOKUP(E2209,색인!$J$25:$K$29,2,FALSE)</f>
        <v>T8_1옵션_장신구</v>
      </c>
      <c r="AZ2209" s="36">
        <f>VLOOKUP(G2209,색인!$J$32:$K$45,2,FALSE)</f>
        <v>4</v>
      </c>
      <c r="BA2209" s="36" t="str">
        <f>_xlfn.IFNA(VLOOKUP(AY2209,표1[[검색용]:[OptionGroupIndex'[']22]],EquipItemTable!AZ2209,FALSE),"옵션고정안함")</f>
        <v>8131,8132</v>
      </c>
    </row>
    <row r="2210" spans="1:53" s="33" customFormat="1" ht="12" customHeight="1" x14ac:dyDescent="0.2">
      <c r="A2210" s="31" t="s">
        <v>2713</v>
      </c>
      <c r="B2210" s="39">
        <v>815013</v>
      </c>
      <c r="C2210" s="42" t="s">
        <v>3974</v>
      </c>
      <c r="D2210" s="86" t="s">
        <v>2954</v>
      </c>
      <c r="E2210" s="86" t="s">
        <v>2</v>
      </c>
      <c r="F2210" s="32" t="s">
        <v>312</v>
      </c>
      <c r="G2210" s="32" t="s">
        <v>1606</v>
      </c>
      <c r="H2210" s="32"/>
      <c r="I2210" s="32"/>
      <c r="J2210" s="32"/>
      <c r="K2210" s="32"/>
      <c r="L2210" s="32"/>
      <c r="M2210" s="32"/>
      <c r="N2210" s="8"/>
      <c r="O2210" s="32">
        <v>8</v>
      </c>
      <c r="P2210" s="32">
        <v>81</v>
      </c>
      <c r="Q2210" s="1"/>
      <c r="R2210" s="1"/>
      <c r="S2210" s="1"/>
      <c r="T2210" s="1"/>
      <c r="U2210" s="1"/>
      <c r="V2210" s="1"/>
      <c r="W2210" s="1" t="s">
        <v>2193</v>
      </c>
      <c r="X2210" s="1" t="s">
        <v>2193</v>
      </c>
      <c r="Y2210" s="1" t="s">
        <v>2193</v>
      </c>
      <c r="Z2210" s="1" t="s">
        <v>2193</v>
      </c>
      <c r="AA2210" s="1" t="s">
        <v>2193</v>
      </c>
      <c r="AB2210" s="1">
        <v>3042</v>
      </c>
      <c r="AC2210" s="8"/>
      <c r="AD2210" s="12" t="s">
        <v>52</v>
      </c>
      <c r="AE2210" s="39" t="str">
        <f t="shared" si="242"/>
        <v>8231,8232</v>
      </c>
      <c r="AF2210" s="12"/>
      <c r="AG2210" s="12"/>
      <c r="AH2210" s="12"/>
      <c r="AI2210" s="12"/>
      <c r="AJ2210" s="12"/>
      <c r="AK2210" s="12"/>
      <c r="AL2210" s="12"/>
      <c r="AM2210" s="12"/>
      <c r="AN2210" s="12"/>
      <c r="AO2210" s="12"/>
      <c r="AP2210" s="12"/>
      <c r="AQ2210" s="8"/>
      <c r="AR2210" s="34"/>
      <c r="AS2210" s="34"/>
      <c r="AT2210" s="8"/>
      <c r="AU2210" s="12" t="s">
        <v>1978</v>
      </c>
      <c r="AW2210" s="36">
        <v>3</v>
      </c>
      <c r="AX2210" s="33">
        <f>VLOOKUP(AW2210,색인!$N$14:$O$19,2,FALSE)</f>
        <v>2</v>
      </c>
      <c r="AY2210" s="36" t="str">
        <f>"T"&amp;O2210&amp;"_"&amp;AX2210&amp;"옵션_"&amp;VLOOKUP(E2210,색인!$J$25:$K$29,2,FALSE)</f>
        <v>T8_2옵션_장신구</v>
      </c>
      <c r="AZ2210" s="36">
        <f>VLOOKUP(G2210,색인!$J$32:$K$45,2,FALSE)</f>
        <v>4</v>
      </c>
      <c r="BA2210" s="36" t="str">
        <f>_xlfn.IFNA(VLOOKUP(AY2210,표1[[검색용]:[OptionGroupIndex'[']22]],EquipItemTable!AZ2210,FALSE),"옵션고정안함")</f>
        <v>8231,8232</v>
      </c>
    </row>
    <row r="2211" spans="1:53" s="33" customFormat="1" ht="12" customHeight="1" x14ac:dyDescent="0.2">
      <c r="A2211" s="31" t="s">
        <v>2714</v>
      </c>
      <c r="B2211" s="39">
        <v>815014</v>
      </c>
      <c r="C2211" s="42" t="s">
        <v>3960</v>
      </c>
      <c r="D2211" s="86" t="s">
        <v>2954</v>
      </c>
      <c r="E2211" s="86" t="s">
        <v>2</v>
      </c>
      <c r="F2211" s="32" t="s">
        <v>312</v>
      </c>
      <c r="G2211" s="32" t="s">
        <v>1606</v>
      </c>
      <c r="H2211" s="32"/>
      <c r="I2211" s="32"/>
      <c r="J2211" s="32"/>
      <c r="K2211" s="32"/>
      <c r="L2211" s="32"/>
      <c r="M2211" s="32"/>
      <c r="N2211" s="8"/>
      <c r="O2211" s="32">
        <v>8</v>
      </c>
      <c r="P2211" s="32">
        <v>81</v>
      </c>
      <c r="Q2211" s="1"/>
      <c r="R2211" s="1"/>
      <c r="S2211" s="1"/>
      <c r="T2211" s="1"/>
      <c r="U2211" s="1"/>
      <c r="V2211" s="1"/>
      <c r="W2211" s="1" t="s">
        <v>2193</v>
      </c>
      <c r="X2211" s="1" t="s">
        <v>2193</v>
      </c>
      <c r="Y2211" s="1" t="s">
        <v>2193</v>
      </c>
      <c r="Z2211" s="1" t="s">
        <v>2193</v>
      </c>
      <c r="AA2211" s="1" t="s">
        <v>2193</v>
      </c>
      <c r="AB2211" s="1">
        <v>3234</v>
      </c>
      <c r="AC2211" s="8"/>
      <c r="AD2211" s="12" t="s">
        <v>52</v>
      </c>
      <c r="AE2211" s="39" t="str">
        <f t="shared" si="242"/>
        <v>8331,8332</v>
      </c>
      <c r="AF2211" s="12"/>
      <c r="AG2211" s="12"/>
      <c r="AH2211" s="12"/>
      <c r="AI2211" s="12"/>
      <c r="AJ2211" s="12"/>
      <c r="AK2211" s="12"/>
      <c r="AL2211" s="12"/>
      <c r="AM2211" s="12"/>
      <c r="AN2211" s="12"/>
      <c r="AO2211" s="12"/>
      <c r="AP2211" s="12"/>
      <c r="AQ2211" s="8"/>
      <c r="AR2211" s="34"/>
      <c r="AS2211" s="34"/>
      <c r="AT2211" s="8"/>
      <c r="AU2211" s="12" t="s">
        <v>1980</v>
      </c>
      <c r="AW2211" s="36">
        <v>4</v>
      </c>
      <c r="AX2211" s="33">
        <f>VLOOKUP(AW2211,색인!$N$14:$O$19,2,FALSE)</f>
        <v>3</v>
      </c>
      <c r="AY2211" s="36" t="str">
        <f>"T"&amp;O2211&amp;"_"&amp;AX2211&amp;"옵션_"&amp;VLOOKUP(E2211,색인!$J$25:$K$29,2,FALSE)</f>
        <v>T8_3옵션_장신구</v>
      </c>
      <c r="AZ2211" s="36">
        <f>VLOOKUP(G2211,색인!$J$32:$K$45,2,FALSE)</f>
        <v>4</v>
      </c>
      <c r="BA2211" s="36" t="str">
        <f>_xlfn.IFNA(VLOOKUP(AY2211,표1[[검색용]:[OptionGroupIndex'[']22]],EquipItemTable!AZ2211,FALSE),"옵션고정안함")</f>
        <v>8331,8332</v>
      </c>
    </row>
    <row r="2212" spans="1:53" s="33" customFormat="1" ht="12" customHeight="1" x14ac:dyDescent="0.2">
      <c r="A2212" s="31" t="s">
        <v>2715</v>
      </c>
      <c r="B2212" s="39">
        <v>815015</v>
      </c>
      <c r="C2212" s="42" t="s">
        <v>3980</v>
      </c>
      <c r="D2212" s="86" t="s">
        <v>2954</v>
      </c>
      <c r="E2212" s="86" t="s">
        <v>2</v>
      </c>
      <c r="F2212" s="32" t="s">
        <v>312</v>
      </c>
      <c r="G2212" s="32" t="s">
        <v>1606</v>
      </c>
      <c r="H2212" s="32"/>
      <c r="I2212" s="32"/>
      <c r="J2212" s="32"/>
      <c r="K2212" s="32"/>
      <c r="L2212" s="32"/>
      <c r="M2212" s="32"/>
      <c r="N2212" s="8"/>
      <c r="O2212" s="32">
        <v>8</v>
      </c>
      <c r="P2212" s="32">
        <v>81</v>
      </c>
      <c r="Q2212" s="1"/>
      <c r="R2212" s="1"/>
      <c r="S2212" s="1"/>
      <c r="T2212" s="1"/>
      <c r="U2212" s="1"/>
      <c r="V2212" s="1"/>
      <c r="W2212" s="1" t="s">
        <v>2193</v>
      </c>
      <c r="X2212" s="1" t="s">
        <v>2193</v>
      </c>
      <c r="Y2212" s="1" t="s">
        <v>2193</v>
      </c>
      <c r="Z2212" s="1" t="s">
        <v>2193</v>
      </c>
      <c r="AA2212" s="1" t="s">
        <v>2193</v>
      </c>
      <c r="AB2212" s="1">
        <v>3392</v>
      </c>
      <c r="AC2212" s="8"/>
      <c r="AD2212" s="12" t="s">
        <v>52</v>
      </c>
      <c r="AE2212" s="39" t="str">
        <f t="shared" si="242"/>
        <v>8331,8332</v>
      </c>
      <c r="AF2212" s="12"/>
      <c r="AG2212" s="12"/>
      <c r="AH2212" s="12"/>
      <c r="AI2212" s="12"/>
      <c r="AJ2212" s="12"/>
      <c r="AK2212" s="12"/>
      <c r="AL2212" s="12"/>
      <c r="AM2212" s="12"/>
      <c r="AN2212" s="12" t="s">
        <v>2834</v>
      </c>
      <c r="AO2212" s="12"/>
      <c r="AP2212" s="12"/>
      <c r="AQ2212" s="8"/>
      <c r="AR2212" s="34"/>
      <c r="AS2212" s="34"/>
      <c r="AT2212" s="8"/>
      <c r="AU2212" s="12" t="s">
        <v>1982</v>
      </c>
      <c r="AW2212" s="36">
        <v>5</v>
      </c>
      <c r="AX2212" s="33">
        <f>VLOOKUP(AW2212,색인!$N$14:$O$19,2,FALSE)</f>
        <v>3</v>
      </c>
      <c r="AY2212" s="36" t="str">
        <f>"T"&amp;O2212&amp;"_"&amp;AX2212&amp;"옵션_"&amp;VLOOKUP(E2212,색인!$J$25:$K$29,2,FALSE)</f>
        <v>T8_3옵션_장신구</v>
      </c>
      <c r="AZ2212" s="36">
        <f>VLOOKUP(G2212,색인!$J$32:$K$45,2,FALSE)</f>
        <v>4</v>
      </c>
      <c r="BA2212" s="36" t="str">
        <f>_xlfn.IFNA(VLOOKUP(AY2212,표1[[검색용]:[OptionGroupIndex'[']22]],EquipItemTable!AZ2212,FALSE),"옵션고정안함")</f>
        <v>8331,8332</v>
      </c>
    </row>
    <row r="2213" spans="1:53" s="33" customFormat="1" ht="12" customHeight="1" x14ac:dyDescent="0.2">
      <c r="A2213" s="31" t="s">
        <v>2716</v>
      </c>
      <c r="B2213" s="39">
        <v>816012</v>
      </c>
      <c r="C2213" s="42" t="s">
        <v>4030</v>
      </c>
      <c r="D2213" s="86" t="s">
        <v>2954</v>
      </c>
      <c r="E2213" s="86" t="s">
        <v>2</v>
      </c>
      <c r="F2213" s="32" t="s">
        <v>312</v>
      </c>
      <c r="G2213" s="32" t="s">
        <v>1625</v>
      </c>
      <c r="H2213" s="32"/>
      <c r="I2213" s="32"/>
      <c r="J2213" s="32"/>
      <c r="K2213" s="32"/>
      <c r="L2213" s="32"/>
      <c r="M2213" s="32"/>
      <c r="N2213" s="8"/>
      <c r="O2213" s="32">
        <v>8</v>
      </c>
      <c r="P2213" s="32">
        <v>81</v>
      </c>
      <c r="Q2213" s="1"/>
      <c r="R2213" s="1"/>
      <c r="S2213" s="1"/>
      <c r="T2213" s="1"/>
      <c r="U2213" s="1"/>
      <c r="V2213" s="1"/>
      <c r="W2213" s="1" t="s">
        <v>2193</v>
      </c>
      <c r="X2213" s="1" t="s">
        <v>2193</v>
      </c>
      <c r="Y2213" s="1" t="s">
        <v>2193</v>
      </c>
      <c r="Z2213" s="1" t="s">
        <v>2193</v>
      </c>
      <c r="AA2213" s="1">
        <v>2860</v>
      </c>
      <c r="AB2213" s="1" t="s">
        <v>2193</v>
      </c>
      <c r="AC2213" s="8"/>
      <c r="AD2213" s="12" t="s">
        <v>52</v>
      </c>
      <c r="AE2213" s="39" t="str">
        <f t="shared" si="242"/>
        <v>8131,8132</v>
      </c>
      <c r="AF2213" s="12"/>
      <c r="AG2213" s="12"/>
      <c r="AH2213" s="12"/>
      <c r="AI2213" s="12"/>
      <c r="AJ2213" s="12"/>
      <c r="AK2213" s="12"/>
      <c r="AL2213" s="12"/>
      <c r="AM2213" s="12"/>
      <c r="AN2213" s="12"/>
      <c r="AO2213" s="12"/>
      <c r="AP2213" s="12"/>
      <c r="AQ2213" s="8"/>
      <c r="AR2213" s="34"/>
      <c r="AS2213" s="34"/>
      <c r="AT2213" s="8"/>
      <c r="AU2213" s="12" t="s">
        <v>1976</v>
      </c>
      <c r="AW2213" s="36">
        <v>2</v>
      </c>
      <c r="AX2213" s="33">
        <f>VLOOKUP(AW2213,색인!$N$14:$O$19,2,FALSE)</f>
        <v>1</v>
      </c>
      <c r="AY2213" s="36" t="str">
        <f>"T"&amp;O2213&amp;"_"&amp;AX2213&amp;"옵션_"&amp;VLOOKUP(E2213,색인!$J$25:$K$29,2,FALSE)</f>
        <v>T8_1옵션_장신구</v>
      </c>
      <c r="AZ2213" s="36">
        <f>VLOOKUP(G2213,색인!$J$32:$K$45,2,FALSE)</f>
        <v>4</v>
      </c>
      <c r="BA2213" s="36" t="str">
        <f>_xlfn.IFNA(VLOOKUP(AY2213,표1[[검색용]:[OptionGroupIndex'[']22]],EquipItemTable!AZ2213,FALSE),"옵션고정안함")</f>
        <v>8131,8132</v>
      </c>
    </row>
    <row r="2214" spans="1:53" s="33" customFormat="1" ht="12" customHeight="1" x14ac:dyDescent="0.2">
      <c r="A2214" s="31" t="s">
        <v>2717</v>
      </c>
      <c r="B2214" s="39">
        <v>816013</v>
      </c>
      <c r="C2214" s="42" t="s">
        <v>4301</v>
      </c>
      <c r="D2214" s="86" t="s">
        <v>2954</v>
      </c>
      <c r="E2214" s="86" t="s">
        <v>2</v>
      </c>
      <c r="F2214" s="32" t="s">
        <v>312</v>
      </c>
      <c r="G2214" s="32" t="s">
        <v>1625</v>
      </c>
      <c r="H2214" s="32"/>
      <c r="I2214" s="32"/>
      <c r="J2214" s="32"/>
      <c r="K2214" s="32"/>
      <c r="L2214" s="32"/>
      <c r="M2214" s="32"/>
      <c r="N2214" s="8"/>
      <c r="O2214" s="32">
        <v>8</v>
      </c>
      <c r="P2214" s="32">
        <v>81</v>
      </c>
      <c r="Q2214" s="1"/>
      <c r="R2214" s="1"/>
      <c r="S2214" s="1"/>
      <c r="T2214" s="1"/>
      <c r="U2214" s="1"/>
      <c r="V2214" s="1"/>
      <c r="W2214" s="1" t="s">
        <v>2193</v>
      </c>
      <c r="X2214" s="1" t="s">
        <v>2193</v>
      </c>
      <c r="Y2214" s="1" t="s">
        <v>2193</v>
      </c>
      <c r="Z2214" s="1" t="s">
        <v>2193</v>
      </c>
      <c r="AA2214" s="1">
        <v>3042</v>
      </c>
      <c r="AB2214" s="1" t="s">
        <v>2193</v>
      </c>
      <c r="AC2214" s="8"/>
      <c r="AD2214" s="12" t="s">
        <v>52</v>
      </c>
      <c r="AE2214" s="39" t="str">
        <f t="shared" si="242"/>
        <v>8231,8232</v>
      </c>
      <c r="AF2214" s="12"/>
      <c r="AG2214" s="12"/>
      <c r="AH2214" s="12"/>
      <c r="AI2214" s="12"/>
      <c r="AJ2214" s="12"/>
      <c r="AK2214" s="12"/>
      <c r="AL2214" s="12"/>
      <c r="AM2214" s="12"/>
      <c r="AN2214" s="12"/>
      <c r="AO2214" s="12"/>
      <c r="AP2214" s="12"/>
      <c r="AQ2214" s="8"/>
      <c r="AR2214" s="34"/>
      <c r="AS2214" s="34"/>
      <c r="AT2214" s="8"/>
      <c r="AU2214" s="12" t="s">
        <v>1978</v>
      </c>
      <c r="AW2214" s="36">
        <v>3</v>
      </c>
      <c r="AX2214" s="33">
        <f>VLOOKUP(AW2214,색인!$N$14:$O$19,2,FALSE)</f>
        <v>2</v>
      </c>
      <c r="AY2214" s="36" t="str">
        <f>"T"&amp;O2214&amp;"_"&amp;AX2214&amp;"옵션_"&amp;VLOOKUP(E2214,색인!$J$25:$K$29,2,FALSE)</f>
        <v>T8_2옵션_장신구</v>
      </c>
      <c r="AZ2214" s="36">
        <f>VLOOKUP(G2214,색인!$J$32:$K$45,2,FALSE)</f>
        <v>4</v>
      </c>
      <c r="BA2214" s="36" t="str">
        <f>_xlfn.IFNA(VLOOKUP(AY2214,표1[[검색용]:[OptionGroupIndex'[']22]],EquipItemTable!AZ2214,FALSE),"옵션고정안함")</f>
        <v>8231,8232</v>
      </c>
    </row>
    <row r="2215" spans="1:53" s="33" customFormat="1" ht="12" customHeight="1" x14ac:dyDescent="0.2">
      <c r="A2215" s="31" t="s">
        <v>2718</v>
      </c>
      <c r="B2215" s="39">
        <v>816014</v>
      </c>
      <c r="C2215" s="42" t="s">
        <v>4032</v>
      </c>
      <c r="D2215" s="86" t="s">
        <v>2954</v>
      </c>
      <c r="E2215" s="86" t="s">
        <v>2</v>
      </c>
      <c r="F2215" s="32" t="s">
        <v>312</v>
      </c>
      <c r="G2215" s="32" t="s">
        <v>1625</v>
      </c>
      <c r="H2215" s="32"/>
      <c r="I2215" s="32"/>
      <c r="J2215" s="32"/>
      <c r="K2215" s="32"/>
      <c r="L2215" s="32"/>
      <c r="M2215" s="32"/>
      <c r="N2215" s="8"/>
      <c r="O2215" s="32">
        <v>8</v>
      </c>
      <c r="P2215" s="32">
        <v>81</v>
      </c>
      <c r="Q2215" s="1"/>
      <c r="R2215" s="1"/>
      <c r="S2215" s="1"/>
      <c r="T2215" s="1"/>
      <c r="U2215" s="1"/>
      <c r="V2215" s="1"/>
      <c r="W2215" s="1" t="s">
        <v>2193</v>
      </c>
      <c r="X2215" s="1" t="s">
        <v>2193</v>
      </c>
      <c r="Y2215" s="1" t="s">
        <v>2193</v>
      </c>
      <c r="Z2215" s="1" t="s">
        <v>2193</v>
      </c>
      <c r="AA2215" s="1">
        <v>3234</v>
      </c>
      <c r="AB2215" s="1" t="s">
        <v>2193</v>
      </c>
      <c r="AC2215" s="8"/>
      <c r="AD2215" s="12" t="s">
        <v>52</v>
      </c>
      <c r="AE2215" s="39" t="str">
        <f t="shared" si="242"/>
        <v>8331,8332</v>
      </c>
      <c r="AF2215" s="12"/>
      <c r="AG2215" s="12"/>
      <c r="AH2215" s="12"/>
      <c r="AI2215" s="12"/>
      <c r="AJ2215" s="12"/>
      <c r="AK2215" s="12"/>
      <c r="AL2215" s="12"/>
      <c r="AM2215" s="12"/>
      <c r="AN2215" s="12"/>
      <c r="AO2215" s="12"/>
      <c r="AP2215" s="12"/>
      <c r="AQ2215" s="8"/>
      <c r="AR2215" s="34"/>
      <c r="AS2215" s="34"/>
      <c r="AT2215" s="8"/>
      <c r="AU2215" s="12" t="s">
        <v>1980</v>
      </c>
      <c r="AW2215" s="36">
        <v>4</v>
      </c>
      <c r="AX2215" s="33">
        <f>VLOOKUP(AW2215,색인!$N$14:$O$19,2,FALSE)</f>
        <v>3</v>
      </c>
      <c r="AY2215" s="36" t="str">
        <f>"T"&amp;O2215&amp;"_"&amp;AX2215&amp;"옵션_"&amp;VLOOKUP(E2215,색인!$J$25:$K$29,2,FALSE)</f>
        <v>T8_3옵션_장신구</v>
      </c>
      <c r="AZ2215" s="36">
        <f>VLOOKUP(G2215,색인!$J$32:$K$45,2,FALSE)</f>
        <v>4</v>
      </c>
      <c r="BA2215" s="36" t="str">
        <f>_xlfn.IFNA(VLOOKUP(AY2215,표1[[검색용]:[OptionGroupIndex'[']22]],EquipItemTable!AZ2215,FALSE),"옵션고정안함")</f>
        <v>8331,8332</v>
      </c>
    </row>
    <row r="2216" spans="1:53" s="33" customFormat="1" ht="12" customHeight="1" x14ac:dyDescent="0.2">
      <c r="A2216" s="31" t="s">
        <v>2719</v>
      </c>
      <c r="B2216" s="39">
        <v>816015</v>
      </c>
      <c r="C2216" s="42" t="s">
        <v>4021</v>
      </c>
      <c r="D2216" s="86" t="s">
        <v>2954</v>
      </c>
      <c r="E2216" s="86" t="s">
        <v>2</v>
      </c>
      <c r="F2216" s="32" t="s">
        <v>312</v>
      </c>
      <c r="G2216" s="32" t="s">
        <v>1625</v>
      </c>
      <c r="H2216" s="32"/>
      <c r="I2216" s="32"/>
      <c r="J2216" s="32"/>
      <c r="K2216" s="32"/>
      <c r="L2216" s="32"/>
      <c r="M2216" s="32"/>
      <c r="N2216" s="8"/>
      <c r="O2216" s="32">
        <v>8</v>
      </c>
      <c r="P2216" s="32">
        <v>81</v>
      </c>
      <c r="Q2216" s="1"/>
      <c r="R2216" s="1"/>
      <c r="S2216" s="1"/>
      <c r="T2216" s="1"/>
      <c r="U2216" s="1"/>
      <c r="V2216" s="1"/>
      <c r="W2216" s="1" t="s">
        <v>2193</v>
      </c>
      <c r="X2216" s="1" t="s">
        <v>2193</v>
      </c>
      <c r="Y2216" s="1" t="s">
        <v>2193</v>
      </c>
      <c r="Z2216" s="1" t="s">
        <v>2193</v>
      </c>
      <c r="AA2216" s="1">
        <v>3392</v>
      </c>
      <c r="AB2216" s="1" t="s">
        <v>2193</v>
      </c>
      <c r="AC2216" s="8"/>
      <c r="AD2216" s="12" t="s">
        <v>52</v>
      </c>
      <c r="AE2216" s="39" t="str">
        <f t="shared" si="242"/>
        <v>8331,8332</v>
      </c>
      <c r="AF2216" s="12"/>
      <c r="AG2216" s="12"/>
      <c r="AH2216" s="12"/>
      <c r="AI2216" s="12"/>
      <c r="AJ2216" s="12"/>
      <c r="AK2216" s="12"/>
      <c r="AL2216" s="12"/>
      <c r="AM2216" s="12"/>
      <c r="AN2216" s="12" t="s">
        <v>2834</v>
      </c>
      <c r="AO2216" s="12"/>
      <c r="AP2216" s="12"/>
      <c r="AQ2216" s="8"/>
      <c r="AR2216" s="34"/>
      <c r="AS2216" s="34"/>
      <c r="AT2216" s="8"/>
      <c r="AU2216" s="12" t="s">
        <v>1982</v>
      </c>
      <c r="AW2216" s="36">
        <v>5</v>
      </c>
      <c r="AX2216" s="33">
        <f>VLOOKUP(AW2216,색인!$N$14:$O$19,2,FALSE)</f>
        <v>3</v>
      </c>
      <c r="AY2216" s="36" t="str">
        <f>"T"&amp;O2216&amp;"_"&amp;AX2216&amp;"옵션_"&amp;VLOOKUP(E2216,색인!$J$25:$K$29,2,FALSE)</f>
        <v>T8_3옵션_장신구</v>
      </c>
      <c r="AZ2216" s="36">
        <f>VLOOKUP(G2216,색인!$J$32:$K$45,2,FALSE)</f>
        <v>4</v>
      </c>
      <c r="BA2216" s="36" t="str">
        <f>_xlfn.IFNA(VLOOKUP(AY2216,표1[[검색용]:[OptionGroupIndex'[']22]],EquipItemTable!AZ2216,FALSE),"옵션고정안함")</f>
        <v>8331,8332</v>
      </c>
    </row>
    <row r="2217" spans="1:53" s="33" customFormat="1" ht="12" customHeight="1" x14ac:dyDescent="0.2">
      <c r="A2217" s="31" t="s">
        <v>2720</v>
      </c>
      <c r="B2217" s="39">
        <v>817012</v>
      </c>
      <c r="C2217" s="42" t="s">
        <v>4036</v>
      </c>
      <c r="D2217" s="86" t="s">
        <v>2954</v>
      </c>
      <c r="E2217" s="86" t="s">
        <v>1629</v>
      </c>
      <c r="F2217" s="32" t="s">
        <v>312</v>
      </c>
      <c r="G2217" s="32" t="s">
        <v>1630</v>
      </c>
      <c r="H2217" s="32"/>
      <c r="I2217" s="32"/>
      <c r="J2217" s="32"/>
      <c r="K2217" s="32"/>
      <c r="L2217" s="32"/>
      <c r="M2217" s="32"/>
      <c r="N2217" s="8"/>
      <c r="O2217" s="32">
        <v>8</v>
      </c>
      <c r="P2217" s="32">
        <v>81</v>
      </c>
      <c r="Q2217" s="1"/>
      <c r="R2217" s="1"/>
      <c r="S2217" s="1"/>
      <c r="T2217" s="1"/>
      <c r="U2217" s="1"/>
      <c r="V2217" s="1"/>
      <c r="W2217" s="1" t="s">
        <v>2193</v>
      </c>
      <c r="X2217" s="1" t="s">
        <v>2193</v>
      </c>
      <c r="Y2217" s="1">
        <v>182554</v>
      </c>
      <c r="Z2217" s="1" t="s">
        <v>2193</v>
      </c>
      <c r="AA2217" s="1" t="s">
        <v>2193</v>
      </c>
      <c r="AB2217" s="1" t="s">
        <v>2193</v>
      </c>
      <c r="AC2217" s="8"/>
      <c r="AD2217" s="12" t="s">
        <v>52</v>
      </c>
      <c r="AE2217" s="39" t="str">
        <f t="shared" si="242"/>
        <v>8141,8142</v>
      </c>
      <c r="AF2217" s="12"/>
      <c r="AG2217" s="12"/>
      <c r="AH2217" s="12"/>
      <c r="AI2217" s="12"/>
      <c r="AJ2217" s="12"/>
      <c r="AK2217" s="12"/>
      <c r="AL2217" s="12"/>
      <c r="AM2217" s="12"/>
      <c r="AN2217" s="12"/>
      <c r="AO2217" s="12"/>
      <c r="AP2217" s="12"/>
      <c r="AQ2217" s="8"/>
      <c r="AR2217" s="34"/>
      <c r="AS2217" s="34"/>
      <c r="AT2217" s="8"/>
      <c r="AU2217" s="12" t="s">
        <v>1976</v>
      </c>
      <c r="AW2217" s="36">
        <v>2</v>
      </c>
      <c r="AX2217" s="33">
        <f>VLOOKUP(AW2217,색인!$N$14:$O$19,2,FALSE)</f>
        <v>1</v>
      </c>
      <c r="AY2217" s="36" t="str">
        <f>"T"&amp;O2217&amp;"_"&amp;AX2217&amp;"옵션_"&amp;VLOOKUP(E2217,색인!$J$25:$K$29,2,FALSE)</f>
        <v>T8_1옵션_보주</v>
      </c>
      <c r="AZ2217" s="36">
        <f>VLOOKUP(G2217,색인!$J$32:$K$45,2,FALSE)</f>
        <v>4</v>
      </c>
      <c r="BA2217" s="36" t="str">
        <f>_xlfn.IFNA(VLOOKUP(AY2217,표1[[검색용]:[OptionGroupIndex'[']22]],EquipItemTable!AZ2217,FALSE),"옵션고정안함")</f>
        <v>8141,8142</v>
      </c>
    </row>
    <row r="2218" spans="1:53" s="33" customFormat="1" ht="12" customHeight="1" x14ac:dyDescent="0.2">
      <c r="A2218" s="31" t="s">
        <v>2721</v>
      </c>
      <c r="B2218" s="39">
        <v>817013</v>
      </c>
      <c r="C2218" s="42" t="s">
        <v>4049</v>
      </c>
      <c r="D2218" s="86" t="s">
        <v>2954</v>
      </c>
      <c r="E2218" s="86" t="s">
        <v>1629</v>
      </c>
      <c r="F2218" s="32" t="s">
        <v>312</v>
      </c>
      <c r="G2218" s="32" t="s">
        <v>1630</v>
      </c>
      <c r="H2218" s="32"/>
      <c r="I2218" s="32"/>
      <c r="J2218" s="32"/>
      <c r="K2218" s="32"/>
      <c r="L2218" s="32"/>
      <c r="M2218" s="32"/>
      <c r="N2218" s="8"/>
      <c r="O2218" s="32">
        <v>8</v>
      </c>
      <c r="P2218" s="32">
        <v>81</v>
      </c>
      <c r="Q2218" s="1"/>
      <c r="R2218" s="1"/>
      <c r="S2218" s="1"/>
      <c r="T2218" s="1"/>
      <c r="U2218" s="1"/>
      <c r="V2218" s="1"/>
      <c r="W2218" s="1" t="s">
        <v>2193</v>
      </c>
      <c r="X2218" s="1" t="s">
        <v>2193</v>
      </c>
      <c r="Y2218" s="1">
        <v>194292</v>
      </c>
      <c r="Z2218" s="1" t="s">
        <v>2193</v>
      </c>
      <c r="AA2218" s="1" t="s">
        <v>2193</v>
      </c>
      <c r="AB2218" s="1" t="s">
        <v>2193</v>
      </c>
      <c r="AC2218" s="8"/>
      <c r="AD2218" s="12" t="s">
        <v>52</v>
      </c>
      <c r="AE2218" s="39" t="str">
        <f t="shared" si="242"/>
        <v>8241,8242</v>
      </c>
      <c r="AF2218" s="12"/>
      <c r="AG2218" s="12"/>
      <c r="AH2218" s="12"/>
      <c r="AI2218" s="12"/>
      <c r="AJ2218" s="12"/>
      <c r="AK2218" s="12"/>
      <c r="AL2218" s="12"/>
      <c r="AM2218" s="12"/>
      <c r="AN2218" s="12"/>
      <c r="AO2218" s="12"/>
      <c r="AP2218" s="12"/>
      <c r="AQ2218" s="8"/>
      <c r="AR2218" s="34"/>
      <c r="AS2218" s="34"/>
      <c r="AT2218" s="8"/>
      <c r="AU2218" s="12" t="s">
        <v>1978</v>
      </c>
      <c r="AW2218" s="36">
        <v>3</v>
      </c>
      <c r="AX2218" s="33">
        <f>VLOOKUP(AW2218,색인!$N$14:$O$19,2,FALSE)</f>
        <v>2</v>
      </c>
      <c r="AY2218" s="36" t="str">
        <f>"T"&amp;O2218&amp;"_"&amp;AX2218&amp;"옵션_"&amp;VLOOKUP(E2218,색인!$J$25:$K$29,2,FALSE)</f>
        <v>T8_2옵션_보주</v>
      </c>
      <c r="AZ2218" s="36">
        <f>VLOOKUP(G2218,색인!$J$32:$K$45,2,FALSE)</f>
        <v>4</v>
      </c>
      <c r="BA2218" s="36" t="str">
        <f>_xlfn.IFNA(VLOOKUP(AY2218,표1[[검색용]:[OptionGroupIndex'[']22]],EquipItemTable!AZ2218,FALSE),"옵션고정안함")</f>
        <v>8241,8242</v>
      </c>
    </row>
    <row r="2219" spans="1:53" s="33" customFormat="1" ht="12" customHeight="1" x14ac:dyDescent="0.2">
      <c r="A2219" s="31" t="s">
        <v>2722</v>
      </c>
      <c r="B2219" s="39">
        <v>817014</v>
      </c>
      <c r="C2219" s="42" t="s">
        <v>4046</v>
      </c>
      <c r="D2219" s="86" t="s">
        <v>2954</v>
      </c>
      <c r="E2219" s="86" t="s">
        <v>1629</v>
      </c>
      <c r="F2219" s="32" t="s">
        <v>312</v>
      </c>
      <c r="G2219" s="32" t="s">
        <v>1630</v>
      </c>
      <c r="H2219" s="32"/>
      <c r="I2219" s="32"/>
      <c r="J2219" s="32"/>
      <c r="K2219" s="32"/>
      <c r="L2219" s="32"/>
      <c r="M2219" s="32"/>
      <c r="N2219" s="8"/>
      <c r="O2219" s="32">
        <v>8</v>
      </c>
      <c r="P2219" s="32">
        <v>81</v>
      </c>
      <c r="Q2219" s="1"/>
      <c r="R2219" s="1"/>
      <c r="S2219" s="1"/>
      <c r="T2219" s="1"/>
      <c r="U2219" s="1"/>
      <c r="V2219" s="1"/>
      <c r="W2219" s="1" t="s">
        <v>2193</v>
      </c>
      <c r="X2219" s="1" t="s">
        <v>2193</v>
      </c>
      <c r="Y2219" s="1">
        <v>206483</v>
      </c>
      <c r="Z2219" s="1" t="s">
        <v>2193</v>
      </c>
      <c r="AA2219" s="1" t="s">
        <v>2193</v>
      </c>
      <c r="AB2219" s="1" t="s">
        <v>2193</v>
      </c>
      <c r="AC2219" s="8"/>
      <c r="AD2219" s="12" t="s">
        <v>52</v>
      </c>
      <c r="AE2219" s="39" t="str">
        <f t="shared" si="242"/>
        <v>8341,8342</v>
      </c>
      <c r="AF2219" s="12"/>
      <c r="AG2219" s="12"/>
      <c r="AH2219" s="12"/>
      <c r="AI2219" s="12"/>
      <c r="AJ2219" s="12"/>
      <c r="AK2219" s="12"/>
      <c r="AL2219" s="12"/>
      <c r="AM2219" s="12"/>
      <c r="AN2219" s="12"/>
      <c r="AO2219" s="12"/>
      <c r="AP2219" s="12"/>
      <c r="AQ2219" s="8"/>
      <c r="AR2219" s="34"/>
      <c r="AS2219" s="34"/>
      <c r="AT2219" s="8"/>
      <c r="AU2219" s="12" t="s">
        <v>1980</v>
      </c>
      <c r="AW2219" s="36">
        <v>4</v>
      </c>
      <c r="AX2219" s="33">
        <f>VLOOKUP(AW2219,색인!$N$14:$O$19,2,FALSE)</f>
        <v>3</v>
      </c>
      <c r="AY2219" s="36" t="str">
        <f>"T"&amp;O2219&amp;"_"&amp;AX2219&amp;"옵션_"&amp;VLOOKUP(E2219,색인!$J$25:$K$29,2,FALSE)</f>
        <v>T8_3옵션_보주</v>
      </c>
      <c r="AZ2219" s="36">
        <f>VLOOKUP(G2219,색인!$J$32:$K$45,2,FALSE)</f>
        <v>4</v>
      </c>
      <c r="BA2219" s="36" t="str">
        <f>_xlfn.IFNA(VLOOKUP(AY2219,표1[[검색용]:[OptionGroupIndex'[']22]],EquipItemTable!AZ2219,FALSE),"옵션고정안함")</f>
        <v>8341,8342</v>
      </c>
    </row>
    <row r="2220" spans="1:53" s="33" customFormat="1" ht="12" customHeight="1" x14ac:dyDescent="0.2">
      <c r="A2220" s="31" t="s">
        <v>2723</v>
      </c>
      <c r="B2220" s="39">
        <v>817015</v>
      </c>
      <c r="C2220" s="42" t="s">
        <v>4051</v>
      </c>
      <c r="D2220" s="86" t="s">
        <v>2954</v>
      </c>
      <c r="E2220" s="86" t="s">
        <v>1629</v>
      </c>
      <c r="F2220" s="32" t="s">
        <v>312</v>
      </c>
      <c r="G2220" s="32" t="s">
        <v>1630</v>
      </c>
      <c r="H2220" s="32"/>
      <c r="I2220" s="32"/>
      <c r="J2220" s="32"/>
      <c r="K2220" s="32"/>
      <c r="L2220" s="32"/>
      <c r="M2220" s="32"/>
      <c r="N2220" s="8"/>
      <c r="O2220" s="32">
        <v>8</v>
      </c>
      <c r="P2220" s="32">
        <v>81</v>
      </c>
      <c r="Q2220" s="1"/>
      <c r="R2220" s="1"/>
      <c r="S2220" s="1"/>
      <c r="T2220" s="1"/>
      <c r="U2220" s="1"/>
      <c r="V2220" s="1"/>
      <c r="W2220" s="1" t="s">
        <v>2193</v>
      </c>
      <c r="X2220" s="1" t="s">
        <v>2193</v>
      </c>
      <c r="Y2220" s="1">
        <v>216615</v>
      </c>
      <c r="Z2220" s="1" t="s">
        <v>2193</v>
      </c>
      <c r="AA2220" s="1" t="s">
        <v>2193</v>
      </c>
      <c r="AB2220" s="1" t="s">
        <v>2193</v>
      </c>
      <c r="AC2220" s="8"/>
      <c r="AD2220" s="12" t="s">
        <v>52</v>
      </c>
      <c r="AE2220" s="39" t="str">
        <f t="shared" si="242"/>
        <v>8341,8342</v>
      </c>
      <c r="AF2220" s="12"/>
      <c r="AG2220" s="12"/>
      <c r="AH2220" s="12"/>
      <c r="AI2220" s="12"/>
      <c r="AJ2220" s="12"/>
      <c r="AK2220" s="12"/>
      <c r="AL2220" s="12"/>
      <c r="AM2220" s="12"/>
      <c r="AN2220" s="12" t="s">
        <v>2834</v>
      </c>
      <c r="AO2220" s="12"/>
      <c r="AP2220" s="12"/>
      <c r="AQ2220" s="8"/>
      <c r="AR2220" s="34"/>
      <c r="AS2220" s="34"/>
      <c r="AT2220" s="8"/>
      <c r="AU2220" s="12" t="s">
        <v>1982</v>
      </c>
      <c r="AW2220" s="36">
        <v>5</v>
      </c>
      <c r="AX2220" s="33">
        <f>VLOOKUP(AW2220,색인!$N$14:$O$19,2,FALSE)</f>
        <v>3</v>
      </c>
      <c r="AY2220" s="36" t="str">
        <f>"T"&amp;O2220&amp;"_"&amp;AX2220&amp;"옵션_"&amp;VLOOKUP(E2220,색인!$J$25:$K$29,2,FALSE)</f>
        <v>T8_3옵션_보주</v>
      </c>
      <c r="AZ2220" s="36">
        <f>VLOOKUP(G2220,색인!$J$32:$K$45,2,FALSE)</f>
        <v>4</v>
      </c>
      <c r="BA2220" s="36" t="str">
        <f>_xlfn.IFNA(VLOOKUP(AY2220,표1[[검색용]:[OptionGroupIndex'[']22]],EquipItemTable!AZ2220,FALSE),"옵션고정안함")</f>
        <v>8341,8342</v>
      </c>
    </row>
    <row r="2221" spans="1:53" ht="12" customHeight="1" x14ac:dyDescent="0.2">
      <c r="A2221" s="10" t="s">
        <v>2655</v>
      </c>
      <c r="B2221" s="39">
        <v>801016</v>
      </c>
      <c r="C2221" s="42" t="s">
        <v>4302</v>
      </c>
      <c r="D2221" s="86" t="s">
        <v>2954</v>
      </c>
      <c r="E2221" s="86" t="s">
        <v>0</v>
      </c>
      <c r="F2221" s="32" t="s">
        <v>436</v>
      </c>
      <c r="G2221" s="32" t="s">
        <v>1305</v>
      </c>
      <c r="O2221" s="32">
        <v>8</v>
      </c>
      <c r="P2221" s="32">
        <v>81</v>
      </c>
      <c r="W2221" s="12">
        <v>7994</v>
      </c>
      <c r="X2221" s="12">
        <v>7994</v>
      </c>
      <c r="Y2221" s="12" t="s">
        <v>2193</v>
      </c>
      <c r="Z2221" s="12" t="s">
        <v>2193</v>
      </c>
      <c r="AA2221" s="12" t="s">
        <v>2193</v>
      </c>
      <c r="AB2221" s="12" t="s">
        <v>2193</v>
      </c>
      <c r="AD2221" s="12" t="s">
        <v>52</v>
      </c>
      <c r="AE2221" s="39" t="s">
        <v>2187</v>
      </c>
      <c r="AF2221" s="12" t="s">
        <v>2185</v>
      </c>
      <c r="AN2221" s="12" t="s">
        <v>1338</v>
      </c>
      <c r="AR2221" s="34">
        <v>1</v>
      </c>
      <c r="AS2221" s="34">
        <v>1</v>
      </c>
      <c r="AU2221" s="12" t="s">
        <v>1936</v>
      </c>
      <c r="AW2221" s="39">
        <v>6</v>
      </c>
      <c r="AX2221" s="12">
        <f>VLOOKUP(AW2221,색인!$N$14:$O$19,2,FALSE)</f>
        <v>4</v>
      </c>
      <c r="AY2221" s="12" t="str">
        <f>"T"&amp;O2221&amp;"_"&amp;AX2221&amp;"옵션_"&amp;VLOOKUP(E2221,색인!$J$25:$K$29,2,FALSE)</f>
        <v>T8_4옵션_장신구</v>
      </c>
      <c r="AZ2221" s="12">
        <f>VLOOKUP(G2221,색인!$J$32:$K$45,2,FALSE)</f>
        <v>3</v>
      </c>
      <c r="BA2221" s="12" t="str">
        <f>_xlfn.IFNA(VLOOKUP(AY2221,표1[[검색용]:[OptionGroupIndex'[']22]],EquipItemTable!AZ2221,FALSE),"옵션고정안함")</f>
        <v>8432</v>
      </c>
    </row>
    <row r="2222" spans="1:53" ht="12" customHeight="1" x14ac:dyDescent="0.2">
      <c r="A2222" s="10" t="s">
        <v>2605</v>
      </c>
      <c r="B2222" s="39">
        <v>802016</v>
      </c>
      <c r="C2222" s="42" t="s">
        <v>4303</v>
      </c>
      <c r="D2222" s="86" t="s">
        <v>2954</v>
      </c>
      <c r="E2222" s="86" t="s">
        <v>0</v>
      </c>
      <c r="F2222" s="32" t="s">
        <v>928</v>
      </c>
      <c r="G2222" s="32" t="s">
        <v>1357</v>
      </c>
      <c r="O2222" s="32">
        <v>8</v>
      </c>
      <c r="P2222" s="32">
        <v>81</v>
      </c>
      <c r="W2222" s="12">
        <v>9081</v>
      </c>
      <c r="X2222" s="12">
        <v>9081</v>
      </c>
      <c r="Y2222" s="12" t="s">
        <v>2193</v>
      </c>
      <c r="Z2222" s="12" t="s">
        <v>2193</v>
      </c>
      <c r="AA2222" s="12" t="s">
        <v>2193</v>
      </c>
      <c r="AB2222" s="12" t="s">
        <v>2193</v>
      </c>
      <c r="AD2222" s="12" t="s">
        <v>52</v>
      </c>
      <c r="AE2222" s="39" t="s">
        <v>2187</v>
      </c>
      <c r="AF2222" s="12" t="s">
        <v>2185</v>
      </c>
      <c r="AN2222" s="12" t="s">
        <v>1338</v>
      </c>
      <c r="AR2222" s="34">
        <v>1</v>
      </c>
      <c r="AS2222" s="34">
        <v>1</v>
      </c>
      <c r="AU2222" s="12" t="s">
        <v>1936</v>
      </c>
      <c r="AW2222" s="39">
        <v>6</v>
      </c>
      <c r="AX2222" s="12">
        <f>VLOOKUP(AW2222,색인!$N$14:$O$19,2,FALSE)</f>
        <v>4</v>
      </c>
      <c r="AY2222" s="12" t="str">
        <f>"T"&amp;O2222&amp;"_"&amp;AX2222&amp;"옵션_"&amp;VLOOKUP(E2222,색인!$J$25:$K$29,2,FALSE)</f>
        <v>T8_4옵션_장신구</v>
      </c>
      <c r="AZ2222" s="12">
        <f>VLOOKUP(G2222,색인!$J$32:$K$45,2,FALSE)</f>
        <v>2</v>
      </c>
      <c r="BA2222" s="12" t="str">
        <f>_xlfn.IFNA(VLOOKUP(AY2222,표1[[검색용]:[OptionGroupIndex'[']22]],EquipItemTable!AZ2222,FALSE),"옵션고정안함")</f>
        <v>8431</v>
      </c>
    </row>
    <row r="2223" spans="1:53" ht="12" customHeight="1" x14ac:dyDescent="0.2">
      <c r="A2223" s="10" t="s">
        <v>2606</v>
      </c>
      <c r="B2223" s="39">
        <v>803016</v>
      </c>
      <c r="C2223" s="42" t="s">
        <v>4304</v>
      </c>
      <c r="D2223" s="86" t="s">
        <v>2954</v>
      </c>
      <c r="E2223" s="86" t="s">
        <v>0</v>
      </c>
      <c r="F2223" s="32" t="s">
        <v>310</v>
      </c>
      <c r="G2223" s="32" t="s">
        <v>1358</v>
      </c>
      <c r="O2223" s="32">
        <v>8</v>
      </c>
      <c r="P2223" s="32">
        <v>81</v>
      </c>
      <c r="W2223" s="12">
        <v>9969</v>
      </c>
      <c r="X2223" s="12">
        <v>9969</v>
      </c>
      <c r="Y2223" s="12" t="s">
        <v>2193</v>
      </c>
      <c r="Z2223" s="12" t="s">
        <v>2193</v>
      </c>
      <c r="AA2223" s="12" t="s">
        <v>2193</v>
      </c>
      <c r="AB2223" s="12" t="s">
        <v>2193</v>
      </c>
      <c r="AD2223" s="12" t="s">
        <v>52</v>
      </c>
      <c r="AE2223" s="39" t="s">
        <v>2187</v>
      </c>
      <c r="AF2223" s="12" t="s">
        <v>2185</v>
      </c>
      <c r="AN2223" s="12" t="s">
        <v>1338</v>
      </c>
      <c r="AR2223" s="34">
        <v>1</v>
      </c>
      <c r="AS2223" s="34">
        <v>1</v>
      </c>
      <c r="AU2223" s="12" t="s">
        <v>1936</v>
      </c>
      <c r="AW2223" s="39">
        <v>6</v>
      </c>
      <c r="AX2223" s="12">
        <f>VLOOKUP(AW2223,색인!$N$14:$O$19,2,FALSE)</f>
        <v>4</v>
      </c>
      <c r="AY2223" s="12" t="str">
        <f>"T"&amp;O2223&amp;"_"&amp;AX2223&amp;"옵션_"&amp;VLOOKUP(E2223,색인!$J$25:$K$29,2,FALSE)</f>
        <v>T8_4옵션_장신구</v>
      </c>
      <c r="AZ2223" s="12">
        <f>VLOOKUP(G2223,색인!$J$32:$K$45,2,FALSE)</f>
        <v>2</v>
      </c>
      <c r="BA2223" s="12" t="str">
        <f>_xlfn.IFNA(VLOOKUP(AY2223,표1[[검색용]:[OptionGroupIndex'[']22]],EquipItemTable!AZ2223,FALSE),"옵션고정안함")</f>
        <v>8431</v>
      </c>
    </row>
    <row r="2224" spans="1:53" ht="12" customHeight="1" x14ac:dyDescent="0.2">
      <c r="A2224" s="10" t="s">
        <v>2607</v>
      </c>
      <c r="B2224" s="39">
        <v>804016</v>
      </c>
      <c r="C2224" s="42" t="s">
        <v>4305</v>
      </c>
      <c r="D2224" s="86" t="s">
        <v>2954</v>
      </c>
      <c r="E2224" s="86" t="s">
        <v>0</v>
      </c>
      <c r="F2224" s="32" t="s">
        <v>456</v>
      </c>
      <c r="G2224" s="32" t="s">
        <v>1396</v>
      </c>
      <c r="O2224" s="32">
        <v>8</v>
      </c>
      <c r="P2224" s="32">
        <v>81</v>
      </c>
      <c r="W2224" s="12">
        <v>11252</v>
      </c>
      <c r="X2224" s="12">
        <v>11252</v>
      </c>
      <c r="Y2224" s="12" t="s">
        <v>2193</v>
      </c>
      <c r="Z2224" s="12" t="s">
        <v>2193</v>
      </c>
      <c r="AA2224" s="12" t="s">
        <v>2193</v>
      </c>
      <c r="AB2224" s="12" t="s">
        <v>2193</v>
      </c>
      <c r="AD2224" s="12" t="s">
        <v>52</v>
      </c>
      <c r="AE2224" s="39" t="s">
        <v>2187</v>
      </c>
      <c r="AF2224" s="12" t="s">
        <v>2185</v>
      </c>
      <c r="AN2224" s="12" t="s">
        <v>1338</v>
      </c>
      <c r="AR2224" s="34">
        <v>1</v>
      </c>
      <c r="AS2224" s="34">
        <v>1</v>
      </c>
      <c r="AU2224" s="12" t="s">
        <v>1936</v>
      </c>
      <c r="AW2224" s="39">
        <v>6</v>
      </c>
      <c r="AX2224" s="12">
        <f>VLOOKUP(AW2224,색인!$N$14:$O$19,2,FALSE)</f>
        <v>4</v>
      </c>
      <c r="AY2224" s="12" t="str">
        <f>"T"&amp;O2224&amp;"_"&amp;AX2224&amp;"옵션_"&amp;VLOOKUP(E2224,색인!$J$25:$K$29,2,FALSE)</f>
        <v>T8_4옵션_장신구</v>
      </c>
      <c r="AZ2224" s="12">
        <f>VLOOKUP(G2224,색인!$J$32:$K$45,2,FALSE)</f>
        <v>2</v>
      </c>
      <c r="BA2224" s="12" t="str">
        <f>_xlfn.IFNA(VLOOKUP(AY2224,표1[[검색용]:[OptionGroupIndex'[']22]],EquipItemTable!AZ2224,FALSE),"옵션고정안함")</f>
        <v>8431</v>
      </c>
    </row>
    <row r="2225" spans="1:53" ht="12" customHeight="1" x14ac:dyDescent="0.2">
      <c r="A2225" s="10" t="s">
        <v>2608</v>
      </c>
      <c r="B2225" s="39">
        <v>805016</v>
      </c>
      <c r="C2225" s="42" t="s">
        <v>4306</v>
      </c>
      <c r="D2225" s="86" t="s">
        <v>2954</v>
      </c>
      <c r="E2225" s="86" t="s">
        <v>0</v>
      </c>
      <c r="F2225" s="32" t="s">
        <v>927</v>
      </c>
      <c r="G2225" s="32" t="s">
        <v>1415</v>
      </c>
      <c r="O2225" s="32">
        <v>8</v>
      </c>
      <c r="P2225" s="32">
        <v>81</v>
      </c>
      <c r="W2225" s="12">
        <v>10266</v>
      </c>
      <c r="X2225" s="12">
        <v>10266</v>
      </c>
      <c r="Y2225" s="12" t="s">
        <v>2193</v>
      </c>
      <c r="Z2225" s="12" t="s">
        <v>2193</v>
      </c>
      <c r="AA2225" s="12" t="s">
        <v>2193</v>
      </c>
      <c r="AB2225" s="12" t="s">
        <v>2193</v>
      </c>
      <c r="AD2225" s="12" t="s">
        <v>52</v>
      </c>
      <c r="AE2225" s="39" t="s">
        <v>2187</v>
      </c>
      <c r="AF2225" s="12" t="s">
        <v>2185</v>
      </c>
      <c r="AN2225" s="12" t="s">
        <v>1338</v>
      </c>
      <c r="AR2225" s="34">
        <v>1</v>
      </c>
      <c r="AS2225" s="34">
        <v>1</v>
      </c>
      <c r="AU2225" s="12" t="s">
        <v>1936</v>
      </c>
      <c r="AW2225" s="39">
        <v>6</v>
      </c>
      <c r="AX2225" s="12">
        <f>VLOOKUP(AW2225,색인!$N$14:$O$19,2,FALSE)</f>
        <v>4</v>
      </c>
      <c r="AY2225" s="12" t="str">
        <f>"T"&amp;O2225&amp;"_"&amp;AX2225&amp;"옵션_"&amp;VLOOKUP(E2225,색인!$J$25:$K$29,2,FALSE)</f>
        <v>T8_4옵션_장신구</v>
      </c>
      <c r="AZ2225" s="12">
        <f>VLOOKUP(G2225,색인!$J$32:$K$45,2,FALSE)</f>
        <v>2</v>
      </c>
      <c r="BA2225" s="12" t="str">
        <f>_xlfn.IFNA(VLOOKUP(AY2225,표1[[검색용]:[OptionGroupIndex'[']22]],EquipItemTable!AZ2225,FALSE),"옵션고정안함")</f>
        <v>8431</v>
      </c>
    </row>
    <row r="2226" spans="1:53" ht="12" customHeight="1" x14ac:dyDescent="0.2">
      <c r="A2226" s="10" t="s">
        <v>2609</v>
      </c>
      <c r="B2226" s="39">
        <v>806016</v>
      </c>
      <c r="C2226" s="42" t="s">
        <v>4307</v>
      </c>
      <c r="D2226" s="86" t="s">
        <v>2954</v>
      </c>
      <c r="E2226" s="86" t="s">
        <v>0</v>
      </c>
      <c r="F2226" s="32" t="s">
        <v>471</v>
      </c>
      <c r="G2226" s="32" t="s">
        <v>1434</v>
      </c>
      <c r="O2226" s="32">
        <v>8</v>
      </c>
      <c r="P2226" s="32">
        <v>81</v>
      </c>
      <c r="W2226" s="12">
        <v>10462</v>
      </c>
      <c r="X2226" s="12">
        <v>10462</v>
      </c>
      <c r="Y2226" s="12" t="s">
        <v>2193</v>
      </c>
      <c r="Z2226" s="12" t="s">
        <v>2193</v>
      </c>
      <c r="AA2226" s="12" t="s">
        <v>2193</v>
      </c>
      <c r="AB2226" s="12" t="s">
        <v>2193</v>
      </c>
      <c r="AD2226" s="12" t="s">
        <v>52</v>
      </c>
      <c r="AE2226" s="39" t="s">
        <v>2187</v>
      </c>
      <c r="AF2226" s="12" t="s">
        <v>2185</v>
      </c>
      <c r="AN2226" s="12" t="s">
        <v>1338</v>
      </c>
      <c r="AR2226" s="34">
        <v>1</v>
      </c>
      <c r="AS2226" s="34">
        <v>1</v>
      </c>
      <c r="AU2226" s="12" t="s">
        <v>1936</v>
      </c>
      <c r="AW2226" s="39">
        <v>6</v>
      </c>
      <c r="AX2226" s="12">
        <f>VLOOKUP(AW2226,색인!$N$14:$O$19,2,FALSE)</f>
        <v>4</v>
      </c>
      <c r="AY2226" s="12" t="str">
        <f>"T"&amp;O2226&amp;"_"&amp;AX2226&amp;"옵션_"&amp;VLOOKUP(E2226,색인!$J$25:$K$29,2,FALSE)</f>
        <v>T8_4옵션_장신구</v>
      </c>
      <c r="AZ2226" s="12">
        <f>VLOOKUP(G2226,색인!$J$32:$K$45,2,FALSE)</f>
        <v>2</v>
      </c>
      <c r="BA2226" s="12" t="str">
        <f>_xlfn.IFNA(VLOOKUP(AY2226,표1[[검색용]:[OptionGroupIndex'[']22]],EquipItemTable!AZ2226,FALSE),"옵션고정안함")</f>
        <v>8431</v>
      </c>
    </row>
    <row r="2227" spans="1:53" ht="12" customHeight="1" x14ac:dyDescent="0.2">
      <c r="A2227" s="10" t="s">
        <v>2610</v>
      </c>
      <c r="B2227" s="39">
        <v>807016</v>
      </c>
      <c r="C2227" s="42" t="s">
        <v>4308</v>
      </c>
      <c r="D2227" s="86" t="s">
        <v>2954</v>
      </c>
      <c r="E2227" s="86" t="s">
        <v>1</v>
      </c>
      <c r="F2227" s="32" t="s">
        <v>480</v>
      </c>
      <c r="G2227" s="32" t="s">
        <v>1453</v>
      </c>
      <c r="O2227" s="32">
        <v>8</v>
      </c>
      <c r="P2227" s="32">
        <v>81</v>
      </c>
      <c r="W2227" s="12" t="s">
        <v>2193</v>
      </c>
      <c r="X2227" s="12" t="s">
        <v>2193</v>
      </c>
      <c r="Y2227" s="12" t="s">
        <v>2193</v>
      </c>
      <c r="Z2227" s="12" t="s">
        <v>2193</v>
      </c>
      <c r="AA2227" s="12">
        <v>5329</v>
      </c>
      <c r="AB2227" s="12" t="s">
        <v>2193</v>
      </c>
      <c r="AD2227" s="12" t="s">
        <v>52</v>
      </c>
      <c r="AE2227" s="39" t="s">
        <v>2187</v>
      </c>
      <c r="AF2227" s="12" t="s">
        <v>2185</v>
      </c>
      <c r="AN2227" s="12" t="s">
        <v>1338</v>
      </c>
      <c r="AR2227" s="34">
        <v>1</v>
      </c>
      <c r="AS2227" s="34">
        <v>1</v>
      </c>
      <c r="AU2227" s="12" t="s">
        <v>1936</v>
      </c>
      <c r="AW2227" s="39">
        <v>6</v>
      </c>
      <c r="AX2227" s="12">
        <f>VLOOKUP(AW2227,색인!$N$14:$O$19,2,FALSE)</f>
        <v>4</v>
      </c>
      <c r="AY2227" s="12" t="str">
        <f>"T"&amp;O2227&amp;"_"&amp;AX2227&amp;"옵션_"&amp;VLOOKUP(E2227,색인!$J$25:$K$29,2,FALSE)</f>
        <v>T8_4옵션_방어구</v>
      </c>
      <c r="AZ2227" s="12">
        <f>VLOOKUP(G2227,색인!$J$32:$K$45,2,FALSE)</f>
        <v>4</v>
      </c>
      <c r="BA2227" s="12" t="str">
        <f>_xlfn.IFNA(VLOOKUP(AY2227,표1[[검색용]:[OptionGroupIndex'[']22]],EquipItemTable!AZ2227,FALSE),"옵션고정안함")</f>
        <v>8411,8412</v>
      </c>
    </row>
    <row r="2228" spans="1:53" ht="12" customHeight="1" x14ac:dyDescent="0.2">
      <c r="A2228" s="10" t="s">
        <v>2611</v>
      </c>
      <c r="B2228" s="39">
        <v>808016</v>
      </c>
      <c r="C2228" s="42" t="s">
        <v>4309</v>
      </c>
      <c r="D2228" s="86" t="s">
        <v>2954</v>
      </c>
      <c r="E2228" s="86" t="s">
        <v>1</v>
      </c>
      <c r="F2228" s="32" t="s">
        <v>311</v>
      </c>
      <c r="G2228" s="32" t="s">
        <v>1472</v>
      </c>
      <c r="O2228" s="32">
        <v>8</v>
      </c>
      <c r="P2228" s="32">
        <v>81</v>
      </c>
      <c r="W2228" s="12" t="s">
        <v>2193</v>
      </c>
      <c r="X2228" s="12" t="s">
        <v>2193</v>
      </c>
      <c r="Y2228" s="12" t="s">
        <v>2193</v>
      </c>
      <c r="Z2228" s="12" t="s">
        <v>2193</v>
      </c>
      <c r="AA2228" s="12">
        <v>3553</v>
      </c>
      <c r="AB2228" s="12" t="s">
        <v>2193</v>
      </c>
      <c r="AD2228" s="12" t="s">
        <v>52</v>
      </c>
      <c r="AE2228" s="39" t="s">
        <v>2187</v>
      </c>
      <c r="AF2228" s="12" t="s">
        <v>2185</v>
      </c>
      <c r="AN2228" s="12" t="s">
        <v>1338</v>
      </c>
      <c r="AR2228" s="34">
        <v>1</v>
      </c>
      <c r="AS2228" s="34">
        <v>1</v>
      </c>
      <c r="AU2228" s="12" t="s">
        <v>1936</v>
      </c>
      <c r="AW2228" s="39">
        <v>6</v>
      </c>
      <c r="AX2228" s="12">
        <f>VLOOKUP(AW2228,색인!$N$14:$O$19,2,FALSE)</f>
        <v>4</v>
      </c>
      <c r="AY2228" s="12" t="str">
        <f>"T"&amp;O2228&amp;"_"&amp;AX2228&amp;"옵션_"&amp;VLOOKUP(E2228,색인!$J$25:$K$29,2,FALSE)</f>
        <v>T8_4옵션_방어구</v>
      </c>
      <c r="AZ2228" s="12">
        <f>VLOOKUP(G2228,색인!$J$32:$K$45,2,FALSE)</f>
        <v>2</v>
      </c>
      <c r="BA2228" s="12" t="str">
        <f>_xlfn.IFNA(VLOOKUP(AY2228,표1[[검색용]:[OptionGroupIndex'[']22]],EquipItemTable!AZ2228,FALSE),"옵션고정안함")</f>
        <v>8411</v>
      </c>
    </row>
    <row r="2229" spans="1:53" ht="12" customHeight="1" x14ac:dyDescent="0.2">
      <c r="A2229" s="10" t="s">
        <v>2612</v>
      </c>
      <c r="B2229" s="39">
        <v>809016</v>
      </c>
      <c r="C2229" s="42" t="s">
        <v>4310</v>
      </c>
      <c r="D2229" s="86" t="s">
        <v>2954</v>
      </c>
      <c r="E2229" s="86" t="s">
        <v>1</v>
      </c>
      <c r="F2229" s="32" t="s">
        <v>471</v>
      </c>
      <c r="G2229" s="32" t="s">
        <v>1491</v>
      </c>
      <c r="O2229" s="32">
        <v>8</v>
      </c>
      <c r="P2229" s="32">
        <v>81</v>
      </c>
      <c r="W2229" s="12" t="s">
        <v>2193</v>
      </c>
      <c r="X2229" s="12" t="s">
        <v>2193</v>
      </c>
      <c r="Y2229" s="12" t="s">
        <v>2193</v>
      </c>
      <c r="Z2229" s="12" t="s">
        <v>2193</v>
      </c>
      <c r="AA2229" s="12">
        <v>1777</v>
      </c>
      <c r="AB2229" s="12" t="s">
        <v>2193</v>
      </c>
      <c r="AD2229" s="12" t="s">
        <v>52</v>
      </c>
      <c r="AE2229" s="39" t="s">
        <v>2187</v>
      </c>
      <c r="AF2229" s="12" t="s">
        <v>2185</v>
      </c>
      <c r="AN2229" s="12" t="s">
        <v>1338</v>
      </c>
      <c r="AR2229" s="34">
        <v>1</v>
      </c>
      <c r="AS2229" s="34">
        <v>1</v>
      </c>
      <c r="AU2229" s="12" t="s">
        <v>1936</v>
      </c>
      <c r="AW2229" s="39">
        <v>6</v>
      </c>
      <c r="AX2229" s="12">
        <f>VLOOKUP(AW2229,색인!$N$14:$O$19,2,FALSE)</f>
        <v>4</v>
      </c>
      <c r="AY2229" s="12" t="str">
        <f>"T"&amp;O2229&amp;"_"&amp;AX2229&amp;"옵션_"&amp;VLOOKUP(E2229,색인!$J$25:$K$29,2,FALSE)</f>
        <v>T8_4옵션_방어구</v>
      </c>
      <c r="AZ2229" s="12">
        <f>VLOOKUP(G2229,색인!$J$32:$K$45,2,FALSE)</f>
        <v>2</v>
      </c>
      <c r="BA2229" s="12" t="str">
        <f>_xlfn.IFNA(VLOOKUP(AY2229,표1[[검색용]:[OptionGroupIndex'[']22]],EquipItemTable!AZ2229,FALSE),"옵션고정안함")</f>
        <v>8411</v>
      </c>
    </row>
    <row r="2230" spans="1:53" ht="12" customHeight="1" x14ac:dyDescent="0.2">
      <c r="A2230" s="10" t="s">
        <v>2613</v>
      </c>
      <c r="B2230" s="39">
        <v>810016</v>
      </c>
      <c r="C2230" s="42" t="s">
        <v>4311</v>
      </c>
      <c r="D2230" s="86" t="s">
        <v>2954</v>
      </c>
      <c r="E2230" s="86" t="s">
        <v>501</v>
      </c>
      <c r="F2230" s="32" t="s">
        <v>480</v>
      </c>
      <c r="G2230" s="32" t="s">
        <v>1453</v>
      </c>
      <c r="O2230" s="32">
        <v>8</v>
      </c>
      <c r="P2230" s="32">
        <v>81</v>
      </c>
      <c r="W2230" s="12" t="s">
        <v>2193</v>
      </c>
      <c r="X2230" s="12" t="s">
        <v>2193</v>
      </c>
      <c r="Y2230" s="12" t="s">
        <v>2193</v>
      </c>
      <c r="Z2230" s="12" t="s">
        <v>2193</v>
      </c>
      <c r="AA2230" s="12" t="s">
        <v>2193</v>
      </c>
      <c r="AB2230" s="12">
        <v>5329</v>
      </c>
      <c r="AD2230" s="12" t="s">
        <v>52</v>
      </c>
      <c r="AE2230" s="39" t="s">
        <v>2187</v>
      </c>
      <c r="AF2230" s="12" t="s">
        <v>2185</v>
      </c>
      <c r="AN2230" s="12" t="s">
        <v>1338</v>
      </c>
      <c r="AR2230" s="34">
        <v>1</v>
      </c>
      <c r="AS2230" s="34">
        <v>1</v>
      </c>
      <c r="AU2230" s="12" t="s">
        <v>1936</v>
      </c>
      <c r="AW2230" s="39">
        <v>6</v>
      </c>
      <c r="AX2230" s="12">
        <f>VLOOKUP(AW2230,색인!$N$14:$O$19,2,FALSE)</f>
        <v>4</v>
      </c>
      <c r="AY2230" s="12" t="str">
        <f>"T"&amp;O2230&amp;"_"&amp;AX2230&amp;"옵션_"&amp;VLOOKUP(E2230,색인!$J$25:$K$29,2,FALSE)</f>
        <v>T8_4옵션_보조장비</v>
      </c>
      <c r="AZ2230" s="12">
        <f>VLOOKUP(G2230,색인!$J$32:$K$45,2,FALSE)</f>
        <v>4</v>
      </c>
      <c r="BA2230" s="12" t="str">
        <f>_xlfn.IFNA(VLOOKUP(AY2230,표1[[검색용]:[OptionGroupIndex'[']22]],EquipItemTable!AZ2230,FALSE),"옵션고정안함")</f>
        <v>8421,8422</v>
      </c>
    </row>
    <row r="2231" spans="1:53" ht="12" customHeight="1" x14ac:dyDescent="0.2">
      <c r="A2231" s="10" t="s">
        <v>2614</v>
      </c>
      <c r="B2231" s="39">
        <v>811016</v>
      </c>
      <c r="C2231" s="42" t="s">
        <v>4312</v>
      </c>
      <c r="D2231" s="86" t="s">
        <v>2954</v>
      </c>
      <c r="E2231" s="86" t="s">
        <v>501</v>
      </c>
      <c r="F2231" s="32" t="s">
        <v>311</v>
      </c>
      <c r="G2231" s="32" t="s">
        <v>1472</v>
      </c>
      <c r="O2231" s="32">
        <v>8</v>
      </c>
      <c r="P2231" s="32">
        <v>81</v>
      </c>
      <c r="W2231" s="12" t="s">
        <v>2193</v>
      </c>
      <c r="X2231" s="12" t="s">
        <v>2193</v>
      </c>
      <c r="Y2231" s="12" t="s">
        <v>2193</v>
      </c>
      <c r="Z2231" s="12" t="s">
        <v>2193</v>
      </c>
      <c r="AA2231" s="12" t="s">
        <v>2193</v>
      </c>
      <c r="AB2231" s="12">
        <v>1777</v>
      </c>
      <c r="AD2231" s="12" t="s">
        <v>52</v>
      </c>
      <c r="AE2231" s="39" t="s">
        <v>2187</v>
      </c>
      <c r="AF2231" s="12" t="s">
        <v>2185</v>
      </c>
      <c r="AN2231" s="12" t="s">
        <v>1338</v>
      </c>
      <c r="AR2231" s="34">
        <v>1</v>
      </c>
      <c r="AS2231" s="34">
        <v>1</v>
      </c>
      <c r="AU2231" s="12" t="s">
        <v>1936</v>
      </c>
      <c r="AW2231" s="39">
        <v>6</v>
      </c>
      <c r="AX2231" s="12">
        <f>VLOOKUP(AW2231,색인!$N$14:$O$19,2,FALSE)</f>
        <v>4</v>
      </c>
      <c r="AY2231" s="12" t="str">
        <f>"T"&amp;O2231&amp;"_"&amp;AX2231&amp;"옵션_"&amp;VLOOKUP(E2231,색인!$J$25:$K$29,2,FALSE)</f>
        <v>T8_4옵션_보조장비</v>
      </c>
      <c r="AZ2231" s="12">
        <f>VLOOKUP(G2231,색인!$J$32:$K$45,2,FALSE)</f>
        <v>2</v>
      </c>
      <c r="BA2231" s="12" t="str">
        <f>_xlfn.IFNA(VLOOKUP(AY2231,표1[[검색용]:[OptionGroupIndex'[']22]],EquipItemTable!AZ2231,FALSE),"옵션고정안함")</f>
        <v>8421</v>
      </c>
    </row>
    <row r="2232" spans="1:53" ht="12" customHeight="1" x14ac:dyDescent="0.2">
      <c r="A2232" s="10" t="s">
        <v>2615</v>
      </c>
      <c r="B2232" s="39">
        <v>812016</v>
      </c>
      <c r="C2232" s="42" t="s">
        <v>4313</v>
      </c>
      <c r="D2232" s="86" t="s">
        <v>2954</v>
      </c>
      <c r="E2232" s="86" t="s">
        <v>501</v>
      </c>
      <c r="F2232" s="32" t="s">
        <v>471</v>
      </c>
      <c r="G2232" s="32" t="s">
        <v>1491</v>
      </c>
      <c r="O2232" s="32">
        <v>8</v>
      </c>
      <c r="P2232" s="32">
        <v>81</v>
      </c>
      <c r="W2232" s="12" t="s">
        <v>2193</v>
      </c>
      <c r="X2232" s="12" t="s">
        <v>2193</v>
      </c>
      <c r="Y2232" s="12" t="s">
        <v>2193</v>
      </c>
      <c r="Z2232" s="12" t="s">
        <v>2193</v>
      </c>
      <c r="AA2232" s="12" t="s">
        <v>2193</v>
      </c>
      <c r="AB2232" s="12">
        <v>3553</v>
      </c>
      <c r="AD2232" s="12" t="s">
        <v>52</v>
      </c>
      <c r="AE2232" s="39" t="s">
        <v>2187</v>
      </c>
      <c r="AF2232" s="12" t="s">
        <v>2185</v>
      </c>
      <c r="AN2232" s="12" t="s">
        <v>1338</v>
      </c>
      <c r="AR2232" s="34">
        <v>1</v>
      </c>
      <c r="AS2232" s="34">
        <v>1</v>
      </c>
      <c r="AU2232" s="12" t="s">
        <v>1936</v>
      </c>
      <c r="AW2232" s="39">
        <v>6</v>
      </c>
      <c r="AX2232" s="12">
        <f>VLOOKUP(AW2232,색인!$N$14:$O$19,2,FALSE)</f>
        <v>4</v>
      </c>
      <c r="AY2232" s="12" t="str">
        <f>"T"&amp;O2232&amp;"_"&amp;AX2232&amp;"옵션_"&amp;VLOOKUP(E2232,색인!$J$25:$K$29,2,FALSE)</f>
        <v>T8_4옵션_보조장비</v>
      </c>
      <c r="AZ2232" s="12">
        <f>VLOOKUP(G2232,색인!$J$32:$K$45,2,FALSE)</f>
        <v>2</v>
      </c>
      <c r="BA2232" s="12" t="str">
        <f>_xlfn.IFNA(VLOOKUP(AY2232,표1[[검색용]:[OptionGroupIndex'[']22]],EquipItemTable!AZ2232,FALSE),"옵션고정안함")</f>
        <v>8421</v>
      </c>
    </row>
    <row r="2233" spans="1:53" ht="12" customHeight="1" x14ac:dyDescent="0.2">
      <c r="A2233" s="10" t="s">
        <v>2616</v>
      </c>
      <c r="B2233" s="39">
        <v>813016</v>
      </c>
      <c r="C2233" s="42" t="s">
        <v>4314</v>
      </c>
      <c r="D2233" s="86" t="s">
        <v>2954</v>
      </c>
      <c r="E2233" s="86" t="s">
        <v>2</v>
      </c>
      <c r="F2233" s="32" t="s">
        <v>312</v>
      </c>
      <c r="G2233" s="32" t="s">
        <v>1568</v>
      </c>
      <c r="O2233" s="32">
        <v>8</v>
      </c>
      <c r="P2233" s="32">
        <v>81</v>
      </c>
      <c r="W2233" s="12" t="s">
        <v>2193</v>
      </c>
      <c r="X2233" s="12" t="s">
        <v>2193</v>
      </c>
      <c r="Y2233" s="12">
        <v>226962</v>
      </c>
      <c r="Z2233" s="12" t="s">
        <v>2193</v>
      </c>
      <c r="AA2233" s="12" t="s">
        <v>2193</v>
      </c>
      <c r="AB2233" s="12" t="s">
        <v>2193</v>
      </c>
      <c r="AD2233" s="12" t="s">
        <v>52</v>
      </c>
      <c r="AE2233" s="39" t="s">
        <v>2187</v>
      </c>
      <c r="AF2233" s="12" t="s">
        <v>2185</v>
      </c>
      <c r="AN2233" s="12" t="s">
        <v>1338</v>
      </c>
      <c r="AU2233" s="12" t="s">
        <v>1936</v>
      </c>
      <c r="AW2233" s="39">
        <v>6</v>
      </c>
      <c r="AX2233" s="12">
        <f>VLOOKUP(AW2233,색인!$N$14:$O$19,2,FALSE)</f>
        <v>4</v>
      </c>
      <c r="AY2233" s="12" t="str">
        <f>"T"&amp;O2233&amp;"_"&amp;AX2233&amp;"옵션_"&amp;VLOOKUP(E2233,색인!$J$25:$K$29,2,FALSE)</f>
        <v>T8_4옵션_장신구</v>
      </c>
      <c r="AZ2233" s="12">
        <f>VLOOKUP(G2233,색인!$J$32:$K$45,2,FALSE)</f>
        <v>4</v>
      </c>
      <c r="BA2233" s="12" t="str">
        <f>_xlfn.IFNA(VLOOKUP(AY2233,표1[[검색용]:[OptionGroupIndex'[']22]],EquipItemTable!AZ2233,FALSE),"옵션고정안함")</f>
        <v>8431,8432</v>
      </c>
    </row>
    <row r="2234" spans="1:53" ht="12" customHeight="1" x14ac:dyDescent="0.2">
      <c r="A2234" s="10" t="s">
        <v>2617</v>
      </c>
      <c r="B2234" s="39">
        <v>814016</v>
      </c>
      <c r="C2234" s="42" t="s">
        <v>4315</v>
      </c>
      <c r="D2234" s="86" t="s">
        <v>2954</v>
      </c>
      <c r="E2234" s="86" t="s">
        <v>2</v>
      </c>
      <c r="F2234" s="32" t="s">
        <v>312</v>
      </c>
      <c r="G2234" s="32" t="s">
        <v>1587</v>
      </c>
      <c r="O2234" s="32">
        <v>8</v>
      </c>
      <c r="P2234" s="32">
        <v>81</v>
      </c>
      <c r="W2234" s="12">
        <v>4938</v>
      </c>
      <c r="X2234" s="12">
        <v>4938</v>
      </c>
      <c r="Y2234" s="12" t="s">
        <v>2193</v>
      </c>
      <c r="Z2234" s="12" t="s">
        <v>2193</v>
      </c>
      <c r="AA2234" s="12" t="s">
        <v>2193</v>
      </c>
      <c r="AB2234" s="12" t="s">
        <v>2193</v>
      </c>
      <c r="AD2234" s="12" t="s">
        <v>52</v>
      </c>
      <c r="AE2234" s="39" t="s">
        <v>2187</v>
      </c>
      <c r="AF2234" s="12" t="s">
        <v>2185</v>
      </c>
      <c r="AN2234" s="12" t="s">
        <v>1338</v>
      </c>
      <c r="AU2234" s="12" t="s">
        <v>1936</v>
      </c>
      <c r="AW2234" s="39">
        <v>6</v>
      </c>
      <c r="AX2234" s="12">
        <f>VLOOKUP(AW2234,색인!$N$14:$O$19,2,FALSE)</f>
        <v>4</v>
      </c>
      <c r="AY2234" s="12" t="str">
        <f>"T"&amp;O2234&amp;"_"&amp;AX2234&amp;"옵션_"&amp;VLOOKUP(E2234,색인!$J$25:$K$29,2,FALSE)</f>
        <v>T8_4옵션_장신구</v>
      </c>
      <c r="AZ2234" s="12">
        <f>VLOOKUP(G2234,색인!$J$32:$K$45,2,FALSE)</f>
        <v>2</v>
      </c>
      <c r="BA2234" s="12" t="str">
        <f>_xlfn.IFNA(VLOOKUP(AY2234,표1[[검색용]:[OptionGroupIndex'[']22]],EquipItemTable!AZ2234,FALSE),"옵션고정안함")</f>
        <v>8431</v>
      </c>
    </row>
    <row r="2235" spans="1:53" ht="12" customHeight="1" x14ac:dyDescent="0.2">
      <c r="A2235" s="10" t="s">
        <v>2618</v>
      </c>
      <c r="B2235" s="39">
        <v>815016</v>
      </c>
      <c r="C2235" s="42" t="s">
        <v>4316</v>
      </c>
      <c r="D2235" s="86" t="s">
        <v>2954</v>
      </c>
      <c r="E2235" s="86" t="s">
        <v>2</v>
      </c>
      <c r="F2235" s="32" t="s">
        <v>312</v>
      </c>
      <c r="G2235" s="32" t="s">
        <v>1606</v>
      </c>
      <c r="O2235" s="32">
        <v>8</v>
      </c>
      <c r="P2235" s="32">
        <v>81</v>
      </c>
      <c r="W2235" s="12" t="s">
        <v>2193</v>
      </c>
      <c r="X2235" s="12" t="s">
        <v>2193</v>
      </c>
      <c r="Y2235" s="12" t="s">
        <v>2193</v>
      </c>
      <c r="Z2235" s="12" t="s">
        <v>2193</v>
      </c>
      <c r="AA2235" s="12" t="s">
        <v>2193</v>
      </c>
      <c r="AB2235" s="12">
        <v>3553</v>
      </c>
      <c r="AD2235" s="12" t="s">
        <v>52</v>
      </c>
      <c r="AE2235" s="39" t="s">
        <v>2187</v>
      </c>
      <c r="AF2235" s="12" t="s">
        <v>2185</v>
      </c>
      <c r="AN2235" s="12" t="s">
        <v>1338</v>
      </c>
      <c r="AU2235" s="12" t="s">
        <v>1936</v>
      </c>
      <c r="AW2235" s="39">
        <v>6</v>
      </c>
      <c r="AX2235" s="12">
        <f>VLOOKUP(AW2235,색인!$N$14:$O$19,2,FALSE)</f>
        <v>4</v>
      </c>
      <c r="AY2235" s="12" t="str">
        <f>"T"&amp;O2235&amp;"_"&amp;AX2235&amp;"옵션_"&amp;VLOOKUP(E2235,색인!$J$25:$K$29,2,FALSE)</f>
        <v>T8_4옵션_장신구</v>
      </c>
      <c r="AZ2235" s="12">
        <f>VLOOKUP(G2235,색인!$J$32:$K$45,2,FALSE)</f>
        <v>4</v>
      </c>
      <c r="BA2235" s="12" t="str">
        <f>_xlfn.IFNA(VLOOKUP(AY2235,표1[[검색용]:[OptionGroupIndex'[']22]],EquipItemTable!AZ2235,FALSE),"옵션고정안함")</f>
        <v>8431,8432</v>
      </c>
    </row>
    <row r="2236" spans="1:53" ht="12" customHeight="1" x14ac:dyDescent="0.2">
      <c r="A2236" s="10" t="s">
        <v>2619</v>
      </c>
      <c r="B2236" s="39">
        <v>816016</v>
      </c>
      <c r="C2236" s="42" t="s">
        <v>4317</v>
      </c>
      <c r="D2236" s="86" t="s">
        <v>2954</v>
      </c>
      <c r="E2236" s="86" t="s">
        <v>2</v>
      </c>
      <c r="F2236" s="32" t="s">
        <v>312</v>
      </c>
      <c r="G2236" s="32" t="s">
        <v>1625</v>
      </c>
      <c r="O2236" s="32">
        <v>8</v>
      </c>
      <c r="P2236" s="32">
        <v>81</v>
      </c>
      <c r="W2236" s="12" t="s">
        <v>2193</v>
      </c>
      <c r="X2236" s="12" t="s">
        <v>2193</v>
      </c>
      <c r="Y2236" s="12" t="s">
        <v>2193</v>
      </c>
      <c r="Z2236" s="12" t="s">
        <v>2193</v>
      </c>
      <c r="AA2236" s="12">
        <v>3553</v>
      </c>
      <c r="AB2236" s="12" t="s">
        <v>2193</v>
      </c>
      <c r="AD2236" s="12" t="s">
        <v>52</v>
      </c>
      <c r="AE2236" s="39" t="s">
        <v>2187</v>
      </c>
      <c r="AF2236" s="12" t="s">
        <v>2185</v>
      </c>
      <c r="AN2236" s="12" t="s">
        <v>1338</v>
      </c>
      <c r="AU2236" s="12" t="s">
        <v>1936</v>
      </c>
      <c r="AW2236" s="39">
        <v>6</v>
      </c>
      <c r="AX2236" s="12">
        <f>VLOOKUP(AW2236,색인!$N$14:$O$19,2,FALSE)</f>
        <v>4</v>
      </c>
      <c r="AY2236" s="12" t="str">
        <f>"T"&amp;O2236&amp;"_"&amp;AX2236&amp;"옵션_"&amp;VLOOKUP(E2236,색인!$J$25:$K$29,2,FALSE)</f>
        <v>T8_4옵션_장신구</v>
      </c>
      <c r="AZ2236" s="12">
        <f>VLOOKUP(G2236,색인!$J$32:$K$45,2,FALSE)</f>
        <v>4</v>
      </c>
      <c r="BA2236" s="12" t="str">
        <f>_xlfn.IFNA(VLOOKUP(AY2236,표1[[검색용]:[OptionGroupIndex'[']22]],EquipItemTable!AZ2236,FALSE),"옵션고정안함")</f>
        <v>8431,8432</v>
      </c>
    </row>
    <row r="2237" spans="1:53" ht="12" customHeight="1" x14ac:dyDescent="0.2">
      <c r="A2237" s="10" t="s">
        <v>2620</v>
      </c>
      <c r="B2237" s="39">
        <v>817016</v>
      </c>
      <c r="C2237" s="42" t="s">
        <v>4318</v>
      </c>
      <c r="D2237" s="86" t="s">
        <v>2954</v>
      </c>
      <c r="E2237" s="86" t="s">
        <v>1629</v>
      </c>
      <c r="F2237" s="32" t="s">
        <v>312</v>
      </c>
      <c r="G2237" s="32" t="s">
        <v>1630</v>
      </c>
      <c r="O2237" s="32">
        <v>8</v>
      </c>
      <c r="P2237" s="32">
        <v>81</v>
      </c>
      <c r="W2237" s="12" t="s">
        <v>2193</v>
      </c>
      <c r="X2237" s="12" t="s">
        <v>2193</v>
      </c>
      <c r="Y2237" s="12">
        <v>226962</v>
      </c>
      <c r="Z2237" s="12" t="s">
        <v>2193</v>
      </c>
      <c r="AA2237" s="12" t="s">
        <v>2193</v>
      </c>
      <c r="AB2237" s="12" t="s">
        <v>2193</v>
      </c>
      <c r="AD2237" s="12" t="s">
        <v>52</v>
      </c>
      <c r="AE2237" s="39" t="s">
        <v>2187</v>
      </c>
      <c r="AF2237" s="12" t="s">
        <v>2185</v>
      </c>
      <c r="AN2237" s="12" t="s">
        <v>1338</v>
      </c>
      <c r="AU2237" s="12" t="s">
        <v>1936</v>
      </c>
      <c r="AW2237" s="39">
        <v>6</v>
      </c>
      <c r="AX2237" s="12">
        <f>VLOOKUP(AW2237,색인!$N$14:$O$19,2,FALSE)</f>
        <v>4</v>
      </c>
      <c r="AY2237" s="12" t="str">
        <f>"T"&amp;O2237&amp;"_"&amp;AX2237&amp;"옵션_"&amp;VLOOKUP(E2237,색인!$J$25:$K$29,2,FALSE)</f>
        <v>T8_4옵션_보주</v>
      </c>
      <c r="AZ2237" s="12">
        <f>VLOOKUP(G2237,색인!$J$32:$K$45,2,FALSE)</f>
        <v>4</v>
      </c>
      <c r="BA2237" s="12" t="str">
        <f>_xlfn.IFNA(VLOOKUP(AY2237,표1[[검색용]:[OptionGroupIndex'[']22]],EquipItemTable!AZ2237,FALSE),"옵션고정안함")</f>
        <v>8441,8442</v>
      </c>
    </row>
    <row r="2238" spans="1:53" s="33" customFormat="1" ht="12" customHeight="1" x14ac:dyDescent="0.2">
      <c r="A2238" s="31" t="s">
        <v>2724</v>
      </c>
      <c r="B2238" s="39">
        <v>801022</v>
      </c>
      <c r="C2238" s="42" t="s">
        <v>3413</v>
      </c>
      <c r="D2238" s="86" t="s">
        <v>2955</v>
      </c>
      <c r="E2238" s="86" t="s">
        <v>0</v>
      </c>
      <c r="F2238" s="32" t="s">
        <v>436</v>
      </c>
      <c r="G2238" s="32" t="s">
        <v>1305</v>
      </c>
      <c r="H2238" s="32"/>
      <c r="I2238" s="32"/>
      <c r="J2238" s="32"/>
      <c r="K2238" s="32"/>
      <c r="L2238" s="32"/>
      <c r="M2238" s="32"/>
      <c r="N2238" s="8"/>
      <c r="O2238" s="32">
        <v>8</v>
      </c>
      <c r="P2238" s="32">
        <v>81</v>
      </c>
      <c r="Q2238" s="1"/>
      <c r="R2238" s="1"/>
      <c r="S2238" s="1"/>
      <c r="T2238" s="1"/>
      <c r="U2238" s="1"/>
      <c r="V2238" s="1"/>
      <c r="W2238" s="1">
        <v>6432</v>
      </c>
      <c r="X2238" s="1">
        <v>6432</v>
      </c>
      <c r="Y2238" s="1" t="s">
        <v>2193</v>
      </c>
      <c r="Z2238" s="1" t="s">
        <v>2193</v>
      </c>
      <c r="AA2238" s="1" t="s">
        <v>2193</v>
      </c>
      <c r="AB2238" s="1" t="s">
        <v>2193</v>
      </c>
      <c r="AC2238" s="8"/>
      <c r="AD2238" s="12" t="s">
        <v>52</v>
      </c>
      <c r="AE2238" s="39" t="str">
        <f t="shared" ref="AE2238:AE2269" si="243">BA2238</f>
        <v>8132</v>
      </c>
      <c r="AF2238" s="12"/>
      <c r="AG2238" s="12"/>
      <c r="AH2238" s="12"/>
      <c r="AI2238" s="12"/>
      <c r="AJ2238" s="12"/>
      <c r="AK2238" s="12"/>
      <c r="AL2238" s="12"/>
      <c r="AM2238" s="12"/>
      <c r="AN2238" s="34"/>
      <c r="AO2238" s="12"/>
      <c r="AP2238" s="12"/>
      <c r="AQ2238" s="8"/>
      <c r="AR2238" s="34">
        <v>1</v>
      </c>
      <c r="AS2238" s="34">
        <v>1</v>
      </c>
      <c r="AT2238" s="8"/>
      <c r="AU2238" s="12" t="s">
        <v>1976</v>
      </c>
      <c r="AW2238" s="36">
        <v>2</v>
      </c>
      <c r="AX2238" s="33">
        <f>VLOOKUP(AW2238,색인!$N$14:$O$19,2,FALSE)</f>
        <v>1</v>
      </c>
      <c r="AY2238" s="36" t="str">
        <f>"T"&amp;O2238&amp;"_"&amp;AX2238&amp;"옵션_"&amp;VLOOKUP(E2238,색인!$J$25:$K$29,2,FALSE)</f>
        <v>T8_1옵션_장신구</v>
      </c>
      <c r="AZ2238" s="36">
        <f>VLOOKUP(G2238,색인!$J$32:$K$45,2,FALSE)</f>
        <v>3</v>
      </c>
      <c r="BA2238" s="36" t="str">
        <f>_xlfn.IFNA(VLOOKUP(AY2238,표1[[검색용]:[OptionGroupIndex'[']22]],EquipItemTable!AZ2238,FALSE),"옵션고정안함")</f>
        <v>8132</v>
      </c>
    </row>
    <row r="2239" spans="1:53" s="33" customFormat="1" ht="12" customHeight="1" x14ac:dyDescent="0.2">
      <c r="A2239" s="31" t="s">
        <v>2725</v>
      </c>
      <c r="B2239" s="39">
        <v>801023</v>
      </c>
      <c r="C2239" s="42" t="s">
        <v>3422</v>
      </c>
      <c r="D2239" s="86" t="s">
        <v>2955</v>
      </c>
      <c r="E2239" s="86" t="s">
        <v>0</v>
      </c>
      <c r="F2239" s="32" t="s">
        <v>436</v>
      </c>
      <c r="G2239" s="32" t="s">
        <v>1305</v>
      </c>
      <c r="H2239" s="32"/>
      <c r="I2239" s="32"/>
      <c r="J2239" s="32"/>
      <c r="K2239" s="32"/>
      <c r="L2239" s="32"/>
      <c r="M2239" s="32"/>
      <c r="N2239" s="8"/>
      <c r="O2239" s="32">
        <v>8</v>
      </c>
      <c r="P2239" s="32">
        <v>81</v>
      </c>
      <c r="Q2239" s="1"/>
      <c r="R2239" s="1"/>
      <c r="S2239" s="1"/>
      <c r="T2239" s="1"/>
      <c r="U2239" s="1"/>
      <c r="V2239" s="1"/>
      <c r="W2239" s="1">
        <v>6845</v>
      </c>
      <c r="X2239" s="1">
        <v>6845</v>
      </c>
      <c r="Y2239" s="1" t="s">
        <v>2193</v>
      </c>
      <c r="Z2239" s="1" t="s">
        <v>2193</v>
      </c>
      <c r="AA2239" s="1" t="s">
        <v>2193</v>
      </c>
      <c r="AB2239" s="1" t="s">
        <v>2193</v>
      </c>
      <c r="AC2239" s="8"/>
      <c r="AD2239" s="12" t="s">
        <v>52</v>
      </c>
      <c r="AE2239" s="39" t="str">
        <f t="shared" si="243"/>
        <v>8232</v>
      </c>
      <c r="AF2239" s="12"/>
      <c r="AG2239" s="12"/>
      <c r="AH2239" s="12"/>
      <c r="AI2239" s="12"/>
      <c r="AJ2239" s="12"/>
      <c r="AK2239" s="12"/>
      <c r="AL2239" s="12"/>
      <c r="AM2239" s="12"/>
      <c r="AN2239" s="34"/>
      <c r="AO2239" s="12"/>
      <c r="AP2239" s="12"/>
      <c r="AQ2239" s="8"/>
      <c r="AR2239" s="34">
        <v>1</v>
      </c>
      <c r="AS2239" s="34">
        <v>1</v>
      </c>
      <c r="AT2239" s="8"/>
      <c r="AU2239" s="12" t="s">
        <v>1978</v>
      </c>
      <c r="AW2239" s="36">
        <v>3</v>
      </c>
      <c r="AX2239" s="33">
        <f>VLOOKUP(AW2239,색인!$N$14:$O$19,2,FALSE)</f>
        <v>2</v>
      </c>
      <c r="AY2239" s="36" t="str">
        <f>"T"&amp;O2239&amp;"_"&amp;AX2239&amp;"옵션_"&amp;VLOOKUP(E2239,색인!$J$25:$K$29,2,FALSE)</f>
        <v>T8_2옵션_장신구</v>
      </c>
      <c r="AZ2239" s="36">
        <f>VLOOKUP(G2239,색인!$J$32:$K$45,2,FALSE)</f>
        <v>3</v>
      </c>
      <c r="BA2239" s="36" t="str">
        <f>_xlfn.IFNA(VLOOKUP(AY2239,표1[[검색용]:[OptionGroupIndex'[']22]],EquipItemTable!AZ2239,FALSE),"옵션고정안함")</f>
        <v>8232</v>
      </c>
    </row>
    <row r="2240" spans="1:53" s="33" customFormat="1" ht="12" customHeight="1" x14ac:dyDescent="0.2">
      <c r="A2240" s="31" t="s">
        <v>2726</v>
      </c>
      <c r="B2240" s="39">
        <v>801024</v>
      </c>
      <c r="C2240" s="42" t="s">
        <v>3407</v>
      </c>
      <c r="D2240" s="86" t="s">
        <v>2955</v>
      </c>
      <c r="E2240" s="86" t="s">
        <v>0</v>
      </c>
      <c r="F2240" s="32" t="s">
        <v>436</v>
      </c>
      <c r="G2240" s="32" t="s">
        <v>1305</v>
      </c>
      <c r="H2240" s="32"/>
      <c r="I2240" s="32"/>
      <c r="J2240" s="32"/>
      <c r="K2240" s="32"/>
      <c r="L2240" s="32"/>
      <c r="M2240" s="32"/>
      <c r="N2240" s="8"/>
      <c r="O2240" s="32">
        <v>8</v>
      </c>
      <c r="P2240" s="32">
        <v>81</v>
      </c>
      <c r="Q2240" s="1"/>
      <c r="R2240" s="1"/>
      <c r="S2240" s="1"/>
      <c r="T2240" s="1"/>
      <c r="U2240" s="1"/>
      <c r="V2240" s="1"/>
      <c r="W2240" s="1">
        <v>7274</v>
      </c>
      <c r="X2240" s="1">
        <v>7274</v>
      </c>
      <c r="Y2240" s="1" t="s">
        <v>2193</v>
      </c>
      <c r="Z2240" s="1" t="s">
        <v>2193</v>
      </c>
      <c r="AA2240" s="1" t="s">
        <v>2193</v>
      </c>
      <c r="AB2240" s="1" t="s">
        <v>2193</v>
      </c>
      <c r="AC2240" s="8"/>
      <c r="AD2240" s="12" t="s">
        <v>52</v>
      </c>
      <c r="AE2240" s="39" t="str">
        <f t="shared" si="243"/>
        <v>8332</v>
      </c>
      <c r="AF2240" s="12"/>
      <c r="AG2240" s="12"/>
      <c r="AH2240" s="12"/>
      <c r="AI2240" s="12"/>
      <c r="AJ2240" s="12"/>
      <c r="AK2240" s="12"/>
      <c r="AL2240" s="12"/>
      <c r="AM2240" s="12"/>
      <c r="AN2240" s="34"/>
      <c r="AO2240" s="12"/>
      <c r="AP2240" s="12"/>
      <c r="AQ2240" s="8"/>
      <c r="AR2240" s="34">
        <v>1</v>
      </c>
      <c r="AS2240" s="34">
        <v>1</v>
      </c>
      <c r="AT2240" s="8"/>
      <c r="AU2240" s="12" t="s">
        <v>1980</v>
      </c>
      <c r="AW2240" s="36">
        <v>4</v>
      </c>
      <c r="AX2240" s="33">
        <f>VLOOKUP(AW2240,색인!$N$14:$O$19,2,FALSE)</f>
        <v>3</v>
      </c>
      <c r="AY2240" s="36" t="str">
        <f>"T"&amp;O2240&amp;"_"&amp;AX2240&amp;"옵션_"&amp;VLOOKUP(E2240,색인!$J$25:$K$29,2,FALSE)</f>
        <v>T8_3옵션_장신구</v>
      </c>
      <c r="AZ2240" s="36">
        <f>VLOOKUP(G2240,색인!$J$32:$K$45,2,FALSE)</f>
        <v>3</v>
      </c>
      <c r="BA2240" s="36" t="str">
        <f>_xlfn.IFNA(VLOOKUP(AY2240,표1[[검색용]:[OptionGroupIndex'[']22]],EquipItemTable!AZ2240,FALSE),"옵션고정안함")</f>
        <v>8332</v>
      </c>
    </row>
    <row r="2241" spans="1:53" s="33" customFormat="1" ht="12" customHeight="1" x14ac:dyDescent="0.2">
      <c r="A2241" s="31" t="s">
        <v>2727</v>
      </c>
      <c r="B2241" s="39">
        <v>801025</v>
      </c>
      <c r="C2241" s="42" t="s">
        <v>4319</v>
      </c>
      <c r="D2241" s="86" t="s">
        <v>2955</v>
      </c>
      <c r="E2241" s="86" t="s">
        <v>0</v>
      </c>
      <c r="F2241" s="32" t="s">
        <v>436</v>
      </c>
      <c r="G2241" s="32" t="s">
        <v>1305</v>
      </c>
      <c r="H2241" s="32"/>
      <c r="I2241" s="32"/>
      <c r="J2241" s="32"/>
      <c r="K2241" s="32"/>
      <c r="L2241" s="32"/>
      <c r="M2241" s="32"/>
      <c r="N2241" s="8"/>
      <c r="O2241" s="32">
        <v>8</v>
      </c>
      <c r="P2241" s="32">
        <v>81</v>
      </c>
      <c r="Q2241" s="1"/>
      <c r="R2241" s="1"/>
      <c r="S2241" s="1"/>
      <c r="T2241" s="1"/>
      <c r="U2241" s="1"/>
      <c r="V2241" s="1"/>
      <c r="W2241" s="1">
        <v>7630</v>
      </c>
      <c r="X2241" s="1">
        <v>7630</v>
      </c>
      <c r="Y2241" s="1" t="s">
        <v>2193</v>
      </c>
      <c r="Z2241" s="1" t="s">
        <v>2193</v>
      </c>
      <c r="AA2241" s="1" t="s">
        <v>2193</v>
      </c>
      <c r="AB2241" s="1" t="s">
        <v>2193</v>
      </c>
      <c r="AC2241" s="8"/>
      <c r="AD2241" s="12" t="s">
        <v>52</v>
      </c>
      <c r="AE2241" s="39" t="str">
        <f t="shared" si="243"/>
        <v>8332</v>
      </c>
      <c r="AF2241" s="12"/>
      <c r="AG2241" s="12"/>
      <c r="AH2241" s="12"/>
      <c r="AI2241" s="12"/>
      <c r="AJ2241" s="12"/>
      <c r="AK2241" s="12"/>
      <c r="AL2241" s="12"/>
      <c r="AM2241" s="12"/>
      <c r="AN2241" s="34" t="s">
        <v>2792</v>
      </c>
      <c r="AO2241" s="12"/>
      <c r="AP2241" s="12"/>
      <c r="AQ2241" s="8"/>
      <c r="AR2241" s="34">
        <v>1</v>
      </c>
      <c r="AS2241" s="34">
        <v>1</v>
      </c>
      <c r="AT2241" s="8"/>
      <c r="AU2241" s="12" t="s">
        <v>1982</v>
      </c>
      <c r="AW2241" s="36">
        <v>5</v>
      </c>
      <c r="AX2241" s="33">
        <f>VLOOKUP(AW2241,색인!$N$14:$O$19,2,FALSE)</f>
        <v>3</v>
      </c>
      <c r="AY2241" s="36" t="str">
        <f>"T"&amp;O2241&amp;"_"&amp;AX2241&amp;"옵션_"&amp;VLOOKUP(E2241,색인!$J$25:$K$29,2,FALSE)</f>
        <v>T8_3옵션_장신구</v>
      </c>
      <c r="AZ2241" s="36">
        <f>VLOOKUP(G2241,색인!$J$32:$K$45,2,FALSE)</f>
        <v>3</v>
      </c>
      <c r="BA2241" s="36" t="str">
        <f>_xlfn.IFNA(VLOOKUP(AY2241,표1[[검색용]:[OptionGroupIndex'[']22]],EquipItemTable!AZ2241,FALSE),"옵션고정안함")</f>
        <v>8332</v>
      </c>
    </row>
    <row r="2242" spans="1:53" s="33" customFormat="1" ht="12" customHeight="1" x14ac:dyDescent="0.2">
      <c r="A2242" s="31" t="s">
        <v>2728</v>
      </c>
      <c r="B2242" s="39">
        <v>802022</v>
      </c>
      <c r="C2242" s="42" t="s">
        <v>3444</v>
      </c>
      <c r="D2242" s="86" t="s">
        <v>2955</v>
      </c>
      <c r="E2242" s="86" t="s">
        <v>0</v>
      </c>
      <c r="F2242" s="32" t="s">
        <v>928</v>
      </c>
      <c r="G2242" s="32" t="s">
        <v>1357</v>
      </c>
      <c r="H2242" s="32"/>
      <c r="I2242" s="32"/>
      <c r="J2242" s="32"/>
      <c r="K2242" s="32"/>
      <c r="L2242" s="32"/>
      <c r="M2242" s="32"/>
      <c r="N2242" s="8"/>
      <c r="O2242" s="32">
        <v>8</v>
      </c>
      <c r="P2242" s="32">
        <v>81</v>
      </c>
      <c r="Q2242" s="1"/>
      <c r="R2242" s="1"/>
      <c r="S2242" s="1"/>
      <c r="T2242" s="1"/>
      <c r="U2242" s="1"/>
      <c r="V2242" s="1"/>
      <c r="W2242" s="1">
        <v>7304</v>
      </c>
      <c r="X2242" s="1">
        <v>7304</v>
      </c>
      <c r="Y2242" s="1" t="s">
        <v>2193</v>
      </c>
      <c r="Z2242" s="1" t="s">
        <v>2193</v>
      </c>
      <c r="AA2242" s="1" t="s">
        <v>2193</v>
      </c>
      <c r="AB2242" s="1" t="s">
        <v>2193</v>
      </c>
      <c r="AC2242" s="8"/>
      <c r="AD2242" s="12" t="s">
        <v>52</v>
      </c>
      <c r="AE2242" s="39" t="str">
        <f t="shared" si="243"/>
        <v>8131</v>
      </c>
      <c r="AF2242" s="12"/>
      <c r="AG2242" s="12"/>
      <c r="AH2242" s="12"/>
      <c r="AI2242" s="12"/>
      <c r="AJ2242" s="12"/>
      <c r="AK2242" s="12"/>
      <c r="AL2242" s="12"/>
      <c r="AM2242" s="12"/>
      <c r="AN2242" s="34"/>
      <c r="AO2242" s="12"/>
      <c r="AP2242" s="12"/>
      <c r="AQ2242" s="8"/>
      <c r="AR2242" s="34">
        <v>1</v>
      </c>
      <c r="AS2242" s="34">
        <v>1</v>
      </c>
      <c r="AT2242" s="8"/>
      <c r="AU2242" s="12" t="s">
        <v>1976</v>
      </c>
      <c r="AW2242" s="36">
        <v>2</v>
      </c>
      <c r="AX2242" s="33">
        <f>VLOOKUP(AW2242,색인!$N$14:$O$19,2,FALSE)</f>
        <v>1</v>
      </c>
      <c r="AY2242" s="36" t="str">
        <f>"T"&amp;O2242&amp;"_"&amp;AX2242&amp;"옵션_"&amp;VLOOKUP(E2242,색인!$J$25:$K$29,2,FALSE)</f>
        <v>T8_1옵션_장신구</v>
      </c>
      <c r="AZ2242" s="36">
        <f>VLOOKUP(G2242,색인!$J$32:$K$45,2,FALSE)</f>
        <v>2</v>
      </c>
      <c r="BA2242" s="36" t="str">
        <f>_xlfn.IFNA(VLOOKUP(AY2242,표1[[검색용]:[OptionGroupIndex'[']22]],EquipItemTable!AZ2242,FALSE),"옵션고정안함")</f>
        <v>8131</v>
      </c>
    </row>
    <row r="2243" spans="1:53" s="33" customFormat="1" ht="12" customHeight="1" x14ac:dyDescent="0.2">
      <c r="A2243" s="31" t="s">
        <v>2729</v>
      </c>
      <c r="B2243" s="39">
        <v>802023</v>
      </c>
      <c r="C2243" s="42" t="s">
        <v>3456</v>
      </c>
      <c r="D2243" s="86" t="s">
        <v>2955</v>
      </c>
      <c r="E2243" s="86" t="s">
        <v>0</v>
      </c>
      <c r="F2243" s="32" t="s">
        <v>928</v>
      </c>
      <c r="G2243" s="32" t="s">
        <v>1357</v>
      </c>
      <c r="H2243" s="32"/>
      <c r="I2243" s="32"/>
      <c r="J2243" s="32"/>
      <c r="K2243" s="32"/>
      <c r="L2243" s="32"/>
      <c r="M2243" s="32"/>
      <c r="N2243" s="8"/>
      <c r="O2243" s="32">
        <v>8</v>
      </c>
      <c r="P2243" s="32">
        <v>81</v>
      </c>
      <c r="Q2243" s="1"/>
      <c r="R2243" s="1"/>
      <c r="S2243" s="1"/>
      <c r="T2243" s="1"/>
      <c r="U2243" s="1"/>
      <c r="V2243" s="1"/>
      <c r="W2243" s="1">
        <v>7774</v>
      </c>
      <c r="X2243" s="1">
        <v>7774</v>
      </c>
      <c r="Y2243" s="1" t="s">
        <v>2193</v>
      </c>
      <c r="Z2243" s="1" t="s">
        <v>2193</v>
      </c>
      <c r="AA2243" s="1" t="s">
        <v>2193</v>
      </c>
      <c r="AB2243" s="1" t="s">
        <v>2193</v>
      </c>
      <c r="AC2243" s="8"/>
      <c r="AD2243" s="12" t="s">
        <v>52</v>
      </c>
      <c r="AE2243" s="39" t="str">
        <f t="shared" si="243"/>
        <v>8231</v>
      </c>
      <c r="AF2243" s="12"/>
      <c r="AG2243" s="12"/>
      <c r="AH2243" s="12"/>
      <c r="AI2243" s="12"/>
      <c r="AJ2243" s="12"/>
      <c r="AK2243" s="12"/>
      <c r="AL2243" s="12"/>
      <c r="AM2243" s="12"/>
      <c r="AN2243" s="34"/>
      <c r="AO2243" s="12"/>
      <c r="AP2243" s="12"/>
      <c r="AQ2243" s="8"/>
      <c r="AR2243" s="34">
        <v>1</v>
      </c>
      <c r="AS2243" s="34">
        <v>1</v>
      </c>
      <c r="AT2243" s="8"/>
      <c r="AU2243" s="12" t="s">
        <v>1978</v>
      </c>
      <c r="AW2243" s="36">
        <v>3</v>
      </c>
      <c r="AX2243" s="33">
        <f>VLOOKUP(AW2243,색인!$N$14:$O$19,2,FALSE)</f>
        <v>2</v>
      </c>
      <c r="AY2243" s="36" t="str">
        <f>"T"&amp;O2243&amp;"_"&amp;AX2243&amp;"옵션_"&amp;VLOOKUP(E2243,색인!$J$25:$K$29,2,FALSE)</f>
        <v>T8_2옵션_장신구</v>
      </c>
      <c r="AZ2243" s="36">
        <f>VLOOKUP(G2243,색인!$J$32:$K$45,2,FALSE)</f>
        <v>2</v>
      </c>
      <c r="BA2243" s="36" t="str">
        <f>_xlfn.IFNA(VLOOKUP(AY2243,표1[[검색용]:[OptionGroupIndex'[']22]],EquipItemTable!AZ2243,FALSE),"옵션고정안함")</f>
        <v>8231</v>
      </c>
    </row>
    <row r="2244" spans="1:53" s="33" customFormat="1" ht="12" customHeight="1" x14ac:dyDescent="0.2">
      <c r="A2244" s="31" t="s">
        <v>2730</v>
      </c>
      <c r="B2244" s="39">
        <v>802024</v>
      </c>
      <c r="C2244" s="42" t="s">
        <v>3457</v>
      </c>
      <c r="D2244" s="86" t="s">
        <v>2955</v>
      </c>
      <c r="E2244" s="86" t="s">
        <v>0</v>
      </c>
      <c r="F2244" s="32" t="s">
        <v>928</v>
      </c>
      <c r="G2244" s="32" t="s">
        <v>1357</v>
      </c>
      <c r="H2244" s="32"/>
      <c r="I2244" s="32"/>
      <c r="J2244" s="32"/>
      <c r="K2244" s="32"/>
      <c r="L2244" s="32"/>
      <c r="M2244" s="32"/>
      <c r="N2244" s="8"/>
      <c r="O2244" s="32">
        <v>8</v>
      </c>
      <c r="P2244" s="32">
        <v>81</v>
      </c>
      <c r="Q2244" s="1"/>
      <c r="R2244" s="1"/>
      <c r="S2244" s="1"/>
      <c r="T2244" s="1"/>
      <c r="U2244" s="1"/>
      <c r="V2244" s="1"/>
      <c r="W2244" s="1">
        <v>8262</v>
      </c>
      <c r="X2244" s="1">
        <v>8262</v>
      </c>
      <c r="Y2244" s="1" t="s">
        <v>2193</v>
      </c>
      <c r="Z2244" s="1" t="s">
        <v>2193</v>
      </c>
      <c r="AA2244" s="1" t="s">
        <v>2193</v>
      </c>
      <c r="AB2244" s="1" t="s">
        <v>2193</v>
      </c>
      <c r="AC2244" s="8"/>
      <c r="AD2244" s="12" t="s">
        <v>52</v>
      </c>
      <c r="AE2244" s="39" t="str">
        <f t="shared" si="243"/>
        <v>8331</v>
      </c>
      <c r="AF2244" s="12"/>
      <c r="AG2244" s="12"/>
      <c r="AH2244" s="12"/>
      <c r="AI2244" s="12"/>
      <c r="AJ2244" s="12"/>
      <c r="AK2244" s="12"/>
      <c r="AL2244" s="12"/>
      <c r="AM2244" s="12"/>
      <c r="AN2244" s="34"/>
      <c r="AO2244" s="12"/>
      <c r="AP2244" s="12"/>
      <c r="AQ2244" s="8"/>
      <c r="AR2244" s="34">
        <v>1</v>
      </c>
      <c r="AS2244" s="34">
        <v>1</v>
      </c>
      <c r="AT2244" s="8"/>
      <c r="AU2244" s="12" t="s">
        <v>1980</v>
      </c>
      <c r="AW2244" s="36">
        <v>4</v>
      </c>
      <c r="AX2244" s="33">
        <f>VLOOKUP(AW2244,색인!$N$14:$O$19,2,FALSE)</f>
        <v>3</v>
      </c>
      <c r="AY2244" s="36" t="str">
        <f>"T"&amp;O2244&amp;"_"&amp;AX2244&amp;"옵션_"&amp;VLOOKUP(E2244,색인!$J$25:$K$29,2,FALSE)</f>
        <v>T8_3옵션_장신구</v>
      </c>
      <c r="AZ2244" s="36">
        <f>VLOOKUP(G2244,색인!$J$32:$K$45,2,FALSE)</f>
        <v>2</v>
      </c>
      <c r="BA2244" s="36" t="str">
        <f>_xlfn.IFNA(VLOOKUP(AY2244,표1[[검색용]:[OptionGroupIndex'[']22]],EquipItemTable!AZ2244,FALSE),"옵션고정안함")</f>
        <v>8331</v>
      </c>
    </row>
    <row r="2245" spans="1:53" s="33" customFormat="1" ht="12" customHeight="1" x14ac:dyDescent="0.2">
      <c r="A2245" s="31" t="s">
        <v>2731</v>
      </c>
      <c r="B2245" s="39">
        <v>802025</v>
      </c>
      <c r="C2245" s="42" t="s">
        <v>3467</v>
      </c>
      <c r="D2245" s="86" t="s">
        <v>2955</v>
      </c>
      <c r="E2245" s="86" t="s">
        <v>0</v>
      </c>
      <c r="F2245" s="32" t="s">
        <v>928</v>
      </c>
      <c r="G2245" s="32" t="s">
        <v>1357</v>
      </c>
      <c r="H2245" s="32"/>
      <c r="I2245" s="32"/>
      <c r="J2245" s="32"/>
      <c r="K2245" s="32"/>
      <c r="L2245" s="32"/>
      <c r="M2245" s="32"/>
      <c r="N2245" s="8"/>
      <c r="O2245" s="32">
        <v>8</v>
      </c>
      <c r="P2245" s="32">
        <v>81</v>
      </c>
      <c r="Q2245" s="1"/>
      <c r="R2245" s="1"/>
      <c r="S2245" s="1"/>
      <c r="T2245" s="1"/>
      <c r="U2245" s="1"/>
      <c r="V2245" s="1"/>
      <c r="W2245" s="1">
        <v>8666</v>
      </c>
      <c r="X2245" s="1">
        <v>8666</v>
      </c>
      <c r="Y2245" s="1" t="s">
        <v>2193</v>
      </c>
      <c r="Z2245" s="1" t="s">
        <v>2193</v>
      </c>
      <c r="AA2245" s="1" t="s">
        <v>2193</v>
      </c>
      <c r="AB2245" s="1" t="s">
        <v>2193</v>
      </c>
      <c r="AC2245" s="8"/>
      <c r="AD2245" s="12" t="s">
        <v>52</v>
      </c>
      <c r="AE2245" s="39" t="str">
        <f t="shared" si="243"/>
        <v>8331</v>
      </c>
      <c r="AF2245" s="12"/>
      <c r="AG2245" s="12"/>
      <c r="AH2245" s="12"/>
      <c r="AI2245" s="12"/>
      <c r="AJ2245" s="12"/>
      <c r="AK2245" s="12"/>
      <c r="AL2245" s="12"/>
      <c r="AM2245" s="12"/>
      <c r="AN2245" s="34" t="s">
        <v>2792</v>
      </c>
      <c r="AO2245" s="12"/>
      <c r="AP2245" s="12"/>
      <c r="AQ2245" s="8"/>
      <c r="AR2245" s="34">
        <v>1</v>
      </c>
      <c r="AS2245" s="34">
        <v>1</v>
      </c>
      <c r="AT2245" s="8"/>
      <c r="AU2245" s="12" t="s">
        <v>1982</v>
      </c>
      <c r="AW2245" s="36">
        <v>5</v>
      </c>
      <c r="AX2245" s="33">
        <f>VLOOKUP(AW2245,색인!$N$14:$O$19,2,FALSE)</f>
        <v>3</v>
      </c>
      <c r="AY2245" s="36" t="str">
        <f>"T"&amp;O2245&amp;"_"&amp;AX2245&amp;"옵션_"&amp;VLOOKUP(E2245,색인!$J$25:$K$29,2,FALSE)</f>
        <v>T8_3옵션_장신구</v>
      </c>
      <c r="AZ2245" s="36">
        <f>VLOOKUP(G2245,색인!$J$32:$K$45,2,FALSE)</f>
        <v>2</v>
      </c>
      <c r="BA2245" s="36" t="str">
        <f>_xlfn.IFNA(VLOOKUP(AY2245,표1[[검색용]:[OptionGroupIndex'[']22]],EquipItemTable!AZ2245,FALSE),"옵션고정안함")</f>
        <v>8331</v>
      </c>
    </row>
    <row r="2246" spans="1:53" s="33" customFormat="1" ht="12" customHeight="1" x14ac:dyDescent="0.2">
      <c r="A2246" s="31" t="s">
        <v>2732</v>
      </c>
      <c r="B2246" s="39">
        <v>803022</v>
      </c>
      <c r="C2246" s="42" t="s">
        <v>3497</v>
      </c>
      <c r="D2246" s="86" t="s">
        <v>2955</v>
      </c>
      <c r="E2246" s="86" t="s">
        <v>0</v>
      </c>
      <c r="F2246" s="32" t="s">
        <v>310</v>
      </c>
      <c r="G2246" s="32" t="s">
        <v>1358</v>
      </c>
      <c r="H2246" s="32"/>
      <c r="I2246" s="32"/>
      <c r="J2246" s="32"/>
      <c r="K2246" s="32"/>
      <c r="L2246" s="32"/>
      <c r="M2246" s="32"/>
      <c r="N2246" s="8"/>
      <c r="O2246" s="32">
        <v>8</v>
      </c>
      <c r="P2246" s="32">
        <v>81</v>
      </c>
      <c r="Q2246" s="1"/>
      <c r="R2246" s="1"/>
      <c r="S2246" s="1"/>
      <c r="T2246" s="1"/>
      <c r="U2246" s="1"/>
      <c r="V2246" s="1"/>
      <c r="W2246" s="1">
        <v>8019</v>
      </c>
      <c r="X2246" s="1">
        <v>8019</v>
      </c>
      <c r="Y2246" s="1" t="s">
        <v>2193</v>
      </c>
      <c r="Z2246" s="1" t="s">
        <v>2193</v>
      </c>
      <c r="AA2246" s="1" t="s">
        <v>2193</v>
      </c>
      <c r="AB2246" s="1" t="s">
        <v>2193</v>
      </c>
      <c r="AC2246" s="8"/>
      <c r="AD2246" s="12" t="s">
        <v>52</v>
      </c>
      <c r="AE2246" s="39" t="str">
        <f t="shared" si="243"/>
        <v>8131</v>
      </c>
      <c r="AF2246" s="12"/>
      <c r="AG2246" s="12"/>
      <c r="AH2246" s="12"/>
      <c r="AI2246" s="12"/>
      <c r="AJ2246" s="12"/>
      <c r="AK2246" s="12"/>
      <c r="AL2246" s="12"/>
      <c r="AM2246" s="12"/>
      <c r="AN2246" s="34"/>
      <c r="AO2246" s="12"/>
      <c r="AP2246" s="12"/>
      <c r="AQ2246" s="8"/>
      <c r="AR2246" s="34">
        <v>1</v>
      </c>
      <c r="AS2246" s="34">
        <v>1</v>
      </c>
      <c r="AT2246" s="8"/>
      <c r="AU2246" s="12" t="s">
        <v>1976</v>
      </c>
      <c r="AW2246" s="36">
        <v>2</v>
      </c>
      <c r="AX2246" s="33">
        <f>VLOOKUP(AW2246,색인!$N$14:$O$19,2,FALSE)</f>
        <v>1</v>
      </c>
      <c r="AY2246" s="36" t="str">
        <f>"T"&amp;O2246&amp;"_"&amp;AX2246&amp;"옵션_"&amp;VLOOKUP(E2246,색인!$J$25:$K$29,2,FALSE)</f>
        <v>T8_1옵션_장신구</v>
      </c>
      <c r="AZ2246" s="36">
        <f>VLOOKUP(G2246,색인!$J$32:$K$45,2,FALSE)</f>
        <v>2</v>
      </c>
      <c r="BA2246" s="36" t="str">
        <f>_xlfn.IFNA(VLOOKUP(AY2246,표1[[검색용]:[OptionGroupIndex'[']22]],EquipItemTable!AZ2246,FALSE),"옵션고정안함")</f>
        <v>8131</v>
      </c>
    </row>
    <row r="2247" spans="1:53" s="33" customFormat="1" ht="12" customHeight="1" x14ac:dyDescent="0.2">
      <c r="A2247" s="31" t="s">
        <v>2733</v>
      </c>
      <c r="B2247" s="39">
        <v>803023</v>
      </c>
      <c r="C2247" s="42" t="s">
        <v>3498</v>
      </c>
      <c r="D2247" s="86" t="s">
        <v>2955</v>
      </c>
      <c r="E2247" s="86" t="s">
        <v>0</v>
      </c>
      <c r="F2247" s="32" t="s">
        <v>310</v>
      </c>
      <c r="G2247" s="32" t="s">
        <v>1358</v>
      </c>
      <c r="H2247" s="32"/>
      <c r="I2247" s="32"/>
      <c r="J2247" s="32"/>
      <c r="K2247" s="32"/>
      <c r="L2247" s="32"/>
      <c r="M2247" s="32"/>
      <c r="N2247" s="8"/>
      <c r="O2247" s="32">
        <v>8</v>
      </c>
      <c r="P2247" s="32">
        <v>81</v>
      </c>
      <c r="Q2247" s="1"/>
      <c r="R2247" s="1"/>
      <c r="S2247" s="1"/>
      <c r="T2247" s="1"/>
      <c r="U2247" s="1"/>
      <c r="V2247" s="1"/>
      <c r="W2247" s="1">
        <v>8535</v>
      </c>
      <c r="X2247" s="1">
        <v>8535</v>
      </c>
      <c r="Y2247" s="1" t="s">
        <v>2193</v>
      </c>
      <c r="Z2247" s="1" t="s">
        <v>2193</v>
      </c>
      <c r="AA2247" s="1" t="s">
        <v>2193</v>
      </c>
      <c r="AB2247" s="1" t="s">
        <v>2193</v>
      </c>
      <c r="AC2247" s="8"/>
      <c r="AD2247" s="12" t="s">
        <v>52</v>
      </c>
      <c r="AE2247" s="39" t="str">
        <f t="shared" si="243"/>
        <v>8231</v>
      </c>
      <c r="AF2247" s="12"/>
      <c r="AG2247" s="12"/>
      <c r="AH2247" s="12"/>
      <c r="AI2247" s="12"/>
      <c r="AJ2247" s="12"/>
      <c r="AK2247" s="12"/>
      <c r="AL2247" s="12"/>
      <c r="AM2247" s="12"/>
      <c r="AN2247" s="34"/>
      <c r="AO2247" s="12"/>
      <c r="AP2247" s="12"/>
      <c r="AQ2247" s="8"/>
      <c r="AR2247" s="34">
        <v>1</v>
      </c>
      <c r="AS2247" s="34">
        <v>1</v>
      </c>
      <c r="AT2247" s="8"/>
      <c r="AU2247" s="12" t="s">
        <v>1978</v>
      </c>
      <c r="AW2247" s="36">
        <v>3</v>
      </c>
      <c r="AX2247" s="33">
        <f>VLOOKUP(AW2247,색인!$N$14:$O$19,2,FALSE)</f>
        <v>2</v>
      </c>
      <c r="AY2247" s="36" t="str">
        <f>"T"&amp;O2247&amp;"_"&amp;AX2247&amp;"옵션_"&amp;VLOOKUP(E2247,색인!$J$25:$K$29,2,FALSE)</f>
        <v>T8_2옵션_장신구</v>
      </c>
      <c r="AZ2247" s="36">
        <f>VLOOKUP(G2247,색인!$J$32:$K$45,2,FALSE)</f>
        <v>2</v>
      </c>
      <c r="BA2247" s="36" t="str">
        <f>_xlfn.IFNA(VLOOKUP(AY2247,표1[[검색용]:[OptionGroupIndex'[']22]],EquipItemTable!AZ2247,FALSE),"옵션고정안함")</f>
        <v>8231</v>
      </c>
    </row>
    <row r="2248" spans="1:53" s="33" customFormat="1" ht="12" customHeight="1" x14ac:dyDescent="0.2">
      <c r="A2248" s="31" t="s">
        <v>2734</v>
      </c>
      <c r="B2248" s="39">
        <v>803024</v>
      </c>
      <c r="C2248" s="42" t="s">
        <v>3495</v>
      </c>
      <c r="D2248" s="86" t="s">
        <v>2955</v>
      </c>
      <c r="E2248" s="86" t="s">
        <v>0</v>
      </c>
      <c r="F2248" s="32" t="s">
        <v>310</v>
      </c>
      <c r="G2248" s="32" t="s">
        <v>1358</v>
      </c>
      <c r="H2248" s="32"/>
      <c r="I2248" s="32"/>
      <c r="J2248" s="32"/>
      <c r="K2248" s="32"/>
      <c r="L2248" s="32"/>
      <c r="M2248" s="32"/>
      <c r="N2248" s="8"/>
      <c r="O2248" s="32">
        <v>8</v>
      </c>
      <c r="P2248" s="32">
        <v>81</v>
      </c>
      <c r="Q2248" s="1"/>
      <c r="R2248" s="1"/>
      <c r="S2248" s="1"/>
      <c r="T2248" s="1"/>
      <c r="U2248" s="1"/>
      <c r="V2248" s="1"/>
      <c r="W2248" s="1">
        <v>9069</v>
      </c>
      <c r="X2248" s="1">
        <v>9069</v>
      </c>
      <c r="Y2248" s="1" t="s">
        <v>2193</v>
      </c>
      <c r="Z2248" s="1" t="s">
        <v>2193</v>
      </c>
      <c r="AA2248" s="1" t="s">
        <v>2193</v>
      </c>
      <c r="AB2248" s="1" t="s">
        <v>2193</v>
      </c>
      <c r="AC2248" s="8"/>
      <c r="AD2248" s="12" t="s">
        <v>52</v>
      </c>
      <c r="AE2248" s="39" t="str">
        <f t="shared" si="243"/>
        <v>8331</v>
      </c>
      <c r="AF2248" s="12"/>
      <c r="AG2248" s="12"/>
      <c r="AH2248" s="12"/>
      <c r="AI2248" s="12"/>
      <c r="AJ2248" s="12"/>
      <c r="AK2248" s="12"/>
      <c r="AL2248" s="12"/>
      <c r="AM2248" s="12"/>
      <c r="AN2248" s="34"/>
      <c r="AO2248" s="12"/>
      <c r="AP2248" s="12"/>
      <c r="AQ2248" s="8"/>
      <c r="AR2248" s="34">
        <v>1</v>
      </c>
      <c r="AS2248" s="34">
        <v>1</v>
      </c>
      <c r="AT2248" s="8"/>
      <c r="AU2248" s="12" t="s">
        <v>1980</v>
      </c>
      <c r="AW2248" s="36">
        <v>4</v>
      </c>
      <c r="AX2248" s="33">
        <f>VLOOKUP(AW2248,색인!$N$14:$O$19,2,FALSE)</f>
        <v>3</v>
      </c>
      <c r="AY2248" s="36" t="str">
        <f>"T"&amp;O2248&amp;"_"&amp;AX2248&amp;"옵션_"&amp;VLOOKUP(E2248,색인!$J$25:$K$29,2,FALSE)</f>
        <v>T8_3옵션_장신구</v>
      </c>
      <c r="AZ2248" s="36">
        <f>VLOOKUP(G2248,색인!$J$32:$K$45,2,FALSE)</f>
        <v>2</v>
      </c>
      <c r="BA2248" s="36" t="str">
        <f>_xlfn.IFNA(VLOOKUP(AY2248,표1[[검색용]:[OptionGroupIndex'[']22]],EquipItemTable!AZ2248,FALSE),"옵션고정안함")</f>
        <v>8331</v>
      </c>
    </row>
    <row r="2249" spans="1:53" s="33" customFormat="1" ht="12" customHeight="1" x14ac:dyDescent="0.2">
      <c r="A2249" s="31" t="s">
        <v>2735</v>
      </c>
      <c r="B2249" s="39">
        <v>803025</v>
      </c>
      <c r="C2249" s="42" t="s">
        <v>4320</v>
      </c>
      <c r="D2249" s="86" t="s">
        <v>2955</v>
      </c>
      <c r="E2249" s="86" t="s">
        <v>0</v>
      </c>
      <c r="F2249" s="32" t="s">
        <v>310</v>
      </c>
      <c r="G2249" s="32" t="s">
        <v>1358</v>
      </c>
      <c r="H2249" s="32"/>
      <c r="I2249" s="32"/>
      <c r="J2249" s="32"/>
      <c r="K2249" s="32"/>
      <c r="L2249" s="32"/>
      <c r="M2249" s="32"/>
      <c r="N2249" s="8"/>
      <c r="O2249" s="32">
        <v>8</v>
      </c>
      <c r="P2249" s="32">
        <v>81</v>
      </c>
      <c r="Q2249" s="1"/>
      <c r="R2249" s="1"/>
      <c r="S2249" s="1"/>
      <c r="T2249" s="1"/>
      <c r="U2249" s="1"/>
      <c r="V2249" s="1"/>
      <c r="W2249" s="1">
        <v>9513</v>
      </c>
      <c r="X2249" s="1">
        <v>9513</v>
      </c>
      <c r="Y2249" s="1" t="s">
        <v>2193</v>
      </c>
      <c r="Z2249" s="1" t="s">
        <v>2193</v>
      </c>
      <c r="AA2249" s="1" t="s">
        <v>2193</v>
      </c>
      <c r="AB2249" s="1" t="s">
        <v>2193</v>
      </c>
      <c r="AC2249" s="8"/>
      <c r="AD2249" s="12" t="s">
        <v>52</v>
      </c>
      <c r="AE2249" s="39" t="str">
        <f t="shared" si="243"/>
        <v>8331</v>
      </c>
      <c r="AF2249" s="12"/>
      <c r="AG2249" s="12"/>
      <c r="AH2249" s="12"/>
      <c r="AI2249" s="12"/>
      <c r="AJ2249" s="12"/>
      <c r="AK2249" s="12"/>
      <c r="AL2249" s="12"/>
      <c r="AM2249" s="12"/>
      <c r="AN2249" s="34" t="s">
        <v>2792</v>
      </c>
      <c r="AO2249" s="12"/>
      <c r="AP2249" s="12"/>
      <c r="AQ2249" s="8"/>
      <c r="AR2249" s="34">
        <v>1</v>
      </c>
      <c r="AS2249" s="34">
        <v>1</v>
      </c>
      <c r="AT2249" s="8"/>
      <c r="AU2249" s="12" t="s">
        <v>1982</v>
      </c>
      <c r="AW2249" s="36">
        <v>5</v>
      </c>
      <c r="AX2249" s="33">
        <f>VLOOKUP(AW2249,색인!$N$14:$O$19,2,FALSE)</f>
        <v>3</v>
      </c>
      <c r="AY2249" s="36" t="str">
        <f>"T"&amp;O2249&amp;"_"&amp;AX2249&amp;"옵션_"&amp;VLOOKUP(E2249,색인!$J$25:$K$29,2,FALSE)</f>
        <v>T8_3옵션_장신구</v>
      </c>
      <c r="AZ2249" s="36">
        <f>VLOOKUP(G2249,색인!$J$32:$K$45,2,FALSE)</f>
        <v>2</v>
      </c>
      <c r="BA2249" s="36" t="str">
        <f>_xlfn.IFNA(VLOOKUP(AY2249,표1[[검색용]:[OptionGroupIndex'[']22]],EquipItemTable!AZ2249,FALSE),"옵션고정안함")</f>
        <v>8331</v>
      </c>
    </row>
    <row r="2250" spans="1:53" s="33" customFormat="1" ht="12" customHeight="1" x14ac:dyDescent="0.2">
      <c r="A2250" s="31" t="s">
        <v>2736</v>
      </c>
      <c r="B2250" s="39">
        <v>804022</v>
      </c>
      <c r="C2250" s="42" t="s">
        <v>3533</v>
      </c>
      <c r="D2250" s="86" t="s">
        <v>2955</v>
      </c>
      <c r="E2250" s="86" t="s">
        <v>0</v>
      </c>
      <c r="F2250" s="32" t="s">
        <v>456</v>
      </c>
      <c r="G2250" s="32" t="s">
        <v>1396</v>
      </c>
      <c r="H2250" s="32"/>
      <c r="I2250" s="32"/>
      <c r="J2250" s="32"/>
      <c r="K2250" s="32"/>
      <c r="L2250" s="32"/>
      <c r="M2250" s="32"/>
      <c r="N2250" s="8"/>
      <c r="O2250" s="32">
        <v>8</v>
      </c>
      <c r="P2250" s="32">
        <v>81</v>
      </c>
      <c r="Q2250" s="1"/>
      <c r="R2250" s="1"/>
      <c r="S2250" s="1"/>
      <c r="T2250" s="1"/>
      <c r="U2250" s="1"/>
      <c r="V2250" s="1"/>
      <c r="W2250" s="1">
        <v>9050</v>
      </c>
      <c r="X2250" s="1">
        <v>9050</v>
      </c>
      <c r="Y2250" s="1" t="s">
        <v>2193</v>
      </c>
      <c r="Z2250" s="1" t="s">
        <v>2193</v>
      </c>
      <c r="AA2250" s="1" t="s">
        <v>2193</v>
      </c>
      <c r="AB2250" s="1" t="s">
        <v>2193</v>
      </c>
      <c r="AC2250" s="8"/>
      <c r="AD2250" s="12" t="s">
        <v>52</v>
      </c>
      <c r="AE2250" s="39" t="str">
        <f t="shared" si="243"/>
        <v>8131</v>
      </c>
      <c r="AF2250" s="12"/>
      <c r="AG2250" s="12"/>
      <c r="AH2250" s="12"/>
      <c r="AI2250" s="12"/>
      <c r="AJ2250" s="12"/>
      <c r="AK2250" s="12"/>
      <c r="AL2250" s="12"/>
      <c r="AM2250" s="12"/>
      <c r="AN2250" s="34"/>
      <c r="AO2250" s="12"/>
      <c r="AP2250" s="12"/>
      <c r="AQ2250" s="8"/>
      <c r="AR2250" s="34">
        <v>1</v>
      </c>
      <c r="AS2250" s="34">
        <v>1</v>
      </c>
      <c r="AT2250" s="8"/>
      <c r="AU2250" s="12" t="s">
        <v>1976</v>
      </c>
      <c r="AW2250" s="36">
        <v>2</v>
      </c>
      <c r="AX2250" s="33">
        <f>VLOOKUP(AW2250,색인!$N$14:$O$19,2,FALSE)</f>
        <v>1</v>
      </c>
      <c r="AY2250" s="36" t="str">
        <f>"T"&amp;O2250&amp;"_"&amp;AX2250&amp;"옵션_"&amp;VLOOKUP(E2250,색인!$J$25:$K$29,2,FALSE)</f>
        <v>T8_1옵션_장신구</v>
      </c>
      <c r="AZ2250" s="36">
        <f>VLOOKUP(G2250,색인!$J$32:$K$45,2,FALSE)</f>
        <v>2</v>
      </c>
      <c r="BA2250" s="36" t="str">
        <f>_xlfn.IFNA(VLOOKUP(AY2250,표1[[검색용]:[OptionGroupIndex'[']22]],EquipItemTable!AZ2250,FALSE),"옵션고정안함")</f>
        <v>8131</v>
      </c>
    </row>
    <row r="2251" spans="1:53" s="33" customFormat="1" ht="12" customHeight="1" x14ac:dyDescent="0.2">
      <c r="A2251" s="31" t="s">
        <v>2737</v>
      </c>
      <c r="B2251" s="39">
        <v>804023</v>
      </c>
      <c r="C2251" s="42" t="s">
        <v>3534</v>
      </c>
      <c r="D2251" s="86" t="s">
        <v>2955</v>
      </c>
      <c r="E2251" s="86" t="s">
        <v>0</v>
      </c>
      <c r="F2251" s="32" t="s">
        <v>456</v>
      </c>
      <c r="G2251" s="32" t="s">
        <v>1396</v>
      </c>
      <c r="H2251" s="32"/>
      <c r="I2251" s="32"/>
      <c r="J2251" s="32"/>
      <c r="K2251" s="32"/>
      <c r="L2251" s="32"/>
      <c r="M2251" s="32"/>
      <c r="N2251" s="8"/>
      <c r="O2251" s="32">
        <v>8</v>
      </c>
      <c r="P2251" s="32">
        <v>81</v>
      </c>
      <c r="Q2251" s="1"/>
      <c r="R2251" s="1"/>
      <c r="S2251" s="1"/>
      <c r="T2251" s="1"/>
      <c r="U2251" s="1"/>
      <c r="V2251" s="1"/>
      <c r="W2251" s="1">
        <v>9633</v>
      </c>
      <c r="X2251" s="1">
        <v>9633</v>
      </c>
      <c r="Y2251" s="1" t="s">
        <v>2193</v>
      </c>
      <c r="Z2251" s="1" t="s">
        <v>2193</v>
      </c>
      <c r="AA2251" s="1" t="s">
        <v>2193</v>
      </c>
      <c r="AB2251" s="1" t="s">
        <v>2193</v>
      </c>
      <c r="AC2251" s="8"/>
      <c r="AD2251" s="12" t="s">
        <v>52</v>
      </c>
      <c r="AE2251" s="39" t="str">
        <f t="shared" si="243"/>
        <v>8231</v>
      </c>
      <c r="AF2251" s="12"/>
      <c r="AG2251" s="12"/>
      <c r="AH2251" s="12"/>
      <c r="AI2251" s="12"/>
      <c r="AJ2251" s="12"/>
      <c r="AK2251" s="12"/>
      <c r="AL2251" s="12"/>
      <c r="AM2251" s="12"/>
      <c r="AN2251" s="34"/>
      <c r="AO2251" s="12"/>
      <c r="AP2251" s="12"/>
      <c r="AQ2251" s="8"/>
      <c r="AR2251" s="34">
        <v>1</v>
      </c>
      <c r="AS2251" s="34">
        <v>1</v>
      </c>
      <c r="AT2251" s="8"/>
      <c r="AU2251" s="12" t="s">
        <v>1978</v>
      </c>
      <c r="AW2251" s="36">
        <v>3</v>
      </c>
      <c r="AX2251" s="33">
        <f>VLOOKUP(AW2251,색인!$N$14:$O$19,2,FALSE)</f>
        <v>2</v>
      </c>
      <c r="AY2251" s="36" t="str">
        <f>"T"&amp;O2251&amp;"_"&amp;AX2251&amp;"옵션_"&amp;VLOOKUP(E2251,색인!$J$25:$K$29,2,FALSE)</f>
        <v>T8_2옵션_장신구</v>
      </c>
      <c r="AZ2251" s="36">
        <f>VLOOKUP(G2251,색인!$J$32:$K$45,2,FALSE)</f>
        <v>2</v>
      </c>
      <c r="BA2251" s="36" t="str">
        <f>_xlfn.IFNA(VLOOKUP(AY2251,표1[[검색용]:[OptionGroupIndex'[']22]],EquipItemTable!AZ2251,FALSE),"옵션고정안함")</f>
        <v>8231</v>
      </c>
    </row>
    <row r="2252" spans="1:53" s="33" customFormat="1" ht="12" customHeight="1" x14ac:dyDescent="0.2">
      <c r="A2252" s="31" t="s">
        <v>2738</v>
      </c>
      <c r="B2252" s="39">
        <v>804024</v>
      </c>
      <c r="C2252" s="42" t="s">
        <v>3550</v>
      </c>
      <c r="D2252" s="86" t="s">
        <v>2955</v>
      </c>
      <c r="E2252" s="86" t="s">
        <v>0</v>
      </c>
      <c r="F2252" s="32" t="s">
        <v>456</v>
      </c>
      <c r="G2252" s="32" t="s">
        <v>1396</v>
      </c>
      <c r="H2252" s="32"/>
      <c r="I2252" s="32"/>
      <c r="J2252" s="32"/>
      <c r="K2252" s="32"/>
      <c r="L2252" s="32"/>
      <c r="M2252" s="32"/>
      <c r="N2252" s="8"/>
      <c r="O2252" s="32">
        <v>8</v>
      </c>
      <c r="P2252" s="32">
        <v>81</v>
      </c>
      <c r="Q2252" s="1"/>
      <c r="R2252" s="1"/>
      <c r="S2252" s="1"/>
      <c r="T2252" s="1"/>
      <c r="U2252" s="1"/>
      <c r="V2252" s="1"/>
      <c r="W2252" s="1">
        <v>10237</v>
      </c>
      <c r="X2252" s="1">
        <v>10237</v>
      </c>
      <c r="Y2252" s="1" t="s">
        <v>2193</v>
      </c>
      <c r="Z2252" s="1" t="s">
        <v>2193</v>
      </c>
      <c r="AA2252" s="1" t="s">
        <v>2193</v>
      </c>
      <c r="AB2252" s="1" t="s">
        <v>2193</v>
      </c>
      <c r="AC2252" s="8"/>
      <c r="AD2252" s="12" t="s">
        <v>52</v>
      </c>
      <c r="AE2252" s="39" t="str">
        <f t="shared" si="243"/>
        <v>8331</v>
      </c>
      <c r="AF2252" s="12"/>
      <c r="AG2252" s="12"/>
      <c r="AH2252" s="12"/>
      <c r="AI2252" s="12"/>
      <c r="AJ2252" s="12"/>
      <c r="AK2252" s="12"/>
      <c r="AL2252" s="12"/>
      <c r="AM2252" s="12"/>
      <c r="AN2252" s="34"/>
      <c r="AO2252" s="12"/>
      <c r="AP2252" s="12"/>
      <c r="AQ2252" s="8"/>
      <c r="AR2252" s="34">
        <v>1</v>
      </c>
      <c r="AS2252" s="34">
        <v>1</v>
      </c>
      <c r="AT2252" s="8"/>
      <c r="AU2252" s="12" t="s">
        <v>1980</v>
      </c>
      <c r="AW2252" s="36">
        <v>4</v>
      </c>
      <c r="AX2252" s="33">
        <f>VLOOKUP(AW2252,색인!$N$14:$O$19,2,FALSE)</f>
        <v>3</v>
      </c>
      <c r="AY2252" s="36" t="str">
        <f>"T"&amp;O2252&amp;"_"&amp;AX2252&amp;"옵션_"&amp;VLOOKUP(E2252,색인!$J$25:$K$29,2,FALSE)</f>
        <v>T8_3옵션_장신구</v>
      </c>
      <c r="AZ2252" s="36">
        <f>VLOOKUP(G2252,색인!$J$32:$K$45,2,FALSE)</f>
        <v>2</v>
      </c>
      <c r="BA2252" s="36" t="str">
        <f>_xlfn.IFNA(VLOOKUP(AY2252,표1[[검색용]:[OptionGroupIndex'[']22]],EquipItemTable!AZ2252,FALSE),"옵션고정안함")</f>
        <v>8331</v>
      </c>
    </row>
    <row r="2253" spans="1:53" s="33" customFormat="1" ht="12" customHeight="1" x14ac:dyDescent="0.2">
      <c r="A2253" s="31" t="s">
        <v>2739</v>
      </c>
      <c r="B2253" s="39">
        <v>804025</v>
      </c>
      <c r="C2253" s="42" t="s">
        <v>4321</v>
      </c>
      <c r="D2253" s="86" t="s">
        <v>2955</v>
      </c>
      <c r="E2253" s="86" t="s">
        <v>0</v>
      </c>
      <c r="F2253" s="32" t="s">
        <v>456</v>
      </c>
      <c r="G2253" s="32" t="s">
        <v>1396</v>
      </c>
      <c r="H2253" s="32"/>
      <c r="I2253" s="32"/>
      <c r="J2253" s="32"/>
      <c r="K2253" s="32"/>
      <c r="L2253" s="32"/>
      <c r="M2253" s="32"/>
      <c r="N2253" s="8"/>
      <c r="O2253" s="32">
        <v>8</v>
      </c>
      <c r="P2253" s="32">
        <v>81</v>
      </c>
      <c r="Q2253" s="1"/>
      <c r="R2253" s="1"/>
      <c r="S2253" s="1"/>
      <c r="T2253" s="1"/>
      <c r="U2253" s="1"/>
      <c r="V2253" s="1"/>
      <c r="W2253" s="1">
        <v>10738</v>
      </c>
      <c r="X2253" s="1">
        <v>10738</v>
      </c>
      <c r="Y2253" s="1" t="s">
        <v>2193</v>
      </c>
      <c r="Z2253" s="1" t="s">
        <v>2193</v>
      </c>
      <c r="AA2253" s="1" t="s">
        <v>2193</v>
      </c>
      <c r="AB2253" s="1" t="s">
        <v>2193</v>
      </c>
      <c r="AC2253" s="8"/>
      <c r="AD2253" s="12" t="s">
        <v>52</v>
      </c>
      <c r="AE2253" s="39" t="str">
        <f t="shared" si="243"/>
        <v>8331</v>
      </c>
      <c r="AF2253" s="12"/>
      <c r="AG2253" s="12"/>
      <c r="AH2253" s="12"/>
      <c r="AI2253" s="12"/>
      <c r="AJ2253" s="12"/>
      <c r="AK2253" s="12"/>
      <c r="AL2253" s="12"/>
      <c r="AM2253" s="12"/>
      <c r="AN2253" s="34" t="s">
        <v>2792</v>
      </c>
      <c r="AO2253" s="12"/>
      <c r="AP2253" s="12"/>
      <c r="AQ2253" s="8"/>
      <c r="AR2253" s="34">
        <v>1</v>
      </c>
      <c r="AS2253" s="34">
        <v>1</v>
      </c>
      <c r="AT2253" s="8"/>
      <c r="AU2253" s="12" t="s">
        <v>1982</v>
      </c>
      <c r="AW2253" s="36">
        <v>5</v>
      </c>
      <c r="AX2253" s="33">
        <f>VLOOKUP(AW2253,색인!$N$14:$O$19,2,FALSE)</f>
        <v>3</v>
      </c>
      <c r="AY2253" s="36" t="str">
        <f>"T"&amp;O2253&amp;"_"&amp;AX2253&amp;"옵션_"&amp;VLOOKUP(E2253,색인!$J$25:$K$29,2,FALSE)</f>
        <v>T8_3옵션_장신구</v>
      </c>
      <c r="AZ2253" s="36">
        <f>VLOOKUP(G2253,색인!$J$32:$K$45,2,FALSE)</f>
        <v>2</v>
      </c>
      <c r="BA2253" s="36" t="str">
        <f>_xlfn.IFNA(VLOOKUP(AY2253,표1[[검색용]:[OptionGroupIndex'[']22]],EquipItemTable!AZ2253,FALSE),"옵션고정안함")</f>
        <v>8331</v>
      </c>
    </row>
    <row r="2254" spans="1:53" s="33" customFormat="1" ht="12" customHeight="1" x14ac:dyDescent="0.2">
      <c r="A2254" s="31" t="s">
        <v>2740</v>
      </c>
      <c r="B2254" s="39">
        <v>805022</v>
      </c>
      <c r="C2254" s="42" t="s">
        <v>3570</v>
      </c>
      <c r="D2254" s="86" t="s">
        <v>2955</v>
      </c>
      <c r="E2254" s="86" t="s">
        <v>0</v>
      </c>
      <c r="F2254" s="32" t="s">
        <v>927</v>
      </c>
      <c r="G2254" s="32" t="s">
        <v>1415</v>
      </c>
      <c r="H2254" s="32"/>
      <c r="I2254" s="32"/>
      <c r="J2254" s="32"/>
      <c r="K2254" s="32"/>
      <c r="L2254" s="32"/>
      <c r="M2254" s="32"/>
      <c r="N2254" s="8"/>
      <c r="O2254" s="32">
        <v>8</v>
      </c>
      <c r="P2254" s="32">
        <v>81</v>
      </c>
      <c r="Q2254" s="1"/>
      <c r="R2254" s="1"/>
      <c r="S2254" s="1"/>
      <c r="T2254" s="1"/>
      <c r="U2254" s="1"/>
      <c r="V2254" s="1"/>
      <c r="W2254" s="1">
        <v>8257</v>
      </c>
      <c r="X2254" s="1">
        <v>8257</v>
      </c>
      <c r="Y2254" s="1" t="s">
        <v>2193</v>
      </c>
      <c r="Z2254" s="1" t="s">
        <v>2193</v>
      </c>
      <c r="AA2254" s="1" t="s">
        <v>2193</v>
      </c>
      <c r="AB2254" s="1" t="s">
        <v>2193</v>
      </c>
      <c r="AC2254" s="8"/>
      <c r="AD2254" s="12" t="s">
        <v>52</v>
      </c>
      <c r="AE2254" s="39" t="str">
        <f t="shared" si="243"/>
        <v>8131</v>
      </c>
      <c r="AF2254" s="12"/>
      <c r="AG2254" s="12"/>
      <c r="AH2254" s="12"/>
      <c r="AI2254" s="12"/>
      <c r="AJ2254" s="12"/>
      <c r="AK2254" s="12"/>
      <c r="AL2254" s="12"/>
      <c r="AM2254" s="12"/>
      <c r="AN2254" s="34"/>
      <c r="AO2254" s="12"/>
      <c r="AP2254" s="12"/>
      <c r="AQ2254" s="8"/>
      <c r="AR2254" s="34">
        <v>1</v>
      </c>
      <c r="AS2254" s="34">
        <v>1</v>
      </c>
      <c r="AT2254" s="8"/>
      <c r="AU2254" s="12" t="s">
        <v>1976</v>
      </c>
      <c r="AW2254" s="36">
        <v>2</v>
      </c>
      <c r="AX2254" s="33">
        <f>VLOOKUP(AW2254,색인!$N$14:$O$19,2,FALSE)</f>
        <v>1</v>
      </c>
      <c r="AY2254" s="36" t="str">
        <f>"T"&amp;O2254&amp;"_"&amp;AX2254&amp;"옵션_"&amp;VLOOKUP(E2254,색인!$J$25:$K$29,2,FALSE)</f>
        <v>T8_1옵션_장신구</v>
      </c>
      <c r="AZ2254" s="36">
        <f>VLOOKUP(G2254,색인!$J$32:$K$45,2,FALSE)</f>
        <v>2</v>
      </c>
      <c r="BA2254" s="36" t="str">
        <f>_xlfn.IFNA(VLOOKUP(AY2254,표1[[검색용]:[OptionGroupIndex'[']22]],EquipItemTable!AZ2254,FALSE),"옵션고정안함")</f>
        <v>8131</v>
      </c>
    </row>
    <row r="2255" spans="1:53" s="33" customFormat="1" ht="12" customHeight="1" x14ac:dyDescent="0.2">
      <c r="A2255" s="31" t="s">
        <v>2741</v>
      </c>
      <c r="B2255" s="39">
        <v>805023</v>
      </c>
      <c r="C2255" s="42" t="s">
        <v>3591</v>
      </c>
      <c r="D2255" s="86" t="s">
        <v>2955</v>
      </c>
      <c r="E2255" s="86" t="s">
        <v>0</v>
      </c>
      <c r="F2255" s="32" t="s">
        <v>927</v>
      </c>
      <c r="G2255" s="32" t="s">
        <v>1415</v>
      </c>
      <c r="H2255" s="32"/>
      <c r="I2255" s="32"/>
      <c r="J2255" s="32"/>
      <c r="K2255" s="32"/>
      <c r="L2255" s="32"/>
      <c r="M2255" s="32"/>
      <c r="N2255" s="8"/>
      <c r="O2255" s="32">
        <v>8</v>
      </c>
      <c r="P2255" s="32">
        <v>81</v>
      </c>
      <c r="Q2255" s="1"/>
      <c r="R2255" s="1"/>
      <c r="S2255" s="1"/>
      <c r="T2255" s="1"/>
      <c r="U2255" s="1"/>
      <c r="V2255" s="1"/>
      <c r="W2255" s="1">
        <v>8788</v>
      </c>
      <c r="X2255" s="1">
        <v>8788</v>
      </c>
      <c r="Y2255" s="1" t="s">
        <v>2193</v>
      </c>
      <c r="Z2255" s="1" t="s">
        <v>2193</v>
      </c>
      <c r="AA2255" s="1" t="s">
        <v>2193</v>
      </c>
      <c r="AB2255" s="1" t="s">
        <v>2193</v>
      </c>
      <c r="AC2255" s="8"/>
      <c r="AD2255" s="12" t="s">
        <v>52</v>
      </c>
      <c r="AE2255" s="39" t="str">
        <f t="shared" si="243"/>
        <v>8231</v>
      </c>
      <c r="AF2255" s="12"/>
      <c r="AG2255" s="12"/>
      <c r="AH2255" s="12"/>
      <c r="AI2255" s="12"/>
      <c r="AJ2255" s="12"/>
      <c r="AK2255" s="12"/>
      <c r="AL2255" s="12"/>
      <c r="AM2255" s="12"/>
      <c r="AN2255" s="34"/>
      <c r="AO2255" s="12"/>
      <c r="AP2255" s="12"/>
      <c r="AQ2255" s="8"/>
      <c r="AR2255" s="34">
        <v>1</v>
      </c>
      <c r="AS2255" s="34">
        <v>1</v>
      </c>
      <c r="AT2255" s="8"/>
      <c r="AU2255" s="12" t="s">
        <v>1978</v>
      </c>
      <c r="AW2255" s="36">
        <v>3</v>
      </c>
      <c r="AX2255" s="33">
        <f>VLOOKUP(AW2255,색인!$N$14:$O$19,2,FALSE)</f>
        <v>2</v>
      </c>
      <c r="AY2255" s="36" t="str">
        <f>"T"&amp;O2255&amp;"_"&amp;AX2255&amp;"옵션_"&amp;VLOOKUP(E2255,색인!$J$25:$K$29,2,FALSE)</f>
        <v>T8_2옵션_장신구</v>
      </c>
      <c r="AZ2255" s="36">
        <f>VLOOKUP(G2255,색인!$J$32:$K$45,2,FALSE)</f>
        <v>2</v>
      </c>
      <c r="BA2255" s="36" t="str">
        <f>_xlfn.IFNA(VLOOKUP(AY2255,표1[[검색용]:[OptionGroupIndex'[']22]],EquipItemTable!AZ2255,FALSE),"옵션고정안함")</f>
        <v>8231</v>
      </c>
    </row>
    <row r="2256" spans="1:53" s="33" customFormat="1" ht="12" customHeight="1" x14ac:dyDescent="0.2">
      <c r="A2256" s="31" t="s">
        <v>2742</v>
      </c>
      <c r="B2256" s="39">
        <v>805024</v>
      </c>
      <c r="C2256" s="42" t="s">
        <v>3572</v>
      </c>
      <c r="D2256" s="86" t="s">
        <v>2955</v>
      </c>
      <c r="E2256" s="86" t="s">
        <v>0</v>
      </c>
      <c r="F2256" s="32" t="s">
        <v>927</v>
      </c>
      <c r="G2256" s="32" t="s">
        <v>1415</v>
      </c>
      <c r="H2256" s="32"/>
      <c r="I2256" s="32"/>
      <c r="J2256" s="32"/>
      <c r="K2256" s="32"/>
      <c r="L2256" s="32"/>
      <c r="M2256" s="32"/>
      <c r="N2256" s="8"/>
      <c r="O2256" s="32">
        <v>8</v>
      </c>
      <c r="P2256" s="32">
        <v>81</v>
      </c>
      <c r="Q2256" s="1"/>
      <c r="R2256" s="1"/>
      <c r="S2256" s="1"/>
      <c r="T2256" s="1"/>
      <c r="U2256" s="1"/>
      <c r="V2256" s="1"/>
      <c r="W2256" s="1">
        <v>9339</v>
      </c>
      <c r="X2256" s="1">
        <v>9339</v>
      </c>
      <c r="Y2256" s="1" t="s">
        <v>2193</v>
      </c>
      <c r="Z2256" s="1" t="s">
        <v>2193</v>
      </c>
      <c r="AA2256" s="1" t="s">
        <v>2193</v>
      </c>
      <c r="AB2256" s="1" t="s">
        <v>2193</v>
      </c>
      <c r="AC2256" s="8"/>
      <c r="AD2256" s="12" t="s">
        <v>52</v>
      </c>
      <c r="AE2256" s="39" t="str">
        <f t="shared" si="243"/>
        <v>8331</v>
      </c>
      <c r="AF2256" s="12"/>
      <c r="AG2256" s="12"/>
      <c r="AH2256" s="12"/>
      <c r="AI2256" s="12"/>
      <c r="AJ2256" s="12"/>
      <c r="AK2256" s="12"/>
      <c r="AL2256" s="12"/>
      <c r="AM2256" s="12"/>
      <c r="AN2256" s="34"/>
      <c r="AO2256" s="12"/>
      <c r="AP2256" s="12"/>
      <c r="AQ2256" s="8"/>
      <c r="AR2256" s="34">
        <v>1</v>
      </c>
      <c r="AS2256" s="34">
        <v>1</v>
      </c>
      <c r="AT2256" s="8"/>
      <c r="AU2256" s="12" t="s">
        <v>1980</v>
      </c>
      <c r="AW2256" s="36">
        <v>4</v>
      </c>
      <c r="AX2256" s="33">
        <f>VLOOKUP(AW2256,색인!$N$14:$O$19,2,FALSE)</f>
        <v>3</v>
      </c>
      <c r="AY2256" s="36" t="str">
        <f>"T"&amp;O2256&amp;"_"&amp;AX2256&amp;"옵션_"&amp;VLOOKUP(E2256,색인!$J$25:$K$29,2,FALSE)</f>
        <v>T8_3옵션_장신구</v>
      </c>
      <c r="AZ2256" s="36">
        <f>VLOOKUP(G2256,색인!$J$32:$K$45,2,FALSE)</f>
        <v>2</v>
      </c>
      <c r="BA2256" s="36" t="str">
        <f>_xlfn.IFNA(VLOOKUP(AY2256,표1[[검색용]:[OptionGroupIndex'[']22]],EquipItemTable!AZ2256,FALSE),"옵션고정안함")</f>
        <v>8331</v>
      </c>
    </row>
    <row r="2257" spans="1:53" s="33" customFormat="1" ht="12" customHeight="1" x14ac:dyDescent="0.2">
      <c r="A2257" s="31" t="s">
        <v>2743</v>
      </c>
      <c r="B2257" s="39">
        <v>805025</v>
      </c>
      <c r="C2257" s="42" t="s">
        <v>4322</v>
      </c>
      <c r="D2257" s="86" t="s">
        <v>2955</v>
      </c>
      <c r="E2257" s="86" t="s">
        <v>0</v>
      </c>
      <c r="F2257" s="32" t="s">
        <v>927</v>
      </c>
      <c r="G2257" s="32" t="s">
        <v>1415</v>
      </c>
      <c r="H2257" s="32"/>
      <c r="I2257" s="32"/>
      <c r="J2257" s="32"/>
      <c r="K2257" s="32"/>
      <c r="L2257" s="32"/>
      <c r="M2257" s="32"/>
      <c r="N2257" s="8"/>
      <c r="O2257" s="32">
        <v>8</v>
      </c>
      <c r="P2257" s="32">
        <v>81</v>
      </c>
      <c r="Q2257" s="1"/>
      <c r="R2257" s="1"/>
      <c r="S2257" s="1"/>
      <c r="T2257" s="1"/>
      <c r="U2257" s="1"/>
      <c r="V2257" s="1"/>
      <c r="W2257" s="1">
        <v>9797</v>
      </c>
      <c r="X2257" s="1">
        <v>9797</v>
      </c>
      <c r="Y2257" s="1" t="s">
        <v>2193</v>
      </c>
      <c r="Z2257" s="1" t="s">
        <v>2193</v>
      </c>
      <c r="AA2257" s="1" t="s">
        <v>2193</v>
      </c>
      <c r="AB2257" s="1" t="s">
        <v>2193</v>
      </c>
      <c r="AC2257" s="8"/>
      <c r="AD2257" s="12" t="s">
        <v>52</v>
      </c>
      <c r="AE2257" s="39" t="str">
        <f t="shared" si="243"/>
        <v>8331</v>
      </c>
      <c r="AF2257" s="12"/>
      <c r="AG2257" s="12"/>
      <c r="AH2257" s="12"/>
      <c r="AI2257" s="12"/>
      <c r="AJ2257" s="12"/>
      <c r="AK2257" s="12"/>
      <c r="AL2257" s="12"/>
      <c r="AM2257" s="12"/>
      <c r="AN2257" s="34" t="s">
        <v>2792</v>
      </c>
      <c r="AO2257" s="12"/>
      <c r="AP2257" s="12"/>
      <c r="AQ2257" s="8"/>
      <c r="AR2257" s="34">
        <v>1</v>
      </c>
      <c r="AS2257" s="34">
        <v>1</v>
      </c>
      <c r="AT2257" s="8"/>
      <c r="AU2257" s="12" t="s">
        <v>1982</v>
      </c>
      <c r="AW2257" s="36">
        <v>5</v>
      </c>
      <c r="AX2257" s="33">
        <f>VLOOKUP(AW2257,색인!$N$14:$O$19,2,FALSE)</f>
        <v>3</v>
      </c>
      <c r="AY2257" s="36" t="str">
        <f>"T"&amp;O2257&amp;"_"&amp;AX2257&amp;"옵션_"&amp;VLOOKUP(E2257,색인!$J$25:$K$29,2,FALSE)</f>
        <v>T8_3옵션_장신구</v>
      </c>
      <c r="AZ2257" s="36">
        <f>VLOOKUP(G2257,색인!$J$32:$K$45,2,FALSE)</f>
        <v>2</v>
      </c>
      <c r="BA2257" s="36" t="str">
        <f>_xlfn.IFNA(VLOOKUP(AY2257,표1[[검색용]:[OptionGroupIndex'[']22]],EquipItemTable!AZ2257,FALSE),"옵션고정안함")</f>
        <v>8331</v>
      </c>
    </row>
    <row r="2258" spans="1:53" s="33" customFormat="1" ht="12" customHeight="1" x14ac:dyDescent="0.2">
      <c r="A2258" s="31" t="s">
        <v>2744</v>
      </c>
      <c r="B2258" s="39">
        <v>806022</v>
      </c>
      <c r="C2258" s="42" t="s">
        <v>3597</v>
      </c>
      <c r="D2258" s="86" t="s">
        <v>2955</v>
      </c>
      <c r="E2258" s="86" t="s">
        <v>0</v>
      </c>
      <c r="F2258" s="32" t="s">
        <v>471</v>
      </c>
      <c r="G2258" s="32" t="s">
        <v>1434</v>
      </c>
      <c r="H2258" s="32"/>
      <c r="I2258" s="32"/>
      <c r="J2258" s="32"/>
      <c r="K2258" s="32"/>
      <c r="L2258" s="32"/>
      <c r="M2258" s="32"/>
      <c r="N2258" s="8"/>
      <c r="O2258" s="32">
        <v>8</v>
      </c>
      <c r="P2258" s="32">
        <v>81</v>
      </c>
      <c r="Q2258" s="1"/>
      <c r="R2258" s="1"/>
      <c r="S2258" s="1"/>
      <c r="T2258" s="1"/>
      <c r="U2258" s="1"/>
      <c r="V2258" s="1"/>
      <c r="W2258" s="1">
        <v>8416</v>
      </c>
      <c r="X2258" s="1">
        <v>8416</v>
      </c>
      <c r="Y2258" s="1" t="s">
        <v>2193</v>
      </c>
      <c r="Z2258" s="1" t="s">
        <v>2193</v>
      </c>
      <c r="AA2258" s="1" t="s">
        <v>2193</v>
      </c>
      <c r="AB2258" s="1" t="s">
        <v>2193</v>
      </c>
      <c r="AC2258" s="8"/>
      <c r="AD2258" s="12" t="s">
        <v>52</v>
      </c>
      <c r="AE2258" s="39" t="str">
        <f t="shared" si="243"/>
        <v>8131</v>
      </c>
      <c r="AF2258" s="12"/>
      <c r="AG2258" s="12"/>
      <c r="AH2258" s="12"/>
      <c r="AI2258" s="12"/>
      <c r="AJ2258" s="12"/>
      <c r="AK2258" s="12"/>
      <c r="AL2258" s="12"/>
      <c r="AM2258" s="12"/>
      <c r="AN2258" s="34"/>
      <c r="AO2258" s="12"/>
      <c r="AP2258" s="12"/>
      <c r="AQ2258" s="8"/>
      <c r="AR2258" s="34">
        <v>1</v>
      </c>
      <c r="AS2258" s="34">
        <v>1</v>
      </c>
      <c r="AT2258" s="8"/>
      <c r="AU2258" s="12" t="s">
        <v>1976</v>
      </c>
      <c r="AW2258" s="36">
        <v>2</v>
      </c>
      <c r="AX2258" s="33">
        <f>VLOOKUP(AW2258,색인!$N$14:$O$19,2,FALSE)</f>
        <v>1</v>
      </c>
      <c r="AY2258" s="36" t="str">
        <f>"T"&amp;O2258&amp;"_"&amp;AX2258&amp;"옵션_"&amp;VLOOKUP(E2258,색인!$J$25:$K$29,2,FALSE)</f>
        <v>T8_1옵션_장신구</v>
      </c>
      <c r="AZ2258" s="36">
        <f>VLOOKUP(G2258,색인!$J$32:$K$45,2,FALSE)</f>
        <v>2</v>
      </c>
      <c r="BA2258" s="36" t="str">
        <f>_xlfn.IFNA(VLOOKUP(AY2258,표1[[검색용]:[OptionGroupIndex'[']22]],EquipItemTable!AZ2258,FALSE),"옵션고정안함")</f>
        <v>8131</v>
      </c>
    </row>
    <row r="2259" spans="1:53" s="33" customFormat="1" ht="12" customHeight="1" x14ac:dyDescent="0.2">
      <c r="A2259" s="31" t="s">
        <v>2745</v>
      </c>
      <c r="B2259" s="39">
        <v>806023</v>
      </c>
      <c r="C2259" s="42" t="s">
        <v>27</v>
      </c>
      <c r="D2259" s="86" t="s">
        <v>2955</v>
      </c>
      <c r="E2259" s="86" t="s">
        <v>0</v>
      </c>
      <c r="F2259" s="32" t="s">
        <v>471</v>
      </c>
      <c r="G2259" s="32" t="s">
        <v>1434</v>
      </c>
      <c r="H2259" s="32"/>
      <c r="I2259" s="32"/>
      <c r="J2259" s="32"/>
      <c r="K2259" s="32"/>
      <c r="L2259" s="32"/>
      <c r="M2259" s="32"/>
      <c r="N2259" s="8"/>
      <c r="O2259" s="32">
        <v>8</v>
      </c>
      <c r="P2259" s="32">
        <v>81</v>
      </c>
      <c r="Q2259" s="1"/>
      <c r="R2259" s="1"/>
      <c r="S2259" s="1"/>
      <c r="T2259" s="1"/>
      <c r="U2259" s="1"/>
      <c r="V2259" s="1"/>
      <c r="W2259" s="1">
        <v>8957</v>
      </c>
      <c r="X2259" s="1">
        <v>8957</v>
      </c>
      <c r="Y2259" s="1" t="s">
        <v>2193</v>
      </c>
      <c r="Z2259" s="1" t="s">
        <v>2193</v>
      </c>
      <c r="AA2259" s="1" t="s">
        <v>2193</v>
      </c>
      <c r="AB2259" s="1" t="s">
        <v>2193</v>
      </c>
      <c r="AC2259" s="8"/>
      <c r="AD2259" s="12" t="s">
        <v>52</v>
      </c>
      <c r="AE2259" s="39" t="str">
        <f t="shared" si="243"/>
        <v>8231</v>
      </c>
      <c r="AF2259" s="12"/>
      <c r="AG2259" s="12"/>
      <c r="AH2259" s="12"/>
      <c r="AI2259" s="12"/>
      <c r="AJ2259" s="12"/>
      <c r="AK2259" s="12"/>
      <c r="AL2259" s="12"/>
      <c r="AM2259" s="12"/>
      <c r="AN2259" s="34"/>
      <c r="AO2259" s="12"/>
      <c r="AP2259" s="12"/>
      <c r="AQ2259" s="8"/>
      <c r="AR2259" s="34">
        <v>1</v>
      </c>
      <c r="AS2259" s="34">
        <v>1</v>
      </c>
      <c r="AT2259" s="8"/>
      <c r="AU2259" s="12" t="s">
        <v>1978</v>
      </c>
      <c r="AW2259" s="36">
        <v>3</v>
      </c>
      <c r="AX2259" s="33">
        <f>VLOOKUP(AW2259,색인!$N$14:$O$19,2,FALSE)</f>
        <v>2</v>
      </c>
      <c r="AY2259" s="36" t="str">
        <f>"T"&amp;O2259&amp;"_"&amp;AX2259&amp;"옵션_"&amp;VLOOKUP(E2259,색인!$J$25:$K$29,2,FALSE)</f>
        <v>T8_2옵션_장신구</v>
      </c>
      <c r="AZ2259" s="36">
        <f>VLOOKUP(G2259,색인!$J$32:$K$45,2,FALSE)</f>
        <v>2</v>
      </c>
      <c r="BA2259" s="36" t="str">
        <f>_xlfn.IFNA(VLOOKUP(AY2259,표1[[검색용]:[OptionGroupIndex'[']22]],EquipItemTable!AZ2259,FALSE),"옵션고정안함")</f>
        <v>8231</v>
      </c>
    </row>
    <row r="2260" spans="1:53" s="33" customFormat="1" ht="12" customHeight="1" x14ac:dyDescent="0.2">
      <c r="A2260" s="31" t="s">
        <v>2746</v>
      </c>
      <c r="B2260" s="39">
        <v>806024</v>
      </c>
      <c r="C2260" s="42" t="s">
        <v>3627</v>
      </c>
      <c r="D2260" s="86" t="s">
        <v>2955</v>
      </c>
      <c r="E2260" s="86" t="s">
        <v>0</v>
      </c>
      <c r="F2260" s="32" t="s">
        <v>471</v>
      </c>
      <c r="G2260" s="32" t="s">
        <v>1434</v>
      </c>
      <c r="H2260" s="32"/>
      <c r="I2260" s="32"/>
      <c r="J2260" s="32"/>
      <c r="K2260" s="32"/>
      <c r="L2260" s="32"/>
      <c r="M2260" s="32"/>
      <c r="N2260" s="8"/>
      <c r="O2260" s="32">
        <v>8</v>
      </c>
      <c r="P2260" s="32">
        <v>81</v>
      </c>
      <c r="Q2260" s="1"/>
      <c r="R2260" s="1"/>
      <c r="S2260" s="1"/>
      <c r="T2260" s="1"/>
      <c r="U2260" s="1"/>
      <c r="V2260" s="1"/>
      <c r="W2260" s="1">
        <v>9518</v>
      </c>
      <c r="X2260" s="1">
        <v>9518</v>
      </c>
      <c r="Y2260" s="1" t="s">
        <v>2193</v>
      </c>
      <c r="Z2260" s="1" t="s">
        <v>2193</v>
      </c>
      <c r="AA2260" s="1" t="s">
        <v>2193</v>
      </c>
      <c r="AB2260" s="1" t="s">
        <v>2193</v>
      </c>
      <c r="AC2260" s="8"/>
      <c r="AD2260" s="12" t="s">
        <v>52</v>
      </c>
      <c r="AE2260" s="39" t="str">
        <f t="shared" si="243"/>
        <v>8331</v>
      </c>
      <c r="AF2260" s="12"/>
      <c r="AG2260" s="12"/>
      <c r="AH2260" s="12"/>
      <c r="AI2260" s="12"/>
      <c r="AJ2260" s="12"/>
      <c r="AK2260" s="12"/>
      <c r="AL2260" s="12"/>
      <c r="AM2260" s="12"/>
      <c r="AN2260" s="34"/>
      <c r="AO2260" s="12"/>
      <c r="AP2260" s="12"/>
      <c r="AQ2260" s="8"/>
      <c r="AR2260" s="34">
        <v>1</v>
      </c>
      <c r="AS2260" s="34">
        <v>1</v>
      </c>
      <c r="AT2260" s="8"/>
      <c r="AU2260" s="12" t="s">
        <v>1980</v>
      </c>
      <c r="AW2260" s="36">
        <v>4</v>
      </c>
      <c r="AX2260" s="33">
        <f>VLOOKUP(AW2260,색인!$N$14:$O$19,2,FALSE)</f>
        <v>3</v>
      </c>
      <c r="AY2260" s="36" t="str">
        <f>"T"&amp;O2260&amp;"_"&amp;AX2260&amp;"옵션_"&amp;VLOOKUP(E2260,색인!$J$25:$K$29,2,FALSE)</f>
        <v>T8_3옵션_장신구</v>
      </c>
      <c r="AZ2260" s="36">
        <f>VLOOKUP(G2260,색인!$J$32:$K$45,2,FALSE)</f>
        <v>2</v>
      </c>
      <c r="BA2260" s="36" t="str">
        <f>_xlfn.IFNA(VLOOKUP(AY2260,표1[[검색용]:[OptionGroupIndex'[']22]],EquipItemTable!AZ2260,FALSE),"옵션고정안함")</f>
        <v>8331</v>
      </c>
    </row>
    <row r="2261" spans="1:53" s="33" customFormat="1" ht="12" customHeight="1" x14ac:dyDescent="0.2">
      <c r="A2261" s="31" t="s">
        <v>2747</v>
      </c>
      <c r="B2261" s="39">
        <v>806025</v>
      </c>
      <c r="C2261" s="42" t="s">
        <v>4323</v>
      </c>
      <c r="D2261" s="86" t="s">
        <v>2955</v>
      </c>
      <c r="E2261" s="86" t="s">
        <v>0</v>
      </c>
      <c r="F2261" s="32" t="s">
        <v>471</v>
      </c>
      <c r="G2261" s="32" t="s">
        <v>1434</v>
      </c>
      <c r="H2261" s="32"/>
      <c r="I2261" s="32"/>
      <c r="J2261" s="32"/>
      <c r="K2261" s="32"/>
      <c r="L2261" s="32"/>
      <c r="M2261" s="32"/>
      <c r="N2261" s="8"/>
      <c r="O2261" s="32">
        <v>8</v>
      </c>
      <c r="P2261" s="32">
        <v>81</v>
      </c>
      <c r="Q2261" s="1"/>
      <c r="R2261" s="1"/>
      <c r="S2261" s="1"/>
      <c r="T2261" s="1"/>
      <c r="U2261" s="1"/>
      <c r="V2261" s="1"/>
      <c r="W2261" s="1">
        <v>9986</v>
      </c>
      <c r="X2261" s="1">
        <v>9986</v>
      </c>
      <c r="Y2261" s="1" t="s">
        <v>2193</v>
      </c>
      <c r="Z2261" s="1" t="s">
        <v>2193</v>
      </c>
      <c r="AA2261" s="1" t="s">
        <v>2193</v>
      </c>
      <c r="AB2261" s="1" t="s">
        <v>2193</v>
      </c>
      <c r="AC2261" s="8"/>
      <c r="AD2261" s="12" t="s">
        <v>52</v>
      </c>
      <c r="AE2261" s="39" t="str">
        <f t="shared" si="243"/>
        <v>8331</v>
      </c>
      <c r="AF2261" s="12"/>
      <c r="AG2261" s="12"/>
      <c r="AH2261" s="12"/>
      <c r="AI2261" s="12"/>
      <c r="AJ2261" s="12"/>
      <c r="AK2261" s="12"/>
      <c r="AL2261" s="12"/>
      <c r="AM2261" s="12"/>
      <c r="AN2261" s="34" t="s">
        <v>2792</v>
      </c>
      <c r="AO2261" s="12"/>
      <c r="AP2261" s="12"/>
      <c r="AQ2261" s="8"/>
      <c r="AR2261" s="34">
        <v>1</v>
      </c>
      <c r="AS2261" s="34">
        <v>1</v>
      </c>
      <c r="AT2261" s="8"/>
      <c r="AU2261" s="12" t="s">
        <v>1982</v>
      </c>
      <c r="AW2261" s="36">
        <v>5</v>
      </c>
      <c r="AX2261" s="33">
        <f>VLOOKUP(AW2261,색인!$N$14:$O$19,2,FALSE)</f>
        <v>3</v>
      </c>
      <c r="AY2261" s="36" t="str">
        <f>"T"&amp;O2261&amp;"_"&amp;AX2261&amp;"옵션_"&amp;VLOOKUP(E2261,색인!$J$25:$K$29,2,FALSE)</f>
        <v>T8_3옵션_장신구</v>
      </c>
      <c r="AZ2261" s="36">
        <f>VLOOKUP(G2261,색인!$J$32:$K$45,2,FALSE)</f>
        <v>2</v>
      </c>
      <c r="BA2261" s="36" t="str">
        <f>_xlfn.IFNA(VLOOKUP(AY2261,표1[[검색용]:[OptionGroupIndex'[']22]],EquipItemTable!AZ2261,FALSE),"옵션고정안함")</f>
        <v>8331</v>
      </c>
    </row>
    <row r="2262" spans="1:53" s="33" customFormat="1" ht="12" customHeight="1" x14ac:dyDescent="0.2">
      <c r="A2262" s="31" t="s">
        <v>2748</v>
      </c>
      <c r="B2262" s="39">
        <v>807022</v>
      </c>
      <c r="C2262" s="42" t="s">
        <v>3652</v>
      </c>
      <c r="D2262" s="86" t="s">
        <v>2955</v>
      </c>
      <c r="E2262" s="86" t="s">
        <v>1</v>
      </c>
      <c r="F2262" s="32" t="s">
        <v>480</v>
      </c>
      <c r="G2262" s="32" t="s">
        <v>1453</v>
      </c>
      <c r="H2262" s="32"/>
      <c r="I2262" s="32"/>
      <c r="J2262" s="32"/>
      <c r="K2262" s="32"/>
      <c r="L2262" s="32"/>
      <c r="M2262" s="32"/>
      <c r="N2262" s="8"/>
      <c r="O2262" s="32">
        <v>8</v>
      </c>
      <c r="P2262" s="32">
        <v>81</v>
      </c>
      <c r="Q2262" s="1"/>
      <c r="R2262" s="1"/>
      <c r="S2262" s="1"/>
      <c r="T2262" s="1"/>
      <c r="U2262" s="1"/>
      <c r="V2262" s="1"/>
      <c r="W2262" s="1" t="s">
        <v>2193</v>
      </c>
      <c r="X2262" s="1" t="s">
        <v>2193</v>
      </c>
      <c r="Y2262" s="1" t="s">
        <v>2193</v>
      </c>
      <c r="Z2262" s="1" t="s">
        <v>2193</v>
      </c>
      <c r="AA2262" s="1">
        <v>4288</v>
      </c>
      <c r="AB2262" s="1" t="s">
        <v>2193</v>
      </c>
      <c r="AC2262" s="8"/>
      <c r="AD2262" s="12" t="s">
        <v>52</v>
      </c>
      <c r="AE2262" s="39" t="str">
        <f t="shared" si="243"/>
        <v>8111,8112</v>
      </c>
      <c r="AF2262" s="12"/>
      <c r="AG2262" s="12"/>
      <c r="AH2262" s="12"/>
      <c r="AI2262" s="12"/>
      <c r="AJ2262" s="12"/>
      <c r="AK2262" s="12"/>
      <c r="AL2262" s="12"/>
      <c r="AM2262" s="12"/>
      <c r="AN2262" s="34"/>
      <c r="AO2262" s="12"/>
      <c r="AP2262" s="12"/>
      <c r="AQ2262" s="8"/>
      <c r="AR2262" s="34">
        <v>1</v>
      </c>
      <c r="AS2262" s="34">
        <v>1</v>
      </c>
      <c r="AT2262" s="8"/>
      <c r="AU2262" s="12" t="s">
        <v>1976</v>
      </c>
      <c r="AW2262" s="36">
        <v>2</v>
      </c>
      <c r="AX2262" s="33">
        <f>VLOOKUP(AW2262,색인!$N$14:$O$19,2,FALSE)</f>
        <v>1</v>
      </c>
      <c r="AY2262" s="36" t="str">
        <f>"T"&amp;O2262&amp;"_"&amp;AX2262&amp;"옵션_"&amp;VLOOKUP(E2262,색인!$J$25:$K$29,2,FALSE)</f>
        <v>T8_1옵션_방어구</v>
      </c>
      <c r="AZ2262" s="36">
        <f>VLOOKUP(G2262,색인!$J$32:$K$45,2,FALSE)</f>
        <v>4</v>
      </c>
      <c r="BA2262" s="36" t="str">
        <f>_xlfn.IFNA(VLOOKUP(AY2262,표1[[검색용]:[OptionGroupIndex'[']22]],EquipItemTable!AZ2262,FALSE),"옵션고정안함")</f>
        <v>8111,8112</v>
      </c>
    </row>
    <row r="2263" spans="1:53" s="33" customFormat="1" ht="12" customHeight="1" x14ac:dyDescent="0.2">
      <c r="A2263" s="31" t="s">
        <v>2749</v>
      </c>
      <c r="B2263" s="39">
        <v>807023</v>
      </c>
      <c r="C2263" s="42" t="s">
        <v>3653</v>
      </c>
      <c r="D2263" s="86" t="s">
        <v>2955</v>
      </c>
      <c r="E2263" s="86" t="s">
        <v>1</v>
      </c>
      <c r="F2263" s="32" t="s">
        <v>480</v>
      </c>
      <c r="G2263" s="32" t="s">
        <v>1453</v>
      </c>
      <c r="H2263" s="32"/>
      <c r="I2263" s="32"/>
      <c r="J2263" s="32"/>
      <c r="K2263" s="32"/>
      <c r="L2263" s="32"/>
      <c r="M2263" s="32"/>
      <c r="N2263" s="8"/>
      <c r="O2263" s="32">
        <v>8</v>
      </c>
      <c r="P2263" s="32">
        <v>81</v>
      </c>
      <c r="Q2263" s="1"/>
      <c r="R2263" s="1"/>
      <c r="S2263" s="1"/>
      <c r="T2263" s="1"/>
      <c r="U2263" s="1"/>
      <c r="V2263" s="1"/>
      <c r="W2263" s="1" t="s">
        <v>2193</v>
      </c>
      <c r="X2263" s="1" t="s">
        <v>2193</v>
      </c>
      <c r="Y2263" s="1" t="s">
        <v>2193</v>
      </c>
      <c r="Z2263" s="1" t="s">
        <v>2193</v>
      </c>
      <c r="AA2263" s="1">
        <v>4563</v>
      </c>
      <c r="AB2263" s="1" t="s">
        <v>2193</v>
      </c>
      <c r="AC2263" s="8"/>
      <c r="AD2263" s="12" t="s">
        <v>52</v>
      </c>
      <c r="AE2263" s="39" t="str">
        <f t="shared" si="243"/>
        <v>8211,8212</v>
      </c>
      <c r="AF2263" s="12"/>
      <c r="AG2263" s="12"/>
      <c r="AH2263" s="12"/>
      <c r="AI2263" s="12"/>
      <c r="AJ2263" s="12"/>
      <c r="AK2263" s="12"/>
      <c r="AL2263" s="12"/>
      <c r="AM2263" s="12"/>
      <c r="AN2263" s="34"/>
      <c r="AO2263" s="12"/>
      <c r="AP2263" s="12"/>
      <c r="AQ2263" s="8"/>
      <c r="AR2263" s="34">
        <v>1</v>
      </c>
      <c r="AS2263" s="34">
        <v>1</v>
      </c>
      <c r="AT2263" s="8"/>
      <c r="AU2263" s="12" t="s">
        <v>1978</v>
      </c>
      <c r="AW2263" s="36">
        <v>3</v>
      </c>
      <c r="AX2263" s="33">
        <f>VLOOKUP(AW2263,색인!$N$14:$O$19,2,FALSE)</f>
        <v>2</v>
      </c>
      <c r="AY2263" s="36" t="str">
        <f>"T"&amp;O2263&amp;"_"&amp;AX2263&amp;"옵션_"&amp;VLOOKUP(E2263,색인!$J$25:$K$29,2,FALSE)</f>
        <v>T8_2옵션_방어구</v>
      </c>
      <c r="AZ2263" s="36">
        <f>VLOOKUP(G2263,색인!$J$32:$K$45,2,FALSE)</f>
        <v>4</v>
      </c>
      <c r="BA2263" s="36" t="str">
        <f>_xlfn.IFNA(VLOOKUP(AY2263,표1[[검색용]:[OptionGroupIndex'[']22]],EquipItemTable!AZ2263,FALSE),"옵션고정안함")</f>
        <v>8211,8212</v>
      </c>
    </row>
    <row r="2264" spans="1:53" s="33" customFormat="1" ht="12" customHeight="1" x14ac:dyDescent="0.2">
      <c r="A2264" s="31" t="s">
        <v>2750</v>
      </c>
      <c r="B2264" s="39">
        <v>807024</v>
      </c>
      <c r="C2264" s="42" t="s">
        <v>3666</v>
      </c>
      <c r="D2264" s="86" t="s">
        <v>2955</v>
      </c>
      <c r="E2264" s="86" t="s">
        <v>1</v>
      </c>
      <c r="F2264" s="32" t="s">
        <v>480</v>
      </c>
      <c r="G2264" s="32" t="s">
        <v>1453</v>
      </c>
      <c r="H2264" s="32"/>
      <c r="I2264" s="32"/>
      <c r="J2264" s="32"/>
      <c r="K2264" s="32"/>
      <c r="L2264" s="32"/>
      <c r="M2264" s="32"/>
      <c r="N2264" s="8"/>
      <c r="O2264" s="32">
        <v>8</v>
      </c>
      <c r="P2264" s="32">
        <v>81</v>
      </c>
      <c r="Q2264" s="1"/>
      <c r="R2264" s="1"/>
      <c r="S2264" s="1"/>
      <c r="T2264" s="1"/>
      <c r="U2264" s="1"/>
      <c r="V2264" s="1"/>
      <c r="W2264" s="1" t="s">
        <v>2193</v>
      </c>
      <c r="X2264" s="1" t="s">
        <v>2193</v>
      </c>
      <c r="Y2264" s="1" t="s">
        <v>2193</v>
      </c>
      <c r="Z2264" s="1" t="s">
        <v>2193</v>
      </c>
      <c r="AA2264" s="1">
        <v>4850</v>
      </c>
      <c r="AB2264" s="1" t="s">
        <v>2193</v>
      </c>
      <c r="AC2264" s="8"/>
      <c r="AD2264" s="12" t="s">
        <v>52</v>
      </c>
      <c r="AE2264" s="39" t="str">
        <f t="shared" si="243"/>
        <v>8311,8312</v>
      </c>
      <c r="AF2264" s="12"/>
      <c r="AG2264" s="12"/>
      <c r="AH2264" s="12"/>
      <c r="AI2264" s="12"/>
      <c r="AJ2264" s="12"/>
      <c r="AK2264" s="12"/>
      <c r="AL2264" s="12"/>
      <c r="AM2264" s="12"/>
      <c r="AN2264" s="34"/>
      <c r="AO2264" s="12"/>
      <c r="AP2264" s="12"/>
      <c r="AQ2264" s="8"/>
      <c r="AR2264" s="34">
        <v>1</v>
      </c>
      <c r="AS2264" s="34">
        <v>1</v>
      </c>
      <c r="AT2264" s="8"/>
      <c r="AU2264" s="12" t="s">
        <v>1980</v>
      </c>
      <c r="AW2264" s="36">
        <v>4</v>
      </c>
      <c r="AX2264" s="33">
        <f>VLOOKUP(AW2264,색인!$N$14:$O$19,2,FALSE)</f>
        <v>3</v>
      </c>
      <c r="AY2264" s="36" t="str">
        <f>"T"&amp;O2264&amp;"_"&amp;AX2264&amp;"옵션_"&amp;VLOOKUP(E2264,색인!$J$25:$K$29,2,FALSE)</f>
        <v>T8_3옵션_방어구</v>
      </c>
      <c r="AZ2264" s="36">
        <f>VLOOKUP(G2264,색인!$J$32:$K$45,2,FALSE)</f>
        <v>4</v>
      </c>
      <c r="BA2264" s="36" t="str">
        <f>_xlfn.IFNA(VLOOKUP(AY2264,표1[[검색용]:[OptionGroupIndex'[']22]],EquipItemTable!AZ2264,FALSE),"옵션고정안함")</f>
        <v>8311,8312</v>
      </c>
    </row>
    <row r="2265" spans="1:53" s="33" customFormat="1" ht="12" customHeight="1" x14ac:dyDescent="0.2">
      <c r="A2265" s="31" t="s">
        <v>2751</v>
      </c>
      <c r="B2265" s="39">
        <v>807025</v>
      </c>
      <c r="C2265" s="42" t="s">
        <v>4324</v>
      </c>
      <c r="D2265" s="86" t="s">
        <v>2955</v>
      </c>
      <c r="E2265" s="86" t="s">
        <v>1</v>
      </c>
      <c r="F2265" s="32" t="s">
        <v>480</v>
      </c>
      <c r="G2265" s="32" t="s">
        <v>1453</v>
      </c>
      <c r="H2265" s="32"/>
      <c r="I2265" s="32"/>
      <c r="J2265" s="32"/>
      <c r="K2265" s="32"/>
      <c r="L2265" s="32"/>
      <c r="M2265" s="32"/>
      <c r="N2265" s="8"/>
      <c r="O2265" s="32">
        <v>8</v>
      </c>
      <c r="P2265" s="32">
        <v>81</v>
      </c>
      <c r="Q2265" s="1"/>
      <c r="R2265" s="1"/>
      <c r="S2265" s="1"/>
      <c r="T2265" s="1"/>
      <c r="U2265" s="1"/>
      <c r="V2265" s="1"/>
      <c r="W2265" s="1" t="s">
        <v>2193</v>
      </c>
      <c r="X2265" s="1" t="s">
        <v>2193</v>
      </c>
      <c r="Y2265" s="1" t="s">
        <v>2193</v>
      </c>
      <c r="Z2265" s="1" t="s">
        <v>2193</v>
      </c>
      <c r="AA2265" s="1">
        <v>5089</v>
      </c>
      <c r="AB2265" s="1" t="s">
        <v>2193</v>
      </c>
      <c r="AC2265" s="8"/>
      <c r="AD2265" s="12" t="s">
        <v>52</v>
      </c>
      <c r="AE2265" s="39" t="str">
        <f t="shared" si="243"/>
        <v>8311,8312</v>
      </c>
      <c r="AF2265" s="12"/>
      <c r="AG2265" s="12"/>
      <c r="AH2265" s="12"/>
      <c r="AI2265" s="12"/>
      <c r="AJ2265" s="12"/>
      <c r="AK2265" s="12"/>
      <c r="AL2265" s="12"/>
      <c r="AM2265" s="12"/>
      <c r="AN2265" s="34" t="s">
        <v>2792</v>
      </c>
      <c r="AO2265" s="12"/>
      <c r="AP2265" s="12"/>
      <c r="AQ2265" s="8"/>
      <c r="AR2265" s="34">
        <v>1</v>
      </c>
      <c r="AS2265" s="34">
        <v>1</v>
      </c>
      <c r="AT2265" s="8"/>
      <c r="AU2265" s="12" t="s">
        <v>1982</v>
      </c>
      <c r="AW2265" s="36">
        <v>5</v>
      </c>
      <c r="AX2265" s="33">
        <f>VLOOKUP(AW2265,색인!$N$14:$O$19,2,FALSE)</f>
        <v>3</v>
      </c>
      <c r="AY2265" s="36" t="str">
        <f>"T"&amp;O2265&amp;"_"&amp;AX2265&amp;"옵션_"&amp;VLOOKUP(E2265,색인!$J$25:$K$29,2,FALSE)</f>
        <v>T8_3옵션_방어구</v>
      </c>
      <c r="AZ2265" s="36">
        <f>VLOOKUP(G2265,색인!$J$32:$K$45,2,FALSE)</f>
        <v>4</v>
      </c>
      <c r="BA2265" s="36" t="str">
        <f>_xlfn.IFNA(VLOOKUP(AY2265,표1[[검색용]:[OptionGroupIndex'[']22]],EquipItemTable!AZ2265,FALSE),"옵션고정안함")</f>
        <v>8311,8312</v>
      </c>
    </row>
    <row r="2266" spans="1:53" s="33" customFormat="1" ht="12" customHeight="1" x14ac:dyDescent="0.2">
      <c r="A2266" s="31" t="s">
        <v>2752</v>
      </c>
      <c r="B2266" s="39">
        <v>808022</v>
      </c>
      <c r="C2266" s="42" t="s">
        <v>3688</v>
      </c>
      <c r="D2266" s="86" t="s">
        <v>2955</v>
      </c>
      <c r="E2266" s="86" t="s">
        <v>1</v>
      </c>
      <c r="F2266" s="32" t="s">
        <v>311</v>
      </c>
      <c r="G2266" s="32" t="s">
        <v>1472</v>
      </c>
      <c r="H2266" s="32"/>
      <c r="I2266" s="32"/>
      <c r="J2266" s="32"/>
      <c r="K2266" s="32"/>
      <c r="L2266" s="32"/>
      <c r="M2266" s="32"/>
      <c r="N2266" s="8"/>
      <c r="O2266" s="32">
        <v>8</v>
      </c>
      <c r="P2266" s="32">
        <v>81</v>
      </c>
      <c r="Q2266" s="1"/>
      <c r="R2266" s="1"/>
      <c r="S2266" s="1"/>
      <c r="T2266" s="1"/>
      <c r="U2266" s="1"/>
      <c r="V2266" s="1"/>
      <c r="W2266" s="1" t="s">
        <v>2193</v>
      </c>
      <c r="X2266" s="1" t="s">
        <v>2193</v>
      </c>
      <c r="Y2266" s="1" t="s">
        <v>2193</v>
      </c>
      <c r="Z2266" s="1" t="s">
        <v>2193</v>
      </c>
      <c r="AA2266" s="1">
        <v>2860</v>
      </c>
      <c r="AB2266" s="1" t="s">
        <v>2193</v>
      </c>
      <c r="AC2266" s="8"/>
      <c r="AD2266" s="12" t="s">
        <v>52</v>
      </c>
      <c r="AE2266" s="39" t="str">
        <f t="shared" si="243"/>
        <v>8111</v>
      </c>
      <c r="AF2266" s="12"/>
      <c r="AG2266" s="12"/>
      <c r="AH2266" s="12"/>
      <c r="AI2266" s="12"/>
      <c r="AJ2266" s="12"/>
      <c r="AK2266" s="12"/>
      <c r="AL2266" s="12"/>
      <c r="AM2266" s="12"/>
      <c r="AN2266" s="34"/>
      <c r="AO2266" s="12"/>
      <c r="AP2266" s="12"/>
      <c r="AQ2266" s="8"/>
      <c r="AR2266" s="34">
        <v>1</v>
      </c>
      <c r="AS2266" s="34">
        <v>1</v>
      </c>
      <c r="AT2266" s="8"/>
      <c r="AU2266" s="12" t="s">
        <v>1976</v>
      </c>
      <c r="AW2266" s="36">
        <v>2</v>
      </c>
      <c r="AX2266" s="33">
        <f>VLOOKUP(AW2266,색인!$N$14:$O$19,2,FALSE)</f>
        <v>1</v>
      </c>
      <c r="AY2266" s="36" t="str">
        <f>"T"&amp;O2266&amp;"_"&amp;AX2266&amp;"옵션_"&amp;VLOOKUP(E2266,색인!$J$25:$K$29,2,FALSE)</f>
        <v>T8_1옵션_방어구</v>
      </c>
      <c r="AZ2266" s="36">
        <f>VLOOKUP(G2266,색인!$J$32:$K$45,2,FALSE)</f>
        <v>2</v>
      </c>
      <c r="BA2266" s="36" t="str">
        <f>_xlfn.IFNA(VLOOKUP(AY2266,표1[[검색용]:[OptionGroupIndex'[']22]],EquipItemTable!AZ2266,FALSE),"옵션고정안함")</f>
        <v>8111</v>
      </c>
    </row>
    <row r="2267" spans="1:53" s="33" customFormat="1" ht="12" customHeight="1" x14ac:dyDescent="0.2">
      <c r="A2267" s="31" t="s">
        <v>2753</v>
      </c>
      <c r="B2267" s="39">
        <v>808023</v>
      </c>
      <c r="C2267" s="42" t="s">
        <v>3674</v>
      </c>
      <c r="D2267" s="86" t="s">
        <v>2955</v>
      </c>
      <c r="E2267" s="86" t="s">
        <v>1</v>
      </c>
      <c r="F2267" s="32" t="s">
        <v>311</v>
      </c>
      <c r="G2267" s="32" t="s">
        <v>1472</v>
      </c>
      <c r="H2267" s="32"/>
      <c r="I2267" s="32"/>
      <c r="J2267" s="32"/>
      <c r="K2267" s="32"/>
      <c r="L2267" s="32"/>
      <c r="M2267" s="32"/>
      <c r="N2267" s="8"/>
      <c r="O2267" s="32">
        <v>8</v>
      </c>
      <c r="P2267" s="32">
        <v>81</v>
      </c>
      <c r="Q2267" s="1"/>
      <c r="R2267" s="1"/>
      <c r="S2267" s="1"/>
      <c r="T2267" s="1"/>
      <c r="U2267" s="1"/>
      <c r="V2267" s="1"/>
      <c r="W2267" s="1" t="s">
        <v>2193</v>
      </c>
      <c r="X2267" s="1" t="s">
        <v>2193</v>
      </c>
      <c r="Y2267" s="1" t="s">
        <v>2193</v>
      </c>
      <c r="Z2267" s="1" t="s">
        <v>2193</v>
      </c>
      <c r="AA2267" s="1">
        <v>3042</v>
      </c>
      <c r="AB2267" s="1" t="s">
        <v>2193</v>
      </c>
      <c r="AC2267" s="8"/>
      <c r="AD2267" s="12" t="s">
        <v>52</v>
      </c>
      <c r="AE2267" s="39" t="str">
        <f t="shared" si="243"/>
        <v>8211</v>
      </c>
      <c r="AF2267" s="12"/>
      <c r="AG2267" s="12"/>
      <c r="AH2267" s="12"/>
      <c r="AI2267" s="12"/>
      <c r="AJ2267" s="12"/>
      <c r="AK2267" s="12"/>
      <c r="AL2267" s="12"/>
      <c r="AM2267" s="12"/>
      <c r="AN2267" s="34"/>
      <c r="AO2267" s="12"/>
      <c r="AP2267" s="12"/>
      <c r="AQ2267" s="8"/>
      <c r="AR2267" s="34">
        <v>1</v>
      </c>
      <c r="AS2267" s="34">
        <v>1</v>
      </c>
      <c r="AT2267" s="8"/>
      <c r="AU2267" s="12" t="s">
        <v>1978</v>
      </c>
      <c r="AW2267" s="36">
        <v>3</v>
      </c>
      <c r="AX2267" s="33">
        <f>VLOOKUP(AW2267,색인!$N$14:$O$19,2,FALSE)</f>
        <v>2</v>
      </c>
      <c r="AY2267" s="36" t="str">
        <f>"T"&amp;O2267&amp;"_"&amp;AX2267&amp;"옵션_"&amp;VLOOKUP(E2267,색인!$J$25:$K$29,2,FALSE)</f>
        <v>T8_2옵션_방어구</v>
      </c>
      <c r="AZ2267" s="36">
        <f>VLOOKUP(G2267,색인!$J$32:$K$45,2,FALSE)</f>
        <v>2</v>
      </c>
      <c r="BA2267" s="36" t="str">
        <f>_xlfn.IFNA(VLOOKUP(AY2267,표1[[검색용]:[OptionGroupIndex'[']22]],EquipItemTable!AZ2267,FALSE),"옵션고정안함")</f>
        <v>8211</v>
      </c>
    </row>
    <row r="2268" spans="1:53" s="33" customFormat="1" ht="12" customHeight="1" x14ac:dyDescent="0.2">
      <c r="A2268" s="31" t="s">
        <v>2754</v>
      </c>
      <c r="B2268" s="39">
        <v>808024</v>
      </c>
      <c r="C2268" s="42" t="s">
        <v>3675</v>
      </c>
      <c r="D2268" s="86" t="s">
        <v>2955</v>
      </c>
      <c r="E2268" s="86" t="s">
        <v>1</v>
      </c>
      <c r="F2268" s="32" t="s">
        <v>311</v>
      </c>
      <c r="G2268" s="32" t="s">
        <v>1472</v>
      </c>
      <c r="H2268" s="32"/>
      <c r="I2268" s="32"/>
      <c r="J2268" s="32"/>
      <c r="K2268" s="32"/>
      <c r="L2268" s="32"/>
      <c r="M2268" s="32"/>
      <c r="N2268" s="8"/>
      <c r="O2268" s="32">
        <v>8</v>
      </c>
      <c r="P2268" s="32">
        <v>81</v>
      </c>
      <c r="Q2268" s="1"/>
      <c r="R2268" s="1"/>
      <c r="S2268" s="1"/>
      <c r="T2268" s="1"/>
      <c r="U2268" s="1"/>
      <c r="V2268" s="1"/>
      <c r="W2268" s="1" t="s">
        <v>2193</v>
      </c>
      <c r="X2268" s="1" t="s">
        <v>2193</v>
      </c>
      <c r="Y2268" s="1" t="s">
        <v>2193</v>
      </c>
      <c r="Z2268" s="1" t="s">
        <v>2193</v>
      </c>
      <c r="AA2268" s="1">
        <v>3234</v>
      </c>
      <c r="AB2268" s="1" t="s">
        <v>2193</v>
      </c>
      <c r="AC2268" s="8"/>
      <c r="AD2268" s="12" t="s">
        <v>52</v>
      </c>
      <c r="AE2268" s="39" t="str">
        <f t="shared" si="243"/>
        <v>8311</v>
      </c>
      <c r="AF2268" s="12"/>
      <c r="AG2268" s="12"/>
      <c r="AH2268" s="12"/>
      <c r="AI2268" s="12"/>
      <c r="AJ2268" s="12"/>
      <c r="AK2268" s="12"/>
      <c r="AL2268" s="12"/>
      <c r="AM2268" s="12"/>
      <c r="AN2268" s="34"/>
      <c r="AO2268" s="12"/>
      <c r="AP2268" s="12"/>
      <c r="AQ2268" s="8"/>
      <c r="AR2268" s="34">
        <v>1</v>
      </c>
      <c r="AS2268" s="34">
        <v>1</v>
      </c>
      <c r="AT2268" s="8"/>
      <c r="AU2268" s="12" t="s">
        <v>1980</v>
      </c>
      <c r="AW2268" s="36">
        <v>4</v>
      </c>
      <c r="AX2268" s="33">
        <f>VLOOKUP(AW2268,색인!$N$14:$O$19,2,FALSE)</f>
        <v>3</v>
      </c>
      <c r="AY2268" s="36" t="str">
        <f>"T"&amp;O2268&amp;"_"&amp;AX2268&amp;"옵션_"&amp;VLOOKUP(E2268,색인!$J$25:$K$29,2,FALSE)</f>
        <v>T8_3옵션_방어구</v>
      </c>
      <c r="AZ2268" s="36">
        <f>VLOOKUP(G2268,색인!$J$32:$K$45,2,FALSE)</f>
        <v>2</v>
      </c>
      <c r="BA2268" s="36" t="str">
        <f>_xlfn.IFNA(VLOOKUP(AY2268,표1[[검색용]:[OptionGroupIndex'[']22]],EquipItemTable!AZ2268,FALSE),"옵션고정안함")</f>
        <v>8311</v>
      </c>
    </row>
    <row r="2269" spans="1:53" s="33" customFormat="1" ht="12" customHeight="1" x14ac:dyDescent="0.2">
      <c r="A2269" s="31" t="s">
        <v>2755</v>
      </c>
      <c r="B2269" s="39">
        <v>808025</v>
      </c>
      <c r="C2269" s="42" t="s">
        <v>4325</v>
      </c>
      <c r="D2269" s="86" t="s">
        <v>2955</v>
      </c>
      <c r="E2269" s="86" t="s">
        <v>1</v>
      </c>
      <c r="F2269" s="32" t="s">
        <v>311</v>
      </c>
      <c r="G2269" s="32" t="s">
        <v>1472</v>
      </c>
      <c r="H2269" s="32"/>
      <c r="I2269" s="32"/>
      <c r="J2269" s="32"/>
      <c r="K2269" s="32"/>
      <c r="L2269" s="32"/>
      <c r="M2269" s="32"/>
      <c r="N2269" s="8"/>
      <c r="O2269" s="32">
        <v>8</v>
      </c>
      <c r="P2269" s="32">
        <v>81</v>
      </c>
      <c r="Q2269" s="1"/>
      <c r="R2269" s="1"/>
      <c r="S2269" s="1"/>
      <c r="T2269" s="1"/>
      <c r="U2269" s="1"/>
      <c r="V2269" s="1"/>
      <c r="W2269" s="1" t="s">
        <v>2193</v>
      </c>
      <c r="X2269" s="1" t="s">
        <v>2193</v>
      </c>
      <c r="Y2269" s="1" t="s">
        <v>2193</v>
      </c>
      <c r="Z2269" s="1" t="s">
        <v>2193</v>
      </c>
      <c r="AA2269" s="1">
        <v>3392</v>
      </c>
      <c r="AB2269" s="1" t="s">
        <v>2193</v>
      </c>
      <c r="AC2269" s="8"/>
      <c r="AD2269" s="12" t="s">
        <v>52</v>
      </c>
      <c r="AE2269" s="39" t="str">
        <f t="shared" si="243"/>
        <v>8311</v>
      </c>
      <c r="AF2269" s="12"/>
      <c r="AG2269" s="12"/>
      <c r="AH2269" s="12"/>
      <c r="AI2269" s="12"/>
      <c r="AJ2269" s="12"/>
      <c r="AK2269" s="12"/>
      <c r="AL2269" s="12"/>
      <c r="AM2269" s="12"/>
      <c r="AN2269" s="34" t="s">
        <v>2792</v>
      </c>
      <c r="AO2269" s="12"/>
      <c r="AP2269" s="12"/>
      <c r="AQ2269" s="8"/>
      <c r="AR2269" s="34">
        <v>1</v>
      </c>
      <c r="AS2269" s="34">
        <v>1</v>
      </c>
      <c r="AT2269" s="8"/>
      <c r="AU2269" s="12" t="s">
        <v>1982</v>
      </c>
      <c r="AW2269" s="36">
        <v>5</v>
      </c>
      <c r="AX2269" s="33">
        <f>VLOOKUP(AW2269,색인!$N$14:$O$19,2,FALSE)</f>
        <v>3</v>
      </c>
      <c r="AY2269" s="36" t="str">
        <f>"T"&amp;O2269&amp;"_"&amp;AX2269&amp;"옵션_"&amp;VLOOKUP(E2269,색인!$J$25:$K$29,2,FALSE)</f>
        <v>T8_3옵션_방어구</v>
      </c>
      <c r="AZ2269" s="36">
        <f>VLOOKUP(G2269,색인!$J$32:$K$45,2,FALSE)</f>
        <v>2</v>
      </c>
      <c r="BA2269" s="36" t="str">
        <f>_xlfn.IFNA(VLOOKUP(AY2269,표1[[검색용]:[OptionGroupIndex'[']22]],EquipItemTable!AZ2269,FALSE),"옵션고정안함")</f>
        <v>8311</v>
      </c>
    </row>
    <row r="2270" spans="1:53" s="33" customFormat="1" ht="12" customHeight="1" x14ac:dyDescent="0.2">
      <c r="A2270" s="31" t="s">
        <v>2756</v>
      </c>
      <c r="B2270" s="39">
        <v>809022</v>
      </c>
      <c r="C2270" s="42" t="s">
        <v>3725</v>
      </c>
      <c r="D2270" s="86" t="s">
        <v>2955</v>
      </c>
      <c r="E2270" s="86" t="s">
        <v>1</v>
      </c>
      <c r="F2270" s="32" t="s">
        <v>471</v>
      </c>
      <c r="G2270" s="32" t="s">
        <v>1491</v>
      </c>
      <c r="H2270" s="32"/>
      <c r="I2270" s="32"/>
      <c r="J2270" s="32"/>
      <c r="K2270" s="32"/>
      <c r="L2270" s="32"/>
      <c r="M2270" s="32"/>
      <c r="N2270" s="8"/>
      <c r="O2270" s="32">
        <v>8</v>
      </c>
      <c r="P2270" s="32">
        <v>81</v>
      </c>
      <c r="Q2270" s="1"/>
      <c r="R2270" s="1"/>
      <c r="S2270" s="1"/>
      <c r="T2270" s="1"/>
      <c r="U2270" s="1"/>
      <c r="V2270" s="1"/>
      <c r="W2270" s="1" t="s">
        <v>2193</v>
      </c>
      <c r="X2270" s="1" t="s">
        <v>2193</v>
      </c>
      <c r="Y2270" s="1" t="s">
        <v>2193</v>
      </c>
      <c r="Z2270" s="1" t="s">
        <v>2193</v>
      </c>
      <c r="AA2270" s="1">
        <v>1432</v>
      </c>
      <c r="AB2270" s="1" t="s">
        <v>2193</v>
      </c>
      <c r="AC2270" s="8"/>
      <c r="AD2270" s="12" t="s">
        <v>52</v>
      </c>
      <c r="AE2270" s="39" t="str">
        <f t="shared" ref="AE2270:AE2305" si="244">BA2270</f>
        <v>8111</v>
      </c>
      <c r="AF2270" s="12"/>
      <c r="AG2270" s="12"/>
      <c r="AH2270" s="12"/>
      <c r="AI2270" s="12"/>
      <c r="AJ2270" s="12"/>
      <c r="AK2270" s="12"/>
      <c r="AL2270" s="12"/>
      <c r="AM2270" s="12"/>
      <c r="AN2270" s="34"/>
      <c r="AO2270" s="12"/>
      <c r="AP2270" s="12"/>
      <c r="AQ2270" s="8"/>
      <c r="AR2270" s="34">
        <v>1</v>
      </c>
      <c r="AS2270" s="34">
        <v>1</v>
      </c>
      <c r="AT2270" s="8"/>
      <c r="AU2270" s="12" t="s">
        <v>1976</v>
      </c>
      <c r="AW2270" s="36">
        <v>2</v>
      </c>
      <c r="AX2270" s="33">
        <f>VLOOKUP(AW2270,색인!$N$14:$O$19,2,FALSE)</f>
        <v>1</v>
      </c>
      <c r="AY2270" s="36" t="str">
        <f>"T"&amp;O2270&amp;"_"&amp;AX2270&amp;"옵션_"&amp;VLOOKUP(E2270,색인!$J$25:$K$29,2,FALSE)</f>
        <v>T8_1옵션_방어구</v>
      </c>
      <c r="AZ2270" s="36">
        <f>VLOOKUP(G2270,색인!$J$32:$K$45,2,FALSE)</f>
        <v>2</v>
      </c>
      <c r="BA2270" s="36" t="str">
        <f>_xlfn.IFNA(VLOOKUP(AY2270,표1[[검색용]:[OptionGroupIndex'[']22]],EquipItemTable!AZ2270,FALSE),"옵션고정안함")</f>
        <v>8111</v>
      </c>
    </row>
    <row r="2271" spans="1:53" s="33" customFormat="1" ht="12" customHeight="1" x14ac:dyDescent="0.2">
      <c r="A2271" s="31" t="s">
        <v>2757</v>
      </c>
      <c r="B2271" s="39">
        <v>809023</v>
      </c>
      <c r="C2271" s="42" t="s">
        <v>3722</v>
      </c>
      <c r="D2271" s="86" t="s">
        <v>2955</v>
      </c>
      <c r="E2271" s="86" t="s">
        <v>1</v>
      </c>
      <c r="F2271" s="32" t="s">
        <v>471</v>
      </c>
      <c r="G2271" s="32" t="s">
        <v>1491</v>
      </c>
      <c r="H2271" s="32"/>
      <c r="I2271" s="32"/>
      <c r="J2271" s="32"/>
      <c r="K2271" s="32"/>
      <c r="L2271" s="32"/>
      <c r="M2271" s="32"/>
      <c r="N2271" s="8"/>
      <c r="O2271" s="32">
        <v>8</v>
      </c>
      <c r="P2271" s="32">
        <v>81</v>
      </c>
      <c r="Q2271" s="1"/>
      <c r="R2271" s="1"/>
      <c r="S2271" s="1"/>
      <c r="T2271" s="1"/>
      <c r="U2271" s="1"/>
      <c r="V2271" s="1"/>
      <c r="W2271" s="1" t="s">
        <v>2193</v>
      </c>
      <c r="X2271" s="1" t="s">
        <v>2193</v>
      </c>
      <c r="Y2271" s="1" t="s">
        <v>2193</v>
      </c>
      <c r="Z2271" s="1" t="s">
        <v>2193</v>
      </c>
      <c r="AA2271" s="1">
        <v>1521</v>
      </c>
      <c r="AB2271" s="1" t="s">
        <v>2193</v>
      </c>
      <c r="AC2271" s="8"/>
      <c r="AD2271" s="12" t="s">
        <v>52</v>
      </c>
      <c r="AE2271" s="39" t="str">
        <f t="shared" si="244"/>
        <v>8211</v>
      </c>
      <c r="AF2271" s="12"/>
      <c r="AG2271" s="12"/>
      <c r="AH2271" s="12"/>
      <c r="AI2271" s="12"/>
      <c r="AJ2271" s="12"/>
      <c r="AK2271" s="12"/>
      <c r="AL2271" s="12"/>
      <c r="AM2271" s="12"/>
      <c r="AN2271" s="34"/>
      <c r="AO2271" s="12"/>
      <c r="AP2271" s="12"/>
      <c r="AQ2271" s="8"/>
      <c r="AR2271" s="34">
        <v>1</v>
      </c>
      <c r="AS2271" s="34">
        <v>1</v>
      </c>
      <c r="AT2271" s="8"/>
      <c r="AU2271" s="12" t="s">
        <v>1978</v>
      </c>
      <c r="AW2271" s="36">
        <v>3</v>
      </c>
      <c r="AX2271" s="33">
        <f>VLOOKUP(AW2271,색인!$N$14:$O$19,2,FALSE)</f>
        <v>2</v>
      </c>
      <c r="AY2271" s="36" t="str">
        <f>"T"&amp;O2271&amp;"_"&amp;AX2271&amp;"옵션_"&amp;VLOOKUP(E2271,색인!$J$25:$K$29,2,FALSE)</f>
        <v>T8_2옵션_방어구</v>
      </c>
      <c r="AZ2271" s="36">
        <f>VLOOKUP(G2271,색인!$J$32:$K$45,2,FALSE)</f>
        <v>2</v>
      </c>
      <c r="BA2271" s="36" t="str">
        <f>_xlfn.IFNA(VLOOKUP(AY2271,표1[[검색용]:[OptionGroupIndex'[']22]],EquipItemTable!AZ2271,FALSE),"옵션고정안함")</f>
        <v>8211</v>
      </c>
    </row>
    <row r="2272" spans="1:53" s="33" customFormat="1" ht="12" customHeight="1" x14ac:dyDescent="0.2">
      <c r="A2272" s="31" t="s">
        <v>2758</v>
      </c>
      <c r="B2272" s="39">
        <v>809024</v>
      </c>
      <c r="C2272" s="42" t="s">
        <v>3709</v>
      </c>
      <c r="D2272" s="86" t="s">
        <v>2955</v>
      </c>
      <c r="E2272" s="86" t="s">
        <v>1</v>
      </c>
      <c r="F2272" s="32" t="s">
        <v>471</v>
      </c>
      <c r="G2272" s="32" t="s">
        <v>1491</v>
      </c>
      <c r="H2272" s="32"/>
      <c r="I2272" s="32"/>
      <c r="J2272" s="32"/>
      <c r="K2272" s="32"/>
      <c r="L2272" s="32"/>
      <c r="M2272" s="32"/>
      <c r="N2272" s="8"/>
      <c r="O2272" s="32">
        <v>8</v>
      </c>
      <c r="P2272" s="32">
        <v>81</v>
      </c>
      <c r="Q2272" s="1"/>
      <c r="R2272" s="1"/>
      <c r="S2272" s="1"/>
      <c r="T2272" s="1"/>
      <c r="U2272" s="1"/>
      <c r="V2272" s="1"/>
      <c r="W2272" s="1" t="s">
        <v>2193</v>
      </c>
      <c r="X2272" s="1" t="s">
        <v>2193</v>
      </c>
      <c r="Y2272" s="1" t="s">
        <v>2193</v>
      </c>
      <c r="Z2272" s="1" t="s">
        <v>2193</v>
      </c>
      <c r="AA2272" s="1">
        <v>1617</v>
      </c>
      <c r="AB2272" s="1" t="s">
        <v>2193</v>
      </c>
      <c r="AC2272" s="8"/>
      <c r="AD2272" s="12" t="s">
        <v>52</v>
      </c>
      <c r="AE2272" s="39" t="str">
        <f t="shared" si="244"/>
        <v>8311</v>
      </c>
      <c r="AF2272" s="12"/>
      <c r="AG2272" s="12"/>
      <c r="AH2272" s="12"/>
      <c r="AI2272" s="12"/>
      <c r="AJ2272" s="12"/>
      <c r="AK2272" s="12"/>
      <c r="AL2272" s="12"/>
      <c r="AM2272" s="12"/>
      <c r="AN2272" s="34"/>
      <c r="AO2272" s="12"/>
      <c r="AP2272" s="12"/>
      <c r="AQ2272" s="8"/>
      <c r="AR2272" s="34">
        <v>1</v>
      </c>
      <c r="AS2272" s="34">
        <v>1</v>
      </c>
      <c r="AT2272" s="8"/>
      <c r="AU2272" s="12" t="s">
        <v>1980</v>
      </c>
      <c r="AW2272" s="36">
        <v>4</v>
      </c>
      <c r="AX2272" s="33">
        <f>VLOOKUP(AW2272,색인!$N$14:$O$19,2,FALSE)</f>
        <v>3</v>
      </c>
      <c r="AY2272" s="36" t="str">
        <f>"T"&amp;O2272&amp;"_"&amp;AX2272&amp;"옵션_"&amp;VLOOKUP(E2272,색인!$J$25:$K$29,2,FALSE)</f>
        <v>T8_3옵션_방어구</v>
      </c>
      <c r="AZ2272" s="36">
        <f>VLOOKUP(G2272,색인!$J$32:$K$45,2,FALSE)</f>
        <v>2</v>
      </c>
      <c r="BA2272" s="36" t="str">
        <f>_xlfn.IFNA(VLOOKUP(AY2272,표1[[검색용]:[OptionGroupIndex'[']22]],EquipItemTable!AZ2272,FALSE),"옵션고정안함")</f>
        <v>8311</v>
      </c>
    </row>
    <row r="2273" spans="1:53" s="33" customFormat="1" ht="12" customHeight="1" x14ac:dyDescent="0.2">
      <c r="A2273" s="31" t="s">
        <v>2759</v>
      </c>
      <c r="B2273" s="39">
        <v>809025</v>
      </c>
      <c r="C2273" s="42" t="s">
        <v>4326</v>
      </c>
      <c r="D2273" s="86" t="s">
        <v>2955</v>
      </c>
      <c r="E2273" s="86" t="s">
        <v>1</v>
      </c>
      <c r="F2273" s="32" t="s">
        <v>471</v>
      </c>
      <c r="G2273" s="32" t="s">
        <v>1491</v>
      </c>
      <c r="H2273" s="32"/>
      <c r="I2273" s="32"/>
      <c r="J2273" s="32"/>
      <c r="K2273" s="32"/>
      <c r="L2273" s="32"/>
      <c r="M2273" s="32"/>
      <c r="N2273" s="8"/>
      <c r="O2273" s="32">
        <v>8</v>
      </c>
      <c r="P2273" s="32">
        <v>81</v>
      </c>
      <c r="Q2273" s="1"/>
      <c r="R2273" s="1"/>
      <c r="S2273" s="1"/>
      <c r="T2273" s="1"/>
      <c r="U2273" s="1"/>
      <c r="V2273" s="1"/>
      <c r="W2273" s="1" t="s">
        <v>2193</v>
      </c>
      <c r="X2273" s="1" t="s">
        <v>2193</v>
      </c>
      <c r="Y2273" s="1" t="s">
        <v>2193</v>
      </c>
      <c r="Z2273" s="1" t="s">
        <v>2193</v>
      </c>
      <c r="AA2273" s="1">
        <v>1698</v>
      </c>
      <c r="AB2273" s="1" t="s">
        <v>2193</v>
      </c>
      <c r="AC2273" s="8"/>
      <c r="AD2273" s="12" t="s">
        <v>52</v>
      </c>
      <c r="AE2273" s="39" t="str">
        <f t="shared" si="244"/>
        <v>8311</v>
      </c>
      <c r="AF2273" s="12"/>
      <c r="AG2273" s="12"/>
      <c r="AH2273" s="12"/>
      <c r="AI2273" s="12"/>
      <c r="AJ2273" s="12"/>
      <c r="AK2273" s="12"/>
      <c r="AL2273" s="12"/>
      <c r="AM2273" s="12"/>
      <c r="AN2273" s="34" t="s">
        <v>2792</v>
      </c>
      <c r="AO2273" s="12"/>
      <c r="AP2273" s="12"/>
      <c r="AQ2273" s="8"/>
      <c r="AR2273" s="34">
        <v>1</v>
      </c>
      <c r="AS2273" s="34">
        <v>1</v>
      </c>
      <c r="AT2273" s="8"/>
      <c r="AU2273" s="12" t="s">
        <v>1982</v>
      </c>
      <c r="AW2273" s="36">
        <v>5</v>
      </c>
      <c r="AX2273" s="33">
        <f>VLOOKUP(AW2273,색인!$N$14:$O$19,2,FALSE)</f>
        <v>3</v>
      </c>
      <c r="AY2273" s="36" t="str">
        <f>"T"&amp;O2273&amp;"_"&amp;AX2273&amp;"옵션_"&amp;VLOOKUP(E2273,색인!$J$25:$K$29,2,FALSE)</f>
        <v>T8_3옵션_방어구</v>
      </c>
      <c r="AZ2273" s="36">
        <f>VLOOKUP(G2273,색인!$J$32:$K$45,2,FALSE)</f>
        <v>2</v>
      </c>
      <c r="BA2273" s="36" t="str">
        <f>_xlfn.IFNA(VLOOKUP(AY2273,표1[[검색용]:[OptionGroupIndex'[']22]],EquipItemTable!AZ2273,FALSE),"옵션고정안함")</f>
        <v>8311</v>
      </c>
    </row>
    <row r="2274" spans="1:53" s="33" customFormat="1" ht="12" customHeight="1" x14ac:dyDescent="0.2">
      <c r="A2274" s="31" t="s">
        <v>2760</v>
      </c>
      <c r="B2274" s="39">
        <v>810022</v>
      </c>
      <c r="C2274" s="42" t="s">
        <v>3767</v>
      </c>
      <c r="D2274" s="86" t="s">
        <v>2955</v>
      </c>
      <c r="E2274" s="86" t="s">
        <v>501</v>
      </c>
      <c r="F2274" s="32" t="s">
        <v>480</v>
      </c>
      <c r="G2274" s="32" t="s">
        <v>1453</v>
      </c>
      <c r="H2274" s="32"/>
      <c r="I2274" s="32"/>
      <c r="J2274" s="32"/>
      <c r="K2274" s="32"/>
      <c r="L2274" s="32"/>
      <c r="M2274" s="32"/>
      <c r="N2274" s="8"/>
      <c r="O2274" s="32">
        <v>8</v>
      </c>
      <c r="P2274" s="32">
        <v>81</v>
      </c>
      <c r="Q2274" s="1"/>
      <c r="R2274" s="1"/>
      <c r="S2274" s="1"/>
      <c r="T2274" s="1"/>
      <c r="U2274" s="1"/>
      <c r="V2274" s="1"/>
      <c r="W2274" s="1" t="s">
        <v>2193</v>
      </c>
      <c r="X2274" s="1" t="s">
        <v>2193</v>
      </c>
      <c r="Y2274" s="1" t="s">
        <v>2193</v>
      </c>
      <c r="Z2274" s="1" t="s">
        <v>2193</v>
      </c>
      <c r="AA2274" s="1" t="s">
        <v>2193</v>
      </c>
      <c r="AB2274" s="1">
        <v>4288</v>
      </c>
      <c r="AC2274" s="8"/>
      <c r="AD2274" s="12" t="s">
        <v>52</v>
      </c>
      <c r="AE2274" s="39" t="str">
        <f t="shared" si="244"/>
        <v>8121,8122</v>
      </c>
      <c r="AF2274" s="12"/>
      <c r="AG2274" s="12"/>
      <c r="AH2274" s="12"/>
      <c r="AI2274" s="12"/>
      <c r="AJ2274" s="12"/>
      <c r="AK2274" s="12"/>
      <c r="AL2274" s="12"/>
      <c r="AM2274" s="12"/>
      <c r="AN2274" s="34"/>
      <c r="AO2274" s="12"/>
      <c r="AP2274" s="12"/>
      <c r="AQ2274" s="8"/>
      <c r="AR2274" s="34">
        <v>1</v>
      </c>
      <c r="AS2274" s="34">
        <v>1</v>
      </c>
      <c r="AT2274" s="8"/>
      <c r="AU2274" s="12" t="s">
        <v>1976</v>
      </c>
      <c r="AW2274" s="36">
        <v>2</v>
      </c>
      <c r="AX2274" s="33">
        <f>VLOOKUP(AW2274,색인!$N$14:$O$19,2,FALSE)</f>
        <v>1</v>
      </c>
      <c r="AY2274" s="36" t="str">
        <f>"T"&amp;O2274&amp;"_"&amp;AX2274&amp;"옵션_"&amp;VLOOKUP(E2274,색인!$J$25:$K$29,2,FALSE)</f>
        <v>T8_1옵션_보조장비</v>
      </c>
      <c r="AZ2274" s="36">
        <f>VLOOKUP(G2274,색인!$J$32:$K$45,2,FALSE)</f>
        <v>4</v>
      </c>
      <c r="BA2274" s="36" t="str">
        <f>_xlfn.IFNA(VLOOKUP(AY2274,표1[[검색용]:[OptionGroupIndex'[']22]],EquipItemTable!AZ2274,FALSE),"옵션고정안함")</f>
        <v>8121,8122</v>
      </c>
    </row>
    <row r="2275" spans="1:53" s="33" customFormat="1" ht="12" customHeight="1" x14ac:dyDescent="0.2">
      <c r="A2275" s="31" t="s">
        <v>2761</v>
      </c>
      <c r="B2275" s="39">
        <v>810023</v>
      </c>
      <c r="C2275" s="42" t="s">
        <v>3752</v>
      </c>
      <c r="D2275" s="86" t="s">
        <v>2955</v>
      </c>
      <c r="E2275" s="86" t="s">
        <v>501</v>
      </c>
      <c r="F2275" s="32" t="s">
        <v>480</v>
      </c>
      <c r="G2275" s="32" t="s">
        <v>1453</v>
      </c>
      <c r="H2275" s="32"/>
      <c r="I2275" s="32"/>
      <c r="J2275" s="32"/>
      <c r="K2275" s="32"/>
      <c r="L2275" s="32"/>
      <c r="M2275" s="32"/>
      <c r="N2275" s="8"/>
      <c r="O2275" s="32">
        <v>8</v>
      </c>
      <c r="P2275" s="32">
        <v>81</v>
      </c>
      <c r="Q2275" s="1"/>
      <c r="R2275" s="1"/>
      <c r="S2275" s="1"/>
      <c r="T2275" s="1"/>
      <c r="U2275" s="1"/>
      <c r="V2275" s="1"/>
      <c r="W2275" s="1" t="s">
        <v>2193</v>
      </c>
      <c r="X2275" s="1" t="s">
        <v>2193</v>
      </c>
      <c r="Y2275" s="1" t="s">
        <v>2193</v>
      </c>
      <c r="Z2275" s="1" t="s">
        <v>2193</v>
      </c>
      <c r="AA2275" s="1" t="s">
        <v>2193</v>
      </c>
      <c r="AB2275" s="1">
        <v>4563</v>
      </c>
      <c r="AC2275" s="8"/>
      <c r="AD2275" s="12" t="s">
        <v>52</v>
      </c>
      <c r="AE2275" s="39" t="str">
        <f t="shared" si="244"/>
        <v>8221,8222</v>
      </c>
      <c r="AF2275" s="12"/>
      <c r="AG2275" s="12"/>
      <c r="AH2275" s="12"/>
      <c r="AI2275" s="12"/>
      <c r="AJ2275" s="12"/>
      <c r="AK2275" s="12"/>
      <c r="AL2275" s="12"/>
      <c r="AM2275" s="12"/>
      <c r="AN2275" s="34"/>
      <c r="AO2275" s="12"/>
      <c r="AP2275" s="12"/>
      <c r="AQ2275" s="8"/>
      <c r="AR2275" s="34">
        <v>1</v>
      </c>
      <c r="AS2275" s="34">
        <v>1</v>
      </c>
      <c r="AT2275" s="8"/>
      <c r="AU2275" s="12" t="s">
        <v>1978</v>
      </c>
      <c r="AW2275" s="36">
        <v>3</v>
      </c>
      <c r="AX2275" s="33">
        <f>VLOOKUP(AW2275,색인!$N$14:$O$19,2,FALSE)</f>
        <v>2</v>
      </c>
      <c r="AY2275" s="36" t="str">
        <f>"T"&amp;O2275&amp;"_"&amp;AX2275&amp;"옵션_"&amp;VLOOKUP(E2275,색인!$J$25:$K$29,2,FALSE)</f>
        <v>T8_2옵션_보조장비</v>
      </c>
      <c r="AZ2275" s="36">
        <f>VLOOKUP(G2275,색인!$J$32:$K$45,2,FALSE)</f>
        <v>4</v>
      </c>
      <c r="BA2275" s="36" t="str">
        <f>_xlfn.IFNA(VLOOKUP(AY2275,표1[[검색용]:[OptionGroupIndex'[']22]],EquipItemTable!AZ2275,FALSE),"옵션고정안함")</f>
        <v>8221,8222</v>
      </c>
    </row>
    <row r="2276" spans="1:53" s="33" customFormat="1" ht="12" customHeight="1" x14ac:dyDescent="0.2">
      <c r="A2276" s="31" t="s">
        <v>2762</v>
      </c>
      <c r="B2276" s="39">
        <v>810024</v>
      </c>
      <c r="C2276" s="42" t="s">
        <v>3773</v>
      </c>
      <c r="D2276" s="86" t="s">
        <v>2955</v>
      </c>
      <c r="E2276" s="86" t="s">
        <v>501</v>
      </c>
      <c r="F2276" s="32" t="s">
        <v>480</v>
      </c>
      <c r="G2276" s="32" t="s">
        <v>1453</v>
      </c>
      <c r="H2276" s="32"/>
      <c r="I2276" s="32"/>
      <c r="J2276" s="32"/>
      <c r="K2276" s="32"/>
      <c r="L2276" s="32"/>
      <c r="M2276" s="32"/>
      <c r="N2276" s="8"/>
      <c r="O2276" s="32">
        <v>8</v>
      </c>
      <c r="P2276" s="32">
        <v>81</v>
      </c>
      <c r="Q2276" s="1"/>
      <c r="R2276" s="1"/>
      <c r="S2276" s="1"/>
      <c r="T2276" s="1"/>
      <c r="U2276" s="1"/>
      <c r="V2276" s="1"/>
      <c r="W2276" s="1" t="s">
        <v>2193</v>
      </c>
      <c r="X2276" s="1" t="s">
        <v>2193</v>
      </c>
      <c r="Y2276" s="1" t="s">
        <v>2193</v>
      </c>
      <c r="Z2276" s="1" t="s">
        <v>2193</v>
      </c>
      <c r="AA2276" s="1" t="s">
        <v>2193</v>
      </c>
      <c r="AB2276" s="1">
        <v>4850</v>
      </c>
      <c r="AC2276" s="8"/>
      <c r="AD2276" s="12" t="s">
        <v>52</v>
      </c>
      <c r="AE2276" s="39" t="str">
        <f t="shared" si="244"/>
        <v>8321,8322</v>
      </c>
      <c r="AF2276" s="12"/>
      <c r="AG2276" s="12"/>
      <c r="AH2276" s="12"/>
      <c r="AI2276" s="12"/>
      <c r="AJ2276" s="12"/>
      <c r="AK2276" s="12"/>
      <c r="AL2276" s="12"/>
      <c r="AM2276" s="12"/>
      <c r="AN2276" s="34"/>
      <c r="AO2276" s="12"/>
      <c r="AP2276" s="12"/>
      <c r="AQ2276" s="8"/>
      <c r="AR2276" s="34">
        <v>1</v>
      </c>
      <c r="AS2276" s="34">
        <v>1</v>
      </c>
      <c r="AT2276" s="8"/>
      <c r="AU2276" s="12" t="s">
        <v>1980</v>
      </c>
      <c r="AW2276" s="36">
        <v>4</v>
      </c>
      <c r="AX2276" s="33">
        <f>VLOOKUP(AW2276,색인!$N$14:$O$19,2,FALSE)</f>
        <v>3</v>
      </c>
      <c r="AY2276" s="36" t="str">
        <f>"T"&amp;O2276&amp;"_"&amp;AX2276&amp;"옵션_"&amp;VLOOKUP(E2276,색인!$J$25:$K$29,2,FALSE)</f>
        <v>T8_3옵션_보조장비</v>
      </c>
      <c r="AZ2276" s="36">
        <f>VLOOKUP(G2276,색인!$J$32:$K$45,2,FALSE)</f>
        <v>4</v>
      </c>
      <c r="BA2276" s="36" t="str">
        <f>_xlfn.IFNA(VLOOKUP(AY2276,표1[[검색용]:[OptionGroupIndex'[']22]],EquipItemTable!AZ2276,FALSE),"옵션고정안함")</f>
        <v>8321,8322</v>
      </c>
    </row>
    <row r="2277" spans="1:53" s="33" customFormat="1" ht="12" customHeight="1" x14ac:dyDescent="0.2">
      <c r="A2277" s="31" t="s">
        <v>2763</v>
      </c>
      <c r="B2277" s="39">
        <v>810025</v>
      </c>
      <c r="C2277" s="42" t="s">
        <v>4327</v>
      </c>
      <c r="D2277" s="86" t="s">
        <v>2955</v>
      </c>
      <c r="E2277" s="86" t="s">
        <v>501</v>
      </c>
      <c r="F2277" s="32" t="s">
        <v>480</v>
      </c>
      <c r="G2277" s="32" t="s">
        <v>1453</v>
      </c>
      <c r="H2277" s="32"/>
      <c r="I2277" s="32"/>
      <c r="J2277" s="32"/>
      <c r="K2277" s="32"/>
      <c r="L2277" s="32"/>
      <c r="M2277" s="32"/>
      <c r="N2277" s="8"/>
      <c r="O2277" s="32">
        <v>8</v>
      </c>
      <c r="P2277" s="32">
        <v>81</v>
      </c>
      <c r="Q2277" s="1"/>
      <c r="R2277" s="1"/>
      <c r="S2277" s="1"/>
      <c r="T2277" s="1"/>
      <c r="U2277" s="1"/>
      <c r="V2277" s="1"/>
      <c r="W2277" s="1" t="s">
        <v>2193</v>
      </c>
      <c r="X2277" s="1" t="s">
        <v>2193</v>
      </c>
      <c r="Y2277" s="1" t="s">
        <v>2193</v>
      </c>
      <c r="Z2277" s="1" t="s">
        <v>2193</v>
      </c>
      <c r="AA2277" s="1" t="s">
        <v>2193</v>
      </c>
      <c r="AB2277" s="1">
        <v>5089</v>
      </c>
      <c r="AC2277" s="8"/>
      <c r="AD2277" s="12" t="s">
        <v>52</v>
      </c>
      <c r="AE2277" s="39" t="str">
        <f t="shared" si="244"/>
        <v>8321,8322</v>
      </c>
      <c r="AF2277" s="12"/>
      <c r="AG2277" s="12"/>
      <c r="AH2277" s="12"/>
      <c r="AI2277" s="12"/>
      <c r="AJ2277" s="12"/>
      <c r="AK2277" s="12"/>
      <c r="AL2277" s="12"/>
      <c r="AM2277" s="12"/>
      <c r="AN2277" s="34" t="s">
        <v>2792</v>
      </c>
      <c r="AO2277" s="12"/>
      <c r="AP2277" s="12"/>
      <c r="AQ2277" s="8"/>
      <c r="AR2277" s="34">
        <v>1</v>
      </c>
      <c r="AS2277" s="34">
        <v>1</v>
      </c>
      <c r="AT2277" s="8"/>
      <c r="AU2277" s="12" t="s">
        <v>1982</v>
      </c>
      <c r="AW2277" s="36">
        <v>5</v>
      </c>
      <c r="AX2277" s="33">
        <f>VLOOKUP(AW2277,색인!$N$14:$O$19,2,FALSE)</f>
        <v>3</v>
      </c>
      <c r="AY2277" s="36" t="str">
        <f>"T"&amp;O2277&amp;"_"&amp;AX2277&amp;"옵션_"&amp;VLOOKUP(E2277,색인!$J$25:$K$29,2,FALSE)</f>
        <v>T8_3옵션_보조장비</v>
      </c>
      <c r="AZ2277" s="36">
        <f>VLOOKUP(G2277,색인!$J$32:$K$45,2,FALSE)</f>
        <v>4</v>
      </c>
      <c r="BA2277" s="36" t="str">
        <f>_xlfn.IFNA(VLOOKUP(AY2277,표1[[검색용]:[OptionGroupIndex'[']22]],EquipItemTable!AZ2277,FALSE),"옵션고정안함")</f>
        <v>8321,8322</v>
      </c>
    </row>
    <row r="2278" spans="1:53" s="33" customFormat="1" ht="12" customHeight="1" x14ac:dyDescent="0.2">
      <c r="A2278" s="31" t="s">
        <v>2764</v>
      </c>
      <c r="B2278" s="39">
        <v>811022</v>
      </c>
      <c r="C2278" s="42" t="s">
        <v>3813</v>
      </c>
      <c r="D2278" s="86" t="s">
        <v>2955</v>
      </c>
      <c r="E2278" s="86" t="s">
        <v>501</v>
      </c>
      <c r="F2278" s="32" t="s">
        <v>311</v>
      </c>
      <c r="G2278" s="32" t="s">
        <v>1472</v>
      </c>
      <c r="H2278" s="32"/>
      <c r="I2278" s="32"/>
      <c r="J2278" s="32"/>
      <c r="K2278" s="32"/>
      <c r="L2278" s="32"/>
      <c r="M2278" s="32"/>
      <c r="N2278" s="8"/>
      <c r="O2278" s="32">
        <v>8</v>
      </c>
      <c r="P2278" s="32">
        <v>81</v>
      </c>
      <c r="Q2278" s="1"/>
      <c r="R2278" s="1"/>
      <c r="S2278" s="1"/>
      <c r="T2278" s="1"/>
      <c r="U2278" s="1"/>
      <c r="V2278" s="1"/>
      <c r="W2278" s="1" t="s">
        <v>2193</v>
      </c>
      <c r="X2278" s="1" t="s">
        <v>2193</v>
      </c>
      <c r="Y2278" s="1" t="s">
        <v>2193</v>
      </c>
      <c r="Z2278" s="1" t="s">
        <v>2193</v>
      </c>
      <c r="AA2278" s="1" t="s">
        <v>2193</v>
      </c>
      <c r="AB2278" s="1">
        <v>1432</v>
      </c>
      <c r="AC2278" s="8"/>
      <c r="AD2278" s="12" t="s">
        <v>52</v>
      </c>
      <c r="AE2278" s="39" t="str">
        <f t="shared" si="244"/>
        <v>8121</v>
      </c>
      <c r="AF2278" s="12"/>
      <c r="AG2278" s="12"/>
      <c r="AH2278" s="12"/>
      <c r="AI2278" s="12"/>
      <c r="AJ2278" s="12"/>
      <c r="AK2278" s="12"/>
      <c r="AL2278" s="12"/>
      <c r="AM2278" s="12"/>
      <c r="AN2278" s="34"/>
      <c r="AO2278" s="12"/>
      <c r="AP2278" s="12"/>
      <c r="AQ2278" s="8"/>
      <c r="AR2278" s="34">
        <v>1</v>
      </c>
      <c r="AS2278" s="34">
        <v>1</v>
      </c>
      <c r="AT2278" s="8"/>
      <c r="AU2278" s="12" t="s">
        <v>1976</v>
      </c>
      <c r="AW2278" s="36">
        <v>2</v>
      </c>
      <c r="AX2278" s="33">
        <f>VLOOKUP(AW2278,색인!$N$14:$O$19,2,FALSE)</f>
        <v>1</v>
      </c>
      <c r="AY2278" s="36" t="str">
        <f>"T"&amp;O2278&amp;"_"&amp;AX2278&amp;"옵션_"&amp;VLOOKUP(E2278,색인!$J$25:$K$29,2,FALSE)</f>
        <v>T8_1옵션_보조장비</v>
      </c>
      <c r="AZ2278" s="36">
        <f>VLOOKUP(G2278,색인!$J$32:$K$45,2,FALSE)</f>
        <v>2</v>
      </c>
      <c r="BA2278" s="36" t="str">
        <f>_xlfn.IFNA(VLOOKUP(AY2278,표1[[검색용]:[OptionGroupIndex'[']22]],EquipItemTable!AZ2278,FALSE),"옵션고정안함")</f>
        <v>8121</v>
      </c>
    </row>
    <row r="2279" spans="1:53" s="33" customFormat="1" ht="12" customHeight="1" x14ac:dyDescent="0.2">
      <c r="A2279" s="31" t="s">
        <v>2765</v>
      </c>
      <c r="B2279" s="39">
        <v>811023</v>
      </c>
      <c r="C2279" s="42" t="s">
        <v>3814</v>
      </c>
      <c r="D2279" s="86" t="s">
        <v>2955</v>
      </c>
      <c r="E2279" s="86" t="s">
        <v>501</v>
      </c>
      <c r="F2279" s="32" t="s">
        <v>311</v>
      </c>
      <c r="G2279" s="32" t="s">
        <v>1472</v>
      </c>
      <c r="H2279" s="32"/>
      <c r="I2279" s="32"/>
      <c r="J2279" s="32"/>
      <c r="K2279" s="32"/>
      <c r="L2279" s="32"/>
      <c r="M2279" s="32"/>
      <c r="N2279" s="8"/>
      <c r="O2279" s="32">
        <v>8</v>
      </c>
      <c r="P2279" s="32">
        <v>81</v>
      </c>
      <c r="Q2279" s="1"/>
      <c r="R2279" s="1"/>
      <c r="S2279" s="1"/>
      <c r="T2279" s="1"/>
      <c r="U2279" s="1"/>
      <c r="V2279" s="1"/>
      <c r="W2279" s="1" t="s">
        <v>2193</v>
      </c>
      <c r="X2279" s="1" t="s">
        <v>2193</v>
      </c>
      <c r="Y2279" s="1" t="s">
        <v>2193</v>
      </c>
      <c r="Z2279" s="1" t="s">
        <v>2193</v>
      </c>
      <c r="AA2279" s="1" t="s">
        <v>2193</v>
      </c>
      <c r="AB2279" s="1">
        <v>1521</v>
      </c>
      <c r="AC2279" s="8"/>
      <c r="AD2279" s="12" t="s">
        <v>52</v>
      </c>
      <c r="AE2279" s="39" t="str">
        <f t="shared" si="244"/>
        <v>8221</v>
      </c>
      <c r="AF2279" s="12"/>
      <c r="AG2279" s="12"/>
      <c r="AH2279" s="12"/>
      <c r="AI2279" s="12"/>
      <c r="AJ2279" s="12"/>
      <c r="AK2279" s="12"/>
      <c r="AL2279" s="12"/>
      <c r="AM2279" s="12"/>
      <c r="AN2279" s="34"/>
      <c r="AO2279" s="12"/>
      <c r="AP2279" s="12"/>
      <c r="AQ2279" s="8"/>
      <c r="AR2279" s="34">
        <v>1</v>
      </c>
      <c r="AS2279" s="34">
        <v>1</v>
      </c>
      <c r="AT2279" s="8"/>
      <c r="AU2279" s="12" t="s">
        <v>1978</v>
      </c>
      <c r="AW2279" s="36">
        <v>3</v>
      </c>
      <c r="AX2279" s="33">
        <f>VLOOKUP(AW2279,색인!$N$14:$O$19,2,FALSE)</f>
        <v>2</v>
      </c>
      <c r="AY2279" s="36" t="str">
        <f>"T"&amp;O2279&amp;"_"&amp;AX2279&amp;"옵션_"&amp;VLOOKUP(E2279,색인!$J$25:$K$29,2,FALSE)</f>
        <v>T8_2옵션_보조장비</v>
      </c>
      <c r="AZ2279" s="36">
        <f>VLOOKUP(G2279,색인!$J$32:$K$45,2,FALSE)</f>
        <v>2</v>
      </c>
      <c r="BA2279" s="36" t="str">
        <f>_xlfn.IFNA(VLOOKUP(AY2279,표1[[검색용]:[OptionGroupIndex'[']22]],EquipItemTable!AZ2279,FALSE),"옵션고정안함")</f>
        <v>8221</v>
      </c>
    </row>
    <row r="2280" spans="1:53" s="33" customFormat="1" ht="12" customHeight="1" x14ac:dyDescent="0.2">
      <c r="A2280" s="31" t="s">
        <v>2766</v>
      </c>
      <c r="B2280" s="39">
        <v>811024</v>
      </c>
      <c r="C2280" s="42" t="s">
        <v>3807</v>
      </c>
      <c r="D2280" s="86" t="s">
        <v>2955</v>
      </c>
      <c r="E2280" s="86" t="s">
        <v>501</v>
      </c>
      <c r="F2280" s="32" t="s">
        <v>311</v>
      </c>
      <c r="G2280" s="32" t="s">
        <v>1472</v>
      </c>
      <c r="H2280" s="32"/>
      <c r="I2280" s="32"/>
      <c r="J2280" s="32"/>
      <c r="K2280" s="32"/>
      <c r="L2280" s="32"/>
      <c r="M2280" s="32"/>
      <c r="N2280" s="8"/>
      <c r="O2280" s="32">
        <v>8</v>
      </c>
      <c r="P2280" s="32">
        <v>81</v>
      </c>
      <c r="Q2280" s="1"/>
      <c r="R2280" s="1"/>
      <c r="S2280" s="1"/>
      <c r="T2280" s="1"/>
      <c r="U2280" s="1"/>
      <c r="V2280" s="1"/>
      <c r="W2280" s="1" t="s">
        <v>2193</v>
      </c>
      <c r="X2280" s="1" t="s">
        <v>2193</v>
      </c>
      <c r="Y2280" s="1" t="s">
        <v>2193</v>
      </c>
      <c r="Z2280" s="1" t="s">
        <v>2193</v>
      </c>
      <c r="AA2280" s="1" t="s">
        <v>2193</v>
      </c>
      <c r="AB2280" s="1">
        <v>1617</v>
      </c>
      <c r="AC2280" s="8"/>
      <c r="AD2280" s="12" t="s">
        <v>52</v>
      </c>
      <c r="AE2280" s="39" t="str">
        <f t="shared" si="244"/>
        <v>8321</v>
      </c>
      <c r="AF2280" s="12"/>
      <c r="AG2280" s="12"/>
      <c r="AH2280" s="12"/>
      <c r="AI2280" s="12"/>
      <c r="AJ2280" s="12"/>
      <c r="AK2280" s="12"/>
      <c r="AL2280" s="12"/>
      <c r="AM2280" s="12"/>
      <c r="AN2280" s="34"/>
      <c r="AO2280" s="12"/>
      <c r="AP2280" s="12"/>
      <c r="AQ2280" s="8"/>
      <c r="AR2280" s="34">
        <v>1</v>
      </c>
      <c r="AS2280" s="34">
        <v>1</v>
      </c>
      <c r="AT2280" s="8"/>
      <c r="AU2280" s="12" t="s">
        <v>1980</v>
      </c>
      <c r="AW2280" s="36">
        <v>4</v>
      </c>
      <c r="AX2280" s="33">
        <f>VLOOKUP(AW2280,색인!$N$14:$O$19,2,FALSE)</f>
        <v>3</v>
      </c>
      <c r="AY2280" s="36" t="str">
        <f>"T"&amp;O2280&amp;"_"&amp;AX2280&amp;"옵션_"&amp;VLOOKUP(E2280,색인!$J$25:$K$29,2,FALSE)</f>
        <v>T8_3옵션_보조장비</v>
      </c>
      <c r="AZ2280" s="36">
        <f>VLOOKUP(G2280,색인!$J$32:$K$45,2,FALSE)</f>
        <v>2</v>
      </c>
      <c r="BA2280" s="36" t="str">
        <f>_xlfn.IFNA(VLOOKUP(AY2280,표1[[검색용]:[OptionGroupIndex'[']22]],EquipItemTable!AZ2280,FALSE),"옵션고정안함")</f>
        <v>8321</v>
      </c>
    </row>
    <row r="2281" spans="1:53" s="33" customFormat="1" ht="12" customHeight="1" x14ac:dyDescent="0.2">
      <c r="A2281" s="31" t="s">
        <v>2767</v>
      </c>
      <c r="B2281" s="39">
        <v>811025</v>
      </c>
      <c r="C2281" s="42" t="s">
        <v>4328</v>
      </c>
      <c r="D2281" s="86" t="s">
        <v>2955</v>
      </c>
      <c r="E2281" s="86" t="s">
        <v>501</v>
      </c>
      <c r="F2281" s="32" t="s">
        <v>311</v>
      </c>
      <c r="G2281" s="32" t="s">
        <v>1472</v>
      </c>
      <c r="H2281" s="32"/>
      <c r="I2281" s="32"/>
      <c r="J2281" s="32"/>
      <c r="K2281" s="32"/>
      <c r="L2281" s="32"/>
      <c r="M2281" s="32"/>
      <c r="N2281" s="8"/>
      <c r="O2281" s="32">
        <v>8</v>
      </c>
      <c r="P2281" s="32">
        <v>81</v>
      </c>
      <c r="Q2281" s="1"/>
      <c r="R2281" s="1"/>
      <c r="S2281" s="1"/>
      <c r="T2281" s="1"/>
      <c r="U2281" s="1"/>
      <c r="V2281" s="1"/>
      <c r="W2281" s="1" t="s">
        <v>2193</v>
      </c>
      <c r="X2281" s="1" t="s">
        <v>2193</v>
      </c>
      <c r="Y2281" s="1" t="s">
        <v>2193</v>
      </c>
      <c r="Z2281" s="1" t="s">
        <v>2193</v>
      </c>
      <c r="AA2281" s="1" t="s">
        <v>2193</v>
      </c>
      <c r="AB2281" s="1">
        <v>1698</v>
      </c>
      <c r="AC2281" s="8"/>
      <c r="AD2281" s="12" t="s">
        <v>52</v>
      </c>
      <c r="AE2281" s="39" t="str">
        <f t="shared" si="244"/>
        <v>8321</v>
      </c>
      <c r="AF2281" s="12"/>
      <c r="AG2281" s="12"/>
      <c r="AH2281" s="12"/>
      <c r="AI2281" s="12"/>
      <c r="AJ2281" s="12"/>
      <c r="AK2281" s="12"/>
      <c r="AL2281" s="12"/>
      <c r="AM2281" s="12"/>
      <c r="AN2281" s="34" t="s">
        <v>2792</v>
      </c>
      <c r="AO2281" s="12"/>
      <c r="AP2281" s="12"/>
      <c r="AQ2281" s="8"/>
      <c r="AR2281" s="34">
        <v>1</v>
      </c>
      <c r="AS2281" s="34">
        <v>1</v>
      </c>
      <c r="AT2281" s="8"/>
      <c r="AU2281" s="12" t="s">
        <v>1982</v>
      </c>
      <c r="AW2281" s="36">
        <v>5</v>
      </c>
      <c r="AX2281" s="33">
        <f>VLOOKUP(AW2281,색인!$N$14:$O$19,2,FALSE)</f>
        <v>3</v>
      </c>
      <c r="AY2281" s="36" t="str">
        <f>"T"&amp;O2281&amp;"_"&amp;AX2281&amp;"옵션_"&amp;VLOOKUP(E2281,색인!$J$25:$K$29,2,FALSE)</f>
        <v>T8_3옵션_보조장비</v>
      </c>
      <c r="AZ2281" s="36">
        <f>VLOOKUP(G2281,색인!$J$32:$K$45,2,FALSE)</f>
        <v>2</v>
      </c>
      <c r="BA2281" s="36" t="str">
        <f>_xlfn.IFNA(VLOOKUP(AY2281,표1[[검색용]:[OptionGroupIndex'[']22]],EquipItemTable!AZ2281,FALSE),"옵션고정안함")</f>
        <v>8321</v>
      </c>
    </row>
    <row r="2282" spans="1:53" s="33" customFormat="1" ht="12" customHeight="1" x14ac:dyDescent="0.2">
      <c r="A2282" s="31" t="s">
        <v>2768</v>
      </c>
      <c r="B2282" s="39">
        <v>812022</v>
      </c>
      <c r="C2282" s="42" t="s">
        <v>3851</v>
      </c>
      <c r="D2282" s="86" t="s">
        <v>2955</v>
      </c>
      <c r="E2282" s="86" t="s">
        <v>501</v>
      </c>
      <c r="F2282" s="32" t="s">
        <v>471</v>
      </c>
      <c r="G2282" s="32" t="s">
        <v>1491</v>
      </c>
      <c r="H2282" s="32"/>
      <c r="I2282" s="32"/>
      <c r="J2282" s="32"/>
      <c r="K2282" s="32"/>
      <c r="L2282" s="32"/>
      <c r="M2282" s="32"/>
      <c r="N2282" s="8"/>
      <c r="O2282" s="32">
        <v>8</v>
      </c>
      <c r="P2282" s="32">
        <v>81</v>
      </c>
      <c r="Q2282" s="1"/>
      <c r="R2282" s="1"/>
      <c r="S2282" s="1"/>
      <c r="T2282" s="1"/>
      <c r="U2282" s="1"/>
      <c r="V2282" s="1"/>
      <c r="W2282" s="1" t="s">
        <v>2193</v>
      </c>
      <c r="X2282" s="1" t="s">
        <v>2193</v>
      </c>
      <c r="Y2282" s="1" t="s">
        <v>2193</v>
      </c>
      <c r="Z2282" s="1" t="s">
        <v>2193</v>
      </c>
      <c r="AA2282" s="1" t="s">
        <v>2193</v>
      </c>
      <c r="AB2282" s="1">
        <v>2860</v>
      </c>
      <c r="AC2282" s="8"/>
      <c r="AD2282" s="12" t="s">
        <v>52</v>
      </c>
      <c r="AE2282" s="39" t="str">
        <f t="shared" si="244"/>
        <v>8121</v>
      </c>
      <c r="AF2282" s="12"/>
      <c r="AG2282" s="12"/>
      <c r="AH2282" s="12"/>
      <c r="AI2282" s="12"/>
      <c r="AJ2282" s="12"/>
      <c r="AK2282" s="12"/>
      <c r="AL2282" s="12"/>
      <c r="AM2282" s="12"/>
      <c r="AN2282" s="34"/>
      <c r="AO2282" s="12"/>
      <c r="AP2282" s="12"/>
      <c r="AQ2282" s="8"/>
      <c r="AR2282" s="34">
        <v>1</v>
      </c>
      <c r="AS2282" s="34">
        <v>1</v>
      </c>
      <c r="AT2282" s="8"/>
      <c r="AU2282" s="12" t="s">
        <v>1976</v>
      </c>
      <c r="AW2282" s="36">
        <v>2</v>
      </c>
      <c r="AX2282" s="33">
        <f>VLOOKUP(AW2282,색인!$N$14:$O$19,2,FALSE)</f>
        <v>1</v>
      </c>
      <c r="AY2282" s="36" t="str">
        <f>"T"&amp;O2282&amp;"_"&amp;AX2282&amp;"옵션_"&amp;VLOOKUP(E2282,색인!$J$25:$K$29,2,FALSE)</f>
        <v>T8_1옵션_보조장비</v>
      </c>
      <c r="AZ2282" s="36">
        <f>VLOOKUP(G2282,색인!$J$32:$K$45,2,FALSE)</f>
        <v>2</v>
      </c>
      <c r="BA2282" s="36" t="str">
        <f>_xlfn.IFNA(VLOOKUP(AY2282,표1[[검색용]:[OptionGroupIndex'[']22]],EquipItemTable!AZ2282,FALSE),"옵션고정안함")</f>
        <v>8121</v>
      </c>
    </row>
    <row r="2283" spans="1:53" s="33" customFormat="1" ht="12" customHeight="1" x14ac:dyDescent="0.2">
      <c r="A2283" s="31" t="s">
        <v>2769</v>
      </c>
      <c r="B2283" s="39">
        <v>812023</v>
      </c>
      <c r="C2283" s="42" t="s">
        <v>3856</v>
      </c>
      <c r="D2283" s="86" t="s">
        <v>2955</v>
      </c>
      <c r="E2283" s="86" t="s">
        <v>501</v>
      </c>
      <c r="F2283" s="32" t="s">
        <v>471</v>
      </c>
      <c r="G2283" s="32" t="s">
        <v>1491</v>
      </c>
      <c r="H2283" s="32"/>
      <c r="I2283" s="32"/>
      <c r="J2283" s="32"/>
      <c r="K2283" s="32"/>
      <c r="L2283" s="32"/>
      <c r="M2283" s="32"/>
      <c r="N2283" s="8"/>
      <c r="O2283" s="32">
        <v>8</v>
      </c>
      <c r="P2283" s="32">
        <v>81</v>
      </c>
      <c r="Q2283" s="1"/>
      <c r="R2283" s="1"/>
      <c r="S2283" s="1"/>
      <c r="T2283" s="1"/>
      <c r="U2283" s="1"/>
      <c r="V2283" s="1"/>
      <c r="W2283" s="1" t="s">
        <v>2193</v>
      </c>
      <c r="X2283" s="1" t="s">
        <v>2193</v>
      </c>
      <c r="Y2283" s="1" t="s">
        <v>2193</v>
      </c>
      <c r="Z2283" s="1" t="s">
        <v>2193</v>
      </c>
      <c r="AA2283" s="1" t="s">
        <v>2193</v>
      </c>
      <c r="AB2283" s="1">
        <v>3042</v>
      </c>
      <c r="AC2283" s="8"/>
      <c r="AD2283" s="12" t="s">
        <v>52</v>
      </c>
      <c r="AE2283" s="39" t="str">
        <f t="shared" si="244"/>
        <v>8221</v>
      </c>
      <c r="AF2283" s="12"/>
      <c r="AG2283" s="12"/>
      <c r="AH2283" s="12"/>
      <c r="AI2283" s="12"/>
      <c r="AJ2283" s="12"/>
      <c r="AK2283" s="12"/>
      <c r="AL2283" s="12"/>
      <c r="AM2283" s="12"/>
      <c r="AN2283" s="34"/>
      <c r="AO2283" s="12"/>
      <c r="AP2283" s="12"/>
      <c r="AQ2283" s="8"/>
      <c r="AR2283" s="34">
        <v>1</v>
      </c>
      <c r="AS2283" s="34">
        <v>1</v>
      </c>
      <c r="AT2283" s="8"/>
      <c r="AU2283" s="12" t="s">
        <v>1978</v>
      </c>
      <c r="AW2283" s="36">
        <v>3</v>
      </c>
      <c r="AX2283" s="33">
        <f>VLOOKUP(AW2283,색인!$N$14:$O$19,2,FALSE)</f>
        <v>2</v>
      </c>
      <c r="AY2283" s="36" t="str">
        <f>"T"&amp;O2283&amp;"_"&amp;AX2283&amp;"옵션_"&amp;VLOOKUP(E2283,색인!$J$25:$K$29,2,FALSE)</f>
        <v>T8_2옵션_보조장비</v>
      </c>
      <c r="AZ2283" s="36">
        <f>VLOOKUP(G2283,색인!$J$32:$K$45,2,FALSE)</f>
        <v>2</v>
      </c>
      <c r="BA2283" s="36" t="str">
        <f>_xlfn.IFNA(VLOOKUP(AY2283,표1[[검색용]:[OptionGroupIndex'[']22]],EquipItemTable!AZ2283,FALSE),"옵션고정안함")</f>
        <v>8221</v>
      </c>
    </row>
    <row r="2284" spans="1:53" s="33" customFormat="1" ht="12" customHeight="1" x14ac:dyDescent="0.2">
      <c r="A2284" s="31" t="s">
        <v>2770</v>
      </c>
      <c r="B2284" s="39">
        <v>812024</v>
      </c>
      <c r="C2284" s="42" t="s">
        <v>3869</v>
      </c>
      <c r="D2284" s="86" t="s">
        <v>2955</v>
      </c>
      <c r="E2284" s="86" t="s">
        <v>501</v>
      </c>
      <c r="F2284" s="32" t="s">
        <v>471</v>
      </c>
      <c r="G2284" s="32" t="s">
        <v>1491</v>
      </c>
      <c r="H2284" s="32"/>
      <c r="I2284" s="32"/>
      <c r="J2284" s="32"/>
      <c r="K2284" s="32"/>
      <c r="L2284" s="32"/>
      <c r="M2284" s="32"/>
      <c r="N2284" s="8"/>
      <c r="O2284" s="32">
        <v>8</v>
      </c>
      <c r="P2284" s="32">
        <v>81</v>
      </c>
      <c r="Q2284" s="1"/>
      <c r="R2284" s="1"/>
      <c r="S2284" s="1"/>
      <c r="T2284" s="1"/>
      <c r="U2284" s="1"/>
      <c r="V2284" s="1"/>
      <c r="W2284" s="1" t="s">
        <v>2193</v>
      </c>
      <c r="X2284" s="1" t="s">
        <v>2193</v>
      </c>
      <c r="Y2284" s="1" t="s">
        <v>2193</v>
      </c>
      <c r="Z2284" s="1" t="s">
        <v>2193</v>
      </c>
      <c r="AA2284" s="1" t="s">
        <v>2193</v>
      </c>
      <c r="AB2284" s="1">
        <v>3234</v>
      </c>
      <c r="AC2284" s="8"/>
      <c r="AD2284" s="12" t="s">
        <v>52</v>
      </c>
      <c r="AE2284" s="39" t="str">
        <f t="shared" si="244"/>
        <v>8321</v>
      </c>
      <c r="AF2284" s="12"/>
      <c r="AG2284" s="12"/>
      <c r="AH2284" s="12"/>
      <c r="AI2284" s="12"/>
      <c r="AJ2284" s="12"/>
      <c r="AK2284" s="12"/>
      <c r="AL2284" s="12"/>
      <c r="AM2284" s="12"/>
      <c r="AN2284" s="34"/>
      <c r="AO2284" s="12"/>
      <c r="AP2284" s="12"/>
      <c r="AQ2284" s="8"/>
      <c r="AR2284" s="34">
        <v>1</v>
      </c>
      <c r="AS2284" s="34">
        <v>1</v>
      </c>
      <c r="AT2284" s="8"/>
      <c r="AU2284" s="12" t="s">
        <v>1980</v>
      </c>
      <c r="AW2284" s="36">
        <v>4</v>
      </c>
      <c r="AX2284" s="33">
        <f>VLOOKUP(AW2284,색인!$N$14:$O$19,2,FALSE)</f>
        <v>3</v>
      </c>
      <c r="AY2284" s="36" t="str">
        <f>"T"&amp;O2284&amp;"_"&amp;AX2284&amp;"옵션_"&amp;VLOOKUP(E2284,색인!$J$25:$K$29,2,FALSE)</f>
        <v>T8_3옵션_보조장비</v>
      </c>
      <c r="AZ2284" s="36">
        <f>VLOOKUP(G2284,색인!$J$32:$K$45,2,FALSE)</f>
        <v>2</v>
      </c>
      <c r="BA2284" s="36" t="str">
        <f>_xlfn.IFNA(VLOOKUP(AY2284,표1[[검색용]:[OptionGroupIndex'[']22]],EquipItemTable!AZ2284,FALSE),"옵션고정안함")</f>
        <v>8321</v>
      </c>
    </row>
    <row r="2285" spans="1:53" s="33" customFormat="1" ht="12" customHeight="1" x14ac:dyDescent="0.2">
      <c r="A2285" s="31" t="s">
        <v>2771</v>
      </c>
      <c r="B2285" s="39">
        <v>812025</v>
      </c>
      <c r="C2285" s="42" t="s">
        <v>4329</v>
      </c>
      <c r="D2285" s="86" t="s">
        <v>2955</v>
      </c>
      <c r="E2285" s="86" t="s">
        <v>501</v>
      </c>
      <c r="F2285" s="32" t="s">
        <v>471</v>
      </c>
      <c r="G2285" s="32" t="s">
        <v>1491</v>
      </c>
      <c r="H2285" s="32"/>
      <c r="I2285" s="32"/>
      <c r="J2285" s="32"/>
      <c r="K2285" s="32"/>
      <c r="L2285" s="32"/>
      <c r="M2285" s="32"/>
      <c r="N2285" s="8"/>
      <c r="O2285" s="32">
        <v>8</v>
      </c>
      <c r="P2285" s="32">
        <v>81</v>
      </c>
      <c r="Q2285" s="1"/>
      <c r="R2285" s="1"/>
      <c r="S2285" s="1"/>
      <c r="T2285" s="1"/>
      <c r="U2285" s="1"/>
      <c r="V2285" s="1"/>
      <c r="W2285" s="1" t="s">
        <v>2193</v>
      </c>
      <c r="X2285" s="1" t="s">
        <v>2193</v>
      </c>
      <c r="Y2285" s="1" t="s">
        <v>2193</v>
      </c>
      <c r="Z2285" s="1" t="s">
        <v>2193</v>
      </c>
      <c r="AA2285" s="1" t="s">
        <v>2193</v>
      </c>
      <c r="AB2285" s="1">
        <v>3392</v>
      </c>
      <c r="AC2285" s="8"/>
      <c r="AD2285" s="12" t="s">
        <v>52</v>
      </c>
      <c r="AE2285" s="39" t="str">
        <f t="shared" si="244"/>
        <v>8321</v>
      </c>
      <c r="AF2285" s="12"/>
      <c r="AG2285" s="12"/>
      <c r="AH2285" s="12"/>
      <c r="AI2285" s="12"/>
      <c r="AJ2285" s="12"/>
      <c r="AK2285" s="12"/>
      <c r="AL2285" s="12"/>
      <c r="AM2285" s="12"/>
      <c r="AN2285" s="34" t="s">
        <v>2792</v>
      </c>
      <c r="AO2285" s="12"/>
      <c r="AP2285" s="12"/>
      <c r="AQ2285" s="8"/>
      <c r="AR2285" s="34">
        <v>1</v>
      </c>
      <c r="AS2285" s="34">
        <v>1</v>
      </c>
      <c r="AT2285" s="8"/>
      <c r="AU2285" s="12" t="s">
        <v>1982</v>
      </c>
      <c r="AW2285" s="36">
        <v>5</v>
      </c>
      <c r="AX2285" s="33">
        <f>VLOOKUP(AW2285,색인!$N$14:$O$19,2,FALSE)</f>
        <v>3</v>
      </c>
      <c r="AY2285" s="36" t="str">
        <f>"T"&amp;O2285&amp;"_"&amp;AX2285&amp;"옵션_"&amp;VLOOKUP(E2285,색인!$J$25:$K$29,2,FALSE)</f>
        <v>T8_3옵션_보조장비</v>
      </c>
      <c r="AZ2285" s="36">
        <f>VLOOKUP(G2285,색인!$J$32:$K$45,2,FALSE)</f>
        <v>2</v>
      </c>
      <c r="BA2285" s="36" t="str">
        <f>_xlfn.IFNA(VLOOKUP(AY2285,표1[[검색용]:[OptionGroupIndex'[']22]],EquipItemTable!AZ2285,FALSE),"옵션고정안함")</f>
        <v>8321</v>
      </c>
    </row>
    <row r="2286" spans="1:53" s="33" customFormat="1" ht="12" customHeight="1" x14ac:dyDescent="0.2">
      <c r="A2286" s="31" t="s">
        <v>2772</v>
      </c>
      <c r="B2286" s="39">
        <v>813022</v>
      </c>
      <c r="C2286" s="42" t="s">
        <v>3887</v>
      </c>
      <c r="D2286" s="86" t="s">
        <v>2955</v>
      </c>
      <c r="E2286" s="86" t="s">
        <v>2</v>
      </c>
      <c r="F2286" s="32" t="s">
        <v>312</v>
      </c>
      <c r="G2286" s="32" t="s">
        <v>1568</v>
      </c>
      <c r="H2286" s="32"/>
      <c r="I2286" s="32"/>
      <c r="J2286" s="32"/>
      <c r="K2286" s="32"/>
      <c r="L2286" s="32"/>
      <c r="M2286" s="32"/>
      <c r="N2286" s="8"/>
      <c r="O2286" s="32">
        <v>8</v>
      </c>
      <c r="P2286" s="32">
        <v>81</v>
      </c>
      <c r="Q2286" s="1"/>
      <c r="R2286" s="1"/>
      <c r="S2286" s="1"/>
      <c r="T2286" s="1"/>
      <c r="U2286" s="1"/>
      <c r="V2286" s="1"/>
      <c r="W2286" s="1" t="s">
        <v>2193</v>
      </c>
      <c r="X2286" s="1" t="s">
        <v>2193</v>
      </c>
      <c r="Y2286" s="1">
        <v>182554</v>
      </c>
      <c r="Z2286" s="1" t="s">
        <v>2193</v>
      </c>
      <c r="AA2286" s="1" t="s">
        <v>2193</v>
      </c>
      <c r="AB2286" s="1" t="s">
        <v>2193</v>
      </c>
      <c r="AC2286" s="8"/>
      <c r="AD2286" s="12" t="s">
        <v>52</v>
      </c>
      <c r="AE2286" s="39" t="str">
        <f t="shared" si="244"/>
        <v>8131,8132</v>
      </c>
      <c r="AF2286" s="12"/>
      <c r="AG2286" s="12"/>
      <c r="AH2286" s="12"/>
      <c r="AI2286" s="12"/>
      <c r="AJ2286" s="12"/>
      <c r="AK2286" s="12"/>
      <c r="AL2286" s="12"/>
      <c r="AM2286" s="12"/>
      <c r="AN2286" s="34"/>
      <c r="AO2286" s="12"/>
      <c r="AP2286" s="12"/>
      <c r="AQ2286" s="8"/>
      <c r="AR2286" s="34"/>
      <c r="AS2286" s="34"/>
      <c r="AT2286" s="8"/>
      <c r="AU2286" s="12" t="s">
        <v>1976</v>
      </c>
      <c r="AW2286" s="36">
        <v>2</v>
      </c>
      <c r="AX2286" s="33">
        <f>VLOOKUP(AW2286,색인!$N$14:$O$19,2,FALSE)</f>
        <v>1</v>
      </c>
      <c r="AY2286" s="36" t="str">
        <f>"T"&amp;O2286&amp;"_"&amp;AX2286&amp;"옵션_"&amp;VLOOKUP(E2286,색인!$J$25:$K$29,2,FALSE)</f>
        <v>T8_1옵션_장신구</v>
      </c>
      <c r="AZ2286" s="36">
        <f>VLOOKUP(G2286,색인!$J$32:$K$45,2,FALSE)</f>
        <v>4</v>
      </c>
      <c r="BA2286" s="36" t="str">
        <f>_xlfn.IFNA(VLOOKUP(AY2286,표1[[검색용]:[OptionGroupIndex'[']22]],EquipItemTable!AZ2286,FALSE),"옵션고정안함")</f>
        <v>8131,8132</v>
      </c>
    </row>
    <row r="2287" spans="1:53" s="33" customFormat="1" ht="12" customHeight="1" x14ac:dyDescent="0.2">
      <c r="A2287" s="31" t="s">
        <v>2773</v>
      </c>
      <c r="B2287" s="39">
        <v>813023</v>
      </c>
      <c r="C2287" s="42" t="s">
        <v>3885</v>
      </c>
      <c r="D2287" s="86" t="s">
        <v>2955</v>
      </c>
      <c r="E2287" s="86" t="s">
        <v>2</v>
      </c>
      <c r="F2287" s="32" t="s">
        <v>312</v>
      </c>
      <c r="G2287" s="32" t="s">
        <v>1568</v>
      </c>
      <c r="H2287" s="32"/>
      <c r="I2287" s="32"/>
      <c r="J2287" s="32"/>
      <c r="K2287" s="32"/>
      <c r="L2287" s="32"/>
      <c r="M2287" s="32"/>
      <c r="N2287" s="8"/>
      <c r="O2287" s="32">
        <v>8</v>
      </c>
      <c r="P2287" s="32">
        <v>81</v>
      </c>
      <c r="Q2287" s="1"/>
      <c r="R2287" s="1"/>
      <c r="S2287" s="1"/>
      <c r="T2287" s="1"/>
      <c r="U2287" s="1"/>
      <c r="V2287" s="1"/>
      <c r="W2287" s="1" t="s">
        <v>2193</v>
      </c>
      <c r="X2287" s="1" t="s">
        <v>2193</v>
      </c>
      <c r="Y2287" s="1">
        <v>194292</v>
      </c>
      <c r="Z2287" s="1" t="s">
        <v>2193</v>
      </c>
      <c r="AA2287" s="1" t="s">
        <v>2193</v>
      </c>
      <c r="AB2287" s="1" t="s">
        <v>2193</v>
      </c>
      <c r="AC2287" s="8"/>
      <c r="AD2287" s="12" t="s">
        <v>52</v>
      </c>
      <c r="AE2287" s="39" t="str">
        <f t="shared" si="244"/>
        <v>8231,8232</v>
      </c>
      <c r="AF2287" s="12"/>
      <c r="AG2287" s="12"/>
      <c r="AH2287" s="12"/>
      <c r="AI2287" s="12"/>
      <c r="AJ2287" s="12"/>
      <c r="AK2287" s="12"/>
      <c r="AL2287" s="12"/>
      <c r="AM2287" s="12"/>
      <c r="AN2287" s="34"/>
      <c r="AO2287" s="12"/>
      <c r="AP2287" s="12"/>
      <c r="AQ2287" s="8"/>
      <c r="AR2287" s="34"/>
      <c r="AS2287" s="34"/>
      <c r="AT2287" s="8"/>
      <c r="AU2287" s="12" t="s">
        <v>1978</v>
      </c>
      <c r="AW2287" s="36">
        <v>3</v>
      </c>
      <c r="AX2287" s="33">
        <f>VLOOKUP(AW2287,색인!$N$14:$O$19,2,FALSE)</f>
        <v>2</v>
      </c>
      <c r="AY2287" s="36" t="str">
        <f>"T"&amp;O2287&amp;"_"&amp;AX2287&amp;"옵션_"&amp;VLOOKUP(E2287,색인!$J$25:$K$29,2,FALSE)</f>
        <v>T8_2옵션_장신구</v>
      </c>
      <c r="AZ2287" s="36">
        <f>VLOOKUP(G2287,색인!$J$32:$K$45,2,FALSE)</f>
        <v>4</v>
      </c>
      <c r="BA2287" s="36" t="str">
        <f>_xlfn.IFNA(VLOOKUP(AY2287,표1[[검색용]:[OptionGroupIndex'[']22]],EquipItemTable!AZ2287,FALSE),"옵션고정안함")</f>
        <v>8231,8232</v>
      </c>
    </row>
    <row r="2288" spans="1:53" s="33" customFormat="1" ht="12" customHeight="1" x14ac:dyDescent="0.2">
      <c r="A2288" s="31" t="s">
        <v>2774</v>
      </c>
      <c r="B2288" s="39">
        <v>813024</v>
      </c>
      <c r="C2288" s="42" t="s">
        <v>3315</v>
      </c>
      <c r="D2288" s="86" t="s">
        <v>2955</v>
      </c>
      <c r="E2288" s="86" t="s">
        <v>2</v>
      </c>
      <c r="F2288" s="32" t="s">
        <v>312</v>
      </c>
      <c r="G2288" s="32" t="s">
        <v>1568</v>
      </c>
      <c r="H2288" s="32"/>
      <c r="I2288" s="32"/>
      <c r="J2288" s="32"/>
      <c r="K2288" s="32"/>
      <c r="L2288" s="32"/>
      <c r="M2288" s="32"/>
      <c r="N2288" s="8"/>
      <c r="O2288" s="32">
        <v>8</v>
      </c>
      <c r="P2288" s="32">
        <v>81</v>
      </c>
      <c r="Q2288" s="1"/>
      <c r="R2288" s="1"/>
      <c r="S2288" s="1"/>
      <c r="T2288" s="1"/>
      <c r="U2288" s="1"/>
      <c r="V2288" s="1"/>
      <c r="W2288" s="1" t="s">
        <v>2193</v>
      </c>
      <c r="X2288" s="1" t="s">
        <v>2193</v>
      </c>
      <c r="Y2288" s="1">
        <v>206483</v>
      </c>
      <c r="Z2288" s="1" t="s">
        <v>2193</v>
      </c>
      <c r="AA2288" s="1" t="s">
        <v>2193</v>
      </c>
      <c r="AB2288" s="1" t="s">
        <v>2193</v>
      </c>
      <c r="AC2288" s="8"/>
      <c r="AD2288" s="12" t="s">
        <v>52</v>
      </c>
      <c r="AE2288" s="39" t="str">
        <f t="shared" si="244"/>
        <v>8331,8332</v>
      </c>
      <c r="AF2288" s="12"/>
      <c r="AG2288" s="12"/>
      <c r="AH2288" s="12"/>
      <c r="AI2288" s="12"/>
      <c r="AJ2288" s="12"/>
      <c r="AK2288" s="12"/>
      <c r="AL2288" s="12"/>
      <c r="AM2288" s="12"/>
      <c r="AN2288" s="34"/>
      <c r="AO2288" s="12"/>
      <c r="AP2288" s="12"/>
      <c r="AQ2288" s="8"/>
      <c r="AR2288" s="34"/>
      <c r="AS2288" s="34"/>
      <c r="AT2288" s="8"/>
      <c r="AU2288" s="12" t="s">
        <v>1980</v>
      </c>
      <c r="AW2288" s="36">
        <v>4</v>
      </c>
      <c r="AX2288" s="33">
        <f>VLOOKUP(AW2288,색인!$N$14:$O$19,2,FALSE)</f>
        <v>3</v>
      </c>
      <c r="AY2288" s="36" t="str">
        <f>"T"&amp;O2288&amp;"_"&amp;AX2288&amp;"옵션_"&amp;VLOOKUP(E2288,색인!$J$25:$K$29,2,FALSE)</f>
        <v>T8_3옵션_장신구</v>
      </c>
      <c r="AZ2288" s="36">
        <f>VLOOKUP(G2288,색인!$J$32:$K$45,2,FALSE)</f>
        <v>4</v>
      </c>
      <c r="BA2288" s="36" t="str">
        <f>_xlfn.IFNA(VLOOKUP(AY2288,표1[[검색용]:[OptionGroupIndex'[']22]],EquipItemTable!AZ2288,FALSE),"옵션고정안함")</f>
        <v>8331,8332</v>
      </c>
    </row>
    <row r="2289" spans="1:53" s="33" customFormat="1" ht="12" customHeight="1" x14ac:dyDescent="0.2">
      <c r="A2289" s="31" t="s">
        <v>2775</v>
      </c>
      <c r="B2289" s="39">
        <v>813025</v>
      </c>
      <c r="C2289" s="42" t="s">
        <v>4330</v>
      </c>
      <c r="D2289" s="86" t="s">
        <v>2955</v>
      </c>
      <c r="E2289" s="86" t="s">
        <v>2</v>
      </c>
      <c r="F2289" s="32" t="s">
        <v>312</v>
      </c>
      <c r="G2289" s="32" t="s">
        <v>1568</v>
      </c>
      <c r="H2289" s="32"/>
      <c r="I2289" s="32"/>
      <c r="J2289" s="32"/>
      <c r="K2289" s="32"/>
      <c r="L2289" s="32"/>
      <c r="M2289" s="32"/>
      <c r="N2289" s="8"/>
      <c r="O2289" s="32">
        <v>8</v>
      </c>
      <c r="P2289" s="32">
        <v>81</v>
      </c>
      <c r="Q2289" s="1"/>
      <c r="R2289" s="1"/>
      <c r="S2289" s="1"/>
      <c r="T2289" s="1"/>
      <c r="U2289" s="1"/>
      <c r="V2289" s="1"/>
      <c r="W2289" s="1" t="s">
        <v>2193</v>
      </c>
      <c r="X2289" s="1" t="s">
        <v>2193</v>
      </c>
      <c r="Y2289" s="1">
        <v>216615</v>
      </c>
      <c r="Z2289" s="1" t="s">
        <v>2193</v>
      </c>
      <c r="AA2289" s="1" t="s">
        <v>2193</v>
      </c>
      <c r="AB2289" s="1" t="s">
        <v>2193</v>
      </c>
      <c r="AC2289" s="8"/>
      <c r="AD2289" s="12" t="s">
        <v>52</v>
      </c>
      <c r="AE2289" s="39" t="str">
        <f t="shared" si="244"/>
        <v>8331,8332</v>
      </c>
      <c r="AF2289" s="12"/>
      <c r="AG2289" s="12"/>
      <c r="AH2289" s="12"/>
      <c r="AI2289" s="12"/>
      <c r="AJ2289" s="12"/>
      <c r="AK2289" s="12"/>
      <c r="AL2289" s="12"/>
      <c r="AM2289" s="12"/>
      <c r="AN2289" s="34" t="s">
        <v>2792</v>
      </c>
      <c r="AO2289" s="12"/>
      <c r="AP2289" s="12"/>
      <c r="AQ2289" s="8"/>
      <c r="AR2289" s="34"/>
      <c r="AS2289" s="34"/>
      <c r="AT2289" s="8"/>
      <c r="AU2289" s="12" t="s">
        <v>1982</v>
      </c>
      <c r="AW2289" s="36">
        <v>5</v>
      </c>
      <c r="AX2289" s="33">
        <f>VLOOKUP(AW2289,색인!$N$14:$O$19,2,FALSE)</f>
        <v>3</v>
      </c>
      <c r="AY2289" s="36" t="str">
        <f>"T"&amp;O2289&amp;"_"&amp;AX2289&amp;"옵션_"&amp;VLOOKUP(E2289,색인!$J$25:$K$29,2,FALSE)</f>
        <v>T8_3옵션_장신구</v>
      </c>
      <c r="AZ2289" s="36">
        <f>VLOOKUP(G2289,색인!$J$32:$K$45,2,FALSE)</f>
        <v>4</v>
      </c>
      <c r="BA2289" s="36" t="str">
        <f>_xlfn.IFNA(VLOOKUP(AY2289,표1[[검색용]:[OptionGroupIndex'[']22]],EquipItemTable!AZ2289,FALSE),"옵션고정안함")</f>
        <v>8331,8332</v>
      </c>
    </row>
    <row r="2290" spans="1:53" s="33" customFormat="1" ht="12" customHeight="1" x14ac:dyDescent="0.2">
      <c r="A2290" s="31" t="s">
        <v>2776</v>
      </c>
      <c r="B2290" s="39">
        <v>814022</v>
      </c>
      <c r="C2290" s="42" t="s">
        <v>4331</v>
      </c>
      <c r="D2290" s="86" t="s">
        <v>2955</v>
      </c>
      <c r="E2290" s="86" t="s">
        <v>2</v>
      </c>
      <c r="F2290" s="32" t="s">
        <v>312</v>
      </c>
      <c r="G2290" s="32" t="s">
        <v>1587</v>
      </c>
      <c r="H2290" s="32"/>
      <c r="I2290" s="32"/>
      <c r="J2290" s="32"/>
      <c r="K2290" s="32"/>
      <c r="L2290" s="32"/>
      <c r="M2290" s="32"/>
      <c r="N2290" s="8"/>
      <c r="O2290" s="32">
        <v>8</v>
      </c>
      <c r="P2290" s="32">
        <v>81</v>
      </c>
      <c r="Q2290" s="1"/>
      <c r="R2290" s="1"/>
      <c r="S2290" s="1"/>
      <c r="T2290" s="1"/>
      <c r="U2290" s="1"/>
      <c r="V2290" s="1"/>
      <c r="W2290" s="1">
        <v>3969</v>
      </c>
      <c r="X2290" s="1">
        <v>3969</v>
      </c>
      <c r="Y2290" s="1" t="s">
        <v>2193</v>
      </c>
      <c r="Z2290" s="1" t="s">
        <v>2193</v>
      </c>
      <c r="AA2290" s="1" t="s">
        <v>2193</v>
      </c>
      <c r="AB2290" s="1" t="s">
        <v>2193</v>
      </c>
      <c r="AC2290" s="8"/>
      <c r="AD2290" s="12" t="s">
        <v>52</v>
      </c>
      <c r="AE2290" s="39" t="str">
        <f t="shared" si="244"/>
        <v>8131</v>
      </c>
      <c r="AF2290" s="12"/>
      <c r="AG2290" s="12"/>
      <c r="AH2290" s="12"/>
      <c r="AI2290" s="12"/>
      <c r="AJ2290" s="12"/>
      <c r="AK2290" s="12"/>
      <c r="AL2290" s="12"/>
      <c r="AM2290" s="12"/>
      <c r="AN2290" s="34"/>
      <c r="AO2290" s="12"/>
      <c r="AP2290" s="12"/>
      <c r="AQ2290" s="8"/>
      <c r="AR2290" s="34"/>
      <c r="AS2290" s="34"/>
      <c r="AT2290" s="8"/>
      <c r="AU2290" s="12" t="s">
        <v>1976</v>
      </c>
      <c r="AW2290" s="36">
        <v>2</v>
      </c>
      <c r="AX2290" s="33">
        <f>VLOOKUP(AW2290,색인!$N$14:$O$19,2,FALSE)</f>
        <v>1</v>
      </c>
      <c r="AY2290" s="36" t="str">
        <f>"T"&amp;O2290&amp;"_"&amp;AX2290&amp;"옵션_"&amp;VLOOKUP(E2290,색인!$J$25:$K$29,2,FALSE)</f>
        <v>T8_1옵션_장신구</v>
      </c>
      <c r="AZ2290" s="36">
        <f>VLOOKUP(G2290,색인!$J$32:$K$45,2,FALSE)</f>
        <v>2</v>
      </c>
      <c r="BA2290" s="36" t="str">
        <f>_xlfn.IFNA(VLOOKUP(AY2290,표1[[검색용]:[OptionGroupIndex'[']22]],EquipItemTable!AZ2290,FALSE),"옵션고정안함")</f>
        <v>8131</v>
      </c>
    </row>
    <row r="2291" spans="1:53" s="33" customFormat="1" ht="12" customHeight="1" x14ac:dyDescent="0.2">
      <c r="A2291" s="31" t="s">
        <v>2777</v>
      </c>
      <c r="B2291" s="39">
        <v>814023</v>
      </c>
      <c r="C2291" s="42" t="s">
        <v>3934</v>
      </c>
      <c r="D2291" s="86" t="s">
        <v>2955</v>
      </c>
      <c r="E2291" s="86" t="s">
        <v>2</v>
      </c>
      <c r="F2291" s="32" t="s">
        <v>312</v>
      </c>
      <c r="G2291" s="32" t="s">
        <v>1587</v>
      </c>
      <c r="H2291" s="32"/>
      <c r="I2291" s="32"/>
      <c r="J2291" s="32"/>
      <c r="K2291" s="32"/>
      <c r="L2291" s="32"/>
      <c r="M2291" s="32"/>
      <c r="N2291" s="8"/>
      <c r="O2291" s="32">
        <v>8</v>
      </c>
      <c r="P2291" s="32">
        <v>81</v>
      </c>
      <c r="Q2291" s="1"/>
      <c r="R2291" s="1"/>
      <c r="S2291" s="1"/>
      <c r="T2291" s="1"/>
      <c r="U2291" s="1"/>
      <c r="V2291" s="1"/>
      <c r="W2291" s="1">
        <v>4225</v>
      </c>
      <c r="X2291" s="1">
        <v>4225</v>
      </c>
      <c r="Y2291" s="1" t="s">
        <v>2193</v>
      </c>
      <c r="Z2291" s="1" t="s">
        <v>2193</v>
      </c>
      <c r="AA2291" s="1" t="s">
        <v>2193</v>
      </c>
      <c r="AB2291" s="1" t="s">
        <v>2193</v>
      </c>
      <c r="AC2291" s="8"/>
      <c r="AD2291" s="12" t="s">
        <v>52</v>
      </c>
      <c r="AE2291" s="39" t="str">
        <f t="shared" si="244"/>
        <v>8231</v>
      </c>
      <c r="AF2291" s="12"/>
      <c r="AG2291" s="12"/>
      <c r="AH2291" s="12"/>
      <c r="AI2291" s="12"/>
      <c r="AJ2291" s="12"/>
      <c r="AK2291" s="12"/>
      <c r="AL2291" s="12"/>
      <c r="AM2291" s="12"/>
      <c r="AN2291" s="34"/>
      <c r="AO2291" s="12"/>
      <c r="AP2291" s="12"/>
      <c r="AQ2291" s="8"/>
      <c r="AR2291" s="34"/>
      <c r="AS2291" s="34"/>
      <c r="AT2291" s="8"/>
      <c r="AU2291" s="12" t="s">
        <v>1978</v>
      </c>
      <c r="AW2291" s="36">
        <v>3</v>
      </c>
      <c r="AX2291" s="33">
        <f>VLOOKUP(AW2291,색인!$N$14:$O$19,2,FALSE)</f>
        <v>2</v>
      </c>
      <c r="AY2291" s="36" t="str">
        <f>"T"&amp;O2291&amp;"_"&amp;AX2291&amp;"옵션_"&amp;VLOOKUP(E2291,색인!$J$25:$K$29,2,FALSE)</f>
        <v>T8_2옵션_장신구</v>
      </c>
      <c r="AZ2291" s="36">
        <f>VLOOKUP(G2291,색인!$J$32:$K$45,2,FALSE)</f>
        <v>2</v>
      </c>
      <c r="BA2291" s="36" t="str">
        <f>_xlfn.IFNA(VLOOKUP(AY2291,표1[[검색용]:[OptionGroupIndex'[']22]],EquipItemTable!AZ2291,FALSE),"옵션고정안함")</f>
        <v>8231</v>
      </c>
    </row>
    <row r="2292" spans="1:53" s="33" customFormat="1" ht="12" customHeight="1" x14ac:dyDescent="0.2">
      <c r="A2292" s="31" t="s">
        <v>2778</v>
      </c>
      <c r="B2292" s="39">
        <v>814024</v>
      </c>
      <c r="C2292" s="42" t="s">
        <v>3923</v>
      </c>
      <c r="D2292" s="86" t="s">
        <v>2955</v>
      </c>
      <c r="E2292" s="86" t="s">
        <v>2</v>
      </c>
      <c r="F2292" s="32" t="s">
        <v>312</v>
      </c>
      <c r="G2292" s="32" t="s">
        <v>1587</v>
      </c>
      <c r="H2292" s="32"/>
      <c r="I2292" s="32"/>
      <c r="J2292" s="32"/>
      <c r="K2292" s="32"/>
      <c r="L2292" s="32"/>
      <c r="M2292" s="32"/>
      <c r="N2292" s="8"/>
      <c r="O2292" s="32">
        <v>8</v>
      </c>
      <c r="P2292" s="32">
        <v>81</v>
      </c>
      <c r="Q2292" s="1"/>
      <c r="R2292" s="1"/>
      <c r="S2292" s="1"/>
      <c r="T2292" s="1"/>
      <c r="U2292" s="1"/>
      <c r="V2292" s="1"/>
      <c r="W2292" s="1">
        <v>4489</v>
      </c>
      <c r="X2292" s="1">
        <v>4489</v>
      </c>
      <c r="Y2292" s="1" t="s">
        <v>2193</v>
      </c>
      <c r="Z2292" s="1" t="s">
        <v>2193</v>
      </c>
      <c r="AA2292" s="1" t="s">
        <v>2193</v>
      </c>
      <c r="AB2292" s="1" t="s">
        <v>2193</v>
      </c>
      <c r="AC2292" s="8"/>
      <c r="AD2292" s="12" t="s">
        <v>52</v>
      </c>
      <c r="AE2292" s="39" t="str">
        <f t="shared" si="244"/>
        <v>8331</v>
      </c>
      <c r="AF2292" s="12"/>
      <c r="AG2292" s="12"/>
      <c r="AH2292" s="12"/>
      <c r="AI2292" s="12"/>
      <c r="AJ2292" s="12"/>
      <c r="AK2292" s="12"/>
      <c r="AL2292" s="12"/>
      <c r="AM2292" s="12"/>
      <c r="AN2292" s="34"/>
      <c r="AO2292" s="12"/>
      <c r="AP2292" s="12"/>
      <c r="AQ2292" s="8"/>
      <c r="AR2292" s="34"/>
      <c r="AS2292" s="34"/>
      <c r="AT2292" s="8"/>
      <c r="AU2292" s="12" t="s">
        <v>1980</v>
      </c>
      <c r="AW2292" s="36">
        <v>4</v>
      </c>
      <c r="AX2292" s="33">
        <f>VLOOKUP(AW2292,색인!$N$14:$O$19,2,FALSE)</f>
        <v>3</v>
      </c>
      <c r="AY2292" s="36" t="str">
        <f>"T"&amp;O2292&amp;"_"&amp;AX2292&amp;"옵션_"&amp;VLOOKUP(E2292,색인!$J$25:$K$29,2,FALSE)</f>
        <v>T8_3옵션_장신구</v>
      </c>
      <c r="AZ2292" s="36">
        <f>VLOOKUP(G2292,색인!$J$32:$K$45,2,FALSE)</f>
        <v>2</v>
      </c>
      <c r="BA2292" s="36" t="str">
        <f>_xlfn.IFNA(VLOOKUP(AY2292,표1[[검색용]:[OptionGroupIndex'[']22]],EquipItemTable!AZ2292,FALSE),"옵션고정안함")</f>
        <v>8331</v>
      </c>
    </row>
    <row r="2293" spans="1:53" s="33" customFormat="1" ht="12" customHeight="1" x14ac:dyDescent="0.2">
      <c r="A2293" s="31" t="s">
        <v>2779</v>
      </c>
      <c r="B2293" s="39">
        <v>814025</v>
      </c>
      <c r="C2293" s="42" t="s">
        <v>4332</v>
      </c>
      <c r="D2293" s="86" t="s">
        <v>2955</v>
      </c>
      <c r="E2293" s="86" t="s">
        <v>2</v>
      </c>
      <c r="F2293" s="32" t="s">
        <v>312</v>
      </c>
      <c r="G2293" s="32" t="s">
        <v>1587</v>
      </c>
      <c r="H2293" s="32"/>
      <c r="I2293" s="32"/>
      <c r="J2293" s="32"/>
      <c r="K2293" s="32"/>
      <c r="L2293" s="32"/>
      <c r="M2293" s="32"/>
      <c r="N2293" s="8"/>
      <c r="O2293" s="32">
        <v>8</v>
      </c>
      <c r="P2293" s="32">
        <v>81</v>
      </c>
      <c r="Q2293" s="1"/>
      <c r="R2293" s="1"/>
      <c r="S2293" s="1"/>
      <c r="T2293" s="1"/>
      <c r="U2293" s="1"/>
      <c r="V2293" s="1"/>
      <c r="W2293" s="1">
        <v>4711</v>
      </c>
      <c r="X2293" s="1">
        <v>4711</v>
      </c>
      <c r="Y2293" s="1" t="s">
        <v>2193</v>
      </c>
      <c r="Z2293" s="1" t="s">
        <v>2193</v>
      </c>
      <c r="AA2293" s="1" t="s">
        <v>2193</v>
      </c>
      <c r="AB2293" s="1" t="s">
        <v>2193</v>
      </c>
      <c r="AC2293" s="8"/>
      <c r="AD2293" s="12" t="s">
        <v>52</v>
      </c>
      <c r="AE2293" s="39" t="str">
        <f t="shared" si="244"/>
        <v>8331</v>
      </c>
      <c r="AF2293" s="12"/>
      <c r="AG2293" s="12"/>
      <c r="AH2293" s="12"/>
      <c r="AI2293" s="12"/>
      <c r="AJ2293" s="12"/>
      <c r="AK2293" s="12"/>
      <c r="AL2293" s="12"/>
      <c r="AM2293" s="12"/>
      <c r="AN2293" s="34" t="s">
        <v>2792</v>
      </c>
      <c r="AO2293" s="12"/>
      <c r="AP2293" s="12"/>
      <c r="AQ2293" s="8"/>
      <c r="AR2293" s="34"/>
      <c r="AS2293" s="34"/>
      <c r="AT2293" s="8"/>
      <c r="AU2293" s="12" t="s">
        <v>1982</v>
      </c>
      <c r="AW2293" s="36">
        <v>5</v>
      </c>
      <c r="AX2293" s="33">
        <f>VLOOKUP(AW2293,색인!$N$14:$O$19,2,FALSE)</f>
        <v>3</v>
      </c>
      <c r="AY2293" s="36" t="str">
        <f>"T"&amp;O2293&amp;"_"&amp;AX2293&amp;"옵션_"&amp;VLOOKUP(E2293,색인!$J$25:$K$29,2,FALSE)</f>
        <v>T8_3옵션_장신구</v>
      </c>
      <c r="AZ2293" s="36">
        <f>VLOOKUP(G2293,색인!$J$32:$K$45,2,FALSE)</f>
        <v>2</v>
      </c>
      <c r="BA2293" s="36" t="str">
        <f>_xlfn.IFNA(VLOOKUP(AY2293,표1[[검색용]:[OptionGroupIndex'[']22]],EquipItemTable!AZ2293,FALSE),"옵션고정안함")</f>
        <v>8331</v>
      </c>
    </row>
    <row r="2294" spans="1:53" s="33" customFormat="1" ht="12" customHeight="1" x14ac:dyDescent="0.2">
      <c r="A2294" s="31" t="s">
        <v>2780</v>
      </c>
      <c r="B2294" s="39">
        <v>815022</v>
      </c>
      <c r="C2294" s="42" t="s">
        <v>3969</v>
      </c>
      <c r="D2294" s="86" t="s">
        <v>2955</v>
      </c>
      <c r="E2294" s="86" t="s">
        <v>2</v>
      </c>
      <c r="F2294" s="32" t="s">
        <v>312</v>
      </c>
      <c r="G2294" s="32" t="s">
        <v>1606</v>
      </c>
      <c r="H2294" s="32"/>
      <c r="I2294" s="32"/>
      <c r="J2294" s="32"/>
      <c r="K2294" s="32"/>
      <c r="L2294" s="32"/>
      <c r="M2294" s="32"/>
      <c r="N2294" s="8"/>
      <c r="O2294" s="32">
        <v>8</v>
      </c>
      <c r="P2294" s="32">
        <v>81</v>
      </c>
      <c r="Q2294" s="1"/>
      <c r="R2294" s="1"/>
      <c r="S2294" s="1"/>
      <c r="T2294" s="1"/>
      <c r="U2294" s="1"/>
      <c r="V2294" s="1"/>
      <c r="W2294" s="1" t="s">
        <v>2193</v>
      </c>
      <c r="X2294" s="1" t="s">
        <v>2193</v>
      </c>
      <c r="Y2294" s="1" t="s">
        <v>2193</v>
      </c>
      <c r="Z2294" s="1" t="s">
        <v>2193</v>
      </c>
      <c r="AA2294" s="1" t="s">
        <v>2193</v>
      </c>
      <c r="AB2294" s="1">
        <v>2860</v>
      </c>
      <c r="AC2294" s="8"/>
      <c r="AD2294" s="12" t="s">
        <v>52</v>
      </c>
      <c r="AE2294" s="39" t="str">
        <f t="shared" si="244"/>
        <v>8131,8132</v>
      </c>
      <c r="AF2294" s="12"/>
      <c r="AG2294" s="12"/>
      <c r="AH2294" s="12"/>
      <c r="AI2294" s="12"/>
      <c r="AJ2294" s="12"/>
      <c r="AK2294" s="12"/>
      <c r="AL2294" s="12"/>
      <c r="AM2294" s="12"/>
      <c r="AN2294" s="34"/>
      <c r="AO2294" s="12"/>
      <c r="AP2294" s="12"/>
      <c r="AQ2294" s="8"/>
      <c r="AR2294" s="34"/>
      <c r="AS2294" s="34"/>
      <c r="AT2294" s="8"/>
      <c r="AU2294" s="12" t="s">
        <v>1976</v>
      </c>
      <c r="AW2294" s="36">
        <v>2</v>
      </c>
      <c r="AX2294" s="33">
        <f>VLOOKUP(AW2294,색인!$N$14:$O$19,2,FALSE)</f>
        <v>1</v>
      </c>
      <c r="AY2294" s="36" t="str">
        <f>"T"&amp;O2294&amp;"_"&amp;AX2294&amp;"옵션_"&amp;VLOOKUP(E2294,색인!$J$25:$K$29,2,FALSE)</f>
        <v>T8_1옵션_장신구</v>
      </c>
      <c r="AZ2294" s="36">
        <f>VLOOKUP(G2294,색인!$J$32:$K$45,2,FALSE)</f>
        <v>4</v>
      </c>
      <c r="BA2294" s="36" t="str">
        <f>_xlfn.IFNA(VLOOKUP(AY2294,표1[[검색용]:[OptionGroupIndex'[']22]],EquipItemTable!AZ2294,FALSE),"옵션고정안함")</f>
        <v>8131,8132</v>
      </c>
    </row>
    <row r="2295" spans="1:53" s="33" customFormat="1" ht="12" customHeight="1" x14ac:dyDescent="0.2">
      <c r="A2295" s="31" t="s">
        <v>2781</v>
      </c>
      <c r="B2295" s="39">
        <v>815023</v>
      </c>
      <c r="C2295" s="42" t="s">
        <v>3990</v>
      </c>
      <c r="D2295" s="86" t="s">
        <v>2955</v>
      </c>
      <c r="E2295" s="86" t="s">
        <v>2</v>
      </c>
      <c r="F2295" s="32" t="s">
        <v>312</v>
      </c>
      <c r="G2295" s="32" t="s">
        <v>1606</v>
      </c>
      <c r="H2295" s="32"/>
      <c r="I2295" s="32"/>
      <c r="J2295" s="32"/>
      <c r="K2295" s="32"/>
      <c r="L2295" s="32"/>
      <c r="M2295" s="32"/>
      <c r="N2295" s="8"/>
      <c r="O2295" s="32">
        <v>8</v>
      </c>
      <c r="P2295" s="32">
        <v>81</v>
      </c>
      <c r="Q2295" s="1"/>
      <c r="R2295" s="1"/>
      <c r="S2295" s="1"/>
      <c r="T2295" s="1"/>
      <c r="U2295" s="1"/>
      <c r="V2295" s="1"/>
      <c r="W2295" s="1" t="s">
        <v>2193</v>
      </c>
      <c r="X2295" s="1" t="s">
        <v>2193</v>
      </c>
      <c r="Y2295" s="1" t="s">
        <v>2193</v>
      </c>
      <c r="Z2295" s="1" t="s">
        <v>2193</v>
      </c>
      <c r="AA2295" s="1" t="s">
        <v>2193</v>
      </c>
      <c r="AB2295" s="1">
        <v>3042</v>
      </c>
      <c r="AC2295" s="8"/>
      <c r="AD2295" s="12" t="s">
        <v>52</v>
      </c>
      <c r="AE2295" s="39" t="str">
        <f t="shared" si="244"/>
        <v>8231,8232</v>
      </c>
      <c r="AF2295" s="12"/>
      <c r="AG2295" s="12"/>
      <c r="AH2295" s="12"/>
      <c r="AI2295" s="12"/>
      <c r="AJ2295" s="12"/>
      <c r="AK2295" s="12"/>
      <c r="AL2295" s="12"/>
      <c r="AM2295" s="12"/>
      <c r="AN2295" s="34"/>
      <c r="AO2295" s="12"/>
      <c r="AP2295" s="12"/>
      <c r="AQ2295" s="8"/>
      <c r="AR2295" s="34"/>
      <c r="AS2295" s="34"/>
      <c r="AT2295" s="8"/>
      <c r="AU2295" s="12" t="s">
        <v>1978</v>
      </c>
      <c r="AW2295" s="36">
        <v>3</v>
      </c>
      <c r="AX2295" s="33">
        <f>VLOOKUP(AW2295,색인!$N$14:$O$19,2,FALSE)</f>
        <v>2</v>
      </c>
      <c r="AY2295" s="36" t="str">
        <f>"T"&amp;O2295&amp;"_"&amp;AX2295&amp;"옵션_"&amp;VLOOKUP(E2295,색인!$J$25:$K$29,2,FALSE)</f>
        <v>T8_2옵션_장신구</v>
      </c>
      <c r="AZ2295" s="36">
        <f>VLOOKUP(G2295,색인!$J$32:$K$45,2,FALSE)</f>
        <v>4</v>
      </c>
      <c r="BA2295" s="36" t="str">
        <f>_xlfn.IFNA(VLOOKUP(AY2295,표1[[검색용]:[OptionGroupIndex'[']22]],EquipItemTable!AZ2295,FALSE),"옵션고정안함")</f>
        <v>8231,8232</v>
      </c>
    </row>
    <row r="2296" spans="1:53" s="33" customFormat="1" ht="12" customHeight="1" x14ac:dyDescent="0.2">
      <c r="A2296" s="31" t="s">
        <v>2782</v>
      </c>
      <c r="B2296" s="39">
        <v>815024</v>
      </c>
      <c r="C2296" s="42" t="s">
        <v>3975</v>
      </c>
      <c r="D2296" s="86" t="s">
        <v>2955</v>
      </c>
      <c r="E2296" s="86" t="s">
        <v>2</v>
      </c>
      <c r="F2296" s="32" t="s">
        <v>312</v>
      </c>
      <c r="G2296" s="32" t="s">
        <v>1606</v>
      </c>
      <c r="H2296" s="32"/>
      <c r="I2296" s="32"/>
      <c r="J2296" s="32"/>
      <c r="K2296" s="32"/>
      <c r="L2296" s="32"/>
      <c r="M2296" s="32"/>
      <c r="N2296" s="8"/>
      <c r="O2296" s="32">
        <v>8</v>
      </c>
      <c r="P2296" s="32">
        <v>81</v>
      </c>
      <c r="Q2296" s="1"/>
      <c r="R2296" s="1"/>
      <c r="S2296" s="1"/>
      <c r="T2296" s="1"/>
      <c r="U2296" s="1"/>
      <c r="V2296" s="1"/>
      <c r="W2296" s="1" t="s">
        <v>2193</v>
      </c>
      <c r="X2296" s="1" t="s">
        <v>2193</v>
      </c>
      <c r="Y2296" s="1" t="s">
        <v>2193</v>
      </c>
      <c r="Z2296" s="1" t="s">
        <v>2193</v>
      </c>
      <c r="AA2296" s="1" t="s">
        <v>2193</v>
      </c>
      <c r="AB2296" s="1">
        <v>3234</v>
      </c>
      <c r="AC2296" s="8"/>
      <c r="AD2296" s="12" t="s">
        <v>52</v>
      </c>
      <c r="AE2296" s="39" t="str">
        <f t="shared" si="244"/>
        <v>8331,8332</v>
      </c>
      <c r="AF2296" s="12"/>
      <c r="AG2296" s="12"/>
      <c r="AH2296" s="12"/>
      <c r="AI2296" s="12"/>
      <c r="AJ2296" s="12"/>
      <c r="AK2296" s="12"/>
      <c r="AL2296" s="12"/>
      <c r="AM2296" s="12"/>
      <c r="AN2296" s="34"/>
      <c r="AO2296" s="12"/>
      <c r="AP2296" s="12"/>
      <c r="AQ2296" s="8"/>
      <c r="AR2296" s="34"/>
      <c r="AS2296" s="34"/>
      <c r="AT2296" s="8"/>
      <c r="AU2296" s="12" t="s">
        <v>1980</v>
      </c>
      <c r="AW2296" s="36">
        <v>4</v>
      </c>
      <c r="AX2296" s="33">
        <f>VLOOKUP(AW2296,색인!$N$14:$O$19,2,FALSE)</f>
        <v>3</v>
      </c>
      <c r="AY2296" s="36" t="str">
        <f>"T"&amp;O2296&amp;"_"&amp;AX2296&amp;"옵션_"&amp;VLOOKUP(E2296,색인!$J$25:$K$29,2,FALSE)</f>
        <v>T8_3옵션_장신구</v>
      </c>
      <c r="AZ2296" s="36">
        <f>VLOOKUP(G2296,색인!$J$32:$K$45,2,FALSE)</f>
        <v>4</v>
      </c>
      <c r="BA2296" s="36" t="str">
        <f>_xlfn.IFNA(VLOOKUP(AY2296,표1[[검색용]:[OptionGroupIndex'[']22]],EquipItemTable!AZ2296,FALSE),"옵션고정안함")</f>
        <v>8331,8332</v>
      </c>
    </row>
    <row r="2297" spans="1:53" s="33" customFormat="1" ht="12" customHeight="1" x14ac:dyDescent="0.2">
      <c r="A2297" s="31" t="s">
        <v>2783</v>
      </c>
      <c r="B2297" s="39">
        <v>815025</v>
      </c>
      <c r="C2297" s="42" t="s">
        <v>4333</v>
      </c>
      <c r="D2297" s="86" t="s">
        <v>2955</v>
      </c>
      <c r="E2297" s="86" t="s">
        <v>2</v>
      </c>
      <c r="F2297" s="32" t="s">
        <v>312</v>
      </c>
      <c r="G2297" s="32" t="s">
        <v>1606</v>
      </c>
      <c r="H2297" s="32"/>
      <c r="I2297" s="32"/>
      <c r="J2297" s="32"/>
      <c r="K2297" s="32"/>
      <c r="L2297" s="32"/>
      <c r="M2297" s="32"/>
      <c r="N2297" s="8"/>
      <c r="O2297" s="32">
        <v>8</v>
      </c>
      <c r="P2297" s="32">
        <v>81</v>
      </c>
      <c r="Q2297" s="1"/>
      <c r="R2297" s="1"/>
      <c r="S2297" s="1"/>
      <c r="T2297" s="1"/>
      <c r="U2297" s="1"/>
      <c r="V2297" s="1"/>
      <c r="W2297" s="1" t="s">
        <v>2193</v>
      </c>
      <c r="X2297" s="1" t="s">
        <v>2193</v>
      </c>
      <c r="Y2297" s="1" t="s">
        <v>2193</v>
      </c>
      <c r="Z2297" s="1" t="s">
        <v>2193</v>
      </c>
      <c r="AA2297" s="1" t="s">
        <v>2193</v>
      </c>
      <c r="AB2297" s="1">
        <v>3392</v>
      </c>
      <c r="AC2297" s="8"/>
      <c r="AD2297" s="12" t="s">
        <v>52</v>
      </c>
      <c r="AE2297" s="39" t="str">
        <f t="shared" si="244"/>
        <v>8331,8332</v>
      </c>
      <c r="AF2297" s="12"/>
      <c r="AG2297" s="12"/>
      <c r="AH2297" s="12"/>
      <c r="AI2297" s="12"/>
      <c r="AJ2297" s="12"/>
      <c r="AK2297" s="12"/>
      <c r="AL2297" s="12"/>
      <c r="AM2297" s="12"/>
      <c r="AN2297" s="34" t="s">
        <v>2792</v>
      </c>
      <c r="AO2297" s="12"/>
      <c r="AP2297" s="12"/>
      <c r="AQ2297" s="8"/>
      <c r="AR2297" s="34"/>
      <c r="AS2297" s="34"/>
      <c r="AT2297" s="8"/>
      <c r="AU2297" s="12" t="s">
        <v>1982</v>
      </c>
      <c r="AW2297" s="36">
        <v>5</v>
      </c>
      <c r="AX2297" s="33">
        <f>VLOOKUP(AW2297,색인!$N$14:$O$19,2,FALSE)</f>
        <v>3</v>
      </c>
      <c r="AY2297" s="36" t="str">
        <f>"T"&amp;O2297&amp;"_"&amp;AX2297&amp;"옵션_"&amp;VLOOKUP(E2297,색인!$J$25:$K$29,2,FALSE)</f>
        <v>T8_3옵션_장신구</v>
      </c>
      <c r="AZ2297" s="36">
        <f>VLOOKUP(G2297,색인!$J$32:$K$45,2,FALSE)</f>
        <v>4</v>
      </c>
      <c r="BA2297" s="36" t="str">
        <f>_xlfn.IFNA(VLOOKUP(AY2297,표1[[검색용]:[OptionGroupIndex'[']22]],EquipItemTable!AZ2297,FALSE),"옵션고정안함")</f>
        <v>8331,8332</v>
      </c>
    </row>
    <row r="2298" spans="1:53" s="33" customFormat="1" ht="12" customHeight="1" x14ac:dyDescent="0.2">
      <c r="A2298" s="31" t="s">
        <v>2784</v>
      </c>
      <c r="B2298" s="39">
        <v>816022</v>
      </c>
      <c r="C2298" s="42" t="s">
        <v>4014</v>
      </c>
      <c r="D2298" s="86" t="s">
        <v>2955</v>
      </c>
      <c r="E2298" s="86" t="s">
        <v>2</v>
      </c>
      <c r="F2298" s="32" t="s">
        <v>312</v>
      </c>
      <c r="G2298" s="32" t="s">
        <v>1625</v>
      </c>
      <c r="H2298" s="32"/>
      <c r="I2298" s="32"/>
      <c r="J2298" s="32"/>
      <c r="K2298" s="32"/>
      <c r="L2298" s="32"/>
      <c r="M2298" s="32"/>
      <c r="N2298" s="8"/>
      <c r="O2298" s="32">
        <v>8</v>
      </c>
      <c r="P2298" s="32">
        <v>81</v>
      </c>
      <c r="Q2298" s="1"/>
      <c r="R2298" s="1"/>
      <c r="S2298" s="1"/>
      <c r="T2298" s="1"/>
      <c r="U2298" s="1"/>
      <c r="V2298" s="1"/>
      <c r="W2298" s="1" t="s">
        <v>2193</v>
      </c>
      <c r="X2298" s="1" t="s">
        <v>2193</v>
      </c>
      <c r="Y2298" s="1" t="s">
        <v>2193</v>
      </c>
      <c r="Z2298" s="1" t="s">
        <v>2193</v>
      </c>
      <c r="AA2298" s="1">
        <v>2860</v>
      </c>
      <c r="AB2298" s="1" t="s">
        <v>2193</v>
      </c>
      <c r="AC2298" s="8"/>
      <c r="AD2298" s="12" t="s">
        <v>52</v>
      </c>
      <c r="AE2298" s="39" t="str">
        <f t="shared" si="244"/>
        <v>8131,8132</v>
      </c>
      <c r="AF2298" s="12"/>
      <c r="AG2298" s="12"/>
      <c r="AH2298" s="12"/>
      <c r="AI2298" s="12"/>
      <c r="AJ2298" s="12"/>
      <c r="AK2298" s="12"/>
      <c r="AL2298" s="12"/>
      <c r="AM2298" s="12"/>
      <c r="AN2298" s="34"/>
      <c r="AO2298" s="12"/>
      <c r="AP2298" s="12"/>
      <c r="AQ2298" s="8"/>
      <c r="AR2298" s="34"/>
      <c r="AS2298" s="34"/>
      <c r="AT2298" s="8"/>
      <c r="AU2298" s="12" t="s">
        <v>1976</v>
      </c>
      <c r="AW2298" s="36">
        <v>2</v>
      </c>
      <c r="AX2298" s="33">
        <f>VLOOKUP(AW2298,색인!$N$14:$O$19,2,FALSE)</f>
        <v>1</v>
      </c>
      <c r="AY2298" s="36" t="str">
        <f>"T"&amp;O2298&amp;"_"&amp;AX2298&amp;"옵션_"&amp;VLOOKUP(E2298,색인!$J$25:$K$29,2,FALSE)</f>
        <v>T8_1옵션_장신구</v>
      </c>
      <c r="AZ2298" s="36">
        <f>VLOOKUP(G2298,색인!$J$32:$K$45,2,FALSE)</f>
        <v>4</v>
      </c>
      <c r="BA2298" s="36" t="str">
        <f>_xlfn.IFNA(VLOOKUP(AY2298,표1[[검색용]:[OptionGroupIndex'[']22]],EquipItemTable!AZ2298,FALSE),"옵션고정안함")</f>
        <v>8131,8132</v>
      </c>
    </row>
    <row r="2299" spans="1:53" s="33" customFormat="1" ht="12" customHeight="1" x14ac:dyDescent="0.2">
      <c r="A2299" s="31" t="s">
        <v>2785</v>
      </c>
      <c r="B2299" s="39">
        <v>816023</v>
      </c>
      <c r="C2299" s="42" t="s">
        <v>4011</v>
      </c>
      <c r="D2299" s="86" t="s">
        <v>2955</v>
      </c>
      <c r="E2299" s="86" t="s">
        <v>2</v>
      </c>
      <c r="F2299" s="32" t="s">
        <v>312</v>
      </c>
      <c r="G2299" s="32" t="s">
        <v>1625</v>
      </c>
      <c r="H2299" s="32"/>
      <c r="I2299" s="32"/>
      <c r="J2299" s="32"/>
      <c r="K2299" s="32"/>
      <c r="L2299" s="32"/>
      <c r="M2299" s="32"/>
      <c r="N2299" s="8"/>
      <c r="O2299" s="32">
        <v>8</v>
      </c>
      <c r="P2299" s="32">
        <v>81</v>
      </c>
      <c r="Q2299" s="1"/>
      <c r="R2299" s="1"/>
      <c r="S2299" s="1"/>
      <c r="T2299" s="1"/>
      <c r="U2299" s="1"/>
      <c r="V2299" s="1"/>
      <c r="W2299" s="1" t="s">
        <v>2193</v>
      </c>
      <c r="X2299" s="1" t="s">
        <v>2193</v>
      </c>
      <c r="Y2299" s="1" t="s">
        <v>2193</v>
      </c>
      <c r="Z2299" s="1" t="s">
        <v>2193</v>
      </c>
      <c r="AA2299" s="1">
        <v>3042</v>
      </c>
      <c r="AB2299" s="1" t="s">
        <v>2193</v>
      </c>
      <c r="AC2299" s="8"/>
      <c r="AD2299" s="12" t="s">
        <v>52</v>
      </c>
      <c r="AE2299" s="39" t="str">
        <f t="shared" si="244"/>
        <v>8231,8232</v>
      </c>
      <c r="AF2299" s="12"/>
      <c r="AG2299" s="12"/>
      <c r="AH2299" s="12"/>
      <c r="AI2299" s="12"/>
      <c r="AJ2299" s="12"/>
      <c r="AK2299" s="12"/>
      <c r="AL2299" s="12"/>
      <c r="AM2299" s="12"/>
      <c r="AN2299" s="34"/>
      <c r="AO2299" s="12"/>
      <c r="AP2299" s="12"/>
      <c r="AQ2299" s="8"/>
      <c r="AR2299" s="34"/>
      <c r="AS2299" s="34"/>
      <c r="AT2299" s="8"/>
      <c r="AU2299" s="12" t="s">
        <v>1978</v>
      </c>
      <c r="AW2299" s="36">
        <v>3</v>
      </c>
      <c r="AX2299" s="33">
        <f>VLOOKUP(AW2299,색인!$N$14:$O$19,2,FALSE)</f>
        <v>2</v>
      </c>
      <c r="AY2299" s="36" t="str">
        <f>"T"&amp;O2299&amp;"_"&amp;AX2299&amp;"옵션_"&amp;VLOOKUP(E2299,색인!$J$25:$K$29,2,FALSE)</f>
        <v>T8_2옵션_장신구</v>
      </c>
      <c r="AZ2299" s="36">
        <f>VLOOKUP(G2299,색인!$J$32:$K$45,2,FALSE)</f>
        <v>4</v>
      </c>
      <c r="BA2299" s="36" t="str">
        <f>_xlfn.IFNA(VLOOKUP(AY2299,표1[[검색용]:[OptionGroupIndex'[']22]],EquipItemTable!AZ2299,FALSE),"옵션고정안함")</f>
        <v>8231,8232</v>
      </c>
    </row>
    <row r="2300" spans="1:53" s="33" customFormat="1" ht="12" customHeight="1" x14ac:dyDescent="0.2">
      <c r="A2300" s="31" t="s">
        <v>2786</v>
      </c>
      <c r="B2300" s="39">
        <v>816024</v>
      </c>
      <c r="C2300" s="42" t="s">
        <v>4016</v>
      </c>
      <c r="D2300" s="86" t="s">
        <v>2955</v>
      </c>
      <c r="E2300" s="86" t="s">
        <v>2</v>
      </c>
      <c r="F2300" s="32" t="s">
        <v>312</v>
      </c>
      <c r="G2300" s="32" t="s">
        <v>1625</v>
      </c>
      <c r="H2300" s="32"/>
      <c r="I2300" s="32"/>
      <c r="J2300" s="32"/>
      <c r="K2300" s="32"/>
      <c r="L2300" s="32"/>
      <c r="M2300" s="32"/>
      <c r="N2300" s="8"/>
      <c r="O2300" s="32">
        <v>8</v>
      </c>
      <c r="P2300" s="32">
        <v>81</v>
      </c>
      <c r="Q2300" s="1"/>
      <c r="R2300" s="1"/>
      <c r="S2300" s="1"/>
      <c r="T2300" s="1"/>
      <c r="U2300" s="1"/>
      <c r="V2300" s="1"/>
      <c r="W2300" s="1" t="s">
        <v>2193</v>
      </c>
      <c r="X2300" s="1" t="s">
        <v>2193</v>
      </c>
      <c r="Y2300" s="1" t="s">
        <v>2193</v>
      </c>
      <c r="Z2300" s="1" t="s">
        <v>2193</v>
      </c>
      <c r="AA2300" s="1">
        <v>3234</v>
      </c>
      <c r="AB2300" s="1" t="s">
        <v>2193</v>
      </c>
      <c r="AC2300" s="8"/>
      <c r="AD2300" s="12" t="s">
        <v>52</v>
      </c>
      <c r="AE2300" s="39" t="str">
        <f t="shared" si="244"/>
        <v>8331,8332</v>
      </c>
      <c r="AF2300" s="12"/>
      <c r="AG2300" s="12"/>
      <c r="AH2300" s="12"/>
      <c r="AI2300" s="12"/>
      <c r="AJ2300" s="12"/>
      <c r="AK2300" s="12"/>
      <c r="AL2300" s="12"/>
      <c r="AM2300" s="12"/>
      <c r="AN2300" s="34"/>
      <c r="AO2300" s="12"/>
      <c r="AP2300" s="12"/>
      <c r="AQ2300" s="8"/>
      <c r="AR2300" s="34"/>
      <c r="AS2300" s="34"/>
      <c r="AT2300" s="8"/>
      <c r="AU2300" s="12" t="s">
        <v>1980</v>
      </c>
      <c r="AW2300" s="36">
        <v>4</v>
      </c>
      <c r="AX2300" s="33">
        <f>VLOOKUP(AW2300,색인!$N$14:$O$19,2,FALSE)</f>
        <v>3</v>
      </c>
      <c r="AY2300" s="36" t="str">
        <f>"T"&amp;O2300&amp;"_"&amp;AX2300&amp;"옵션_"&amp;VLOOKUP(E2300,색인!$J$25:$K$29,2,FALSE)</f>
        <v>T8_3옵션_장신구</v>
      </c>
      <c r="AZ2300" s="36">
        <f>VLOOKUP(G2300,색인!$J$32:$K$45,2,FALSE)</f>
        <v>4</v>
      </c>
      <c r="BA2300" s="36" t="str">
        <f>_xlfn.IFNA(VLOOKUP(AY2300,표1[[검색용]:[OptionGroupIndex'[']22]],EquipItemTable!AZ2300,FALSE),"옵션고정안함")</f>
        <v>8331,8332</v>
      </c>
    </row>
    <row r="2301" spans="1:53" s="33" customFormat="1" ht="12" customHeight="1" x14ac:dyDescent="0.2">
      <c r="A2301" s="31" t="s">
        <v>2787</v>
      </c>
      <c r="B2301" s="39">
        <v>816025</v>
      </c>
      <c r="C2301" s="42" t="s">
        <v>4334</v>
      </c>
      <c r="D2301" s="86" t="s">
        <v>2955</v>
      </c>
      <c r="E2301" s="86" t="s">
        <v>2</v>
      </c>
      <c r="F2301" s="32" t="s">
        <v>312</v>
      </c>
      <c r="G2301" s="32" t="s">
        <v>1625</v>
      </c>
      <c r="H2301" s="32"/>
      <c r="I2301" s="32"/>
      <c r="J2301" s="32"/>
      <c r="K2301" s="32"/>
      <c r="L2301" s="32"/>
      <c r="M2301" s="32"/>
      <c r="N2301" s="8"/>
      <c r="O2301" s="32">
        <v>8</v>
      </c>
      <c r="P2301" s="32">
        <v>81</v>
      </c>
      <c r="Q2301" s="1"/>
      <c r="R2301" s="1"/>
      <c r="S2301" s="1"/>
      <c r="T2301" s="1"/>
      <c r="U2301" s="1"/>
      <c r="V2301" s="1"/>
      <c r="W2301" s="1" t="s">
        <v>2193</v>
      </c>
      <c r="X2301" s="1" t="s">
        <v>2193</v>
      </c>
      <c r="Y2301" s="1" t="s">
        <v>2193</v>
      </c>
      <c r="Z2301" s="1" t="s">
        <v>2193</v>
      </c>
      <c r="AA2301" s="1">
        <v>3392</v>
      </c>
      <c r="AB2301" s="1" t="s">
        <v>2193</v>
      </c>
      <c r="AC2301" s="8"/>
      <c r="AD2301" s="12" t="s">
        <v>52</v>
      </c>
      <c r="AE2301" s="39" t="str">
        <f t="shared" si="244"/>
        <v>8331,8332</v>
      </c>
      <c r="AF2301" s="12"/>
      <c r="AG2301" s="12"/>
      <c r="AH2301" s="12"/>
      <c r="AI2301" s="12"/>
      <c r="AJ2301" s="12"/>
      <c r="AK2301" s="12"/>
      <c r="AL2301" s="12"/>
      <c r="AM2301" s="12"/>
      <c r="AN2301" s="34" t="s">
        <v>2792</v>
      </c>
      <c r="AO2301" s="12"/>
      <c r="AP2301" s="12"/>
      <c r="AQ2301" s="8"/>
      <c r="AR2301" s="34"/>
      <c r="AS2301" s="34"/>
      <c r="AT2301" s="8"/>
      <c r="AU2301" s="12" t="s">
        <v>1982</v>
      </c>
      <c r="AW2301" s="36">
        <v>5</v>
      </c>
      <c r="AX2301" s="33">
        <f>VLOOKUP(AW2301,색인!$N$14:$O$19,2,FALSE)</f>
        <v>3</v>
      </c>
      <c r="AY2301" s="36" t="str">
        <f>"T"&amp;O2301&amp;"_"&amp;AX2301&amp;"옵션_"&amp;VLOOKUP(E2301,색인!$J$25:$K$29,2,FALSE)</f>
        <v>T8_3옵션_장신구</v>
      </c>
      <c r="AZ2301" s="36">
        <f>VLOOKUP(G2301,색인!$J$32:$K$45,2,FALSE)</f>
        <v>4</v>
      </c>
      <c r="BA2301" s="36" t="str">
        <f>_xlfn.IFNA(VLOOKUP(AY2301,표1[[검색용]:[OptionGroupIndex'[']22]],EquipItemTable!AZ2301,FALSE),"옵션고정안함")</f>
        <v>8331,8332</v>
      </c>
    </row>
    <row r="2302" spans="1:53" s="33" customFormat="1" ht="12" customHeight="1" x14ac:dyDescent="0.2">
      <c r="A2302" s="31" t="s">
        <v>2788</v>
      </c>
      <c r="B2302" s="39">
        <v>817022</v>
      </c>
      <c r="C2302" s="42" t="s">
        <v>4048</v>
      </c>
      <c r="D2302" s="86" t="s">
        <v>2955</v>
      </c>
      <c r="E2302" s="86" t="s">
        <v>1629</v>
      </c>
      <c r="F2302" s="32" t="s">
        <v>312</v>
      </c>
      <c r="G2302" s="32" t="s">
        <v>1630</v>
      </c>
      <c r="H2302" s="32"/>
      <c r="I2302" s="32"/>
      <c r="J2302" s="32"/>
      <c r="K2302" s="32"/>
      <c r="L2302" s="32"/>
      <c r="M2302" s="32"/>
      <c r="N2302" s="8"/>
      <c r="O2302" s="32">
        <v>8</v>
      </c>
      <c r="P2302" s="32">
        <v>81</v>
      </c>
      <c r="Q2302" s="1"/>
      <c r="R2302" s="1"/>
      <c r="S2302" s="1"/>
      <c r="T2302" s="1"/>
      <c r="U2302" s="1"/>
      <c r="V2302" s="1"/>
      <c r="W2302" s="1" t="s">
        <v>2193</v>
      </c>
      <c r="X2302" s="1" t="s">
        <v>2193</v>
      </c>
      <c r="Y2302" s="1">
        <v>182554</v>
      </c>
      <c r="Z2302" s="1" t="s">
        <v>2193</v>
      </c>
      <c r="AA2302" s="1" t="s">
        <v>2193</v>
      </c>
      <c r="AB2302" s="1" t="s">
        <v>2193</v>
      </c>
      <c r="AC2302" s="8"/>
      <c r="AD2302" s="12" t="s">
        <v>52</v>
      </c>
      <c r="AE2302" s="39" t="str">
        <f t="shared" si="244"/>
        <v>8141,8142</v>
      </c>
      <c r="AF2302" s="12"/>
      <c r="AG2302" s="12"/>
      <c r="AH2302" s="12"/>
      <c r="AI2302" s="12"/>
      <c r="AJ2302" s="12"/>
      <c r="AK2302" s="12"/>
      <c r="AL2302" s="12"/>
      <c r="AM2302" s="12"/>
      <c r="AN2302" s="34"/>
      <c r="AO2302" s="12"/>
      <c r="AP2302" s="12"/>
      <c r="AQ2302" s="8"/>
      <c r="AR2302" s="34"/>
      <c r="AS2302" s="34"/>
      <c r="AT2302" s="8"/>
      <c r="AU2302" s="12" t="s">
        <v>1976</v>
      </c>
      <c r="AW2302" s="36">
        <v>2</v>
      </c>
      <c r="AX2302" s="33">
        <f>VLOOKUP(AW2302,색인!$N$14:$O$19,2,FALSE)</f>
        <v>1</v>
      </c>
      <c r="AY2302" s="36" t="str">
        <f>"T"&amp;O2302&amp;"_"&amp;AX2302&amp;"옵션_"&amp;VLOOKUP(E2302,색인!$J$25:$K$29,2,FALSE)</f>
        <v>T8_1옵션_보주</v>
      </c>
      <c r="AZ2302" s="36">
        <f>VLOOKUP(G2302,색인!$J$32:$K$45,2,FALSE)</f>
        <v>4</v>
      </c>
      <c r="BA2302" s="36" t="str">
        <f>_xlfn.IFNA(VLOOKUP(AY2302,표1[[검색용]:[OptionGroupIndex'[']22]],EquipItemTable!AZ2302,FALSE),"옵션고정안함")</f>
        <v>8141,8142</v>
      </c>
    </row>
    <row r="2303" spans="1:53" s="33" customFormat="1" ht="12" customHeight="1" x14ac:dyDescent="0.2">
      <c r="A2303" s="31" t="s">
        <v>2789</v>
      </c>
      <c r="B2303" s="39">
        <v>817023</v>
      </c>
      <c r="C2303" s="42" t="s">
        <v>4045</v>
      </c>
      <c r="D2303" s="86" t="s">
        <v>2955</v>
      </c>
      <c r="E2303" s="86" t="s">
        <v>1629</v>
      </c>
      <c r="F2303" s="32" t="s">
        <v>312</v>
      </c>
      <c r="G2303" s="32" t="s">
        <v>1630</v>
      </c>
      <c r="H2303" s="32"/>
      <c r="I2303" s="32"/>
      <c r="J2303" s="32"/>
      <c r="K2303" s="32"/>
      <c r="L2303" s="32"/>
      <c r="M2303" s="32"/>
      <c r="N2303" s="8"/>
      <c r="O2303" s="32">
        <v>8</v>
      </c>
      <c r="P2303" s="32">
        <v>81</v>
      </c>
      <c r="Q2303" s="1"/>
      <c r="R2303" s="1"/>
      <c r="S2303" s="1"/>
      <c r="T2303" s="1"/>
      <c r="U2303" s="1"/>
      <c r="V2303" s="1"/>
      <c r="W2303" s="1" t="s">
        <v>2193</v>
      </c>
      <c r="X2303" s="1" t="s">
        <v>2193</v>
      </c>
      <c r="Y2303" s="1">
        <v>194292</v>
      </c>
      <c r="Z2303" s="1" t="s">
        <v>2193</v>
      </c>
      <c r="AA2303" s="1" t="s">
        <v>2193</v>
      </c>
      <c r="AB2303" s="1" t="s">
        <v>2193</v>
      </c>
      <c r="AC2303" s="8"/>
      <c r="AD2303" s="12" t="s">
        <v>52</v>
      </c>
      <c r="AE2303" s="39" t="str">
        <f t="shared" si="244"/>
        <v>8241,8242</v>
      </c>
      <c r="AF2303" s="12"/>
      <c r="AG2303" s="12"/>
      <c r="AH2303" s="12"/>
      <c r="AI2303" s="12"/>
      <c r="AJ2303" s="12"/>
      <c r="AK2303" s="12"/>
      <c r="AL2303" s="12"/>
      <c r="AM2303" s="12"/>
      <c r="AN2303" s="34"/>
      <c r="AO2303" s="12"/>
      <c r="AP2303" s="12"/>
      <c r="AQ2303" s="8"/>
      <c r="AR2303" s="34"/>
      <c r="AS2303" s="34"/>
      <c r="AT2303" s="8"/>
      <c r="AU2303" s="12" t="s">
        <v>1978</v>
      </c>
      <c r="AW2303" s="36">
        <v>3</v>
      </c>
      <c r="AX2303" s="33">
        <f>VLOOKUP(AW2303,색인!$N$14:$O$19,2,FALSE)</f>
        <v>2</v>
      </c>
      <c r="AY2303" s="36" t="str">
        <f>"T"&amp;O2303&amp;"_"&amp;AX2303&amp;"옵션_"&amp;VLOOKUP(E2303,색인!$J$25:$K$29,2,FALSE)</f>
        <v>T8_2옵션_보주</v>
      </c>
      <c r="AZ2303" s="36">
        <f>VLOOKUP(G2303,색인!$J$32:$K$45,2,FALSE)</f>
        <v>4</v>
      </c>
      <c r="BA2303" s="36" t="str">
        <f>_xlfn.IFNA(VLOOKUP(AY2303,표1[[검색용]:[OptionGroupIndex'[']22]],EquipItemTable!AZ2303,FALSE),"옵션고정안함")</f>
        <v>8241,8242</v>
      </c>
    </row>
    <row r="2304" spans="1:53" s="33" customFormat="1" ht="12" customHeight="1" x14ac:dyDescent="0.2">
      <c r="A2304" s="31" t="s">
        <v>2790</v>
      </c>
      <c r="B2304" s="39">
        <v>817024</v>
      </c>
      <c r="C2304" s="42" t="s">
        <v>4038</v>
      </c>
      <c r="D2304" s="86" t="s">
        <v>2955</v>
      </c>
      <c r="E2304" s="86" t="s">
        <v>1629</v>
      </c>
      <c r="F2304" s="32" t="s">
        <v>312</v>
      </c>
      <c r="G2304" s="32" t="s">
        <v>1630</v>
      </c>
      <c r="H2304" s="32"/>
      <c r="I2304" s="32"/>
      <c r="J2304" s="32"/>
      <c r="K2304" s="32"/>
      <c r="L2304" s="32"/>
      <c r="M2304" s="32"/>
      <c r="N2304" s="8"/>
      <c r="O2304" s="32">
        <v>8</v>
      </c>
      <c r="P2304" s="32">
        <v>81</v>
      </c>
      <c r="Q2304" s="1"/>
      <c r="R2304" s="1"/>
      <c r="S2304" s="1"/>
      <c r="T2304" s="1"/>
      <c r="U2304" s="1"/>
      <c r="V2304" s="1"/>
      <c r="W2304" s="1" t="s">
        <v>2193</v>
      </c>
      <c r="X2304" s="1" t="s">
        <v>2193</v>
      </c>
      <c r="Y2304" s="1">
        <v>206483</v>
      </c>
      <c r="Z2304" s="1" t="s">
        <v>2193</v>
      </c>
      <c r="AA2304" s="1" t="s">
        <v>2193</v>
      </c>
      <c r="AB2304" s="1" t="s">
        <v>2193</v>
      </c>
      <c r="AC2304" s="8"/>
      <c r="AD2304" s="12" t="s">
        <v>52</v>
      </c>
      <c r="AE2304" s="39" t="str">
        <f t="shared" si="244"/>
        <v>8341,8342</v>
      </c>
      <c r="AF2304" s="12"/>
      <c r="AG2304" s="12"/>
      <c r="AH2304" s="12"/>
      <c r="AI2304" s="12"/>
      <c r="AJ2304" s="12"/>
      <c r="AK2304" s="12"/>
      <c r="AL2304" s="12"/>
      <c r="AM2304" s="12"/>
      <c r="AN2304" s="34"/>
      <c r="AO2304" s="12"/>
      <c r="AP2304" s="12"/>
      <c r="AQ2304" s="8"/>
      <c r="AR2304" s="34"/>
      <c r="AS2304" s="34"/>
      <c r="AT2304" s="8"/>
      <c r="AU2304" s="12" t="s">
        <v>1980</v>
      </c>
      <c r="AW2304" s="36">
        <v>4</v>
      </c>
      <c r="AX2304" s="33">
        <f>VLOOKUP(AW2304,색인!$N$14:$O$19,2,FALSE)</f>
        <v>3</v>
      </c>
      <c r="AY2304" s="36" t="str">
        <f>"T"&amp;O2304&amp;"_"&amp;AX2304&amp;"옵션_"&amp;VLOOKUP(E2304,색인!$J$25:$K$29,2,FALSE)</f>
        <v>T8_3옵션_보주</v>
      </c>
      <c r="AZ2304" s="36">
        <f>VLOOKUP(G2304,색인!$J$32:$K$45,2,FALSE)</f>
        <v>4</v>
      </c>
      <c r="BA2304" s="36" t="str">
        <f>_xlfn.IFNA(VLOOKUP(AY2304,표1[[검색용]:[OptionGroupIndex'[']22]],EquipItemTable!AZ2304,FALSE),"옵션고정안함")</f>
        <v>8341,8342</v>
      </c>
    </row>
    <row r="2305" spans="1:53" s="33" customFormat="1" ht="12" customHeight="1" x14ac:dyDescent="0.2">
      <c r="A2305" s="31" t="s">
        <v>2791</v>
      </c>
      <c r="B2305" s="39">
        <v>817025</v>
      </c>
      <c r="C2305" s="42" t="s">
        <v>4056</v>
      </c>
      <c r="D2305" s="86" t="s">
        <v>2955</v>
      </c>
      <c r="E2305" s="86" t="s">
        <v>1629</v>
      </c>
      <c r="F2305" s="32" t="s">
        <v>312</v>
      </c>
      <c r="G2305" s="32" t="s">
        <v>1630</v>
      </c>
      <c r="H2305" s="32"/>
      <c r="I2305" s="32"/>
      <c r="J2305" s="32"/>
      <c r="K2305" s="32"/>
      <c r="L2305" s="32"/>
      <c r="M2305" s="32"/>
      <c r="N2305" s="8"/>
      <c r="O2305" s="32">
        <v>8</v>
      </c>
      <c r="P2305" s="32">
        <v>81</v>
      </c>
      <c r="Q2305" s="1"/>
      <c r="R2305" s="1"/>
      <c r="S2305" s="1"/>
      <c r="T2305" s="1"/>
      <c r="U2305" s="1"/>
      <c r="V2305" s="1"/>
      <c r="W2305" s="1" t="s">
        <v>2193</v>
      </c>
      <c r="X2305" s="1" t="s">
        <v>2193</v>
      </c>
      <c r="Y2305" s="1">
        <v>216615</v>
      </c>
      <c r="Z2305" s="1" t="s">
        <v>2193</v>
      </c>
      <c r="AA2305" s="1" t="s">
        <v>2193</v>
      </c>
      <c r="AB2305" s="1" t="s">
        <v>2193</v>
      </c>
      <c r="AC2305" s="8"/>
      <c r="AD2305" s="12" t="s">
        <v>52</v>
      </c>
      <c r="AE2305" s="39" t="str">
        <f t="shared" si="244"/>
        <v>8341,8342</v>
      </c>
      <c r="AF2305" s="12"/>
      <c r="AG2305" s="12"/>
      <c r="AH2305" s="12"/>
      <c r="AI2305" s="12"/>
      <c r="AJ2305" s="12"/>
      <c r="AK2305" s="12"/>
      <c r="AL2305" s="12"/>
      <c r="AM2305" s="12"/>
      <c r="AN2305" s="34" t="s">
        <v>2792</v>
      </c>
      <c r="AO2305" s="12"/>
      <c r="AP2305" s="12"/>
      <c r="AQ2305" s="8"/>
      <c r="AR2305" s="34"/>
      <c r="AS2305" s="34"/>
      <c r="AT2305" s="8"/>
      <c r="AU2305" s="12" t="s">
        <v>1982</v>
      </c>
      <c r="AW2305" s="36">
        <v>5</v>
      </c>
      <c r="AX2305" s="33">
        <f>VLOOKUP(AW2305,색인!$N$14:$O$19,2,FALSE)</f>
        <v>3</v>
      </c>
      <c r="AY2305" s="36" t="str">
        <f>"T"&amp;O2305&amp;"_"&amp;AX2305&amp;"옵션_"&amp;VLOOKUP(E2305,색인!$J$25:$K$29,2,FALSE)</f>
        <v>T8_3옵션_보주</v>
      </c>
      <c r="AZ2305" s="36">
        <f>VLOOKUP(G2305,색인!$J$32:$K$45,2,FALSE)</f>
        <v>4</v>
      </c>
      <c r="BA2305" s="36" t="str">
        <f>_xlfn.IFNA(VLOOKUP(AY2305,표1[[검색용]:[OptionGroupIndex'[']22]],EquipItemTable!AZ2305,FALSE),"옵션고정안함")</f>
        <v>8341,8342</v>
      </c>
    </row>
    <row r="2306" spans="1:53" ht="12" customHeight="1" x14ac:dyDescent="0.2">
      <c r="A2306" s="10" t="s">
        <v>2621</v>
      </c>
      <c r="B2306" s="39">
        <v>801026</v>
      </c>
      <c r="C2306" s="42" t="s">
        <v>4335</v>
      </c>
      <c r="D2306" s="86" t="s">
        <v>2955</v>
      </c>
      <c r="E2306" s="86" t="s">
        <v>0</v>
      </c>
      <c r="F2306" s="32" t="s">
        <v>436</v>
      </c>
      <c r="G2306" s="32" t="s">
        <v>1305</v>
      </c>
      <c r="O2306" s="32">
        <v>8</v>
      </c>
      <c r="P2306" s="32">
        <v>81</v>
      </c>
      <c r="W2306" s="12">
        <v>7994</v>
      </c>
      <c r="X2306" s="12">
        <v>7994</v>
      </c>
      <c r="Y2306" s="12" t="s">
        <v>2193</v>
      </c>
      <c r="Z2306" s="12" t="s">
        <v>2193</v>
      </c>
      <c r="AA2306" s="12" t="s">
        <v>2193</v>
      </c>
      <c r="AB2306" s="12" t="s">
        <v>2193</v>
      </c>
      <c r="AD2306" s="12" t="s">
        <v>52</v>
      </c>
      <c r="AE2306" s="39" t="s">
        <v>2188</v>
      </c>
      <c r="AF2306" s="12" t="s">
        <v>2185</v>
      </c>
      <c r="AN2306" s="34" t="s">
        <v>2793</v>
      </c>
      <c r="AR2306" s="34">
        <v>1</v>
      </c>
      <c r="AS2306" s="34">
        <v>1</v>
      </c>
      <c r="AU2306" s="12" t="s">
        <v>1936</v>
      </c>
      <c r="AW2306" s="39">
        <v>6</v>
      </c>
      <c r="AX2306" s="12">
        <f>VLOOKUP(AW2306,색인!$N$14:$O$19,2,FALSE)</f>
        <v>4</v>
      </c>
      <c r="AY2306" s="12" t="str">
        <f>"T"&amp;O2306&amp;"_"&amp;AX2306&amp;"옵션_"&amp;VLOOKUP(E2306,색인!$J$25:$K$29,2,FALSE)</f>
        <v>T8_4옵션_장신구</v>
      </c>
      <c r="AZ2306" s="12">
        <f>VLOOKUP(G2306,색인!$J$32:$K$45,2,FALSE)</f>
        <v>3</v>
      </c>
      <c r="BA2306" s="12" t="str">
        <f>_xlfn.IFNA(VLOOKUP(AY2306,표1[[검색용]:[OptionGroupIndex'[']22]],EquipItemTable!AZ2306,FALSE),"옵션고정안함")</f>
        <v>8432</v>
      </c>
    </row>
    <row r="2307" spans="1:53" ht="12" customHeight="1" x14ac:dyDescent="0.2">
      <c r="A2307" s="10" t="s">
        <v>2622</v>
      </c>
      <c r="B2307" s="39">
        <v>802026</v>
      </c>
      <c r="C2307" s="42" t="s">
        <v>4336</v>
      </c>
      <c r="D2307" s="86" t="s">
        <v>2955</v>
      </c>
      <c r="E2307" s="86" t="s">
        <v>0</v>
      </c>
      <c r="F2307" s="32" t="s">
        <v>928</v>
      </c>
      <c r="G2307" s="32" t="s">
        <v>1357</v>
      </c>
      <c r="O2307" s="32">
        <v>8</v>
      </c>
      <c r="P2307" s="32">
        <v>81</v>
      </c>
      <c r="W2307" s="12">
        <v>9081</v>
      </c>
      <c r="X2307" s="12">
        <v>9081</v>
      </c>
      <c r="Y2307" s="12" t="s">
        <v>2193</v>
      </c>
      <c r="Z2307" s="12" t="s">
        <v>2193</v>
      </c>
      <c r="AA2307" s="12" t="s">
        <v>2193</v>
      </c>
      <c r="AB2307" s="12" t="s">
        <v>2193</v>
      </c>
      <c r="AD2307" s="12" t="s">
        <v>52</v>
      </c>
      <c r="AE2307" s="39" t="s">
        <v>2188</v>
      </c>
      <c r="AF2307" s="12" t="s">
        <v>2185</v>
      </c>
      <c r="AN2307" s="34" t="s">
        <v>2793</v>
      </c>
      <c r="AR2307" s="34">
        <v>1</v>
      </c>
      <c r="AS2307" s="34">
        <v>1</v>
      </c>
      <c r="AU2307" s="12" t="s">
        <v>1936</v>
      </c>
      <c r="AW2307" s="39">
        <v>6</v>
      </c>
      <c r="AX2307" s="12">
        <f>VLOOKUP(AW2307,색인!$N$14:$O$19,2,FALSE)</f>
        <v>4</v>
      </c>
      <c r="AY2307" s="12" t="str">
        <f>"T"&amp;O2307&amp;"_"&amp;AX2307&amp;"옵션_"&amp;VLOOKUP(E2307,색인!$J$25:$K$29,2,FALSE)</f>
        <v>T8_4옵션_장신구</v>
      </c>
      <c r="AZ2307" s="12">
        <f>VLOOKUP(G2307,색인!$J$32:$K$45,2,FALSE)</f>
        <v>2</v>
      </c>
      <c r="BA2307" s="12" t="str">
        <f>_xlfn.IFNA(VLOOKUP(AY2307,표1[[검색용]:[OptionGroupIndex'[']22]],EquipItemTable!AZ2307,FALSE),"옵션고정안함")</f>
        <v>8431</v>
      </c>
    </row>
    <row r="2308" spans="1:53" ht="12" customHeight="1" x14ac:dyDescent="0.2">
      <c r="A2308" s="10" t="s">
        <v>2623</v>
      </c>
      <c r="B2308" s="39">
        <v>803026</v>
      </c>
      <c r="C2308" s="42" t="s">
        <v>4337</v>
      </c>
      <c r="D2308" s="86" t="s">
        <v>2955</v>
      </c>
      <c r="E2308" s="86" t="s">
        <v>0</v>
      </c>
      <c r="F2308" s="32" t="s">
        <v>310</v>
      </c>
      <c r="G2308" s="32" t="s">
        <v>1358</v>
      </c>
      <c r="O2308" s="32">
        <v>8</v>
      </c>
      <c r="P2308" s="32">
        <v>81</v>
      </c>
      <c r="W2308" s="12">
        <v>9969</v>
      </c>
      <c r="X2308" s="12">
        <v>9969</v>
      </c>
      <c r="Y2308" s="12" t="s">
        <v>2193</v>
      </c>
      <c r="Z2308" s="12" t="s">
        <v>2193</v>
      </c>
      <c r="AA2308" s="12" t="s">
        <v>2193</v>
      </c>
      <c r="AB2308" s="12" t="s">
        <v>2193</v>
      </c>
      <c r="AD2308" s="12" t="s">
        <v>52</v>
      </c>
      <c r="AE2308" s="39" t="s">
        <v>2188</v>
      </c>
      <c r="AF2308" s="12" t="s">
        <v>2185</v>
      </c>
      <c r="AN2308" s="34" t="s">
        <v>2793</v>
      </c>
      <c r="AR2308" s="34">
        <v>1</v>
      </c>
      <c r="AS2308" s="34">
        <v>1</v>
      </c>
      <c r="AU2308" s="12" t="s">
        <v>1936</v>
      </c>
      <c r="AW2308" s="39">
        <v>6</v>
      </c>
      <c r="AX2308" s="12">
        <f>VLOOKUP(AW2308,색인!$N$14:$O$19,2,FALSE)</f>
        <v>4</v>
      </c>
      <c r="AY2308" s="12" t="str">
        <f>"T"&amp;O2308&amp;"_"&amp;AX2308&amp;"옵션_"&amp;VLOOKUP(E2308,색인!$J$25:$K$29,2,FALSE)</f>
        <v>T8_4옵션_장신구</v>
      </c>
      <c r="AZ2308" s="12">
        <f>VLOOKUP(G2308,색인!$J$32:$K$45,2,FALSE)</f>
        <v>2</v>
      </c>
      <c r="BA2308" s="12" t="str">
        <f>_xlfn.IFNA(VLOOKUP(AY2308,표1[[검색용]:[OptionGroupIndex'[']22]],EquipItemTable!AZ2308,FALSE),"옵션고정안함")</f>
        <v>8431</v>
      </c>
    </row>
    <row r="2309" spans="1:53" ht="12" customHeight="1" x14ac:dyDescent="0.2">
      <c r="A2309" s="10" t="s">
        <v>2624</v>
      </c>
      <c r="B2309" s="39">
        <v>804026</v>
      </c>
      <c r="C2309" s="42" t="s">
        <v>4338</v>
      </c>
      <c r="D2309" s="86" t="s">
        <v>2955</v>
      </c>
      <c r="E2309" s="86" t="s">
        <v>0</v>
      </c>
      <c r="F2309" s="32" t="s">
        <v>456</v>
      </c>
      <c r="G2309" s="32" t="s">
        <v>1396</v>
      </c>
      <c r="O2309" s="32">
        <v>8</v>
      </c>
      <c r="P2309" s="32">
        <v>81</v>
      </c>
      <c r="W2309" s="12">
        <v>11252</v>
      </c>
      <c r="X2309" s="12">
        <v>11252</v>
      </c>
      <c r="Y2309" s="12" t="s">
        <v>2193</v>
      </c>
      <c r="Z2309" s="12" t="s">
        <v>2193</v>
      </c>
      <c r="AA2309" s="12" t="s">
        <v>2193</v>
      </c>
      <c r="AB2309" s="12" t="s">
        <v>2193</v>
      </c>
      <c r="AD2309" s="12" t="s">
        <v>52</v>
      </c>
      <c r="AE2309" s="39" t="s">
        <v>2188</v>
      </c>
      <c r="AF2309" s="12" t="s">
        <v>2185</v>
      </c>
      <c r="AN2309" s="34" t="s">
        <v>2793</v>
      </c>
      <c r="AR2309" s="34">
        <v>1</v>
      </c>
      <c r="AS2309" s="34">
        <v>1</v>
      </c>
      <c r="AU2309" s="12" t="s">
        <v>1936</v>
      </c>
      <c r="AW2309" s="39">
        <v>6</v>
      </c>
      <c r="AX2309" s="12">
        <f>VLOOKUP(AW2309,색인!$N$14:$O$19,2,FALSE)</f>
        <v>4</v>
      </c>
      <c r="AY2309" s="12" t="str">
        <f>"T"&amp;O2309&amp;"_"&amp;AX2309&amp;"옵션_"&amp;VLOOKUP(E2309,색인!$J$25:$K$29,2,FALSE)</f>
        <v>T8_4옵션_장신구</v>
      </c>
      <c r="AZ2309" s="12">
        <f>VLOOKUP(G2309,색인!$J$32:$K$45,2,FALSE)</f>
        <v>2</v>
      </c>
      <c r="BA2309" s="12" t="str">
        <f>_xlfn.IFNA(VLOOKUP(AY2309,표1[[검색용]:[OptionGroupIndex'[']22]],EquipItemTable!AZ2309,FALSE),"옵션고정안함")</f>
        <v>8431</v>
      </c>
    </row>
    <row r="2310" spans="1:53" ht="12" customHeight="1" x14ac:dyDescent="0.2">
      <c r="A2310" s="10" t="s">
        <v>2625</v>
      </c>
      <c r="B2310" s="39">
        <v>805026</v>
      </c>
      <c r="C2310" s="42" t="s">
        <v>4339</v>
      </c>
      <c r="D2310" s="86" t="s">
        <v>2955</v>
      </c>
      <c r="E2310" s="86" t="s">
        <v>0</v>
      </c>
      <c r="F2310" s="32" t="s">
        <v>927</v>
      </c>
      <c r="G2310" s="32" t="s">
        <v>1415</v>
      </c>
      <c r="O2310" s="32">
        <v>8</v>
      </c>
      <c r="P2310" s="32">
        <v>81</v>
      </c>
      <c r="W2310" s="12">
        <v>10266</v>
      </c>
      <c r="X2310" s="12">
        <v>10266</v>
      </c>
      <c r="Y2310" s="12" t="s">
        <v>2193</v>
      </c>
      <c r="Z2310" s="12" t="s">
        <v>2193</v>
      </c>
      <c r="AA2310" s="12" t="s">
        <v>2193</v>
      </c>
      <c r="AB2310" s="12" t="s">
        <v>2193</v>
      </c>
      <c r="AD2310" s="12" t="s">
        <v>52</v>
      </c>
      <c r="AE2310" s="39" t="s">
        <v>2188</v>
      </c>
      <c r="AF2310" s="12" t="s">
        <v>2185</v>
      </c>
      <c r="AN2310" s="34" t="s">
        <v>2793</v>
      </c>
      <c r="AR2310" s="34">
        <v>1</v>
      </c>
      <c r="AS2310" s="34">
        <v>1</v>
      </c>
      <c r="AU2310" s="12" t="s">
        <v>1936</v>
      </c>
      <c r="AW2310" s="39">
        <v>6</v>
      </c>
      <c r="AX2310" s="12">
        <f>VLOOKUP(AW2310,색인!$N$14:$O$19,2,FALSE)</f>
        <v>4</v>
      </c>
      <c r="AY2310" s="12" t="str">
        <f>"T"&amp;O2310&amp;"_"&amp;AX2310&amp;"옵션_"&amp;VLOOKUP(E2310,색인!$J$25:$K$29,2,FALSE)</f>
        <v>T8_4옵션_장신구</v>
      </c>
      <c r="AZ2310" s="12">
        <f>VLOOKUP(G2310,색인!$J$32:$K$45,2,FALSE)</f>
        <v>2</v>
      </c>
      <c r="BA2310" s="12" t="str">
        <f>_xlfn.IFNA(VLOOKUP(AY2310,표1[[검색용]:[OptionGroupIndex'[']22]],EquipItemTable!AZ2310,FALSE),"옵션고정안함")</f>
        <v>8431</v>
      </c>
    </row>
    <row r="2311" spans="1:53" ht="12" customHeight="1" x14ac:dyDescent="0.2">
      <c r="A2311" s="10" t="s">
        <v>2626</v>
      </c>
      <c r="B2311" s="39">
        <v>806026</v>
      </c>
      <c r="C2311" s="42" t="s">
        <v>4340</v>
      </c>
      <c r="D2311" s="86" t="s">
        <v>2955</v>
      </c>
      <c r="E2311" s="86" t="s">
        <v>0</v>
      </c>
      <c r="F2311" s="32" t="s">
        <v>471</v>
      </c>
      <c r="G2311" s="32" t="s">
        <v>1434</v>
      </c>
      <c r="O2311" s="32">
        <v>8</v>
      </c>
      <c r="P2311" s="32">
        <v>81</v>
      </c>
      <c r="W2311" s="12">
        <v>10462</v>
      </c>
      <c r="X2311" s="12">
        <v>10462</v>
      </c>
      <c r="Y2311" s="12" t="s">
        <v>2193</v>
      </c>
      <c r="Z2311" s="12" t="s">
        <v>2193</v>
      </c>
      <c r="AA2311" s="12" t="s">
        <v>2193</v>
      </c>
      <c r="AB2311" s="12" t="s">
        <v>2193</v>
      </c>
      <c r="AD2311" s="12" t="s">
        <v>52</v>
      </c>
      <c r="AE2311" s="39" t="s">
        <v>2188</v>
      </c>
      <c r="AF2311" s="12" t="s">
        <v>2185</v>
      </c>
      <c r="AN2311" s="34" t="s">
        <v>2793</v>
      </c>
      <c r="AR2311" s="34">
        <v>1</v>
      </c>
      <c r="AS2311" s="34">
        <v>1</v>
      </c>
      <c r="AU2311" s="12" t="s">
        <v>1936</v>
      </c>
      <c r="AW2311" s="39">
        <v>6</v>
      </c>
      <c r="AX2311" s="12">
        <f>VLOOKUP(AW2311,색인!$N$14:$O$19,2,FALSE)</f>
        <v>4</v>
      </c>
      <c r="AY2311" s="12" t="str">
        <f>"T"&amp;O2311&amp;"_"&amp;AX2311&amp;"옵션_"&amp;VLOOKUP(E2311,색인!$J$25:$K$29,2,FALSE)</f>
        <v>T8_4옵션_장신구</v>
      </c>
      <c r="AZ2311" s="12">
        <f>VLOOKUP(G2311,색인!$J$32:$K$45,2,FALSE)</f>
        <v>2</v>
      </c>
      <c r="BA2311" s="12" t="str">
        <f>_xlfn.IFNA(VLOOKUP(AY2311,표1[[검색용]:[OptionGroupIndex'[']22]],EquipItemTable!AZ2311,FALSE),"옵션고정안함")</f>
        <v>8431</v>
      </c>
    </row>
    <row r="2312" spans="1:53" ht="12" customHeight="1" x14ac:dyDescent="0.2">
      <c r="A2312" s="10" t="s">
        <v>2627</v>
      </c>
      <c r="B2312" s="39">
        <v>807026</v>
      </c>
      <c r="C2312" s="42" t="s">
        <v>4341</v>
      </c>
      <c r="D2312" s="86" t="s">
        <v>2955</v>
      </c>
      <c r="E2312" s="86" t="s">
        <v>1</v>
      </c>
      <c r="F2312" s="32" t="s">
        <v>480</v>
      </c>
      <c r="G2312" s="32" t="s">
        <v>1453</v>
      </c>
      <c r="O2312" s="32">
        <v>8</v>
      </c>
      <c r="P2312" s="32">
        <v>81</v>
      </c>
      <c r="W2312" s="12" t="s">
        <v>2193</v>
      </c>
      <c r="X2312" s="12" t="s">
        <v>2193</v>
      </c>
      <c r="Y2312" s="12" t="s">
        <v>2193</v>
      </c>
      <c r="Z2312" s="12" t="s">
        <v>2193</v>
      </c>
      <c r="AA2312" s="12">
        <v>5329</v>
      </c>
      <c r="AB2312" s="12" t="s">
        <v>2193</v>
      </c>
      <c r="AD2312" s="12" t="s">
        <v>52</v>
      </c>
      <c r="AE2312" s="39" t="s">
        <v>2188</v>
      </c>
      <c r="AF2312" s="12" t="s">
        <v>2185</v>
      </c>
      <c r="AN2312" s="34" t="s">
        <v>2793</v>
      </c>
      <c r="AR2312" s="34">
        <v>1</v>
      </c>
      <c r="AS2312" s="34">
        <v>1</v>
      </c>
      <c r="AU2312" s="12" t="s">
        <v>1936</v>
      </c>
      <c r="AW2312" s="39">
        <v>6</v>
      </c>
      <c r="AX2312" s="12">
        <f>VLOOKUP(AW2312,색인!$N$14:$O$19,2,FALSE)</f>
        <v>4</v>
      </c>
      <c r="AY2312" s="12" t="str">
        <f>"T"&amp;O2312&amp;"_"&amp;AX2312&amp;"옵션_"&amp;VLOOKUP(E2312,색인!$J$25:$K$29,2,FALSE)</f>
        <v>T8_4옵션_방어구</v>
      </c>
      <c r="AZ2312" s="12">
        <f>VLOOKUP(G2312,색인!$J$32:$K$45,2,FALSE)</f>
        <v>4</v>
      </c>
      <c r="BA2312" s="12" t="str">
        <f>_xlfn.IFNA(VLOOKUP(AY2312,표1[[검색용]:[OptionGroupIndex'[']22]],EquipItemTable!AZ2312,FALSE),"옵션고정안함")</f>
        <v>8411,8412</v>
      </c>
    </row>
    <row r="2313" spans="1:53" ht="12" customHeight="1" x14ac:dyDescent="0.2">
      <c r="A2313" s="10" t="s">
        <v>2628</v>
      </c>
      <c r="B2313" s="39">
        <v>808026</v>
      </c>
      <c r="C2313" s="42" t="s">
        <v>4342</v>
      </c>
      <c r="D2313" s="86" t="s">
        <v>2955</v>
      </c>
      <c r="E2313" s="86" t="s">
        <v>1</v>
      </c>
      <c r="F2313" s="32" t="s">
        <v>311</v>
      </c>
      <c r="G2313" s="32" t="s">
        <v>1472</v>
      </c>
      <c r="O2313" s="32">
        <v>8</v>
      </c>
      <c r="P2313" s="32">
        <v>81</v>
      </c>
      <c r="W2313" s="12" t="s">
        <v>2193</v>
      </c>
      <c r="X2313" s="12" t="s">
        <v>2193</v>
      </c>
      <c r="Y2313" s="12" t="s">
        <v>2193</v>
      </c>
      <c r="Z2313" s="12" t="s">
        <v>2193</v>
      </c>
      <c r="AA2313" s="12">
        <v>3553</v>
      </c>
      <c r="AB2313" s="12" t="s">
        <v>2193</v>
      </c>
      <c r="AD2313" s="12" t="s">
        <v>52</v>
      </c>
      <c r="AE2313" s="39" t="s">
        <v>2188</v>
      </c>
      <c r="AF2313" s="12" t="s">
        <v>2185</v>
      </c>
      <c r="AN2313" s="34" t="s">
        <v>2793</v>
      </c>
      <c r="AR2313" s="34">
        <v>1</v>
      </c>
      <c r="AS2313" s="34">
        <v>1</v>
      </c>
      <c r="AU2313" s="12" t="s">
        <v>1936</v>
      </c>
      <c r="AW2313" s="39">
        <v>6</v>
      </c>
      <c r="AX2313" s="12">
        <f>VLOOKUP(AW2313,색인!$N$14:$O$19,2,FALSE)</f>
        <v>4</v>
      </c>
      <c r="AY2313" s="12" t="str">
        <f>"T"&amp;O2313&amp;"_"&amp;AX2313&amp;"옵션_"&amp;VLOOKUP(E2313,색인!$J$25:$K$29,2,FALSE)</f>
        <v>T8_4옵션_방어구</v>
      </c>
      <c r="AZ2313" s="12">
        <f>VLOOKUP(G2313,색인!$J$32:$K$45,2,FALSE)</f>
        <v>2</v>
      </c>
      <c r="BA2313" s="12" t="str">
        <f>_xlfn.IFNA(VLOOKUP(AY2313,표1[[검색용]:[OptionGroupIndex'[']22]],EquipItemTable!AZ2313,FALSE),"옵션고정안함")</f>
        <v>8411</v>
      </c>
    </row>
    <row r="2314" spans="1:53" ht="12" customHeight="1" x14ac:dyDescent="0.2">
      <c r="A2314" s="10" t="s">
        <v>2629</v>
      </c>
      <c r="B2314" s="39">
        <v>809026</v>
      </c>
      <c r="C2314" s="42" t="s">
        <v>4343</v>
      </c>
      <c r="D2314" s="86" t="s">
        <v>2955</v>
      </c>
      <c r="E2314" s="86" t="s">
        <v>1</v>
      </c>
      <c r="F2314" s="32" t="s">
        <v>471</v>
      </c>
      <c r="G2314" s="32" t="s">
        <v>1491</v>
      </c>
      <c r="O2314" s="32">
        <v>8</v>
      </c>
      <c r="P2314" s="32">
        <v>81</v>
      </c>
      <c r="W2314" s="12" t="s">
        <v>2193</v>
      </c>
      <c r="X2314" s="12" t="s">
        <v>2193</v>
      </c>
      <c r="Y2314" s="12" t="s">
        <v>2193</v>
      </c>
      <c r="Z2314" s="12" t="s">
        <v>2193</v>
      </c>
      <c r="AA2314" s="12">
        <v>1777</v>
      </c>
      <c r="AB2314" s="12" t="s">
        <v>2193</v>
      </c>
      <c r="AD2314" s="12" t="s">
        <v>52</v>
      </c>
      <c r="AE2314" s="39" t="s">
        <v>2188</v>
      </c>
      <c r="AF2314" s="12" t="s">
        <v>2185</v>
      </c>
      <c r="AN2314" s="34" t="s">
        <v>2793</v>
      </c>
      <c r="AR2314" s="34">
        <v>1</v>
      </c>
      <c r="AS2314" s="34">
        <v>1</v>
      </c>
      <c r="AU2314" s="12" t="s">
        <v>1936</v>
      </c>
      <c r="AW2314" s="39">
        <v>6</v>
      </c>
      <c r="AX2314" s="12">
        <f>VLOOKUP(AW2314,색인!$N$14:$O$19,2,FALSE)</f>
        <v>4</v>
      </c>
      <c r="AY2314" s="12" t="str">
        <f>"T"&amp;O2314&amp;"_"&amp;AX2314&amp;"옵션_"&amp;VLOOKUP(E2314,색인!$J$25:$K$29,2,FALSE)</f>
        <v>T8_4옵션_방어구</v>
      </c>
      <c r="AZ2314" s="12">
        <f>VLOOKUP(G2314,색인!$J$32:$K$45,2,FALSE)</f>
        <v>2</v>
      </c>
      <c r="BA2314" s="12" t="str">
        <f>_xlfn.IFNA(VLOOKUP(AY2314,표1[[검색용]:[OptionGroupIndex'[']22]],EquipItemTable!AZ2314,FALSE),"옵션고정안함")</f>
        <v>8411</v>
      </c>
    </row>
    <row r="2315" spans="1:53" ht="12" customHeight="1" x14ac:dyDescent="0.2">
      <c r="A2315" s="10" t="s">
        <v>2630</v>
      </c>
      <c r="B2315" s="39">
        <v>810026</v>
      </c>
      <c r="C2315" s="42" t="s">
        <v>4344</v>
      </c>
      <c r="D2315" s="86" t="s">
        <v>2955</v>
      </c>
      <c r="E2315" s="86" t="s">
        <v>501</v>
      </c>
      <c r="F2315" s="32" t="s">
        <v>480</v>
      </c>
      <c r="G2315" s="32" t="s">
        <v>1453</v>
      </c>
      <c r="O2315" s="32">
        <v>8</v>
      </c>
      <c r="P2315" s="32">
        <v>81</v>
      </c>
      <c r="W2315" s="12" t="s">
        <v>2193</v>
      </c>
      <c r="X2315" s="12" t="s">
        <v>2193</v>
      </c>
      <c r="Y2315" s="12" t="s">
        <v>2193</v>
      </c>
      <c r="Z2315" s="12" t="s">
        <v>2193</v>
      </c>
      <c r="AA2315" s="12" t="s">
        <v>2193</v>
      </c>
      <c r="AB2315" s="12">
        <v>5329</v>
      </c>
      <c r="AD2315" s="12" t="s">
        <v>52</v>
      </c>
      <c r="AE2315" s="39" t="s">
        <v>2188</v>
      </c>
      <c r="AF2315" s="12" t="s">
        <v>2185</v>
      </c>
      <c r="AN2315" s="34" t="s">
        <v>2793</v>
      </c>
      <c r="AR2315" s="34">
        <v>1</v>
      </c>
      <c r="AS2315" s="34">
        <v>1</v>
      </c>
      <c r="AU2315" s="12" t="s">
        <v>1936</v>
      </c>
      <c r="AW2315" s="39">
        <v>6</v>
      </c>
      <c r="AX2315" s="12">
        <f>VLOOKUP(AW2315,색인!$N$14:$O$19,2,FALSE)</f>
        <v>4</v>
      </c>
      <c r="AY2315" s="12" t="str">
        <f>"T"&amp;O2315&amp;"_"&amp;AX2315&amp;"옵션_"&amp;VLOOKUP(E2315,색인!$J$25:$K$29,2,FALSE)</f>
        <v>T8_4옵션_보조장비</v>
      </c>
      <c r="AZ2315" s="12">
        <f>VLOOKUP(G2315,색인!$J$32:$K$45,2,FALSE)</f>
        <v>4</v>
      </c>
      <c r="BA2315" s="12" t="str">
        <f>_xlfn.IFNA(VLOOKUP(AY2315,표1[[검색용]:[OptionGroupIndex'[']22]],EquipItemTable!AZ2315,FALSE),"옵션고정안함")</f>
        <v>8421,8422</v>
      </c>
    </row>
    <row r="2316" spans="1:53" ht="12" customHeight="1" x14ac:dyDescent="0.2">
      <c r="A2316" s="10" t="s">
        <v>2631</v>
      </c>
      <c r="B2316" s="39">
        <v>811026</v>
      </c>
      <c r="C2316" s="42" t="s">
        <v>4345</v>
      </c>
      <c r="D2316" s="86" t="s">
        <v>2955</v>
      </c>
      <c r="E2316" s="86" t="s">
        <v>501</v>
      </c>
      <c r="F2316" s="32" t="s">
        <v>311</v>
      </c>
      <c r="G2316" s="32" t="s">
        <v>1472</v>
      </c>
      <c r="O2316" s="32">
        <v>8</v>
      </c>
      <c r="P2316" s="32">
        <v>81</v>
      </c>
      <c r="W2316" s="12" t="s">
        <v>2193</v>
      </c>
      <c r="X2316" s="12" t="s">
        <v>2193</v>
      </c>
      <c r="Y2316" s="12" t="s">
        <v>2193</v>
      </c>
      <c r="Z2316" s="12" t="s">
        <v>2193</v>
      </c>
      <c r="AA2316" s="12" t="s">
        <v>2193</v>
      </c>
      <c r="AB2316" s="12">
        <v>1777</v>
      </c>
      <c r="AD2316" s="12" t="s">
        <v>52</v>
      </c>
      <c r="AE2316" s="39" t="s">
        <v>2188</v>
      </c>
      <c r="AF2316" s="12" t="s">
        <v>2185</v>
      </c>
      <c r="AN2316" s="34" t="s">
        <v>2793</v>
      </c>
      <c r="AR2316" s="34">
        <v>1</v>
      </c>
      <c r="AS2316" s="34">
        <v>1</v>
      </c>
      <c r="AU2316" s="12" t="s">
        <v>1936</v>
      </c>
      <c r="AW2316" s="39">
        <v>6</v>
      </c>
      <c r="AX2316" s="12">
        <f>VLOOKUP(AW2316,색인!$N$14:$O$19,2,FALSE)</f>
        <v>4</v>
      </c>
      <c r="AY2316" s="12" t="str">
        <f>"T"&amp;O2316&amp;"_"&amp;AX2316&amp;"옵션_"&amp;VLOOKUP(E2316,색인!$J$25:$K$29,2,FALSE)</f>
        <v>T8_4옵션_보조장비</v>
      </c>
      <c r="AZ2316" s="12">
        <f>VLOOKUP(G2316,색인!$J$32:$K$45,2,FALSE)</f>
        <v>2</v>
      </c>
      <c r="BA2316" s="12" t="str">
        <f>_xlfn.IFNA(VLOOKUP(AY2316,표1[[검색용]:[OptionGroupIndex'[']22]],EquipItemTable!AZ2316,FALSE),"옵션고정안함")</f>
        <v>8421</v>
      </c>
    </row>
    <row r="2317" spans="1:53" ht="12" customHeight="1" x14ac:dyDescent="0.2">
      <c r="A2317" s="10" t="s">
        <v>2632</v>
      </c>
      <c r="B2317" s="39">
        <v>812026</v>
      </c>
      <c r="C2317" s="42" t="s">
        <v>4346</v>
      </c>
      <c r="D2317" s="86" t="s">
        <v>2955</v>
      </c>
      <c r="E2317" s="86" t="s">
        <v>501</v>
      </c>
      <c r="F2317" s="32" t="s">
        <v>471</v>
      </c>
      <c r="G2317" s="32" t="s">
        <v>1491</v>
      </c>
      <c r="O2317" s="32">
        <v>8</v>
      </c>
      <c r="P2317" s="32">
        <v>81</v>
      </c>
      <c r="W2317" s="12" t="s">
        <v>2193</v>
      </c>
      <c r="X2317" s="12" t="s">
        <v>2193</v>
      </c>
      <c r="Y2317" s="12" t="s">
        <v>2193</v>
      </c>
      <c r="Z2317" s="12" t="s">
        <v>2193</v>
      </c>
      <c r="AA2317" s="12" t="s">
        <v>2193</v>
      </c>
      <c r="AB2317" s="12">
        <v>3553</v>
      </c>
      <c r="AD2317" s="12" t="s">
        <v>52</v>
      </c>
      <c r="AE2317" s="39" t="s">
        <v>2188</v>
      </c>
      <c r="AF2317" s="12" t="s">
        <v>2185</v>
      </c>
      <c r="AN2317" s="34" t="s">
        <v>2793</v>
      </c>
      <c r="AR2317" s="34">
        <v>1</v>
      </c>
      <c r="AS2317" s="34">
        <v>1</v>
      </c>
      <c r="AU2317" s="12" t="s">
        <v>1936</v>
      </c>
      <c r="AW2317" s="39">
        <v>6</v>
      </c>
      <c r="AX2317" s="12">
        <f>VLOOKUP(AW2317,색인!$N$14:$O$19,2,FALSE)</f>
        <v>4</v>
      </c>
      <c r="AY2317" s="12" t="str">
        <f>"T"&amp;O2317&amp;"_"&amp;AX2317&amp;"옵션_"&amp;VLOOKUP(E2317,색인!$J$25:$K$29,2,FALSE)</f>
        <v>T8_4옵션_보조장비</v>
      </c>
      <c r="AZ2317" s="12">
        <f>VLOOKUP(G2317,색인!$J$32:$K$45,2,FALSE)</f>
        <v>2</v>
      </c>
      <c r="BA2317" s="12" t="str">
        <f>_xlfn.IFNA(VLOOKUP(AY2317,표1[[검색용]:[OptionGroupIndex'[']22]],EquipItemTable!AZ2317,FALSE),"옵션고정안함")</f>
        <v>8421</v>
      </c>
    </row>
    <row r="2318" spans="1:53" ht="12" customHeight="1" x14ac:dyDescent="0.2">
      <c r="A2318" s="10" t="s">
        <v>2633</v>
      </c>
      <c r="B2318" s="39">
        <v>813026</v>
      </c>
      <c r="C2318" s="42" t="s">
        <v>4347</v>
      </c>
      <c r="D2318" s="86" t="s">
        <v>2955</v>
      </c>
      <c r="E2318" s="86" t="s">
        <v>2</v>
      </c>
      <c r="F2318" s="32" t="s">
        <v>312</v>
      </c>
      <c r="G2318" s="32" t="s">
        <v>1568</v>
      </c>
      <c r="O2318" s="32">
        <v>8</v>
      </c>
      <c r="P2318" s="32">
        <v>81</v>
      </c>
      <c r="W2318" s="12" t="s">
        <v>2193</v>
      </c>
      <c r="X2318" s="12" t="s">
        <v>2193</v>
      </c>
      <c r="Y2318" s="12">
        <v>226962</v>
      </c>
      <c r="Z2318" s="12" t="s">
        <v>2193</v>
      </c>
      <c r="AA2318" s="12" t="s">
        <v>2193</v>
      </c>
      <c r="AB2318" s="12" t="s">
        <v>2193</v>
      </c>
      <c r="AD2318" s="12" t="s">
        <v>52</v>
      </c>
      <c r="AE2318" s="39" t="s">
        <v>2188</v>
      </c>
      <c r="AF2318" s="12" t="s">
        <v>2185</v>
      </c>
      <c r="AN2318" s="34" t="s">
        <v>2793</v>
      </c>
      <c r="AU2318" s="12" t="s">
        <v>1936</v>
      </c>
      <c r="AW2318" s="39">
        <v>6</v>
      </c>
      <c r="AX2318" s="12">
        <f>VLOOKUP(AW2318,색인!$N$14:$O$19,2,FALSE)</f>
        <v>4</v>
      </c>
      <c r="AY2318" s="12" t="str">
        <f>"T"&amp;O2318&amp;"_"&amp;AX2318&amp;"옵션_"&amp;VLOOKUP(E2318,색인!$J$25:$K$29,2,FALSE)</f>
        <v>T8_4옵션_장신구</v>
      </c>
      <c r="AZ2318" s="12">
        <f>VLOOKUP(G2318,색인!$J$32:$K$45,2,FALSE)</f>
        <v>4</v>
      </c>
      <c r="BA2318" s="12" t="str">
        <f>_xlfn.IFNA(VLOOKUP(AY2318,표1[[검색용]:[OptionGroupIndex'[']22]],EquipItemTable!AZ2318,FALSE),"옵션고정안함")</f>
        <v>8431,8432</v>
      </c>
    </row>
    <row r="2319" spans="1:53" ht="12" customHeight="1" x14ac:dyDescent="0.2">
      <c r="A2319" s="10" t="s">
        <v>2634</v>
      </c>
      <c r="B2319" s="39">
        <v>814026</v>
      </c>
      <c r="C2319" s="42" t="s">
        <v>4348</v>
      </c>
      <c r="D2319" s="86" t="s">
        <v>2955</v>
      </c>
      <c r="E2319" s="86" t="s">
        <v>2</v>
      </c>
      <c r="F2319" s="32" t="s">
        <v>312</v>
      </c>
      <c r="G2319" s="32" t="s">
        <v>1587</v>
      </c>
      <c r="O2319" s="32">
        <v>8</v>
      </c>
      <c r="P2319" s="32">
        <v>81</v>
      </c>
      <c r="W2319" s="12">
        <v>4938</v>
      </c>
      <c r="X2319" s="12">
        <v>4938</v>
      </c>
      <c r="Y2319" s="12" t="s">
        <v>2193</v>
      </c>
      <c r="Z2319" s="12" t="s">
        <v>2193</v>
      </c>
      <c r="AA2319" s="12" t="s">
        <v>2193</v>
      </c>
      <c r="AB2319" s="12" t="s">
        <v>2193</v>
      </c>
      <c r="AD2319" s="12" t="s">
        <v>52</v>
      </c>
      <c r="AE2319" s="39" t="s">
        <v>2188</v>
      </c>
      <c r="AF2319" s="12" t="s">
        <v>2185</v>
      </c>
      <c r="AN2319" s="34" t="s">
        <v>2793</v>
      </c>
      <c r="AU2319" s="12" t="s">
        <v>1936</v>
      </c>
      <c r="AW2319" s="39">
        <v>6</v>
      </c>
      <c r="AX2319" s="12">
        <f>VLOOKUP(AW2319,색인!$N$14:$O$19,2,FALSE)</f>
        <v>4</v>
      </c>
      <c r="AY2319" s="12" t="str">
        <f>"T"&amp;O2319&amp;"_"&amp;AX2319&amp;"옵션_"&amp;VLOOKUP(E2319,색인!$J$25:$K$29,2,FALSE)</f>
        <v>T8_4옵션_장신구</v>
      </c>
      <c r="AZ2319" s="12">
        <f>VLOOKUP(G2319,색인!$J$32:$K$45,2,FALSE)</f>
        <v>2</v>
      </c>
      <c r="BA2319" s="12" t="str">
        <f>_xlfn.IFNA(VLOOKUP(AY2319,표1[[검색용]:[OptionGroupIndex'[']22]],EquipItemTable!AZ2319,FALSE),"옵션고정안함")</f>
        <v>8431</v>
      </c>
    </row>
    <row r="2320" spans="1:53" ht="12" customHeight="1" x14ac:dyDescent="0.2">
      <c r="A2320" s="10" t="s">
        <v>2635</v>
      </c>
      <c r="B2320" s="39">
        <v>815026</v>
      </c>
      <c r="C2320" s="42" t="s">
        <v>4349</v>
      </c>
      <c r="D2320" s="86" t="s">
        <v>2955</v>
      </c>
      <c r="E2320" s="86" t="s">
        <v>2</v>
      </c>
      <c r="F2320" s="32" t="s">
        <v>312</v>
      </c>
      <c r="G2320" s="32" t="s">
        <v>1606</v>
      </c>
      <c r="O2320" s="32">
        <v>8</v>
      </c>
      <c r="P2320" s="32">
        <v>81</v>
      </c>
      <c r="W2320" s="12" t="s">
        <v>2193</v>
      </c>
      <c r="X2320" s="12" t="s">
        <v>2193</v>
      </c>
      <c r="Y2320" s="12" t="s">
        <v>2193</v>
      </c>
      <c r="Z2320" s="12" t="s">
        <v>2193</v>
      </c>
      <c r="AA2320" s="12" t="s">
        <v>2193</v>
      </c>
      <c r="AB2320" s="12">
        <v>3553</v>
      </c>
      <c r="AD2320" s="12" t="s">
        <v>52</v>
      </c>
      <c r="AE2320" s="39" t="s">
        <v>2188</v>
      </c>
      <c r="AF2320" s="12" t="s">
        <v>2185</v>
      </c>
      <c r="AN2320" s="34" t="s">
        <v>2793</v>
      </c>
      <c r="AU2320" s="12" t="s">
        <v>1936</v>
      </c>
      <c r="AW2320" s="39">
        <v>6</v>
      </c>
      <c r="AX2320" s="12">
        <f>VLOOKUP(AW2320,색인!$N$14:$O$19,2,FALSE)</f>
        <v>4</v>
      </c>
      <c r="AY2320" s="12" t="str">
        <f>"T"&amp;O2320&amp;"_"&amp;AX2320&amp;"옵션_"&amp;VLOOKUP(E2320,색인!$J$25:$K$29,2,FALSE)</f>
        <v>T8_4옵션_장신구</v>
      </c>
      <c r="AZ2320" s="12">
        <f>VLOOKUP(G2320,색인!$J$32:$K$45,2,FALSE)</f>
        <v>4</v>
      </c>
      <c r="BA2320" s="12" t="str">
        <f>_xlfn.IFNA(VLOOKUP(AY2320,표1[[검색용]:[OptionGroupIndex'[']22]],EquipItemTable!AZ2320,FALSE),"옵션고정안함")</f>
        <v>8431,8432</v>
      </c>
    </row>
    <row r="2321" spans="1:53" ht="12" customHeight="1" x14ac:dyDescent="0.2">
      <c r="A2321" s="10" t="s">
        <v>2636</v>
      </c>
      <c r="B2321" s="39">
        <v>816026</v>
      </c>
      <c r="C2321" s="42" t="s">
        <v>4350</v>
      </c>
      <c r="D2321" s="86" t="s">
        <v>2955</v>
      </c>
      <c r="E2321" s="86" t="s">
        <v>2</v>
      </c>
      <c r="F2321" s="32" t="s">
        <v>312</v>
      </c>
      <c r="G2321" s="32" t="s">
        <v>1625</v>
      </c>
      <c r="O2321" s="32">
        <v>8</v>
      </c>
      <c r="P2321" s="32">
        <v>81</v>
      </c>
      <c r="W2321" s="12" t="s">
        <v>2193</v>
      </c>
      <c r="X2321" s="12" t="s">
        <v>2193</v>
      </c>
      <c r="Y2321" s="12" t="s">
        <v>2193</v>
      </c>
      <c r="Z2321" s="12" t="s">
        <v>2193</v>
      </c>
      <c r="AA2321" s="12">
        <v>3553</v>
      </c>
      <c r="AB2321" s="12" t="s">
        <v>2193</v>
      </c>
      <c r="AD2321" s="12" t="s">
        <v>52</v>
      </c>
      <c r="AE2321" s="39" t="s">
        <v>2188</v>
      </c>
      <c r="AF2321" s="12" t="s">
        <v>2185</v>
      </c>
      <c r="AN2321" s="34" t="s">
        <v>2793</v>
      </c>
      <c r="AU2321" s="12" t="s">
        <v>1936</v>
      </c>
      <c r="AW2321" s="39">
        <v>6</v>
      </c>
      <c r="AX2321" s="12">
        <f>VLOOKUP(AW2321,색인!$N$14:$O$19,2,FALSE)</f>
        <v>4</v>
      </c>
      <c r="AY2321" s="12" t="str">
        <f>"T"&amp;O2321&amp;"_"&amp;AX2321&amp;"옵션_"&amp;VLOOKUP(E2321,색인!$J$25:$K$29,2,FALSE)</f>
        <v>T8_4옵션_장신구</v>
      </c>
      <c r="AZ2321" s="12">
        <f>VLOOKUP(G2321,색인!$J$32:$K$45,2,FALSE)</f>
        <v>4</v>
      </c>
      <c r="BA2321" s="12" t="str">
        <f>_xlfn.IFNA(VLOOKUP(AY2321,표1[[검색용]:[OptionGroupIndex'[']22]],EquipItemTable!AZ2321,FALSE),"옵션고정안함")</f>
        <v>8431,8432</v>
      </c>
    </row>
    <row r="2322" spans="1:53" ht="12" customHeight="1" x14ac:dyDescent="0.2">
      <c r="A2322" s="10" t="s">
        <v>2637</v>
      </c>
      <c r="B2322" s="39">
        <v>817026</v>
      </c>
      <c r="C2322" s="42" t="s">
        <v>4351</v>
      </c>
      <c r="D2322" s="86" t="s">
        <v>2955</v>
      </c>
      <c r="E2322" s="86" t="s">
        <v>1629</v>
      </c>
      <c r="F2322" s="32" t="s">
        <v>312</v>
      </c>
      <c r="G2322" s="32" t="s">
        <v>1630</v>
      </c>
      <c r="O2322" s="32">
        <v>8</v>
      </c>
      <c r="P2322" s="32">
        <v>81</v>
      </c>
      <c r="W2322" s="12" t="s">
        <v>2193</v>
      </c>
      <c r="X2322" s="12" t="s">
        <v>2193</v>
      </c>
      <c r="Y2322" s="12">
        <v>226962</v>
      </c>
      <c r="Z2322" s="12" t="s">
        <v>2193</v>
      </c>
      <c r="AA2322" s="12" t="s">
        <v>2193</v>
      </c>
      <c r="AB2322" s="12" t="s">
        <v>2193</v>
      </c>
      <c r="AD2322" s="12" t="s">
        <v>52</v>
      </c>
      <c r="AE2322" s="39" t="s">
        <v>2188</v>
      </c>
      <c r="AF2322" s="12" t="s">
        <v>2185</v>
      </c>
      <c r="AN2322" s="34" t="s">
        <v>2793</v>
      </c>
      <c r="AU2322" s="12" t="s">
        <v>1936</v>
      </c>
      <c r="AW2322" s="39">
        <v>6</v>
      </c>
      <c r="AX2322" s="12">
        <f>VLOOKUP(AW2322,색인!$N$14:$O$19,2,FALSE)</f>
        <v>4</v>
      </c>
      <c r="AY2322" s="12" t="str">
        <f>"T"&amp;O2322&amp;"_"&amp;AX2322&amp;"옵션_"&amp;VLOOKUP(E2322,색인!$J$25:$K$29,2,FALSE)</f>
        <v>T8_4옵션_보주</v>
      </c>
      <c r="AZ2322" s="12">
        <f>VLOOKUP(G2322,색인!$J$32:$K$45,2,FALSE)</f>
        <v>4</v>
      </c>
      <c r="BA2322" s="12" t="str">
        <f>_xlfn.IFNA(VLOOKUP(AY2322,표1[[검색용]:[OptionGroupIndex'[']22]],EquipItemTable!AZ2322,FALSE),"옵션고정안함")</f>
        <v>8441,8442</v>
      </c>
    </row>
    <row r="2323" spans="1:53" ht="12" customHeight="1" x14ac:dyDescent="0.2">
      <c r="A2323" s="10" t="s">
        <v>2638</v>
      </c>
      <c r="B2323" s="39">
        <v>801027</v>
      </c>
      <c r="C2323" s="42" t="s">
        <v>4352</v>
      </c>
      <c r="D2323" s="86" t="s">
        <v>2956</v>
      </c>
      <c r="E2323" s="86" t="s">
        <v>0</v>
      </c>
      <c r="F2323" s="32" t="s">
        <v>436</v>
      </c>
      <c r="G2323" s="32" t="s">
        <v>1305</v>
      </c>
      <c r="O2323" s="32">
        <v>8</v>
      </c>
      <c r="P2323" s="32">
        <v>81</v>
      </c>
      <c r="W2323" s="12">
        <v>7994</v>
      </c>
      <c r="X2323" s="12">
        <v>7994</v>
      </c>
      <c r="Y2323" s="12" t="s">
        <v>2193</v>
      </c>
      <c r="Z2323" s="12" t="s">
        <v>2193</v>
      </c>
      <c r="AA2323" s="12" t="s">
        <v>2193</v>
      </c>
      <c r="AB2323" s="12" t="s">
        <v>2193</v>
      </c>
      <c r="AD2323" s="12" t="s">
        <v>52</v>
      </c>
      <c r="AE2323" s="39" t="s">
        <v>2188</v>
      </c>
      <c r="AF2323" s="12" t="s">
        <v>2185</v>
      </c>
      <c r="AN2323" s="32">
        <v>9</v>
      </c>
      <c r="AR2323" s="34">
        <v>1</v>
      </c>
      <c r="AS2323" s="34">
        <v>1</v>
      </c>
      <c r="AU2323" s="12" t="s">
        <v>1936</v>
      </c>
      <c r="AW2323" s="39">
        <v>6</v>
      </c>
      <c r="AX2323" s="12">
        <f>VLOOKUP(AW2323,색인!$N$14:$O$19,2,FALSE)</f>
        <v>4</v>
      </c>
      <c r="AY2323" s="12" t="str">
        <f>"T"&amp;O2323&amp;"_"&amp;AX2323&amp;"옵션_"&amp;VLOOKUP(E2323,색인!$J$25:$K$29,2,FALSE)</f>
        <v>T8_4옵션_장신구</v>
      </c>
      <c r="AZ2323" s="12">
        <f>VLOOKUP(G2323,색인!$J$32:$K$45,2,FALSE)</f>
        <v>3</v>
      </c>
      <c r="BA2323" s="12" t="str">
        <f>_xlfn.IFNA(VLOOKUP(AY2323,표1[[검색용]:[OptionGroupIndex'[']22]],EquipItemTable!AZ2323,FALSE),"옵션고정안함")</f>
        <v>8432</v>
      </c>
    </row>
    <row r="2324" spans="1:53" ht="12" customHeight="1" x14ac:dyDescent="0.2">
      <c r="A2324" s="10" t="s">
        <v>2639</v>
      </c>
      <c r="B2324" s="39">
        <v>802027</v>
      </c>
      <c r="C2324" s="42" t="s">
        <v>4353</v>
      </c>
      <c r="D2324" s="86" t="s">
        <v>2956</v>
      </c>
      <c r="E2324" s="86" t="s">
        <v>0</v>
      </c>
      <c r="F2324" s="32" t="s">
        <v>928</v>
      </c>
      <c r="G2324" s="32" t="s">
        <v>1357</v>
      </c>
      <c r="O2324" s="32">
        <v>8</v>
      </c>
      <c r="P2324" s="32">
        <v>81</v>
      </c>
      <c r="W2324" s="12">
        <v>9081</v>
      </c>
      <c r="X2324" s="12">
        <v>9081</v>
      </c>
      <c r="Y2324" s="12" t="s">
        <v>2193</v>
      </c>
      <c r="Z2324" s="12" t="s">
        <v>2193</v>
      </c>
      <c r="AA2324" s="12" t="s">
        <v>2193</v>
      </c>
      <c r="AB2324" s="12" t="s">
        <v>2193</v>
      </c>
      <c r="AD2324" s="12" t="s">
        <v>52</v>
      </c>
      <c r="AE2324" s="39" t="s">
        <v>2188</v>
      </c>
      <c r="AF2324" s="12" t="s">
        <v>2185</v>
      </c>
      <c r="AN2324" s="32">
        <v>9</v>
      </c>
      <c r="AR2324" s="34">
        <v>1</v>
      </c>
      <c r="AS2324" s="34">
        <v>1</v>
      </c>
      <c r="AU2324" s="12" t="s">
        <v>1936</v>
      </c>
      <c r="AW2324" s="39">
        <v>6</v>
      </c>
      <c r="AX2324" s="12">
        <f>VLOOKUP(AW2324,색인!$N$14:$O$19,2,FALSE)</f>
        <v>4</v>
      </c>
      <c r="AY2324" s="12" t="str">
        <f>"T"&amp;O2324&amp;"_"&amp;AX2324&amp;"옵션_"&amp;VLOOKUP(E2324,색인!$J$25:$K$29,2,FALSE)</f>
        <v>T8_4옵션_장신구</v>
      </c>
      <c r="AZ2324" s="12">
        <f>VLOOKUP(G2324,색인!$J$32:$K$45,2,FALSE)</f>
        <v>2</v>
      </c>
      <c r="BA2324" s="12" t="str">
        <f>_xlfn.IFNA(VLOOKUP(AY2324,표1[[검색용]:[OptionGroupIndex'[']22]],EquipItemTable!AZ2324,FALSE),"옵션고정안함")</f>
        <v>8431</v>
      </c>
    </row>
    <row r="2325" spans="1:53" ht="12" customHeight="1" x14ac:dyDescent="0.2">
      <c r="A2325" s="10" t="s">
        <v>2640</v>
      </c>
      <c r="B2325" s="39">
        <v>803027</v>
      </c>
      <c r="C2325" s="42" t="s">
        <v>4354</v>
      </c>
      <c r="D2325" s="86" t="s">
        <v>2956</v>
      </c>
      <c r="E2325" s="86" t="s">
        <v>0</v>
      </c>
      <c r="F2325" s="32" t="s">
        <v>310</v>
      </c>
      <c r="G2325" s="32" t="s">
        <v>1358</v>
      </c>
      <c r="O2325" s="32">
        <v>8</v>
      </c>
      <c r="P2325" s="32">
        <v>81</v>
      </c>
      <c r="W2325" s="12">
        <v>9969</v>
      </c>
      <c r="X2325" s="12">
        <v>9969</v>
      </c>
      <c r="Y2325" s="12" t="s">
        <v>2193</v>
      </c>
      <c r="Z2325" s="12" t="s">
        <v>2193</v>
      </c>
      <c r="AA2325" s="12" t="s">
        <v>2193</v>
      </c>
      <c r="AB2325" s="12" t="s">
        <v>2193</v>
      </c>
      <c r="AD2325" s="12" t="s">
        <v>52</v>
      </c>
      <c r="AE2325" s="39" t="s">
        <v>2188</v>
      </c>
      <c r="AF2325" s="12" t="s">
        <v>2185</v>
      </c>
      <c r="AN2325" s="32">
        <v>9</v>
      </c>
      <c r="AR2325" s="34">
        <v>1</v>
      </c>
      <c r="AS2325" s="34">
        <v>1</v>
      </c>
      <c r="AU2325" s="12" t="s">
        <v>1936</v>
      </c>
      <c r="AW2325" s="39">
        <v>6</v>
      </c>
      <c r="AX2325" s="12">
        <f>VLOOKUP(AW2325,색인!$N$14:$O$19,2,FALSE)</f>
        <v>4</v>
      </c>
      <c r="AY2325" s="12" t="str">
        <f>"T"&amp;O2325&amp;"_"&amp;AX2325&amp;"옵션_"&amp;VLOOKUP(E2325,색인!$J$25:$K$29,2,FALSE)</f>
        <v>T8_4옵션_장신구</v>
      </c>
      <c r="AZ2325" s="12">
        <f>VLOOKUP(G2325,색인!$J$32:$K$45,2,FALSE)</f>
        <v>2</v>
      </c>
      <c r="BA2325" s="12" t="str">
        <f>_xlfn.IFNA(VLOOKUP(AY2325,표1[[검색용]:[OptionGroupIndex'[']22]],EquipItemTable!AZ2325,FALSE),"옵션고정안함")</f>
        <v>8431</v>
      </c>
    </row>
    <row r="2326" spans="1:53" ht="12" customHeight="1" x14ac:dyDescent="0.2">
      <c r="A2326" s="10" t="s">
        <v>2641</v>
      </c>
      <c r="B2326" s="39">
        <v>804027</v>
      </c>
      <c r="C2326" s="42" t="s">
        <v>4355</v>
      </c>
      <c r="D2326" s="86" t="s">
        <v>2956</v>
      </c>
      <c r="E2326" s="86" t="s">
        <v>0</v>
      </c>
      <c r="F2326" s="32" t="s">
        <v>456</v>
      </c>
      <c r="G2326" s="32" t="s">
        <v>1396</v>
      </c>
      <c r="O2326" s="32">
        <v>8</v>
      </c>
      <c r="P2326" s="32">
        <v>81</v>
      </c>
      <c r="W2326" s="12">
        <v>11252</v>
      </c>
      <c r="X2326" s="12">
        <v>11252</v>
      </c>
      <c r="Y2326" s="12" t="s">
        <v>2193</v>
      </c>
      <c r="Z2326" s="12" t="s">
        <v>2193</v>
      </c>
      <c r="AA2326" s="12" t="s">
        <v>2193</v>
      </c>
      <c r="AB2326" s="12" t="s">
        <v>2193</v>
      </c>
      <c r="AD2326" s="12" t="s">
        <v>52</v>
      </c>
      <c r="AE2326" s="39" t="s">
        <v>2188</v>
      </c>
      <c r="AF2326" s="12" t="s">
        <v>2185</v>
      </c>
      <c r="AN2326" s="32">
        <v>9</v>
      </c>
      <c r="AR2326" s="34">
        <v>1</v>
      </c>
      <c r="AS2326" s="34">
        <v>1</v>
      </c>
      <c r="AU2326" s="12" t="s">
        <v>1936</v>
      </c>
      <c r="AW2326" s="39">
        <v>6</v>
      </c>
      <c r="AX2326" s="12">
        <f>VLOOKUP(AW2326,색인!$N$14:$O$19,2,FALSE)</f>
        <v>4</v>
      </c>
      <c r="AY2326" s="12" t="str">
        <f>"T"&amp;O2326&amp;"_"&amp;AX2326&amp;"옵션_"&amp;VLOOKUP(E2326,색인!$J$25:$K$29,2,FALSE)</f>
        <v>T8_4옵션_장신구</v>
      </c>
      <c r="AZ2326" s="12">
        <f>VLOOKUP(G2326,색인!$J$32:$K$45,2,FALSE)</f>
        <v>2</v>
      </c>
      <c r="BA2326" s="12" t="str">
        <f>_xlfn.IFNA(VLOOKUP(AY2326,표1[[검색용]:[OptionGroupIndex'[']22]],EquipItemTable!AZ2326,FALSE),"옵션고정안함")</f>
        <v>8431</v>
      </c>
    </row>
    <row r="2327" spans="1:53" ht="12" customHeight="1" x14ac:dyDescent="0.2">
      <c r="A2327" s="10" t="s">
        <v>2642</v>
      </c>
      <c r="B2327" s="39">
        <v>805027</v>
      </c>
      <c r="C2327" s="42" t="s">
        <v>4356</v>
      </c>
      <c r="D2327" s="86" t="s">
        <v>2956</v>
      </c>
      <c r="E2327" s="86" t="s">
        <v>0</v>
      </c>
      <c r="F2327" s="32" t="s">
        <v>927</v>
      </c>
      <c r="G2327" s="32" t="s">
        <v>1415</v>
      </c>
      <c r="O2327" s="32">
        <v>8</v>
      </c>
      <c r="P2327" s="32">
        <v>81</v>
      </c>
      <c r="W2327" s="12">
        <v>10266</v>
      </c>
      <c r="X2327" s="12">
        <v>10266</v>
      </c>
      <c r="Y2327" s="12" t="s">
        <v>2193</v>
      </c>
      <c r="Z2327" s="12" t="s">
        <v>2193</v>
      </c>
      <c r="AA2327" s="12" t="s">
        <v>2193</v>
      </c>
      <c r="AB2327" s="12" t="s">
        <v>2193</v>
      </c>
      <c r="AD2327" s="12" t="s">
        <v>52</v>
      </c>
      <c r="AE2327" s="39" t="s">
        <v>2188</v>
      </c>
      <c r="AF2327" s="12" t="s">
        <v>2185</v>
      </c>
      <c r="AN2327" s="32">
        <v>9</v>
      </c>
      <c r="AR2327" s="34">
        <v>1</v>
      </c>
      <c r="AS2327" s="34">
        <v>1</v>
      </c>
      <c r="AU2327" s="12" t="s">
        <v>1936</v>
      </c>
      <c r="AW2327" s="39">
        <v>6</v>
      </c>
      <c r="AX2327" s="12">
        <f>VLOOKUP(AW2327,색인!$N$14:$O$19,2,FALSE)</f>
        <v>4</v>
      </c>
      <c r="AY2327" s="12" t="str">
        <f>"T"&amp;O2327&amp;"_"&amp;AX2327&amp;"옵션_"&amp;VLOOKUP(E2327,색인!$J$25:$K$29,2,FALSE)</f>
        <v>T8_4옵션_장신구</v>
      </c>
      <c r="AZ2327" s="12">
        <f>VLOOKUP(G2327,색인!$J$32:$K$45,2,FALSE)</f>
        <v>2</v>
      </c>
      <c r="BA2327" s="12" t="str">
        <f>_xlfn.IFNA(VLOOKUP(AY2327,표1[[검색용]:[OptionGroupIndex'[']22]],EquipItemTable!AZ2327,FALSE),"옵션고정안함")</f>
        <v>8431</v>
      </c>
    </row>
    <row r="2328" spans="1:53" ht="12" customHeight="1" x14ac:dyDescent="0.2">
      <c r="A2328" s="10" t="s">
        <v>2643</v>
      </c>
      <c r="B2328" s="39">
        <v>806027</v>
      </c>
      <c r="C2328" s="42" t="s">
        <v>4357</v>
      </c>
      <c r="D2328" s="86" t="s">
        <v>2956</v>
      </c>
      <c r="E2328" s="86" t="s">
        <v>0</v>
      </c>
      <c r="F2328" s="32" t="s">
        <v>471</v>
      </c>
      <c r="G2328" s="32" t="s">
        <v>1434</v>
      </c>
      <c r="O2328" s="32">
        <v>8</v>
      </c>
      <c r="P2328" s="32">
        <v>81</v>
      </c>
      <c r="W2328" s="12">
        <v>10462</v>
      </c>
      <c r="X2328" s="12">
        <v>10462</v>
      </c>
      <c r="Y2328" s="12" t="s">
        <v>2193</v>
      </c>
      <c r="Z2328" s="12" t="s">
        <v>2193</v>
      </c>
      <c r="AA2328" s="12" t="s">
        <v>2193</v>
      </c>
      <c r="AB2328" s="12" t="s">
        <v>2193</v>
      </c>
      <c r="AD2328" s="12" t="s">
        <v>52</v>
      </c>
      <c r="AE2328" s="39" t="s">
        <v>2188</v>
      </c>
      <c r="AF2328" s="12" t="s">
        <v>2185</v>
      </c>
      <c r="AN2328" s="32">
        <v>9</v>
      </c>
      <c r="AR2328" s="34">
        <v>1</v>
      </c>
      <c r="AS2328" s="34">
        <v>1</v>
      </c>
      <c r="AU2328" s="12" t="s">
        <v>1936</v>
      </c>
      <c r="AW2328" s="39">
        <v>6</v>
      </c>
      <c r="AX2328" s="12">
        <f>VLOOKUP(AW2328,색인!$N$14:$O$19,2,FALSE)</f>
        <v>4</v>
      </c>
      <c r="AY2328" s="12" t="str">
        <f>"T"&amp;O2328&amp;"_"&amp;AX2328&amp;"옵션_"&amp;VLOOKUP(E2328,색인!$J$25:$K$29,2,FALSE)</f>
        <v>T8_4옵션_장신구</v>
      </c>
      <c r="AZ2328" s="12">
        <f>VLOOKUP(G2328,색인!$J$32:$K$45,2,FALSE)</f>
        <v>2</v>
      </c>
      <c r="BA2328" s="12" t="str">
        <f>_xlfn.IFNA(VLOOKUP(AY2328,표1[[검색용]:[OptionGroupIndex'[']22]],EquipItemTable!AZ2328,FALSE),"옵션고정안함")</f>
        <v>8431</v>
      </c>
    </row>
    <row r="2329" spans="1:53" ht="12" customHeight="1" x14ac:dyDescent="0.2">
      <c r="A2329" s="10" t="s">
        <v>2644</v>
      </c>
      <c r="B2329" s="39">
        <v>807027</v>
      </c>
      <c r="C2329" s="42" t="s">
        <v>4358</v>
      </c>
      <c r="D2329" s="86" t="s">
        <v>2956</v>
      </c>
      <c r="E2329" s="86" t="s">
        <v>1</v>
      </c>
      <c r="F2329" s="32" t="s">
        <v>480</v>
      </c>
      <c r="G2329" s="32" t="s">
        <v>1453</v>
      </c>
      <c r="O2329" s="32">
        <v>8</v>
      </c>
      <c r="P2329" s="32">
        <v>81</v>
      </c>
      <c r="W2329" s="12" t="s">
        <v>2193</v>
      </c>
      <c r="X2329" s="12" t="s">
        <v>2193</v>
      </c>
      <c r="Y2329" s="12" t="s">
        <v>2193</v>
      </c>
      <c r="Z2329" s="12" t="s">
        <v>2193</v>
      </c>
      <c r="AA2329" s="12">
        <v>5329</v>
      </c>
      <c r="AB2329" s="12" t="s">
        <v>2193</v>
      </c>
      <c r="AD2329" s="12" t="s">
        <v>52</v>
      </c>
      <c r="AE2329" s="39" t="s">
        <v>2188</v>
      </c>
      <c r="AF2329" s="12" t="s">
        <v>2185</v>
      </c>
      <c r="AN2329" s="32">
        <v>9</v>
      </c>
      <c r="AR2329" s="34">
        <v>1</v>
      </c>
      <c r="AS2329" s="34">
        <v>1</v>
      </c>
      <c r="AU2329" s="12" t="s">
        <v>1936</v>
      </c>
      <c r="AW2329" s="39">
        <v>6</v>
      </c>
      <c r="AX2329" s="12">
        <f>VLOOKUP(AW2329,색인!$N$14:$O$19,2,FALSE)</f>
        <v>4</v>
      </c>
      <c r="AY2329" s="12" t="str">
        <f>"T"&amp;O2329&amp;"_"&amp;AX2329&amp;"옵션_"&amp;VLOOKUP(E2329,색인!$J$25:$K$29,2,FALSE)</f>
        <v>T8_4옵션_방어구</v>
      </c>
      <c r="AZ2329" s="12">
        <f>VLOOKUP(G2329,색인!$J$32:$K$45,2,FALSE)</f>
        <v>4</v>
      </c>
      <c r="BA2329" s="12" t="str">
        <f>_xlfn.IFNA(VLOOKUP(AY2329,표1[[검색용]:[OptionGroupIndex'[']22]],EquipItemTable!AZ2329,FALSE),"옵션고정안함")</f>
        <v>8411,8412</v>
      </c>
    </row>
    <row r="2330" spans="1:53" ht="12" customHeight="1" x14ac:dyDescent="0.2">
      <c r="A2330" s="10" t="s">
        <v>2645</v>
      </c>
      <c r="B2330" s="39">
        <v>808027</v>
      </c>
      <c r="C2330" s="42" t="s">
        <v>4359</v>
      </c>
      <c r="D2330" s="86" t="s">
        <v>2956</v>
      </c>
      <c r="E2330" s="86" t="s">
        <v>1</v>
      </c>
      <c r="F2330" s="32" t="s">
        <v>311</v>
      </c>
      <c r="G2330" s="32" t="s">
        <v>1472</v>
      </c>
      <c r="O2330" s="32">
        <v>8</v>
      </c>
      <c r="P2330" s="32">
        <v>81</v>
      </c>
      <c r="W2330" s="12" t="s">
        <v>2193</v>
      </c>
      <c r="X2330" s="12" t="s">
        <v>2193</v>
      </c>
      <c r="Y2330" s="12" t="s">
        <v>2193</v>
      </c>
      <c r="Z2330" s="12" t="s">
        <v>2193</v>
      </c>
      <c r="AA2330" s="12">
        <v>3553</v>
      </c>
      <c r="AB2330" s="12" t="s">
        <v>2193</v>
      </c>
      <c r="AD2330" s="12" t="s">
        <v>52</v>
      </c>
      <c r="AE2330" s="39" t="s">
        <v>2188</v>
      </c>
      <c r="AF2330" s="12" t="s">
        <v>2185</v>
      </c>
      <c r="AN2330" s="32">
        <v>9</v>
      </c>
      <c r="AR2330" s="34">
        <v>1</v>
      </c>
      <c r="AS2330" s="34">
        <v>1</v>
      </c>
      <c r="AU2330" s="12" t="s">
        <v>1936</v>
      </c>
      <c r="AW2330" s="39">
        <v>6</v>
      </c>
      <c r="AX2330" s="12">
        <f>VLOOKUP(AW2330,색인!$N$14:$O$19,2,FALSE)</f>
        <v>4</v>
      </c>
      <c r="AY2330" s="12" t="str">
        <f>"T"&amp;O2330&amp;"_"&amp;AX2330&amp;"옵션_"&amp;VLOOKUP(E2330,색인!$J$25:$K$29,2,FALSE)</f>
        <v>T8_4옵션_방어구</v>
      </c>
      <c r="AZ2330" s="12">
        <f>VLOOKUP(G2330,색인!$J$32:$K$45,2,FALSE)</f>
        <v>2</v>
      </c>
      <c r="BA2330" s="12" t="str">
        <f>_xlfn.IFNA(VLOOKUP(AY2330,표1[[검색용]:[OptionGroupIndex'[']22]],EquipItemTable!AZ2330,FALSE),"옵션고정안함")</f>
        <v>8411</v>
      </c>
    </row>
    <row r="2331" spans="1:53" ht="12" customHeight="1" x14ac:dyDescent="0.2">
      <c r="A2331" s="10" t="s">
        <v>2646</v>
      </c>
      <c r="B2331" s="39">
        <v>809027</v>
      </c>
      <c r="C2331" s="42" t="s">
        <v>4360</v>
      </c>
      <c r="D2331" s="86" t="s">
        <v>2956</v>
      </c>
      <c r="E2331" s="86" t="s">
        <v>1</v>
      </c>
      <c r="F2331" s="32" t="s">
        <v>471</v>
      </c>
      <c r="G2331" s="32" t="s">
        <v>1491</v>
      </c>
      <c r="O2331" s="32">
        <v>8</v>
      </c>
      <c r="P2331" s="32">
        <v>81</v>
      </c>
      <c r="W2331" s="12" t="s">
        <v>2193</v>
      </c>
      <c r="X2331" s="12" t="s">
        <v>2193</v>
      </c>
      <c r="Y2331" s="12" t="s">
        <v>2193</v>
      </c>
      <c r="Z2331" s="12" t="s">
        <v>2193</v>
      </c>
      <c r="AA2331" s="12">
        <v>1777</v>
      </c>
      <c r="AB2331" s="12" t="s">
        <v>2193</v>
      </c>
      <c r="AD2331" s="12" t="s">
        <v>52</v>
      </c>
      <c r="AE2331" s="39" t="s">
        <v>2188</v>
      </c>
      <c r="AF2331" s="12" t="s">
        <v>2185</v>
      </c>
      <c r="AN2331" s="32">
        <v>9</v>
      </c>
      <c r="AR2331" s="34">
        <v>1</v>
      </c>
      <c r="AS2331" s="34">
        <v>1</v>
      </c>
      <c r="AU2331" s="12" t="s">
        <v>1936</v>
      </c>
      <c r="AW2331" s="39">
        <v>6</v>
      </c>
      <c r="AX2331" s="12">
        <f>VLOOKUP(AW2331,색인!$N$14:$O$19,2,FALSE)</f>
        <v>4</v>
      </c>
      <c r="AY2331" s="12" t="str">
        <f>"T"&amp;O2331&amp;"_"&amp;AX2331&amp;"옵션_"&amp;VLOOKUP(E2331,색인!$J$25:$K$29,2,FALSE)</f>
        <v>T8_4옵션_방어구</v>
      </c>
      <c r="AZ2331" s="12">
        <f>VLOOKUP(G2331,색인!$J$32:$K$45,2,FALSE)</f>
        <v>2</v>
      </c>
      <c r="BA2331" s="12" t="str">
        <f>_xlfn.IFNA(VLOOKUP(AY2331,표1[[검색용]:[OptionGroupIndex'[']22]],EquipItemTable!AZ2331,FALSE),"옵션고정안함")</f>
        <v>8411</v>
      </c>
    </row>
    <row r="2332" spans="1:53" ht="12" customHeight="1" x14ac:dyDescent="0.2">
      <c r="A2332" s="10" t="s">
        <v>2647</v>
      </c>
      <c r="B2332" s="39">
        <v>810027</v>
      </c>
      <c r="C2332" s="42" t="s">
        <v>4361</v>
      </c>
      <c r="D2332" s="86" t="s">
        <v>2956</v>
      </c>
      <c r="E2332" s="86" t="s">
        <v>501</v>
      </c>
      <c r="F2332" s="32" t="s">
        <v>480</v>
      </c>
      <c r="G2332" s="32" t="s">
        <v>1453</v>
      </c>
      <c r="O2332" s="32">
        <v>8</v>
      </c>
      <c r="P2332" s="32">
        <v>81</v>
      </c>
      <c r="W2332" s="12" t="s">
        <v>2193</v>
      </c>
      <c r="X2332" s="12" t="s">
        <v>2193</v>
      </c>
      <c r="Y2332" s="12" t="s">
        <v>2193</v>
      </c>
      <c r="Z2332" s="12" t="s">
        <v>2193</v>
      </c>
      <c r="AA2332" s="12" t="s">
        <v>2193</v>
      </c>
      <c r="AB2332" s="12">
        <v>5329</v>
      </c>
      <c r="AD2332" s="12" t="s">
        <v>52</v>
      </c>
      <c r="AE2332" s="39" t="s">
        <v>2188</v>
      </c>
      <c r="AF2332" s="12" t="s">
        <v>2185</v>
      </c>
      <c r="AN2332" s="32">
        <v>9</v>
      </c>
      <c r="AR2332" s="34">
        <v>1</v>
      </c>
      <c r="AS2332" s="34">
        <v>1</v>
      </c>
      <c r="AU2332" s="12" t="s">
        <v>1936</v>
      </c>
      <c r="AW2332" s="39">
        <v>6</v>
      </c>
      <c r="AX2332" s="12">
        <f>VLOOKUP(AW2332,색인!$N$14:$O$19,2,FALSE)</f>
        <v>4</v>
      </c>
      <c r="AY2332" s="12" t="str">
        <f>"T"&amp;O2332&amp;"_"&amp;AX2332&amp;"옵션_"&amp;VLOOKUP(E2332,색인!$J$25:$K$29,2,FALSE)</f>
        <v>T8_4옵션_보조장비</v>
      </c>
      <c r="AZ2332" s="12">
        <f>VLOOKUP(G2332,색인!$J$32:$K$45,2,FALSE)</f>
        <v>4</v>
      </c>
      <c r="BA2332" s="12" t="str">
        <f>_xlfn.IFNA(VLOOKUP(AY2332,표1[[검색용]:[OptionGroupIndex'[']22]],EquipItemTable!AZ2332,FALSE),"옵션고정안함")</f>
        <v>8421,8422</v>
      </c>
    </row>
    <row r="2333" spans="1:53" ht="12" customHeight="1" x14ac:dyDescent="0.2">
      <c r="A2333" s="10" t="s">
        <v>2648</v>
      </c>
      <c r="B2333" s="39">
        <v>811027</v>
      </c>
      <c r="C2333" s="42" t="s">
        <v>4362</v>
      </c>
      <c r="D2333" s="86" t="s">
        <v>2956</v>
      </c>
      <c r="E2333" s="86" t="s">
        <v>501</v>
      </c>
      <c r="F2333" s="32" t="s">
        <v>311</v>
      </c>
      <c r="G2333" s="32" t="s">
        <v>1472</v>
      </c>
      <c r="O2333" s="32">
        <v>8</v>
      </c>
      <c r="P2333" s="32">
        <v>81</v>
      </c>
      <c r="W2333" s="12" t="s">
        <v>2193</v>
      </c>
      <c r="X2333" s="12" t="s">
        <v>2193</v>
      </c>
      <c r="Y2333" s="12" t="s">
        <v>2193</v>
      </c>
      <c r="Z2333" s="12" t="s">
        <v>2193</v>
      </c>
      <c r="AA2333" s="12" t="s">
        <v>2193</v>
      </c>
      <c r="AB2333" s="12">
        <v>1777</v>
      </c>
      <c r="AD2333" s="12" t="s">
        <v>52</v>
      </c>
      <c r="AE2333" s="39" t="s">
        <v>2188</v>
      </c>
      <c r="AF2333" s="12" t="s">
        <v>2185</v>
      </c>
      <c r="AN2333" s="32">
        <v>9</v>
      </c>
      <c r="AR2333" s="34">
        <v>1</v>
      </c>
      <c r="AS2333" s="34">
        <v>1</v>
      </c>
      <c r="AU2333" s="12" t="s">
        <v>1936</v>
      </c>
      <c r="AW2333" s="39">
        <v>6</v>
      </c>
      <c r="AX2333" s="12">
        <f>VLOOKUP(AW2333,색인!$N$14:$O$19,2,FALSE)</f>
        <v>4</v>
      </c>
      <c r="AY2333" s="12" t="str">
        <f>"T"&amp;O2333&amp;"_"&amp;AX2333&amp;"옵션_"&amp;VLOOKUP(E2333,색인!$J$25:$K$29,2,FALSE)</f>
        <v>T8_4옵션_보조장비</v>
      </c>
      <c r="AZ2333" s="12">
        <f>VLOOKUP(G2333,색인!$J$32:$K$45,2,FALSE)</f>
        <v>2</v>
      </c>
      <c r="BA2333" s="12" t="str">
        <f>_xlfn.IFNA(VLOOKUP(AY2333,표1[[검색용]:[OptionGroupIndex'[']22]],EquipItemTable!AZ2333,FALSE),"옵션고정안함")</f>
        <v>8421</v>
      </c>
    </row>
    <row r="2334" spans="1:53" ht="12" customHeight="1" x14ac:dyDescent="0.2">
      <c r="A2334" s="10" t="s">
        <v>2649</v>
      </c>
      <c r="B2334" s="39">
        <v>812027</v>
      </c>
      <c r="C2334" s="42" t="s">
        <v>4363</v>
      </c>
      <c r="D2334" s="86" t="s">
        <v>2956</v>
      </c>
      <c r="E2334" s="86" t="s">
        <v>501</v>
      </c>
      <c r="F2334" s="32" t="s">
        <v>471</v>
      </c>
      <c r="G2334" s="32" t="s">
        <v>1491</v>
      </c>
      <c r="O2334" s="32">
        <v>8</v>
      </c>
      <c r="P2334" s="32">
        <v>81</v>
      </c>
      <c r="W2334" s="12" t="s">
        <v>2193</v>
      </c>
      <c r="X2334" s="12" t="s">
        <v>2193</v>
      </c>
      <c r="Y2334" s="12" t="s">
        <v>2193</v>
      </c>
      <c r="Z2334" s="12" t="s">
        <v>2193</v>
      </c>
      <c r="AA2334" s="12" t="s">
        <v>2193</v>
      </c>
      <c r="AB2334" s="12">
        <v>3553</v>
      </c>
      <c r="AD2334" s="12" t="s">
        <v>52</v>
      </c>
      <c r="AE2334" s="39" t="s">
        <v>2188</v>
      </c>
      <c r="AF2334" s="12" t="s">
        <v>2185</v>
      </c>
      <c r="AN2334" s="32">
        <v>9</v>
      </c>
      <c r="AR2334" s="34">
        <v>1</v>
      </c>
      <c r="AS2334" s="34">
        <v>1</v>
      </c>
      <c r="AU2334" s="12" t="s">
        <v>1936</v>
      </c>
      <c r="AW2334" s="39">
        <v>6</v>
      </c>
      <c r="AX2334" s="12">
        <f>VLOOKUP(AW2334,색인!$N$14:$O$19,2,FALSE)</f>
        <v>4</v>
      </c>
      <c r="AY2334" s="12" t="str">
        <f>"T"&amp;O2334&amp;"_"&amp;AX2334&amp;"옵션_"&amp;VLOOKUP(E2334,색인!$J$25:$K$29,2,FALSE)</f>
        <v>T8_4옵션_보조장비</v>
      </c>
      <c r="AZ2334" s="12">
        <f>VLOOKUP(G2334,색인!$J$32:$K$45,2,FALSE)</f>
        <v>2</v>
      </c>
      <c r="BA2334" s="12" t="str">
        <f>_xlfn.IFNA(VLOOKUP(AY2334,표1[[검색용]:[OptionGroupIndex'[']22]],EquipItemTable!AZ2334,FALSE),"옵션고정안함")</f>
        <v>8421</v>
      </c>
    </row>
    <row r="2335" spans="1:53" ht="12" customHeight="1" x14ac:dyDescent="0.2">
      <c r="A2335" s="10" t="s">
        <v>2650</v>
      </c>
      <c r="B2335" s="39">
        <v>813027</v>
      </c>
      <c r="C2335" s="42" t="s">
        <v>4364</v>
      </c>
      <c r="D2335" s="86" t="s">
        <v>2956</v>
      </c>
      <c r="E2335" s="86" t="s">
        <v>2</v>
      </c>
      <c r="F2335" s="32" t="s">
        <v>312</v>
      </c>
      <c r="G2335" s="32" t="s">
        <v>1568</v>
      </c>
      <c r="O2335" s="32">
        <v>8</v>
      </c>
      <c r="P2335" s="32">
        <v>81</v>
      </c>
      <c r="W2335" s="12" t="s">
        <v>2193</v>
      </c>
      <c r="X2335" s="12" t="s">
        <v>2193</v>
      </c>
      <c r="Y2335" s="12">
        <v>226962</v>
      </c>
      <c r="Z2335" s="12" t="s">
        <v>2193</v>
      </c>
      <c r="AA2335" s="12" t="s">
        <v>2193</v>
      </c>
      <c r="AB2335" s="12" t="s">
        <v>2193</v>
      </c>
      <c r="AD2335" s="12" t="s">
        <v>52</v>
      </c>
      <c r="AE2335" s="39" t="s">
        <v>2188</v>
      </c>
      <c r="AF2335" s="12" t="s">
        <v>2185</v>
      </c>
      <c r="AN2335" s="32">
        <v>9</v>
      </c>
      <c r="AU2335" s="12" t="s">
        <v>1936</v>
      </c>
      <c r="AW2335" s="39">
        <v>6</v>
      </c>
      <c r="AX2335" s="12">
        <f>VLOOKUP(AW2335,색인!$N$14:$O$19,2,FALSE)</f>
        <v>4</v>
      </c>
      <c r="AY2335" s="12" t="str">
        <f>"T"&amp;O2335&amp;"_"&amp;AX2335&amp;"옵션_"&amp;VLOOKUP(E2335,색인!$J$25:$K$29,2,FALSE)</f>
        <v>T8_4옵션_장신구</v>
      </c>
      <c r="AZ2335" s="12">
        <f>VLOOKUP(G2335,색인!$J$32:$K$45,2,FALSE)</f>
        <v>4</v>
      </c>
      <c r="BA2335" s="12" t="str">
        <f>_xlfn.IFNA(VLOOKUP(AY2335,표1[[검색용]:[OptionGroupIndex'[']22]],EquipItemTable!AZ2335,FALSE),"옵션고정안함")</f>
        <v>8431,8432</v>
      </c>
    </row>
    <row r="2336" spans="1:53" ht="12" customHeight="1" x14ac:dyDescent="0.2">
      <c r="A2336" s="10" t="s">
        <v>2651</v>
      </c>
      <c r="B2336" s="39">
        <v>814027</v>
      </c>
      <c r="C2336" s="42" t="s">
        <v>4365</v>
      </c>
      <c r="D2336" s="86" t="s">
        <v>2956</v>
      </c>
      <c r="E2336" s="86" t="s">
        <v>2</v>
      </c>
      <c r="F2336" s="32" t="s">
        <v>312</v>
      </c>
      <c r="G2336" s="32" t="s">
        <v>1587</v>
      </c>
      <c r="O2336" s="32">
        <v>8</v>
      </c>
      <c r="P2336" s="32">
        <v>81</v>
      </c>
      <c r="W2336" s="12">
        <v>4938</v>
      </c>
      <c r="X2336" s="12">
        <v>4938</v>
      </c>
      <c r="Y2336" s="12" t="s">
        <v>2193</v>
      </c>
      <c r="Z2336" s="12" t="s">
        <v>2193</v>
      </c>
      <c r="AA2336" s="12" t="s">
        <v>2193</v>
      </c>
      <c r="AB2336" s="12" t="s">
        <v>2193</v>
      </c>
      <c r="AD2336" s="12" t="s">
        <v>52</v>
      </c>
      <c r="AE2336" s="39" t="s">
        <v>2188</v>
      </c>
      <c r="AF2336" s="12" t="s">
        <v>2185</v>
      </c>
      <c r="AN2336" s="32">
        <v>9</v>
      </c>
      <c r="AU2336" s="12" t="s">
        <v>1936</v>
      </c>
      <c r="AW2336" s="39">
        <v>6</v>
      </c>
      <c r="AX2336" s="12">
        <f>VLOOKUP(AW2336,색인!$N$14:$O$19,2,FALSE)</f>
        <v>4</v>
      </c>
      <c r="AY2336" s="12" t="str">
        <f>"T"&amp;O2336&amp;"_"&amp;AX2336&amp;"옵션_"&amp;VLOOKUP(E2336,색인!$J$25:$K$29,2,FALSE)</f>
        <v>T8_4옵션_장신구</v>
      </c>
      <c r="AZ2336" s="12">
        <f>VLOOKUP(G2336,색인!$J$32:$K$45,2,FALSE)</f>
        <v>2</v>
      </c>
      <c r="BA2336" s="12" t="str">
        <f>_xlfn.IFNA(VLOOKUP(AY2336,표1[[검색용]:[OptionGroupIndex'[']22]],EquipItemTable!AZ2336,FALSE),"옵션고정안함")</f>
        <v>8431</v>
      </c>
    </row>
    <row r="2337" spans="1:53" ht="12" customHeight="1" x14ac:dyDescent="0.2">
      <c r="A2337" s="10" t="s">
        <v>2652</v>
      </c>
      <c r="B2337" s="39">
        <v>815027</v>
      </c>
      <c r="C2337" s="42" t="s">
        <v>4366</v>
      </c>
      <c r="D2337" s="86" t="s">
        <v>2956</v>
      </c>
      <c r="E2337" s="86" t="s">
        <v>2</v>
      </c>
      <c r="F2337" s="32" t="s">
        <v>312</v>
      </c>
      <c r="G2337" s="32" t="s">
        <v>1606</v>
      </c>
      <c r="O2337" s="32">
        <v>8</v>
      </c>
      <c r="P2337" s="32">
        <v>81</v>
      </c>
      <c r="W2337" s="12" t="s">
        <v>2193</v>
      </c>
      <c r="X2337" s="12" t="s">
        <v>2193</v>
      </c>
      <c r="Y2337" s="12" t="s">
        <v>2193</v>
      </c>
      <c r="Z2337" s="12" t="s">
        <v>2193</v>
      </c>
      <c r="AA2337" s="12" t="s">
        <v>2193</v>
      </c>
      <c r="AB2337" s="12">
        <v>3553</v>
      </c>
      <c r="AD2337" s="12" t="s">
        <v>52</v>
      </c>
      <c r="AE2337" s="39" t="s">
        <v>2188</v>
      </c>
      <c r="AF2337" s="12" t="s">
        <v>2185</v>
      </c>
      <c r="AN2337" s="32">
        <v>9</v>
      </c>
      <c r="AU2337" s="12" t="s">
        <v>1936</v>
      </c>
      <c r="AW2337" s="39">
        <v>6</v>
      </c>
      <c r="AX2337" s="12">
        <f>VLOOKUP(AW2337,색인!$N$14:$O$19,2,FALSE)</f>
        <v>4</v>
      </c>
      <c r="AY2337" s="12" t="str">
        <f>"T"&amp;O2337&amp;"_"&amp;AX2337&amp;"옵션_"&amp;VLOOKUP(E2337,색인!$J$25:$K$29,2,FALSE)</f>
        <v>T8_4옵션_장신구</v>
      </c>
      <c r="AZ2337" s="12">
        <f>VLOOKUP(G2337,색인!$J$32:$K$45,2,FALSE)</f>
        <v>4</v>
      </c>
      <c r="BA2337" s="12" t="str">
        <f>_xlfn.IFNA(VLOOKUP(AY2337,표1[[검색용]:[OptionGroupIndex'[']22]],EquipItemTable!AZ2337,FALSE),"옵션고정안함")</f>
        <v>8431,8432</v>
      </c>
    </row>
    <row r="2338" spans="1:53" ht="12" customHeight="1" x14ac:dyDescent="0.2">
      <c r="A2338" s="10" t="s">
        <v>2653</v>
      </c>
      <c r="B2338" s="39">
        <v>816027</v>
      </c>
      <c r="C2338" s="42" t="s">
        <v>4367</v>
      </c>
      <c r="D2338" s="86" t="s">
        <v>2956</v>
      </c>
      <c r="E2338" s="86" t="s">
        <v>2</v>
      </c>
      <c r="F2338" s="32" t="s">
        <v>312</v>
      </c>
      <c r="G2338" s="32" t="s">
        <v>1625</v>
      </c>
      <c r="O2338" s="32">
        <v>8</v>
      </c>
      <c r="P2338" s="32">
        <v>81</v>
      </c>
      <c r="W2338" s="12" t="s">
        <v>2193</v>
      </c>
      <c r="X2338" s="12" t="s">
        <v>2193</v>
      </c>
      <c r="Y2338" s="12" t="s">
        <v>2193</v>
      </c>
      <c r="Z2338" s="12" t="s">
        <v>2193</v>
      </c>
      <c r="AA2338" s="12">
        <v>3553</v>
      </c>
      <c r="AB2338" s="12" t="s">
        <v>2193</v>
      </c>
      <c r="AD2338" s="12" t="s">
        <v>52</v>
      </c>
      <c r="AE2338" s="39" t="s">
        <v>2188</v>
      </c>
      <c r="AF2338" s="12" t="s">
        <v>2185</v>
      </c>
      <c r="AN2338" s="32">
        <v>9</v>
      </c>
      <c r="AU2338" s="12" t="s">
        <v>1936</v>
      </c>
      <c r="AW2338" s="39">
        <v>6</v>
      </c>
      <c r="AX2338" s="12">
        <f>VLOOKUP(AW2338,색인!$N$14:$O$19,2,FALSE)</f>
        <v>4</v>
      </c>
      <c r="AY2338" s="12" t="str">
        <f>"T"&amp;O2338&amp;"_"&amp;AX2338&amp;"옵션_"&amp;VLOOKUP(E2338,색인!$J$25:$K$29,2,FALSE)</f>
        <v>T8_4옵션_장신구</v>
      </c>
      <c r="AZ2338" s="12">
        <f>VLOOKUP(G2338,색인!$J$32:$K$45,2,FALSE)</f>
        <v>4</v>
      </c>
      <c r="BA2338" s="12" t="str">
        <f>_xlfn.IFNA(VLOOKUP(AY2338,표1[[검색용]:[OptionGroupIndex'[']22]],EquipItemTable!AZ2338,FALSE),"옵션고정안함")</f>
        <v>8431,8432</v>
      </c>
    </row>
    <row r="2339" spans="1:53" ht="12" customHeight="1" x14ac:dyDescent="0.2">
      <c r="A2339" s="10" t="s">
        <v>2654</v>
      </c>
      <c r="B2339" s="39">
        <v>817027</v>
      </c>
      <c r="C2339" s="42" t="s">
        <v>4368</v>
      </c>
      <c r="D2339" s="86" t="s">
        <v>2956</v>
      </c>
      <c r="E2339" s="86" t="s">
        <v>1629</v>
      </c>
      <c r="F2339" s="32" t="s">
        <v>312</v>
      </c>
      <c r="G2339" s="32" t="s">
        <v>1630</v>
      </c>
      <c r="O2339" s="32">
        <v>8</v>
      </c>
      <c r="P2339" s="32">
        <v>81</v>
      </c>
      <c r="W2339" s="12" t="s">
        <v>2193</v>
      </c>
      <c r="X2339" s="12" t="s">
        <v>2193</v>
      </c>
      <c r="Y2339" s="12">
        <v>226962</v>
      </c>
      <c r="Z2339" s="12" t="s">
        <v>2193</v>
      </c>
      <c r="AA2339" s="12" t="s">
        <v>2193</v>
      </c>
      <c r="AB2339" s="12" t="s">
        <v>2193</v>
      </c>
      <c r="AD2339" s="12" t="s">
        <v>52</v>
      </c>
      <c r="AE2339" s="39" t="s">
        <v>2188</v>
      </c>
      <c r="AF2339" s="12" t="s">
        <v>2185</v>
      </c>
      <c r="AN2339" s="32">
        <v>9</v>
      </c>
      <c r="AU2339" s="12" t="s">
        <v>1936</v>
      </c>
      <c r="AW2339" s="39">
        <v>6</v>
      </c>
      <c r="AX2339" s="12">
        <f>VLOOKUP(AW2339,색인!$N$14:$O$19,2,FALSE)</f>
        <v>4</v>
      </c>
      <c r="AY2339" s="12" t="str">
        <f>"T"&amp;O2339&amp;"_"&amp;AX2339&amp;"옵션_"&amp;VLOOKUP(E2339,색인!$J$25:$K$29,2,FALSE)</f>
        <v>T8_4옵션_보주</v>
      </c>
      <c r="AZ2339" s="12">
        <f>VLOOKUP(G2339,색인!$J$32:$K$45,2,FALSE)</f>
        <v>4</v>
      </c>
      <c r="BA2339" s="12" t="str">
        <f>_xlfn.IFNA(VLOOKUP(AY2339,표1[[검색용]:[OptionGroupIndex'[']22]],EquipItemTable!AZ2339,FALSE),"옵션고정안함")</f>
        <v>8441,8442</v>
      </c>
    </row>
    <row r="2340" spans="1:53" ht="12" customHeight="1" x14ac:dyDescent="0.2">
      <c r="A2340" s="10" t="s">
        <v>5334</v>
      </c>
      <c r="B2340" s="39">
        <v>910011</v>
      </c>
      <c r="C2340" s="42" t="s">
        <v>5318</v>
      </c>
      <c r="D2340" s="86" t="s">
        <v>5325</v>
      </c>
      <c r="E2340" s="86" t="s">
        <v>1</v>
      </c>
      <c r="F2340" s="32" t="s">
        <v>480</v>
      </c>
      <c r="G2340" s="32" t="s">
        <v>1453</v>
      </c>
      <c r="O2340" s="32">
        <v>8</v>
      </c>
      <c r="P2340" s="32">
        <v>81</v>
      </c>
      <c r="W2340" s="12" t="s">
        <v>2193</v>
      </c>
      <c r="X2340" s="12" t="s">
        <v>2193</v>
      </c>
      <c r="Y2340" s="12" t="s">
        <v>2193</v>
      </c>
      <c r="Z2340" s="12" t="s">
        <v>2193</v>
      </c>
      <c r="AA2340" s="12">
        <v>5329</v>
      </c>
      <c r="AB2340" s="12" t="s">
        <v>2193</v>
      </c>
      <c r="AD2340" s="12" t="s">
        <v>52</v>
      </c>
      <c r="AE2340" s="39" t="s">
        <v>2188</v>
      </c>
      <c r="AF2340" s="12" t="s">
        <v>2185</v>
      </c>
      <c r="AN2340" s="32">
        <v>1001</v>
      </c>
      <c r="AR2340" s="34">
        <v>1</v>
      </c>
      <c r="AS2340" s="34">
        <v>1</v>
      </c>
      <c r="AU2340" s="12" t="s">
        <v>1936</v>
      </c>
      <c r="AW2340" s="39">
        <v>6</v>
      </c>
      <c r="AX2340" s="12">
        <f>VLOOKUP(AW2340,색인!$N$14:$O$19,2,FALSE)</f>
        <v>4</v>
      </c>
      <c r="AY2340" s="12" t="str">
        <f>"T"&amp;O2340&amp;"_"&amp;AX2340&amp;"옵션_"&amp;VLOOKUP(E2340,색인!$J$25:$K$29,2,FALSE)</f>
        <v>T8_4옵션_방어구</v>
      </c>
      <c r="AZ2340" s="12">
        <f>VLOOKUP(G2340,색인!$J$32:$K$45,2,FALSE)</f>
        <v>4</v>
      </c>
      <c r="BA2340" s="12" t="str">
        <f>_xlfn.IFNA(VLOOKUP(AY2340,표1[[검색용]:[OptionGroupIndex'[']22]],EquipItemTable!AZ2340,FALSE),"옵션고정안함")</f>
        <v>8411,8412</v>
      </c>
    </row>
    <row r="2341" spans="1:53" ht="12" customHeight="1" x14ac:dyDescent="0.2">
      <c r="A2341" s="10" t="s">
        <v>5326</v>
      </c>
      <c r="B2341" s="39">
        <v>910012</v>
      </c>
      <c r="C2341" s="42" t="s">
        <v>5319</v>
      </c>
      <c r="D2341" s="86" t="s">
        <v>5325</v>
      </c>
      <c r="E2341" s="86" t="s">
        <v>1</v>
      </c>
      <c r="F2341" s="32" t="s">
        <v>311</v>
      </c>
      <c r="G2341" s="32" t="s">
        <v>1472</v>
      </c>
      <c r="O2341" s="32">
        <v>8</v>
      </c>
      <c r="P2341" s="32">
        <v>81</v>
      </c>
      <c r="W2341" s="12" t="s">
        <v>2193</v>
      </c>
      <c r="X2341" s="12" t="s">
        <v>2193</v>
      </c>
      <c r="Y2341" s="12" t="s">
        <v>2193</v>
      </c>
      <c r="Z2341" s="12" t="s">
        <v>2193</v>
      </c>
      <c r="AA2341" s="12">
        <v>3553</v>
      </c>
      <c r="AB2341" s="12" t="s">
        <v>2193</v>
      </c>
      <c r="AD2341" s="12" t="s">
        <v>52</v>
      </c>
      <c r="AE2341" s="39" t="s">
        <v>2188</v>
      </c>
      <c r="AF2341" s="12" t="s">
        <v>2185</v>
      </c>
      <c r="AN2341" s="32">
        <v>1001</v>
      </c>
      <c r="AR2341" s="34">
        <v>1</v>
      </c>
      <c r="AS2341" s="34">
        <v>1</v>
      </c>
      <c r="AU2341" s="12" t="s">
        <v>1936</v>
      </c>
      <c r="AW2341" s="39">
        <v>6</v>
      </c>
      <c r="AX2341" s="12">
        <f>VLOOKUP(AW2341,색인!$N$14:$O$19,2,FALSE)</f>
        <v>4</v>
      </c>
      <c r="AY2341" s="12" t="str">
        <f>"T"&amp;O2341&amp;"_"&amp;AX2341&amp;"옵션_"&amp;VLOOKUP(E2341,색인!$J$25:$K$29,2,FALSE)</f>
        <v>T8_4옵션_방어구</v>
      </c>
      <c r="AZ2341" s="12">
        <f>VLOOKUP(G2341,색인!$J$32:$K$45,2,FALSE)</f>
        <v>2</v>
      </c>
      <c r="BA2341" s="12" t="str">
        <f>_xlfn.IFNA(VLOOKUP(AY2341,표1[[검색용]:[OptionGroupIndex'[']22]],EquipItemTable!AZ2341,FALSE),"옵션고정안함")</f>
        <v>8411</v>
      </c>
    </row>
    <row r="2342" spans="1:53" ht="12" customHeight="1" x14ac:dyDescent="0.2">
      <c r="A2342" s="10" t="s">
        <v>5327</v>
      </c>
      <c r="B2342" s="39">
        <v>910013</v>
      </c>
      <c r="C2342" s="42" t="s">
        <v>5320</v>
      </c>
      <c r="D2342" s="86" t="s">
        <v>5325</v>
      </c>
      <c r="E2342" s="86" t="s">
        <v>1</v>
      </c>
      <c r="F2342" s="32" t="s">
        <v>471</v>
      </c>
      <c r="G2342" s="32" t="s">
        <v>1491</v>
      </c>
      <c r="O2342" s="32">
        <v>8</v>
      </c>
      <c r="P2342" s="32">
        <v>81</v>
      </c>
      <c r="W2342" s="12" t="s">
        <v>2193</v>
      </c>
      <c r="X2342" s="12" t="s">
        <v>2193</v>
      </c>
      <c r="Y2342" s="12" t="s">
        <v>2193</v>
      </c>
      <c r="Z2342" s="12" t="s">
        <v>2193</v>
      </c>
      <c r="AA2342" s="12">
        <v>1777</v>
      </c>
      <c r="AB2342" s="12" t="s">
        <v>2193</v>
      </c>
      <c r="AD2342" s="12" t="s">
        <v>52</v>
      </c>
      <c r="AE2342" s="39" t="s">
        <v>2188</v>
      </c>
      <c r="AF2342" s="12" t="s">
        <v>2185</v>
      </c>
      <c r="AN2342" s="32">
        <v>1001</v>
      </c>
      <c r="AR2342" s="34">
        <v>1</v>
      </c>
      <c r="AS2342" s="34">
        <v>1</v>
      </c>
      <c r="AU2342" s="12" t="s">
        <v>1936</v>
      </c>
      <c r="AW2342" s="39">
        <v>6</v>
      </c>
      <c r="AX2342" s="12">
        <f>VLOOKUP(AW2342,색인!$N$14:$O$19,2,FALSE)</f>
        <v>4</v>
      </c>
      <c r="AY2342" s="12" t="str">
        <f>"T"&amp;O2342&amp;"_"&amp;AX2342&amp;"옵션_"&amp;VLOOKUP(E2342,색인!$J$25:$K$29,2,FALSE)</f>
        <v>T8_4옵션_방어구</v>
      </c>
      <c r="AZ2342" s="12">
        <f>VLOOKUP(G2342,색인!$J$32:$K$45,2,FALSE)</f>
        <v>2</v>
      </c>
      <c r="BA2342" s="12" t="str">
        <f>_xlfn.IFNA(VLOOKUP(AY2342,표1[[검색용]:[OptionGroupIndex'[']22]],EquipItemTable!AZ2342,FALSE),"옵션고정안함")</f>
        <v>8411</v>
      </c>
    </row>
    <row r="2343" spans="1:53" ht="12" customHeight="1" x14ac:dyDescent="0.2">
      <c r="A2343" s="10" t="s">
        <v>5328</v>
      </c>
      <c r="B2343" s="39">
        <v>910014</v>
      </c>
      <c r="C2343" s="42" t="s">
        <v>5321</v>
      </c>
      <c r="D2343" s="86" t="s">
        <v>5325</v>
      </c>
      <c r="E2343" s="86" t="s">
        <v>501</v>
      </c>
      <c r="F2343" s="32" t="s">
        <v>480</v>
      </c>
      <c r="G2343" s="32" t="s">
        <v>1453</v>
      </c>
      <c r="O2343" s="32">
        <v>8</v>
      </c>
      <c r="P2343" s="32">
        <v>81</v>
      </c>
      <c r="W2343" s="12" t="s">
        <v>2193</v>
      </c>
      <c r="X2343" s="12" t="s">
        <v>2193</v>
      </c>
      <c r="Y2343" s="12" t="s">
        <v>2193</v>
      </c>
      <c r="Z2343" s="12" t="s">
        <v>2193</v>
      </c>
      <c r="AA2343" s="12" t="s">
        <v>2193</v>
      </c>
      <c r="AB2343" s="12">
        <v>5329</v>
      </c>
      <c r="AD2343" s="12" t="s">
        <v>52</v>
      </c>
      <c r="AE2343" s="39" t="s">
        <v>2188</v>
      </c>
      <c r="AF2343" s="12" t="s">
        <v>2185</v>
      </c>
      <c r="AN2343" s="32">
        <v>1001</v>
      </c>
      <c r="AR2343" s="34">
        <v>1</v>
      </c>
      <c r="AS2343" s="34">
        <v>1</v>
      </c>
      <c r="AU2343" s="12" t="s">
        <v>1936</v>
      </c>
      <c r="AW2343" s="39">
        <v>6</v>
      </c>
      <c r="AX2343" s="12">
        <f>VLOOKUP(AW2343,색인!$N$14:$O$19,2,FALSE)</f>
        <v>4</v>
      </c>
      <c r="AY2343" s="12" t="str">
        <f>"T"&amp;O2343&amp;"_"&amp;AX2343&amp;"옵션_"&amp;VLOOKUP(E2343,색인!$J$25:$K$29,2,FALSE)</f>
        <v>T8_4옵션_보조장비</v>
      </c>
      <c r="AZ2343" s="12">
        <f>VLOOKUP(G2343,색인!$J$32:$K$45,2,FALSE)</f>
        <v>4</v>
      </c>
      <c r="BA2343" s="12" t="str">
        <f>_xlfn.IFNA(VLOOKUP(AY2343,표1[[검색용]:[OptionGroupIndex'[']22]],EquipItemTable!AZ2343,FALSE),"옵션고정안함")</f>
        <v>8421,8422</v>
      </c>
    </row>
    <row r="2344" spans="1:53" ht="12" customHeight="1" x14ac:dyDescent="0.2">
      <c r="A2344" s="10" t="s">
        <v>5329</v>
      </c>
      <c r="B2344" s="39">
        <v>910015</v>
      </c>
      <c r="C2344" s="42" t="s">
        <v>5322</v>
      </c>
      <c r="D2344" s="86" t="s">
        <v>5325</v>
      </c>
      <c r="E2344" s="86" t="s">
        <v>501</v>
      </c>
      <c r="F2344" s="32" t="s">
        <v>311</v>
      </c>
      <c r="G2344" s="32" t="s">
        <v>1472</v>
      </c>
      <c r="O2344" s="32">
        <v>8</v>
      </c>
      <c r="P2344" s="32">
        <v>81</v>
      </c>
      <c r="W2344" s="12" t="s">
        <v>2193</v>
      </c>
      <c r="X2344" s="12" t="s">
        <v>2193</v>
      </c>
      <c r="Y2344" s="12" t="s">
        <v>2193</v>
      </c>
      <c r="Z2344" s="12" t="s">
        <v>2193</v>
      </c>
      <c r="AA2344" s="12" t="s">
        <v>2193</v>
      </c>
      <c r="AB2344" s="12">
        <v>1777</v>
      </c>
      <c r="AD2344" s="12" t="s">
        <v>52</v>
      </c>
      <c r="AE2344" s="39" t="s">
        <v>2188</v>
      </c>
      <c r="AF2344" s="12" t="s">
        <v>2185</v>
      </c>
      <c r="AN2344" s="32">
        <v>1001</v>
      </c>
      <c r="AR2344" s="34">
        <v>1</v>
      </c>
      <c r="AS2344" s="34">
        <v>1</v>
      </c>
      <c r="AU2344" s="12" t="s">
        <v>1936</v>
      </c>
      <c r="AW2344" s="39">
        <v>6</v>
      </c>
      <c r="AX2344" s="12">
        <f>VLOOKUP(AW2344,색인!$N$14:$O$19,2,FALSE)</f>
        <v>4</v>
      </c>
      <c r="AY2344" s="12" t="str">
        <f>"T"&amp;O2344&amp;"_"&amp;AX2344&amp;"옵션_"&amp;VLOOKUP(E2344,색인!$J$25:$K$29,2,FALSE)</f>
        <v>T8_4옵션_보조장비</v>
      </c>
      <c r="AZ2344" s="12">
        <f>VLOOKUP(G2344,색인!$J$32:$K$45,2,FALSE)</f>
        <v>2</v>
      </c>
      <c r="BA2344" s="12" t="str">
        <f>_xlfn.IFNA(VLOOKUP(AY2344,표1[[검색용]:[OptionGroupIndex'[']22]],EquipItemTable!AZ2344,FALSE),"옵션고정안함")</f>
        <v>8421</v>
      </c>
    </row>
    <row r="2345" spans="1:53" ht="12" customHeight="1" x14ac:dyDescent="0.2">
      <c r="A2345" s="10" t="s">
        <v>5330</v>
      </c>
      <c r="B2345" s="39">
        <v>910016</v>
      </c>
      <c r="C2345" s="42" t="s">
        <v>5323</v>
      </c>
      <c r="D2345" s="86" t="s">
        <v>5325</v>
      </c>
      <c r="E2345" s="86" t="s">
        <v>501</v>
      </c>
      <c r="F2345" s="32" t="s">
        <v>471</v>
      </c>
      <c r="G2345" s="32" t="s">
        <v>1491</v>
      </c>
      <c r="O2345" s="32">
        <v>8</v>
      </c>
      <c r="P2345" s="32">
        <v>81</v>
      </c>
      <c r="W2345" s="12" t="s">
        <v>2193</v>
      </c>
      <c r="X2345" s="12" t="s">
        <v>2193</v>
      </c>
      <c r="Y2345" s="12" t="s">
        <v>2193</v>
      </c>
      <c r="Z2345" s="12" t="s">
        <v>2193</v>
      </c>
      <c r="AA2345" s="12" t="s">
        <v>2193</v>
      </c>
      <c r="AB2345" s="12">
        <v>3553</v>
      </c>
      <c r="AD2345" s="12" t="s">
        <v>52</v>
      </c>
      <c r="AE2345" s="39" t="s">
        <v>2188</v>
      </c>
      <c r="AF2345" s="12" t="s">
        <v>2185</v>
      </c>
      <c r="AN2345" s="32">
        <v>1001</v>
      </c>
      <c r="AR2345" s="34">
        <v>1</v>
      </c>
      <c r="AS2345" s="34">
        <v>1</v>
      </c>
      <c r="AU2345" s="12" t="s">
        <v>1936</v>
      </c>
      <c r="AW2345" s="39">
        <v>6</v>
      </c>
      <c r="AX2345" s="12">
        <f>VLOOKUP(AW2345,색인!$N$14:$O$19,2,FALSE)</f>
        <v>4</v>
      </c>
      <c r="AY2345" s="12" t="str">
        <f>"T"&amp;O2345&amp;"_"&amp;AX2345&amp;"옵션_"&amp;VLOOKUP(E2345,색인!$J$25:$K$29,2,FALSE)</f>
        <v>T8_4옵션_보조장비</v>
      </c>
      <c r="AZ2345" s="12">
        <f>VLOOKUP(G2345,색인!$J$32:$K$45,2,FALSE)</f>
        <v>2</v>
      </c>
      <c r="BA2345" s="12" t="str">
        <f>_xlfn.IFNA(VLOOKUP(AY2345,표1[[검색용]:[OptionGroupIndex'[']22]],EquipItemTable!AZ2345,FALSE),"옵션고정안함")</f>
        <v>8421</v>
      </c>
    </row>
    <row r="2346" spans="1:53" ht="12" customHeight="1" x14ac:dyDescent="0.2">
      <c r="A2346" s="10" t="s">
        <v>5331</v>
      </c>
      <c r="B2346" s="39">
        <v>910017</v>
      </c>
      <c r="C2346" s="42" t="s">
        <v>5381</v>
      </c>
      <c r="D2346" s="86" t="s">
        <v>5325</v>
      </c>
      <c r="E2346" s="86" t="s">
        <v>2</v>
      </c>
      <c r="F2346" s="32" t="s">
        <v>312</v>
      </c>
      <c r="G2346" s="32" t="s">
        <v>1568</v>
      </c>
      <c r="O2346" s="32">
        <v>8</v>
      </c>
      <c r="P2346" s="32">
        <v>81</v>
      </c>
      <c r="W2346" s="12" t="s">
        <v>2193</v>
      </c>
      <c r="X2346" s="12" t="s">
        <v>2193</v>
      </c>
      <c r="Y2346" s="12">
        <v>226962</v>
      </c>
      <c r="Z2346" s="12" t="s">
        <v>2193</v>
      </c>
      <c r="AA2346" s="12" t="s">
        <v>2193</v>
      </c>
      <c r="AB2346" s="12" t="s">
        <v>2193</v>
      </c>
      <c r="AD2346" s="12" t="s">
        <v>52</v>
      </c>
      <c r="AE2346" s="39" t="s">
        <v>2188</v>
      </c>
      <c r="AF2346" s="12" t="s">
        <v>2185</v>
      </c>
      <c r="AN2346" s="32">
        <v>1001</v>
      </c>
      <c r="AU2346" s="12" t="s">
        <v>1936</v>
      </c>
      <c r="AW2346" s="39">
        <v>6</v>
      </c>
      <c r="AX2346" s="12">
        <f>VLOOKUP(AW2346,색인!$N$14:$O$19,2,FALSE)</f>
        <v>4</v>
      </c>
      <c r="AY2346" s="12" t="str">
        <f>"T"&amp;O2346&amp;"_"&amp;AX2346&amp;"옵션_"&amp;VLOOKUP(E2346,색인!$J$25:$K$29,2,FALSE)</f>
        <v>T8_4옵션_장신구</v>
      </c>
      <c r="AZ2346" s="12">
        <f>VLOOKUP(G2346,색인!$J$32:$K$45,2,FALSE)</f>
        <v>4</v>
      </c>
      <c r="BA2346" s="12" t="str">
        <f>_xlfn.IFNA(VLOOKUP(AY2346,표1[[검색용]:[OptionGroupIndex'[']22]],EquipItemTable!AZ2346,FALSE),"옵션고정안함")</f>
        <v>8431,8432</v>
      </c>
    </row>
    <row r="2347" spans="1:53" ht="12" customHeight="1" x14ac:dyDescent="0.2">
      <c r="A2347" s="10" t="s">
        <v>5332</v>
      </c>
      <c r="B2347" s="39">
        <v>910018</v>
      </c>
      <c r="C2347" s="42" t="s">
        <v>5382</v>
      </c>
      <c r="D2347" s="86" t="s">
        <v>5325</v>
      </c>
      <c r="E2347" s="86" t="s">
        <v>2</v>
      </c>
      <c r="F2347" s="32" t="s">
        <v>312</v>
      </c>
      <c r="G2347" s="32" t="s">
        <v>1587</v>
      </c>
      <c r="O2347" s="32">
        <v>8</v>
      </c>
      <c r="P2347" s="32">
        <v>81</v>
      </c>
      <c r="W2347" s="12">
        <v>4938</v>
      </c>
      <c r="X2347" s="12">
        <v>4938</v>
      </c>
      <c r="Y2347" s="12" t="s">
        <v>2193</v>
      </c>
      <c r="Z2347" s="12" t="s">
        <v>2193</v>
      </c>
      <c r="AA2347" s="12" t="s">
        <v>2193</v>
      </c>
      <c r="AB2347" s="12" t="s">
        <v>2193</v>
      </c>
      <c r="AD2347" s="12" t="s">
        <v>52</v>
      </c>
      <c r="AE2347" s="39" t="s">
        <v>2188</v>
      </c>
      <c r="AF2347" s="12" t="s">
        <v>2185</v>
      </c>
      <c r="AN2347" s="32">
        <v>1001</v>
      </c>
      <c r="AU2347" s="12" t="s">
        <v>1936</v>
      </c>
      <c r="AW2347" s="39">
        <v>6</v>
      </c>
      <c r="AX2347" s="12">
        <f>VLOOKUP(AW2347,색인!$N$14:$O$19,2,FALSE)</f>
        <v>4</v>
      </c>
      <c r="AY2347" s="12" t="str">
        <f>"T"&amp;O2347&amp;"_"&amp;AX2347&amp;"옵션_"&amp;VLOOKUP(E2347,색인!$J$25:$K$29,2,FALSE)</f>
        <v>T8_4옵션_장신구</v>
      </c>
      <c r="AZ2347" s="12">
        <f>VLOOKUP(G2347,색인!$J$32:$K$45,2,FALSE)</f>
        <v>2</v>
      </c>
      <c r="BA2347" s="12" t="str">
        <f>_xlfn.IFNA(VLOOKUP(AY2347,표1[[검색용]:[OptionGroupIndex'[']22]],EquipItemTable!AZ2347,FALSE),"옵션고정안함")</f>
        <v>8431</v>
      </c>
    </row>
    <row r="2348" spans="1:53" ht="12" customHeight="1" x14ac:dyDescent="0.2">
      <c r="A2348" s="10" t="s">
        <v>5333</v>
      </c>
      <c r="B2348" s="39">
        <v>910019</v>
      </c>
      <c r="C2348" s="42" t="s">
        <v>5324</v>
      </c>
      <c r="D2348" s="86" t="s">
        <v>5325</v>
      </c>
      <c r="E2348" s="86" t="s">
        <v>1629</v>
      </c>
      <c r="F2348" s="32" t="s">
        <v>312</v>
      </c>
      <c r="G2348" s="32" t="s">
        <v>1630</v>
      </c>
      <c r="O2348" s="32">
        <v>8</v>
      </c>
      <c r="P2348" s="32">
        <v>81</v>
      </c>
      <c r="W2348" s="12" t="s">
        <v>2193</v>
      </c>
      <c r="X2348" s="12" t="s">
        <v>2193</v>
      </c>
      <c r="Y2348" s="12">
        <v>226962</v>
      </c>
      <c r="Z2348" s="12" t="s">
        <v>2193</v>
      </c>
      <c r="AA2348" s="12" t="s">
        <v>2193</v>
      </c>
      <c r="AB2348" s="12" t="s">
        <v>2193</v>
      </c>
      <c r="AD2348" s="12" t="s">
        <v>52</v>
      </c>
      <c r="AE2348" s="39" t="s">
        <v>2188</v>
      </c>
      <c r="AF2348" s="12" t="s">
        <v>2185</v>
      </c>
      <c r="AN2348" s="32">
        <v>1001</v>
      </c>
      <c r="AU2348" s="12" t="s">
        <v>1936</v>
      </c>
      <c r="AW2348" s="39">
        <v>6</v>
      </c>
      <c r="AX2348" s="12">
        <f>VLOOKUP(AW2348,색인!$N$14:$O$19,2,FALSE)</f>
        <v>4</v>
      </c>
      <c r="AY2348" s="12" t="str">
        <f>"T"&amp;O2348&amp;"_"&amp;AX2348&amp;"옵션_"&amp;VLOOKUP(E2348,색인!$J$25:$K$29,2,FALSE)</f>
        <v>T8_4옵션_보주</v>
      </c>
      <c r="AZ2348" s="12">
        <f>VLOOKUP(G2348,색인!$J$32:$K$45,2,FALSE)</f>
        <v>4</v>
      </c>
      <c r="BA2348" s="12" t="str">
        <f>_xlfn.IFNA(VLOOKUP(AY2348,표1[[검색용]:[OptionGroupIndex'[']22]],EquipItemTable!AZ2348,FALSE),"옵션고정안함")</f>
        <v>8441,8442</v>
      </c>
    </row>
    <row r="2349" spans="1:53" ht="12" customHeight="1" x14ac:dyDescent="0.2">
      <c r="A2349" s="24" t="s">
        <v>4468</v>
      </c>
      <c r="B2349" s="87">
        <v>911101</v>
      </c>
      <c r="C2349" s="86" t="s">
        <v>4818</v>
      </c>
      <c r="D2349" s="86" t="s">
        <v>4867</v>
      </c>
      <c r="E2349" s="86" t="s">
        <v>1</v>
      </c>
      <c r="F2349" s="32" t="s">
        <v>436</v>
      </c>
      <c r="G2349" s="32" t="s">
        <v>1453</v>
      </c>
      <c r="J2349" s="32" t="s">
        <v>4458</v>
      </c>
      <c r="K2349" s="32" t="s">
        <v>4459</v>
      </c>
      <c r="M2349" s="32" t="s">
        <v>5378</v>
      </c>
      <c r="O2349" s="32">
        <v>9</v>
      </c>
      <c r="P2349" s="32">
        <v>91</v>
      </c>
      <c r="AA2349" s="12" t="s">
        <v>5383</v>
      </c>
      <c r="AD2349" s="12" t="s">
        <v>98</v>
      </c>
      <c r="AE2349" s="12" t="s">
        <v>5317</v>
      </c>
      <c r="AF2349" s="12" t="s">
        <v>2186</v>
      </c>
      <c r="AG2349" s="12" t="s">
        <v>98</v>
      </c>
      <c r="AH2349" s="12" t="s">
        <v>5313</v>
      </c>
      <c r="AN2349" s="46" t="s">
        <v>5311</v>
      </c>
      <c r="AR2349" s="34" t="s">
        <v>94</v>
      </c>
      <c r="AS2349" s="34" t="s">
        <v>94</v>
      </c>
      <c r="AU2349" s="12" t="s">
        <v>4460</v>
      </c>
      <c r="AW2349" s="32">
        <v>7</v>
      </c>
      <c r="AY2349" s="32"/>
      <c r="AZ2349" s="32"/>
      <c r="BA2349" s="32"/>
    </row>
    <row r="2350" spans="1:53" ht="12" customHeight="1" x14ac:dyDescent="0.2">
      <c r="A2350" s="24" t="s">
        <v>4469</v>
      </c>
      <c r="B2350" s="87">
        <v>911201</v>
      </c>
      <c r="C2350" s="86" t="s">
        <v>4825</v>
      </c>
      <c r="D2350" s="86" t="s">
        <v>4874</v>
      </c>
      <c r="E2350" s="86" t="s">
        <v>501</v>
      </c>
      <c r="F2350" s="32" t="s">
        <v>436</v>
      </c>
      <c r="G2350" s="32" t="s">
        <v>1453</v>
      </c>
      <c r="J2350" s="32" t="s">
        <v>4458</v>
      </c>
      <c r="K2350" s="32" t="s">
        <v>4459</v>
      </c>
      <c r="M2350" s="32" t="s">
        <v>5378</v>
      </c>
      <c r="O2350" s="32">
        <v>9</v>
      </c>
      <c r="P2350" s="32">
        <v>91</v>
      </c>
      <c r="AB2350" s="12" t="s">
        <v>5383</v>
      </c>
      <c r="AD2350" s="12" t="s">
        <v>98</v>
      </c>
      <c r="AE2350" s="12" t="s">
        <v>5317</v>
      </c>
      <c r="AF2350" s="12" t="s">
        <v>2186</v>
      </c>
      <c r="AG2350" s="12" t="s">
        <v>98</v>
      </c>
      <c r="AH2350" s="12" t="s">
        <v>5314</v>
      </c>
      <c r="AN2350" s="46" t="s">
        <v>5311</v>
      </c>
      <c r="AR2350" s="34" t="s">
        <v>94</v>
      </c>
      <c r="AS2350" s="34" t="s">
        <v>94</v>
      </c>
      <c r="AU2350" s="12" t="s">
        <v>4460</v>
      </c>
      <c r="AW2350" s="32">
        <v>7</v>
      </c>
      <c r="AY2350" s="32"/>
      <c r="AZ2350" s="32"/>
      <c r="BA2350" s="32"/>
    </row>
    <row r="2351" spans="1:53" ht="12" customHeight="1" x14ac:dyDescent="0.2">
      <c r="A2351" s="95" t="s">
        <v>4470</v>
      </c>
      <c r="B2351" s="42">
        <v>911301</v>
      </c>
      <c r="C2351" s="42" t="s">
        <v>4832</v>
      </c>
      <c r="D2351" s="86" t="s">
        <v>4881</v>
      </c>
      <c r="E2351" s="86" t="s">
        <v>2</v>
      </c>
      <c r="F2351" s="32" t="s">
        <v>436</v>
      </c>
      <c r="G2351" s="32" t="s">
        <v>1568</v>
      </c>
      <c r="J2351" s="32" t="s">
        <v>4458</v>
      </c>
      <c r="K2351" s="32" t="s">
        <v>4459</v>
      </c>
      <c r="M2351" s="32" t="s">
        <v>5378</v>
      </c>
      <c r="O2351" s="32">
        <v>9</v>
      </c>
      <c r="P2351" s="32">
        <v>91</v>
      </c>
      <c r="Y2351" s="12" t="s">
        <v>5384</v>
      </c>
      <c r="AD2351" s="12" t="s">
        <v>98</v>
      </c>
      <c r="AE2351" s="12" t="s">
        <v>5317</v>
      </c>
      <c r="AF2351" s="12" t="s">
        <v>2186</v>
      </c>
      <c r="AG2351" s="12" t="s">
        <v>98</v>
      </c>
      <c r="AH2351" s="12" t="s">
        <v>5315</v>
      </c>
      <c r="AN2351" s="46" t="s">
        <v>5311</v>
      </c>
      <c r="AU2351" s="12" t="s">
        <v>4460</v>
      </c>
    </row>
    <row r="2352" spans="1:53" ht="12" customHeight="1" x14ac:dyDescent="0.2">
      <c r="A2352" s="95" t="s">
        <v>4471</v>
      </c>
      <c r="B2352" s="42">
        <v>911401</v>
      </c>
      <c r="C2352" s="42" t="s">
        <v>4839</v>
      </c>
      <c r="D2352" s="86" t="s">
        <v>4888</v>
      </c>
      <c r="E2352" s="86" t="s">
        <v>2</v>
      </c>
      <c r="F2352" s="32" t="s">
        <v>436</v>
      </c>
      <c r="G2352" s="32" t="s">
        <v>1587</v>
      </c>
      <c r="J2352" s="32" t="s">
        <v>4458</v>
      </c>
      <c r="K2352" s="32" t="s">
        <v>4459</v>
      </c>
      <c r="M2352" s="32" t="s">
        <v>5378</v>
      </c>
      <c r="O2352" s="32">
        <v>9</v>
      </c>
      <c r="P2352" s="32">
        <v>91</v>
      </c>
      <c r="W2352" s="12" t="s">
        <v>5385</v>
      </c>
      <c r="X2352" s="12" t="s">
        <v>5385</v>
      </c>
      <c r="AD2352" s="12" t="s">
        <v>98</v>
      </c>
      <c r="AE2352" s="12" t="s">
        <v>5317</v>
      </c>
      <c r="AF2352" s="12" t="s">
        <v>2186</v>
      </c>
      <c r="AG2352" s="12" t="s">
        <v>98</v>
      </c>
      <c r="AH2352" s="12" t="s">
        <v>5315</v>
      </c>
      <c r="AN2352" s="46" t="s">
        <v>5311</v>
      </c>
      <c r="AU2352" s="12" t="s">
        <v>4460</v>
      </c>
    </row>
    <row r="2353" spans="1:47" ht="12" customHeight="1" x14ac:dyDescent="0.2">
      <c r="A2353" s="95" t="s">
        <v>4472</v>
      </c>
      <c r="B2353" s="42">
        <v>911501</v>
      </c>
      <c r="C2353" s="42" t="s">
        <v>4846</v>
      </c>
      <c r="D2353" s="86" t="s">
        <v>4895</v>
      </c>
      <c r="E2353" s="86" t="s">
        <v>2</v>
      </c>
      <c r="F2353" s="32" t="s">
        <v>436</v>
      </c>
      <c r="G2353" s="32" t="s">
        <v>1606</v>
      </c>
      <c r="J2353" s="32" t="s">
        <v>4458</v>
      </c>
      <c r="K2353" s="32" t="s">
        <v>4459</v>
      </c>
      <c r="M2353" s="32" t="s">
        <v>5378</v>
      </c>
      <c r="O2353" s="32">
        <v>9</v>
      </c>
      <c r="P2353" s="32">
        <v>91</v>
      </c>
      <c r="AB2353" s="12" t="s">
        <v>5386</v>
      </c>
      <c r="AD2353" s="12" t="s">
        <v>98</v>
      </c>
      <c r="AE2353" s="12" t="s">
        <v>5317</v>
      </c>
      <c r="AF2353" s="12" t="s">
        <v>2186</v>
      </c>
      <c r="AG2353" s="12" t="s">
        <v>98</v>
      </c>
      <c r="AH2353" s="12" t="s">
        <v>5315</v>
      </c>
      <c r="AN2353" s="46" t="s">
        <v>5311</v>
      </c>
      <c r="AU2353" s="12" t="s">
        <v>4460</v>
      </c>
    </row>
    <row r="2354" spans="1:47" ht="12" customHeight="1" x14ac:dyDescent="0.2">
      <c r="A2354" s="95" t="s">
        <v>4473</v>
      </c>
      <c r="B2354" s="42">
        <v>911601</v>
      </c>
      <c r="C2354" s="42" t="s">
        <v>4853</v>
      </c>
      <c r="D2354" s="86" t="s">
        <v>4902</v>
      </c>
      <c r="E2354" s="86" t="s">
        <v>2</v>
      </c>
      <c r="F2354" s="32" t="s">
        <v>436</v>
      </c>
      <c r="G2354" s="32" t="s">
        <v>1625</v>
      </c>
      <c r="J2354" s="32" t="s">
        <v>4458</v>
      </c>
      <c r="K2354" s="32" t="s">
        <v>4459</v>
      </c>
      <c r="M2354" s="32" t="s">
        <v>5378</v>
      </c>
      <c r="O2354" s="32">
        <v>9</v>
      </c>
      <c r="P2354" s="32">
        <v>91</v>
      </c>
      <c r="AA2354" s="12" t="s">
        <v>5386</v>
      </c>
      <c r="AD2354" s="12" t="s">
        <v>98</v>
      </c>
      <c r="AE2354" s="12" t="s">
        <v>5317</v>
      </c>
      <c r="AF2354" s="12" t="s">
        <v>2186</v>
      </c>
      <c r="AG2354" s="12" t="s">
        <v>98</v>
      </c>
      <c r="AH2354" s="12" t="s">
        <v>5315</v>
      </c>
      <c r="AN2354" s="46" t="s">
        <v>5311</v>
      </c>
      <c r="AU2354" s="12" t="s">
        <v>4460</v>
      </c>
    </row>
    <row r="2355" spans="1:47" ht="12" customHeight="1" x14ac:dyDescent="0.2">
      <c r="A2355" s="95" t="s">
        <v>4474</v>
      </c>
      <c r="B2355" s="42">
        <v>911701</v>
      </c>
      <c r="C2355" s="42" t="s">
        <v>4860</v>
      </c>
      <c r="D2355" s="86" t="s">
        <v>4909</v>
      </c>
      <c r="E2355" s="86" t="s">
        <v>1629</v>
      </c>
      <c r="F2355" s="32" t="s">
        <v>436</v>
      </c>
      <c r="G2355" s="32" t="s">
        <v>1630</v>
      </c>
      <c r="J2355" s="32" t="s">
        <v>4458</v>
      </c>
      <c r="K2355" s="32" t="s">
        <v>4459</v>
      </c>
      <c r="M2355" s="32" t="s">
        <v>5378</v>
      </c>
      <c r="O2355" s="32">
        <v>9</v>
      </c>
      <c r="P2355" s="32">
        <v>91</v>
      </c>
      <c r="Y2355" s="12" t="s">
        <v>5384</v>
      </c>
      <c r="AD2355" s="12" t="s">
        <v>98</v>
      </c>
      <c r="AE2355" s="12" t="s">
        <v>5317</v>
      </c>
      <c r="AF2355" s="12" t="s">
        <v>2186</v>
      </c>
      <c r="AG2355" s="12" t="s">
        <v>98</v>
      </c>
      <c r="AH2355" s="12" t="s">
        <v>5316</v>
      </c>
      <c r="AN2355" s="46" t="s">
        <v>5311</v>
      </c>
      <c r="AU2355" s="12" t="s">
        <v>4460</v>
      </c>
    </row>
    <row r="2356" spans="1:47" ht="12" customHeight="1" x14ac:dyDescent="0.2">
      <c r="A2356" s="95" t="s">
        <v>4475</v>
      </c>
      <c r="B2356" s="42">
        <v>911102</v>
      </c>
      <c r="C2356" s="42" t="s">
        <v>4720</v>
      </c>
      <c r="D2356" s="86" t="s">
        <v>4916</v>
      </c>
      <c r="E2356" s="86" t="s">
        <v>1</v>
      </c>
      <c r="F2356" s="32" t="s">
        <v>436</v>
      </c>
      <c r="G2356" s="32" t="s">
        <v>1453</v>
      </c>
      <c r="J2356" s="32" t="s">
        <v>4458</v>
      </c>
      <c r="K2356" s="32" t="s">
        <v>4459</v>
      </c>
      <c r="M2356" s="32" t="s">
        <v>5380</v>
      </c>
      <c r="O2356" s="32">
        <v>9</v>
      </c>
      <c r="P2356" s="32">
        <v>91</v>
      </c>
      <c r="AA2356" s="12" t="s">
        <v>5383</v>
      </c>
      <c r="AD2356" s="12" t="s">
        <v>98</v>
      </c>
      <c r="AE2356" s="12" t="s">
        <v>5317</v>
      </c>
      <c r="AF2356" s="12" t="s">
        <v>2186</v>
      </c>
      <c r="AG2356" s="12" t="s">
        <v>98</v>
      </c>
      <c r="AH2356" s="12" t="s">
        <v>5313</v>
      </c>
      <c r="AN2356" s="46" t="s">
        <v>5312</v>
      </c>
      <c r="AR2356" s="34" t="s">
        <v>94</v>
      </c>
      <c r="AS2356" s="34" t="s">
        <v>94</v>
      </c>
      <c r="AU2356" s="12">
        <v>9002</v>
      </c>
    </row>
    <row r="2357" spans="1:47" ht="12" customHeight="1" x14ac:dyDescent="0.2">
      <c r="A2357" s="95" t="s">
        <v>4476</v>
      </c>
      <c r="B2357" s="42">
        <v>911202</v>
      </c>
      <c r="C2357" s="42" t="s">
        <v>4727</v>
      </c>
      <c r="D2357" s="86" t="s">
        <v>4923</v>
      </c>
      <c r="E2357" s="86" t="s">
        <v>501</v>
      </c>
      <c r="F2357" s="32" t="s">
        <v>436</v>
      </c>
      <c r="G2357" s="32" t="s">
        <v>1453</v>
      </c>
      <c r="J2357" s="32" t="s">
        <v>4458</v>
      </c>
      <c r="K2357" s="32" t="s">
        <v>4459</v>
      </c>
      <c r="M2357" s="32" t="s">
        <v>5380</v>
      </c>
      <c r="O2357" s="32">
        <v>9</v>
      </c>
      <c r="P2357" s="32">
        <v>91</v>
      </c>
      <c r="AB2357" s="12" t="s">
        <v>5383</v>
      </c>
      <c r="AD2357" s="12" t="s">
        <v>98</v>
      </c>
      <c r="AE2357" s="12" t="s">
        <v>5317</v>
      </c>
      <c r="AF2357" s="12" t="s">
        <v>2186</v>
      </c>
      <c r="AG2357" s="12" t="s">
        <v>98</v>
      </c>
      <c r="AH2357" s="12" t="s">
        <v>5314</v>
      </c>
      <c r="AN2357" s="46" t="s">
        <v>5312</v>
      </c>
      <c r="AR2357" s="34" t="s">
        <v>94</v>
      </c>
      <c r="AS2357" s="34" t="s">
        <v>94</v>
      </c>
      <c r="AU2357" s="12">
        <v>9002</v>
      </c>
    </row>
    <row r="2358" spans="1:47" ht="12" customHeight="1" x14ac:dyDescent="0.2">
      <c r="A2358" s="95" t="s">
        <v>4477</v>
      </c>
      <c r="B2358" s="42">
        <v>911302</v>
      </c>
      <c r="C2358" s="42" t="s">
        <v>4734</v>
      </c>
      <c r="D2358" s="86" t="s">
        <v>4930</v>
      </c>
      <c r="E2358" s="86" t="s">
        <v>2</v>
      </c>
      <c r="F2358" s="32" t="s">
        <v>436</v>
      </c>
      <c r="G2358" s="32" t="s">
        <v>1568</v>
      </c>
      <c r="J2358" s="32" t="s">
        <v>4458</v>
      </c>
      <c r="K2358" s="32" t="s">
        <v>4459</v>
      </c>
      <c r="M2358" s="32" t="s">
        <v>5380</v>
      </c>
      <c r="O2358" s="32">
        <v>9</v>
      </c>
      <c r="P2358" s="32">
        <v>91</v>
      </c>
      <c r="Y2358" s="12" t="s">
        <v>5384</v>
      </c>
      <c r="AD2358" s="12" t="s">
        <v>98</v>
      </c>
      <c r="AE2358" s="12" t="s">
        <v>5317</v>
      </c>
      <c r="AF2358" s="12" t="s">
        <v>2186</v>
      </c>
      <c r="AG2358" s="12" t="s">
        <v>98</v>
      </c>
      <c r="AH2358" s="12" t="s">
        <v>5315</v>
      </c>
      <c r="AN2358" s="46" t="s">
        <v>5312</v>
      </c>
      <c r="AU2358" s="12">
        <v>9002</v>
      </c>
    </row>
    <row r="2359" spans="1:47" ht="12" customHeight="1" x14ac:dyDescent="0.2">
      <c r="A2359" s="95" t="s">
        <v>4478</v>
      </c>
      <c r="B2359" s="42">
        <v>911402</v>
      </c>
      <c r="C2359" s="42" t="s">
        <v>4741</v>
      </c>
      <c r="D2359" s="86" t="s">
        <v>4937</v>
      </c>
      <c r="E2359" s="86" t="s">
        <v>2</v>
      </c>
      <c r="F2359" s="32" t="s">
        <v>436</v>
      </c>
      <c r="G2359" s="32" t="s">
        <v>1587</v>
      </c>
      <c r="J2359" s="32" t="s">
        <v>4458</v>
      </c>
      <c r="K2359" s="32" t="s">
        <v>4459</v>
      </c>
      <c r="M2359" s="32" t="s">
        <v>5380</v>
      </c>
      <c r="O2359" s="32">
        <v>9</v>
      </c>
      <c r="P2359" s="32">
        <v>91</v>
      </c>
      <c r="W2359" s="12" t="s">
        <v>5385</v>
      </c>
      <c r="X2359" s="12" t="s">
        <v>5385</v>
      </c>
      <c r="AD2359" s="12" t="s">
        <v>98</v>
      </c>
      <c r="AE2359" s="12" t="s">
        <v>5317</v>
      </c>
      <c r="AF2359" s="12" t="s">
        <v>2186</v>
      </c>
      <c r="AG2359" s="12" t="s">
        <v>98</v>
      </c>
      <c r="AH2359" s="12" t="s">
        <v>5315</v>
      </c>
      <c r="AN2359" s="46" t="s">
        <v>5312</v>
      </c>
      <c r="AU2359" s="12">
        <v>9002</v>
      </c>
    </row>
    <row r="2360" spans="1:47" ht="12" customHeight="1" x14ac:dyDescent="0.2">
      <c r="A2360" s="95" t="s">
        <v>4479</v>
      </c>
      <c r="B2360" s="42">
        <v>911502</v>
      </c>
      <c r="C2360" s="42" t="s">
        <v>4748</v>
      </c>
      <c r="D2360" s="86" t="s">
        <v>4944</v>
      </c>
      <c r="E2360" s="86" t="s">
        <v>2</v>
      </c>
      <c r="F2360" s="32" t="s">
        <v>436</v>
      </c>
      <c r="G2360" s="32" t="s">
        <v>1606</v>
      </c>
      <c r="J2360" s="32" t="s">
        <v>4458</v>
      </c>
      <c r="K2360" s="32" t="s">
        <v>4459</v>
      </c>
      <c r="M2360" s="32" t="s">
        <v>5380</v>
      </c>
      <c r="O2360" s="32">
        <v>9</v>
      </c>
      <c r="P2360" s="32">
        <v>91</v>
      </c>
      <c r="AB2360" s="12" t="s">
        <v>5386</v>
      </c>
      <c r="AD2360" s="12" t="s">
        <v>98</v>
      </c>
      <c r="AE2360" s="12" t="s">
        <v>5317</v>
      </c>
      <c r="AF2360" s="12" t="s">
        <v>2186</v>
      </c>
      <c r="AG2360" s="12" t="s">
        <v>98</v>
      </c>
      <c r="AH2360" s="12" t="s">
        <v>5315</v>
      </c>
      <c r="AN2360" s="46" t="s">
        <v>5312</v>
      </c>
      <c r="AU2360" s="12">
        <v>9002</v>
      </c>
    </row>
    <row r="2361" spans="1:47" ht="12" customHeight="1" x14ac:dyDescent="0.2">
      <c r="A2361" s="95" t="s">
        <v>4480</v>
      </c>
      <c r="B2361" s="42">
        <v>911602</v>
      </c>
      <c r="C2361" s="42" t="s">
        <v>4755</v>
      </c>
      <c r="D2361" s="86" t="s">
        <v>4951</v>
      </c>
      <c r="E2361" s="86" t="s">
        <v>2</v>
      </c>
      <c r="F2361" s="32" t="s">
        <v>436</v>
      </c>
      <c r="G2361" s="32" t="s">
        <v>1625</v>
      </c>
      <c r="J2361" s="32" t="s">
        <v>4458</v>
      </c>
      <c r="K2361" s="32" t="s">
        <v>4459</v>
      </c>
      <c r="M2361" s="32" t="s">
        <v>5380</v>
      </c>
      <c r="O2361" s="32">
        <v>9</v>
      </c>
      <c r="P2361" s="32">
        <v>91</v>
      </c>
      <c r="AA2361" s="12" t="s">
        <v>5386</v>
      </c>
      <c r="AD2361" s="12" t="s">
        <v>98</v>
      </c>
      <c r="AE2361" s="12" t="s">
        <v>5317</v>
      </c>
      <c r="AF2361" s="12" t="s">
        <v>2186</v>
      </c>
      <c r="AG2361" s="12" t="s">
        <v>98</v>
      </c>
      <c r="AH2361" s="12" t="s">
        <v>5315</v>
      </c>
      <c r="AN2361" s="46" t="s">
        <v>5312</v>
      </c>
      <c r="AU2361" s="12">
        <v>9002</v>
      </c>
    </row>
    <row r="2362" spans="1:47" ht="12" customHeight="1" x14ac:dyDescent="0.2">
      <c r="A2362" s="95" t="s">
        <v>4481</v>
      </c>
      <c r="B2362" s="42">
        <v>911702</v>
      </c>
      <c r="C2362" s="42" t="s">
        <v>4762</v>
      </c>
      <c r="D2362" s="86" t="s">
        <v>4958</v>
      </c>
      <c r="E2362" s="86" t="s">
        <v>1629</v>
      </c>
      <c r="F2362" s="32" t="s">
        <v>436</v>
      </c>
      <c r="G2362" s="32" t="s">
        <v>1630</v>
      </c>
      <c r="J2362" s="32" t="s">
        <v>4458</v>
      </c>
      <c r="K2362" s="32" t="s">
        <v>4459</v>
      </c>
      <c r="M2362" s="32" t="s">
        <v>5380</v>
      </c>
      <c r="O2362" s="32">
        <v>9</v>
      </c>
      <c r="P2362" s="32">
        <v>91</v>
      </c>
      <c r="Y2362" s="12" t="s">
        <v>5384</v>
      </c>
      <c r="AD2362" s="12" t="s">
        <v>98</v>
      </c>
      <c r="AE2362" s="12" t="s">
        <v>5317</v>
      </c>
      <c r="AF2362" s="12" t="s">
        <v>2186</v>
      </c>
      <c r="AG2362" s="12" t="s">
        <v>98</v>
      </c>
      <c r="AH2362" s="12" t="s">
        <v>5316</v>
      </c>
      <c r="AN2362" s="46" t="s">
        <v>5312</v>
      </c>
      <c r="AU2362" s="12">
        <v>9002</v>
      </c>
    </row>
    <row r="2363" spans="1:47" ht="12" customHeight="1" x14ac:dyDescent="0.2">
      <c r="A2363" s="95" t="s">
        <v>4482</v>
      </c>
      <c r="B2363" s="42">
        <v>911103</v>
      </c>
      <c r="C2363" s="42" t="s">
        <v>4769</v>
      </c>
      <c r="D2363" s="86" t="s">
        <v>4965</v>
      </c>
      <c r="E2363" s="86" t="s">
        <v>1</v>
      </c>
      <c r="F2363" s="32" t="s">
        <v>436</v>
      </c>
      <c r="G2363" s="32" t="s">
        <v>1453</v>
      </c>
      <c r="J2363" s="32" t="s">
        <v>4458</v>
      </c>
      <c r="K2363" s="32" t="s">
        <v>4459</v>
      </c>
      <c r="M2363" s="32" t="s">
        <v>5379</v>
      </c>
      <c r="O2363" s="32">
        <v>9</v>
      </c>
      <c r="P2363" s="32">
        <v>91</v>
      </c>
      <c r="AA2363" s="12" t="s">
        <v>5383</v>
      </c>
      <c r="AD2363" s="12" t="s">
        <v>98</v>
      </c>
      <c r="AE2363" s="12" t="s">
        <v>5317</v>
      </c>
      <c r="AF2363" s="12" t="s">
        <v>2186</v>
      </c>
      <c r="AG2363" s="12" t="s">
        <v>98</v>
      </c>
      <c r="AH2363" s="12" t="s">
        <v>5313</v>
      </c>
      <c r="AN2363" s="46">
        <v>1103</v>
      </c>
      <c r="AR2363" s="34" t="s">
        <v>94</v>
      </c>
      <c r="AS2363" s="34" t="s">
        <v>94</v>
      </c>
      <c r="AU2363" s="12">
        <v>9003</v>
      </c>
    </row>
    <row r="2364" spans="1:47" ht="12" customHeight="1" x14ac:dyDescent="0.2">
      <c r="A2364" s="95" t="s">
        <v>4483</v>
      </c>
      <c r="B2364" s="42">
        <v>911203</v>
      </c>
      <c r="C2364" s="42" t="s">
        <v>4776</v>
      </c>
      <c r="D2364" s="86" t="s">
        <v>4972</v>
      </c>
      <c r="E2364" s="86" t="s">
        <v>501</v>
      </c>
      <c r="F2364" s="32" t="s">
        <v>436</v>
      </c>
      <c r="G2364" s="32" t="s">
        <v>1453</v>
      </c>
      <c r="J2364" s="32" t="s">
        <v>4458</v>
      </c>
      <c r="K2364" s="32" t="s">
        <v>4459</v>
      </c>
      <c r="M2364" s="32" t="s">
        <v>5379</v>
      </c>
      <c r="O2364" s="32">
        <v>9</v>
      </c>
      <c r="P2364" s="32">
        <v>91</v>
      </c>
      <c r="AB2364" s="12" t="s">
        <v>5383</v>
      </c>
      <c r="AD2364" s="12" t="s">
        <v>98</v>
      </c>
      <c r="AE2364" s="12" t="s">
        <v>5317</v>
      </c>
      <c r="AF2364" s="12" t="s">
        <v>2186</v>
      </c>
      <c r="AG2364" s="12" t="s">
        <v>98</v>
      </c>
      <c r="AH2364" s="12" t="s">
        <v>5314</v>
      </c>
      <c r="AN2364" s="46">
        <v>1103</v>
      </c>
      <c r="AR2364" s="34" t="s">
        <v>94</v>
      </c>
      <c r="AS2364" s="34" t="s">
        <v>94</v>
      </c>
      <c r="AU2364" s="12">
        <v>9003</v>
      </c>
    </row>
    <row r="2365" spans="1:47" ht="12" customHeight="1" x14ac:dyDescent="0.2">
      <c r="A2365" s="95" t="s">
        <v>4484</v>
      </c>
      <c r="B2365" s="42">
        <v>911303</v>
      </c>
      <c r="C2365" s="42" t="s">
        <v>4783</v>
      </c>
      <c r="D2365" s="86" t="s">
        <v>4979</v>
      </c>
      <c r="E2365" s="86" t="s">
        <v>2</v>
      </c>
      <c r="F2365" s="32" t="s">
        <v>436</v>
      </c>
      <c r="G2365" s="32" t="s">
        <v>1568</v>
      </c>
      <c r="J2365" s="32" t="s">
        <v>4458</v>
      </c>
      <c r="K2365" s="32" t="s">
        <v>4459</v>
      </c>
      <c r="M2365" s="32" t="s">
        <v>5379</v>
      </c>
      <c r="O2365" s="32">
        <v>9</v>
      </c>
      <c r="P2365" s="32">
        <v>91</v>
      </c>
      <c r="Y2365" s="12" t="s">
        <v>5384</v>
      </c>
      <c r="AD2365" s="12" t="s">
        <v>98</v>
      </c>
      <c r="AE2365" s="12" t="s">
        <v>5317</v>
      </c>
      <c r="AF2365" s="12" t="s">
        <v>2186</v>
      </c>
      <c r="AG2365" s="12" t="s">
        <v>98</v>
      </c>
      <c r="AH2365" s="12" t="s">
        <v>5315</v>
      </c>
      <c r="AN2365" s="46">
        <v>1103</v>
      </c>
      <c r="AU2365" s="12">
        <v>9003</v>
      </c>
    </row>
    <row r="2366" spans="1:47" ht="12" customHeight="1" x14ac:dyDescent="0.2">
      <c r="A2366" s="95" t="s">
        <v>4485</v>
      </c>
      <c r="B2366" s="42">
        <v>911403</v>
      </c>
      <c r="C2366" s="42" t="s">
        <v>4790</v>
      </c>
      <c r="D2366" s="86" t="s">
        <v>4986</v>
      </c>
      <c r="E2366" s="86" t="s">
        <v>2</v>
      </c>
      <c r="F2366" s="32" t="s">
        <v>436</v>
      </c>
      <c r="G2366" s="32" t="s">
        <v>1587</v>
      </c>
      <c r="J2366" s="32" t="s">
        <v>4458</v>
      </c>
      <c r="K2366" s="32" t="s">
        <v>4459</v>
      </c>
      <c r="M2366" s="32" t="s">
        <v>5379</v>
      </c>
      <c r="O2366" s="32">
        <v>9</v>
      </c>
      <c r="P2366" s="32">
        <v>91</v>
      </c>
      <c r="W2366" s="12" t="s">
        <v>5385</v>
      </c>
      <c r="X2366" s="12" t="s">
        <v>5385</v>
      </c>
      <c r="AD2366" s="12" t="s">
        <v>98</v>
      </c>
      <c r="AE2366" s="12" t="s">
        <v>5317</v>
      </c>
      <c r="AF2366" s="12" t="s">
        <v>2186</v>
      </c>
      <c r="AG2366" s="12" t="s">
        <v>98</v>
      </c>
      <c r="AH2366" s="12" t="s">
        <v>5315</v>
      </c>
      <c r="AN2366" s="46">
        <v>1103</v>
      </c>
      <c r="AU2366" s="12">
        <v>9003</v>
      </c>
    </row>
    <row r="2367" spans="1:47" ht="12" customHeight="1" x14ac:dyDescent="0.2">
      <c r="A2367" s="95" t="s">
        <v>4486</v>
      </c>
      <c r="B2367" s="42">
        <v>911503</v>
      </c>
      <c r="C2367" s="42" t="s">
        <v>4797</v>
      </c>
      <c r="D2367" s="86" t="s">
        <v>4993</v>
      </c>
      <c r="E2367" s="86" t="s">
        <v>2</v>
      </c>
      <c r="F2367" s="32" t="s">
        <v>436</v>
      </c>
      <c r="G2367" s="32" t="s">
        <v>1606</v>
      </c>
      <c r="J2367" s="32" t="s">
        <v>4458</v>
      </c>
      <c r="K2367" s="32" t="s">
        <v>4459</v>
      </c>
      <c r="M2367" s="32" t="s">
        <v>5379</v>
      </c>
      <c r="O2367" s="32">
        <v>9</v>
      </c>
      <c r="P2367" s="32">
        <v>91</v>
      </c>
      <c r="AB2367" s="12" t="s">
        <v>5386</v>
      </c>
      <c r="AD2367" s="12" t="s">
        <v>98</v>
      </c>
      <c r="AE2367" s="12" t="s">
        <v>5317</v>
      </c>
      <c r="AF2367" s="12" t="s">
        <v>2186</v>
      </c>
      <c r="AG2367" s="12" t="s">
        <v>98</v>
      </c>
      <c r="AH2367" s="12" t="s">
        <v>5315</v>
      </c>
      <c r="AN2367" s="46">
        <v>1103</v>
      </c>
      <c r="AU2367" s="12">
        <v>9003</v>
      </c>
    </row>
    <row r="2368" spans="1:47" ht="12" customHeight="1" x14ac:dyDescent="0.2">
      <c r="A2368" s="95" t="s">
        <v>4487</v>
      </c>
      <c r="B2368" s="42">
        <v>911603</v>
      </c>
      <c r="C2368" s="42" t="s">
        <v>4804</v>
      </c>
      <c r="D2368" s="86" t="s">
        <v>5000</v>
      </c>
      <c r="E2368" s="86" t="s">
        <v>2</v>
      </c>
      <c r="F2368" s="32" t="s">
        <v>436</v>
      </c>
      <c r="G2368" s="32" t="s">
        <v>1625</v>
      </c>
      <c r="J2368" s="32" t="s">
        <v>4458</v>
      </c>
      <c r="K2368" s="32" t="s">
        <v>4459</v>
      </c>
      <c r="M2368" s="32" t="s">
        <v>5379</v>
      </c>
      <c r="O2368" s="32">
        <v>9</v>
      </c>
      <c r="P2368" s="32">
        <v>91</v>
      </c>
      <c r="AA2368" s="12" t="s">
        <v>5386</v>
      </c>
      <c r="AD2368" s="12" t="s">
        <v>98</v>
      </c>
      <c r="AE2368" s="12" t="s">
        <v>5317</v>
      </c>
      <c r="AF2368" s="12" t="s">
        <v>2186</v>
      </c>
      <c r="AG2368" s="12" t="s">
        <v>98</v>
      </c>
      <c r="AH2368" s="12" t="s">
        <v>5315</v>
      </c>
      <c r="AN2368" s="46">
        <v>1103</v>
      </c>
      <c r="AU2368" s="12">
        <v>9003</v>
      </c>
    </row>
    <row r="2369" spans="1:47" ht="12" customHeight="1" x14ac:dyDescent="0.2">
      <c r="A2369" s="95" t="s">
        <v>4488</v>
      </c>
      <c r="B2369" s="42">
        <v>911703</v>
      </c>
      <c r="C2369" s="42" t="s">
        <v>4811</v>
      </c>
      <c r="D2369" s="86" t="s">
        <v>5007</v>
      </c>
      <c r="E2369" s="86" t="s">
        <v>1629</v>
      </c>
      <c r="F2369" s="32" t="s">
        <v>436</v>
      </c>
      <c r="G2369" s="32" t="s">
        <v>1630</v>
      </c>
      <c r="J2369" s="32" t="s">
        <v>4458</v>
      </c>
      <c r="K2369" s="32" t="s">
        <v>4459</v>
      </c>
      <c r="M2369" s="32" t="s">
        <v>5379</v>
      </c>
      <c r="O2369" s="32">
        <v>9</v>
      </c>
      <c r="P2369" s="32">
        <v>91</v>
      </c>
      <c r="Y2369" s="12" t="s">
        <v>5384</v>
      </c>
      <c r="AD2369" s="12" t="s">
        <v>98</v>
      </c>
      <c r="AE2369" s="12" t="s">
        <v>5317</v>
      </c>
      <c r="AF2369" s="12" t="s">
        <v>2186</v>
      </c>
      <c r="AG2369" s="12" t="s">
        <v>98</v>
      </c>
      <c r="AH2369" s="12" t="s">
        <v>5316</v>
      </c>
      <c r="AN2369" s="46">
        <v>1103</v>
      </c>
      <c r="AU2369" s="12">
        <v>9003</v>
      </c>
    </row>
    <row r="2370" spans="1:47" ht="12" customHeight="1" x14ac:dyDescent="0.2">
      <c r="A2370" s="95" t="s">
        <v>4489</v>
      </c>
      <c r="B2370" s="42">
        <v>912101</v>
      </c>
      <c r="C2370" s="42" t="s">
        <v>4819</v>
      </c>
      <c r="D2370" s="86" t="s">
        <v>4868</v>
      </c>
      <c r="E2370" s="86" t="s">
        <v>1</v>
      </c>
      <c r="F2370" s="32" t="s">
        <v>928</v>
      </c>
      <c r="G2370" s="32" t="s">
        <v>1453</v>
      </c>
      <c r="J2370" s="32" t="s">
        <v>4458</v>
      </c>
      <c r="K2370" s="32" t="s">
        <v>4459</v>
      </c>
      <c r="M2370" s="32" t="s">
        <v>5378</v>
      </c>
      <c r="O2370" s="32">
        <v>9</v>
      </c>
      <c r="P2370" s="32">
        <v>91</v>
      </c>
      <c r="AA2370" s="12" t="s">
        <v>5383</v>
      </c>
      <c r="AD2370" s="12" t="s">
        <v>98</v>
      </c>
      <c r="AE2370" s="12" t="s">
        <v>5317</v>
      </c>
      <c r="AF2370" s="12" t="s">
        <v>2186</v>
      </c>
      <c r="AG2370" s="12" t="s">
        <v>98</v>
      </c>
      <c r="AH2370" s="12" t="s">
        <v>5313</v>
      </c>
      <c r="AN2370" s="46">
        <v>1201</v>
      </c>
      <c r="AR2370" s="34" t="s">
        <v>94</v>
      </c>
      <c r="AS2370" s="34" t="s">
        <v>94</v>
      </c>
      <c r="AU2370" s="12" t="s">
        <v>4460</v>
      </c>
    </row>
    <row r="2371" spans="1:47" ht="12" customHeight="1" x14ac:dyDescent="0.2">
      <c r="A2371" s="95" t="s">
        <v>4490</v>
      </c>
      <c r="B2371" s="42">
        <v>912201</v>
      </c>
      <c r="C2371" s="42" t="s">
        <v>4826</v>
      </c>
      <c r="D2371" s="86" t="s">
        <v>4875</v>
      </c>
      <c r="E2371" s="86" t="s">
        <v>501</v>
      </c>
      <c r="F2371" s="32" t="s">
        <v>928</v>
      </c>
      <c r="G2371" s="32" t="s">
        <v>1453</v>
      </c>
      <c r="J2371" s="32" t="s">
        <v>4458</v>
      </c>
      <c r="K2371" s="32" t="s">
        <v>4459</v>
      </c>
      <c r="M2371" s="32" t="s">
        <v>5378</v>
      </c>
      <c r="O2371" s="32">
        <v>9</v>
      </c>
      <c r="P2371" s="32">
        <v>91</v>
      </c>
      <c r="AB2371" s="12" t="s">
        <v>5383</v>
      </c>
      <c r="AD2371" s="12" t="s">
        <v>98</v>
      </c>
      <c r="AE2371" s="12" t="s">
        <v>5317</v>
      </c>
      <c r="AF2371" s="12" t="s">
        <v>2186</v>
      </c>
      <c r="AG2371" s="12" t="s">
        <v>98</v>
      </c>
      <c r="AH2371" s="12" t="s">
        <v>5314</v>
      </c>
      <c r="AN2371" s="46">
        <v>1201</v>
      </c>
      <c r="AR2371" s="34" t="s">
        <v>94</v>
      </c>
      <c r="AS2371" s="34" t="s">
        <v>94</v>
      </c>
      <c r="AU2371" s="12" t="s">
        <v>4460</v>
      </c>
    </row>
    <row r="2372" spans="1:47" ht="12" customHeight="1" x14ac:dyDescent="0.2">
      <c r="A2372" s="95" t="s">
        <v>4491</v>
      </c>
      <c r="B2372" s="42">
        <v>912301</v>
      </c>
      <c r="C2372" s="42" t="s">
        <v>4833</v>
      </c>
      <c r="D2372" s="86" t="s">
        <v>4882</v>
      </c>
      <c r="E2372" s="86" t="s">
        <v>2</v>
      </c>
      <c r="F2372" s="32" t="s">
        <v>928</v>
      </c>
      <c r="G2372" s="32" t="s">
        <v>1568</v>
      </c>
      <c r="J2372" s="32" t="s">
        <v>4458</v>
      </c>
      <c r="K2372" s="32" t="s">
        <v>4459</v>
      </c>
      <c r="M2372" s="32" t="s">
        <v>5378</v>
      </c>
      <c r="O2372" s="32">
        <v>9</v>
      </c>
      <c r="P2372" s="32">
        <v>91</v>
      </c>
      <c r="Y2372" s="12" t="s">
        <v>5384</v>
      </c>
      <c r="AD2372" s="12" t="s">
        <v>98</v>
      </c>
      <c r="AE2372" s="12" t="s">
        <v>5317</v>
      </c>
      <c r="AF2372" s="12" t="s">
        <v>2186</v>
      </c>
      <c r="AG2372" s="12" t="s">
        <v>98</v>
      </c>
      <c r="AH2372" s="12" t="s">
        <v>5315</v>
      </c>
      <c r="AN2372" s="46">
        <v>1201</v>
      </c>
      <c r="AU2372" s="12" t="s">
        <v>4460</v>
      </c>
    </row>
    <row r="2373" spans="1:47" ht="12" customHeight="1" x14ac:dyDescent="0.2">
      <c r="A2373" s="95" t="s">
        <v>4492</v>
      </c>
      <c r="B2373" s="42">
        <v>912401</v>
      </c>
      <c r="C2373" s="42" t="s">
        <v>4840</v>
      </c>
      <c r="D2373" s="86" t="s">
        <v>4889</v>
      </c>
      <c r="E2373" s="86" t="s">
        <v>2</v>
      </c>
      <c r="F2373" s="32" t="s">
        <v>928</v>
      </c>
      <c r="G2373" s="32" t="s">
        <v>1587</v>
      </c>
      <c r="J2373" s="32" t="s">
        <v>4458</v>
      </c>
      <c r="K2373" s="32" t="s">
        <v>4459</v>
      </c>
      <c r="M2373" s="32" t="s">
        <v>5378</v>
      </c>
      <c r="O2373" s="32">
        <v>9</v>
      </c>
      <c r="P2373" s="32">
        <v>91</v>
      </c>
      <c r="W2373" s="12" t="s">
        <v>5385</v>
      </c>
      <c r="X2373" s="12" t="s">
        <v>5385</v>
      </c>
      <c r="AD2373" s="12" t="s">
        <v>98</v>
      </c>
      <c r="AE2373" s="12" t="s">
        <v>5317</v>
      </c>
      <c r="AF2373" s="12" t="s">
        <v>2186</v>
      </c>
      <c r="AG2373" s="12" t="s">
        <v>98</v>
      </c>
      <c r="AH2373" s="12" t="s">
        <v>5315</v>
      </c>
      <c r="AN2373" s="46">
        <v>1201</v>
      </c>
      <c r="AU2373" s="12" t="s">
        <v>4460</v>
      </c>
    </row>
    <row r="2374" spans="1:47" ht="12" customHeight="1" x14ac:dyDescent="0.2">
      <c r="A2374" s="95" t="s">
        <v>4493</v>
      </c>
      <c r="B2374" s="42">
        <v>912501</v>
      </c>
      <c r="C2374" s="42" t="s">
        <v>4847</v>
      </c>
      <c r="D2374" s="86" t="s">
        <v>4896</v>
      </c>
      <c r="E2374" s="86" t="s">
        <v>2</v>
      </c>
      <c r="F2374" s="32" t="s">
        <v>928</v>
      </c>
      <c r="G2374" s="32" t="s">
        <v>1606</v>
      </c>
      <c r="J2374" s="32" t="s">
        <v>4458</v>
      </c>
      <c r="K2374" s="32" t="s">
        <v>4459</v>
      </c>
      <c r="M2374" s="32" t="s">
        <v>5378</v>
      </c>
      <c r="O2374" s="32">
        <v>9</v>
      </c>
      <c r="P2374" s="32">
        <v>91</v>
      </c>
      <c r="AB2374" s="12" t="s">
        <v>5386</v>
      </c>
      <c r="AD2374" s="12" t="s">
        <v>98</v>
      </c>
      <c r="AE2374" s="12" t="s">
        <v>5317</v>
      </c>
      <c r="AF2374" s="12" t="s">
        <v>2186</v>
      </c>
      <c r="AG2374" s="12" t="s">
        <v>98</v>
      </c>
      <c r="AH2374" s="12" t="s">
        <v>5315</v>
      </c>
      <c r="AN2374" s="46">
        <v>1201</v>
      </c>
      <c r="AU2374" s="12" t="s">
        <v>4460</v>
      </c>
    </row>
    <row r="2375" spans="1:47" ht="12" customHeight="1" x14ac:dyDescent="0.2">
      <c r="A2375" s="95" t="s">
        <v>4494</v>
      </c>
      <c r="B2375" s="42">
        <v>912601</v>
      </c>
      <c r="C2375" s="42" t="s">
        <v>4854</v>
      </c>
      <c r="D2375" s="86" t="s">
        <v>4903</v>
      </c>
      <c r="E2375" s="86" t="s">
        <v>2</v>
      </c>
      <c r="F2375" s="32" t="s">
        <v>928</v>
      </c>
      <c r="G2375" s="32" t="s">
        <v>1625</v>
      </c>
      <c r="J2375" s="32" t="s">
        <v>4458</v>
      </c>
      <c r="K2375" s="32" t="s">
        <v>4459</v>
      </c>
      <c r="M2375" s="32" t="s">
        <v>5378</v>
      </c>
      <c r="O2375" s="32">
        <v>9</v>
      </c>
      <c r="P2375" s="32">
        <v>91</v>
      </c>
      <c r="AA2375" s="12" t="s">
        <v>5386</v>
      </c>
      <c r="AD2375" s="12" t="s">
        <v>98</v>
      </c>
      <c r="AE2375" s="12" t="s">
        <v>5317</v>
      </c>
      <c r="AF2375" s="12" t="s">
        <v>2186</v>
      </c>
      <c r="AG2375" s="12" t="s">
        <v>98</v>
      </c>
      <c r="AH2375" s="12" t="s">
        <v>5315</v>
      </c>
      <c r="AN2375" s="46">
        <v>1201</v>
      </c>
      <c r="AU2375" s="12" t="s">
        <v>4460</v>
      </c>
    </row>
    <row r="2376" spans="1:47" ht="12" customHeight="1" x14ac:dyDescent="0.2">
      <c r="A2376" s="95" t="s">
        <v>4495</v>
      </c>
      <c r="B2376" s="42">
        <v>912701</v>
      </c>
      <c r="C2376" s="42" t="s">
        <v>4861</v>
      </c>
      <c r="D2376" s="86" t="s">
        <v>4910</v>
      </c>
      <c r="E2376" s="86" t="s">
        <v>1629</v>
      </c>
      <c r="F2376" s="32" t="s">
        <v>928</v>
      </c>
      <c r="G2376" s="32" t="s">
        <v>1630</v>
      </c>
      <c r="J2376" s="32" t="s">
        <v>4458</v>
      </c>
      <c r="K2376" s="32" t="s">
        <v>4459</v>
      </c>
      <c r="M2376" s="32" t="s">
        <v>5378</v>
      </c>
      <c r="O2376" s="32">
        <v>9</v>
      </c>
      <c r="P2376" s="32">
        <v>91</v>
      </c>
      <c r="Y2376" s="12" t="s">
        <v>5384</v>
      </c>
      <c r="AD2376" s="12" t="s">
        <v>98</v>
      </c>
      <c r="AE2376" s="12" t="s">
        <v>5317</v>
      </c>
      <c r="AF2376" s="12" t="s">
        <v>2186</v>
      </c>
      <c r="AG2376" s="12" t="s">
        <v>98</v>
      </c>
      <c r="AH2376" s="12" t="s">
        <v>5316</v>
      </c>
      <c r="AN2376" s="46">
        <v>1201</v>
      </c>
      <c r="AU2376" s="12" t="s">
        <v>4460</v>
      </c>
    </row>
    <row r="2377" spans="1:47" ht="12" customHeight="1" x14ac:dyDescent="0.2">
      <c r="A2377" s="95" t="s">
        <v>4496</v>
      </c>
      <c r="B2377" s="42">
        <v>912102</v>
      </c>
      <c r="C2377" s="42" t="s">
        <v>4721</v>
      </c>
      <c r="D2377" s="86" t="s">
        <v>4917</v>
      </c>
      <c r="E2377" s="86" t="s">
        <v>1</v>
      </c>
      <c r="F2377" s="32" t="s">
        <v>928</v>
      </c>
      <c r="G2377" s="32" t="s">
        <v>1453</v>
      </c>
      <c r="J2377" s="32" t="s">
        <v>4458</v>
      </c>
      <c r="K2377" s="32" t="s">
        <v>4459</v>
      </c>
      <c r="M2377" s="32" t="s">
        <v>5380</v>
      </c>
      <c r="O2377" s="32">
        <v>9</v>
      </c>
      <c r="P2377" s="32">
        <v>91</v>
      </c>
      <c r="AA2377" s="12" t="s">
        <v>5383</v>
      </c>
      <c r="AD2377" s="12" t="s">
        <v>98</v>
      </c>
      <c r="AE2377" s="12" t="s">
        <v>5317</v>
      </c>
      <c r="AF2377" s="12" t="s">
        <v>2186</v>
      </c>
      <c r="AG2377" s="12" t="s">
        <v>98</v>
      </c>
      <c r="AH2377" s="12" t="s">
        <v>5313</v>
      </c>
      <c r="AN2377" s="46">
        <v>1202</v>
      </c>
      <c r="AR2377" s="34" t="s">
        <v>94</v>
      </c>
      <c r="AS2377" s="34" t="s">
        <v>94</v>
      </c>
      <c r="AU2377" s="12">
        <v>9002</v>
      </c>
    </row>
    <row r="2378" spans="1:47" ht="12" customHeight="1" x14ac:dyDescent="0.2">
      <c r="A2378" s="95" t="s">
        <v>4497</v>
      </c>
      <c r="B2378" s="42">
        <v>912202</v>
      </c>
      <c r="C2378" s="42" t="s">
        <v>4728</v>
      </c>
      <c r="D2378" s="86" t="s">
        <v>4924</v>
      </c>
      <c r="E2378" s="86" t="s">
        <v>501</v>
      </c>
      <c r="F2378" s="32" t="s">
        <v>928</v>
      </c>
      <c r="G2378" s="32" t="s">
        <v>1453</v>
      </c>
      <c r="J2378" s="32" t="s">
        <v>4458</v>
      </c>
      <c r="K2378" s="32" t="s">
        <v>4459</v>
      </c>
      <c r="M2378" s="32" t="s">
        <v>5380</v>
      </c>
      <c r="O2378" s="32">
        <v>9</v>
      </c>
      <c r="P2378" s="32">
        <v>91</v>
      </c>
      <c r="AB2378" s="12" t="s">
        <v>5383</v>
      </c>
      <c r="AD2378" s="12" t="s">
        <v>98</v>
      </c>
      <c r="AE2378" s="12" t="s">
        <v>5317</v>
      </c>
      <c r="AF2378" s="12" t="s">
        <v>2186</v>
      </c>
      <c r="AG2378" s="12" t="s">
        <v>98</v>
      </c>
      <c r="AH2378" s="12" t="s">
        <v>5314</v>
      </c>
      <c r="AN2378" s="46">
        <v>1202</v>
      </c>
      <c r="AR2378" s="34" t="s">
        <v>94</v>
      </c>
      <c r="AS2378" s="34" t="s">
        <v>94</v>
      </c>
      <c r="AU2378" s="12">
        <v>9002</v>
      </c>
    </row>
    <row r="2379" spans="1:47" ht="12" customHeight="1" x14ac:dyDescent="0.2">
      <c r="A2379" s="95" t="s">
        <v>4498</v>
      </c>
      <c r="B2379" s="42">
        <v>912302</v>
      </c>
      <c r="C2379" s="42" t="s">
        <v>4735</v>
      </c>
      <c r="D2379" s="86" t="s">
        <v>4931</v>
      </c>
      <c r="E2379" s="86" t="s">
        <v>2</v>
      </c>
      <c r="F2379" s="32" t="s">
        <v>928</v>
      </c>
      <c r="G2379" s="32" t="s">
        <v>1568</v>
      </c>
      <c r="J2379" s="32" t="s">
        <v>4458</v>
      </c>
      <c r="K2379" s="32" t="s">
        <v>4459</v>
      </c>
      <c r="M2379" s="32" t="s">
        <v>5380</v>
      </c>
      <c r="O2379" s="32">
        <v>9</v>
      </c>
      <c r="P2379" s="32">
        <v>91</v>
      </c>
      <c r="Y2379" s="12" t="s">
        <v>5384</v>
      </c>
      <c r="AD2379" s="12" t="s">
        <v>98</v>
      </c>
      <c r="AE2379" s="12" t="s">
        <v>5317</v>
      </c>
      <c r="AF2379" s="12" t="s">
        <v>2186</v>
      </c>
      <c r="AG2379" s="12" t="s">
        <v>98</v>
      </c>
      <c r="AH2379" s="12" t="s">
        <v>5315</v>
      </c>
      <c r="AN2379" s="46">
        <v>1202</v>
      </c>
      <c r="AU2379" s="12">
        <v>9002</v>
      </c>
    </row>
    <row r="2380" spans="1:47" ht="12" customHeight="1" x14ac:dyDescent="0.2">
      <c r="A2380" s="95" t="s">
        <v>4499</v>
      </c>
      <c r="B2380" s="42">
        <v>912402</v>
      </c>
      <c r="C2380" s="42" t="s">
        <v>4742</v>
      </c>
      <c r="D2380" s="86" t="s">
        <v>4938</v>
      </c>
      <c r="E2380" s="86" t="s">
        <v>2</v>
      </c>
      <c r="F2380" s="32" t="s">
        <v>928</v>
      </c>
      <c r="G2380" s="32" t="s">
        <v>1587</v>
      </c>
      <c r="J2380" s="32" t="s">
        <v>4458</v>
      </c>
      <c r="K2380" s="32" t="s">
        <v>4459</v>
      </c>
      <c r="M2380" s="32" t="s">
        <v>5380</v>
      </c>
      <c r="O2380" s="32">
        <v>9</v>
      </c>
      <c r="P2380" s="32">
        <v>91</v>
      </c>
      <c r="W2380" s="12" t="s">
        <v>5385</v>
      </c>
      <c r="X2380" s="12" t="s">
        <v>5385</v>
      </c>
      <c r="AD2380" s="12" t="s">
        <v>98</v>
      </c>
      <c r="AE2380" s="12" t="s">
        <v>5317</v>
      </c>
      <c r="AF2380" s="12" t="s">
        <v>2186</v>
      </c>
      <c r="AG2380" s="12" t="s">
        <v>98</v>
      </c>
      <c r="AH2380" s="12" t="s">
        <v>5315</v>
      </c>
      <c r="AN2380" s="46">
        <v>1202</v>
      </c>
      <c r="AU2380" s="12">
        <v>9002</v>
      </c>
    </row>
    <row r="2381" spans="1:47" ht="12" customHeight="1" x14ac:dyDescent="0.2">
      <c r="A2381" s="95" t="s">
        <v>4500</v>
      </c>
      <c r="B2381" s="42">
        <v>912502</v>
      </c>
      <c r="C2381" s="42" t="s">
        <v>4749</v>
      </c>
      <c r="D2381" s="86" t="s">
        <v>4945</v>
      </c>
      <c r="E2381" s="86" t="s">
        <v>2</v>
      </c>
      <c r="F2381" s="32" t="s">
        <v>928</v>
      </c>
      <c r="G2381" s="32" t="s">
        <v>1606</v>
      </c>
      <c r="J2381" s="32" t="s">
        <v>4458</v>
      </c>
      <c r="K2381" s="32" t="s">
        <v>4459</v>
      </c>
      <c r="M2381" s="32" t="s">
        <v>5380</v>
      </c>
      <c r="O2381" s="32">
        <v>9</v>
      </c>
      <c r="P2381" s="32">
        <v>91</v>
      </c>
      <c r="AB2381" s="12" t="s">
        <v>5386</v>
      </c>
      <c r="AD2381" s="12" t="s">
        <v>98</v>
      </c>
      <c r="AE2381" s="12" t="s">
        <v>5317</v>
      </c>
      <c r="AF2381" s="12" t="s">
        <v>2186</v>
      </c>
      <c r="AG2381" s="12" t="s">
        <v>98</v>
      </c>
      <c r="AH2381" s="12" t="s">
        <v>5315</v>
      </c>
      <c r="AN2381" s="46">
        <v>1202</v>
      </c>
      <c r="AU2381" s="12">
        <v>9002</v>
      </c>
    </row>
    <row r="2382" spans="1:47" ht="12" customHeight="1" x14ac:dyDescent="0.2">
      <c r="A2382" s="95" t="s">
        <v>4501</v>
      </c>
      <c r="B2382" s="42">
        <v>912602</v>
      </c>
      <c r="C2382" s="42" t="s">
        <v>4756</v>
      </c>
      <c r="D2382" s="86" t="s">
        <v>4952</v>
      </c>
      <c r="E2382" s="86" t="s">
        <v>2</v>
      </c>
      <c r="F2382" s="32" t="s">
        <v>928</v>
      </c>
      <c r="G2382" s="32" t="s">
        <v>1625</v>
      </c>
      <c r="J2382" s="32" t="s">
        <v>4458</v>
      </c>
      <c r="K2382" s="32" t="s">
        <v>4459</v>
      </c>
      <c r="M2382" s="32" t="s">
        <v>5380</v>
      </c>
      <c r="O2382" s="32">
        <v>9</v>
      </c>
      <c r="P2382" s="32">
        <v>91</v>
      </c>
      <c r="AA2382" s="12" t="s">
        <v>5386</v>
      </c>
      <c r="AD2382" s="12" t="s">
        <v>98</v>
      </c>
      <c r="AE2382" s="12" t="s">
        <v>5317</v>
      </c>
      <c r="AF2382" s="12" t="s">
        <v>2186</v>
      </c>
      <c r="AG2382" s="12" t="s">
        <v>98</v>
      </c>
      <c r="AH2382" s="12" t="s">
        <v>5315</v>
      </c>
      <c r="AN2382" s="46">
        <v>1202</v>
      </c>
      <c r="AU2382" s="12">
        <v>9002</v>
      </c>
    </row>
    <row r="2383" spans="1:47" ht="12" customHeight="1" x14ac:dyDescent="0.2">
      <c r="A2383" s="95" t="s">
        <v>4502</v>
      </c>
      <c r="B2383" s="42">
        <v>912702</v>
      </c>
      <c r="C2383" s="42" t="s">
        <v>4763</v>
      </c>
      <c r="D2383" s="86" t="s">
        <v>4959</v>
      </c>
      <c r="E2383" s="86" t="s">
        <v>1629</v>
      </c>
      <c r="F2383" s="32" t="s">
        <v>928</v>
      </c>
      <c r="G2383" s="32" t="s">
        <v>1630</v>
      </c>
      <c r="J2383" s="32" t="s">
        <v>4458</v>
      </c>
      <c r="K2383" s="32" t="s">
        <v>4459</v>
      </c>
      <c r="M2383" s="32" t="s">
        <v>5380</v>
      </c>
      <c r="O2383" s="32">
        <v>9</v>
      </c>
      <c r="P2383" s="32">
        <v>91</v>
      </c>
      <c r="Y2383" s="12" t="s">
        <v>5384</v>
      </c>
      <c r="AD2383" s="12" t="s">
        <v>98</v>
      </c>
      <c r="AE2383" s="12" t="s">
        <v>5317</v>
      </c>
      <c r="AF2383" s="12" t="s">
        <v>2186</v>
      </c>
      <c r="AG2383" s="12" t="s">
        <v>98</v>
      </c>
      <c r="AH2383" s="12" t="s">
        <v>5316</v>
      </c>
      <c r="AN2383" s="46">
        <v>1202</v>
      </c>
      <c r="AU2383" s="12">
        <v>9002</v>
      </c>
    </row>
    <row r="2384" spans="1:47" ht="12" customHeight="1" x14ac:dyDescent="0.2">
      <c r="A2384" s="95" t="s">
        <v>4503</v>
      </c>
      <c r="B2384" s="42">
        <v>912103</v>
      </c>
      <c r="C2384" s="42" t="s">
        <v>4770</v>
      </c>
      <c r="D2384" s="86" t="s">
        <v>4966</v>
      </c>
      <c r="E2384" s="86" t="s">
        <v>1</v>
      </c>
      <c r="F2384" s="32" t="s">
        <v>928</v>
      </c>
      <c r="G2384" s="32" t="s">
        <v>1453</v>
      </c>
      <c r="J2384" s="32" t="s">
        <v>4458</v>
      </c>
      <c r="K2384" s="32" t="s">
        <v>4459</v>
      </c>
      <c r="M2384" s="32" t="s">
        <v>5379</v>
      </c>
      <c r="O2384" s="32">
        <v>9</v>
      </c>
      <c r="P2384" s="32">
        <v>91</v>
      </c>
      <c r="AA2384" s="12" t="s">
        <v>5383</v>
      </c>
      <c r="AD2384" s="12" t="s">
        <v>98</v>
      </c>
      <c r="AE2384" s="12" t="s">
        <v>5317</v>
      </c>
      <c r="AF2384" s="12" t="s">
        <v>2186</v>
      </c>
      <c r="AG2384" s="12" t="s">
        <v>98</v>
      </c>
      <c r="AH2384" s="12" t="s">
        <v>5313</v>
      </c>
      <c r="AN2384" s="46">
        <v>1203</v>
      </c>
      <c r="AR2384" s="34" t="s">
        <v>94</v>
      </c>
      <c r="AS2384" s="34" t="s">
        <v>94</v>
      </c>
      <c r="AU2384" s="12">
        <v>9003</v>
      </c>
    </row>
    <row r="2385" spans="1:47" ht="12" customHeight="1" x14ac:dyDescent="0.2">
      <c r="A2385" s="95" t="s">
        <v>4504</v>
      </c>
      <c r="B2385" s="42">
        <v>912203</v>
      </c>
      <c r="C2385" s="42" t="s">
        <v>4777</v>
      </c>
      <c r="D2385" s="86" t="s">
        <v>4973</v>
      </c>
      <c r="E2385" s="86" t="s">
        <v>501</v>
      </c>
      <c r="F2385" s="32" t="s">
        <v>928</v>
      </c>
      <c r="G2385" s="32" t="s">
        <v>1453</v>
      </c>
      <c r="J2385" s="32" t="s">
        <v>4458</v>
      </c>
      <c r="K2385" s="32" t="s">
        <v>4459</v>
      </c>
      <c r="M2385" s="32" t="s">
        <v>5379</v>
      </c>
      <c r="O2385" s="32">
        <v>9</v>
      </c>
      <c r="P2385" s="32">
        <v>91</v>
      </c>
      <c r="AB2385" s="12" t="s">
        <v>5383</v>
      </c>
      <c r="AD2385" s="12" t="s">
        <v>98</v>
      </c>
      <c r="AE2385" s="12" t="s">
        <v>5317</v>
      </c>
      <c r="AF2385" s="12" t="s">
        <v>2186</v>
      </c>
      <c r="AG2385" s="12" t="s">
        <v>98</v>
      </c>
      <c r="AH2385" s="12" t="s">
        <v>5314</v>
      </c>
      <c r="AN2385" s="46">
        <v>1203</v>
      </c>
      <c r="AR2385" s="34" t="s">
        <v>94</v>
      </c>
      <c r="AS2385" s="34" t="s">
        <v>94</v>
      </c>
      <c r="AU2385" s="12">
        <v>9003</v>
      </c>
    </row>
    <row r="2386" spans="1:47" ht="12" customHeight="1" x14ac:dyDescent="0.2">
      <c r="A2386" s="95" t="s">
        <v>4505</v>
      </c>
      <c r="B2386" s="42">
        <v>912303</v>
      </c>
      <c r="C2386" s="42" t="s">
        <v>4784</v>
      </c>
      <c r="D2386" s="86" t="s">
        <v>4980</v>
      </c>
      <c r="E2386" s="86" t="s">
        <v>2</v>
      </c>
      <c r="F2386" s="32" t="s">
        <v>928</v>
      </c>
      <c r="G2386" s="32" t="s">
        <v>1568</v>
      </c>
      <c r="J2386" s="32" t="s">
        <v>4458</v>
      </c>
      <c r="K2386" s="32" t="s">
        <v>4459</v>
      </c>
      <c r="M2386" s="32" t="s">
        <v>5379</v>
      </c>
      <c r="O2386" s="32">
        <v>9</v>
      </c>
      <c r="P2386" s="32">
        <v>91</v>
      </c>
      <c r="Y2386" s="12" t="s">
        <v>5384</v>
      </c>
      <c r="AD2386" s="12" t="s">
        <v>98</v>
      </c>
      <c r="AE2386" s="12" t="s">
        <v>5317</v>
      </c>
      <c r="AF2386" s="12" t="s">
        <v>2186</v>
      </c>
      <c r="AG2386" s="12" t="s">
        <v>98</v>
      </c>
      <c r="AH2386" s="12" t="s">
        <v>5315</v>
      </c>
      <c r="AN2386" s="46">
        <v>1203</v>
      </c>
      <c r="AU2386" s="12">
        <v>9003</v>
      </c>
    </row>
    <row r="2387" spans="1:47" ht="12" customHeight="1" x14ac:dyDescent="0.2">
      <c r="A2387" s="95" t="s">
        <v>4506</v>
      </c>
      <c r="B2387" s="42">
        <v>912403</v>
      </c>
      <c r="C2387" s="42" t="s">
        <v>4791</v>
      </c>
      <c r="D2387" s="86" t="s">
        <v>4987</v>
      </c>
      <c r="E2387" s="86" t="s">
        <v>2</v>
      </c>
      <c r="F2387" s="32" t="s">
        <v>928</v>
      </c>
      <c r="G2387" s="32" t="s">
        <v>1587</v>
      </c>
      <c r="J2387" s="32" t="s">
        <v>4458</v>
      </c>
      <c r="K2387" s="32" t="s">
        <v>4459</v>
      </c>
      <c r="M2387" s="32" t="s">
        <v>5379</v>
      </c>
      <c r="O2387" s="32">
        <v>9</v>
      </c>
      <c r="P2387" s="32">
        <v>91</v>
      </c>
      <c r="W2387" s="12" t="s">
        <v>5385</v>
      </c>
      <c r="X2387" s="12" t="s">
        <v>5385</v>
      </c>
      <c r="AD2387" s="12" t="s">
        <v>98</v>
      </c>
      <c r="AE2387" s="12" t="s">
        <v>5317</v>
      </c>
      <c r="AF2387" s="12" t="s">
        <v>2186</v>
      </c>
      <c r="AG2387" s="12" t="s">
        <v>98</v>
      </c>
      <c r="AH2387" s="12" t="s">
        <v>5315</v>
      </c>
      <c r="AN2387" s="46">
        <v>1203</v>
      </c>
      <c r="AU2387" s="12">
        <v>9003</v>
      </c>
    </row>
    <row r="2388" spans="1:47" ht="12" customHeight="1" x14ac:dyDescent="0.2">
      <c r="A2388" s="95" t="s">
        <v>4507</v>
      </c>
      <c r="B2388" s="42">
        <v>912503</v>
      </c>
      <c r="C2388" s="42" t="s">
        <v>4798</v>
      </c>
      <c r="D2388" s="86" t="s">
        <v>4994</v>
      </c>
      <c r="E2388" s="86" t="s">
        <v>2</v>
      </c>
      <c r="F2388" s="32" t="s">
        <v>928</v>
      </c>
      <c r="G2388" s="32" t="s">
        <v>1606</v>
      </c>
      <c r="J2388" s="32" t="s">
        <v>4458</v>
      </c>
      <c r="K2388" s="32" t="s">
        <v>4459</v>
      </c>
      <c r="M2388" s="32" t="s">
        <v>5379</v>
      </c>
      <c r="O2388" s="32">
        <v>9</v>
      </c>
      <c r="P2388" s="32">
        <v>91</v>
      </c>
      <c r="AB2388" s="12" t="s">
        <v>5386</v>
      </c>
      <c r="AD2388" s="12" t="s">
        <v>98</v>
      </c>
      <c r="AE2388" s="12" t="s">
        <v>5317</v>
      </c>
      <c r="AF2388" s="12" t="s">
        <v>2186</v>
      </c>
      <c r="AG2388" s="12" t="s">
        <v>98</v>
      </c>
      <c r="AH2388" s="12" t="s">
        <v>5315</v>
      </c>
      <c r="AN2388" s="46">
        <v>1203</v>
      </c>
      <c r="AU2388" s="12">
        <v>9003</v>
      </c>
    </row>
    <row r="2389" spans="1:47" ht="12" customHeight="1" x14ac:dyDescent="0.2">
      <c r="A2389" s="95" t="s">
        <v>4508</v>
      </c>
      <c r="B2389" s="42">
        <v>912603</v>
      </c>
      <c r="C2389" s="42" t="s">
        <v>4805</v>
      </c>
      <c r="D2389" s="86" t="s">
        <v>5001</v>
      </c>
      <c r="E2389" s="86" t="s">
        <v>2</v>
      </c>
      <c r="F2389" s="32" t="s">
        <v>928</v>
      </c>
      <c r="G2389" s="32" t="s">
        <v>1625</v>
      </c>
      <c r="J2389" s="32" t="s">
        <v>4458</v>
      </c>
      <c r="K2389" s="32" t="s">
        <v>4459</v>
      </c>
      <c r="M2389" s="32" t="s">
        <v>5379</v>
      </c>
      <c r="O2389" s="32">
        <v>9</v>
      </c>
      <c r="P2389" s="32">
        <v>91</v>
      </c>
      <c r="AA2389" s="12" t="s">
        <v>5386</v>
      </c>
      <c r="AD2389" s="12" t="s">
        <v>98</v>
      </c>
      <c r="AE2389" s="12" t="s">
        <v>5317</v>
      </c>
      <c r="AF2389" s="12" t="s">
        <v>2186</v>
      </c>
      <c r="AG2389" s="12" t="s">
        <v>98</v>
      </c>
      <c r="AH2389" s="12" t="s">
        <v>5315</v>
      </c>
      <c r="AN2389" s="46">
        <v>1203</v>
      </c>
      <c r="AU2389" s="12">
        <v>9003</v>
      </c>
    </row>
    <row r="2390" spans="1:47" ht="12" customHeight="1" x14ac:dyDescent="0.2">
      <c r="A2390" s="95" t="s">
        <v>4509</v>
      </c>
      <c r="B2390" s="42">
        <v>912703</v>
      </c>
      <c r="C2390" s="42" t="s">
        <v>4812</v>
      </c>
      <c r="D2390" s="86" t="s">
        <v>5008</v>
      </c>
      <c r="E2390" s="86" t="s">
        <v>1629</v>
      </c>
      <c r="F2390" s="32" t="s">
        <v>928</v>
      </c>
      <c r="G2390" s="32" t="s">
        <v>1630</v>
      </c>
      <c r="J2390" s="32" t="s">
        <v>4458</v>
      </c>
      <c r="K2390" s="32" t="s">
        <v>4459</v>
      </c>
      <c r="M2390" s="32" t="s">
        <v>5379</v>
      </c>
      <c r="O2390" s="32">
        <v>9</v>
      </c>
      <c r="P2390" s="32">
        <v>91</v>
      </c>
      <c r="Y2390" s="12" t="s">
        <v>5384</v>
      </c>
      <c r="AD2390" s="12" t="s">
        <v>98</v>
      </c>
      <c r="AE2390" s="12" t="s">
        <v>5317</v>
      </c>
      <c r="AF2390" s="12" t="s">
        <v>2186</v>
      </c>
      <c r="AG2390" s="12" t="s">
        <v>98</v>
      </c>
      <c r="AH2390" s="12" t="s">
        <v>5316</v>
      </c>
      <c r="AN2390" s="46">
        <v>1203</v>
      </c>
      <c r="AU2390" s="12">
        <v>9003</v>
      </c>
    </row>
    <row r="2391" spans="1:47" ht="12" customHeight="1" x14ac:dyDescent="0.2">
      <c r="A2391" s="95" t="s">
        <v>4510</v>
      </c>
      <c r="B2391" s="42">
        <v>913101</v>
      </c>
      <c r="C2391" s="42" t="s">
        <v>4820</v>
      </c>
      <c r="D2391" s="86" t="s">
        <v>4869</v>
      </c>
      <c r="E2391" s="86" t="s">
        <v>1</v>
      </c>
      <c r="F2391" s="32" t="s">
        <v>310</v>
      </c>
      <c r="G2391" s="32" t="s">
        <v>1472</v>
      </c>
      <c r="J2391" s="32" t="s">
        <v>4458</v>
      </c>
      <c r="K2391" s="32" t="s">
        <v>4459</v>
      </c>
      <c r="M2391" s="32" t="s">
        <v>5378</v>
      </c>
      <c r="O2391" s="32">
        <v>9</v>
      </c>
      <c r="P2391" s="32">
        <v>91</v>
      </c>
      <c r="AA2391" s="12" t="s">
        <v>5386</v>
      </c>
      <c r="AD2391" s="12" t="s">
        <v>98</v>
      </c>
      <c r="AE2391" s="12" t="s">
        <v>5317</v>
      </c>
      <c r="AF2391" s="12" t="s">
        <v>2186</v>
      </c>
      <c r="AG2391" s="12" t="s">
        <v>98</v>
      </c>
      <c r="AH2391" s="12" t="s">
        <v>5313</v>
      </c>
      <c r="AN2391" s="46">
        <v>1301</v>
      </c>
      <c r="AR2391" s="34" t="s">
        <v>94</v>
      </c>
      <c r="AS2391" s="34" t="s">
        <v>94</v>
      </c>
      <c r="AU2391" s="12" t="s">
        <v>4460</v>
      </c>
    </row>
    <row r="2392" spans="1:47" ht="12" customHeight="1" x14ac:dyDescent="0.2">
      <c r="A2392" s="95" t="s">
        <v>4511</v>
      </c>
      <c r="B2392" s="42">
        <v>913201</v>
      </c>
      <c r="C2392" s="42" t="s">
        <v>4827</v>
      </c>
      <c r="D2392" s="86" t="s">
        <v>4876</v>
      </c>
      <c r="E2392" s="86" t="s">
        <v>501</v>
      </c>
      <c r="F2392" s="32" t="s">
        <v>310</v>
      </c>
      <c r="G2392" s="32" t="s">
        <v>1472</v>
      </c>
      <c r="J2392" s="32" t="s">
        <v>4458</v>
      </c>
      <c r="K2392" s="32" t="s">
        <v>4459</v>
      </c>
      <c r="M2392" s="32" t="s">
        <v>5378</v>
      </c>
      <c r="O2392" s="32">
        <v>9</v>
      </c>
      <c r="P2392" s="32">
        <v>91</v>
      </c>
      <c r="AB2392" s="12" t="s">
        <v>5387</v>
      </c>
      <c r="AD2392" s="12" t="s">
        <v>98</v>
      </c>
      <c r="AE2392" s="12" t="s">
        <v>5317</v>
      </c>
      <c r="AF2392" s="12" t="s">
        <v>2186</v>
      </c>
      <c r="AG2392" s="12" t="s">
        <v>98</v>
      </c>
      <c r="AH2392" s="12" t="s">
        <v>5314</v>
      </c>
      <c r="AN2392" s="46">
        <v>1301</v>
      </c>
      <c r="AR2392" s="34" t="s">
        <v>94</v>
      </c>
      <c r="AS2392" s="34" t="s">
        <v>94</v>
      </c>
      <c r="AU2392" s="12" t="s">
        <v>4460</v>
      </c>
    </row>
    <row r="2393" spans="1:47" ht="12" customHeight="1" x14ac:dyDescent="0.2">
      <c r="A2393" s="95" t="s">
        <v>4512</v>
      </c>
      <c r="B2393" s="42">
        <v>913301</v>
      </c>
      <c r="C2393" s="42" t="s">
        <v>4834</v>
      </c>
      <c r="D2393" s="86" t="s">
        <v>4883</v>
      </c>
      <c r="E2393" s="86" t="s">
        <v>2</v>
      </c>
      <c r="F2393" s="32" t="s">
        <v>310</v>
      </c>
      <c r="G2393" s="32" t="s">
        <v>1568</v>
      </c>
      <c r="J2393" s="32" t="s">
        <v>4458</v>
      </c>
      <c r="K2393" s="32" t="s">
        <v>4459</v>
      </c>
      <c r="M2393" s="32" t="s">
        <v>5378</v>
      </c>
      <c r="O2393" s="32">
        <v>9</v>
      </c>
      <c r="P2393" s="32">
        <v>91</v>
      </c>
      <c r="Y2393" s="12" t="s">
        <v>5384</v>
      </c>
      <c r="AD2393" s="12" t="s">
        <v>98</v>
      </c>
      <c r="AE2393" s="12" t="s">
        <v>5317</v>
      </c>
      <c r="AF2393" s="12" t="s">
        <v>2186</v>
      </c>
      <c r="AG2393" s="12" t="s">
        <v>98</v>
      </c>
      <c r="AH2393" s="12" t="s">
        <v>5315</v>
      </c>
      <c r="AN2393" s="46">
        <v>1301</v>
      </c>
      <c r="AU2393" s="12" t="s">
        <v>4460</v>
      </c>
    </row>
    <row r="2394" spans="1:47" ht="12" customHeight="1" x14ac:dyDescent="0.2">
      <c r="A2394" s="95" t="s">
        <v>4513</v>
      </c>
      <c r="B2394" s="42">
        <v>913401</v>
      </c>
      <c r="C2394" s="42" t="s">
        <v>4841</v>
      </c>
      <c r="D2394" s="86" t="s">
        <v>4890</v>
      </c>
      <c r="E2394" s="86" t="s">
        <v>2</v>
      </c>
      <c r="F2394" s="32" t="s">
        <v>310</v>
      </c>
      <c r="G2394" s="32" t="s">
        <v>1587</v>
      </c>
      <c r="J2394" s="32" t="s">
        <v>4458</v>
      </c>
      <c r="K2394" s="32" t="s">
        <v>4459</v>
      </c>
      <c r="M2394" s="32" t="s">
        <v>5378</v>
      </c>
      <c r="O2394" s="32">
        <v>9</v>
      </c>
      <c r="P2394" s="32">
        <v>91</v>
      </c>
      <c r="W2394" s="12" t="s">
        <v>5385</v>
      </c>
      <c r="X2394" s="12" t="s">
        <v>5385</v>
      </c>
      <c r="AD2394" s="12" t="s">
        <v>98</v>
      </c>
      <c r="AE2394" s="12" t="s">
        <v>5317</v>
      </c>
      <c r="AF2394" s="12" t="s">
        <v>2186</v>
      </c>
      <c r="AG2394" s="12" t="s">
        <v>98</v>
      </c>
      <c r="AH2394" s="12" t="s">
        <v>5315</v>
      </c>
      <c r="AN2394" s="46">
        <v>1301</v>
      </c>
      <c r="AU2394" s="12" t="s">
        <v>4460</v>
      </c>
    </row>
    <row r="2395" spans="1:47" ht="12" customHeight="1" x14ac:dyDescent="0.2">
      <c r="A2395" s="95" t="s">
        <v>4514</v>
      </c>
      <c r="B2395" s="42">
        <v>913501</v>
      </c>
      <c r="C2395" s="42" t="s">
        <v>4848</v>
      </c>
      <c r="D2395" s="86" t="s">
        <v>4897</v>
      </c>
      <c r="E2395" s="86" t="s">
        <v>2</v>
      </c>
      <c r="F2395" s="32" t="s">
        <v>310</v>
      </c>
      <c r="G2395" s="32" t="s">
        <v>1606</v>
      </c>
      <c r="J2395" s="32" t="s">
        <v>4458</v>
      </c>
      <c r="K2395" s="32" t="s">
        <v>4459</v>
      </c>
      <c r="M2395" s="32" t="s">
        <v>5378</v>
      </c>
      <c r="O2395" s="32">
        <v>9</v>
      </c>
      <c r="P2395" s="32">
        <v>91</v>
      </c>
      <c r="AB2395" s="12" t="s">
        <v>5386</v>
      </c>
      <c r="AD2395" s="12" t="s">
        <v>98</v>
      </c>
      <c r="AE2395" s="12" t="s">
        <v>5317</v>
      </c>
      <c r="AF2395" s="12" t="s">
        <v>2186</v>
      </c>
      <c r="AG2395" s="12" t="s">
        <v>98</v>
      </c>
      <c r="AH2395" s="12" t="s">
        <v>5315</v>
      </c>
      <c r="AN2395" s="46">
        <v>1301</v>
      </c>
      <c r="AU2395" s="12" t="s">
        <v>4460</v>
      </c>
    </row>
    <row r="2396" spans="1:47" ht="12" customHeight="1" x14ac:dyDescent="0.2">
      <c r="A2396" s="95" t="s">
        <v>4515</v>
      </c>
      <c r="B2396" s="42">
        <v>913601</v>
      </c>
      <c r="C2396" s="42" t="s">
        <v>4855</v>
      </c>
      <c r="D2396" s="86" t="s">
        <v>4904</v>
      </c>
      <c r="E2396" s="86" t="s">
        <v>2</v>
      </c>
      <c r="F2396" s="32" t="s">
        <v>310</v>
      </c>
      <c r="G2396" s="32" t="s">
        <v>1625</v>
      </c>
      <c r="J2396" s="32" t="s">
        <v>4458</v>
      </c>
      <c r="K2396" s="32" t="s">
        <v>4459</v>
      </c>
      <c r="M2396" s="32" t="s">
        <v>5378</v>
      </c>
      <c r="O2396" s="32">
        <v>9</v>
      </c>
      <c r="P2396" s="32">
        <v>91</v>
      </c>
      <c r="AA2396" s="12" t="s">
        <v>5386</v>
      </c>
      <c r="AD2396" s="12" t="s">
        <v>98</v>
      </c>
      <c r="AE2396" s="12" t="s">
        <v>5317</v>
      </c>
      <c r="AF2396" s="12" t="s">
        <v>2186</v>
      </c>
      <c r="AG2396" s="12" t="s">
        <v>98</v>
      </c>
      <c r="AH2396" s="12" t="s">
        <v>5315</v>
      </c>
      <c r="AN2396" s="46">
        <v>1301</v>
      </c>
      <c r="AU2396" s="12" t="s">
        <v>4460</v>
      </c>
    </row>
    <row r="2397" spans="1:47" ht="12" customHeight="1" x14ac:dyDescent="0.2">
      <c r="A2397" s="95" t="s">
        <v>4516</v>
      </c>
      <c r="B2397" s="42">
        <v>913701</v>
      </c>
      <c r="C2397" s="42" t="s">
        <v>4862</v>
      </c>
      <c r="D2397" s="86" t="s">
        <v>4911</v>
      </c>
      <c r="E2397" s="86" t="s">
        <v>1629</v>
      </c>
      <c r="F2397" s="32" t="s">
        <v>310</v>
      </c>
      <c r="G2397" s="32" t="s">
        <v>1630</v>
      </c>
      <c r="J2397" s="32" t="s">
        <v>4458</v>
      </c>
      <c r="K2397" s="32" t="s">
        <v>4459</v>
      </c>
      <c r="M2397" s="32" t="s">
        <v>5378</v>
      </c>
      <c r="O2397" s="32">
        <v>9</v>
      </c>
      <c r="P2397" s="32">
        <v>91</v>
      </c>
      <c r="Y2397" s="12" t="s">
        <v>5384</v>
      </c>
      <c r="AD2397" s="12" t="s">
        <v>98</v>
      </c>
      <c r="AE2397" s="12" t="s">
        <v>5317</v>
      </c>
      <c r="AF2397" s="12" t="s">
        <v>2186</v>
      </c>
      <c r="AG2397" s="12" t="s">
        <v>98</v>
      </c>
      <c r="AH2397" s="12" t="s">
        <v>5316</v>
      </c>
      <c r="AN2397" s="46">
        <v>1301</v>
      </c>
      <c r="AU2397" s="12" t="s">
        <v>4460</v>
      </c>
    </row>
    <row r="2398" spans="1:47" ht="12" customHeight="1" x14ac:dyDescent="0.2">
      <c r="A2398" s="95" t="s">
        <v>4517</v>
      </c>
      <c r="B2398" s="42">
        <v>913102</v>
      </c>
      <c r="C2398" s="42" t="s">
        <v>4722</v>
      </c>
      <c r="D2398" s="86" t="s">
        <v>4918</v>
      </c>
      <c r="E2398" s="86" t="s">
        <v>1</v>
      </c>
      <c r="F2398" s="32" t="s">
        <v>310</v>
      </c>
      <c r="G2398" s="32" t="s">
        <v>1472</v>
      </c>
      <c r="J2398" s="32" t="s">
        <v>4458</v>
      </c>
      <c r="K2398" s="32" t="s">
        <v>4459</v>
      </c>
      <c r="M2398" s="32" t="s">
        <v>5380</v>
      </c>
      <c r="O2398" s="32">
        <v>9</v>
      </c>
      <c r="P2398" s="32">
        <v>91</v>
      </c>
      <c r="AA2398" s="12" t="s">
        <v>5386</v>
      </c>
      <c r="AD2398" s="12" t="s">
        <v>98</v>
      </c>
      <c r="AE2398" s="12" t="s">
        <v>5317</v>
      </c>
      <c r="AF2398" s="12" t="s">
        <v>2186</v>
      </c>
      <c r="AG2398" s="12" t="s">
        <v>98</v>
      </c>
      <c r="AH2398" s="12" t="s">
        <v>5313</v>
      </c>
      <c r="AN2398" s="46">
        <v>1302</v>
      </c>
      <c r="AR2398" s="34" t="s">
        <v>94</v>
      </c>
      <c r="AS2398" s="34" t="s">
        <v>94</v>
      </c>
      <c r="AU2398" s="12">
        <v>9002</v>
      </c>
    </row>
    <row r="2399" spans="1:47" ht="12" customHeight="1" x14ac:dyDescent="0.2">
      <c r="A2399" s="95" t="s">
        <v>4518</v>
      </c>
      <c r="B2399" s="42">
        <v>913202</v>
      </c>
      <c r="C2399" s="42" t="s">
        <v>4729</v>
      </c>
      <c r="D2399" s="86" t="s">
        <v>4925</v>
      </c>
      <c r="E2399" s="86" t="s">
        <v>501</v>
      </c>
      <c r="F2399" s="32" t="s">
        <v>310</v>
      </c>
      <c r="G2399" s="32" t="s">
        <v>1472</v>
      </c>
      <c r="J2399" s="32" t="s">
        <v>4458</v>
      </c>
      <c r="K2399" s="32" t="s">
        <v>4459</v>
      </c>
      <c r="M2399" s="32" t="s">
        <v>5380</v>
      </c>
      <c r="O2399" s="32">
        <v>9</v>
      </c>
      <c r="P2399" s="32">
        <v>91</v>
      </c>
      <c r="AB2399" s="12" t="s">
        <v>5387</v>
      </c>
      <c r="AD2399" s="12" t="s">
        <v>98</v>
      </c>
      <c r="AE2399" s="12" t="s">
        <v>5317</v>
      </c>
      <c r="AF2399" s="12" t="s">
        <v>2186</v>
      </c>
      <c r="AG2399" s="12" t="s">
        <v>98</v>
      </c>
      <c r="AH2399" s="12" t="s">
        <v>5314</v>
      </c>
      <c r="AN2399" s="46">
        <v>1302</v>
      </c>
      <c r="AR2399" s="34" t="s">
        <v>94</v>
      </c>
      <c r="AS2399" s="34" t="s">
        <v>94</v>
      </c>
      <c r="AU2399" s="12">
        <v>9002</v>
      </c>
    </row>
    <row r="2400" spans="1:47" ht="12" customHeight="1" x14ac:dyDescent="0.2">
      <c r="A2400" s="95" t="s">
        <v>4519</v>
      </c>
      <c r="B2400" s="42">
        <v>913302</v>
      </c>
      <c r="C2400" s="42" t="s">
        <v>4736</v>
      </c>
      <c r="D2400" s="86" t="s">
        <v>4932</v>
      </c>
      <c r="E2400" s="86" t="s">
        <v>2</v>
      </c>
      <c r="F2400" s="32" t="s">
        <v>310</v>
      </c>
      <c r="G2400" s="32" t="s">
        <v>1568</v>
      </c>
      <c r="J2400" s="32" t="s">
        <v>4458</v>
      </c>
      <c r="K2400" s="32" t="s">
        <v>4459</v>
      </c>
      <c r="M2400" s="32" t="s">
        <v>5380</v>
      </c>
      <c r="O2400" s="32">
        <v>9</v>
      </c>
      <c r="P2400" s="32">
        <v>91</v>
      </c>
      <c r="Y2400" s="12" t="s">
        <v>5384</v>
      </c>
      <c r="AD2400" s="12" t="s">
        <v>98</v>
      </c>
      <c r="AE2400" s="12" t="s">
        <v>5317</v>
      </c>
      <c r="AF2400" s="12" t="s">
        <v>2186</v>
      </c>
      <c r="AG2400" s="12" t="s">
        <v>98</v>
      </c>
      <c r="AH2400" s="12" t="s">
        <v>5315</v>
      </c>
      <c r="AN2400" s="46">
        <v>1302</v>
      </c>
      <c r="AU2400" s="12">
        <v>9002</v>
      </c>
    </row>
    <row r="2401" spans="1:47" ht="12" customHeight="1" x14ac:dyDescent="0.2">
      <c r="A2401" s="95" t="s">
        <v>4520</v>
      </c>
      <c r="B2401" s="42">
        <v>913402</v>
      </c>
      <c r="C2401" s="42" t="s">
        <v>4743</v>
      </c>
      <c r="D2401" s="86" t="s">
        <v>4939</v>
      </c>
      <c r="E2401" s="86" t="s">
        <v>2</v>
      </c>
      <c r="F2401" s="32" t="s">
        <v>310</v>
      </c>
      <c r="G2401" s="32" t="s">
        <v>1587</v>
      </c>
      <c r="J2401" s="32" t="s">
        <v>4458</v>
      </c>
      <c r="K2401" s="32" t="s">
        <v>4459</v>
      </c>
      <c r="M2401" s="32" t="s">
        <v>5380</v>
      </c>
      <c r="O2401" s="32">
        <v>9</v>
      </c>
      <c r="P2401" s="32">
        <v>91</v>
      </c>
      <c r="W2401" s="12" t="s">
        <v>5385</v>
      </c>
      <c r="X2401" s="12" t="s">
        <v>5385</v>
      </c>
      <c r="AD2401" s="12" t="s">
        <v>98</v>
      </c>
      <c r="AE2401" s="12" t="s">
        <v>5317</v>
      </c>
      <c r="AF2401" s="12" t="s">
        <v>2186</v>
      </c>
      <c r="AG2401" s="12" t="s">
        <v>98</v>
      </c>
      <c r="AH2401" s="12" t="s">
        <v>5315</v>
      </c>
      <c r="AN2401" s="46">
        <v>1302</v>
      </c>
      <c r="AU2401" s="12">
        <v>9002</v>
      </c>
    </row>
    <row r="2402" spans="1:47" ht="12" customHeight="1" x14ac:dyDescent="0.2">
      <c r="A2402" s="95" t="s">
        <v>4521</v>
      </c>
      <c r="B2402" s="42">
        <v>913502</v>
      </c>
      <c r="C2402" s="42" t="s">
        <v>4750</v>
      </c>
      <c r="D2402" s="86" t="s">
        <v>4946</v>
      </c>
      <c r="E2402" s="86" t="s">
        <v>2</v>
      </c>
      <c r="F2402" s="32" t="s">
        <v>310</v>
      </c>
      <c r="G2402" s="32" t="s">
        <v>1606</v>
      </c>
      <c r="J2402" s="32" t="s">
        <v>4458</v>
      </c>
      <c r="K2402" s="32" t="s">
        <v>4459</v>
      </c>
      <c r="M2402" s="32" t="s">
        <v>5380</v>
      </c>
      <c r="O2402" s="32">
        <v>9</v>
      </c>
      <c r="P2402" s="32">
        <v>91</v>
      </c>
      <c r="AB2402" s="12" t="s">
        <v>5386</v>
      </c>
      <c r="AD2402" s="12" t="s">
        <v>98</v>
      </c>
      <c r="AE2402" s="12" t="s">
        <v>5317</v>
      </c>
      <c r="AF2402" s="12" t="s">
        <v>2186</v>
      </c>
      <c r="AG2402" s="12" t="s">
        <v>98</v>
      </c>
      <c r="AH2402" s="12" t="s">
        <v>5315</v>
      </c>
      <c r="AN2402" s="46">
        <v>1302</v>
      </c>
      <c r="AU2402" s="12">
        <v>9002</v>
      </c>
    </row>
    <row r="2403" spans="1:47" ht="12" customHeight="1" x14ac:dyDescent="0.2">
      <c r="A2403" s="95" t="s">
        <v>4522</v>
      </c>
      <c r="B2403" s="42">
        <v>913602</v>
      </c>
      <c r="C2403" s="42" t="s">
        <v>4757</v>
      </c>
      <c r="D2403" s="86" t="s">
        <v>4953</v>
      </c>
      <c r="E2403" s="86" t="s">
        <v>2</v>
      </c>
      <c r="F2403" s="32" t="s">
        <v>310</v>
      </c>
      <c r="G2403" s="32" t="s">
        <v>1625</v>
      </c>
      <c r="J2403" s="32" t="s">
        <v>4458</v>
      </c>
      <c r="K2403" s="32" t="s">
        <v>4459</v>
      </c>
      <c r="M2403" s="32" t="s">
        <v>5380</v>
      </c>
      <c r="O2403" s="32">
        <v>9</v>
      </c>
      <c r="P2403" s="32">
        <v>91</v>
      </c>
      <c r="AA2403" s="12" t="s">
        <v>5386</v>
      </c>
      <c r="AD2403" s="12" t="s">
        <v>98</v>
      </c>
      <c r="AE2403" s="12" t="s">
        <v>5317</v>
      </c>
      <c r="AF2403" s="12" t="s">
        <v>2186</v>
      </c>
      <c r="AG2403" s="12" t="s">
        <v>98</v>
      </c>
      <c r="AH2403" s="12" t="s">
        <v>5315</v>
      </c>
      <c r="AN2403" s="46">
        <v>1302</v>
      </c>
      <c r="AU2403" s="12">
        <v>9002</v>
      </c>
    </row>
    <row r="2404" spans="1:47" ht="12" customHeight="1" x14ac:dyDescent="0.2">
      <c r="A2404" s="95" t="s">
        <v>4523</v>
      </c>
      <c r="B2404" s="42">
        <v>913702</v>
      </c>
      <c r="C2404" s="42" t="s">
        <v>4764</v>
      </c>
      <c r="D2404" s="86" t="s">
        <v>4960</v>
      </c>
      <c r="E2404" s="86" t="s">
        <v>1629</v>
      </c>
      <c r="F2404" s="32" t="s">
        <v>310</v>
      </c>
      <c r="G2404" s="32" t="s">
        <v>1630</v>
      </c>
      <c r="J2404" s="32" t="s">
        <v>4458</v>
      </c>
      <c r="K2404" s="32" t="s">
        <v>4459</v>
      </c>
      <c r="M2404" s="32" t="s">
        <v>5380</v>
      </c>
      <c r="O2404" s="32">
        <v>9</v>
      </c>
      <c r="P2404" s="32">
        <v>91</v>
      </c>
      <c r="Y2404" s="12" t="s">
        <v>5384</v>
      </c>
      <c r="AD2404" s="12" t="s">
        <v>98</v>
      </c>
      <c r="AE2404" s="12" t="s">
        <v>5317</v>
      </c>
      <c r="AF2404" s="12" t="s">
        <v>2186</v>
      </c>
      <c r="AG2404" s="12" t="s">
        <v>98</v>
      </c>
      <c r="AH2404" s="12" t="s">
        <v>5316</v>
      </c>
      <c r="AN2404" s="46">
        <v>1302</v>
      </c>
      <c r="AU2404" s="12">
        <v>9002</v>
      </c>
    </row>
    <row r="2405" spans="1:47" ht="12" customHeight="1" x14ac:dyDescent="0.2">
      <c r="A2405" s="95" t="s">
        <v>4524</v>
      </c>
      <c r="B2405" s="42">
        <v>913103</v>
      </c>
      <c r="C2405" s="42" t="s">
        <v>4771</v>
      </c>
      <c r="D2405" s="86" t="s">
        <v>4967</v>
      </c>
      <c r="E2405" s="86" t="s">
        <v>1</v>
      </c>
      <c r="F2405" s="32" t="s">
        <v>310</v>
      </c>
      <c r="G2405" s="32" t="s">
        <v>1472</v>
      </c>
      <c r="J2405" s="32" t="s">
        <v>4458</v>
      </c>
      <c r="K2405" s="32" t="s">
        <v>4459</v>
      </c>
      <c r="M2405" s="32" t="s">
        <v>5379</v>
      </c>
      <c r="O2405" s="32">
        <v>9</v>
      </c>
      <c r="P2405" s="32">
        <v>91</v>
      </c>
      <c r="AA2405" s="12" t="s">
        <v>5386</v>
      </c>
      <c r="AD2405" s="12" t="s">
        <v>98</v>
      </c>
      <c r="AE2405" s="12" t="s">
        <v>5317</v>
      </c>
      <c r="AF2405" s="12" t="s">
        <v>2186</v>
      </c>
      <c r="AG2405" s="12" t="s">
        <v>98</v>
      </c>
      <c r="AH2405" s="12" t="s">
        <v>5313</v>
      </c>
      <c r="AN2405" s="46">
        <v>1303</v>
      </c>
      <c r="AR2405" s="34" t="s">
        <v>94</v>
      </c>
      <c r="AS2405" s="34" t="s">
        <v>94</v>
      </c>
      <c r="AU2405" s="12">
        <v>9003</v>
      </c>
    </row>
    <row r="2406" spans="1:47" ht="12" customHeight="1" x14ac:dyDescent="0.2">
      <c r="A2406" s="95" t="s">
        <v>4525</v>
      </c>
      <c r="B2406" s="42">
        <v>913203</v>
      </c>
      <c r="C2406" s="42" t="s">
        <v>4778</v>
      </c>
      <c r="D2406" s="86" t="s">
        <v>4974</v>
      </c>
      <c r="E2406" s="86" t="s">
        <v>501</v>
      </c>
      <c r="F2406" s="32" t="s">
        <v>310</v>
      </c>
      <c r="G2406" s="32" t="s">
        <v>1472</v>
      </c>
      <c r="J2406" s="32" t="s">
        <v>4458</v>
      </c>
      <c r="K2406" s="32" t="s">
        <v>4459</v>
      </c>
      <c r="M2406" s="32" t="s">
        <v>5379</v>
      </c>
      <c r="O2406" s="32">
        <v>9</v>
      </c>
      <c r="P2406" s="32">
        <v>91</v>
      </c>
      <c r="AB2406" s="12" t="s">
        <v>5387</v>
      </c>
      <c r="AD2406" s="12" t="s">
        <v>98</v>
      </c>
      <c r="AE2406" s="12" t="s">
        <v>5317</v>
      </c>
      <c r="AF2406" s="12" t="s">
        <v>2186</v>
      </c>
      <c r="AG2406" s="12" t="s">
        <v>98</v>
      </c>
      <c r="AH2406" s="12" t="s">
        <v>5314</v>
      </c>
      <c r="AN2406" s="46">
        <v>1303</v>
      </c>
      <c r="AR2406" s="34" t="s">
        <v>94</v>
      </c>
      <c r="AS2406" s="34" t="s">
        <v>94</v>
      </c>
      <c r="AU2406" s="12">
        <v>9003</v>
      </c>
    </row>
    <row r="2407" spans="1:47" ht="12" customHeight="1" x14ac:dyDescent="0.2">
      <c r="A2407" s="95" t="s">
        <v>4526</v>
      </c>
      <c r="B2407" s="42">
        <v>913303</v>
      </c>
      <c r="C2407" s="42" t="s">
        <v>4785</v>
      </c>
      <c r="D2407" s="86" t="s">
        <v>4981</v>
      </c>
      <c r="E2407" s="86" t="s">
        <v>2</v>
      </c>
      <c r="F2407" s="32" t="s">
        <v>310</v>
      </c>
      <c r="G2407" s="32" t="s">
        <v>1568</v>
      </c>
      <c r="J2407" s="32" t="s">
        <v>4458</v>
      </c>
      <c r="K2407" s="32" t="s">
        <v>4459</v>
      </c>
      <c r="M2407" s="32" t="s">
        <v>5379</v>
      </c>
      <c r="O2407" s="32">
        <v>9</v>
      </c>
      <c r="P2407" s="32">
        <v>91</v>
      </c>
      <c r="Y2407" s="12" t="s">
        <v>5384</v>
      </c>
      <c r="AD2407" s="12" t="s">
        <v>98</v>
      </c>
      <c r="AE2407" s="12" t="s">
        <v>5317</v>
      </c>
      <c r="AF2407" s="12" t="s">
        <v>2186</v>
      </c>
      <c r="AG2407" s="12" t="s">
        <v>98</v>
      </c>
      <c r="AH2407" s="12" t="s">
        <v>5315</v>
      </c>
      <c r="AN2407" s="46">
        <v>1303</v>
      </c>
      <c r="AU2407" s="12">
        <v>9003</v>
      </c>
    </row>
    <row r="2408" spans="1:47" ht="12" customHeight="1" x14ac:dyDescent="0.2">
      <c r="A2408" s="95" t="s">
        <v>4527</v>
      </c>
      <c r="B2408" s="42">
        <v>913403</v>
      </c>
      <c r="C2408" s="42" t="s">
        <v>4792</v>
      </c>
      <c r="D2408" s="86" t="s">
        <v>4988</v>
      </c>
      <c r="E2408" s="86" t="s">
        <v>2</v>
      </c>
      <c r="F2408" s="32" t="s">
        <v>310</v>
      </c>
      <c r="G2408" s="32" t="s">
        <v>1587</v>
      </c>
      <c r="J2408" s="32" t="s">
        <v>4458</v>
      </c>
      <c r="K2408" s="32" t="s">
        <v>4459</v>
      </c>
      <c r="M2408" s="32" t="s">
        <v>5379</v>
      </c>
      <c r="O2408" s="32">
        <v>9</v>
      </c>
      <c r="P2408" s="32">
        <v>91</v>
      </c>
      <c r="W2408" s="12" t="s">
        <v>5385</v>
      </c>
      <c r="X2408" s="12" t="s">
        <v>5385</v>
      </c>
      <c r="AD2408" s="12" t="s">
        <v>98</v>
      </c>
      <c r="AE2408" s="12" t="s">
        <v>5317</v>
      </c>
      <c r="AF2408" s="12" t="s">
        <v>2186</v>
      </c>
      <c r="AG2408" s="12" t="s">
        <v>98</v>
      </c>
      <c r="AH2408" s="12" t="s">
        <v>5315</v>
      </c>
      <c r="AN2408" s="46">
        <v>1303</v>
      </c>
      <c r="AU2408" s="12">
        <v>9003</v>
      </c>
    </row>
    <row r="2409" spans="1:47" ht="12" customHeight="1" x14ac:dyDescent="0.2">
      <c r="A2409" s="95" t="s">
        <v>4528</v>
      </c>
      <c r="B2409" s="42">
        <v>913503</v>
      </c>
      <c r="C2409" s="42" t="s">
        <v>4799</v>
      </c>
      <c r="D2409" s="86" t="s">
        <v>4995</v>
      </c>
      <c r="E2409" s="86" t="s">
        <v>2</v>
      </c>
      <c r="F2409" s="32" t="s">
        <v>310</v>
      </c>
      <c r="G2409" s="32" t="s">
        <v>1606</v>
      </c>
      <c r="J2409" s="32" t="s">
        <v>4458</v>
      </c>
      <c r="K2409" s="32" t="s">
        <v>4459</v>
      </c>
      <c r="M2409" s="32" t="s">
        <v>5379</v>
      </c>
      <c r="O2409" s="32">
        <v>9</v>
      </c>
      <c r="P2409" s="32">
        <v>91</v>
      </c>
      <c r="AB2409" s="12" t="s">
        <v>5386</v>
      </c>
      <c r="AD2409" s="12" t="s">
        <v>98</v>
      </c>
      <c r="AE2409" s="12" t="s">
        <v>5317</v>
      </c>
      <c r="AF2409" s="12" t="s">
        <v>2186</v>
      </c>
      <c r="AG2409" s="12" t="s">
        <v>98</v>
      </c>
      <c r="AH2409" s="12" t="s">
        <v>5315</v>
      </c>
      <c r="AN2409" s="46">
        <v>1303</v>
      </c>
      <c r="AU2409" s="12">
        <v>9003</v>
      </c>
    </row>
    <row r="2410" spans="1:47" ht="12" customHeight="1" x14ac:dyDescent="0.2">
      <c r="A2410" s="95" t="s">
        <v>4529</v>
      </c>
      <c r="B2410" s="42">
        <v>913603</v>
      </c>
      <c r="C2410" s="42" t="s">
        <v>4806</v>
      </c>
      <c r="D2410" s="86" t="s">
        <v>5002</v>
      </c>
      <c r="E2410" s="86" t="s">
        <v>2</v>
      </c>
      <c r="F2410" s="32" t="s">
        <v>310</v>
      </c>
      <c r="G2410" s="32" t="s">
        <v>1625</v>
      </c>
      <c r="J2410" s="32" t="s">
        <v>4458</v>
      </c>
      <c r="K2410" s="32" t="s">
        <v>4459</v>
      </c>
      <c r="M2410" s="32" t="s">
        <v>5379</v>
      </c>
      <c r="O2410" s="32">
        <v>9</v>
      </c>
      <c r="P2410" s="32">
        <v>91</v>
      </c>
      <c r="AA2410" s="12" t="s">
        <v>5386</v>
      </c>
      <c r="AD2410" s="12" t="s">
        <v>98</v>
      </c>
      <c r="AE2410" s="12" t="s">
        <v>5317</v>
      </c>
      <c r="AF2410" s="12" t="s">
        <v>2186</v>
      </c>
      <c r="AG2410" s="12" t="s">
        <v>98</v>
      </c>
      <c r="AH2410" s="12" t="s">
        <v>5315</v>
      </c>
      <c r="AN2410" s="46">
        <v>1303</v>
      </c>
      <c r="AU2410" s="12">
        <v>9003</v>
      </c>
    </row>
    <row r="2411" spans="1:47" ht="12" customHeight="1" x14ac:dyDescent="0.2">
      <c r="A2411" s="95" t="s">
        <v>4530</v>
      </c>
      <c r="B2411" s="42">
        <v>913703</v>
      </c>
      <c r="C2411" s="42" t="s">
        <v>4813</v>
      </c>
      <c r="D2411" s="86" t="s">
        <v>5009</v>
      </c>
      <c r="E2411" s="86" t="s">
        <v>1629</v>
      </c>
      <c r="F2411" s="32" t="s">
        <v>310</v>
      </c>
      <c r="G2411" s="32" t="s">
        <v>1630</v>
      </c>
      <c r="J2411" s="32" t="s">
        <v>4458</v>
      </c>
      <c r="K2411" s="32" t="s">
        <v>4459</v>
      </c>
      <c r="M2411" s="32" t="s">
        <v>5379</v>
      </c>
      <c r="O2411" s="32">
        <v>9</v>
      </c>
      <c r="P2411" s="32">
        <v>91</v>
      </c>
      <c r="Y2411" s="12" t="s">
        <v>5384</v>
      </c>
      <c r="AD2411" s="12" t="s">
        <v>98</v>
      </c>
      <c r="AE2411" s="12" t="s">
        <v>5317</v>
      </c>
      <c r="AF2411" s="12" t="s">
        <v>2186</v>
      </c>
      <c r="AG2411" s="12" t="s">
        <v>98</v>
      </c>
      <c r="AH2411" s="12" t="s">
        <v>5316</v>
      </c>
      <c r="AN2411" s="46">
        <v>1303</v>
      </c>
      <c r="AU2411" s="12">
        <v>9003</v>
      </c>
    </row>
    <row r="2412" spans="1:47" ht="12" customHeight="1" x14ac:dyDescent="0.2">
      <c r="A2412" s="95" t="s">
        <v>4531</v>
      </c>
      <c r="B2412" s="42">
        <v>914101</v>
      </c>
      <c r="C2412" s="42" t="s">
        <v>4821</v>
      </c>
      <c r="D2412" s="86" t="s">
        <v>4870</v>
      </c>
      <c r="E2412" s="86" t="s">
        <v>1</v>
      </c>
      <c r="F2412" s="32" t="s">
        <v>456</v>
      </c>
      <c r="G2412" s="32" t="s">
        <v>1472</v>
      </c>
      <c r="J2412" s="32" t="s">
        <v>4458</v>
      </c>
      <c r="K2412" s="32" t="s">
        <v>4459</v>
      </c>
      <c r="M2412" s="32" t="s">
        <v>5378</v>
      </c>
      <c r="O2412" s="32">
        <v>9</v>
      </c>
      <c r="P2412" s="32">
        <v>91</v>
      </c>
      <c r="AA2412" s="12" t="s">
        <v>5386</v>
      </c>
      <c r="AD2412" s="12" t="s">
        <v>98</v>
      </c>
      <c r="AE2412" s="12" t="s">
        <v>5317</v>
      </c>
      <c r="AF2412" s="12" t="s">
        <v>2186</v>
      </c>
      <c r="AG2412" s="12" t="s">
        <v>98</v>
      </c>
      <c r="AH2412" s="12" t="s">
        <v>5313</v>
      </c>
      <c r="AN2412" s="46">
        <v>1401</v>
      </c>
      <c r="AR2412" s="34" t="s">
        <v>94</v>
      </c>
      <c r="AS2412" s="34" t="s">
        <v>94</v>
      </c>
      <c r="AU2412" s="12" t="s">
        <v>4460</v>
      </c>
    </row>
    <row r="2413" spans="1:47" ht="12" customHeight="1" x14ac:dyDescent="0.2">
      <c r="A2413" s="95" t="s">
        <v>4532</v>
      </c>
      <c r="B2413" s="42">
        <v>914201</v>
      </c>
      <c r="C2413" s="42" t="s">
        <v>4828</v>
      </c>
      <c r="D2413" s="86" t="s">
        <v>4877</v>
      </c>
      <c r="E2413" s="86" t="s">
        <v>501</v>
      </c>
      <c r="F2413" s="32" t="s">
        <v>456</v>
      </c>
      <c r="G2413" s="32" t="s">
        <v>1472</v>
      </c>
      <c r="J2413" s="32" t="s">
        <v>4458</v>
      </c>
      <c r="K2413" s="32" t="s">
        <v>4459</v>
      </c>
      <c r="M2413" s="32" t="s">
        <v>5378</v>
      </c>
      <c r="O2413" s="32">
        <v>9</v>
      </c>
      <c r="P2413" s="32">
        <v>91</v>
      </c>
      <c r="AB2413" s="12" t="s">
        <v>5387</v>
      </c>
      <c r="AD2413" s="12" t="s">
        <v>98</v>
      </c>
      <c r="AE2413" s="12" t="s">
        <v>5317</v>
      </c>
      <c r="AF2413" s="12" t="s">
        <v>2186</v>
      </c>
      <c r="AG2413" s="12" t="s">
        <v>98</v>
      </c>
      <c r="AH2413" s="12" t="s">
        <v>5314</v>
      </c>
      <c r="AN2413" s="46">
        <v>1401</v>
      </c>
      <c r="AR2413" s="34" t="s">
        <v>94</v>
      </c>
      <c r="AS2413" s="34" t="s">
        <v>94</v>
      </c>
      <c r="AU2413" s="12" t="s">
        <v>4460</v>
      </c>
    </row>
    <row r="2414" spans="1:47" ht="12" customHeight="1" x14ac:dyDescent="0.2">
      <c r="A2414" s="95" t="s">
        <v>4533</v>
      </c>
      <c r="B2414" s="42">
        <v>914301</v>
      </c>
      <c r="C2414" s="42" t="s">
        <v>4835</v>
      </c>
      <c r="D2414" s="86" t="s">
        <v>4884</v>
      </c>
      <c r="E2414" s="86" t="s">
        <v>2</v>
      </c>
      <c r="F2414" s="32" t="s">
        <v>456</v>
      </c>
      <c r="G2414" s="32" t="s">
        <v>1568</v>
      </c>
      <c r="J2414" s="32" t="s">
        <v>4458</v>
      </c>
      <c r="K2414" s="32" t="s">
        <v>4459</v>
      </c>
      <c r="M2414" s="32" t="s">
        <v>5378</v>
      </c>
      <c r="O2414" s="32">
        <v>9</v>
      </c>
      <c r="P2414" s="32">
        <v>91</v>
      </c>
      <c r="Y2414" s="12" t="s">
        <v>5384</v>
      </c>
      <c r="AD2414" s="12" t="s">
        <v>98</v>
      </c>
      <c r="AE2414" s="12" t="s">
        <v>5317</v>
      </c>
      <c r="AF2414" s="12" t="s">
        <v>2186</v>
      </c>
      <c r="AG2414" s="12" t="s">
        <v>98</v>
      </c>
      <c r="AH2414" s="12" t="s">
        <v>5315</v>
      </c>
      <c r="AN2414" s="46">
        <v>1401</v>
      </c>
      <c r="AU2414" s="12" t="s">
        <v>4460</v>
      </c>
    </row>
    <row r="2415" spans="1:47" ht="12" customHeight="1" x14ac:dyDescent="0.2">
      <c r="A2415" s="95" t="s">
        <v>4534</v>
      </c>
      <c r="B2415" s="42">
        <v>914401</v>
      </c>
      <c r="C2415" s="42" t="s">
        <v>4842</v>
      </c>
      <c r="D2415" s="86" t="s">
        <v>4891</v>
      </c>
      <c r="E2415" s="86" t="s">
        <v>2</v>
      </c>
      <c r="F2415" s="32" t="s">
        <v>456</v>
      </c>
      <c r="G2415" s="32" t="s">
        <v>1587</v>
      </c>
      <c r="J2415" s="32" t="s">
        <v>4458</v>
      </c>
      <c r="K2415" s="32" t="s">
        <v>4459</v>
      </c>
      <c r="M2415" s="32" t="s">
        <v>5378</v>
      </c>
      <c r="O2415" s="32">
        <v>9</v>
      </c>
      <c r="P2415" s="32">
        <v>91</v>
      </c>
      <c r="W2415" s="12" t="s">
        <v>5385</v>
      </c>
      <c r="X2415" s="12" t="s">
        <v>5385</v>
      </c>
      <c r="AD2415" s="12" t="s">
        <v>98</v>
      </c>
      <c r="AE2415" s="12" t="s">
        <v>5317</v>
      </c>
      <c r="AF2415" s="12" t="s">
        <v>2186</v>
      </c>
      <c r="AG2415" s="12" t="s">
        <v>98</v>
      </c>
      <c r="AH2415" s="12" t="s">
        <v>5315</v>
      </c>
      <c r="AN2415" s="46">
        <v>1401</v>
      </c>
      <c r="AU2415" s="12" t="s">
        <v>4460</v>
      </c>
    </row>
    <row r="2416" spans="1:47" ht="12" customHeight="1" x14ac:dyDescent="0.2">
      <c r="A2416" s="95" t="s">
        <v>4535</v>
      </c>
      <c r="B2416" s="42">
        <v>914501</v>
      </c>
      <c r="C2416" s="42" t="s">
        <v>4849</v>
      </c>
      <c r="D2416" s="86" t="s">
        <v>4898</v>
      </c>
      <c r="E2416" s="86" t="s">
        <v>2</v>
      </c>
      <c r="F2416" s="32" t="s">
        <v>456</v>
      </c>
      <c r="G2416" s="32" t="s">
        <v>1606</v>
      </c>
      <c r="J2416" s="32" t="s">
        <v>4458</v>
      </c>
      <c r="K2416" s="32" t="s">
        <v>4459</v>
      </c>
      <c r="M2416" s="32" t="s">
        <v>5378</v>
      </c>
      <c r="O2416" s="32">
        <v>9</v>
      </c>
      <c r="P2416" s="32">
        <v>91</v>
      </c>
      <c r="AB2416" s="12" t="s">
        <v>5386</v>
      </c>
      <c r="AD2416" s="12" t="s">
        <v>98</v>
      </c>
      <c r="AE2416" s="12" t="s">
        <v>5317</v>
      </c>
      <c r="AF2416" s="12" t="s">
        <v>2186</v>
      </c>
      <c r="AG2416" s="12" t="s">
        <v>98</v>
      </c>
      <c r="AH2416" s="12" t="s">
        <v>5315</v>
      </c>
      <c r="AN2416" s="46">
        <v>1401</v>
      </c>
      <c r="AU2416" s="12" t="s">
        <v>4460</v>
      </c>
    </row>
    <row r="2417" spans="1:47" ht="12" customHeight="1" x14ac:dyDescent="0.2">
      <c r="A2417" s="95" t="s">
        <v>4536</v>
      </c>
      <c r="B2417" s="42">
        <v>914601</v>
      </c>
      <c r="C2417" s="42" t="s">
        <v>4856</v>
      </c>
      <c r="D2417" s="86" t="s">
        <v>4905</v>
      </c>
      <c r="E2417" s="86" t="s">
        <v>2</v>
      </c>
      <c r="F2417" s="32" t="s">
        <v>456</v>
      </c>
      <c r="G2417" s="32" t="s">
        <v>1625</v>
      </c>
      <c r="J2417" s="32" t="s">
        <v>4458</v>
      </c>
      <c r="K2417" s="32" t="s">
        <v>4459</v>
      </c>
      <c r="M2417" s="32" t="s">
        <v>5378</v>
      </c>
      <c r="O2417" s="32">
        <v>9</v>
      </c>
      <c r="P2417" s="32">
        <v>91</v>
      </c>
      <c r="AA2417" s="12" t="s">
        <v>5386</v>
      </c>
      <c r="AD2417" s="12" t="s">
        <v>98</v>
      </c>
      <c r="AE2417" s="12" t="s">
        <v>5317</v>
      </c>
      <c r="AF2417" s="12" t="s">
        <v>2186</v>
      </c>
      <c r="AG2417" s="12" t="s">
        <v>98</v>
      </c>
      <c r="AH2417" s="12" t="s">
        <v>5315</v>
      </c>
      <c r="AN2417" s="46">
        <v>1401</v>
      </c>
      <c r="AU2417" s="12" t="s">
        <v>4460</v>
      </c>
    </row>
    <row r="2418" spans="1:47" ht="12" customHeight="1" x14ac:dyDescent="0.2">
      <c r="A2418" s="95" t="s">
        <v>4537</v>
      </c>
      <c r="B2418" s="42">
        <v>914701</v>
      </c>
      <c r="C2418" s="42" t="s">
        <v>4863</v>
      </c>
      <c r="D2418" s="86" t="s">
        <v>4912</v>
      </c>
      <c r="E2418" s="86" t="s">
        <v>1629</v>
      </c>
      <c r="F2418" s="32" t="s">
        <v>456</v>
      </c>
      <c r="G2418" s="32" t="s">
        <v>1630</v>
      </c>
      <c r="J2418" s="32" t="s">
        <v>4458</v>
      </c>
      <c r="K2418" s="32" t="s">
        <v>4459</v>
      </c>
      <c r="M2418" s="32" t="s">
        <v>5378</v>
      </c>
      <c r="O2418" s="32">
        <v>9</v>
      </c>
      <c r="P2418" s="32">
        <v>91</v>
      </c>
      <c r="Y2418" s="12" t="s">
        <v>5384</v>
      </c>
      <c r="AD2418" s="12" t="s">
        <v>98</v>
      </c>
      <c r="AE2418" s="12" t="s">
        <v>5317</v>
      </c>
      <c r="AF2418" s="12" t="s">
        <v>2186</v>
      </c>
      <c r="AG2418" s="12" t="s">
        <v>98</v>
      </c>
      <c r="AH2418" s="12" t="s">
        <v>5316</v>
      </c>
      <c r="AN2418" s="46">
        <v>1401</v>
      </c>
      <c r="AU2418" s="12" t="s">
        <v>4460</v>
      </c>
    </row>
    <row r="2419" spans="1:47" ht="12" customHeight="1" x14ac:dyDescent="0.2">
      <c r="A2419" s="95" t="s">
        <v>4538</v>
      </c>
      <c r="B2419" s="42">
        <v>914102</v>
      </c>
      <c r="C2419" s="42" t="s">
        <v>4723</v>
      </c>
      <c r="D2419" s="86" t="s">
        <v>4919</v>
      </c>
      <c r="E2419" s="86" t="s">
        <v>1</v>
      </c>
      <c r="F2419" s="32" t="s">
        <v>456</v>
      </c>
      <c r="G2419" s="32" t="s">
        <v>1472</v>
      </c>
      <c r="J2419" s="32" t="s">
        <v>4458</v>
      </c>
      <c r="K2419" s="32" t="s">
        <v>4459</v>
      </c>
      <c r="M2419" s="32" t="s">
        <v>5380</v>
      </c>
      <c r="O2419" s="32">
        <v>9</v>
      </c>
      <c r="P2419" s="32">
        <v>91</v>
      </c>
      <c r="AA2419" s="12" t="s">
        <v>5386</v>
      </c>
      <c r="AD2419" s="12" t="s">
        <v>98</v>
      </c>
      <c r="AE2419" s="12" t="s">
        <v>5317</v>
      </c>
      <c r="AF2419" s="12" t="s">
        <v>2186</v>
      </c>
      <c r="AG2419" s="12" t="s">
        <v>98</v>
      </c>
      <c r="AH2419" s="12" t="s">
        <v>5313</v>
      </c>
      <c r="AN2419" s="46">
        <v>1402</v>
      </c>
      <c r="AR2419" s="34" t="s">
        <v>94</v>
      </c>
      <c r="AS2419" s="34" t="s">
        <v>94</v>
      </c>
      <c r="AU2419" s="12">
        <v>9002</v>
      </c>
    </row>
    <row r="2420" spans="1:47" ht="12" customHeight="1" x14ac:dyDescent="0.2">
      <c r="A2420" s="95" t="s">
        <v>4539</v>
      </c>
      <c r="B2420" s="42">
        <v>914202</v>
      </c>
      <c r="C2420" s="42" t="s">
        <v>4730</v>
      </c>
      <c r="D2420" s="86" t="s">
        <v>4926</v>
      </c>
      <c r="E2420" s="86" t="s">
        <v>501</v>
      </c>
      <c r="F2420" s="32" t="s">
        <v>456</v>
      </c>
      <c r="G2420" s="32" t="s">
        <v>1472</v>
      </c>
      <c r="J2420" s="32" t="s">
        <v>4458</v>
      </c>
      <c r="K2420" s="32" t="s">
        <v>4459</v>
      </c>
      <c r="M2420" s="32" t="s">
        <v>5380</v>
      </c>
      <c r="O2420" s="32">
        <v>9</v>
      </c>
      <c r="P2420" s="32">
        <v>91</v>
      </c>
      <c r="AB2420" s="12" t="s">
        <v>5387</v>
      </c>
      <c r="AD2420" s="12" t="s">
        <v>98</v>
      </c>
      <c r="AE2420" s="12" t="s">
        <v>5317</v>
      </c>
      <c r="AF2420" s="12" t="s">
        <v>2186</v>
      </c>
      <c r="AG2420" s="12" t="s">
        <v>98</v>
      </c>
      <c r="AH2420" s="12" t="s">
        <v>5314</v>
      </c>
      <c r="AN2420" s="46">
        <v>1402</v>
      </c>
      <c r="AR2420" s="34" t="s">
        <v>94</v>
      </c>
      <c r="AS2420" s="34" t="s">
        <v>94</v>
      </c>
      <c r="AU2420" s="12">
        <v>9002</v>
      </c>
    </row>
    <row r="2421" spans="1:47" ht="12" customHeight="1" x14ac:dyDescent="0.2">
      <c r="A2421" s="95" t="s">
        <v>4540</v>
      </c>
      <c r="B2421" s="42">
        <v>914302</v>
      </c>
      <c r="C2421" s="42" t="s">
        <v>4737</v>
      </c>
      <c r="D2421" s="86" t="s">
        <v>4933</v>
      </c>
      <c r="E2421" s="86" t="s">
        <v>2</v>
      </c>
      <c r="F2421" s="32" t="s">
        <v>456</v>
      </c>
      <c r="G2421" s="32" t="s">
        <v>1568</v>
      </c>
      <c r="J2421" s="32" t="s">
        <v>4458</v>
      </c>
      <c r="K2421" s="32" t="s">
        <v>4459</v>
      </c>
      <c r="M2421" s="32" t="s">
        <v>5380</v>
      </c>
      <c r="O2421" s="32">
        <v>9</v>
      </c>
      <c r="P2421" s="32">
        <v>91</v>
      </c>
      <c r="Y2421" s="12" t="s">
        <v>5384</v>
      </c>
      <c r="AD2421" s="12" t="s">
        <v>98</v>
      </c>
      <c r="AE2421" s="12" t="s">
        <v>5317</v>
      </c>
      <c r="AF2421" s="12" t="s">
        <v>2186</v>
      </c>
      <c r="AG2421" s="12" t="s">
        <v>98</v>
      </c>
      <c r="AH2421" s="12" t="s">
        <v>5315</v>
      </c>
      <c r="AN2421" s="46">
        <v>1402</v>
      </c>
      <c r="AU2421" s="12">
        <v>9002</v>
      </c>
    </row>
    <row r="2422" spans="1:47" ht="12" customHeight="1" x14ac:dyDescent="0.2">
      <c r="A2422" s="95" t="s">
        <v>4541</v>
      </c>
      <c r="B2422" s="42">
        <v>914402</v>
      </c>
      <c r="C2422" s="42" t="s">
        <v>4744</v>
      </c>
      <c r="D2422" s="86" t="s">
        <v>4940</v>
      </c>
      <c r="E2422" s="86" t="s">
        <v>2</v>
      </c>
      <c r="F2422" s="32" t="s">
        <v>456</v>
      </c>
      <c r="G2422" s="32" t="s">
        <v>1587</v>
      </c>
      <c r="J2422" s="32" t="s">
        <v>4458</v>
      </c>
      <c r="K2422" s="32" t="s">
        <v>4459</v>
      </c>
      <c r="M2422" s="32" t="s">
        <v>5380</v>
      </c>
      <c r="O2422" s="32">
        <v>9</v>
      </c>
      <c r="P2422" s="32">
        <v>91</v>
      </c>
      <c r="W2422" s="12" t="s">
        <v>5385</v>
      </c>
      <c r="X2422" s="12" t="s">
        <v>5385</v>
      </c>
      <c r="AD2422" s="12" t="s">
        <v>98</v>
      </c>
      <c r="AE2422" s="12" t="s">
        <v>5317</v>
      </c>
      <c r="AF2422" s="12" t="s">
        <v>2186</v>
      </c>
      <c r="AG2422" s="12" t="s">
        <v>98</v>
      </c>
      <c r="AH2422" s="12" t="s">
        <v>5315</v>
      </c>
      <c r="AN2422" s="46">
        <v>1402</v>
      </c>
      <c r="AU2422" s="12">
        <v>9002</v>
      </c>
    </row>
    <row r="2423" spans="1:47" ht="12" customHeight="1" x14ac:dyDescent="0.2">
      <c r="A2423" s="95" t="s">
        <v>4542</v>
      </c>
      <c r="B2423" s="42">
        <v>914502</v>
      </c>
      <c r="C2423" s="42" t="s">
        <v>4751</v>
      </c>
      <c r="D2423" s="86" t="s">
        <v>4947</v>
      </c>
      <c r="E2423" s="86" t="s">
        <v>2</v>
      </c>
      <c r="F2423" s="32" t="s">
        <v>456</v>
      </c>
      <c r="G2423" s="32" t="s">
        <v>1606</v>
      </c>
      <c r="J2423" s="32" t="s">
        <v>4458</v>
      </c>
      <c r="K2423" s="32" t="s">
        <v>4459</v>
      </c>
      <c r="M2423" s="32" t="s">
        <v>5380</v>
      </c>
      <c r="O2423" s="32">
        <v>9</v>
      </c>
      <c r="P2423" s="32">
        <v>91</v>
      </c>
      <c r="AB2423" s="12" t="s">
        <v>5386</v>
      </c>
      <c r="AD2423" s="12" t="s">
        <v>98</v>
      </c>
      <c r="AE2423" s="12" t="s">
        <v>5317</v>
      </c>
      <c r="AF2423" s="12" t="s">
        <v>2186</v>
      </c>
      <c r="AG2423" s="12" t="s">
        <v>98</v>
      </c>
      <c r="AH2423" s="12" t="s">
        <v>5315</v>
      </c>
      <c r="AN2423" s="46">
        <v>1402</v>
      </c>
      <c r="AU2423" s="12">
        <v>9002</v>
      </c>
    </row>
    <row r="2424" spans="1:47" ht="12" customHeight="1" x14ac:dyDescent="0.2">
      <c r="A2424" s="95" t="s">
        <v>4543</v>
      </c>
      <c r="B2424" s="42">
        <v>914602</v>
      </c>
      <c r="C2424" s="42" t="s">
        <v>4758</v>
      </c>
      <c r="D2424" s="86" t="s">
        <v>4954</v>
      </c>
      <c r="E2424" s="86" t="s">
        <v>2</v>
      </c>
      <c r="F2424" s="32" t="s">
        <v>456</v>
      </c>
      <c r="G2424" s="32" t="s">
        <v>1625</v>
      </c>
      <c r="J2424" s="32" t="s">
        <v>4458</v>
      </c>
      <c r="K2424" s="32" t="s">
        <v>4459</v>
      </c>
      <c r="M2424" s="32" t="s">
        <v>5380</v>
      </c>
      <c r="O2424" s="32">
        <v>9</v>
      </c>
      <c r="P2424" s="32">
        <v>91</v>
      </c>
      <c r="AA2424" s="12" t="s">
        <v>5386</v>
      </c>
      <c r="AD2424" s="12" t="s">
        <v>98</v>
      </c>
      <c r="AE2424" s="12" t="s">
        <v>5317</v>
      </c>
      <c r="AF2424" s="12" t="s">
        <v>2186</v>
      </c>
      <c r="AG2424" s="12" t="s">
        <v>98</v>
      </c>
      <c r="AH2424" s="12" t="s">
        <v>5315</v>
      </c>
      <c r="AN2424" s="46">
        <v>1402</v>
      </c>
      <c r="AU2424" s="12">
        <v>9002</v>
      </c>
    </row>
    <row r="2425" spans="1:47" ht="12" customHeight="1" x14ac:dyDescent="0.2">
      <c r="A2425" s="95" t="s">
        <v>4544</v>
      </c>
      <c r="B2425" s="42">
        <v>914702</v>
      </c>
      <c r="C2425" s="42" t="s">
        <v>4765</v>
      </c>
      <c r="D2425" s="86" t="s">
        <v>4961</v>
      </c>
      <c r="E2425" s="86" t="s">
        <v>1629</v>
      </c>
      <c r="F2425" s="32" t="s">
        <v>456</v>
      </c>
      <c r="G2425" s="32" t="s">
        <v>1630</v>
      </c>
      <c r="J2425" s="32" t="s">
        <v>4458</v>
      </c>
      <c r="K2425" s="32" t="s">
        <v>4459</v>
      </c>
      <c r="M2425" s="32" t="s">
        <v>5380</v>
      </c>
      <c r="O2425" s="32">
        <v>9</v>
      </c>
      <c r="P2425" s="32">
        <v>91</v>
      </c>
      <c r="Y2425" s="12" t="s">
        <v>5384</v>
      </c>
      <c r="AD2425" s="12" t="s">
        <v>98</v>
      </c>
      <c r="AE2425" s="12" t="s">
        <v>5317</v>
      </c>
      <c r="AF2425" s="12" t="s">
        <v>2186</v>
      </c>
      <c r="AG2425" s="12" t="s">
        <v>98</v>
      </c>
      <c r="AH2425" s="12" t="s">
        <v>5316</v>
      </c>
      <c r="AN2425" s="46">
        <v>1402</v>
      </c>
      <c r="AU2425" s="12">
        <v>9002</v>
      </c>
    </row>
    <row r="2426" spans="1:47" ht="12" customHeight="1" x14ac:dyDescent="0.2">
      <c r="A2426" s="95" t="s">
        <v>4545</v>
      </c>
      <c r="B2426" s="42">
        <v>914103</v>
      </c>
      <c r="C2426" s="42" t="s">
        <v>4772</v>
      </c>
      <c r="D2426" s="86" t="s">
        <v>4968</v>
      </c>
      <c r="E2426" s="86" t="s">
        <v>1</v>
      </c>
      <c r="F2426" s="32" t="s">
        <v>456</v>
      </c>
      <c r="G2426" s="32" t="s">
        <v>1472</v>
      </c>
      <c r="J2426" s="32" t="s">
        <v>4458</v>
      </c>
      <c r="K2426" s="32" t="s">
        <v>4459</v>
      </c>
      <c r="M2426" s="32" t="s">
        <v>5379</v>
      </c>
      <c r="O2426" s="32">
        <v>9</v>
      </c>
      <c r="P2426" s="32">
        <v>91</v>
      </c>
      <c r="AA2426" s="12" t="s">
        <v>5386</v>
      </c>
      <c r="AD2426" s="12" t="s">
        <v>98</v>
      </c>
      <c r="AE2426" s="12" t="s">
        <v>5317</v>
      </c>
      <c r="AF2426" s="12" t="s">
        <v>2186</v>
      </c>
      <c r="AG2426" s="12" t="s">
        <v>98</v>
      </c>
      <c r="AH2426" s="12" t="s">
        <v>5313</v>
      </c>
      <c r="AN2426" s="46">
        <v>1403</v>
      </c>
      <c r="AR2426" s="34" t="s">
        <v>94</v>
      </c>
      <c r="AS2426" s="34" t="s">
        <v>94</v>
      </c>
      <c r="AU2426" s="12">
        <v>9003</v>
      </c>
    </row>
    <row r="2427" spans="1:47" ht="12" customHeight="1" x14ac:dyDescent="0.2">
      <c r="A2427" s="95" t="s">
        <v>4546</v>
      </c>
      <c r="B2427" s="42">
        <v>914203</v>
      </c>
      <c r="C2427" s="42" t="s">
        <v>4779</v>
      </c>
      <c r="D2427" s="86" t="s">
        <v>4975</v>
      </c>
      <c r="E2427" s="86" t="s">
        <v>501</v>
      </c>
      <c r="F2427" s="32" t="s">
        <v>456</v>
      </c>
      <c r="G2427" s="32" t="s">
        <v>1472</v>
      </c>
      <c r="J2427" s="32" t="s">
        <v>4458</v>
      </c>
      <c r="K2427" s="32" t="s">
        <v>4459</v>
      </c>
      <c r="M2427" s="32" t="s">
        <v>5379</v>
      </c>
      <c r="O2427" s="32">
        <v>9</v>
      </c>
      <c r="P2427" s="32">
        <v>91</v>
      </c>
      <c r="AB2427" s="12" t="s">
        <v>5387</v>
      </c>
      <c r="AD2427" s="12" t="s">
        <v>98</v>
      </c>
      <c r="AE2427" s="12" t="s">
        <v>5317</v>
      </c>
      <c r="AF2427" s="12" t="s">
        <v>2186</v>
      </c>
      <c r="AG2427" s="12" t="s">
        <v>98</v>
      </c>
      <c r="AH2427" s="12" t="s">
        <v>5314</v>
      </c>
      <c r="AN2427" s="46">
        <v>1403</v>
      </c>
      <c r="AR2427" s="34" t="s">
        <v>94</v>
      </c>
      <c r="AS2427" s="34" t="s">
        <v>94</v>
      </c>
      <c r="AU2427" s="12">
        <v>9003</v>
      </c>
    </row>
    <row r="2428" spans="1:47" ht="12" customHeight="1" x14ac:dyDescent="0.2">
      <c r="A2428" s="95" t="s">
        <v>4547</v>
      </c>
      <c r="B2428" s="42">
        <v>914303</v>
      </c>
      <c r="C2428" s="42" t="s">
        <v>4786</v>
      </c>
      <c r="D2428" s="86" t="s">
        <v>4982</v>
      </c>
      <c r="E2428" s="86" t="s">
        <v>2</v>
      </c>
      <c r="F2428" s="32" t="s">
        <v>456</v>
      </c>
      <c r="G2428" s="32" t="s">
        <v>1568</v>
      </c>
      <c r="J2428" s="32" t="s">
        <v>4458</v>
      </c>
      <c r="K2428" s="32" t="s">
        <v>4459</v>
      </c>
      <c r="M2428" s="32" t="s">
        <v>5379</v>
      </c>
      <c r="O2428" s="32">
        <v>9</v>
      </c>
      <c r="P2428" s="32">
        <v>91</v>
      </c>
      <c r="Y2428" s="12" t="s">
        <v>5384</v>
      </c>
      <c r="AD2428" s="12" t="s">
        <v>98</v>
      </c>
      <c r="AE2428" s="12" t="s">
        <v>5317</v>
      </c>
      <c r="AF2428" s="12" t="s">
        <v>2186</v>
      </c>
      <c r="AG2428" s="12" t="s">
        <v>98</v>
      </c>
      <c r="AH2428" s="12" t="s">
        <v>5315</v>
      </c>
      <c r="AN2428" s="46">
        <v>1403</v>
      </c>
      <c r="AU2428" s="12">
        <v>9003</v>
      </c>
    </row>
    <row r="2429" spans="1:47" ht="12" customHeight="1" x14ac:dyDescent="0.2">
      <c r="A2429" s="95" t="s">
        <v>4548</v>
      </c>
      <c r="B2429" s="42">
        <v>914403</v>
      </c>
      <c r="C2429" s="42" t="s">
        <v>4793</v>
      </c>
      <c r="D2429" s="86" t="s">
        <v>4989</v>
      </c>
      <c r="E2429" s="86" t="s">
        <v>2</v>
      </c>
      <c r="F2429" s="32" t="s">
        <v>456</v>
      </c>
      <c r="G2429" s="32" t="s">
        <v>1587</v>
      </c>
      <c r="J2429" s="32" t="s">
        <v>4458</v>
      </c>
      <c r="K2429" s="32" t="s">
        <v>4459</v>
      </c>
      <c r="M2429" s="32" t="s">
        <v>5379</v>
      </c>
      <c r="O2429" s="32">
        <v>9</v>
      </c>
      <c r="P2429" s="32">
        <v>91</v>
      </c>
      <c r="W2429" s="12" t="s">
        <v>5385</v>
      </c>
      <c r="X2429" s="12" t="s">
        <v>5385</v>
      </c>
      <c r="AD2429" s="12" t="s">
        <v>98</v>
      </c>
      <c r="AE2429" s="12" t="s">
        <v>5317</v>
      </c>
      <c r="AF2429" s="12" t="s">
        <v>2186</v>
      </c>
      <c r="AG2429" s="12" t="s">
        <v>98</v>
      </c>
      <c r="AH2429" s="12" t="s">
        <v>5315</v>
      </c>
      <c r="AN2429" s="46">
        <v>1403</v>
      </c>
      <c r="AU2429" s="12">
        <v>9003</v>
      </c>
    </row>
    <row r="2430" spans="1:47" ht="12" customHeight="1" x14ac:dyDescent="0.2">
      <c r="A2430" s="95" t="s">
        <v>4549</v>
      </c>
      <c r="B2430" s="42">
        <v>914503</v>
      </c>
      <c r="C2430" s="42" t="s">
        <v>4800</v>
      </c>
      <c r="D2430" s="86" t="s">
        <v>4996</v>
      </c>
      <c r="E2430" s="86" t="s">
        <v>2</v>
      </c>
      <c r="F2430" s="32" t="s">
        <v>456</v>
      </c>
      <c r="G2430" s="32" t="s">
        <v>1606</v>
      </c>
      <c r="J2430" s="32" t="s">
        <v>4458</v>
      </c>
      <c r="K2430" s="32" t="s">
        <v>4459</v>
      </c>
      <c r="M2430" s="32" t="s">
        <v>5379</v>
      </c>
      <c r="O2430" s="32">
        <v>9</v>
      </c>
      <c r="P2430" s="32">
        <v>91</v>
      </c>
      <c r="AB2430" s="12" t="s">
        <v>5386</v>
      </c>
      <c r="AD2430" s="12" t="s">
        <v>98</v>
      </c>
      <c r="AE2430" s="12" t="s">
        <v>5317</v>
      </c>
      <c r="AF2430" s="12" t="s">
        <v>2186</v>
      </c>
      <c r="AG2430" s="12" t="s">
        <v>98</v>
      </c>
      <c r="AH2430" s="12" t="s">
        <v>5315</v>
      </c>
      <c r="AN2430" s="46">
        <v>1403</v>
      </c>
      <c r="AU2430" s="12">
        <v>9003</v>
      </c>
    </row>
    <row r="2431" spans="1:47" ht="12" customHeight="1" x14ac:dyDescent="0.2">
      <c r="A2431" s="95" t="s">
        <v>4550</v>
      </c>
      <c r="B2431" s="42">
        <v>914603</v>
      </c>
      <c r="C2431" s="42" t="s">
        <v>4807</v>
      </c>
      <c r="D2431" s="86" t="s">
        <v>5003</v>
      </c>
      <c r="E2431" s="86" t="s">
        <v>2</v>
      </c>
      <c r="F2431" s="32" t="s">
        <v>456</v>
      </c>
      <c r="G2431" s="32" t="s">
        <v>1625</v>
      </c>
      <c r="J2431" s="32" t="s">
        <v>4458</v>
      </c>
      <c r="K2431" s="32" t="s">
        <v>4459</v>
      </c>
      <c r="M2431" s="32" t="s">
        <v>5379</v>
      </c>
      <c r="O2431" s="32">
        <v>9</v>
      </c>
      <c r="P2431" s="32">
        <v>91</v>
      </c>
      <c r="AA2431" s="12" t="s">
        <v>5386</v>
      </c>
      <c r="AD2431" s="12" t="s">
        <v>98</v>
      </c>
      <c r="AE2431" s="12" t="s">
        <v>5317</v>
      </c>
      <c r="AF2431" s="12" t="s">
        <v>2186</v>
      </c>
      <c r="AG2431" s="12" t="s">
        <v>98</v>
      </c>
      <c r="AH2431" s="12" t="s">
        <v>5315</v>
      </c>
      <c r="AN2431" s="46">
        <v>1403</v>
      </c>
      <c r="AU2431" s="12">
        <v>9003</v>
      </c>
    </row>
    <row r="2432" spans="1:47" ht="12" customHeight="1" x14ac:dyDescent="0.2">
      <c r="A2432" s="95" t="s">
        <v>4551</v>
      </c>
      <c r="B2432" s="42">
        <v>914703</v>
      </c>
      <c r="C2432" s="42" t="s">
        <v>4814</v>
      </c>
      <c r="D2432" s="86" t="s">
        <v>5010</v>
      </c>
      <c r="E2432" s="86" t="s">
        <v>1629</v>
      </c>
      <c r="F2432" s="32" t="s">
        <v>456</v>
      </c>
      <c r="G2432" s="32" t="s">
        <v>1630</v>
      </c>
      <c r="J2432" s="32" t="s">
        <v>4458</v>
      </c>
      <c r="K2432" s="32" t="s">
        <v>4459</v>
      </c>
      <c r="M2432" s="32" t="s">
        <v>5379</v>
      </c>
      <c r="O2432" s="32">
        <v>9</v>
      </c>
      <c r="P2432" s="32">
        <v>91</v>
      </c>
      <c r="Y2432" s="12" t="s">
        <v>5384</v>
      </c>
      <c r="AD2432" s="12" t="s">
        <v>98</v>
      </c>
      <c r="AE2432" s="12" t="s">
        <v>5317</v>
      </c>
      <c r="AF2432" s="12" t="s">
        <v>2186</v>
      </c>
      <c r="AG2432" s="12" t="s">
        <v>98</v>
      </c>
      <c r="AH2432" s="12" t="s">
        <v>5316</v>
      </c>
      <c r="AN2432" s="46">
        <v>1403</v>
      </c>
      <c r="AU2432" s="12">
        <v>9003</v>
      </c>
    </row>
    <row r="2433" spans="1:47" ht="12" customHeight="1" x14ac:dyDescent="0.2">
      <c r="A2433" s="95" t="s">
        <v>4552</v>
      </c>
      <c r="B2433" s="42">
        <v>915101</v>
      </c>
      <c r="C2433" s="42" t="s">
        <v>4822</v>
      </c>
      <c r="D2433" s="86" t="s">
        <v>4871</v>
      </c>
      <c r="E2433" s="86" t="s">
        <v>1</v>
      </c>
      <c r="F2433" s="32" t="s">
        <v>927</v>
      </c>
      <c r="G2433" s="32" t="s">
        <v>1472</v>
      </c>
      <c r="J2433" s="32" t="s">
        <v>4458</v>
      </c>
      <c r="K2433" s="32" t="s">
        <v>4459</v>
      </c>
      <c r="M2433" s="32" t="s">
        <v>5378</v>
      </c>
      <c r="O2433" s="32">
        <v>9</v>
      </c>
      <c r="P2433" s="32">
        <v>91</v>
      </c>
      <c r="AA2433" s="12" t="s">
        <v>5386</v>
      </c>
      <c r="AD2433" s="12" t="s">
        <v>98</v>
      </c>
      <c r="AE2433" s="12" t="s">
        <v>5317</v>
      </c>
      <c r="AF2433" s="12" t="s">
        <v>2186</v>
      </c>
      <c r="AG2433" s="12" t="s">
        <v>98</v>
      </c>
      <c r="AH2433" s="12" t="s">
        <v>5313</v>
      </c>
      <c r="AN2433" s="46">
        <v>1501</v>
      </c>
      <c r="AR2433" s="34" t="s">
        <v>94</v>
      </c>
      <c r="AS2433" s="34" t="s">
        <v>94</v>
      </c>
      <c r="AU2433" s="12" t="s">
        <v>4460</v>
      </c>
    </row>
    <row r="2434" spans="1:47" ht="12" customHeight="1" x14ac:dyDescent="0.2">
      <c r="A2434" s="95" t="s">
        <v>4553</v>
      </c>
      <c r="B2434" s="42">
        <v>915201</v>
      </c>
      <c r="C2434" s="42" t="s">
        <v>4829</v>
      </c>
      <c r="D2434" s="86" t="s">
        <v>4878</v>
      </c>
      <c r="E2434" s="86" t="s">
        <v>501</v>
      </c>
      <c r="F2434" s="32" t="s">
        <v>927</v>
      </c>
      <c r="G2434" s="32" t="s">
        <v>1472</v>
      </c>
      <c r="J2434" s="32" t="s">
        <v>4458</v>
      </c>
      <c r="K2434" s="32" t="s">
        <v>4459</v>
      </c>
      <c r="M2434" s="32" t="s">
        <v>5378</v>
      </c>
      <c r="O2434" s="32">
        <v>9</v>
      </c>
      <c r="P2434" s="32">
        <v>91</v>
      </c>
      <c r="AB2434" s="12" t="s">
        <v>5387</v>
      </c>
      <c r="AD2434" s="12" t="s">
        <v>98</v>
      </c>
      <c r="AE2434" s="12" t="s">
        <v>5317</v>
      </c>
      <c r="AF2434" s="12" t="s">
        <v>2186</v>
      </c>
      <c r="AG2434" s="12" t="s">
        <v>98</v>
      </c>
      <c r="AH2434" s="12" t="s">
        <v>5314</v>
      </c>
      <c r="AN2434" s="46">
        <v>1501</v>
      </c>
      <c r="AR2434" s="34" t="s">
        <v>94</v>
      </c>
      <c r="AS2434" s="34" t="s">
        <v>94</v>
      </c>
      <c r="AU2434" s="12" t="s">
        <v>4460</v>
      </c>
    </row>
    <row r="2435" spans="1:47" ht="12" customHeight="1" x14ac:dyDescent="0.2">
      <c r="A2435" s="95" t="s">
        <v>4554</v>
      </c>
      <c r="B2435" s="42">
        <v>915301</v>
      </c>
      <c r="C2435" s="42" t="s">
        <v>4836</v>
      </c>
      <c r="D2435" s="86" t="s">
        <v>4885</v>
      </c>
      <c r="E2435" s="86" t="s">
        <v>2</v>
      </c>
      <c r="F2435" s="32" t="s">
        <v>927</v>
      </c>
      <c r="G2435" s="32" t="s">
        <v>1568</v>
      </c>
      <c r="J2435" s="32" t="s">
        <v>4458</v>
      </c>
      <c r="K2435" s="32" t="s">
        <v>4459</v>
      </c>
      <c r="M2435" s="32" t="s">
        <v>5378</v>
      </c>
      <c r="O2435" s="32">
        <v>9</v>
      </c>
      <c r="P2435" s="32">
        <v>91</v>
      </c>
      <c r="Y2435" s="12" t="s">
        <v>5384</v>
      </c>
      <c r="AD2435" s="12" t="s">
        <v>98</v>
      </c>
      <c r="AE2435" s="12" t="s">
        <v>5317</v>
      </c>
      <c r="AF2435" s="12" t="s">
        <v>2186</v>
      </c>
      <c r="AG2435" s="12" t="s">
        <v>98</v>
      </c>
      <c r="AH2435" s="12" t="s">
        <v>5315</v>
      </c>
      <c r="AN2435" s="46">
        <v>1501</v>
      </c>
      <c r="AU2435" s="12" t="s">
        <v>4460</v>
      </c>
    </row>
    <row r="2436" spans="1:47" ht="12" customHeight="1" x14ac:dyDescent="0.2">
      <c r="A2436" s="95" t="s">
        <v>4555</v>
      </c>
      <c r="B2436" s="42">
        <v>915401</v>
      </c>
      <c r="C2436" s="42" t="s">
        <v>4843</v>
      </c>
      <c r="D2436" s="86" t="s">
        <v>4892</v>
      </c>
      <c r="E2436" s="86" t="s">
        <v>2</v>
      </c>
      <c r="F2436" s="32" t="s">
        <v>927</v>
      </c>
      <c r="G2436" s="32" t="s">
        <v>1587</v>
      </c>
      <c r="J2436" s="32" t="s">
        <v>4458</v>
      </c>
      <c r="K2436" s="32" t="s">
        <v>4459</v>
      </c>
      <c r="M2436" s="32" t="s">
        <v>5378</v>
      </c>
      <c r="O2436" s="32">
        <v>9</v>
      </c>
      <c r="P2436" s="32">
        <v>91</v>
      </c>
      <c r="W2436" s="12" t="s">
        <v>5385</v>
      </c>
      <c r="X2436" s="12" t="s">
        <v>5385</v>
      </c>
      <c r="AD2436" s="12" t="s">
        <v>98</v>
      </c>
      <c r="AE2436" s="12" t="s">
        <v>5317</v>
      </c>
      <c r="AF2436" s="12" t="s">
        <v>2186</v>
      </c>
      <c r="AG2436" s="12" t="s">
        <v>98</v>
      </c>
      <c r="AH2436" s="12" t="s">
        <v>5315</v>
      </c>
      <c r="AN2436" s="46">
        <v>1501</v>
      </c>
      <c r="AU2436" s="12" t="s">
        <v>4460</v>
      </c>
    </row>
    <row r="2437" spans="1:47" ht="12" customHeight="1" x14ac:dyDescent="0.2">
      <c r="A2437" s="95" t="s">
        <v>4556</v>
      </c>
      <c r="B2437" s="42">
        <v>915501</v>
      </c>
      <c r="C2437" s="42" t="s">
        <v>4850</v>
      </c>
      <c r="D2437" s="86" t="s">
        <v>4899</v>
      </c>
      <c r="E2437" s="86" t="s">
        <v>2</v>
      </c>
      <c r="F2437" s="32" t="s">
        <v>927</v>
      </c>
      <c r="G2437" s="32" t="s">
        <v>1606</v>
      </c>
      <c r="J2437" s="32" t="s">
        <v>4458</v>
      </c>
      <c r="K2437" s="32" t="s">
        <v>4459</v>
      </c>
      <c r="M2437" s="32" t="s">
        <v>5378</v>
      </c>
      <c r="O2437" s="32">
        <v>9</v>
      </c>
      <c r="P2437" s="32">
        <v>91</v>
      </c>
      <c r="AB2437" s="12" t="s">
        <v>5386</v>
      </c>
      <c r="AD2437" s="12" t="s">
        <v>98</v>
      </c>
      <c r="AE2437" s="12" t="s">
        <v>5317</v>
      </c>
      <c r="AF2437" s="12" t="s">
        <v>2186</v>
      </c>
      <c r="AG2437" s="12" t="s">
        <v>98</v>
      </c>
      <c r="AH2437" s="12" t="s">
        <v>5315</v>
      </c>
      <c r="AN2437" s="46">
        <v>1501</v>
      </c>
      <c r="AU2437" s="12" t="s">
        <v>4460</v>
      </c>
    </row>
    <row r="2438" spans="1:47" ht="12" customHeight="1" x14ac:dyDescent="0.2">
      <c r="A2438" s="95" t="s">
        <v>4557</v>
      </c>
      <c r="B2438" s="42">
        <v>915601</v>
      </c>
      <c r="C2438" s="42" t="s">
        <v>4857</v>
      </c>
      <c r="D2438" s="86" t="s">
        <v>4906</v>
      </c>
      <c r="E2438" s="86" t="s">
        <v>2</v>
      </c>
      <c r="F2438" s="32" t="s">
        <v>927</v>
      </c>
      <c r="G2438" s="32" t="s">
        <v>1625</v>
      </c>
      <c r="J2438" s="32" t="s">
        <v>4458</v>
      </c>
      <c r="K2438" s="32" t="s">
        <v>4459</v>
      </c>
      <c r="M2438" s="32" t="s">
        <v>5378</v>
      </c>
      <c r="O2438" s="32">
        <v>9</v>
      </c>
      <c r="P2438" s="32">
        <v>91</v>
      </c>
      <c r="AA2438" s="12" t="s">
        <v>5386</v>
      </c>
      <c r="AD2438" s="12" t="s">
        <v>98</v>
      </c>
      <c r="AE2438" s="12" t="s">
        <v>5317</v>
      </c>
      <c r="AF2438" s="12" t="s">
        <v>2186</v>
      </c>
      <c r="AG2438" s="12" t="s">
        <v>98</v>
      </c>
      <c r="AH2438" s="12" t="s">
        <v>5315</v>
      </c>
      <c r="AN2438" s="46">
        <v>1501</v>
      </c>
      <c r="AU2438" s="12" t="s">
        <v>4460</v>
      </c>
    </row>
    <row r="2439" spans="1:47" ht="12" customHeight="1" x14ac:dyDescent="0.2">
      <c r="A2439" s="95" t="s">
        <v>4558</v>
      </c>
      <c r="B2439" s="42">
        <v>915701</v>
      </c>
      <c r="C2439" s="42" t="s">
        <v>4864</v>
      </c>
      <c r="D2439" s="86" t="s">
        <v>4913</v>
      </c>
      <c r="E2439" s="86" t="s">
        <v>1629</v>
      </c>
      <c r="F2439" s="32" t="s">
        <v>927</v>
      </c>
      <c r="G2439" s="32" t="s">
        <v>1630</v>
      </c>
      <c r="J2439" s="32" t="s">
        <v>4458</v>
      </c>
      <c r="K2439" s="32" t="s">
        <v>4459</v>
      </c>
      <c r="M2439" s="32" t="s">
        <v>5378</v>
      </c>
      <c r="O2439" s="32">
        <v>9</v>
      </c>
      <c r="P2439" s="32">
        <v>91</v>
      </c>
      <c r="Y2439" s="12" t="s">
        <v>5384</v>
      </c>
      <c r="AD2439" s="12" t="s">
        <v>98</v>
      </c>
      <c r="AE2439" s="12" t="s">
        <v>5317</v>
      </c>
      <c r="AF2439" s="12" t="s">
        <v>2186</v>
      </c>
      <c r="AG2439" s="12" t="s">
        <v>98</v>
      </c>
      <c r="AH2439" s="12" t="s">
        <v>5316</v>
      </c>
      <c r="AN2439" s="46">
        <v>1501</v>
      </c>
      <c r="AU2439" s="12" t="s">
        <v>4460</v>
      </c>
    </row>
    <row r="2440" spans="1:47" ht="12" customHeight="1" x14ac:dyDescent="0.2">
      <c r="A2440" s="95" t="s">
        <v>4559</v>
      </c>
      <c r="B2440" s="42">
        <v>915102</v>
      </c>
      <c r="C2440" s="42" t="s">
        <v>4724</v>
      </c>
      <c r="D2440" s="86" t="s">
        <v>4920</v>
      </c>
      <c r="E2440" s="86" t="s">
        <v>1</v>
      </c>
      <c r="F2440" s="32" t="s">
        <v>927</v>
      </c>
      <c r="G2440" s="32" t="s">
        <v>1472</v>
      </c>
      <c r="J2440" s="32" t="s">
        <v>4458</v>
      </c>
      <c r="K2440" s="32" t="s">
        <v>4459</v>
      </c>
      <c r="M2440" s="32" t="s">
        <v>5380</v>
      </c>
      <c r="O2440" s="32">
        <v>9</v>
      </c>
      <c r="P2440" s="32">
        <v>91</v>
      </c>
      <c r="AA2440" s="12" t="s">
        <v>5386</v>
      </c>
      <c r="AD2440" s="12" t="s">
        <v>98</v>
      </c>
      <c r="AE2440" s="12" t="s">
        <v>5317</v>
      </c>
      <c r="AF2440" s="12" t="s">
        <v>2186</v>
      </c>
      <c r="AG2440" s="12" t="s">
        <v>98</v>
      </c>
      <c r="AH2440" s="12" t="s">
        <v>5313</v>
      </c>
      <c r="AN2440" s="46">
        <v>1502</v>
      </c>
      <c r="AR2440" s="34" t="s">
        <v>94</v>
      </c>
      <c r="AS2440" s="34" t="s">
        <v>94</v>
      </c>
      <c r="AU2440" s="12">
        <v>9002</v>
      </c>
    </row>
    <row r="2441" spans="1:47" ht="12" customHeight="1" x14ac:dyDescent="0.2">
      <c r="A2441" s="95" t="s">
        <v>4560</v>
      </c>
      <c r="B2441" s="42">
        <v>915202</v>
      </c>
      <c r="C2441" s="42" t="s">
        <v>4731</v>
      </c>
      <c r="D2441" s="86" t="s">
        <v>4927</v>
      </c>
      <c r="E2441" s="86" t="s">
        <v>501</v>
      </c>
      <c r="F2441" s="32" t="s">
        <v>927</v>
      </c>
      <c r="G2441" s="32" t="s">
        <v>1472</v>
      </c>
      <c r="J2441" s="32" t="s">
        <v>4458</v>
      </c>
      <c r="K2441" s="32" t="s">
        <v>4459</v>
      </c>
      <c r="M2441" s="32" t="s">
        <v>5380</v>
      </c>
      <c r="O2441" s="32">
        <v>9</v>
      </c>
      <c r="P2441" s="32">
        <v>91</v>
      </c>
      <c r="AB2441" s="12" t="s">
        <v>5387</v>
      </c>
      <c r="AD2441" s="12" t="s">
        <v>98</v>
      </c>
      <c r="AE2441" s="12" t="s">
        <v>5317</v>
      </c>
      <c r="AF2441" s="12" t="s">
        <v>2186</v>
      </c>
      <c r="AG2441" s="12" t="s">
        <v>98</v>
      </c>
      <c r="AH2441" s="12" t="s">
        <v>5314</v>
      </c>
      <c r="AN2441" s="46">
        <v>1502</v>
      </c>
      <c r="AR2441" s="34" t="s">
        <v>94</v>
      </c>
      <c r="AS2441" s="34" t="s">
        <v>94</v>
      </c>
      <c r="AU2441" s="12">
        <v>9002</v>
      </c>
    </row>
    <row r="2442" spans="1:47" ht="12" customHeight="1" x14ac:dyDescent="0.2">
      <c r="A2442" s="95" t="s">
        <v>4561</v>
      </c>
      <c r="B2442" s="42">
        <v>915302</v>
      </c>
      <c r="C2442" s="42" t="s">
        <v>4738</v>
      </c>
      <c r="D2442" s="86" t="s">
        <v>4934</v>
      </c>
      <c r="E2442" s="86" t="s">
        <v>2</v>
      </c>
      <c r="F2442" s="32" t="s">
        <v>927</v>
      </c>
      <c r="G2442" s="32" t="s">
        <v>1568</v>
      </c>
      <c r="J2442" s="32" t="s">
        <v>4458</v>
      </c>
      <c r="K2442" s="32" t="s">
        <v>4459</v>
      </c>
      <c r="M2442" s="32" t="s">
        <v>5380</v>
      </c>
      <c r="O2442" s="32">
        <v>9</v>
      </c>
      <c r="P2442" s="32">
        <v>91</v>
      </c>
      <c r="Y2442" s="12" t="s">
        <v>5384</v>
      </c>
      <c r="AD2442" s="12" t="s">
        <v>98</v>
      </c>
      <c r="AE2442" s="12" t="s">
        <v>5317</v>
      </c>
      <c r="AF2442" s="12" t="s">
        <v>2186</v>
      </c>
      <c r="AG2442" s="12" t="s">
        <v>98</v>
      </c>
      <c r="AH2442" s="12" t="s">
        <v>5315</v>
      </c>
      <c r="AN2442" s="46">
        <v>1502</v>
      </c>
      <c r="AU2442" s="12">
        <v>9002</v>
      </c>
    </row>
    <row r="2443" spans="1:47" ht="12" customHeight="1" x14ac:dyDescent="0.2">
      <c r="A2443" s="95" t="s">
        <v>4562</v>
      </c>
      <c r="B2443" s="42">
        <v>915402</v>
      </c>
      <c r="C2443" s="42" t="s">
        <v>4745</v>
      </c>
      <c r="D2443" s="86" t="s">
        <v>4941</v>
      </c>
      <c r="E2443" s="86" t="s">
        <v>2</v>
      </c>
      <c r="F2443" s="32" t="s">
        <v>927</v>
      </c>
      <c r="G2443" s="32" t="s">
        <v>1587</v>
      </c>
      <c r="J2443" s="32" t="s">
        <v>4458</v>
      </c>
      <c r="K2443" s="32" t="s">
        <v>4459</v>
      </c>
      <c r="M2443" s="32" t="s">
        <v>5380</v>
      </c>
      <c r="O2443" s="32">
        <v>9</v>
      </c>
      <c r="P2443" s="32">
        <v>91</v>
      </c>
      <c r="W2443" s="12" t="s">
        <v>5385</v>
      </c>
      <c r="X2443" s="12" t="s">
        <v>5385</v>
      </c>
      <c r="AD2443" s="12" t="s">
        <v>98</v>
      </c>
      <c r="AE2443" s="12" t="s">
        <v>5317</v>
      </c>
      <c r="AF2443" s="12" t="s">
        <v>2186</v>
      </c>
      <c r="AG2443" s="12" t="s">
        <v>98</v>
      </c>
      <c r="AH2443" s="12" t="s">
        <v>5315</v>
      </c>
      <c r="AN2443" s="46">
        <v>1502</v>
      </c>
      <c r="AU2443" s="12">
        <v>9002</v>
      </c>
    </row>
    <row r="2444" spans="1:47" ht="12" customHeight="1" x14ac:dyDescent="0.2">
      <c r="A2444" s="95" t="s">
        <v>4563</v>
      </c>
      <c r="B2444" s="42">
        <v>915502</v>
      </c>
      <c r="C2444" s="42" t="s">
        <v>4752</v>
      </c>
      <c r="D2444" s="86" t="s">
        <v>4948</v>
      </c>
      <c r="E2444" s="86" t="s">
        <v>2</v>
      </c>
      <c r="F2444" s="32" t="s">
        <v>927</v>
      </c>
      <c r="G2444" s="32" t="s">
        <v>1606</v>
      </c>
      <c r="J2444" s="32" t="s">
        <v>4458</v>
      </c>
      <c r="K2444" s="32" t="s">
        <v>4459</v>
      </c>
      <c r="M2444" s="32" t="s">
        <v>5380</v>
      </c>
      <c r="O2444" s="32">
        <v>9</v>
      </c>
      <c r="P2444" s="32">
        <v>91</v>
      </c>
      <c r="AB2444" s="12" t="s">
        <v>5386</v>
      </c>
      <c r="AD2444" s="12" t="s">
        <v>98</v>
      </c>
      <c r="AE2444" s="12" t="s">
        <v>5317</v>
      </c>
      <c r="AF2444" s="12" t="s">
        <v>2186</v>
      </c>
      <c r="AG2444" s="12" t="s">
        <v>98</v>
      </c>
      <c r="AH2444" s="12" t="s">
        <v>5315</v>
      </c>
      <c r="AN2444" s="46">
        <v>1502</v>
      </c>
      <c r="AU2444" s="12">
        <v>9002</v>
      </c>
    </row>
    <row r="2445" spans="1:47" ht="12" customHeight="1" x14ac:dyDescent="0.2">
      <c r="A2445" s="95" t="s">
        <v>4564</v>
      </c>
      <c r="B2445" s="42">
        <v>915602</v>
      </c>
      <c r="C2445" s="42" t="s">
        <v>4759</v>
      </c>
      <c r="D2445" s="86" t="s">
        <v>4955</v>
      </c>
      <c r="E2445" s="86" t="s">
        <v>2</v>
      </c>
      <c r="F2445" s="32" t="s">
        <v>927</v>
      </c>
      <c r="G2445" s="32" t="s">
        <v>1625</v>
      </c>
      <c r="J2445" s="32" t="s">
        <v>4458</v>
      </c>
      <c r="K2445" s="32" t="s">
        <v>4459</v>
      </c>
      <c r="M2445" s="32" t="s">
        <v>5380</v>
      </c>
      <c r="O2445" s="32">
        <v>9</v>
      </c>
      <c r="P2445" s="32">
        <v>91</v>
      </c>
      <c r="AA2445" s="12" t="s">
        <v>5386</v>
      </c>
      <c r="AD2445" s="12" t="s">
        <v>98</v>
      </c>
      <c r="AE2445" s="12" t="s">
        <v>5317</v>
      </c>
      <c r="AF2445" s="12" t="s">
        <v>2186</v>
      </c>
      <c r="AG2445" s="12" t="s">
        <v>98</v>
      </c>
      <c r="AH2445" s="12" t="s">
        <v>5315</v>
      </c>
      <c r="AN2445" s="46">
        <v>1502</v>
      </c>
      <c r="AU2445" s="12">
        <v>9002</v>
      </c>
    </row>
    <row r="2446" spans="1:47" ht="12" customHeight="1" x14ac:dyDescent="0.2">
      <c r="A2446" s="95" t="s">
        <v>4565</v>
      </c>
      <c r="B2446" s="42">
        <v>915702</v>
      </c>
      <c r="C2446" s="42" t="s">
        <v>4766</v>
      </c>
      <c r="D2446" s="86" t="s">
        <v>4962</v>
      </c>
      <c r="E2446" s="86" t="s">
        <v>1629</v>
      </c>
      <c r="F2446" s="32" t="s">
        <v>927</v>
      </c>
      <c r="G2446" s="32" t="s">
        <v>1630</v>
      </c>
      <c r="J2446" s="32" t="s">
        <v>4458</v>
      </c>
      <c r="K2446" s="32" t="s">
        <v>4459</v>
      </c>
      <c r="M2446" s="32" t="s">
        <v>5380</v>
      </c>
      <c r="O2446" s="32">
        <v>9</v>
      </c>
      <c r="P2446" s="32">
        <v>91</v>
      </c>
      <c r="Y2446" s="12" t="s">
        <v>5384</v>
      </c>
      <c r="AD2446" s="12" t="s">
        <v>98</v>
      </c>
      <c r="AE2446" s="12" t="s">
        <v>5317</v>
      </c>
      <c r="AF2446" s="12" t="s">
        <v>2186</v>
      </c>
      <c r="AG2446" s="12" t="s">
        <v>98</v>
      </c>
      <c r="AH2446" s="12" t="s">
        <v>5316</v>
      </c>
      <c r="AN2446" s="46">
        <v>1502</v>
      </c>
      <c r="AU2446" s="12">
        <v>9002</v>
      </c>
    </row>
    <row r="2447" spans="1:47" ht="12" customHeight="1" x14ac:dyDescent="0.2">
      <c r="A2447" s="95" t="s">
        <v>4566</v>
      </c>
      <c r="B2447" s="42">
        <v>915103</v>
      </c>
      <c r="C2447" s="42" t="s">
        <v>4773</v>
      </c>
      <c r="D2447" s="86" t="s">
        <v>4969</v>
      </c>
      <c r="E2447" s="86" t="s">
        <v>1</v>
      </c>
      <c r="F2447" s="32" t="s">
        <v>927</v>
      </c>
      <c r="G2447" s="32" t="s">
        <v>1472</v>
      </c>
      <c r="J2447" s="32" t="s">
        <v>4458</v>
      </c>
      <c r="K2447" s="32" t="s">
        <v>4459</v>
      </c>
      <c r="M2447" s="32" t="s">
        <v>5379</v>
      </c>
      <c r="O2447" s="32">
        <v>9</v>
      </c>
      <c r="P2447" s="32">
        <v>91</v>
      </c>
      <c r="AA2447" s="12" t="s">
        <v>5386</v>
      </c>
      <c r="AD2447" s="12" t="s">
        <v>98</v>
      </c>
      <c r="AE2447" s="12" t="s">
        <v>5317</v>
      </c>
      <c r="AF2447" s="12" t="s">
        <v>2186</v>
      </c>
      <c r="AG2447" s="12" t="s">
        <v>98</v>
      </c>
      <c r="AH2447" s="12" t="s">
        <v>5313</v>
      </c>
      <c r="AN2447" s="46">
        <v>1503</v>
      </c>
      <c r="AR2447" s="34" t="s">
        <v>94</v>
      </c>
      <c r="AS2447" s="34" t="s">
        <v>94</v>
      </c>
      <c r="AU2447" s="12">
        <v>9003</v>
      </c>
    </row>
    <row r="2448" spans="1:47" ht="12" customHeight="1" x14ac:dyDescent="0.2">
      <c r="A2448" s="95" t="s">
        <v>4567</v>
      </c>
      <c r="B2448" s="42">
        <v>915203</v>
      </c>
      <c r="C2448" s="42" t="s">
        <v>4780</v>
      </c>
      <c r="D2448" s="86" t="s">
        <v>4976</v>
      </c>
      <c r="E2448" s="86" t="s">
        <v>501</v>
      </c>
      <c r="F2448" s="32" t="s">
        <v>927</v>
      </c>
      <c r="G2448" s="32" t="s">
        <v>1472</v>
      </c>
      <c r="J2448" s="32" t="s">
        <v>4458</v>
      </c>
      <c r="K2448" s="32" t="s">
        <v>4459</v>
      </c>
      <c r="M2448" s="32" t="s">
        <v>5379</v>
      </c>
      <c r="O2448" s="32">
        <v>9</v>
      </c>
      <c r="P2448" s="32">
        <v>91</v>
      </c>
      <c r="AB2448" s="12" t="s">
        <v>5387</v>
      </c>
      <c r="AD2448" s="12" t="s">
        <v>98</v>
      </c>
      <c r="AE2448" s="12" t="s">
        <v>5317</v>
      </c>
      <c r="AF2448" s="12" t="s">
        <v>2186</v>
      </c>
      <c r="AG2448" s="12" t="s">
        <v>98</v>
      </c>
      <c r="AH2448" s="12" t="s">
        <v>5314</v>
      </c>
      <c r="AN2448" s="46">
        <v>1503</v>
      </c>
      <c r="AR2448" s="34" t="s">
        <v>94</v>
      </c>
      <c r="AS2448" s="34" t="s">
        <v>94</v>
      </c>
      <c r="AU2448" s="12">
        <v>9003</v>
      </c>
    </row>
    <row r="2449" spans="1:47" ht="12" customHeight="1" x14ac:dyDescent="0.2">
      <c r="A2449" s="95" t="s">
        <v>4568</v>
      </c>
      <c r="B2449" s="42">
        <v>915303</v>
      </c>
      <c r="C2449" s="42" t="s">
        <v>4787</v>
      </c>
      <c r="D2449" s="86" t="s">
        <v>4983</v>
      </c>
      <c r="E2449" s="86" t="s">
        <v>2</v>
      </c>
      <c r="F2449" s="32" t="s">
        <v>927</v>
      </c>
      <c r="G2449" s="32" t="s">
        <v>1568</v>
      </c>
      <c r="J2449" s="32" t="s">
        <v>4458</v>
      </c>
      <c r="K2449" s="32" t="s">
        <v>4459</v>
      </c>
      <c r="M2449" s="32" t="s">
        <v>5379</v>
      </c>
      <c r="O2449" s="32">
        <v>9</v>
      </c>
      <c r="P2449" s="32">
        <v>91</v>
      </c>
      <c r="Y2449" s="12" t="s">
        <v>5384</v>
      </c>
      <c r="AD2449" s="12" t="s">
        <v>98</v>
      </c>
      <c r="AE2449" s="12" t="s">
        <v>5317</v>
      </c>
      <c r="AF2449" s="12" t="s">
        <v>2186</v>
      </c>
      <c r="AG2449" s="12" t="s">
        <v>98</v>
      </c>
      <c r="AH2449" s="12" t="s">
        <v>5315</v>
      </c>
      <c r="AN2449" s="46">
        <v>1503</v>
      </c>
      <c r="AU2449" s="12">
        <v>9003</v>
      </c>
    </row>
    <row r="2450" spans="1:47" ht="12" customHeight="1" x14ac:dyDescent="0.2">
      <c r="A2450" s="95" t="s">
        <v>4569</v>
      </c>
      <c r="B2450" s="42">
        <v>915403</v>
      </c>
      <c r="C2450" s="42" t="s">
        <v>4794</v>
      </c>
      <c r="D2450" s="86" t="s">
        <v>4990</v>
      </c>
      <c r="E2450" s="86" t="s">
        <v>2</v>
      </c>
      <c r="F2450" s="32" t="s">
        <v>927</v>
      </c>
      <c r="G2450" s="32" t="s">
        <v>1587</v>
      </c>
      <c r="J2450" s="32" t="s">
        <v>4458</v>
      </c>
      <c r="K2450" s="32" t="s">
        <v>4459</v>
      </c>
      <c r="M2450" s="32" t="s">
        <v>5379</v>
      </c>
      <c r="O2450" s="32">
        <v>9</v>
      </c>
      <c r="P2450" s="32">
        <v>91</v>
      </c>
      <c r="W2450" s="12" t="s">
        <v>5385</v>
      </c>
      <c r="X2450" s="12" t="s">
        <v>5385</v>
      </c>
      <c r="AD2450" s="12" t="s">
        <v>98</v>
      </c>
      <c r="AE2450" s="12" t="s">
        <v>5317</v>
      </c>
      <c r="AF2450" s="12" t="s">
        <v>2186</v>
      </c>
      <c r="AG2450" s="12" t="s">
        <v>98</v>
      </c>
      <c r="AH2450" s="12" t="s">
        <v>5315</v>
      </c>
      <c r="AN2450" s="46">
        <v>1503</v>
      </c>
      <c r="AU2450" s="12">
        <v>9003</v>
      </c>
    </row>
    <row r="2451" spans="1:47" ht="12" customHeight="1" x14ac:dyDescent="0.2">
      <c r="A2451" s="95" t="s">
        <v>4570</v>
      </c>
      <c r="B2451" s="42">
        <v>915503</v>
      </c>
      <c r="C2451" s="42" t="s">
        <v>4801</v>
      </c>
      <c r="D2451" s="86" t="s">
        <v>4997</v>
      </c>
      <c r="E2451" s="86" t="s">
        <v>2</v>
      </c>
      <c r="F2451" s="32" t="s">
        <v>927</v>
      </c>
      <c r="G2451" s="32" t="s">
        <v>1606</v>
      </c>
      <c r="J2451" s="32" t="s">
        <v>4458</v>
      </c>
      <c r="K2451" s="32" t="s">
        <v>4459</v>
      </c>
      <c r="M2451" s="32" t="s">
        <v>5379</v>
      </c>
      <c r="O2451" s="32">
        <v>9</v>
      </c>
      <c r="P2451" s="32">
        <v>91</v>
      </c>
      <c r="AB2451" s="12" t="s">
        <v>5386</v>
      </c>
      <c r="AD2451" s="12" t="s">
        <v>98</v>
      </c>
      <c r="AE2451" s="12" t="s">
        <v>5317</v>
      </c>
      <c r="AF2451" s="12" t="s">
        <v>2186</v>
      </c>
      <c r="AG2451" s="12" t="s">
        <v>98</v>
      </c>
      <c r="AH2451" s="12" t="s">
        <v>5315</v>
      </c>
      <c r="AN2451" s="46">
        <v>1503</v>
      </c>
      <c r="AU2451" s="12">
        <v>9003</v>
      </c>
    </row>
    <row r="2452" spans="1:47" ht="12" customHeight="1" x14ac:dyDescent="0.2">
      <c r="A2452" s="95" t="s">
        <v>4571</v>
      </c>
      <c r="B2452" s="42">
        <v>915603</v>
      </c>
      <c r="C2452" s="42" t="s">
        <v>4808</v>
      </c>
      <c r="D2452" s="86" t="s">
        <v>5004</v>
      </c>
      <c r="E2452" s="86" t="s">
        <v>2</v>
      </c>
      <c r="F2452" s="32" t="s">
        <v>927</v>
      </c>
      <c r="G2452" s="32" t="s">
        <v>1625</v>
      </c>
      <c r="J2452" s="32" t="s">
        <v>4458</v>
      </c>
      <c r="K2452" s="32" t="s">
        <v>4459</v>
      </c>
      <c r="M2452" s="32" t="s">
        <v>5379</v>
      </c>
      <c r="O2452" s="32">
        <v>9</v>
      </c>
      <c r="P2452" s="32">
        <v>91</v>
      </c>
      <c r="AA2452" s="12" t="s">
        <v>5386</v>
      </c>
      <c r="AD2452" s="12" t="s">
        <v>98</v>
      </c>
      <c r="AE2452" s="12" t="s">
        <v>5317</v>
      </c>
      <c r="AF2452" s="12" t="s">
        <v>2186</v>
      </c>
      <c r="AG2452" s="12" t="s">
        <v>98</v>
      </c>
      <c r="AH2452" s="12" t="s">
        <v>5315</v>
      </c>
      <c r="AN2452" s="46">
        <v>1503</v>
      </c>
      <c r="AU2452" s="12">
        <v>9003</v>
      </c>
    </row>
    <row r="2453" spans="1:47" ht="12" customHeight="1" x14ac:dyDescent="0.2">
      <c r="A2453" s="95" t="s">
        <v>4572</v>
      </c>
      <c r="B2453" s="42">
        <v>915703</v>
      </c>
      <c r="C2453" s="42" t="s">
        <v>4815</v>
      </c>
      <c r="D2453" s="86" t="s">
        <v>5011</v>
      </c>
      <c r="E2453" s="86" t="s">
        <v>1629</v>
      </c>
      <c r="F2453" s="32" t="s">
        <v>927</v>
      </c>
      <c r="G2453" s="32" t="s">
        <v>1630</v>
      </c>
      <c r="J2453" s="32" t="s">
        <v>4458</v>
      </c>
      <c r="K2453" s="32" t="s">
        <v>4459</v>
      </c>
      <c r="M2453" s="32" t="s">
        <v>5379</v>
      </c>
      <c r="O2453" s="32">
        <v>9</v>
      </c>
      <c r="P2453" s="32">
        <v>91</v>
      </c>
      <c r="Y2453" s="12" t="s">
        <v>5384</v>
      </c>
      <c r="AD2453" s="12" t="s">
        <v>98</v>
      </c>
      <c r="AE2453" s="12" t="s">
        <v>5317</v>
      </c>
      <c r="AF2453" s="12" t="s">
        <v>2186</v>
      </c>
      <c r="AG2453" s="12" t="s">
        <v>98</v>
      </c>
      <c r="AH2453" s="12" t="s">
        <v>5316</v>
      </c>
      <c r="AN2453" s="46">
        <v>1503</v>
      </c>
      <c r="AU2453" s="12">
        <v>9003</v>
      </c>
    </row>
    <row r="2454" spans="1:47" ht="12" customHeight="1" x14ac:dyDescent="0.2">
      <c r="A2454" s="95" t="s">
        <v>5335</v>
      </c>
      <c r="B2454" s="42">
        <v>916101</v>
      </c>
      <c r="C2454" s="42" t="s">
        <v>4823</v>
      </c>
      <c r="D2454" s="86" t="s">
        <v>4872</v>
      </c>
      <c r="E2454" s="86" t="s">
        <v>1</v>
      </c>
      <c r="F2454" s="32" t="s">
        <v>395</v>
      </c>
      <c r="G2454" s="32" t="s">
        <v>1491</v>
      </c>
      <c r="J2454" s="32" t="s">
        <v>4458</v>
      </c>
      <c r="K2454" s="32" t="s">
        <v>4459</v>
      </c>
      <c r="M2454" s="32" t="s">
        <v>5378</v>
      </c>
      <c r="O2454" s="32">
        <v>9</v>
      </c>
      <c r="P2454" s="32">
        <v>91</v>
      </c>
      <c r="AA2454" s="12" t="s">
        <v>5387</v>
      </c>
      <c r="AD2454" s="12" t="s">
        <v>98</v>
      </c>
      <c r="AE2454" s="12" t="s">
        <v>5317</v>
      </c>
      <c r="AF2454" s="12" t="s">
        <v>2186</v>
      </c>
      <c r="AG2454" s="12" t="s">
        <v>98</v>
      </c>
      <c r="AH2454" s="12" t="s">
        <v>5313</v>
      </c>
      <c r="AN2454" s="46">
        <v>1601</v>
      </c>
      <c r="AR2454" s="34" t="s">
        <v>94</v>
      </c>
      <c r="AS2454" s="34" t="s">
        <v>94</v>
      </c>
      <c r="AU2454" s="12" t="s">
        <v>4460</v>
      </c>
    </row>
    <row r="2455" spans="1:47" ht="12" customHeight="1" x14ac:dyDescent="0.2">
      <c r="A2455" s="95" t="s">
        <v>5336</v>
      </c>
      <c r="B2455" s="42">
        <v>916201</v>
      </c>
      <c r="C2455" s="42" t="s">
        <v>4830</v>
      </c>
      <c r="D2455" s="86" t="s">
        <v>4879</v>
      </c>
      <c r="E2455" s="86" t="s">
        <v>501</v>
      </c>
      <c r="F2455" s="32" t="s">
        <v>395</v>
      </c>
      <c r="G2455" s="32" t="s">
        <v>1491</v>
      </c>
      <c r="J2455" s="32" t="s">
        <v>4458</v>
      </c>
      <c r="K2455" s="32" t="s">
        <v>4459</v>
      </c>
      <c r="M2455" s="32" t="s">
        <v>5378</v>
      </c>
      <c r="O2455" s="32">
        <v>9</v>
      </c>
      <c r="P2455" s="32">
        <v>91</v>
      </c>
      <c r="AB2455" s="12" t="s">
        <v>5386</v>
      </c>
      <c r="AD2455" s="12" t="s">
        <v>98</v>
      </c>
      <c r="AE2455" s="12" t="s">
        <v>5317</v>
      </c>
      <c r="AF2455" s="12" t="s">
        <v>2186</v>
      </c>
      <c r="AG2455" s="12" t="s">
        <v>98</v>
      </c>
      <c r="AH2455" s="12" t="s">
        <v>5314</v>
      </c>
      <c r="AN2455" s="46">
        <v>1601</v>
      </c>
      <c r="AR2455" s="34" t="s">
        <v>94</v>
      </c>
      <c r="AS2455" s="34" t="s">
        <v>94</v>
      </c>
      <c r="AU2455" s="12" t="s">
        <v>4460</v>
      </c>
    </row>
    <row r="2456" spans="1:47" ht="12" customHeight="1" x14ac:dyDescent="0.2">
      <c r="A2456" s="95" t="s">
        <v>5337</v>
      </c>
      <c r="B2456" s="42">
        <v>916301</v>
      </c>
      <c r="C2456" s="42" t="s">
        <v>4837</v>
      </c>
      <c r="D2456" s="86" t="s">
        <v>4886</v>
      </c>
      <c r="E2456" s="86" t="s">
        <v>2</v>
      </c>
      <c r="F2456" s="32" t="s">
        <v>395</v>
      </c>
      <c r="G2456" s="32" t="s">
        <v>1568</v>
      </c>
      <c r="J2456" s="32" t="s">
        <v>4458</v>
      </c>
      <c r="K2456" s="32" t="s">
        <v>4459</v>
      </c>
      <c r="M2456" s="32" t="s">
        <v>5378</v>
      </c>
      <c r="O2456" s="32">
        <v>9</v>
      </c>
      <c r="P2456" s="32">
        <v>91</v>
      </c>
      <c r="Y2456" s="12" t="s">
        <v>5384</v>
      </c>
      <c r="AD2456" s="12" t="s">
        <v>98</v>
      </c>
      <c r="AE2456" s="12" t="s">
        <v>5317</v>
      </c>
      <c r="AF2456" s="12" t="s">
        <v>2186</v>
      </c>
      <c r="AG2456" s="12" t="s">
        <v>98</v>
      </c>
      <c r="AH2456" s="12" t="s">
        <v>5315</v>
      </c>
      <c r="AN2456" s="46">
        <v>1601</v>
      </c>
      <c r="AU2456" s="12" t="s">
        <v>4460</v>
      </c>
    </row>
    <row r="2457" spans="1:47" ht="12" customHeight="1" x14ac:dyDescent="0.2">
      <c r="A2457" s="95" t="s">
        <v>5338</v>
      </c>
      <c r="B2457" s="42">
        <v>916401</v>
      </c>
      <c r="C2457" s="42" t="s">
        <v>4844</v>
      </c>
      <c r="D2457" s="86" t="s">
        <v>4893</v>
      </c>
      <c r="E2457" s="86" t="s">
        <v>2</v>
      </c>
      <c r="F2457" s="32" t="s">
        <v>395</v>
      </c>
      <c r="G2457" s="32" t="s">
        <v>1587</v>
      </c>
      <c r="J2457" s="32" t="s">
        <v>4458</v>
      </c>
      <c r="K2457" s="32" t="s">
        <v>4459</v>
      </c>
      <c r="M2457" s="32" t="s">
        <v>5378</v>
      </c>
      <c r="O2457" s="32">
        <v>9</v>
      </c>
      <c r="P2457" s="32">
        <v>91</v>
      </c>
      <c r="W2457" s="12" t="s">
        <v>5385</v>
      </c>
      <c r="X2457" s="12" t="s">
        <v>5385</v>
      </c>
      <c r="AD2457" s="12" t="s">
        <v>98</v>
      </c>
      <c r="AE2457" s="12" t="s">
        <v>5317</v>
      </c>
      <c r="AF2457" s="12" t="s">
        <v>2186</v>
      </c>
      <c r="AG2457" s="12" t="s">
        <v>98</v>
      </c>
      <c r="AH2457" s="12" t="s">
        <v>5315</v>
      </c>
      <c r="AN2457" s="46">
        <v>1601</v>
      </c>
      <c r="AU2457" s="12" t="s">
        <v>4460</v>
      </c>
    </row>
    <row r="2458" spans="1:47" ht="12" customHeight="1" x14ac:dyDescent="0.2">
      <c r="A2458" s="95" t="s">
        <v>5339</v>
      </c>
      <c r="B2458" s="42">
        <v>916501</v>
      </c>
      <c r="C2458" s="42" t="s">
        <v>4851</v>
      </c>
      <c r="D2458" s="86" t="s">
        <v>4900</v>
      </c>
      <c r="E2458" s="86" t="s">
        <v>2</v>
      </c>
      <c r="F2458" s="32" t="s">
        <v>395</v>
      </c>
      <c r="G2458" s="32" t="s">
        <v>1606</v>
      </c>
      <c r="J2458" s="32" t="s">
        <v>4458</v>
      </c>
      <c r="K2458" s="32" t="s">
        <v>4459</v>
      </c>
      <c r="M2458" s="32" t="s">
        <v>5378</v>
      </c>
      <c r="O2458" s="32">
        <v>9</v>
      </c>
      <c r="P2458" s="32">
        <v>91</v>
      </c>
      <c r="AB2458" s="12" t="s">
        <v>5386</v>
      </c>
      <c r="AD2458" s="12" t="s">
        <v>98</v>
      </c>
      <c r="AE2458" s="12" t="s">
        <v>5317</v>
      </c>
      <c r="AF2458" s="12" t="s">
        <v>2186</v>
      </c>
      <c r="AG2458" s="12" t="s">
        <v>98</v>
      </c>
      <c r="AH2458" s="12" t="s">
        <v>5315</v>
      </c>
      <c r="AN2458" s="46">
        <v>1601</v>
      </c>
      <c r="AU2458" s="12" t="s">
        <v>4460</v>
      </c>
    </row>
    <row r="2459" spans="1:47" ht="12" customHeight="1" x14ac:dyDescent="0.2">
      <c r="A2459" s="95" t="s">
        <v>5340</v>
      </c>
      <c r="B2459" s="42">
        <v>916601</v>
      </c>
      <c r="C2459" s="42" t="s">
        <v>4858</v>
      </c>
      <c r="D2459" s="86" t="s">
        <v>4907</v>
      </c>
      <c r="E2459" s="86" t="s">
        <v>2</v>
      </c>
      <c r="F2459" s="32" t="s">
        <v>395</v>
      </c>
      <c r="G2459" s="32" t="s">
        <v>1625</v>
      </c>
      <c r="J2459" s="32" t="s">
        <v>4458</v>
      </c>
      <c r="K2459" s="32" t="s">
        <v>4459</v>
      </c>
      <c r="M2459" s="32" t="s">
        <v>5378</v>
      </c>
      <c r="O2459" s="32">
        <v>9</v>
      </c>
      <c r="P2459" s="32">
        <v>91</v>
      </c>
      <c r="AA2459" s="12" t="s">
        <v>5386</v>
      </c>
      <c r="AD2459" s="12" t="s">
        <v>98</v>
      </c>
      <c r="AE2459" s="12" t="s">
        <v>5317</v>
      </c>
      <c r="AF2459" s="12" t="s">
        <v>2186</v>
      </c>
      <c r="AG2459" s="12" t="s">
        <v>98</v>
      </c>
      <c r="AH2459" s="12" t="s">
        <v>5315</v>
      </c>
      <c r="AN2459" s="46">
        <v>1601</v>
      </c>
      <c r="AU2459" s="12" t="s">
        <v>4460</v>
      </c>
    </row>
    <row r="2460" spans="1:47" ht="12" customHeight="1" x14ac:dyDescent="0.2">
      <c r="A2460" s="95" t="s">
        <v>5341</v>
      </c>
      <c r="B2460" s="42">
        <v>916701</v>
      </c>
      <c r="C2460" s="42" t="s">
        <v>4865</v>
      </c>
      <c r="D2460" s="86" t="s">
        <v>4914</v>
      </c>
      <c r="E2460" s="86" t="s">
        <v>1629</v>
      </c>
      <c r="F2460" s="32" t="s">
        <v>395</v>
      </c>
      <c r="G2460" s="32" t="s">
        <v>1630</v>
      </c>
      <c r="J2460" s="32" t="s">
        <v>4458</v>
      </c>
      <c r="K2460" s="32" t="s">
        <v>4459</v>
      </c>
      <c r="M2460" s="32" t="s">
        <v>5378</v>
      </c>
      <c r="O2460" s="32">
        <v>9</v>
      </c>
      <c r="P2460" s="32">
        <v>91</v>
      </c>
      <c r="Y2460" s="12" t="s">
        <v>5384</v>
      </c>
      <c r="AD2460" s="12" t="s">
        <v>98</v>
      </c>
      <c r="AE2460" s="12" t="s">
        <v>5317</v>
      </c>
      <c r="AF2460" s="12" t="s">
        <v>2186</v>
      </c>
      <c r="AG2460" s="12" t="s">
        <v>98</v>
      </c>
      <c r="AH2460" s="12" t="s">
        <v>5316</v>
      </c>
      <c r="AN2460" s="46">
        <v>1601</v>
      </c>
      <c r="AU2460" s="12" t="s">
        <v>4460</v>
      </c>
    </row>
    <row r="2461" spans="1:47" ht="12" customHeight="1" x14ac:dyDescent="0.2">
      <c r="A2461" s="95" t="s">
        <v>5342</v>
      </c>
      <c r="B2461" s="42">
        <v>916102</v>
      </c>
      <c r="C2461" s="42" t="s">
        <v>4725</v>
      </c>
      <c r="D2461" s="86" t="s">
        <v>4921</v>
      </c>
      <c r="E2461" s="86" t="s">
        <v>1</v>
      </c>
      <c r="F2461" s="32" t="s">
        <v>395</v>
      </c>
      <c r="G2461" s="32" t="s">
        <v>1491</v>
      </c>
      <c r="J2461" s="32" t="s">
        <v>4458</v>
      </c>
      <c r="K2461" s="32" t="s">
        <v>4459</v>
      </c>
      <c r="M2461" s="32" t="s">
        <v>5380</v>
      </c>
      <c r="O2461" s="32">
        <v>9</v>
      </c>
      <c r="P2461" s="32">
        <v>91</v>
      </c>
      <c r="AA2461" s="12" t="s">
        <v>5387</v>
      </c>
      <c r="AD2461" s="12" t="s">
        <v>98</v>
      </c>
      <c r="AE2461" s="12" t="s">
        <v>5317</v>
      </c>
      <c r="AF2461" s="12" t="s">
        <v>2186</v>
      </c>
      <c r="AG2461" s="12" t="s">
        <v>98</v>
      </c>
      <c r="AH2461" s="12" t="s">
        <v>5313</v>
      </c>
      <c r="AN2461" s="46">
        <v>1602</v>
      </c>
      <c r="AR2461" s="34" t="s">
        <v>94</v>
      </c>
      <c r="AS2461" s="34" t="s">
        <v>94</v>
      </c>
      <c r="AU2461" s="12">
        <v>9002</v>
      </c>
    </row>
    <row r="2462" spans="1:47" ht="12" customHeight="1" x14ac:dyDescent="0.2">
      <c r="A2462" s="95" t="s">
        <v>5343</v>
      </c>
      <c r="B2462" s="42">
        <v>916202</v>
      </c>
      <c r="C2462" s="42" t="s">
        <v>4732</v>
      </c>
      <c r="D2462" s="86" t="s">
        <v>4928</v>
      </c>
      <c r="E2462" s="86" t="s">
        <v>501</v>
      </c>
      <c r="F2462" s="32" t="s">
        <v>395</v>
      </c>
      <c r="G2462" s="32" t="s">
        <v>1491</v>
      </c>
      <c r="J2462" s="32" t="s">
        <v>4458</v>
      </c>
      <c r="K2462" s="32" t="s">
        <v>4459</v>
      </c>
      <c r="M2462" s="32" t="s">
        <v>5380</v>
      </c>
      <c r="O2462" s="32">
        <v>9</v>
      </c>
      <c r="P2462" s="32">
        <v>91</v>
      </c>
      <c r="AB2462" s="12" t="s">
        <v>5386</v>
      </c>
      <c r="AD2462" s="12" t="s">
        <v>98</v>
      </c>
      <c r="AE2462" s="12" t="s">
        <v>5317</v>
      </c>
      <c r="AF2462" s="12" t="s">
        <v>2186</v>
      </c>
      <c r="AG2462" s="12" t="s">
        <v>98</v>
      </c>
      <c r="AH2462" s="12" t="s">
        <v>5314</v>
      </c>
      <c r="AN2462" s="46">
        <v>1602</v>
      </c>
      <c r="AR2462" s="34" t="s">
        <v>94</v>
      </c>
      <c r="AS2462" s="34" t="s">
        <v>94</v>
      </c>
      <c r="AU2462" s="12">
        <v>9002</v>
      </c>
    </row>
    <row r="2463" spans="1:47" ht="12" customHeight="1" x14ac:dyDescent="0.2">
      <c r="A2463" s="95" t="s">
        <v>5344</v>
      </c>
      <c r="B2463" s="42">
        <v>916302</v>
      </c>
      <c r="C2463" s="42" t="s">
        <v>4739</v>
      </c>
      <c r="D2463" s="86" t="s">
        <v>4935</v>
      </c>
      <c r="E2463" s="86" t="s">
        <v>2</v>
      </c>
      <c r="F2463" s="32" t="s">
        <v>395</v>
      </c>
      <c r="G2463" s="32" t="s">
        <v>1568</v>
      </c>
      <c r="J2463" s="32" t="s">
        <v>4458</v>
      </c>
      <c r="K2463" s="32" t="s">
        <v>4459</v>
      </c>
      <c r="M2463" s="32" t="s">
        <v>5380</v>
      </c>
      <c r="O2463" s="32">
        <v>9</v>
      </c>
      <c r="P2463" s="32">
        <v>91</v>
      </c>
      <c r="Y2463" s="12" t="s">
        <v>5384</v>
      </c>
      <c r="AD2463" s="12" t="s">
        <v>98</v>
      </c>
      <c r="AE2463" s="12" t="s">
        <v>5317</v>
      </c>
      <c r="AF2463" s="12" t="s">
        <v>2186</v>
      </c>
      <c r="AG2463" s="12" t="s">
        <v>98</v>
      </c>
      <c r="AH2463" s="12" t="s">
        <v>5315</v>
      </c>
      <c r="AN2463" s="46">
        <v>1602</v>
      </c>
      <c r="AU2463" s="12">
        <v>9002</v>
      </c>
    </row>
    <row r="2464" spans="1:47" ht="12" customHeight="1" x14ac:dyDescent="0.2">
      <c r="A2464" s="95" t="s">
        <v>5345</v>
      </c>
      <c r="B2464" s="42">
        <v>916402</v>
      </c>
      <c r="C2464" s="42" t="s">
        <v>4746</v>
      </c>
      <c r="D2464" s="86" t="s">
        <v>4942</v>
      </c>
      <c r="E2464" s="86" t="s">
        <v>2</v>
      </c>
      <c r="F2464" s="32" t="s">
        <v>395</v>
      </c>
      <c r="G2464" s="32" t="s">
        <v>1587</v>
      </c>
      <c r="J2464" s="32" t="s">
        <v>4458</v>
      </c>
      <c r="K2464" s="32" t="s">
        <v>4459</v>
      </c>
      <c r="M2464" s="32" t="s">
        <v>5380</v>
      </c>
      <c r="O2464" s="32">
        <v>9</v>
      </c>
      <c r="P2464" s="32">
        <v>91</v>
      </c>
      <c r="W2464" s="12" t="s">
        <v>5385</v>
      </c>
      <c r="X2464" s="12" t="s">
        <v>5385</v>
      </c>
      <c r="AD2464" s="12" t="s">
        <v>98</v>
      </c>
      <c r="AE2464" s="12" t="s">
        <v>5317</v>
      </c>
      <c r="AF2464" s="12" t="s">
        <v>2186</v>
      </c>
      <c r="AG2464" s="12" t="s">
        <v>98</v>
      </c>
      <c r="AH2464" s="12" t="s">
        <v>5315</v>
      </c>
      <c r="AN2464" s="46">
        <v>1602</v>
      </c>
      <c r="AU2464" s="12">
        <v>9002</v>
      </c>
    </row>
    <row r="2465" spans="1:47" ht="12" customHeight="1" x14ac:dyDescent="0.2">
      <c r="A2465" s="95" t="s">
        <v>5346</v>
      </c>
      <c r="B2465" s="42">
        <v>916502</v>
      </c>
      <c r="C2465" s="42" t="s">
        <v>4753</v>
      </c>
      <c r="D2465" s="86" t="s">
        <v>4949</v>
      </c>
      <c r="E2465" s="86" t="s">
        <v>2</v>
      </c>
      <c r="F2465" s="32" t="s">
        <v>395</v>
      </c>
      <c r="G2465" s="32" t="s">
        <v>1606</v>
      </c>
      <c r="J2465" s="32" t="s">
        <v>4458</v>
      </c>
      <c r="K2465" s="32" t="s">
        <v>4459</v>
      </c>
      <c r="M2465" s="32" t="s">
        <v>5380</v>
      </c>
      <c r="O2465" s="32">
        <v>9</v>
      </c>
      <c r="P2465" s="32">
        <v>91</v>
      </c>
      <c r="AB2465" s="12" t="s">
        <v>5386</v>
      </c>
      <c r="AD2465" s="12" t="s">
        <v>98</v>
      </c>
      <c r="AE2465" s="12" t="s">
        <v>5317</v>
      </c>
      <c r="AF2465" s="12" t="s">
        <v>2186</v>
      </c>
      <c r="AG2465" s="12" t="s">
        <v>98</v>
      </c>
      <c r="AH2465" s="12" t="s">
        <v>5315</v>
      </c>
      <c r="AN2465" s="46">
        <v>1602</v>
      </c>
      <c r="AU2465" s="12">
        <v>9002</v>
      </c>
    </row>
    <row r="2466" spans="1:47" ht="12" customHeight="1" x14ac:dyDescent="0.2">
      <c r="A2466" s="95" t="s">
        <v>5347</v>
      </c>
      <c r="B2466" s="42">
        <v>916602</v>
      </c>
      <c r="C2466" s="42" t="s">
        <v>4760</v>
      </c>
      <c r="D2466" s="86" t="s">
        <v>4956</v>
      </c>
      <c r="E2466" s="86" t="s">
        <v>2</v>
      </c>
      <c r="F2466" s="32" t="s">
        <v>395</v>
      </c>
      <c r="G2466" s="32" t="s">
        <v>1625</v>
      </c>
      <c r="J2466" s="32" t="s">
        <v>4458</v>
      </c>
      <c r="K2466" s="32" t="s">
        <v>4459</v>
      </c>
      <c r="M2466" s="32" t="s">
        <v>5380</v>
      </c>
      <c r="O2466" s="32">
        <v>9</v>
      </c>
      <c r="P2466" s="32">
        <v>91</v>
      </c>
      <c r="AA2466" s="12" t="s">
        <v>5386</v>
      </c>
      <c r="AD2466" s="12" t="s">
        <v>98</v>
      </c>
      <c r="AE2466" s="12" t="s">
        <v>5317</v>
      </c>
      <c r="AF2466" s="12" t="s">
        <v>2186</v>
      </c>
      <c r="AG2466" s="12" t="s">
        <v>98</v>
      </c>
      <c r="AH2466" s="12" t="s">
        <v>5315</v>
      </c>
      <c r="AN2466" s="46">
        <v>1602</v>
      </c>
      <c r="AU2466" s="12">
        <v>9002</v>
      </c>
    </row>
    <row r="2467" spans="1:47" ht="12" customHeight="1" x14ac:dyDescent="0.2">
      <c r="A2467" s="95" t="s">
        <v>5348</v>
      </c>
      <c r="B2467" s="42">
        <v>916702</v>
      </c>
      <c r="C2467" s="42" t="s">
        <v>4767</v>
      </c>
      <c r="D2467" s="86" t="s">
        <v>4963</v>
      </c>
      <c r="E2467" s="86" t="s">
        <v>1629</v>
      </c>
      <c r="F2467" s="32" t="s">
        <v>395</v>
      </c>
      <c r="G2467" s="32" t="s">
        <v>1630</v>
      </c>
      <c r="J2467" s="32" t="s">
        <v>4458</v>
      </c>
      <c r="K2467" s="32" t="s">
        <v>4459</v>
      </c>
      <c r="M2467" s="32" t="s">
        <v>5380</v>
      </c>
      <c r="O2467" s="32">
        <v>9</v>
      </c>
      <c r="P2467" s="32">
        <v>91</v>
      </c>
      <c r="Y2467" s="12" t="s">
        <v>5384</v>
      </c>
      <c r="AD2467" s="12" t="s">
        <v>98</v>
      </c>
      <c r="AE2467" s="12" t="s">
        <v>5317</v>
      </c>
      <c r="AF2467" s="12" t="s">
        <v>2186</v>
      </c>
      <c r="AG2467" s="12" t="s">
        <v>98</v>
      </c>
      <c r="AH2467" s="12" t="s">
        <v>5316</v>
      </c>
      <c r="AN2467" s="46">
        <v>1602</v>
      </c>
      <c r="AU2467" s="12">
        <v>9002</v>
      </c>
    </row>
    <row r="2468" spans="1:47" ht="12" customHeight="1" x14ac:dyDescent="0.2">
      <c r="A2468" s="95" t="s">
        <v>5349</v>
      </c>
      <c r="B2468" s="42">
        <v>916103</v>
      </c>
      <c r="C2468" s="42" t="s">
        <v>4774</v>
      </c>
      <c r="D2468" s="86" t="s">
        <v>4970</v>
      </c>
      <c r="E2468" s="86" t="s">
        <v>1</v>
      </c>
      <c r="F2468" s="32" t="s">
        <v>395</v>
      </c>
      <c r="G2468" s="32" t="s">
        <v>1491</v>
      </c>
      <c r="J2468" s="32" t="s">
        <v>4458</v>
      </c>
      <c r="K2468" s="32" t="s">
        <v>4459</v>
      </c>
      <c r="M2468" s="32" t="s">
        <v>5379</v>
      </c>
      <c r="O2468" s="32">
        <v>9</v>
      </c>
      <c r="P2468" s="32">
        <v>91</v>
      </c>
      <c r="AA2468" s="12" t="s">
        <v>5387</v>
      </c>
      <c r="AD2468" s="12" t="s">
        <v>98</v>
      </c>
      <c r="AE2468" s="12" t="s">
        <v>5317</v>
      </c>
      <c r="AF2468" s="12" t="s">
        <v>2186</v>
      </c>
      <c r="AG2468" s="12" t="s">
        <v>98</v>
      </c>
      <c r="AH2468" s="12" t="s">
        <v>5313</v>
      </c>
      <c r="AN2468" s="46">
        <v>1603</v>
      </c>
      <c r="AR2468" s="34" t="s">
        <v>94</v>
      </c>
      <c r="AS2468" s="34" t="s">
        <v>94</v>
      </c>
      <c r="AU2468" s="12">
        <v>9003</v>
      </c>
    </row>
    <row r="2469" spans="1:47" ht="12" customHeight="1" x14ac:dyDescent="0.2">
      <c r="A2469" s="95" t="s">
        <v>5350</v>
      </c>
      <c r="B2469" s="42">
        <v>916203</v>
      </c>
      <c r="C2469" s="42" t="s">
        <v>4781</v>
      </c>
      <c r="D2469" s="86" t="s">
        <v>4977</v>
      </c>
      <c r="E2469" s="86" t="s">
        <v>501</v>
      </c>
      <c r="F2469" s="32" t="s">
        <v>395</v>
      </c>
      <c r="G2469" s="32" t="s">
        <v>1491</v>
      </c>
      <c r="J2469" s="32" t="s">
        <v>4458</v>
      </c>
      <c r="K2469" s="32" t="s">
        <v>4459</v>
      </c>
      <c r="M2469" s="32" t="s">
        <v>5379</v>
      </c>
      <c r="O2469" s="32">
        <v>9</v>
      </c>
      <c r="P2469" s="32">
        <v>91</v>
      </c>
      <c r="AB2469" s="12" t="s">
        <v>5386</v>
      </c>
      <c r="AD2469" s="12" t="s">
        <v>98</v>
      </c>
      <c r="AE2469" s="12" t="s">
        <v>5317</v>
      </c>
      <c r="AF2469" s="12" t="s">
        <v>2186</v>
      </c>
      <c r="AG2469" s="12" t="s">
        <v>98</v>
      </c>
      <c r="AH2469" s="12" t="s">
        <v>5314</v>
      </c>
      <c r="AN2469" s="46">
        <v>1603</v>
      </c>
      <c r="AR2469" s="34" t="s">
        <v>94</v>
      </c>
      <c r="AS2469" s="34" t="s">
        <v>94</v>
      </c>
      <c r="AU2469" s="12">
        <v>9003</v>
      </c>
    </row>
    <row r="2470" spans="1:47" ht="12" customHeight="1" x14ac:dyDescent="0.2">
      <c r="A2470" s="95" t="s">
        <v>5351</v>
      </c>
      <c r="B2470" s="42">
        <v>916303</v>
      </c>
      <c r="C2470" s="42" t="s">
        <v>4788</v>
      </c>
      <c r="D2470" s="86" t="s">
        <v>4984</v>
      </c>
      <c r="E2470" s="86" t="s">
        <v>2</v>
      </c>
      <c r="F2470" s="32" t="s">
        <v>395</v>
      </c>
      <c r="G2470" s="32" t="s">
        <v>1568</v>
      </c>
      <c r="J2470" s="32" t="s">
        <v>4458</v>
      </c>
      <c r="K2470" s="32" t="s">
        <v>4459</v>
      </c>
      <c r="M2470" s="32" t="s">
        <v>5379</v>
      </c>
      <c r="O2470" s="32">
        <v>9</v>
      </c>
      <c r="P2470" s="32">
        <v>91</v>
      </c>
      <c r="Y2470" s="12" t="s">
        <v>5384</v>
      </c>
      <c r="AD2470" s="12" t="s">
        <v>98</v>
      </c>
      <c r="AE2470" s="12" t="s">
        <v>5317</v>
      </c>
      <c r="AF2470" s="12" t="s">
        <v>2186</v>
      </c>
      <c r="AG2470" s="12" t="s">
        <v>98</v>
      </c>
      <c r="AH2470" s="12" t="s">
        <v>5315</v>
      </c>
      <c r="AN2470" s="46">
        <v>1603</v>
      </c>
      <c r="AU2470" s="12">
        <v>9003</v>
      </c>
    </row>
    <row r="2471" spans="1:47" ht="12" customHeight="1" x14ac:dyDescent="0.2">
      <c r="A2471" s="95" t="s">
        <v>5352</v>
      </c>
      <c r="B2471" s="42">
        <v>916403</v>
      </c>
      <c r="C2471" s="42" t="s">
        <v>4795</v>
      </c>
      <c r="D2471" s="86" t="s">
        <v>4991</v>
      </c>
      <c r="E2471" s="86" t="s">
        <v>2</v>
      </c>
      <c r="F2471" s="32" t="s">
        <v>395</v>
      </c>
      <c r="G2471" s="32" t="s">
        <v>1587</v>
      </c>
      <c r="J2471" s="32" t="s">
        <v>4458</v>
      </c>
      <c r="K2471" s="32" t="s">
        <v>4459</v>
      </c>
      <c r="M2471" s="32" t="s">
        <v>5379</v>
      </c>
      <c r="O2471" s="32">
        <v>9</v>
      </c>
      <c r="P2471" s="32">
        <v>91</v>
      </c>
      <c r="W2471" s="12" t="s">
        <v>5385</v>
      </c>
      <c r="X2471" s="12" t="s">
        <v>5385</v>
      </c>
      <c r="AD2471" s="12" t="s">
        <v>98</v>
      </c>
      <c r="AE2471" s="12" t="s">
        <v>5317</v>
      </c>
      <c r="AF2471" s="12" t="s">
        <v>2186</v>
      </c>
      <c r="AG2471" s="12" t="s">
        <v>98</v>
      </c>
      <c r="AH2471" s="12" t="s">
        <v>5315</v>
      </c>
      <c r="AN2471" s="46">
        <v>1603</v>
      </c>
      <c r="AU2471" s="12">
        <v>9003</v>
      </c>
    </row>
    <row r="2472" spans="1:47" ht="12" customHeight="1" x14ac:dyDescent="0.2">
      <c r="A2472" s="95" t="s">
        <v>5353</v>
      </c>
      <c r="B2472" s="42">
        <v>916503</v>
      </c>
      <c r="C2472" s="42" t="s">
        <v>4802</v>
      </c>
      <c r="D2472" s="86" t="s">
        <v>4998</v>
      </c>
      <c r="E2472" s="86" t="s">
        <v>2</v>
      </c>
      <c r="F2472" s="32" t="s">
        <v>395</v>
      </c>
      <c r="G2472" s="32" t="s">
        <v>1606</v>
      </c>
      <c r="J2472" s="32" t="s">
        <v>4458</v>
      </c>
      <c r="K2472" s="32" t="s">
        <v>4459</v>
      </c>
      <c r="M2472" s="32" t="s">
        <v>5379</v>
      </c>
      <c r="O2472" s="32">
        <v>9</v>
      </c>
      <c r="P2472" s="32">
        <v>91</v>
      </c>
      <c r="AB2472" s="12" t="s">
        <v>5386</v>
      </c>
      <c r="AD2472" s="12" t="s">
        <v>98</v>
      </c>
      <c r="AE2472" s="12" t="s">
        <v>5317</v>
      </c>
      <c r="AF2472" s="12" t="s">
        <v>2186</v>
      </c>
      <c r="AG2472" s="12" t="s">
        <v>98</v>
      </c>
      <c r="AH2472" s="12" t="s">
        <v>5315</v>
      </c>
      <c r="AN2472" s="46">
        <v>1603</v>
      </c>
      <c r="AU2472" s="12">
        <v>9003</v>
      </c>
    </row>
    <row r="2473" spans="1:47" ht="12" customHeight="1" x14ac:dyDescent="0.2">
      <c r="A2473" s="95" t="s">
        <v>5354</v>
      </c>
      <c r="B2473" s="42">
        <v>916603</v>
      </c>
      <c r="C2473" s="42" t="s">
        <v>4809</v>
      </c>
      <c r="D2473" s="86" t="s">
        <v>5005</v>
      </c>
      <c r="E2473" s="86" t="s">
        <v>2</v>
      </c>
      <c r="F2473" s="32" t="s">
        <v>395</v>
      </c>
      <c r="G2473" s="32" t="s">
        <v>1625</v>
      </c>
      <c r="J2473" s="32" t="s">
        <v>4458</v>
      </c>
      <c r="K2473" s="32" t="s">
        <v>4459</v>
      </c>
      <c r="M2473" s="32" t="s">
        <v>5379</v>
      </c>
      <c r="O2473" s="32">
        <v>9</v>
      </c>
      <c r="P2473" s="32">
        <v>91</v>
      </c>
      <c r="AA2473" s="12" t="s">
        <v>5386</v>
      </c>
      <c r="AD2473" s="12" t="s">
        <v>98</v>
      </c>
      <c r="AE2473" s="12" t="s">
        <v>5317</v>
      </c>
      <c r="AF2473" s="12" t="s">
        <v>2186</v>
      </c>
      <c r="AG2473" s="12" t="s">
        <v>98</v>
      </c>
      <c r="AH2473" s="12" t="s">
        <v>5315</v>
      </c>
      <c r="AN2473" s="46">
        <v>1603</v>
      </c>
      <c r="AU2473" s="12">
        <v>9003</v>
      </c>
    </row>
    <row r="2474" spans="1:47" ht="12" customHeight="1" x14ac:dyDescent="0.2">
      <c r="A2474" s="95" t="s">
        <v>5355</v>
      </c>
      <c r="B2474" s="42">
        <v>916703</v>
      </c>
      <c r="C2474" s="42" t="s">
        <v>4816</v>
      </c>
      <c r="D2474" s="86" t="s">
        <v>5012</v>
      </c>
      <c r="E2474" s="86" t="s">
        <v>1629</v>
      </c>
      <c r="F2474" s="32" t="s">
        <v>395</v>
      </c>
      <c r="G2474" s="32" t="s">
        <v>1630</v>
      </c>
      <c r="J2474" s="32" t="s">
        <v>4458</v>
      </c>
      <c r="K2474" s="32" t="s">
        <v>4459</v>
      </c>
      <c r="M2474" s="32" t="s">
        <v>5379</v>
      </c>
      <c r="O2474" s="32">
        <v>9</v>
      </c>
      <c r="P2474" s="32">
        <v>91</v>
      </c>
      <c r="Y2474" s="12" t="s">
        <v>5384</v>
      </c>
      <c r="AD2474" s="12" t="s">
        <v>98</v>
      </c>
      <c r="AE2474" s="12" t="s">
        <v>5317</v>
      </c>
      <c r="AF2474" s="12" t="s">
        <v>2186</v>
      </c>
      <c r="AG2474" s="12" t="s">
        <v>98</v>
      </c>
      <c r="AH2474" s="12" t="s">
        <v>5316</v>
      </c>
      <c r="AN2474" s="46">
        <v>1603</v>
      </c>
      <c r="AU2474" s="12">
        <v>9003</v>
      </c>
    </row>
    <row r="2475" spans="1:47" ht="12" customHeight="1" x14ac:dyDescent="0.2">
      <c r="A2475" s="95" t="s">
        <v>4573</v>
      </c>
      <c r="B2475" s="42">
        <v>917101</v>
      </c>
      <c r="C2475" s="42" t="s">
        <v>4824</v>
      </c>
      <c r="D2475" s="86" t="s">
        <v>4873</v>
      </c>
      <c r="E2475" s="86" t="s">
        <v>1</v>
      </c>
      <c r="F2475" s="32" t="s">
        <v>1637</v>
      </c>
      <c r="G2475" s="32" t="s">
        <v>1491</v>
      </c>
      <c r="J2475" s="32" t="s">
        <v>4458</v>
      </c>
      <c r="K2475" s="32" t="s">
        <v>4459</v>
      </c>
      <c r="M2475" s="32" t="s">
        <v>5378</v>
      </c>
      <c r="O2475" s="32">
        <v>9</v>
      </c>
      <c r="P2475" s="32">
        <v>91</v>
      </c>
      <c r="AA2475" s="12" t="s">
        <v>5387</v>
      </c>
      <c r="AD2475" s="12" t="s">
        <v>98</v>
      </c>
      <c r="AE2475" s="12" t="s">
        <v>5317</v>
      </c>
      <c r="AF2475" s="12" t="s">
        <v>2186</v>
      </c>
      <c r="AG2475" s="12" t="s">
        <v>98</v>
      </c>
      <c r="AH2475" s="12" t="s">
        <v>5313</v>
      </c>
      <c r="AN2475" s="46">
        <v>1701</v>
      </c>
      <c r="AR2475" s="34" t="s">
        <v>94</v>
      </c>
      <c r="AS2475" s="34" t="s">
        <v>94</v>
      </c>
      <c r="AU2475" s="12" t="s">
        <v>4460</v>
      </c>
    </row>
    <row r="2476" spans="1:47" ht="12" customHeight="1" x14ac:dyDescent="0.2">
      <c r="A2476" s="95" t="s">
        <v>4574</v>
      </c>
      <c r="B2476" s="42">
        <v>917201</v>
      </c>
      <c r="C2476" s="42" t="s">
        <v>4831</v>
      </c>
      <c r="D2476" s="86" t="s">
        <v>4880</v>
      </c>
      <c r="E2476" s="86" t="s">
        <v>501</v>
      </c>
      <c r="F2476" s="32" t="s">
        <v>1637</v>
      </c>
      <c r="G2476" s="32" t="s">
        <v>1491</v>
      </c>
      <c r="J2476" s="32" t="s">
        <v>4458</v>
      </c>
      <c r="K2476" s="32" t="s">
        <v>4459</v>
      </c>
      <c r="M2476" s="32" t="s">
        <v>5378</v>
      </c>
      <c r="O2476" s="32">
        <v>9</v>
      </c>
      <c r="P2476" s="32">
        <v>91</v>
      </c>
      <c r="AB2476" s="12" t="s">
        <v>5386</v>
      </c>
      <c r="AD2476" s="12" t="s">
        <v>98</v>
      </c>
      <c r="AE2476" s="12" t="s">
        <v>5317</v>
      </c>
      <c r="AF2476" s="12" t="s">
        <v>2186</v>
      </c>
      <c r="AG2476" s="12" t="s">
        <v>98</v>
      </c>
      <c r="AH2476" s="12" t="s">
        <v>5314</v>
      </c>
      <c r="AN2476" s="46">
        <v>1701</v>
      </c>
      <c r="AR2476" s="34" t="s">
        <v>94</v>
      </c>
      <c r="AS2476" s="34" t="s">
        <v>94</v>
      </c>
      <c r="AU2476" s="12" t="s">
        <v>4460</v>
      </c>
    </row>
    <row r="2477" spans="1:47" ht="12" customHeight="1" x14ac:dyDescent="0.2">
      <c r="A2477" s="95" t="s">
        <v>4575</v>
      </c>
      <c r="B2477" s="42">
        <v>917301</v>
      </c>
      <c r="C2477" s="42" t="s">
        <v>4838</v>
      </c>
      <c r="D2477" s="86" t="s">
        <v>4887</v>
      </c>
      <c r="E2477" s="86" t="s">
        <v>2</v>
      </c>
      <c r="F2477" s="32" t="s">
        <v>1637</v>
      </c>
      <c r="G2477" s="32" t="s">
        <v>1568</v>
      </c>
      <c r="J2477" s="32" t="s">
        <v>4458</v>
      </c>
      <c r="K2477" s="32" t="s">
        <v>4459</v>
      </c>
      <c r="M2477" s="32" t="s">
        <v>5378</v>
      </c>
      <c r="O2477" s="32">
        <v>9</v>
      </c>
      <c r="P2477" s="32">
        <v>91</v>
      </c>
      <c r="Y2477" s="12" t="s">
        <v>5384</v>
      </c>
      <c r="AD2477" s="12" t="s">
        <v>98</v>
      </c>
      <c r="AE2477" s="12" t="s">
        <v>5317</v>
      </c>
      <c r="AF2477" s="12" t="s">
        <v>2186</v>
      </c>
      <c r="AG2477" s="12" t="s">
        <v>98</v>
      </c>
      <c r="AH2477" s="12" t="s">
        <v>5315</v>
      </c>
      <c r="AN2477" s="46">
        <v>1701</v>
      </c>
      <c r="AU2477" s="12" t="s">
        <v>4460</v>
      </c>
    </row>
    <row r="2478" spans="1:47" ht="12" customHeight="1" x14ac:dyDescent="0.2">
      <c r="A2478" s="95" t="s">
        <v>4576</v>
      </c>
      <c r="B2478" s="42">
        <v>917401</v>
      </c>
      <c r="C2478" s="42" t="s">
        <v>4845</v>
      </c>
      <c r="D2478" s="86" t="s">
        <v>4894</v>
      </c>
      <c r="E2478" s="86" t="s">
        <v>2</v>
      </c>
      <c r="F2478" s="32" t="s">
        <v>1637</v>
      </c>
      <c r="G2478" s="32" t="s">
        <v>1587</v>
      </c>
      <c r="J2478" s="32" t="s">
        <v>4458</v>
      </c>
      <c r="K2478" s="32" t="s">
        <v>4459</v>
      </c>
      <c r="M2478" s="32" t="s">
        <v>5378</v>
      </c>
      <c r="O2478" s="32">
        <v>9</v>
      </c>
      <c r="P2478" s="32">
        <v>91</v>
      </c>
      <c r="W2478" s="12" t="s">
        <v>5385</v>
      </c>
      <c r="X2478" s="12" t="s">
        <v>5385</v>
      </c>
      <c r="AD2478" s="12" t="s">
        <v>98</v>
      </c>
      <c r="AE2478" s="12" t="s">
        <v>5317</v>
      </c>
      <c r="AF2478" s="12" t="s">
        <v>2186</v>
      </c>
      <c r="AG2478" s="12" t="s">
        <v>98</v>
      </c>
      <c r="AH2478" s="12" t="s">
        <v>5315</v>
      </c>
      <c r="AN2478" s="46">
        <v>1701</v>
      </c>
      <c r="AU2478" s="12" t="s">
        <v>4460</v>
      </c>
    </row>
    <row r="2479" spans="1:47" ht="12" customHeight="1" x14ac:dyDescent="0.2">
      <c r="A2479" s="95" t="s">
        <v>4577</v>
      </c>
      <c r="B2479" s="42">
        <v>917501</v>
      </c>
      <c r="C2479" s="42" t="s">
        <v>4852</v>
      </c>
      <c r="D2479" s="86" t="s">
        <v>4901</v>
      </c>
      <c r="E2479" s="86" t="s">
        <v>2</v>
      </c>
      <c r="F2479" s="32" t="s">
        <v>1637</v>
      </c>
      <c r="G2479" s="32" t="s">
        <v>1606</v>
      </c>
      <c r="J2479" s="32" t="s">
        <v>4458</v>
      </c>
      <c r="K2479" s="32" t="s">
        <v>4459</v>
      </c>
      <c r="M2479" s="32" t="s">
        <v>5378</v>
      </c>
      <c r="O2479" s="32">
        <v>9</v>
      </c>
      <c r="P2479" s="32">
        <v>91</v>
      </c>
      <c r="AB2479" s="12" t="s">
        <v>5386</v>
      </c>
      <c r="AD2479" s="12" t="s">
        <v>98</v>
      </c>
      <c r="AE2479" s="12" t="s">
        <v>5317</v>
      </c>
      <c r="AF2479" s="12" t="s">
        <v>2186</v>
      </c>
      <c r="AG2479" s="12" t="s">
        <v>98</v>
      </c>
      <c r="AH2479" s="12" t="s">
        <v>5315</v>
      </c>
      <c r="AN2479" s="46">
        <v>1701</v>
      </c>
      <c r="AU2479" s="12" t="s">
        <v>4460</v>
      </c>
    </row>
    <row r="2480" spans="1:47" ht="12" customHeight="1" x14ac:dyDescent="0.2">
      <c r="A2480" s="95" t="s">
        <v>4578</v>
      </c>
      <c r="B2480" s="42">
        <v>917601</v>
      </c>
      <c r="C2480" s="42" t="s">
        <v>4859</v>
      </c>
      <c r="D2480" s="86" t="s">
        <v>4908</v>
      </c>
      <c r="E2480" s="86" t="s">
        <v>2</v>
      </c>
      <c r="F2480" s="32" t="s">
        <v>1637</v>
      </c>
      <c r="G2480" s="32" t="s">
        <v>1625</v>
      </c>
      <c r="J2480" s="32" t="s">
        <v>4458</v>
      </c>
      <c r="K2480" s="32" t="s">
        <v>4459</v>
      </c>
      <c r="M2480" s="32" t="s">
        <v>5378</v>
      </c>
      <c r="O2480" s="32">
        <v>9</v>
      </c>
      <c r="P2480" s="32">
        <v>91</v>
      </c>
      <c r="AA2480" s="12" t="s">
        <v>5386</v>
      </c>
      <c r="AD2480" s="12" t="s">
        <v>98</v>
      </c>
      <c r="AE2480" s="12" t="s">
        <v>5317</v>
      </c>
      <c r="AF2480" s="12" t="s">
        <v>2186</v>
      </c>
      <c r="AG2480" s="12" t="s">
        <v>98</v>
      </c>
      <c r="AH2480" s="12" t="s">
        <v>5315</v>
      </c>
      <c r="AN2480" s="46">
        <v>1701</v>
      </c>
      <c r="AU2480" s="12" t="s">
        <v>4460</v>
      </c>
    </row>
    <row r="2481" spans="1:47" ht="12" customHeight="1" x14ac:dyDescent="0.2">
      <c r="A2481" s="95" t="s">
        <v>4579</v>
      </c>
      <c r="B2481" s="42">
        <v>917701</v>
      </c>
      <c r="C2481" s="42" t="s">
        <v>4866</v>
      </c>
      <c r="D2481" s="86" t="s">
        <v>4915</v>
      </c>
      <c r="E2481" s="86" t="s">
        <v>1629</v>
      </c>
      <c r="F2481" s="32" t="s">
        <v>1637</v>
      </c>
      <c r="G2481" s="32" t="s">
        <v>1630</v>
      </c>
      <c r="J2481" s="32" t="s">
        <v>4458</v>
      </c>
      <c r="K2481" s="32" t="s">
        <v>4459</v>
      </c>
      <c r="M2481" s="32" t="s">
        <v>5378</v>
      </c>
      <c r="O2481" s="32">
        <v>9</v>
      </c>
      <c r="P2481" s="32">
        <v>91</v>
      </c>
      <c r="Y2481" s="12" t="s">
        <v>5384</v>
      </c>
      <c r="AD2481" s="12" t="s">
        <v>98</v>
      </c>
      <c r="AE2481" s="12" t="s">
        <v>5317</v>
      </c>
      <c r="AF2481" s="12" t="s">
        <v>2186</v>
      </c>
      <c r="AG2481" s="12" t="s">
        <v>98</v>
      </c>
      <c r="AH2481" s="12" t="s">
        <v>5316</v>
      </c>
      <c r="AN2481" s="46">
        <v>1701</v>
      </c>
      <c r="AU2481" s="12" t="s">
        <v>4460</v>
      </c>
    </row>
    <row r="2482" spans="1:47" ht="12" customHeight="1" x14ac:dyDescent="0.2">
      <c r="A2482" s="95" t="s">
        <v>4580</v>
      </c>
      <c r="B2482" s="42">
        <v>917102</v>
      </c>
      <c r="C2482" s="42" t="s">
        <v>4726</v>
      </c>
      <c r="D2482" s="86" t="s">
        <v>4922</v>
      </c>
      <c r="E2482" s="86" t="s">
        <v>1</v>
      </c>
      <c r="F2482" s="32" t="s">
        <v>1637</v>
      </c>
      <c r="G2482" s="32" t="s">
        <v>1491</v>
      </c>
      <c r="J2482" s="32" t="s">
        <v>4458</v>
      </c>
      <c r="K2482" s="32" t="s">
        <v>4459</v>
      </c>
      <c r="M2482" s="32" t="s">
        <v>5380</v>
      </c>
      <c r="O2482" s="32">
        <v>9</v>
      </c>
      <c r="P2482" s="32">
        <v>91</v>
      </c>
      <c r="AA2482" s="12" t="s">
        <v>5387</v>
      </c>
      <c r="AD2482" s="12" t="s">
        <v>98</v>
      </c>
      <c r="AE2482" s="12" t="s">
        <v>5317</v>
      </c>
      <c r="AF2482" s="12" t="s">
        <v>2186</v>
      </c>
      <c r="AG2482" s="12" t="s">
        <v>98</v>
      </c>
      <c r="AH2482" s="12" t="s">
        <v>5313</v>
      </c>
      <c r="AN2482" s="46">
        <v>1702</v>
      </c>
      <c r="AR2482" s="34" t="s">
        <v>94</v>
      </c>
      <c r="AS2482" s="34" t="s">
        <v>94</v>
      </c>
      <c r="AU2482" s="12">
        <v>9002</v>
      </c>
    </row>
    <row r="2483" spans="1:47" ht="12" customHeight="1" x14ac:dyDescent="0.2">
      <c r="A2483" s="95" t="s">
        <v>4581</v>
      </c>
      <c r="B2483" s="42">
        <v>917202</v>
      </c>
      <c r="C2483" s="42" t="s">
        <v>4733</v>
      </c>
      <c r="D2483" s="86" t="s">
        <v>4929</v>
      </c>
      <c r="E2483" s="86" t="s">
        <v>501</v>
      </c>
      <c r="F2483" s="32" t="s">
        <v>1637</v>
      </c>
      <c r="G2483" s="32" t="s">
        <v>1491</v>
      </c>
      <c r="J2483" s="32" t="s">
        <v>4458</v>
      </c>
      <c r="K2483" s="32" t="s">
        <v>4459</v>
      </c>
      <c r="M2483" s="32" t="s">
        <v>5380</v>
      </c>
      <c r="O2483" s="32">
        <v>9</v>
      </c>
      <c r="P2483" s="32">
        <v>91</v>
      </c>
      <c r="AB2483" s="12" t="s">
        <v>5386</v>
      </c>
      <c r="AD2483" s="12" t="s">
        <v>98</v>
      </c>
      <c r="AE2483" s="12" t="s">
        <v>5317</v>
      </c>
      <c r="AF2483" s="12" t="s">
        <v>2186</v>
      </c>
      <c r="AG2483" s="12" t="s">
        <v>98</v>
      </c>
      <c r="AH2483" s="12" t="s">
        <v>5314</v>
      </c>
      <c r="AN2483" s="46">
        <v>1702</v>
      </c>
      <c r="AR2483" s="34" t="s">
        <v>94</v>
      </c>
      <c r="AS2483" s="34" t="s">
        <v>94</v>
      </c>
      <c r="AU2483" s="12">
        <v>9002</v>
      </c>
    </row>
    <row r="2484" spans="1:47" ht="12" customHeight="1" x14ac:dyDescent="0.2">
      <c r="A2484" s="95" t="s">
        <v>4582</v>
      </c>
      <c r="B2484" s="42">
        <v>917302</v>
      </c>
      <c r="C2484" s="42" t="s">
        <v>4740</v>
      </c>
      <c r="D2484" s="86" t="s">
        <v>4936</v>
      </c>
      <c r="E2484" s="86" t="s">
        <v>2</v>
      </c>
      <c r="F2484" s="32" t="s">
        <v>1637</v>
      </c>
      <c r="G2484" s="32" t="s">
        <v>1568</v>
      </c>
      <c r="J2484" s="32" t="s">
        <v>4458</v>
      </c>
      <c r="K2484" s="32" t="s">
        <v>4459</v>
      </c>
      <c r="M2484" s="32" t="s">
        <v>5380</v>
      </c>
      <c r="O2484" s="32">
        <v>9</v>
      </c>
      <c r="P2484" s="32">
        <v>91</v>
      </c>
      <c r="Y2484" s="12" t="s">
        <v>5384</v>
      </c>
      <c r="AD2484" s="12" t="s">
        <v>98</v>
      </c>
      <c r="AE2484" s="12" t="s">
        <v>5317</v>
      </c>
      <c r="AF2484" s="12" t="s">
        <v>2186</v>
      </c>
      <c r="AG2484" s="12" t="s">
        <v>98</v>
      </c>
      <c r="AH2484" s="12" t="s">
        <v>5315</v>
      </c>
      <c r="AN2484" s="46">
        <v>1702</v>
      </c>
      <c r="AU2484" s="12">
        <v>9002</v>
      </c>
    </row>
    <row r="2485" spans="1:47" ht="12" customHeight="1" x14ac:dyDescent="0.2">
      <c r="A2485" s="95" t="s">
        <v>4583</v>
      </c>
      <c r="B2485" s="42">
        <v>917402</v>
      </c>
      <c r="C2485" s="42" t="s">
        <v>4747</v>
      </c>
      <c r="D2485" s="86" t="s">
        <v>4943</v>
      </c>
      <c r="E2485" s="86" t="s">
        <v>2</v>
      </c>
      <c r="F2485" s="32" t="s">
        <v>1637</v>
      </c>
      <c r="G2485" s="32" t="s">
        <v>1587</v>
      </c>
      <c r="J2485" s="32" t="s">
        <v>4458</v>
      </c>
      <c r="K2485" s="32" t="s">
        <v>4459</v>
      </c>
      <c r="M2485" s="32" t="s">
        <v>5380</v>
      </c>
      <c r="O2485" s="32">
        <v>9</v>
      </c>
      <c r="P2485" s="32">
        <v>91</v>
      </c>
      <c r="W2485" s="12" t="s">
        <v>5385</v>
      </c>
      <c r="X2485" s="12" t="s">
        <v>5385</v>
      </c>
      <c r="AD2485" s="12" t="s">
        <v>98</v>
      </c>
      <c r="AE2485" s="12" t="s">
        <v>5317</v>
      </c>
      <c r="AF2485" s="12" t="s">
        <v>2186</v>
      </c>
      <c r="AG2485" s="12" t="s">
        <v>98</v>
      </c>
      <c r="AH2485" s="12" t="s">
        <v>5315</v>
      </c>
      <c r="AN2485" s="46">
        <v>1702</v>
      </c>
      <c r="AU2485" s="12">
        <v>9002</v>
      </c>
    </row>
    <row r="2486" spans="1:47" ht="12" customHeight="1" x14ac:dyDescent="0.2">
      <c r="A2486" s="95" t="s">
        <v>4584</v>
      </c>
      <c r="B2486" s="42">
        <v>917502</v>
      </c>
      <c r="C2486" s="42" t="s">
        <v>4754</v>
      </c>
      <c r="D2486" s="86" t="s">
        <v>4950</v>
      </c>
      <c r="E2486" s="86" t="s">
        <v>2</v>
      </c>
      <c r="F2486" s="32" t="s">
        <v>1637</v>
      </c>
      <c r="G2486" s="32" t="s">
        <v>1606</v>
      </c>
      <c r="J2486" s="32" t="s">
        <v>4458</v>
      </c>
      <c r="K2486" s="32" t="s">
        <v>4459</v>
      </c>
      <c r="M2486" s="32" t="s">
        <v>5380</v>
      </c>
      <c r="O2486" s="32">
        <v>9</v>
      </c>
      <c r="P2486" s="32">
        <v>91</v>
      </c>
      <c r="AB2486" s="12" t="s">
        <v>5386</v>
      </c>
      <c r="AD2486" s="12" t="s">
        <v>98</v>
      </c>
      <c r="AE2486" s="12" t="s">
        <v>5317</v>
      </c>
      <c r="AF2486" s="12" t="s">
        <v>2186</v>
      </c>
      <c r="AG2486" s="12" t="s">
        <v>98</v>
      </c>
      <c r="AH2486" s="12" t="s">
        <v>5315</v>
      </c>
      <c r="AN2486" s="46">
        <v>1702</v>
      </c>
      <c r="AU2486" s="12">
        <v>9002</v>
      </c>
    </row>
    <row r="2487" spans="1:47" ht="12" customHeight="1" x14ac:dyDescent="0.2">
      <c r="A2487" s="95" t="s">
        <v>4585</v>
      </c>
      <c r="B2487" s="42">
        <v>917602</v>
      </c>
      <c r="C2487" s="42" t="s">
        <v>4761</v>
      </c>
      <c r="D2487" s="86" t="s">
        <v>4957</v>
      </c>
      <c r="E2487" s="86" t="s">
        <v>2</v>
      </c>
      <c r="F2487" s="32" t="s">
        <v>1637</v>
      </c>
      <c r="G2487" s="32" t="s">
        <v>1625</v>
      </c>
      <c r="J2487" s="32" t="s">
        <v>4458</v>
      </c>
      <c r="K2487" s="32" t="s">
        <v>4459</v>
      </c>
      <c r="M2487" s="32" t="s">
        <v>5380</v>
      </c>
      <c r="O2487" s="32">
        <v>9</v>
      </c>
      <c r="P2487" s="32">
        <v>91</v>
      </c>
      <c r="AA2487" s="12" t="s">
        <v>5386</v>
      </c>
      <c r="AD2487" s="12" t="s">
        <v>98</v>
      </c>
      <c r="AE2487" s="12" t="s">
        <v>5317</v>
      </c>
      <c r="AF2487" s="12" t="s">
        <v>2186</v>
      </c>
      <c r="AG2487" s="12" t="s">
        <v>98</v>
      </c>
      <c r="AH2487" s="12" t="s">
        <v>5315</v>
      </c>
      <c r="AN2487" s="46">
        <v>1702</v>
      </c>
      <c r="AU2487" s="12">
        <v>9002</v>
      </c>
    </row>
    <row r="2488" spans="1:47" ht="12" customHeight="1" x14ac:dyDescent="0.2">
      <c r="A2488" s="95" t="s">
        <v>4586</v>
      </c>
      <c r="B2488" s="42">
        <v>917702</v>
      </c>
      <c r="C2488" s="42" t="s">
        <v>4768</v>
      </c>
      <c r="D2488" s="86" t="s">
        <v>4964</v>
      </c>
      <c r="E2488" s="86" t="s">
        <v>1629</v>
      </c>
      <c r="F2488" s="32" t="s">
        <v>1637</v>
      </c>
      <c r="G2488" s="32" t="s">
        <v>1630</v>
      </c>
      <c r="J2488" s="32" t="s">
        <v>4458</v>
      </c>
      <c r="K2488" s="32" t="s">
        <v>4459</v>
      </c>
      <c r="M2488" s="32" t="s">
        <v>5380</v>
      </c>
      <c r="O2488" s="32">
        <v>9</v>
      </c>
      <c r="P2488" s="32">
        <v>91</v>
      </c>
      <c r="Y2488" s="12" t="s">
        <v>5384</v>
      </c>
      <c r="AD2488" s="12" t="s">
        <v>98</v>
      </c>
      <c r="AE2488" s="12" t="s">
        <v>5317</v>
      </c>
      <c r="AF2488" s="12" t="s">
        <v>2186</v>
      </c>
      <c r="AG2488" s="12" t="s">
        <v>98</v>
      </c>
      <c r="AH2488" s="12" t="s">
        <v>5316</v>
      </c>
      <c r="AN2488" s="46">
        <v>1702</v>
      </c>
      <c r="AU2488" s="12">
        <v>9002</v>
      </c>
    </row>
    <row r="2489" spans="1:47" ht="12" customHeight="1" x14ac:dyDescent="0.2">
      <c r="A2489" s="95" t="s">
        <v>4587</v>
      </c>
      <c r="B2489" s="42">
        <v>917103</v>
      </c>
      <c r="C2489" s="42" t="s">
        <v>4775</v>
      </c>
      <c r="D2489" s="86" t="s">
        <v>4971</v>
      </c>
      <c r="E2489" s="86" t="s">
        <v>1</v>
      </c>
      <c r="F2489" s="32" t="s">
        <v>1637</v>
      </c>
      <c r="G2489" s="32" t="s">
        <v>1491</v>
      </c>
      <c r="J2489" s="32" t="s">
        <v>4458</v>
      </c>
      <c r="K2489" s="32" t="s">
        <v>4459</v>
      </c>
      <c r="M2489" s="32" t="s">
        <v>5379</v>
      </c>
      <c r="O2489" s="32">
        <v>9</v>
      </c>
      <c r="P2489" s="32">
        <v>91</v>
      </c>
      <c r="AA2489" s="12" t="s">
        <v>5387</v>
      </c>
      <c r="AD2489" s="12" t="s">
        <v>98</v>
      </c>
      <c r="AE2489" s="12" t="s">
        <v>5317</v>
      </c>
      <c r="AF2489" s="12" t="s">
        <v>2186</v>
      </c>
      <c r="AG2489" s="12" t="s">
        <v>98</v>
      </c>
      <c r="AH2489" s="12" t="s">
        <v>5313</v>
      </c>
      <c r="AN2489" s="46">
        <v>1703</v>
      </c>
      <c r="AR2489" s="34" t="s">
        <v>94</v>
      </c>
      <c r="AS2489" s="34" t="s">
        <v>94</v>
      </c>
      <c r="AU2489" s="12">
        <v>9003</v>
      </c>
    </row>
    <row r="2490" spans="1:47" ht="12" customHeight="1" x14ac:dyDescent="0.2">
      <c r="A2490" s="95" t="s">
        <v>4588</v>
      </c>
      <c r="B2490" s="42">
        <v>917203</v>
      </c>
      <c r="C2490" s="42" t="s">
        <v>4782</v>
      </c>
      <c r="D2490" s="86" t="s">
        <v>4978</v>
      </c>
      <c r="E2490" s="86" t="s">
        <v>501</v>
      </c>
      <c r="F2490" s="32" t="s">
        <v>1637</v>
      </c>
      <c r="G2490" s="32" t="s">
        <v>1491</v>
      </c>
      <c r="J2490" s="32" t="s">
        <v>4458</v>
      </c>
      <c r="K2490" s="32" t="s">
        <v>4459</v>
      </c>
      <c r="M2490" s="32" t="s">
        <v>5379</v>
      </c>
      <c r="O2490" s="32">
        <v>9</v>
      </c>
      <c r="P2490" s="32">
        <v>91</v>
      </c>
      <c r="AB2490" s="12" t="s">
        <v>5386</v>
      </c>
      <c r="AD2490" s="12" t="s">
        <v>98</v>
      </c>
      <c r="AE2490" s="12" t="s">
        <v>5317</v>
      </c>
      <c r="AF2490" s="12" t="s">
        <v>2186</v>
      </c>
      <c r="AG2490" s="12" t="s">
        <v>98</v>
      </c>
      <c r="AH2490" s="12" t="s">
        <v>5314</v>
      </c>
      <c r="AN2490" s="46">
        <v>1703</v>
      </c>
      <c r="AR2490" s="34" t="s">
        <v>94</v>
      </c>
      <c r="AS2490" s="34" t="s">
        <v>94</v>
      </c>
      <c r="AU2490" s="12">
        <v>9003</v>
      </c>
    </row>
    <row r="2491" spans="1:47" ht="12" customHeight="1" x14ac:dyDescent="0.2">
      <c r="A2491" s="95" t="s">
        <v>4589</v>
      </c>
      <c r="B2491" s="42">
        <v>917303</v>
      </c>
      <c r="C2491" s="42" t="s">
        <v>4789</v>
      </c>
      <c r="D2491" s="86" t="s">
        <v>4985</v>
      </c>
      <c r="E2491" s="86" t="s">
        <v>2</v>
      </c>
      <c r="F2491" s="32" t="s">
        <v>1637</v>
      </c>
      <c r="G2491" s="32" t="s">
        <v>1568</v>
      </c>
      <c r="J2491" s="32" t="s">
        <v>4458</v>
      </c>
      <c r="K2491" s="32" t="s">
        <v>4459</v>
      </c>
      <c r="M2491" s="32" t="s">
        <v>5379</v>
      </c>
      <c r="O2491" s="32">
        <v>9</v>
      </c>
      <c r="P2491" s="32">
        <v>91</v>
      </c>
      <c r="Y2491" s="12" t="s">
        <v>5384</v>
      </c>
      <c r="AD2491" s="12" t="s">
        <v>98</v>
      </c>
      <c r="AE2491" s="12" t="s">
        <v>5317</v>
      </c>
      <c r="AF2491" s="12" t="s">
        <v>2186</v>
      </c>
      <c r="AG2491" s="12" t="s">
        <v>98</v>
      </c>
      <c r="AH2491" s="12" t="s">
        <v>5315</v>
      </c>
      <c r="AN2491" s="46">
        <v>1703</v>
      </c>
      <c r="AU2491" s="12">
        <v>9003</v>
      </c>
    </row>
    <row r="2492" spans="1:47" ht="12" customHeight="1" x14ac:dyDescent="0.2">
      <c r="A2492" s="95" t="s">
        <v>4590</v>
      </c>
      <c r="B2492" s="42">
        <v>917403</v>
      </c>
      <c r="C2492" s="42" t="s">
        <v>4796</v>
      </c>
      <c r="D2492" s="86" t="s">
        <v>4992</v>
      </c>
      <c r="E2492" s="86" t="s">
        <v>2</v>
      </c>
      <c r="F2492" s="32" t="s">
        <v>1637</v>
      </c>
      <c r="G2492" s="32" t="s">
        <v>1587</v>
      </c>
      <c r="J2492" s="32" t="s">
        <v>4458</v>
      </c>
      <c r="K2492" s="32" t="s">
        <v>4459</v>
      </c>
      <c r="M2492" s="32" t="s">
        <v>5379</v>
      </c>
      <c r="O2492" s="32">
        <v>9</v>
      </c>
      <c r="P2492" s="32">
        <v>91</v>
      </c>
      <c r="W2492" s="12" t="s">
        <v>5385</v>
      </c>
      <c r="X2492" s="12" t="s">
        <v>5385</v>
      </c>
      <c r="AD2492" s="12" t="s">
        <v>98</v>
      </c>
      <c r="AE2492" s="12" t="s">
        <v>5317</v>
      </c>
      <c r="AF2492" s="12" t="s">
        <v>2186</v>
      </c>
      <c r="AG2492" s="12" t="s">
        <v>98</v>
      </c>
      <c r="AH2492" s="12" t="s">
        <v>5315</v>
      </c>
      <c r="AN2492" s="46">
        <v>1703</v>
      </c>
      <c r="AU2492" s="12">
        <v>9003</v>
      </c>
    </row>
    <row r="2493" spans="1:47" ht="12" customHeight="1" x14ac:dyDescent="0.2">
      <c r="A2493" s="95" t="s">
        <v>4591</v>
      </c>
      <c r="B2493" s="42">
        <v>917503</v>
      </c>
      <c r="C2493" s="42" t="s">
        <v>4803</v>
      </c>
      <c r="D2493" s="86" t="s">
        <v>4999</v>
      </c>
      <c r="E2493" s="86" t="s">
        <v>2</v>
      </c>
      <c r="F2493" s="32" t="s">
        <v>1637</v>
      </c>
      <c r="G2493" s="32" t="s">
        <v>1606</v>
      </c>
      <c r="J2493" s="32" t="s">
        <v>4458</v>
      </c>
      <c r="K2493" s="32" t="s">
        <v>4459</v>
      </c>
      <c r="M2493" s="32" t="s">
        <v>5379</v>
      </c>
      <c r="O2493" s="32">
        <v>9</v>
      </c>
      <c r="P2493" s="32">
        <v>91</v>
      </c>
      <c r="AB2493" s="12" t="s">
        <v>5386</v>
      </c>
      <c r="AD2493" s="12" t="s">
        <v>98</v>
      </c>
      <c r="AE2493" s="12" t="s">
        <v>5317</v>
      </c>
      <c r="AF2493" s="12" t="s">
        <v>2186</v>
      </c>
      <c r="AG2493" s="12" t="s">
        <v>98</v>
      </c>
      <c r="AH2493" s="12" t="s">
        <v>5315</v>
      </c>
      <c r="AN2493" s="46">
        <v>1703</v>
      </c>
      <c r="AU2493" s="12">
        <v>9003</v>
      </c>
    </row>
    <row r="2494" spans="1:47" ht="12" customHeight="1" x14ac:dyDescent="0.2">
      <c r="A2494" s="95" t="s">
        <v>4592</v>
      </c>
      <c r="B2494" s="42">
        <v>917603</v>
      </c>
      <c r="C2494" s="42" t="s">
        <v>4810</v>
      </c>
      <c r="D2494" s="86" t="s">
        <v>5006</v>
      </c>
      <c r="E2494" s="86" t="s">
        <v>2</v>
      </c>
      <c r="F2494" s="32" t="s">
        <v>1637</v>
      </c>
      <c r="G2494" s="32" t="s">
        <v>1625</v>
      </c>
      <c r="J2494" s="32" t="s">
        <v>4458</v>
      </c>
      <c r="K2494" s="32" t="s">
        <v>4459</v>
      </c>
      <c r="M2494" s="32" t="s">
        <v>5379</v>
      </c>
      <c r="O2494" s="32">
        <v>9</v>
      </c>
      <c r="P2494" s="32">
        <v>91</v>
      </c>
      <c r="AA2494" s="12" t="s">
        <v>5386</v>
      </c>
      <c r="AD2494" s="12" t="s">
        <v>98</v>
      </c>
      <c r="AE2494" s="12" t="s">
        <v>5317</v>
      </c>
      <c r="AF2494" s="12" t="s">
        <v>2186</v>
      </c>
      <c r="AG2494" s="12" t="s">
        <v>98</v>
      </c>
      <c r="AH2494" s="12" t="s">
        <v>5315</v>
      </c>
      <c r="AN2494" s="46">
        <v>1703</v>
      </c>
      <c r="AU2494" s="12">
        <v>9003</v>
      </c>
    </row>
    <row r="2495" spans="1:47" ht="12" customHeight="1" x14ac:dyDescent="0.2">
      <c r="A2495" s="95" t="s">
        <v>4593</v>
      </c>
      <c r="B2495" s="42">
        <v>917703</v>
      </c>
      <c r="C2495" s="42" t="s">
        <v>4817</v>
      </c>
      <c r="D2495" s="86" t="s">
        <v>5013</v>
      </c>
      <c r="E2495" s="86" t="s">
        <v>1629</v>
      </c>
      <c r="F2495" s="32" t="s">
        <v>1637</v>
      </c>
      <c r="G2495" s="32" t="s">
        <v>1630</v>
      </c>
      <c r="J2495" s="32" t="s">
        <v>4458</v>
      </c>
      <c r="K2495" s="32" t="s">
        <v>4459</v>
      </c>
      <c r="M2495" s="32" t="s">
        <v>5379</v>
      </c>
      <c r="O2495" s="32">
        <v>9</v>
      </c>
      <c r="P2495" s="32">
        <v>91</v>
      </c>
      <c r="Y2495" s="12" t="s">
        <v>5384</v>
      </c>
      <c r="AD2495" s="12" t="s">
        <v>98</v>
      </c>
      <c r="AE2495" s="12" t="s">
        <v>5317</v>
      </c>
      <c r="AF2495" s="12" t="s">
        <v>2186</v>
      </c>
      <c r="AG2495" s="12" t="s">
        <v>98</v>
      </c>
      <c r="AH2495" s="12" t="s">
        <v>5316</v>
      </c>
      <c r="AN2495" s="46">
        <v>1703</v>
      </c>
      <c r="AU2495" s="12">
        <v>9003</v>
      </c>
    </row>
    <row r="2496" spans="1:47" ht="12" customHeight="1" x14ac:dyDescent="0.2">
      <c r="A2496" s="95" t="s">
        <v>4594</v>
      </c>
      <c r="B2496" s="42">
        <v>901101</v>
      </c>
      <c r="C2496" s="42" t="s">
        <v>5014</v>
      </c>
      <c r="D2496" s="86" t="s">
        <v>5161</v>
      </c>
      <c r="E2496" s="86" t="s">
        <v>1</v>
      </c>
      <c r="F2496" s="32" t="s">
        <v>436</v>
      </c>
      <c r="G2496" s="32" t="s">
        <v>1453</v>
      </c>
      <c r="J2496" s="32" t="s">
        <v>4458</v>
      </c>
      <c r="K2496" s="32" t="s">
        <v>4459</v>
      </c>
      <c r="L2496" s="32" t="s">
        <v>4461</v>
      </c>
      <c r="M2496" s="32" t="s">
        <v>5378</v>
      </c>
      <c r="O2496" s="32">
        <v>9</v>
      </c>
      <c r="P2496" s="32">
        <v>91</v>
      </c>
      <c r="AA2496" s="12" t="s">
        <v>5383</v>
      </c>
      <c r="AD2496" s="12" t="s">
        <v>98</v>
      </c>
      <c r="AE2496" s="12" t="s">
        <v>5317</v>
      </c>
      <c r="AF2496" s="12" t="s">
        <v>2186</v>
      </c>
      <c r="AG2496" s="12" t="s">
        <v>98</v>
      </c>
      <c r="AH2496" s="12" t="s">
        <v>5313</v>
      </c>
      <c r="AN2496" s="46" t="s">
        <v>5311</v>
      </c>
      <c r="AR2496" s="34" t="s">
        <v>94</v>
      </c>
      <c r="AS2496" s="34" t="s">
        <v>94</v>
      </c>
      <c r="AU2496" s="12" t="s">
        <v>5308</v>
      </c>
    </row>
    <row r="2497" spans="1:47" ht="12" customHeight="1" x14ac:dyDescent="0.2">
      <c r="A2497" s="95" t="s">
        <v>4595</v>
      </c>
      <c r="B2497" s="42">
        <v>901201</v>
      </c>
      <c r="C2497" s="42" t="s">
        <v>5015</v>
      </c>
      <c r="D2497" s="86" t="s">
        <v>5162</v>
      </c>
      <c r="E2497" s="86" t="s">
        <v>501</v>
      </c>
      <c r="F2497" s="32" t="s">
        <v>436</v>
      </c>
      <c r="G2497" s="32" t="s">
        <v>1453</v>
      </c>
      <c r="J2497" s="32" t="s">
        <v>4458</v>
      </c>
      <c r="K2497" s="32" t="s">
        <v>4459</v>
      </c>
      <c r="L2497" s="32" t="s">
        <v>4461</v>
      </c>
      <c r="M2497" s="32" t="s">
        <v>5378</v>
      </c>
      <c r="O2497" s="32">
        <v>9</v>
      </c>
      <c r="P2497" s="32">
        <v>91</v>
      </c>
      <c r="AB2497" s="12" t="s">
        <v>5383</v>
      </c>
      <c r="AD2497" s="12" t="s">
        <v>98</v>
      </c>
      <c r="AE2497" s="12" t="s">
        <v>5317</v>
      </c>
      <c r="AF2497" s="12" t="s">
        <v>2186</v>
      </c>
      <c r="AG2497" s="12" t="s">
        <v>98</v>
      </c>
      <c r="AH2497" s="12" t="s">
        <v>5314</v>
      </c>
      <c r="AN2497" s="46" t="s">
        <v>5311</v>
      </c>
      <c r="AR2497" s="34" t="s">
        <v>94</v>
      </c>
      <c r="AS2497" s="34" t="s">
        <v>94</v>
      </c>
      <c r="AU2497" s="12" t="s">
        <v>5308</v>
      </c>
    </row>
    <row r="2498" spans="1:47" ht="12" customHeight="1" x14ac:dyDescent="0.2">
      <c r="A2498" s="95" t="s">
        <v>4596</v>
      </c>
      <c r="B2498" s="42">
        <v>901301</v>
      </c>
      <c r="C2498" s="42" t="s">
        <v>5016</v>
      </c>
      <c r="D2498" s="86" t="s">
        <v>5163</v>
      </c>
      <c r="E2498" s="86" t="s">
        <v>2</v>
      </c>
      <c r="F2498" s="32" t="s">
        <v>436</v>
      </c>
      <c r="G2498" s="32" t="s">
        <v>1568</v>
      </c>
      <c r="J2498" s="32" t="s">
        <v>4458</v>
      </c>
      <c r="K2498" s="32" t="s">
        <v>4459</v>
      </c>
      <c r="L2498" s="32" t="s">
        <v>4461</v>
      </c>
      <c r="M2498" s="32" t="s">
        <v>5378</v>
      </c>
      <c r="O2498" s="32">
        <v>9</v>
      </c>
      <c r="P2498" s="32">
        <v>91</v>
      </c>
      <c r="Y2498" s="12" t="s">
        <v>5384</v>
      </c>
      <c r="AD2498" s="12" t="s">
        <v>98</v>
      </c>
      <c r="AE2498" s="12" t="s">
        <v>5317</v>
      </c>
      <c r="AF2498" s="12" t="s">
        <v>2186</v>
      </c>
      <c r="AG2498" s="12" t="s">
        <v>98</v>
      </c>
      <c r="AH2498" s="12" t="s">
        <v>5315</v>
      </c>
      <c r="AN2498" s="46" t="s">
        <v>5311</v>
      </c>
      <c r="AU2498" s="12" t="s">
        <v>5308</v>
      </c>
    </row>
    <row r="2499" spans="1:47" ht="12" customHeight="1" x14ac:dyDescent="0.2">
      <c r="A2499" s="95" t="s">
        <v>4597</v>
      </c>
      <c r="B2499" s="42">
        <v>901401</v>
      </c>
      <c r="C2499" s="42" t="s">
        <v>5017</v>
      </c>
      <c r="D2499" s="86" t="s">
        <v>5164</v>
      </c>
      <c r="E2499" s="86" t="s">
        <v>2</v>
      </c>
      <c r="F2499" s="32" t="s">
        <v>436</v>
      </c>
      <c r="G2499" s="32" t="s">
        <v>1587</v>
      </c>
      <c r="J2499" s="32" t="s">
        <v>4458</v>
      </c>
      <c r="K2499" s="32" t="s">
        <v>4459</v>
      </c>
      <c r="L2499" s="32" t="s">
        <v>4461</v>
      </c>
      <c r="M2499" s="32" t="s">
        <v>5378</v>
      </c>
      <c r="O2499" s="32">
        <v>9</v>
      </c>
      <c r="P2499" s="32">
        <v>91</v>
      </c>
      <c r="W2499" s="12" t="s">
        <v>5385</v>
      </c>
      <c r="X2499" s="12" t="s">
        <v>5385</v>
      </c>
      <c r="AD2499" s="12" t="s">
        <v>98</v>
      </c>
      <c r="AE2499" s="12" t="s">
        <v>5317</v>
      </c>
      <c r="AF2499" s="12" t="s">
        <v>2186</v>
      </c>
      <c r="AG2499" s="12" t="s">
        <v>98</v>
      </c>
      <c r="AH2499" s="12" t="s">
        <v>5315</v>
      </c>
      <c r="AN2499" s="46" t="s">
        <v>5311</v>
      </c>
      <c r="AU2499" s="12" t="s">
        <v>5308</v>
      </c>
    </row>
    <row r="2500" spans="1:47" ht="12" customHeight="1" x14ac:dyDescent="0.2">
      <c r="A2500" s="95" t="s">
        <v>4598</v>
      </c>
      <c r="B2500" s="42">
        <v>901501</v>
      </c>
      <c r="C2500" s="42" t="s">
        <v>5018</v>
      </c>
      <c r="D2500" s="86" t="s">
        <v>5165</v>
      </c>
      <c r="E2500" s="86" t="s">
        <v>2</v>
      </c>
      <c r="F2500" s="32" t="s">
        <v>436</v>
      </c>
      <c r="G2500" s="32" t="s">
        <v>1606</v>
      </c>
      <c r="J2500" s="32" t="s">
        <v>4458</v>
      </c>
      <c r="K2500" s="32" t="s">
        <v>4459</v>
      </c>
      <c r="L2500" s="32" t="s">
        <v>4461</v>
      </c>
      <c r="M2500" s="32" t="s">
        <v>5378</v>
      </c>
      <c r="O2500" s="32">
        <v>9</v>
      </c>
      <c r="P2500" s="32">
        <v>91</v>
      </c>
      <c r="AB2500" s="12" t="s">
        <v>5386</v>
      </c>
      <c r="AD2500" s="12" t="s">
        <v>98</v>
      </c>
      <c r="AE2500" s="12" t="s">
        <v>5317</v>
      </c>
      <c r="AF2500" s="12" t="s">
        <v>2186</v>
      </c>
      <c r="AG2500" s="12" t="s">
        <v>98</v>
      </c>
      <c r="AH2500" s="12" t="s">
        <v>5315</v>
      </c>
      <c r="AN2500" s="46" t="s">
        <v>5311</v>
      </c>
      <c r="AU2500" s="12" t="s">
        <v>5308</v>
      </c>
    </row>
    <row r="2501" spans="1:47" ht="12" customHeight="1" x14ac:dyDescent="0.2">
      <c r="A2501" s="95" t="s">
        <v>4599</v>
      </c>
      <c r="B2501" s="42">
        <v>901601</v>
      </c>
      <c r="C2501" s="42" t="s">
        <v>5019</v>
      </c>
      <c r="D2501" s="86" t="s">
        <v>5166</v>
      </c>
      <c r="E2501" s="86" t="s">
        <v>2</v>
      </c>
      <c r="F2501" s="32" t="s">
        <v>436</v>
      </c>
      <c r="G2501" s="32" t="s">
        <v>1625</v>
      </c>
      <c r="J2501" s="32" t="s">
        <v>4458</v>
      </c>
      <c r="K2501" s="32" t="s">
        <v>4459</v>
      </c>
      <c r="L2501" s="32" t="s">
        <v>4461</v>
      </c>
      <c r="M2501" s="32" t="s">
        <v>5378</v>
      </c>
      <c r="O2501" s="32">
        <v>9</v>
      </c>
      <c r="P2501" s="32">
        <v>91</v>
      </c>
      <c r="AA2501" s="12" t="s">
        <v>5386</v>
      </c>
      <c r="AD2501" s="12" t="s">
        <v>98</v>
      </c>
      <c r="AE2501" s="12" t="s">
        <v>5317</v>
      </c>
      <c r="AF2501" s="12" t="s">
        <v>2186</v>
      </c>
      <c r="AG2501" s="12" t="s">
        <v>98</v>
      </c>
      <c r="AH2501" s="12" t="s">
        <v>5315</v>
      </c>
      <c r="AN2501" s="46" t="s">
        <v>5311</v>
      </c>
      <c r="AU2501" s="12" t="s">
        <v>5308</v>
      </c>
    </row>
    <row r="2502" spans="1:47" ht="12" customHeight="1" x14ac:dyDescent="0.2">
      <c r="A2502" s="95" t="s">
        <v>4600</v>
      </c>
      <c r="B2502" s="42">
        <v>901701</v>
      </c>
      <c r="C2502" s="42" t="s">
        <v>5020</v>
      </c>
      <c r="D2502" s="86" t="s">
        <v>5167</v>
      </c>
      <c r="E2502" s="86" t="s">
        <v>1629</v>
      </c>
      <c r="F2502" s="32" t="s">
        <v>436</v>
      </c>
      <c r="G2502" s="32" t="s">
        <v>1630</v>
      </c>
      <c r="J2502" s="32" t="s">
        <v>4458</v>
      </c>
      <c r="K2502" s="32" t="s">
        <v>4459</v>
      </c>
      <c r="L2502" s="32" t="s">
        <v>4461</v>
      </c>
      <c r="M2502" s="32" t="s">
        <v>5378</v>
      </c>
      <c r="O2502" s="32">
        <v>9</v>
      </c>
      <c r="P2502" s="32">
        <v>91</v>
      </c>
      <c r="Y2502" s="12" t="s">
        <v>5384</v>
      </c>
      <c r="AD2502" s="12" t="s">
        <v>98</v>
      </c>
      <c r="AE2502" s="12" t="s">
        <v>5317</v>
      </c>
      <c r="AF2502" s="12" t="s">
        <v>2186</v>
      </c>
      <c r="AG2502" s="12" t="s">
        <v>98</v>
      </c>
      <c r="AH2502" s="12" t="s">
        <v>5316</v>
      </c>
      <c r="AN2502" s="46" t="s">
        <v>5311</v>
      </c>
      <c r="AU2502" s="12" t="s">
        <v>5308</v>
      </c>
    </row>
    <row r="2503" spans="1:47" ht="12" customHeight="1" x14ac:dyDescent="0.2">
      <c r="A2503" s="95" t="s">
        <v>4601</v>
      </c>
      <c r="B2503" s="42">
        <v>901102</v>
      </c>
      <c r="C2503" s="42" t="s">
        <v>5021</v>
      </c>
      <c r="D2503" s="86" t="s">
        <v>5168</v>
      </c>
      <c r="E2503" s="86" t="s">
        <v>1</v>
      </c>
      <c r="F2503" s="32" t="s">
        <v>436</v>
      </c>
      <c r="G2503" s="32" t="s">
        <v>1453</v>
      </c>
      <c r="J2503" s="32" t="s">
        <v>4458</v>
      </c>
      <c r="K2503" s="32" t="s">
        <v>4459</v>
      </c>
      <c r="L2503" s="32" t="s">
        <v>4461</v>
      </c>
      <c r="M2503" s="32" t="s">
        <v>5380</v>
      </c>
      <c r="O2503" s="32">
        <v>9</v>
      </c>
      <c r="P2503" s="32">
        <v>91</v>
      </c>
      <c r="AA2503" s="12" t="s">
        <v>5383</v>
      </c>
      <c r="AD2503" s="12" t="s">
        <v>98</v>
      </c>
      <c r="AE2503" s="12" t="s">
        <v>5317</v>
      </c>
      <c r="AF2503" s="12" t="s">
        <v>2186</v>
      </c>
      <c r="AG2503" s="12" t="s">
        <v>98</v>
      </c>
      <c r="AH2503" s="12" t="s">
        <v>5313</v>
      </c>
      <c r="AN2503" s="46" t="s">
        <v>5312</v>
      </c>
      <c r="AR2503" s="34" t="s">
        <v>94</v>
      </c>
      <c r="AS2503" s="34" t="s">
        <v>94</v>
      </c>
      <c r="AU2503" s="12" t="s">
        <v>5309</v>
      </c>
    </row>
    <row r="2504" spans="1:47" ht="12" customHeight="1" x14ac:dyDescent="0.2">
      <c r="A2504" s="95" t="s">
        <v>4602</v>
      </c>
      <c r="B2504" s="42">
        <v>901202</v>
      </c>
      <c r="C2504" s="42" t="s">
        <v>5022</v>
      </c>
      <c r="D2504" s="86" t="s">
        <v>5169</v>
      </c>
      <c r="E2504" s="86" t="s">
        <v>501</v>
      </c>
      <c r="F2504" s="32" t="s">
        <v>436</v>
      </c>
      <c r="G2504" s="32" t="s">
        <v>1453</v>
      </c>
      <c r="J2504" s="32" t="s">
        <v>4458</v>
      </c>
      <c r="K2504" s="32" t="s">
        <v>4459</v>
      </c>
      <c r="L2504" s="32" t="s">
        <v>4461</v>
      </c>
      <c r="M2504" s="32" t="s">
        <v>5380</v>
      </c>
      <c r="O2504" s="32">
        <v>9</v>
      </c>
      <c r="P2504" s="32">
        <v>91</v>
      </c>
      <c r="AB2504" s="12" t="s">
        <v>5383</v>
      </c>
      <c r="AD2504" s="12" t="s">
        <v>98</v>
      </c>
      <c r="AE2504" s="12" t="s">
        <v>5317</v>
      </c>
      <c r="AF2504" s="12" t="s">
        <v>2186</v>
      </c>
      <c r="AG2504" s="12" t="s">
        <v>98</v>
      </c>
      <c r="AH2504" s="12" t="s">
        <v>5314</v>
      </c>
      <c r="AN2504" s="46" t="s">
        <v>5312</v>
      </c>
      <c r="AR2504" s="34" t="s">
        <v>94</v>
      </c>
      <c r="AS2504" s="34" t="s">
        <v>94</v>
      </c>
      <c r="AU2504" s="12" t="s">
        <v>5309</v>
      </c>
    </row>
    <row r="2505" spans="1:47" ht="12" customHeight="1" x14ac:dyDescent="0.2">
      <c r="A2505" s="95" t="s">
        <v>4603</v>
      </c>
      <c r="B2505" s="42">
        <v>901302</v>
      </c>
      <c r="C2505" s="42" t="s">
        <v>5023</v>
      </c>
      <c r="D2505" s="86" t="s">
        <v>5170</v>
      </c>
      <c r="E2505" s="86" t="s">
        <v>2</v>
      </c>
      <c r="F2505" s="32" t="s">
        <v>436</v>
      </c>
      <c r="G2505" s="32" t="s">
        <v>1568</v>
      </c>
      <c r="J2505" s="32" t="s">
        <v>4458</v>
      </c>
      <c r="K2505" s="32" t="s">
        <v>4459</v>
      </c>
      <c r="L2505" s="32" t="s">
        <v>4461</v>
      </c>
      <c r="M2505" s="32" t="s">
        <v>5380</v>
      </c>
      <c r="O2505" s="32">
        <v>9</v>
      </c>
      <c r="P2505" s="32">
        <v>91</v>
      </c>
      <c r="Y2505" s="12" t="s">
        <v>5384</v>
      </c>
      <c r="AD2505" s="12" t="s">
        <v>98</v>
      </c>
      <c r="AE2505" s="12" t="s">
        <v>5317</v>
      </c>
      <c r="AF2505" s="12" t="s">
        <v>2186</v>
      </c>
      <c r="AG2505" s="12" t="s">
        <v>98</v>
      </c>
      <c r="AH2505" s="12" t="s">
        <v>5315</v>
      </c>
      <c r="AN2505" s="46" t="s">
        <v>5312</v>
      </c>
      <c r="AU2505" s="12" t="s">
        <v>5309</v>
      </c>
    </row>
    <row r="2506" spans="1:47" ht="12" customHeight="1" x14ac:dyDescent="0.2">
      <c r="A2506" s="95" t="s">
        <v>4604</v>
      </c>
      <c r="B2506" s="42">
        <v>901402</v>
      </c>
      <c r="C2506" s="42" t="s">
        <v>5024</v>
      </c>
      <c r="D2506" s="86" t="s">
        <v>5171</v>
      </c>
      <c r="E2506" s="86" t="s">
        <v>2</v>
      </c>
      <c r="F2506" s="32" t="s">
        <v>436</v>
      </c>
      <c r="G2506" s="32" t="s">
        <v>1587</v>
      </c>
      <c r="J2506" s="32" t="s">
        <v>4458</v>
      </c>
      <c r="K2506" s="32" t="s">
        <v>4459</v>
      </c>
      <c r="L2506" s="32" t="s">
        <v>4461</v>
      </c>
      <c r="M2506" s="32" t="s">
        <v>5380</v>
      </c>
      <c r="O2506" s="32">
        <v>9</v>
      </c>
      <c r="P2506" s="32">
        <v>91</v>
      </c>
      <c r="W2506" s="12" t="s">
        <v>5385</v>
      </c>
      <c r="X2506" s="12" t="s">
        <v>5385</v>
      </c>
      <c r="AD2506" s="12" t="s">
        <v>98</v>
      </c>
      <c r="AE2506" s="12" t="s">
        <v>5317</v>
      </c>
      <c r="AF2506" s="12" t="s">
        <v>2186</v>
      </c>
      <c r="AG2506" s="12" t="s">
        <v>98</v>
      </c>
      <c r="AH2506" s="12" t="s">
        <v>5315</v>
      </c>
      <c r="AN2506" s="46" t="s">
        <v>5312</v>
      </c>
      <c r="AU2506" s="12" t="s">
        <v>5309</v>
      </c>
    </row>
    <row r="2507" spans="1:47" ht="12" customHeight="1" x14ac:dyDescent="0.2">
      <c r="A2507" s="95" t="s">
        <v>4605</v>
      </c>
      <c r="B2507" s="42">
        <v>901502</v>
      </c>
      <c r="C2507" s="42" t="s">
        <v>5025</v>
      </c>
      <c r="D2507" s="86" t="s">
        <v>5172</v>
      </c>
      <c r="E2507" s="86" t="s">
        <v>2</v>
      </c>
      <c r="F2507" s="32" t="s">
        <v>436</v>
      </c>
      <c r="G2507" s="32" t="s">
        <v>1606</v>
      </c>
      <c r="J2507" s="32" t="s">
        <v>4458</v>
      </c>
      <c r="K2507" s="32" t="s">
        <v>4459</v>
      </c>
      <c r="L2507" s="32" t="s">
        <v>4461</v>
      </c>
      <c r="M2507" s="32" t="s">
        <v>5380</v>
      </c>
      <c r="O2507" s="32">
        <v>9</v>
      </c>
      <c r="P2507" s="32">
        <v>91</v>
      </c>
      <c r="AB2507" s="12" t="s">
        <v>5386</v>
      </c>
      <c r="AD2507" s="12" t="s">
        <v>98</v>
      </c>
      <c r="AE2507" s="12" t="s">
        <v>5317</v>
      </c>
      <c r="AF2507" s="12" t="s">
        <v>2186</v>
      </c>
      <c r="AG2507" s="12" t="s">
        <v>98</v>
      </c>
      <c r="AH2507" s="12" t="s">
        <v>5315</v>
      </c>
      <c r="AN2507" s="46" t="s">
        <v>5312</v>
      </c>
      <c r="AU2507" s="12" t="s">
        <v>5309</v>
      </c>
    </row>
    <row r="2508" spans="1:47" ht="12" customHeight="1" x14ac:dyDescent="0.2">
      <c r="A2508" s="95" t="s">
        <v>4606</v>
      </c>
      <c r="B2508" s="42">
        <v>901602</v>
      </c>
      <c r="C2508" s="42" t="s">
        <v>5026</v>
      </c>
      <c r="D2508" s="86" t="s">
        <v>5173</v>
      </c>
      <c r="E2508" s="86" t="s">
        <v>2</v>
      </c>
      <c r="F2508" s="32" t="s">
        <v>436</v>
      </c>
      <c r="G2508" s="32" t="s">
        <v>1625</v>
      </c>
      <c r="J2508" s="32" t="s">
        <v>4458</v>
      </c>
      <c r="K2508" s="32" t="s">
        <v>4459</v>
      </c>
      <c r="L2508" s="32" t="s">
        <v>4461</v>
      </c>
      <c r="M2508" s="32" t="s">
        <v>5380</v>
      </c>
      <c r="O2508" s="32">
        <v>9</v>
      </c>
      <c r="P2508" s="32">
        <v>91</v>
      </c>
      <c r="AA2508" s="12" t="s">
        <v>5386</v>
      </c>
      <c r="AD2508" s="12" t="s">
        <v>98</v>
      </c>
      <c r="AE2508" s="12" t="s">
        <v>5317</v>
      </c>
      <c r="AF2508" s="12" t="s">
        <v>2186</v>
      </c>
      <c r="AG2508" s="12" t="s">
        <v>98</v>
      </c>
      <c r="AH2508" s="12" t="s">
        <v>5315</v>
      </c>
      <c r="AN2508" s="46" t="s">
        <v>5312</v>
      </c>
      <c r="AU2508" s="12" t="s">
        <v>5309</v>
      </c>
    </row>
    <row r="2509" spans="1:47" ht="12" customHeight="1" x14ac:dyDescent="0.2">
      <c r="A2509" s="95" t="s">
        <v>4607</v>
      </c>
      <c r="B2509" s="42">
        <v>901702</v>
      </c>
      <c r="C2509" s="42" t="s">
        <v>5027</v>
      </c>
      <c r="D2509" s="86" t="s">
        <v>5174</v>
      </c>
      <c r="E2509" s="86" t="s">
        <v>1629</v>
      </c>
      <c r="F2509" s="32" t="s">
        <v>436</v>
      </c>
      <c r="G2509" s="32" t="s">
        <v>1630</v>
      </c>
      <c r="J2509" s="32" t="s">
        <v>4458</v>
      </c>
      <c r="K2509" s="32" t="s">
        <v>4459</v>
      </c>
      <c r="L2509" s="32" t="s">
        <v>4461</v>
      </c>
      <c r="M2509" s="32" t="s">
        <v>5380</v>
      </c>
      <c r="O2509" s="32">
        <v>9</v>
      </c>
      <c r="P2509" s="32">
        <v>91</v>
      </c>
      <c r="Y2509" s="12" t="s">
        <v>5384</v>
      </c>
      <c r="AD2509" s="12" t="s">
        <v>98</v>
      </c>
      <c r="AE2509" s="12" t="s">
        <v>5317</v>
      </c>
      <c r="AF2509" s="12" t="s">
        <v>2186</v>
      </c>
      <c r="AG2509" s="12" t="s">
        <v>98</v>
      </c>
      <c r="AH2509" s="12" t="s">
        <v>5316</v>
      </c>
      <c r="AN2509" s="46" t="s">
        <v>5312</v>
      </c>
      <c r="AU2509" s="12" t="s">
        <v>5309</v>
      </c>
    </row>
    <row r="2510" spans="1:47" ht="12" customHeight="1" x14ac:dyDescent="0.2">
      <c r="A2510" s="95" t="s">
        <v>4608</v>
      </c>
      <c r="B2510" s="42">
        <v>901103</v>
      </c>
      <c r="C2510" s="42" t="s">
        <v>5028</v>
      </c>
      <c r="D2510" s="86" t="s">
        <v>5175</v>
      </c>
      <c r="E2510" s="86" t="s">
        <v>1</v>
      </c>
      <c r="F2510" s="32" t="s">
        <v>436</v>
      </c>
      <c r="G2510" s="32" t="s">
        <v>1453</v>
      </c>
      <c r="J2510" s="32" t="s">
        <v>4458</v>
      </c>
      <c r="K2510" s="32" t="s">
        <v>4459</v>
      </c>
      <c r="L2510" s="32" t="s">
        <v>4461</v>
      </c>
      <c r="M2510" s="32" t="s">
        <v>5379</v>
      </c>
      <c r="O2510" s="32">
        <v>9</v>
      </c>
      <c r="P2510" s="32">
        <v>91</v>
      </c>
      <c r="AA2510" s="12" t="s">
        <v>5383</v>
      </c>
      <c r="AD2510" s="12" t="s">
        <v>98</v>
      </c>
      <c r="AE2510" s="12" t="s">
        <v>5317</v>
      </c>
      <c r="AF2510" s="12" t="s">
        <v>2186</v>
      </c>
      <c r="AG2510" s="12" t="s">
        <v>98</v>
      </c>
      <c r="AH2510" s="12" t="s">
        <v>5313</v>
      </c>
      <c r="AN2510" s="46">
        <v>1103</v>
      </c>
      <c r="AR2510" s="34" t="s">
        <v>94</v>
      </c>
      <c r="AS2510" s="34" t="s">
        <v>94</v>
      </c>
      <c r="AU2510" s="12" t="s">
        <v>5310</v>
      </c>
    </row>
    <row r="2511" spans="1:47" ht="12" customHeight="1" x14ac:dyDescent="0.2">
      <c r="A2511" s="95" t="s">
        <v>4609</v>
      </c>
      <c r="B2511" s="42">
        <v>901203</v>
      </c>
      <c r="C2511" s="42" t="s">
        <v>5029</v>
      </c>
      <c r="D2511" s="86" t="s">
        <v>5176</v>
      </c>
      <c r="E2511" s="86" t="s">
        <v>501</v>
      </c>
      <c r="F2511" s="32" t="s">
        <v>436</v>
      </c>
      <c r="G2511" s="32" t="s">
        <v>1453</v>
      </c>
      <c r="J2511" s="32" t="s">
        <v>4458</v>
      </c>
      <c r="K2511" s="32" t="s">
        <v>4459</v>
      </c>
      <c r="L2511" s="32" t="s">
        <v>4461</v>
      </c>
      <c r="M2511" s="32" t="s">
        <v>5379</v>
      </c>
      <c r="O2511" s="32">
        <v>9</v>
      </c>
      <c r="P2511" s="32">
        <v>91</v>
      </c>
      <c r="AB2511" s="12" t="s">
        <v>5383</v>
      </c>
      <c r="AD2511" s="12" t="s">
        <v>98</v>
      </c>
      <c r="AE2511" s="12" t="s">
        <v>5317</v>
      </c>
      <c r="AF2511" s="12" t="s">
        <v>2186</v>
      </c>
      <c r="AG2511" s="12" t="s">
        <v>98</v>
      </c>
      <c r="AH2511" s="12" t="s">
        <v>5314</v>
      </c>
      <c r="AN2511" s="46">
        <v>1103</v>
      </c>
      <c r="AR2511" s="34" t="s">
        <v>94</v>
      </c>
      <c r="AS2511" s="34" t="s">
        <v>94</v>
      </c>
      <c r="AU2511" s="12" t="s">
        <v>5310</v>
      </c>
    </row>
    <row r="2512" spans="1:47" ht="12" customHeight="1" x14ac:dyDescent="0.2">
      <c r="A2512" s="95" t="s">
        <v>4610</v>
      </c>
      <c r="B2512" s="42">
        <v>901303</v>
      </c>
      <c r="C2512" s="42" t="s">
        <v>5030</v>
      </c>
      <c r="D2512" s="86" t="s">
        <v>5177</v>
      </c>
      <c r="E2512" s="86" t="s">
        <v>2</v>
      </c>
      <c r="F2512" s="32" t="s">
        <v>436</v>
      </c>
      <c r="G2512" s="32" t="s">
        <v>1568</v>
      </c>
      <c r="J2512" s="32" t="s">
        <v>4458</v>
      </c>
      <c r="K2512" s="32" t="s">
        <v>4459</v>
      </c>
      <c r="L2512" s="32" t="s">
        <v>4461</v>
      </c>
      <c r="M2512" s="32" t="s">
        <v>5379</v>
      </c>
      <c r="O2512" s="32">
        <v>9</v>
      </c>
      <c r="P2512" s="32">
        <v>91</v>
      </c>
      <c r="Y2512" s="12" t="s">
        <v>5384</v>
      </c>
      <c r="AD2512" s="12" t="s">
        <v>98</v>
      </c>
      <c r="AE2512" s="12" t="s">
        <v>5317</v>
      </c>
      <c r="AF2512" s="12" t="s">
        <v>2186</v>
      </c>
      <c r="AG2512" s="12" t="s">
        <v>98</v>
      </c>
      <c r="AH2512" s="12" t="s">
        <v>5315</v>
      </c>
      <c r="AN2512" s="46">
        <v>1103</v>
      </c>
      <c r="AU2512" s="12" t="s">
        <v>5310</v>
      </c>
    </row>
    <row r="2513" spans="1:47" ht="12" customHeight="1" x14ac:dyDescent="0.2">
      <c r="A2513" s="95" t="s">
        <v>4611</v>
      </c>
      <c r="B2513" s="42">
        <v>901403</v>
      </c>
      <c r="C2513" s="42" t="s">
        <v>5031</v>
      </c>
      <c r="D2513" s="86" t="s">
        <v>5178</v>
      </c>
      <c r="E2513" s="86" t="s">
        <v>2</v>
      </c>
      <c r="F2513" s="32" t="s">
        <v>436</v>
      </c>
      <c r="G2513" s="32" t="s">
        <v>1587</v>
      </c>
      <c r="J2513" s="32" t="s">
        <v>4458</v>
      </c>
      <c r="K2513" s="32" t="s">
        <v>4459</v>
      </c>
      <c r="L2513" s="32" t="s">
        <v>4461</v>
      </c>
      <c r="M2513" s="32" t="s">
        <v>5379</v>
      </c>
      <c r="O2513" s="32">
        <v>9</v>
      </c>
      <c r="P2513" s="32">
        <v>91</v>
      </c>
      <c r="W2513" s="12" t="s">
        <v>5385</v>
      </c>
      <c r="X2513" s="12" t="s">
        <v>5385</v>
      </c>
      <c r="AD2513" s="12" t="s">
        <v>98</v>
      </c>
      <c r="AE2513" s="12" t="s">
        <v>5317</v>
      </c>
      <c r="AF2513" s="12" t="s">
        <v>2186</v>
      </c>
      <c r="AG2513" s="12" t="s">
        <v>98</v>
      </c>
      <c r="AH2513" s="12" t="s">
        <v>5315</v>
      </c>
      <c r="AN2513" s="46">
        <v>1103</v>
      </c>
      <c r="AU2513" s="12" t="s">
        <v>5310</v>
      </c>
    </row>
    <row r="2514" spans="1:47" ht="12" customHeight="1" x14ac:dyDescent="0.2">
      <c r="A2514" s="95" t="s">
        <v>4612</v>
      </c>
      <c r="B2514" s="42">
        <v>901503</v>
      </c>
      <c r="C2514" s="42" t="s">
        <v>5032</v>
      </c>
      <c r="D2514" s="86" t="s">
        <v>5179</v>
      </c>
      <c r="E2514" s="86" t="s">
        <v>2</v>
      </c>
      <c r="F2514" s="32" t="s">
        <v>436</v>
      </c>
      <c r="G2514" s="32" t="s">
        <v>1606</v>
      </c>
      <c r="J2514" s="32" t="s">
        <v>4458</v>
      </c>
      <c r="K2514" s="32" t="s">
        <v>4459</v>
      </c>
      <c r="L2514" s="32" t="s">
        <v>4461</v>
      </c>
      <c r="M2514" s="32" t="s">
        <v>5379</v>
      </c>
      <c r="O2514" s="32">
        <v>9</v>
      </c>
      <c r="P2514" s="32">
        <v>91</v>
      </c>
      <c r="AB2514" s="12" t="s">
        <v>5386</v>
      </c>
      <c r="AD2514" s="12" t="s">
        <v>98</v>
      </c>
      <c r="AE2514" s="12" t="s">
        <v>5317</v>
      </c>
      <c r="AF2514" s="12" t="s">
        <v>2186</v>
      </c>
      <c r="AG2514" s="12" t="s">
        <v>98</v>
      </c>
      <c r="AH2514" s="12" t="s">
        <v>5315</v>
      </c>
      <c r="AN2514" s="46">
        <v>1103</v>
      </c>
      <c r="AU2514" s="12" t="s">
        <v>5310</v>
      </c>
    </row>
    <row r="2515" spans="1:47" ht="12" customHeight="1" x14ac:dyDescent="0.2">
      <c r="A2515" s="95" t="s">
        <v>4613</v>
      </c>
      <c r="B2515" s="42">
        <v>901603</v>
      </c>
      <c r="C2515" s="42" t="s">
        <v>5033</v>
      </c>
      <c r="D2515" s="86" t="s">
        <v>5180</v>
      </c>
      <c r="E2515" s="86" t="s">
        <v>2</v>
      </c>
      <c r="F2515" s="32" t="s">
        <v>436</v>
      </c>
      <c r="G2515" s="32" t="s">
        <v>1625</v>
      </c>
      <c r="J2515" s="32" t="s">
        <v>4458</v>
      </c>
      <c r="K2515" s="32" t="s">
        <v>4459</v>
      </c>
      <c r="L2515" s="32" t="s">
        <v>4461</v>
      </c>
      <c r="M2515" s="32" t="s">
        <v>5379</v>
      </c>
      <c r="O2515" s="32">
        <v>9</v>
      </c>
      <c r="P2515" s="32">
        <v>91</v>
      </c>
      <c r="AA2515" s="12" t="s">
        <v>5386</v>
      </c>
      <c r="AD2515" s="12" t="s">
        <v>98</v>
      </c>
      <c r="AE2515" s="12" t="s">
        <v>5317</v>
      </c>
      <c r="AF2515" s="12" t="s">
        <v>2186</v>
      </c>
      <c r="AG2515" s="12" t="s">
        <v>98</v>
      </c>
      <c r="AH2515" s="12" t="s">
        <v>5315</v>
      </c>
      <c r="AN2515" s="46">
        <v>1103</v>
      </c>
      <c r="AU2515" s="12" t="s">
        <v>5310</v>
      </c>
    </row>
    <row r="2516" spans="1:47" ht="12" customHeight="1" x14ac:dyDescent="0.2">
      <c r="A2516" s="95" t="s">
        <v>4614</v>
      </c>
      <c r="B2516" s="42">
        <v>901703</v>
      </c>
      <c r="C2516" s="42" t="s">
        <v>5034</v>
      </c>
      <c r="D2516" s="86" t="s">
        <v>5181</v>
      </c>
      <c r="E2516" s="86" t="s">
        <v>1629</v>
      </c>
      <c r="F2516" s="32" t="s">
        <v>436</v>
      </c>
      <c r="G2516" s="32" t="s">
        <v>1630</v>
      </c>
      <c r="J2516" s="32" t="s">
        <v>4458</v>
      </c>
      <c r="K2516" s="32" t="s">
        <v>4459</v>
      </c>
      <c r="L2516" s="32" t="s">
        <v>4461</v>
      </c>
      <c r="M2516" s="32" t="s">
        <v>5379</v>
      </c>
      <c r="O2516" s="32">
        <v>9</v>
      </c>
      <c r="P2516" s="32">
        <v>91</v>
      </c>
      <c r="Y2516" s="12" t="s">
        <v>5384</v>
      </c>
      <c r="AD2516" s="12" t="s">
        <v>98</v>
      </c>
      <c r="AE2516" s="12" t="s">
        <v>5317</v>
      </c>
      <c r="AF2516" s="12" t="s">
        <v>2186</v>
      </c>
      <c r="AG2516" s="12" t="s">
        <v>98</v>
      </c>
      <c r="AH2516" s="12" t="s">
        <v>5316</v>
      </c>
      <c r="AN2516" s="46">
        <v>1103</v>
      </c>
      <c r="AU2516" s="12" t="s">
        <v>5310</v>
      </c>
    </row>
    <row r="2517" spans="1:47" ht="12" customHeight="1" x14ac:dyDescent="0.2">
      <c r="A2517" s="95" t="s">
        <v>4615</v>
      </c>
      <c r="B2517" s="42">
        <v>902101</v>
      </c>
      <c r="C2517" s="42" t="s">
        <v>5035</v>
      </c>
      <c r="D2517" s="86" t="s">
        <v>5182</v>
      </c>
      <c r="E2517" s="86" t="s">
        <v>1</v>
      </c>
      <c r="F2517" s="32" t="s">
        <v>928</v>
      </c>
      <c r="G2517" s="32" t="s">
        <v>1453</v>
      </c>
      <c r="J2517" s="32" t="s">
        <v>4458</v>
      </c>
      <c r="K2517" s="32" t="s">
        <v>4459</v>
      </c>
      <c r="L2517" s="32" t="s">
        <v>4461</v>
      </c>
      <c r="M2517" s="32" t="s">
        <v>5378</v>
      </c>
      <c r="O2517" s="32">
        <v>9</v>
      </c>
      <c r="P2517" s="32">
        <v>91</v>
      </c>
      <c r="AA2517" s="12" t="s">
        <v>5383</v>
      </c>
      <c r="AD2517" s="12" t="s">
        <v>98</v>
      </c>
      <c r="AE2517" s="12" t="s">
        <v>5317</v>
      </c>
      <c r="AF2517" s="12" t="s">
        <v>2186</v>
      </c>
      <c r="AG2517" s="12" t="s">
        <v>98</v>
      </c>
      <c r="AH2517" s="12" t="s">
        <v>5313</v>
      </c>
      <c r="AN2517" s="46">
        <v>1201</v>
      </c>
      <c r="AR2517" s="34" t="s">
        <v>94</v>
      </c>
      <c r="AS2517" s="34" t="s">
        <v>94</v>
      </c>
      <c r="AU2517" s="12" t="s">
        <v>5308</v>
      </c>
    </row>
    <row r="2518" spans="1:47" ht="12" customHeight="1" x14ac:dyDescent="0.2">
      <c r="A2518" s="95" t="s">
        <v>4616</v>
      </c>
      <c r="B2518" s="42">
        <v>902201</v>
      </c>
      <c r="C2518" s="42" t="s">
        <v>5036</v>
      </c>
      <c r="D2518" s="86" t="s">
        <v>5183</v>
      </c>
      <c r="E2518" s="86" t="s">
        <v>501</v>
      </c>
      <c r="F2518" s="32" t="s">
        <v>928</v>
      </c>
      <c r="G2518" s="32" t="s">
        <v>1453</v>
      </c>
      <c r="J2518" s="32" t="s">
        <v>4458</v>
      </c>
      <c r="K2518" s="32" t="s">
        <v>4459</v>
      </c>
      <c r="L2518" s="32" t="s">
        <v>4461</v>
      </c>
      <c r="M2518" s="32" t="s">
        <v>5378</v>
      </c>
      <c r="O2518" s="32">
        <v>9</v>
      </c>
      <c r="P2518" s="32">
        <v>91</v>
      </c>
      <c r="AB2518" s="12" t="s">
        <v>5383</v>
      </c>
      <c r="AD2518" s="12" t="s">
        <v>98</v>
      </c>
      <c r="AE2518" s="12" t="s">
        <v>5317</v>
      </c>
      <c r="AF2518" s="12" t="s">
        <v>2186</v>
      </c>
      <c r="AG2518" s="12" t="s">
        <v>98</v>
      </c>
      <c r="AH2518" s="12" t="s">
        <v>5314</v>
      </c>
      <c r="AN2518" s="46">
        <v>1201</v>
      </c>
      <c r="AR2518" s="34" t="s">
        <v>94</v>
      </c>
      <c r="AS2518" s="34" t="s">
        <v>94</v>
      </c>
      <c r="AU2518" s="12" t="s">
        <v>5308</v>
      </c>
    </row>
    <row r="2519" spans="1:47" ht="12" customHeight="1" x14ac:dyDescent="0.2">
      <c r="A2519" s="95" t="s">
        <v>4617</v>
      </c>
      <c r="B2519" s="42">
        <v>902301</v>
      </c>
      <c r="C2519" s="42" t="s">
        <v>5037</v>
      </c>
      <c r="D2519" s="86" t="s">
        <v>5184</v>
      </c>
      <c r="E2519" s="86" t="s">
        <v>2</v>
      </c>
      <c r="F2519" s="32" t="s">
        <v>928</v>
      </c>
      <c r="G2519" s="32" t="s">
        <v>1568</v>
      </c>
      <c r="J2519" s="32" t="s">
        <v>4458</v>
      </c>
      <c r="K2519" s="32" t="s">
        <v>4459</v>
      </c>
      <c r="L2519" s="32" t="s">
        <v>4461</v>
      </c>
      <c r="M2519" s="32" t="s">
        <v>5378</v>
      </c>
      <c r="O2519" s="32">
        <v>9</v>
      </c>
      <c r="P2519" s="32">
        <v>91</v>
      </c>
      <c r="Y2519" s="12" t="s">
        <v>5384</v>
      </c>
      <c r="AD2519" s="12" t="s">
        <v>98</v>
      </c>
      <c r="AE2519" s="12" t="s">
        <v>5317</v>
      </c>
      <c r="AF2519" s="12" t="s">
        <v>2186</v>
      </c>
      <c r="AG2519" s="12" t="s">
        <v>98</v>
      </c>
      <c r="AH2519" s="12" t="s">
        <v>5315</v>
      </c>
      <c r="AN2519" s="46">
        <v>1201</v>
      </c>
      <c r="AU2519" s="12" t="s">
        <v>5308</v>
      </c>
    </row>
    <row r="2520" spans="1:47" ht="12" customHeight="1" x14ac:dyDescent="0.2">
      <c r="A2520" s="95" t="s">
        <v>4618</v>
      </c>
      <c r="B2520" s="42">
        <v>902401</v>
      </c>
      <c r="C2520" s="42" t="s">
        <v>5038</v>
      </c>
      <c r="D2520" s="86" t="s">
        <v>5185</v>
      </c>
      <c r="E2520" s="86" t="s">
        <v>2</v>
      </c>
      <c r="F2520" s="32" t="s">
        <v>928</v>
      </c>
      <c r="G2520" s="32" t="s">
        <v>1587</v>
      </c>
      <c r="J2520" s="32" t="s">
        <v>4458</v>
      </c>
      <c r="K2520" s="32" t="s">
        <v>4459</v>
      </c>
      <c r="L2520" s="32" t="s">
        <v>4461</v>
      </c>
      <c r="M2520" s="32" t="s">
        <v>5378</v>
      </c>
      <c r="O2520" s="32">
        <v>9</v>
      </c>
      <c r="P2520" s="32">
        <v>91</v>
      </c>
      <c r="W2520" s="12" t="s">
        <v>5385</v>
      </c>
      <c r="X2520" s="12" t="s">
        <v>5385</v>
      </c>
      <c r="AD2520" s="12" t="s">
        <v>98</v>
      </c>
      <c r="AE2520" s="12" t="s">
        <v>5317</v>
      </c>
      <c r="AF2520" s="12" t="s">
        <v>2186</v>
      </c>
      <c r="AG2520" s="12" t="s">
        <v>98</v>
      </c>
      <c r="AH2520" s="12" t="s">
        <v>5315</v>
      </c>
      <c r="AN2520" s="46">
        <v>1201</v>
      </c>
      <c r="AU2520" s="12" t="s">
        <v>5308</v>
      </c>
    </row>
    <row r="2521" spans="1:47" ht="12" customHeight="1" x14ac:dyDescent="0.2">
      <c r="A2521" s="95" t="s">
        <v>4619</v>
      </c>
      <c r="B2521" s="42">
        <v>902501</v>
      </c>
      <c r="C2521" s="42" t="s">
        <v>5039</v>
      </c>
      <c r="D2521" s="86" t="s">
        <v>5186</v>
      </c>
      <c r="E2521" s="86" t="s">
        <v>2</v>
      </c>
      <c r="F2521" s="32" t="s">
        <v>928</v>
      </c>
      <c r="G2521" s="32" t="s">
        <v>1606</v>
      </c>
      <c r="J2521" s="32" t="s">
        <v>4458</v>
      </c>
      <c r="K2521" s="32" t="s">
        <v>4459</v>
      </c>
      <c r="L2521" s="32" t="s">
        <v>4461</v>
      </c>
      <c r="M2521" s="32" t="s">
        <v>5378</v>
      </c>
      <c r="O2521" s="32">
        <v>9</v>
      </c>
      <c r="P2521" s="32">
        <v>91</v>
      </c>
      <c r="AB2521" s="12" t="s">
        <v>5386</v>
      </c>
      <c r="AD2521" s="12" t="s">
        <v>98</v>
      </c>
      <c r="AE2521" s="12" t="s">
        <v>5317</v>
      </c>
      <c r="AF2521" s="12" t="s">
        <v>2186</v>
      </c>
      <c r="AG2521" s="12" t="s">
        <v>98</v>
      </c>
      <c r="AH2521" s="12" t="s">
        <v>5315</v>
      </c>
      <c r="AN2521" s="46">
        <v>1201</v>
      </c>
      <c r="AU2521" s="12" t="s">
        <v>5308</v>
      </c>
    </row>
    <row r="2522" spans="1:47" ht="12" customHeight="1" x14ac:dyDescent="0.2">
      <c r="A2522" s="95" t="s">
        <v>4620</v>
      </c>
      <c r="B2522" s="42">
        <v>902601</v>
      </c>
      <c r="C2522" s="42" t="s">
        <v>5040</v>
      </c>
      <c r="D2522" s="86" t="s">
        <v>5187</v>
      </c>
      <c r="E2522" s="86" t="s">
        <v>2</v>
      </c>
      <c r="F2522" s="32" t="s">
        <v>928</v>
      </c>
      <c r="G2522" s="32" t="s">
        <v>1625</v>
      </c>
      <c r="J2522" s="32" t="s">
        <v>4458</v>
      </c>
      <c r="K2522" s="32" t="s">
        <v>4459</v>
      </c>
      <c r="L2522" s="32" t="s">
        <v>4461</v>
      </c>
      <c r="M2522" s="32" t="s">
        <v>5378</v>
      </c>
      <c r="O2522" s="32">
        <v>9</v>
      </c>
      <c r="P2522" s="32">
        <v>91</v>
      </c>
      <c r="AA2522" s="12" t="s">
        <v>5386</v>
      </c>
      <c r="AD2522" s="12" t="s">
        <v>98</v>
      </c>
      <c r="AE2522" s="12" t="s">
        <v>5317</v>
      </c>
      <c r="AF2522" s="12" t="s">
        <v>2186</v>
      </c>
      <c r="AG2522" s="12" t="s">
        <v>98</v>
      </c>
      <c r="AH2522" s="12" t="s">
        <v>5315</v>
      </c>
      <c r="AN2522" s="46">
        <v>1201</v>
      </c>
      <c r="AU2522" s="12" t="s">
        <v>5308</v>
      </c>
    </row>
    <row r="2523" spans="1:47" ht="12" customHeight="1" x14ac:dyDescent="0.2">
      <c r="A2523" s="95" t="s">
        <v>4621</v>
      </c>
      <c r="B2523" s="42">
        <v>902701</v>
      </c>
      <c r="C2523" s="42" t="s">
        <v>5041</v>
      </c>
      <c r="D2523" s="86" t="s">
        <v>5188</v>
      </c>
      <c r="E2523" s="86" t="s">
        <v>1629</v>
      </c>
      <c r="F2523" s="32" t="s">
        <v>928</v>
      </c>
      <c r="G2523" s="32" t="s">
        <v>1630</v>
      </c>
      <c r="J2523" s="32" t="s">
        <v>4458</v>
      </c>
      <c r="K2523" s="32" t="s">
        <v>4459</v>
      </c>
      <c r="L2523" s="32" t="s">
        <v>4461</v>
      </c>
      <c r="M2523" s="32" t="s">
        <v>5378</v>
      </c>
      <c r="O2523" s="32">
        <v>9</v>
      </c>
      <c r="P2523" s="32">
        <v>91</v>
      </c>
      <c r="Y2523" s="12" t="s">
        <v>5384</v>
      </c>
      <c r="AD2523" s="12" t="s">
        <v>98</v>
      </c>
      <c r="AE2523" s="12" t="s">
        <v>5317</v>
      </c>
      <c r="AF2523" s="12" t="s">
        <v>2186</v>
      </c>
      <c r="AG2523" s="12" t="s">
        <v>98</v>
      </c>
      <c r="AH2523" s="12" t="s">
        <v>5316</v>
      </c>
      <c r="AN2523" s="46">
        <v>1201</v>
      </c>
      <c r="AU2523" s="12" t="s">
        <v>5308</v>
      </c>
    </row>
    <row r="2524" spans="1:47" ht="12" customHeight="1" x14ac:dyDescent="0.2">
      <c r="A2524" s="95" t="s">
        <v>4622</v>
      </c>
      <c r="B2524" s="42">
        <v>902102</v>
      </c>
      <c r="C2524" s="42" t="s">
        <v>5042</v>
      </c>
      <c r="D2524" s="86" t="s">
        <v>5189</v>
      </c>
      <c r="E2524" s="86" t="s">
        <v>1</v>
      </c>
      <c r="F2524" s="32" t="s">
        <v>928</v>
      </c>
      <c r="G2524" s="32" t="s">
        <v>1453</v>
      </c>
      <c r="J2524" s="32" t="s">
        <v>4458</v>
      </c>
      <c r="K2524" s="32" t="s">
        <v>4459</v>
      </c>
      <c r="L2524" s="32" t="s">
        <v>4461</v>
      </c>
      <c r="M2524" s="32" t="s">
        <v>5380</v>
      </c>
      <c r="O2524" s="32">
        <v>9</v>
      </c>
      <c r="P2524" s="32">
        <v>91</v>
      </c>
      <c r="AA2524" s="12" t="s">
        <v>5383</v>
      </c>
      <c r="AD2524" s="12" t="s">
        <v>98</v>
      </c>
      <c r="AE2524" s="12" t="s">
        <v>5317</v>
      </c>
      <c r="AF2524" s="12" t="s">
        <v>2186</v>
      </c>
      <c r="AG2524" s="12" t="s">
        <v>98</v>
      </c>
      <c r="AH2524" s="12" t="s">
        <v>5313</v>
      </c>
      <c r="AN2524" s="46">
        <v>1202</v>
      </c>
      <c r="AR2524" s="34" t="s">
        <v>94</v>
      </c>
      <c r="AS2524" s="34" t="s">
        <v>94</v>
      </c>
      <c r="AU2524" s="12" t="s">
        <v>5309</v>
      </c>
    </row>
    <row r="2525" spans="1:47" ht="12" customHeight="1" x14ac:dyDescent="0.2">
      <c r="A2525" s="95" t="s">
        <v>4623</v>
      </c>
      <c r="B2525" s="42">
        <v>902202</v>
      </c>
      <c r="C2525" s="42" t="s">
        <v>5043</v>
      </c>
      <c r="D2525" s="86" t="s">
        <v>5190</v>
      </c>
      <c r="E2525" s="86" t="s">
        <v>501</v>
      </c>
      <c r="F2525" s="32" t="s">
        <v>928</v>
      </c>
      <c r="G2525" s="32" t="s">
        <v>1453</v>
      </c>
      <c r="J2525" s="32" t="s">
        <v>4458</v>
      </c>
      <c r="K2525" s="32" t="s">
        <v>4459</v>
      </c>
      <c r="L2525" s="32" t="s">
        <v>4461</v>
      </c>
      <c r="M2525" s="32" t="s">
        <v>5380</v>
      </c>
      <c r="O2525" s="32">
        <v>9</v>
      </c>
      <c r="P2525" s="32">
        <v>91</v>
      </c>
      <c r="AB2525" s="12" t="s">
        <v>5383</v>
      </c>
      <c r="AD2525" s="12" t="s">
        <v>98</v>
      </c>
      <c r="AE2525" s="12" t="s">
        <v>5317</v>
      </c>
      <c r="AF2525" s="12" t="s">
        <v>2186</v>
      </c>
      <c r="AG2525" s="12" t="s">
        <v>98</v>
      </c>
      <c r="AH2525" s="12" t="s">
        <v>5314</v>
      </c>
      <c r="AN2525" s="46">
        <v>1202</v>
      </c>
      <c r="AR2525" s="34" t="s">
        <v>94</v>
      </c>
      <c r="AS2525" s="34" t="s">
        <v>94</v>
      </c>
      <c r="AU2525" s="12" t="s">
        <v>5309</v>
      </c>
    </row>
    <row r="2526" spans="1:47" ht="12" customHeight="1" x14ac:dyDescent="0.2">
      <c r="A2526" s="95" t="s">
        <v>4624</v>
      </c>
      <c r="B2526" s="42">
        <v>902302</v>
      </c>
      <c r="C2526" s="42" t="s">
        <v>5044</v>
      </c>
      <c r="D2526" s="86" t="s">
        <v>5191</v>
      </c>
      <c r="E2526" s="86" t="s">
        <v>2</v>
      </c>
      <c r="F2526" s="32" t="s">
        <v>928</v>
      </c>
      <c r="G2526" s="32" t="s">
        <v>1568</v>
      </c>
      <c r="J2526" s="32" t="s">
        <v>4458</v>
      </c>
      <c r="K2526" s="32" t="s">
        <v>4459</v>
      </c>
      <c r="L2526" s="32" t="s">
        <v>4461</v>
      </c>
      <c r="M2526" s="32" t="s">
        <v>5380</v>
      </c>
      <c r="O2526" s="32">
        <v>9</v>
      </c>
      <c r="P2526" s="32">
        <v>91</v>
      </c>
      <c r="Y2526" s="12" t="s">
        <v>5384</v>
      </c>
      <c r="AD2526" s="12" t="s">
        <v>98</v>
      </c>
      <c r="AE2526" s="12" t="s">
        <v>5317</v>
      </c>
      <c r="AF2526" s="12" t="s">
        <v>2186</v>
      </c>
      <c r="AG2526" s="12" t="s">
        <v>98</v>
      </c>
      <c r="AH2526" s="12" t="s">
        <v>5315</v>
      </c>
      <c r="AN2526" s="46">
        <v>1202</v>
      </c>
      <c r="AU2526" s="12" t="s">
        <v>5309</v>
      </c>
    </row>
    <row r="2527" spans="1:47" ht="12" customHeight="1" x14ac:dyDescent="0.2">
      <c r="A2527" s="95" t="s">
        <v>4625</v>
      </c>
      <c r="B2527" s="42">
        <v>902402</v>
      </c>
      <c r="C2527" s="42" t="s">
        <v>5045</v>
      </c>
      <c r="D2527" s="86" t="s">
        <v>5192</v>
      </c>
      <c r="E2527" s="86" t="s">
        <v>2</v>
      </c>
      <c r="F2527" s="32" t="s">
        <v>928</v>
      </c>
      <c r="G2527" s="32" t="s">
        <v>1587</v>
      </c>
      <c r="J2527" s="32" t="s">
        <v>4458</v>
      </c>
      <c r="K2527" s="32" t="s">
        <v>4459</v>
      </c>
      <c r="L2527" s="32" t="s">
        <v>4461</v>
      </c>
      <c r="M2527" s="32" t="s">
        <v>5380</v>
      </c>
      <c r="O2527" s="32">
        <v>9</v>
      </c>
      <c r="P2527" s="32">
        <v>91</v>
      </c>
      <c r="W2527" s="12" t="s">
        <v>5385</v>
      </c>
      <c r="X2527" s="12" t="s">
        <v>5385</v>
      </c>
      <c r="AD2527" s="12" t="s">
        <v>98</v>
      </c>
      <c r="AE2527" s="12" t="s">
        <v>5317</v>
      </c>
      <c r="AF2527" s="12" t="s">
        <v>2186</v>
      </c>
      <c r="AG2527" s="12" t="s">
        <v>98</v>
      </c>
      <c r="AH2527" s="12" t="s">
        <v>5315</v>
      </c>
      <c r="AN2527" s="46">
        <v>1202</v>
      </c>
      <c r="AU2527" s="12" t="s">
        <v>5309</v>
      </c>
    </row>
    <row r="2528" spans="1:47" ht="12" customHeight="1" x14ac:dyDescent="0.2">
      <c r="A2528" s="95" t="s">
        <v>4626</v>
      </c>
      <c r="B2528" s="42">
        <v>902502</v>
      </c>
      <c r="C2528" s="42" t="s">
        <v>5046</v>
      </c>
      <c r="D2528" s="86" t="s">
        <v>5193</v>
      </c>
      <c r="E2528" s="86" t="s">
        <v>2</v>
      </c>
      <c r="F2528" s="32" t="s">
        <v>928</v>
      </c>
      <c r="G2528" s="32" t="s">
        <v>1606</v>
      </c>
      <c r="J2528" s="32" t="s">
        <v>4458</v>
      </c>
      <c r="K2528" s="32" t="s">
        <v>4459</v>
      </c>
      <c r="L2528" s="32" t="s">
        <v>4461</v>
      </c>
      <c r="M2528" s="32" t="s">
        <v>5380</v>
      </c>
      <c r="O2528" s="32">
        <v>9</v>
      </c>
      <c r="P2528" s="32">
        <v>91</v>
      </c>
      <c r="AB2528" s="12" t="s">
        <v>5386</v>
      </c>
      <c r="AD2528" s="12" t="s">
        <v>98</v>
      </c>
      <c r="AE2528" s="12" t="s">
        <v>5317</v>
      </c>
      <c r="AF2528" s="12" t="s">
        <v>2186</v>
      </c>
      <c r="AG2528" s="12" t="s">
        <v>98</v>
      </c>
      <c r="AH2528" s="12" t="s">
        <v>5315</v>
      </c>
      <c r="AN2528" s="46">
        <v>1202</v>
      </c>
      <c r="AU2528" s="12" t="s">
        <v>5309</v>
      </c>
    </row>
    <row r="2529" spans="1:47" ht="12" customHeight="1" x14ac:dyDescent="0.2">
      <c r="A2529" s="95" t="s">
        <v>4627</v>
      </c>
      <c r="B2529" s="42">
        <v>902602</v>
      </c>
      <c r="C2529" s="42" t="s">
        <v>5047</v>
      </c>
      <c r="D2529" s="86" t="s">
        <v>5194</v>
      </c>
      <c r="E2529" s="86" t="s">
        <v>2</v>
      </c>
      <c r="F2529" s="32" t="s">
        <v>928</v>
      </c>
      <c r="G2529" s="32" t="s">
        <v>1625</v>
      </c>
      <c r="J2529" s="32" t="s">
        <v>4458</v>
      </c>
      <c r="K2529" s="32" t="s">
        <v>4459</v>
      </c>
      <c r="L2529" s="32" t="s">
        <v>4461</v>
      </c>
      <c r="M2529" s="32" t="s">
        <v>5380</v>
      </c>
      <c r="O2529" s="32">
        <v>9</v>
      </c>
      <c r="P2529" s="32">
        <v>91</v>
      </c>
      <c r="AA2529" s="12" t="s">
        <v>5386</v>
      </c>
      <c r="AD2529" s="12" t="s">
        <v>98</v>
      </c>
      <c r="AE2529" s="12" t="s">
        <v>5317</v>
      </c>
      <c r="AF2529" s="12" t="s">
        <v>2186</v>
      </c>
      <c r="AG2529" s="12" t="s">
        <v>98</v>
      </c>
      <c r="AH2529" s="12" t="s">
        <v>5315</v>
      </c>
      <c r="AN2529" s="46">
        <v>1202</v>
      </c>
      <c r="AU2529" s="12" t="s">
        <v>5309</v>
      </c>
    </row>
    <row r="2530" spans="1:47" ht="12" customHeight="1" x14ac:dyDescent="0.2">
      <c r="A2530" s="95" t="s">
        <v>4628</v>
      </c>
      <c r="B2530" s="42">
        <v>902702</v>
      </c>
      <c r="C2530" s="42" t="s">
        <v>5048</v>
      </c>
      <c r="D2530" s="86" t="s">
        <v>5195</v>
      </c>
      <c r="E2530" s="86" t="s">
        <v>1629</v>
      </c>
      <c r="F2530" s="32" t="s">
        <v>928</v>
      </c>
      <c r="G2530" s="32" t="s">
        <v>1630</v>
      </c>
      <c r="J2530" s="32" t="s">
        <v>4458</v>
      </c>
      <c r="K2530" s="32" t="s">
        <v>4459</v>
      </c>
      <c r="L2530" s="32" t="s">
        <v>4461</v>
      </c>
      <c r="M2530" s="32" t="s">
        <v>5380</v>
      </c>
      <c r="O2530" s="32">
        <v>9</v>
      </c>
      <c r="P2530" s="32">
        <v>91</v>
      </c>
      <c r="Y2530" s="12" t="s">
        <v>5384</v>
      </c>
      <c r="AD2530" s="12" t="s">
        <v>98</v>
      </c>
      <c r="AE2530" s="12" t="s">
        <v>5317</v>
      </c>
      <c r="AF2530" s="12" t="s">
        <v>2186</v>
      </c>
      <c r="AG2530" s="12" t="s">
        <v>98</v>
      </c>
      <c r="AH2530" s="12" t="s">
        <v>5316</v>
      </c>
      <c r="AN2530" s="46">
        <v>1202</v>
      </c>
      <c r="AU2530" s="12" t="s">
        <v>5309</v>
      </c>
    </row>
    <row r="2531" spans="1:47" ht="12" customHeight="1" x14ac:dyDescent="0.2">
      <c r="A2531" s="95" t="s">
        <v>4629</v>
      </c>
      <c r="B2531" s="42">
        <v>902103</v>
      </c>
      <c r="C2531" s="42" t="s">
        <v>5049</v>
      </c>
      <c r="D2531" s="86" t="s">
        <v>5196</v>
      </c>
      <c r="E2531" s="86" t="s">
        <v>1</v>
      </c>
      <c r="F2531" s="32" t="s">
        <v>928</v>
      </c>
      <c r="G2531" s="32" t="s">
        <v>1453</v>
      </c>
      <c r="J2531" s="32" t="s">
        <v>4458</v>
      </c>
      <c r="K2531" s="32" t="s">
        <v>4459</v>
      </c>
      <c r="L2531" s="32" t="s">
        <v>4461</v>
      </c>
      <c r="M2531" s="32" t="s">
        <v>5379</v>
      </c>
      <c r="O2531" s="32">
        <v>9</v>
      </c>
      <c r="P2531" s="32">
        <v>91</v>
      </c>
      <c r="AA2531" s="12" t="s">
        <v>5383</v>
      </c>
      <c r="AD2531" s="12" t="s">
        <v>98</v>
      </c>
      <c r="AE2531" s="12" t="s">
        <v>5317</v>
      </c>
      <c r="AF2531" s="12" t="s">
        <v>2186</v>
      </c>
      <c r="AG2531" s="12" t="s">
        <v>98</v>
      </c>
      <c r="AH2531" s="12" t="s">
        <v>5313</v>
      </c>
      <c r="AN2531" s="46">
        <v>1203</v>
      </c>
      <c r="AR2531" s="34" t="s">
        <v>94</v>
      </c>
      <c r="AS2531" s="34" t="s">
        <v>94</v>
      </c>
      <c r="AU2531" s="12" t="s">
        <v>5310</v>
      </c>
    </row>
    <row r="2532" spans="1:47" ht="12" customHeight="1" x14ac:dyDescent="0.2">
      <c r="A2532" s="95" t="s">
        <v>4630</v>
      </c>
      <c r="B2532" s="42">
        <v>902203</v>
      </c>
      <c r="C2532" s="42" t="s">
        <v>5050</v>
      </c>
      <c r="D2532" s="86" t="s">
        <v>5197</v>
      </c>
      <c r="E2532" s="86" t="s">
        <v>501</v>
      </c>
      <c r="F2532" s="32" t="s">
        <v>928</v>
      </c>
      <c r="G2532" s="32" t="s">
        <v>1453</v>
      </c>
      <c r="J2532" s="32" t="s">
        <v>4458</v>
      </c>
      <c r="K2532" s="32" t="s">
        <v>4459</v>
      </c>
      <c r="L2532" s="32" t="s">
        <v>4461</v>
      </c>
      <c r="M2532" s="32" t="s">
        <v>5379</v>
      </c>
      <c r="O2532" s="32">
        <v>9</v>
      </c>
      <c r="P2532" s="32">
        <v>91</v>
      </c>
      <c r="AB2532" s="12" t="s">
        <v>5383</v>
      </c>
      <c r="AD2532" s="12" t="s">
        <v>98</v>
      </c>
      <c r="AE2532" s="12" t="s">
        <v>5317</v>
      </c>
      <c r="AF2532" s="12" t="s">
        <v>2186</v>
      </c>
      <c r="AG2532" s="12" t="s">
        <v>98</v>
      </c>
      <c r="AH2532" s="12" t="s">
        <v>5314</v>
      </c>
      <c r="AN2532" s="46">
        <v>1203</v>
      </c>
      <c r="AR2532" s="34" t="s">
        <v>94</v>
      </c>
      <c r="AS2532" s="34" t="s">
        <v>94</v>
      </c>
      <c r="AU2532" s="12" t="s">
        <v>5310</v>
      </c>
    </row>
    <row r="2533" spans="1:47" ht="12" customHeight="1" x14ac:dyDescent="0.2">
      <c r="A2533" s="95" t="s">
        <v>4631</v>
      </c>
      <c r="B2533" s="42">
        <v>902303</v>
      </c>
      <c r="C2533" s="42" t="s">
        <v>5051</v>
      </c>
      <c r="D2533" s="86" t="s">
        <v>5198</v>
      </c>
      <c r="E2533" s="86" t="s">
        <v>2</v>
      </c>
      <c r="F2533" s="32" t="s">
        <v>928</v>
      </c>
      <c r="G2533" s="32" t="s">
        <v>1568</v>
      </c>
      <c r="J2533" s="32" t="s">
        <v>4458</v>
      </c>
      <c r="K2533" s="32" t="s">
        <v>4459</v>
      </c>
      <c r="L2533" s="32" t="s">
        <v>4461</v>
      </c>
      <c r="M2533" s="32" t="s">
        <v>5379</v>
      </c>
      <c r="O2533" s="32">
        <v>9</v>
      </c>
      <c r="P2533" s="32">
        <v>91</v>
      </c>
      <c r="Y2533" s="12" t="s">
        <v>5384</v>
      </c>
      <c r="AD2533" s="12" t="s">
        <v>98</v>
      </c>
      <c r="AE2533" s="12" t="s">
        <v>5317</v>
      </c>
      <c r="AF2533" s="12" t="s">
        <v>2186</v>
      </c>
      <c r="AG2533" s="12" t="s">
        <v>98</v>
      </c>
      <c r="AH2533" s="12" t="s">
        <v>5315</v>
      </c>
      <c r="AN2533" s="46">
        <v>1203</v>
      </c>
      <c r="AU2533" s="12" t="s">
        <v>5310</v>
      </c>
    </row>
    <row r="2534" spans="1:47" ht="12" customHeight="1" x14ac:dyDescent="0.2">
      <c r="A2534" s="95" t="s">
        <v>4632</v>
      </c>
      <c r="B2534" s="42">
        <v>902403</v>
      </c>
      <c r="C2534" s="42" t="s">
        <v>5052</v>
      </c>
      <c r="D2534" s="86" t="s">
        <v>5199</v>
      </c>
      <c r="E2534" s="86" t="s">
        <v>2</v>
      </c>
      <c r="F2534" s="32" t="s">
        <v>928</v>
      </c>
      <c r="G2534" s="32" t="s">
        <v>1587</v>
      </c>
      <c r="J2534" s="32" t="s">
        <v>4458</v>
      </c>
      <c r="K2534" s="32" t="s">
        <v>4459</v>
      </c>
      <c r="L2534" s="32" t="s">
        <v>4461</v>
      </c>
      <c r="M2534" s="32" t="s">
        <v>5379</v>
      </c>
      <c r="O2534" s="32">
        <v>9</v>
      </c>
      <c r="P2534" s="32">
        <v>91</v>
      </c>
      <c r="W2534" s="12" t="s">
        <v>5385</v>
      </c>
      <c r="X2534" s="12" t="s">
        <v>5385</v>
      </c>
      <c r="AD2534" s="12" t="s">
        <v>98</v>
      </c>
      <c r="AE2534" s="12" t="s">
        <v>5317</v>
      </c>
      <c r="AF2534" s="12" t="s">
        <v>2186</v>
      </c>
      <c r="AG2534" s="12" t="s">
        <v>98</v>
      </c>
      <c r="AH2534" s="12" t="s">
        <v>5315</v>
      </c>
      <c r="AN2534" s="46">
        <v>1203</v>
      </c>
      <c r="AU2534" s="12" t="s">
        <v>5310</v>
      </c>
    </row>
    <row r="2535" spans="1:47" ht="12" customHeight="1" x14ac:dyDescent="0.2">
      <c r="A2535" s="95" t="s">
        <v>4633</v>
      </c>
      <c r="B2535" s="42">
        <v>902503</v>
      </c>
      <c r="C2535" s="42" t="s">
        <v>5053</v>
      </c>
      <c r="D2535" s="86" t="s">
        <v>5200</v>
      </c>
      <c r="E2535" s="86" t="s">
        <v>2</v>
      </c>
      <c r="F2535" s="32" t="s">
        <v>928</v>
      </c>
      <c r="G2535" s="32" t="s">
        <v>1606</v>
      </c>
      <c r="J2535" s="32" t="s">
        <v>4458</v>
      </c>
      <c r="K2535" s="32" t="s">
        <v>4459</v>
      </c>
      <c r="L2535" s="32" t="s">
        <v>4461</v>
      </c>
      <c r="M2535" s="32" t="s">
        <v>5379</v>
      </c>
      <c r="O2535" s="32">
        <v>9</v>
      </c>
      <c r="P2535" s="32">
        <v>91</v>
      </c>
      <c r="AB2535" s="12" t="s">
        <v>5386</v>
      </c>
      <c r="AD2535" s="12" t="s">
        <v>98</v>
      </c>
      <c r="AE2535" s="12" t="s">
        <v>5317</v>
      </c>
      <c r="AF2535" s="12" t="s">
        <v>2186</v>
      </c>
      <c r="AG2535" s="12" t="s">
        <v>98</v>
      </c>
      <c r="AH2535" s="12" t="s">
        <v>5315</v>
      </c>
      <c r="AN2535" s="46">
        <v>1203</v>
      </c>
      <c r="AU2535" s="12" t="s">
        <v>5310</v>
      </c>
    </row>
    <row r="2536" spans="1:47" ht="12" customHeight="1" x14ac:dyDescent="0.2">
      <c r="A2536" s="95" t="s">
        <v>4634</v>
      </c>
      <c r="B2536" s="42">
        <v>902603</v>
      </c>
      <c r="C2536" s="42" t="s">
        <v>5054</v>
      </c>
      <c r="D2536" s="86" t="s">
        <v>5201</v>
      </c>
      <c r="E2536" s="86" t="s">
        <v>2</v>
      </c>
      <c r="F2536" s="32" t="s">
        <v>928</v>
      </c>
      <c r="G2536" s="32" t="s">
        <v>1625</v>
      </c>
      <c r="J2536" s="32" t="s">
        <v>4458</v>
      </c>
      <c r="K2536" s="32" t="s">
        <v>4459</v>
      </c>
      <c r="L2536" s="32" t="s">
        <v>4461</v>
      </c>
      <c r="M2536" s="32" t="s">
        <v>5379</v>
      </c>
      <c r="O2536" s="32">
        <v>9</v>
      </c>
      <c r="P2536" s="32">
        <v>91</v>
      </c>
      <c r="AA2536" s="12" t="s">
        <v>5386</v>
      </c>
      <c r="AD2536" s="12" t="s">
        <v>98</v>
      </c>
      <c r="AE2536" s="12" t="s">
        <v>5317</v>
      </c>
      <c r="AF2536" s="12" t="s">
        <v>2186</v>
      </c>
      <c r="AG2536" s="12" t="s">
        <v>98</v>
      </c>
      <c r="AH2536" s="12" t="s">
        <v>5315</v>
      </c>
      <c r="AN2536" s="46">
        <v>1203</v>
      </c>
      <c r="AU2536" s="12" t="s">
        <v>5310</v>
      </c>
    </row>
    <row r="2537" spans="1:47" ht="12" customHeight="1" x14ac:dyDescent="0.2">
      <c r="A2537" s="95" t="s">
        <v>4635</v>
      </c>
      <c r="B2537" s="42">
        <v>902703</v>
      </c>
      <c r="C2537" s="42" t="s">
        <v>5055</v>
      </c>
      <c r="D2537" s="86" t="s">
        <v>5202</v>
      </c>
      <c r="E2537" s="86" t="s">
        <v>1629</v>
      </c>
      <c r="F2537" s="32" t="s">
        <v>928</v>
      </c>
      <c r="G2537" s="32" t="s">
        <v>1630</v>
      </c>
      <c r="J2537" s="32" t="s">
        <v>4458</v>
      </c>
      <c r="K2537" s="32" t="s">
        <v>4459</v>
      </c>
      <c r="L2537" s="32" t="s">
        <v>4461</v>
      </c>
      <c r="M2537" s="32" t="s">
        <v>5379</v>
      </c>
      <c r="O2537" s="32">
        <v>9</v>
      </c>
      <c r="P2537" s="32">
        <v>91</v>
      </c>
      <c r="Y2537" s="12" t="s">
        <v>5384</v>
      </c>
      <c r="AD2537" s="12" t="s">
        <v>98</v>
      </c>
      <c r="AE2537" s="12" t="s">
        <v>5317</v>
      </c>
      <c r="AF2537" s="12" t="s">
        <v>2186</v>
      </c>
      <c r="AG2537" s="12" t="s">
        <v>98</v>
      </c>
      <c r="AH2537" s="12" t="s">
        <v>5316</v>
      </c>
      <c r="AN2537" s="46">
        <v>1203</v>
      </c>
      <c r="AU2537" s="12" t="s">
        <v>5310</v>
      </c>
    </row>
    <row r="2538" spans="1:47" ht="12" customHeight="1" x14ac:dyDescent="0.2">
      <c r="A2538" s="95" t="s">
        <v>4636</v>
      </c>
      <c r="B2538" s="42">
        <v>903101</v>
      </c>
      <c r="C2538" s="42" t="s">
        <v>5056</v>
      </c>
      <c r="D2538" s="86" t="s">
        <v>5203</v>
      </c>
      <c r="E2538" s="86" t="s">
        <v>1</v>
      </c>
      <c r="F2538" s="32" t="s">
        <v>310</v>
      </c>
      <c r="G2538" s="32" t="s">
        <v>1472</v>
      </c>
      <c r="J2538" s="32" t="s">
        <v>4458</v>
      </c>
      <c r="K2538" s="32" t="s">
        <v>4459</v>
      </c>
      <c r="L2538" s="32" t="s">
        <v>4461</v>
      </c>
      <c r="M2538" s="32" t="s">
        <v>5378</v>
      </c>
      <c r="O2538" s="32">
        <v>9</v>
      </c>
      <c r="P2538" s="32">
        <v>91</v>
      </c>
      <c r="AA2538" s="12" t="s">
        <v>5386</v>
      </c>
      <c r="AD2538" s="12" t="s">
        <v>98</v>
      </c>
      <c r="AE2538" s="12" t="s">
        <v>5317</v>
      </c>
      <c r="AF2538" s="12" t="s">
        <v>2186</v>
      </c>
      <c r="AG2538" s="12" t="s">
        <v>98</v>
      </c>
      <c r="AH2538" s="12" t="s">
        <v>5313</v>
      </c>
      <c r="AN2538" s="46">
        <v>1301</v>
      </c>
      <c r="AR2538" s="34" t="s">
        <v>94</v>
      </c>
      <c r="AS2538" s="34" t="s">
        <v>94</v>
      </c>
      <c r="AU2538" s="12" t="s">
        <v>5308</v>
      </c>
    </row>
    <row r="2539" spans="1:47" ht="12" customHeight="1" x14ac:dyDescent="0.2">
      <c r="A2539" s="95" t="s">
        <v>4637</v>
      </c>
      <c r="B2539" s="42">
        <v>903201</v>
      </c>
      <c r="C2539" s="42" t="s">
        <v>5057</v>
      </c>
      <c r="D2539" s="86" t="s">
        <v>5204</v>
      </c>
      <c r="E2539" s="86" t="s">
        <v>501</v>
      </c>
      <c r="F2539" s="32" t="s">
        <v>310</v>
      </c>
      <c r="G2539" s="32" t="s">
        <v>1472</v>
      </c>
      <c r="J2539" s="32" t="s">
        <v>4458</v>
      </c>
      <c r="K2539" s="32" t="s">
        <v>4459</v>
      </c>
      <c r="L2539" s="32" t="s">
        <v>4461</v>
      </c>
      <c r="M2539" s="32" t="s">
        <v>5378</v>
      </c>
      <c r="O2539" s="32">
        <v>9</v>
      </c>
      <c r="P2539" s="32">
        <v>91</v>
      </c>
      <c r="AB2539" s="12" t="s">
        <v>5387</v>
      </c>
      <c r="AD2539" s="12" t="s">
        <v>98</v>
      </c>
      <c r="AE2539" s="12" t="s">
        <v>5317</v>
      </c>
      <c r="AF2539" s="12" t="s">
        <v>2186</v>
      </c>
      <c r="AG2539" s="12" t="s">
        <v>98</v>
      </c>
      <c r="AH2539" s="12" t="s">
        <v>5314</v>
      </c>
      <c r="AN2539" s="46">
        <v>1301</v>
      </c>
      <c r="AR2539" s="34" t="s">
        <v>94</v>
      </c>
      <c r="AS2539" s="34" t="s">
        <v>94</v>
      </c>
      <c r="AU2539" s="12" t="s">
        <v>5308</v>
      </c>
    </row>
    <row r="2540" spans="1:47" ht="12" customHeight="1" x14ac:dyDescent="0.2">
      <c r="A2540" s="95" t="s">
        <v>4638</v>
      </c>
      <c r="B2540" s="42">
        <v>903301</v>
      </c>
      <c r="C2540" s="42" t="s">
        <v>5058</v>
      </c>
      <c r="D2540" s="86" t="s">
        <v>5205</v>
      </c>
      <c r="E2540" s="86" t="s">
        <v>2</v>
      </c>
      <c r="F2540" s="32" t="s">
        <v>310</v>
      </c>
      <c r="G2540" s="32" t="s">
        <v>1568</v>
      </c>
      <c r="J2540" s="32" t="s">
        <v>4458</v>
      </c>
      <c r="K2540" s="32" t="s">
        <v>4459</v>
      </c>
      <c r="L2540" s="32" t="s">
        <v>4461</v>
      </c>
      <c r="M2540" s="32" t="s">
        <v>5378</v>
      </c>
      <c r="O2540" s="32">
        <v>9</v>
      </c>
      <c r="P2540" s="32">
        <v>91</v>
      </c>
      <c r="Y2540" s="12" t="s">
        <v>5384</v>
      </c>
      <c r="AD2540" s="12" t="s">
        <v>98</v>
      </c>
      <c r="AE2540" s="12" t="s">
        <v>5317</v>
      </c>
      <c r="AF2540" s="12" t="s">
        <v>2186</v>
      </c>
      <c r="AG2540" s="12" t="s">
        <v>98</v>
      </c>
      <c r="AH2540" s="12" t="s">
        <v>5315</v>
      </c>
      <c r="AN2540" s="46">
        <v>1301</v>
      </c>
      <c r="AU2540" s="12" t="s">
        <v>5308</v>
      </c>
    </row>
    <row r="2541" spans="1:47" ht="12" customHeight="1" x14ac:dyDescent="0.2">
      <c r="A2541" s="95" t="s">
        <v>4639</v>
      </c>
      <c r="B2541" s="42">
        <v>903401</v>
      </c>
      <c r="C2541" s="42" t="s">
        <v>5059</v>
      </c>
      <c r="D2541" s="86" t="s">
        <v>5206</v>
      </c>
      <c r="E2541" s="86" t="s">
        <v>2</v>
      </c>
      <c r="F2541" s="32" t="s">
        <v>310</v>
      </c>
      <c r="G2541" s="32" t="s">
        <v>1587</v>
      </c>
      <c r="J2541" s="32" t="s">
        <v>4458</v>
      </c>
      <c r="K2541" s="32" t="s">
        <v>4459</v>
      </c>
      <c r="L2541" s="32" t="s">
        <v>4461</v>
      </c>
      <c r="M2541" s="32" t="s">
        <v>5378</v>
      </c>
      <c r="O2541" s="32">
        <v>9</v>
      </c>
      <c r="P2541" s="32">
        <v>91</v>
      </c>
      <c r="W2541" s="12" t="s">
        <v>5385</v>
      </c>
      <c r="X2541" s="12" t="s">
        <v>5385</v>
      </c>
      <c r="AD2541" s="12" t="s">
        <v>98</v>
      </c>
      <c r="AE2541" s="12" t="s">
        <v>5317</v>
      </c>
      <c r="AF2541" s="12" t="s">
        <v>2186</v>
      </c>
      <c r="AG2541" s="12" t="s">
        <v>98</v>
      </c>
      <c r="AH2541" s="12" t="s">
        <v>5315</v>
      </c>
      <c r="AN2541" s="46">
        <v>1301</v>
      </c>
      <c r="AU2541" s="12" t="s">
        <v>5308</v>
      </c>
    </row>
    <row r="2542" spans="1:47" ht="12" customHeight="1" x14ac:dyDescent="0.2">
      <c r="A2542" s="95" t="s">
        <v>4640</v>
      </c>
      <c r="B2542" s="42">
        <v>903501</v>
      </c>
      <c r="C2542" s="42" t="s">
        <v>5060</v>
      </c>
      <c r="D2542" s="86" t="s">
        <v>5207</v>
      </c>
      <c r="E2542" s="86" t="s">
        <v>2</v>
      </c>
      <c r="F2542" s="32" t="s">
        <v>310</v>
      </c>
      <c r="G2542" s="32" t="s">
        <v>1606</v>
      </c>
      <c r="J2542" s="32" t="s">
        <v>4458</v>
      </c>
      <c r="K2542" s="32" t="s">
        <v>4459</v>
      </c>
      <c r="L2542" s="32" t="s">
        <v>4461</v>
      </c>
      <c r="M2542" s="32" t="s">
        <v>5378</v>
      </c>
      <c r="O2542" s="32">
        <v>9</v>
      </c>
      <c r="P2542" s="32">
        <v>91</v>
      </c>
      <c r="AB2542" s="12" t="s">
        <v>5386</v>
      </c>
      <c r="AD2542" s="12" t="s">
        <v>98</v>
      </c>
      <c r="AE2542" s="12" t="s">
        <v>5317</v>
      </c>
      <c r="AF2542" s="12" t="s">
        <v>2186</v>
      </c>
      <c r="AG2542" s="12" t="s">
        <v>98</v>
      </c>
      <c r="AH2542" s="12" t="s">
        <v>5315</v>
      </c>
      <c r="AN2542" s="46">
        <v>1301</v>
      </c>
      <c r="AU2542" s="12" t="s">
        <v>5308</v>
      </c>
    </row>
    <row r="2543" spans="1:47" ht="12" customHeight="1" x14ac:dyDescent="0.2">
      <c r="A2543" s="95" t="s">
        <v>4641</v>
      </c>
      <c r="B2543" s="42">
        <v>903601</v>
      </c>
      <c r="C2543" s="42" t="s">
        <v>5061</v>
      </c>
      <c r="D2543" s="86" t="s">
        <v>5208</v>
      </c>
      <c r="E2543" s="86" t="s">
        <v>2</v>
      </c>
      <c r="F2543" s="32" t="s">
        <v>310</v>
      </c>
      <c r="G2543" s="32" t="s">
        <v>1625</v>
      </c>
      <c r="J2543" s="32" t="s">
        <v>4458</v>
      </c>
      <c r="K2543" s="32" t="s">
        <v>4459</v>
      </c>
      <c r="L2543" s="32" t="s">
        <v>4461</v>
      </c>
      <c r="M2543" s="32" t="s">
        <v>5378</v>
      </c>
      <c r="O2543" s="32">
        <v>9</v>
      </c>
      <c r="P2543" s="32">
        <v>91</v>
      </c>
      <c r="AA2543" s="12" t="s">
        <v>5386</v>
      </c>
      <c r="AD2543" s="12" t="s">
        <v>98</v>
      </c>
      <c r="AE2543" s="12" t="s">
        <v>5317</v>
      </c>
      <c r="AF2543" s="12" t="s">
        <v>2186</v>
      </c>
      <c r="AG2543" s="12" t="s">
        <v>98</v>
      </c>
      <c r="AH2543" s="12" t="s">
        <v>5315</v>
      </c>
      <c r="AN2543" s="46">
        <v>1301</v>
      </c>
      <c r="AU2543" s="12" t="s">
        <v>5308</v>
      </c>
    </row>
    <row r="2544" spans="1:47" ht="12" customHeight="1" x14ac:dyDescent="0.2">
      <c r="A2544" s="95" t="s">
        <v>4642</v>
      </c>
      <c r="B2544" s="42">
        <v>903701</v>
      </c>
      <c r="C2544" s="42" t="s">
        <v>5062</v>
      </c>
      <c r="D2544" s="86" t="s">
        <v>5209</v>
      </c>
      <c r="E2544" s="86" t="s">
        <v>1629</v>
      </c>
      <c r="F2544" s="32" t="s">
        <v>310</v>
      </c>
      <c r="G2544" s="32" t="s">
        <v>1630</v>
      </c>
      <c r="J2544" s="32" t="s">
        <v>4458</v>
      </c>
      <c r="K2544" s="32" t="s">
        <v>4459</v>
      </c>
      <c r="L2544" s="32" t="s">
        <v>4461</v>
      </c>
      <c r="M2544" s="32" t="s">
        <v>5378</v>
      </c>
      <c r="O2544" s="32">
        <v>9</v>
      </c>
      <c r="P2544" s="32">
        <v>91</v>
      </c>
      <c r="Y2544" s="12" t="s">
        <v>5384</v>
      </c>
      <c r="AD2544" s="12" t="s">
        <v>98</v>
      </c>
      <c r="AE2544" s="12" t="s">
        <v>5317</v>
      </c>
      <c r="AF2544" s="12" t="s">
        <v>2186</v>
      </c>
      <c r="AG2544" s="12" t="s">
        <v>98</v>
      </c>
      <c r="AH2544" s="12" t="s">
        <v>5316</v>
      </c>
      <c r="AN2544" s="46">
        <v>1301</v>
      </c>
      <c r="AU2544" s="12" t="s">
        <v>5308</v>
      </c>
    </row>
    <row r="2545" spans="1:47" ht="12" customHeight="1" x14ac:dyDescent="0.2">
      <c r="A2545" s="95" t="s">
        <v>4643</v>
      </c>
      <c r="B2545" s="42">
        <v>903102</v>
      </c>
      <c r="C2545" s="42" t="s">
        <v>5063</v>
      </c>
      <c r="D2545" s="86" t="s">
        <v>5210</v>
      </c>
      <c r="E2545" s="86" t="s">
        <v>1</v>
      </c>
      <c r="F2545" s="32" t="s">
        <v>310</v>
      </c>
      <c r="G2545" s="32" t="s">
        <v>1472</v>
      </c>
      <c r="J2545" s="32" t="s">
        <v>4458</v>
      </c>
      <c r="K2545" s="32" t="s">
        <v>4459</v>
      </c>
      <c r="L2545" s="32" t="s">
        <v>4461</v>
      </c>
      <c r="M2545" s="32" t="s">
        <v>5380</v>
      </c>
      <c r="O2545" s="32">
        <v>9</v>
      </c>
      <c r="P2545" s="32">
        <v>91</v>
      </c>
      <c r="AA2545" s="12" t="s">
        <v>5386</v>
      </c>
      <c r="AD2545" s="12" t="s">
        <v>98</v>
      </c>
      <c r="AE2545" s="12" t="s">
        <v>5317</v>
      </c>
      <c r="AF2545" s="12" t="s">
        <v>2186</v>
      </c>
      <c r="AG2545" s="12" t="s">
        <v>98</v>
      </c>
      <c r="AH2545" s="12" t="s">
        <v>5313</v>
      </c>
      <c r="AN2545" s="46">
        <v>1302</v>
      </c>
      <c r="AR2545" s="34" t="s">
        <v>94</v>
      </c>
      <c r="AS2545" s="34" t="s">
        <v>94</v>
      </c>
      <c r="AU2545" s="12" t="s">
        <v>5309</v>
      </c>
    </row>
    <row r="2546" spans="1:47" ht="12" customHeight="1" x14ac:dyDescent="0.2">
      <c r="A2546" s="95" t="s">
        <v>4644</v>
      </c>
      <c r="B2546" s="42">
        <v>903202</v>
      </c>
      <c r="C2546" s="42" t="s">
        <v>5064</v>
      </c>
      <c r="D2546" s="86" t="s">
        <v>5211</v>
      </c>
      <c r="E2546" s="86" t="s">
        <v>501</v>
      </c>
      <c r="F2546" s="32" t="s">
        <v>310</v>
      </c>
      <c r="G2546" s="32" t="s">
        <v>1472</v>
      </c>
      <c r="J2546" s="32" t="s">
        <v>4458</v>
      </c>
      <c r="K2546" s="32" t="s">
        <v>4459</v>
      </c>
      <c r="L2546" s="32" t="s">
        <v>4461</v>
      </c>
      <c r="M2546" s="32" t="s">
        <v>5380</v>
      </c>
      <c r="O2546" s="32">
        <v>9</v>
      </c>
      <c r="P2546" s="32">
        <v>91</v>
      </c>
      <c r="AB2546" s="12" t="s">
        <v>5387</v>
      </c>
      <c r="AD2546" s="12" t="s">
        <v>98</v>
      </c>
      <c r="AE2546" s="12" t="s">
        <v>5317</v>
      </c>
      <c r="AF2546" s="12" t="s">
        <v>2186</v>
      </c>
      <c r="AG2546" s="12" t="s">
        <v>98</v>
      </c>
      <c r="AH2546" s="12" t="s">
        <v>5314</v>
      </c>
      <c r="AN2546" s="46">
        <v>1302</v>
      </c>
      <c r="AR2546" s="34" t="s">
        <v>94</v>
      </c>
      <c r="AS2546" s="34" t="s">
        <v>94</v>
      </c>
      <c r="AU2546" s="12" t="s">
        <v>5309</v>
      </c>
    </row>
    <row r="2547" spans="1:47" ht="12" customHeight="1" x14ac:dyDescent="0.2">
      <c r="A2547" s="95" t="s">
        <v>4645</v>
      </c>
      <c r="B2547" s="42">
        <v>903302</v>
      </c>
      <c r="C2547" s="42" t="s">
        <v>5065</v>
      </c>
      <c r="D2547" s="86" t="s">
        <v>5212</v>
      </c>
      <c r="E2547" s="86" t="s">
        <v>2</v>
      </c>
      <c r="F2547" s="32" t="s">
        <v>310</v>
      </c>
      <c r="G2547" s="32" t="s">
        <v>1568</v>
      </c>
      <c r="J2547" s="32" t="s">
        <v>4458</v>
      </c>
      <c r="K2547" s="32" t="s">
        <v>4459</v>
      </c>
      <c r="L2547" s="32" t="s">
        <v>4461</v>
      </c>
      <c r="M2547" s="32" t="s">
        <v>5380</v>
      </c>
      <c r="O2547" s="32">
        <v>9</v>
      </c>
      <c r="P2547" s="32">
        <v>91</v>
      </c>
      <c r="Y2547" s="12" t="s">
        <v>5384</v>
      </c>
      <c r="AD2547" s="12" t="s">
        <v>98</v>
      </c>
      <c r="AE2547" s="12" t="s">
        <v>5317</v>
      </c>
      <c r="AF2547" s="12" t="s">
        <v>2186</v>
      </c>
      <c r="AG2547" s="12" t="s">
        <v>98</v>
      </c>
      <c r="AH2547" s="12" t="s">
        <v>5315</v>
      </c>
      <c r="AN2547" s="46">
        <v>1302</v>
      </c>
      <c r="AU2547" s="12" t="s">
        <v>5309</v>
      </c>
    </row>
    <row r="2548" spans="1:47" ht="12" customHeight="1" x14ac:dyDescent="0.2">
      <c r="A2548" s="95" t="s">
        <v>4646</v>
      </c>
      <c r="B2548" s="42">
        <v>903402</v>
      </c>
      <c r="C2548" s="42" t="s">
        <v>5066</v>
      </c>
      <c r="D2548" s="86" t="s">
        <v>5213</v>
      </c>
      <c r="E2548" s="86" t="s">
        <v>2</v>
      </c>
      <c r="F2548" s="32" t="s">
        <v>310</v>
      </c>
      <c r="G2548" s="32" t="s">
        <v>1587</v>
      </c>
      <c r="J2548" s="32" t="s">
        <v>4458</v>
      </c>
      <c r="K2548" s="32" t="s">
        <v>4459</v>
      </c>
      <c r="L2548" s="32" t="s">
        <v>4461</v>
      </c>
      <c r="M2548" s="32" t="s">
        <v>5380</v>
      </c>
      <c r="O2548" s="32">
        <v>9</v>
      </c>
      <c r="P2548" s="32">
        <v>91</v>
      </c>
      <c r="W2548" s="12" t="s">
        <v>5385</v>
      </c>
      <c r="X2548" s="12" t="s">
        <v>5385</v>
      </c>
      <c r="AD2548" s="12" t="s">
        <v>98</v>
      </c>
      <c r="AE2548" s="12" t="s">
        <v>5317</v>
      </c>
      <c r="AF2548" s="12" t="s">
        <v>2186</v>
      </c>
      <c r="AG2548" s="12" t="s">
        <v>98</v>
      </c>
      <c r="AH2548" s="12" t="s">
        <v>5315</v>
      </c>
      <c r="AN2548" s="46">
        <v>1302</v>
      </c>
      <c r="AU2548" s="12" t="s">
        <v>5309</v>
      </c>
    </row>
    <row r="2549" spans="1:47" ht="12" customHeight="1" x14ac:dyDescent="0.2">
      <c r="A2549" s="95" t="s">
        <v>4647</v>
      </c>
      <c r="B2549" s="42">
        <v>903502</v>
      </c>
      <c r="C2549" s="42" t="s">
        <v>5067</v>
      </c>
      <c r="D2549" s="86" t="s">
        <v>5214</v>
      </c>
      <c r="E2549" s="86" t="s">
        <v>2</v>
      </c>
      <c r="F2549" s="32" t="s">
        <v>310</v>
      </c>
      <c r="G2549" s="32" t="s">
        <v>1606</v>
      </c>
      <c r="J2549" s="32" t="s">
        <v>4458</v>
      </c>
      <c r="K2549" s="32" t="s">
        <v>4459</v>
      </c>
      <c r="L2549" s="32" t="s">
        <v>4461</v>
      </c>
      <c r="M2549" s="32" t="s">
        <v>5380</v>
      </c>
      <c r="O2549" s="32">
        <v>9</v>
      </c>
      <c r="P2549" s="32">
        <v>91</v>
      </c>
      <c r="AB2549" s="12" t="s">
        <v>5386</v>
      </c>
      <c r="AD2549" s="12" t="s">
        <v>98</v>
      </c>
      <c r="AE2549" s="12" t="s">
        <v>5317</v>
      </c>
      <c r="AF2549" s="12" t="s">
        <v>2186</v>
      </c>
      <c r="AG2549" s="12" t="s">
        <v>98</v>
      </c>
      <c r="AH2549" s="12" t="s">
        <v>5315</v>
      </c>
      <c r="AN2549" s="46">
        <v>1302</v>
      </c>
      <c r="AU2549" s="12" t="s">
        <v>5309</v>
      </c>
    </row>
    <row r="2550" spans="1:47" ht="12" customHeight="1" x14ac:dyDescent="0.2">
      <c r="A2550" s="95" t="s">
        <v>4648</v>
      </c>
      <c r="B2550" s="42">
        <v>903602</v>
      </c>
      <c r="C2550" s="42" t="s">
        <v>5068</v>
      </c>
      <c r="D2550" s="86" t="s">
        <v>5215</v>
      </c>
      <c r="E2550" s="86" t="s">
        <v>2</v>
      </c>
      <c r="F2550" s="32" t="s">
        <v>310</v>
      </c>
      <c r="G2550" s="32" t="s">
        <v>1625</v>
      </c>
      <c r="J2550" s="32" t="s">
        <v>4458</v>
      </c>
      <c r="K2550" s="32" t="s">
        <v>4459</v>
      </c>
      <c r="L2550" s="32" t="s">
        <v>4461</v>
      </c>
      <c r="M2550" s="32" t="s">
        <v>5380</v>
      </c>
      <c r="O2550" s="32">
        <v>9</v>
      </c>
      <c r="P2550" s="32">
        <v>91</v>
      </c>
      <c r="AA2550" s="12" t="s">
        <v>5386</v>
      </c>
      <c r="AD2550" s="12" t="s">
        <v>98</v>
      </c>
      <c r="AE2550" s="12" t="s">
        <v>5317</v>
      </c>
      <c r="AF2550" s="12" t="s">
        <v>2186</v>
      </c>
      <c r="AG2550" s="12" t="s">
        <v>98</v>
      </c>
      <c r="AH2550" s="12" t="s">
        <v>5315</v>
      </c>
      <c r="AN2550" s="46">
        <v>1302</v>
      </c>
      <c r="AU2550" s="12" t="s">
        <v>5309</v>
      </c>
    </row>
    <row r="2551" spans="1:47" ht="12" customHeight="1" x14ac:dyDescent="0.2">
      <c r="A2551" s="95" t="s">
        <v>4649</v>
      </c>
      <c r="B2551" s="42">
        <v>903702</v>
      </c>
      <c r="C2551" s="42" t="s">
        <v>5069</v>
      </c>
      <c r="D2551" s="86" t="s">
        <v>5216</v>
      </c>
      <c r="E2551" s="86" t="s">
        <v>1629</v>
      </c>
      <c r="F2551" s="32" t="s">
        <v>310</v>
      </c>
      <c r="G2551" s="32" t="s">
        <v>1630</v>
      </c>
      <c r="J2551" s="32" t="s">
        <v>4458</v>
      </c>
      <c r="K2551" s="32" t="s">
        <v>4459</v>
      </c>
      <c r="L2551" s="32" t="s">
        <v>4461</v>
      </c>
      <c r="M2551" s="32" t="s">
        <v>5380</v>
      </c>
      <c r="O2551" s="32">
        <v>9</v>
      </c>
      <c r="P2551" s="32">
        <v>91</v>
      </c>
      <c r="Y2551" s="12" t="s">
        <v>5384</v>
      </c>
      <c r="AD2551" s="12" t="s">
        <v>98</v>
      </c>
      <c r="AE2551" s="12" t="s">
        <v>5317</v>
      </c>
      <c r="AF2551" s="12" t="s">
        <v>2186</v>
      </c>
      <c r="AG2551" s="12" t="s">
        <v>98</v>
      </c>
      <c r="AH2551" s="12" t="s">
        <v>5316</v>
      </c>
      <c r="AN2551" s="46">
        <v>1302</v>
      </c>
      <c r="AU2551" s="12" t="s">
        <v>5309</v>
      </c>
    </row>
    <row r="2552" spans="1:47" ht="12" customHeight="1" x14ac:dyDescent="0.2">
      <c r="A2552" s="95" t="s">
        <v>4650</v>
      </c>
      <c r="B2552" s="42">
        <v>903103</v>
      </c>
      <c r="C2552" s="42" t="s">
        <v>5070</v>
      </c>
      <c r="D2552" s="86" t="s">
        <v>5217</v>
      </c>
      <c r="E2552" s="86" t="s">
        <v>1</v>
      </c>
      <c r="F2552" s="32" t="s">
        <v>310</v>
      </c>
      <c r="G2552" s="32" t="s">
        <v>1472</v>
      </c>
      <c r="J2552" s="32" t="s">
        <v>4458</v>
      </c>
      <c r="K2552" s="32" t="s">
        <v>4459</v>
      </c>
      <c r="L2552" s="32" t="s">
        <v>4461</v>
      </c>
      <c r="M2552" s="32" t="s">
        <v>5379</v>
      </c>
      <c r="O2552" s="32">
        <v>9</v>
      </c>
      <c r="P2552" s="32">
        <v>91</v>
      </c>
      <c r="AA2552" s="12" t="s">
        <v>5386</v>
      </c>
      <c r="AD2552" s="12" t="s">
        <v>98</v>
      </c>
      <c r="AE2552" s="12" t="s">
        <v>5317</v>
      </c>
      <c r="AF2552" s="12" t="s">
        <v>2186</v>
      </c>
      <c r="AG2552" s="12" t="s">
        <v>98</v>
      </c>
      <c r="AH2552" s="12" t="s">
        <v>5313</v>
      </c>
      <c r="AN2552" s="46">
        <v>1303</v>
      </c>
      <c r="AR2552" s="34" t="s">
        <v>94</v>
      </c>
      <c r="AS2552" s="34" t="s">
        <v>94</v>
      </c>
      <c r="AU2552" s="12" t="s">
        <v>5310</v>
      </c>
    </row>
    <row r="2553" spans="1:47" ht="12" customHeight="1" x14ac:dyDescent="0.2">
      <c r="A2553" s="95" t="s">
        <v>4651</v>
      </c>
      <c r="B2553" s="42">
        <v>903203</v>
      </c>
      <c r="C2553" s="42" t="s">
        <v>5071</v>
      </c>
      <c r="D2553" s="86" t="s">
        <v>5218</v>
      </c>
      <c r="E2553" s="86" t="s">
        <v>501</v>
      </c>
      <c r="F2553" s="32" t="s">
        <v>310</v>
      </c>
      <c r="G2553" s="32" t="s">
        <v>1472</v>
      </c>
      <c r="J2553" s="32" t="s">
        <v>4458</v>
      </c>
      <c r="K2553" s="32" t="s">
        <v>4459</v>
      </c>
      <c r="L2553" s="32" t="s">
        <v>4461</v>
      </c>
      <c r="M2553" s="32" t="s">
        <v>5379</v>
      </c>
      <c r="O2553" s="32">
        <v>9</v>
      </c>
      <c r="P2553" s="32">
        <v>91</v>
      </c>
      <c r="AB2553" s="12" t="s">
        <v>5387</v>
      </c>
      <c r="AD2553" s="12" t="s">
        <v>98</v>
      </c>
      <c r="AE2553" s="12" t="s">
        <v>5317</v>
      </c>
      <c r="AF2553" s="12" t="s">
        <v>2186</v>
      </c>
      <c r="AG2553" s="12" t="s">
        <v>98</v>
      </c>
      <c r="AH2553" s="12" t="s">
        <v>5314</v>
      </c>
      <c r="AN2553" s="46">
        <v>1303</v>
      </c>
      <c r="AR2553" s="34" t="s">
        <v>94</v>
      </c>
      <c r="AS2553" s="34" t="s">
        <v>94</v>
      </c>
      <c r="AU2553" s="12" t="s">
        <v>5310</v>
      </c>
    </row>
    <row r="2554" spans="1:47" ht="12" customHeight="1" x14ac:dyDescent="0.2">
      <c r="A2554" s="95" t="s">
        <v>4652</v>
      </c>
      <c r="B2554" s="42">
        <v>903303</v>
      </c>
      <c r="C2554" s="42" t="s">
        <v>5072</v>
      </c>
      <c r="D2554" s="86" t="s">
        <v>5219</v>
      </c>
      <c r="E2554" s="86" t="s">
        <v>2</v>
      </c>
      <c r="F2554" s="32" t="s">
        <v>310</v>
      </c>
      <c r="G2554" s="32" t="s">
        <v>1568</v>
      </c>
      <c r="J2554" s="32" t="s">
        <v>4458</v>
      </c>
      <c r="K2554" s="32" t="s">
        <v>4459</v>
      </c>
      <c r="L2554" s="32" t="s">
        <v>4461</v>
      </c>
      <c r="M2554" s="32" t="s">
        <v>5379</v>
      </c>
      <c r="O2554" s="32">
        <v>9</v>
      </c>
      <c r="P2554" s="32">
        <v>91</v>
      </c>
      <c r="Y2554" s="12" t="s">
        <v>5384</v>
      </c>
      <c r="AD2554" s="12" t="s">
        <v>98</v>
      </c>
      <c r="AE2554" s="12" t="s">
        <v>5317</v>
      </c>
      <c r="AF2554" s="12" t="s">
        <v>2186</v>
      </c>
      <c r="AG2554" s="12" t="s">
        <v>98</v>
      </c>
      <c r="AH2554" s="12" t="s">
        <v>5315</v>
      </c>
      <c r="AN2554" s="46">
        <v>1303</v>
      </c>
      <c r="AU2554" s="12" t="s">
        <v>5310</v>
      </c>
    </row>
    <row r="2555" spans="1:47" ht="12" customHeight="1" x14ac:dyDescent="0.2">
      <c r="A2555" s="95" t="s">
        <v>4653</v>
      </c>
      <c r="B2555" s="42">
        <v>903403</v>
      </c>
      <c r="C2555" s="42" t="s">
        <v>5073</v>
      </c>
      <c r="D2555" s="86" t="s">
        <v>5220</v>
      </c>
      <c r="E2555" s="86" t="s">
        <v>2</v>
      </c>
      <c r="F2555" s="32" t="s">
        <v>310</v>
      </c>
      <c r="G2555" s="32" t="s">
        <v>1587</v>
      </c>
      <c r="J2555" s="32" t="s">
        <v>4458</v>
      </c>
      <c r="K2555" s="32" t="s">
        <v>4459</v>
      </c>
      <c r="L2555" s="32" t="s">
        <v>4461</v>
      </c>
      <c r="M2555" s="32" t="s">
        <v>5379</v>
      </c>
      <c r="O2555" s="32">
        <v>9</v>
      </c>
      <c r="P2555" s="32">
        <v>91</v>
      </c>
      <c r="W2555" s="12" t="s">
        <v>5385</v>
      </c>
      <c r="X2555" s="12" t="s">
        <v>5385</v>
      </c>
      <c r="AD2555" s="12" t="s">
        <v>98</v>
      </c>
      <c r="AE2555" s="12" t="s">
        <v>5317</v>
      </c>
      <c r="AF2555" s="12" t="s">
        <v>2186</v>
      </c>
      <c r="AG2555" s="12" t="s">
        <v>98</v>
      </c>
      <c r="AH2555" s="12" t="s">
        <v>5315</v>
      </c>
      <c r="AN2555" s="46">
        <v>1303</v>
      </c>
      <c r="AU2555" s="12" t="s">
        <v>5310</v>
      </c>
    </row>
    <row r="2556" spans="1:47" ht="12" customHeight="1" x14ac:dyDescent="0.2">
      <c r="A2556" s="95" t="s">
        <v>4654</v>
      </c>
      <c r="B2556" s="42">
        <v>903503</v>
      </c>
      <c r="C2556" s="42" t="s">
        <v>5074</v>
      </c>
      <c r="D2556" s="86" t="s">
        <v>5221</v>
      </c>
      <c r="E2556" s="86" t="s">
        <v>2</v>
      </c>
      <c r="F2556" s="32" t="s">
        <v>310</v>
      </c>
      <c r="G2556" s="32" t="s">
        <v>1606</v>
      </c>
      <c r="J2556" s="32" t="s">
        <v>4458</v>
      </c>
      <c r="K2556" s="32" t="s">
        <v>4459</v>
      </c>
      <c r="L2556" s="32" t="s">
        <v>4461</v>
      </c>
      <c r="M2556" s="32" t="s">
        <v>5379</v>
      </c>
      <c r="O2556" s="32">
        <v>9</v>
      </c>
      <c r="P2556" s="32">
        <v>91</v>
      </c>
      <c r="AB2556" s="12" t="s">
        <v>5386</v>
      </c>
      <c r="AD2556" s="12" t="s">
        <v>98</v>
      </c>
      <c r="AE2556" s="12" t="s">
        <v>5317</v>
      </c>
      <c r="AF2556" s="12" t="s">
        <v>2186</v>
      </c>
      <c r="AG2556" s="12" t="s">
        <v>98</v>
      </c>
      <c r="AH2556" s="12" t="s">
        <v>5315</v>
      </c>
      <c r="AN2556" s="46">
        <v>1303</v>
      </c>
      <c r="AU2556" s="12" t="s">
        <v>5310</v>
      </c>
    </row>
    <row r="2557" spans="1:47" ht="12" customHeight="1" x14ac:dyDescent="0.2">
      <c r="A2557" s="95" t="s">
        <v>4655</v>
      </c>
      <c r="B2557" s="42">
        <v>903603</v>
      </c>
      <c r="C2557" s="42" t="s">
        <v>5075</v>
      </c>
      <c r="D2557" s="86" t="s">
        <v>5222</v>
      </c>
      <c r="E2557" s="86" t="s">
        <v>2</v>
      </c>
      <c r="F2557" s="32" t="s">
        <v>310</v>
      </c>
      <c r="G2557" s="32" t="s">
        <v>1625</v>
      </c>
      <c r="J2557" s="32" t="s">
        <v>4458</v>
      </c>
      <c r="K2557" s="32" t="s">
        <v>4459</v>
      </c>
      <c r="L2557" s="32" t="s">
        <v>4461</v>
      </c>
      <c r="M2557" s="32" t="s">
        <v>5379</v>
      </c>
      <c r="O2557" s="32">
        <v>9</v>
      </c>
      <c r="P2557" s="32">
        <v>91</v>
      </c>
      <c r="AA2557" s="12" t="s">
        <v>5386</v>
      </c>
      <c r="AD2557" s="12" t="s">
        <v>98</v>
      </c>
      <c r="AE2557" s="12" t="s">
        <v>5317</v>
      </c>
      <c r="AF2557" s="12" t="s">
        <v>2186</v>
      </c>
      <c r="AG2557" s="12" t="s">
        <v>98</v>
      </c>
      <c r="AH2557" s="12" t="s">
        <v>5315</v>
      </c>
      <c r="AN2557" s="46">
        <v>1303</v>
      </c>
      <c r="AU2557" s="12" t="s">
        <v>5310</v>
      </c>
    </row>
    <row r="2558" spans="1:47" ht="12" customHeight="1" x14ac:dyDescent="0.2">
      <c r="A2558" s="95" t="s">
        <v>4656</v>
      </c>
      <c r="B2558" s="42">
        <v>903703</v>
      </c>
      <c r="C2558" s="42" t="s">
        <v>5076</v>
      </c>
      <c r="D2558" s="86" t="s">
        <v>5223</v>
      </c>
      <c r="E2558" s="86" t="s">
        <v>1629</v>
      </c>
      <c r="F2558" s="32" t="s">
        <v>310</v>
      </c>
      <c r="G2558" s="32" t="s">
        <v>1630</v>
      </c>
      <c r="J2558" s="32" t="s">
        <v>4458</v>
      </c>
      <c r="K2558" s="32" t="s">
        <v>4459</v>
      </c>
      <c r="L2558" s="32" t="s">
        <v>4461</v>
      </c>
      <c r="M2558" s="32" t="s">
        <v>5379</v>
      </c>
      <c r="O2558" s="32">
        <v>9</v>
      </c>
      <c r="P2558" s="32">
        <v>91</v>
      </c>
      <c r="Y2558" s="12" t="s">
        <v>5384</v>
      </c>
      <c r="AD2558" s="12" t="s">
        <v>98</v>
      </c>
      <c r="AE2558" s="12" t="s">
        <v>5317</v>
      </c>
      <c r="AF2558" s="12" t="s">
        <v>2186</v>
      </c>
      <c r="AG2558" s="12" t="s">
        <v>98</v>
      </c>
      <c r="AH2558" s="12" t="s">
        <v>5316</v>
      </c>
      <c r="AN2558" s="46">
        <v>1303</v>
      </c>
      <c r="AU2558" s="12" t="s">
        <v>5310</v>
      </c>
    </row>
    <row r="2559" spans="1:47" ht="12" customHeight="1" x14ac:dyDescent="0.2">
      <c r="A2559" s="95" t="s">
        <v>4657</v>
      </c>
      <c r="B2559" s="42">
        <v>904101</v>
      </c>
      <c r="C2559" s="42" t="s">
        <v>5077</v>
      </c>
      <c r="D2559" s="86" t="s">
        <v>5224</v>
      </c>
      <c r="E2559" s="86" t="s">
        <v>1</v>
      </c>
      <c r="F2559" s="32" t="s">
        <v>456</v>
      </c>
      <c r="G2559" s="32" t="s">
        <v>1472</v>
      </c>
      <c r="J2559" s="32" t="s">
        <v>4458</v>
      </c>
      <c r="K2559" s="32" t="s">
        <v>4459</v>
      </c>
      <c r="L2559" s="32" t="s">
        <v>4461</v>
      </c>
      <c r="M2559" s="32" t="s">
        <v>5378</v>
      </c>
      <c r="O2559" s="32">
        <v>9</v>
      </c>
      <c r="P2559" s="32">
        <v>91</v>
      </c>
      <c r="AA2559" s="12" t="s">
        <v>5386</v>
      </c>
      <c r="AD2559" s="12" t="s">
        <v>98</v>
      </c>
      <c r="AE2559" s="12" t="s">
        <v>5317</v>
      </c>
      <c r="AF2559" s="12" t="s">
        <v>2186</v>
      </c>
      <c r="AG2559" s="12" t="s">
        <v>98</v>
      </c>
      <c r="AH2559" s="12" t="s">
        <v>5313</v>
      </c>
      <c r="AN2559" s="46">
        <v>1401</v>
      </c>
      <c r="AR2559" s="34" t="s">
        <v>94</v>
      </c>
      <c r="AS2559" s="34" t="s">
        <v>94</v>
      </c>
      <c r="AU2559" s="12" t="s">
        <v>5308</v>
      </c>
    </row>
    <row r="2560" spans="1:47" ht="12" customHeight="1" x14ac:dyDescent="0.2">
      <c r="A2560" s="95" t="s">
        <v>4658</v>
      </c>
      <c r="B2560" s="42">
        <v>904201</v>
      </c>
      <c r="C2560" s="42" t="s">
        <v>5078</v>
      </c>
      <c r="D2560" s="86" t="s">
        <v>5225</v>
      </c>
      <c r="E2560" s="86" t="s">
        <v>501</v>
      </c>
      <c r="F2560" s="32" t="s">
        <v>456</v>
      </c>
      <c r="G2560" s="32" t="s">
        <v>1472</v>
      </c>
      <c r="J2560" s="32" t="s">
        <v>4458</v>
      </c>
      <c r="K2560" s="32" t="s">
        <v>4459</v>
      </c>
      <c r="L2560" s="32" t="s">
        <v>4461</v>
      </c>
      <c r="M2560" s="32" t="s">
        <v>5378</v>
      </c>
      <c r="O2560" s="32">
        <v>9</v>
      </c>
      <c r="P2560" s="32">
        <v>91</v>
      </c>
      <c r="AB2560" s="12" t="s">
        <v>5387</v>
      </c>
      <c r="AD2560" s="12" t="s">
        <v>98</v>
      </c>
      <c r="AE2560" s="12" t="s">
        <v>5317</v>
      </c>
      <c r="AF2560" s="12" t="s">
        <v>2186</v>
      </c>
      <c r="AG2560" s="12" t="s">
        <v>98</v>
      </c>
      <c r="AH2560" s="12" t="s">
        <v>5314</v>
      </c>
      <c r="AN2560" s="46">
        <v>1401</v>
      </c>
      <c r="AR2560" s="34" t="s">
        <v>94</v>
      </c>
      <c r="AS2560" s="34" t="s">
        <v>94</v>
      </c>
      <c r="AU2560" s="12" t="s">
        <v>5308</v>
      </c>
    </row>
    <row r="2561" spans="1:47" ht="12" customHeight="1" x14ac:dyDescent="0.2">
      <c r="A2561" s="95" t="s">
        <v>4659</v>
      </c>
      <c r="B2561" s="42">
        <v>904301</v>
      </c>
      <c r="C2561" s="42" t="s">
        <v>5079</v>
      </c>
      <c r="D2561" s="86" t="s">
        <v>5226</v>
      </c>
      <c r="E2561" s="86" t="s">
        <v>2</v>
      </c>
      <c r="F2561" s="32" t="s">
        <v>456</v>
      </c>
      <c r="G2561" s="32" t="s">
        <v>1568</v>
      </c>
      <c r="J2561" s="32" t="s">
        <v>4458</v>
      </c>
      <c r="K2561" s="32" t="s">
        <v>4459</v>
      </c>
      <c r="L2561" s="32" t="s">
        <v>4461</v>
      </c>
      <c r="M2561" s="32" t="s">
        <v>5378</v>
      </c>
      <c r="O2561" s="32">
        <v>9</v>
      </c>
      <c r="P2561" s="32">
        <v>91</v>
      </c>
      <c r="Y2561" s="12" t="s">
        <v>5384</v>
      </c>
      <c r="AD2561" s="12" t="s">
        <v>98</v>
      </c>
      <c r="AE2561" s="12" t="s">
        <v>5317</v>
      </c>
      <c r="AF2561" s="12" t="s">
        <v>2186</v>
      </c>
      <c r="AG2561" s="12" t="s">
        <v>98</v>
      </c>
      <c r="AH2561" s="12" t="s">
        <v>5315</v>
      </c>
      <c r="AN2561" s="46">
        <v>1401</v>
      </c>
      <c r="AU2561" s="12" t="s">
        <v>5308</v>
      </c>
    </row>
    <row r="2562" spans="1:47" ht="12" customHeight="1" x14ac:dyDescent="0.2">
      <c r="A2562" s="95" t="s">
        <v>4660</v>
      </c>
      <c r="B2562" s="42">
        <v>904401</v>
      </c>
      <c r="C2562" s="42" t="s">
        <v>5080</v>
      </c>
      <c r="D2562" s="86" t="s">
        <v>5227</v>
      </c>
      <c r="E2562" s="86" t="s">
        <v>2</v>
      </c>
      <c r="F2562" s="32" t="s">
        <v>456</v>
      </c>
      <c r="G2562" s="32" t="s">
        <v>1587</v>
      </c>
      <c r="J2562" s="32" t="s">
        <v>4458</v>
      </c>
      <c r="K2562" s="32" t="s">
        <v>4459</v>
      </c>
      <c r="L2562" s="32" t="s">
        <v>4461</v>
      </c>
      <c r="M2562" s="32" t="s">
        <v>5378</v>
      </c>
      <c r="O2562" s="32">
        <v>9</v>
      </c>
      <c r="P2562" s="32">
        <v>91</v>
      </c>
      <c r="W2562" s="12" t="s">
        <v>5385</v>
      </c>
      <c r="X2562" s="12" t="s">
        <v>5385</v>
      </c>
      <c r="AD2562" s="12" t="s">
        <v>98</v>
      </c>
      <c r="AE2562" s="12" t="s">
        <v>5317</v>
      </c>
      <c r="AF2562" s="12" t="s">
        <v>2186</v>
      </c>
      <c r="AG2562" s="12" t="s">
        <v>98</v>
      </c>
      <c r="AH2562" s="12" t="s">
        <v>5315</v>
      </c>
      <c r="AN2562" s="46">
        <v>1401</v>
      </c>
      <c r="AU2562" s="12" t="s">
        <v>5308</v>
      </c>
    </row>
    <row r="2563" spans="1:47" ht="12" customHeight="1" x14ac:dyDescent="0.2">
      <c r="A2563" s="95" t="s">
        <v>4661</v>
      </c>
      <c r="B2563" s="42">
        <v>904501</v>
      </c>
      <c r="C2563" s="42" t="s">
        <v>5081</v>
      </c>
      <c r="D2563" s="86" t="s">
        <v>5228</v>
      </c>
      <c r="E2563" s="86" t="s">
        <v>2</v>
      </c>
      <c r="F2563" s="32" t="s">
        <v>456</v>
      </c>
      <c r="G2563" s="32" t="s">
        <v>1606</v>
      </c>
      <c r="J2563" s="32" t="s">
        <v>4458</v>
      </c>
      <c r="K2563" s="32" t="s">
        <v>4459</v>
      </c>
      <c r="L2563" s="32" t="s">
        <v>4461</v>
      </c>
      <c r="M2563" s="32" t="s">
        <v>5378</v>
      </c>
      <c r="O2563" s="32">
        <v>9</v>
      </c>
      <c r="P2563" s="32">
        <v>91</v>
      </c>
      <c r="AB2563" s="12" t="s">
        <v>5386</v>
      </c>
      <c r="AD2563" s="12" t="s">
        <v>98</v>
      </c>
      <c r="AE2563" s="12" t="s">
        <v>5317</v>
      </c>
      <c r="AF2563" s="12" t="s">
        <v>2186</v>
      </c>
      <c r="AG2563" s="12" t="s">
        <v>98</v>
      </c>
      <c r="AH2563" s="12" t="s">
        <v>5315</v>
      </c>
      <c r="AN2563" s="46">
        <v>1401</v>
      </c>
      <c r="AU2563" s="12" t="s">
        <v>5308</v>
      </c>
    </row>
    <row r="2564" spans="1:47" ht="12" customHeight="1" x14ac:dyDescent="0.2">
      <c r="A2564" s="95" t="s">
        <v>4662</v>
      </c>
      <c r="B2564" s="42">
        <v>904601</v>
      </c>
      <c r="C2564" s="42" t="s">
        <v>5082</v>
      </c>
      <c r="D2564" s="86" t="s">
        <v>5229</v>
      </c>
      <c r="E2564" s="86" t="s">
        <v>2</v>
      </c>
      <c r="F2564" s="32" t="s">
        <v>456</v>
      </c>
      <c r="G2564" s="32" t="s">
        <v>1625</v>
      </c>
      <c r="J2564" s="32" t="s">
        <v>4458</v>
      </c>
      <c r="K2564" s="32" t="s">
        <v>4459</v>
      </c>
      <c r="L2564" s="32" t="s">
        <v>4461</v>
      </c>
      <c r="M2564" s="32" t="s">
        <v>5378</v>
      </c>
      <c r="O2564" s="32">
        <v>9</v>
      </c>
      <c r="P2564" s="32">
        <v>91</v>
      </c>
      <c r="AA2564" s="12" t="s">
        <v>5386</v>
      </c>
      <c r="AD2564" s="12" t="s">
        <v>98</v>
      </c>
      <c r="AE2564" s="12" t="s">
        <v>5317</v>
      </c>
      <c r="AF2564" s="12" t="s">
        <v>2186</v>
      </c>
      <c r="AG2564" s="12" t="s">
        <v>98</v>
      </c>
      <c r="AH2564" s="12" t="s">
        <v>5315</v>
      </c>
      <c r="AN2564" s="46">
        <v>1401</v>
      </c>
      <c r="AU2564" s="12" t="s">
        <v>5308</v>
      </c>
    </row>
    <row r="2565" spans="1:47" ht="12" customHeight="1" x14ac:dyDescent="0.2">
      <c r="A2565" s="95" t="s">
        <v>4663</v>
      </c>
      <c r="B2565" s="42">
        <v>904701</v>
      </c>
      <c r="C2565" s="42" t="s">
        <v>5083</v>
      </c>
      <c r="D2565" s="86" t="s">
        <v>5230</v>
      </c>
      <c r="E2565" s="86" t="s">
        <v>1629</v>
      </c>
      <c r="F2565" s="32" t="s">
        <v>456</v>
      </c>
      <c r="G2565" s="32" t="s">
        <v>1630</v>
      </c>
      <c r="J2565" s="32" t="s">
        <v>4458</v>
      </c>
      <c r="K2565" s="32" t="s">
        <v>4459</v>
      </c>
      <c r="L2565" s="32" t="s">
        <v>4461</v>
      </c>
      <c r="M2565" s="32" t="s">
        <v>5378</v>
      </c>
      <c r="O2565" s="32">
        <v>9</v>
      </c>
      <c r="P2565" s="32">
        <v>91</v>
      </c>
      <c r="Y2565" s="12" t="s">
        <v>5384</v>
      </c>
      <c r="AD2565" s="12" t="s">
        <v>98</v>
      </c>
      <c r="AE2565" s="12" t="s">
        <v>5317</v>
      </c>
      <c r="AF2565" s="12" t="s">
        <v>2186</v>
      </c>
      <c r="AG2565" s="12" t="s">
        <v>98</v>
      </c>
      <c r="AH2565" s="12" t="s">
        <v>5316</v>
      </c>
      <c r="AN2565" s="46">
        <v>1401</v>
      </c>
      <c r="AU2565" s="12" t="s">
        <v>5308</v>
      </c>
    </row>
    <row r="2566" spans="1:47" ht="12" customHeight="1" x14ac:dyDescent="0.2">
      <c r="A2566" s="95" t="s">
        <v>4664</v>
      </c>
      <c r="B2566" s="42">
        <v>904102</v>
      </c>
      <c r="C2566" s="42" t="s">
        <v>5084</v>
      </c>
      <c r="D2566" s="86" t="s">
        <v>5231</v>
      </c>
      <c r="E2566" s="86" t="s">
        <v>1</v>
      </c>
      <c r="F2566" s="32" t="s">
        <v>456</v>
      </c>
      <c r="G2566" s="32" t="s">
        <v>1472</v>
      </c>
      <c r="J2566" s="32" t="s">
        <v>4458</v>
      </c>
      <c r="K2566" s="32" t="s">
        <v>4459</v>
      </c>
      <c r="L2566" s="32" t="s">
        <v>4461</v>
      </c>
      <c r="M2566" s="32" t="s">
        <v>5380</v>
      </c>
      <c r="O2566" s="32">
        <v>9</v>
      </c>
      <c r="P2566" s="32">
        <v>91</v>
      </c>
      <c r="AA2566" s="12" t="s">
        <v>5386</v>
      </c>
      <c r="AD2566" s="12" t="s">
        <v>98</v>
      </c>
      <c r="AE2566" s="12" t="s">
        <v>5317</v>
      </c>
      <c r="AF2566" s="12" t="s">
        <v>2186</v>
      </c>
      <c r="AG2566" s="12" t="s">
        <v>98</v>
      </c>
      <c r="AH2566" s="12" t="s">
        <v>5313</v>
      </c>
      <c r="AN2566" s="46">
        <v>1402</v>
      </c>
      <c r="AR2566" s="34" t="s">
        <v>94</v>
      </c>
      <c r="AS2566" s="34" t="s">
        <v>94</v>
      </c>
      <c r="AU2566" s="12" t="s">
        <v>5309</v>
      </c>
    </row>
    <row r="2567" spans="1:47" ht="12" customHeight="1" x14ac:dyDescent="0.2">
      <c r="A2567" s="95" t="s">
        <v>4665</v>
      </c>
      <c r="B2567" s="42">
        <v>904202</v>
      </c>
      <c r="C2567" s="42" t="s">
        <v>5085</v>
      </c>
      <c r="D2567" s="86" t="s">
        <v>5232</v>
      </c>
      <c r="E2567" s="86" t="s">
        <v>501</v>
      </c>
      <c r="F2567" s="32" t="s">
        <v>456</v>
      </c>
      <c r="G2567" s="32" t="s">
        <v>1472</v>
      </c>
      <c r="J2567" s="32" t="s">
        <v>4458</v>
      </c>
      <c r="K2567" s="32" t="s">
        <v>4459</v>
      </c>
      <c r="L2567" s="32" t="s">
        <v>4461</v>
      </c>
      <c r="M2567" s="32" t="s">
        <v>5380</v>
      </c>
      <c r="O2567" s="32">
        <v>9</v>
      </c>
      <c r="P2567" s="32">
        <v>91</v>
      </c>
      <c r="AB2567" s="12" t="s">
        <v>5387</v>
      </c>
      <c r="AD2567" s="12" t="s">
        <v>98</v>
      </c>
      <c r="AE2567" s="12" t="s">
        <v>5317</v>
      </c>
      <c r="AF2567" s="12" t="s">
        <v>2186</v>
      </c>
      <c r="AG2567" s="12" t="s">
        <v>98</v>
      </c>
      <c r="AH2567" s="12" t="s">
        <v>5314</v>
      </c>
      <c r="AN2567" s="46">
        <v>1402</v>
      </c>
      <c r="AR2567" s="34" t="s">
        <v>94</v>
      </c>
      <c r="AS2567" s="34" t="s">
        <v>94</v>
      </c>
      <c r="AU2567" s="12" t="s">
        <v>5309</v>
      </c>
    </row>
    <row r="2568" spans="1:47" ht="12" customHeight="1" x14ac:dyDescent="0.2">
      <c r="A2568" s="95" t="s">
        <v>4666</v>
      </c>
      <c r="B2568" s="42">
        <v>904302</v>
      </c>
      <c r="C2568" s="42" t="s">
        <v>5086</v>
      </c>
      <c r="D2568" s="86" t="s">
        <v>5233</v>
      </c>
      <c r="E2568" s="86" t="s">
        <v>2</v>
      </c>
      <c r="F2568" s="32" t="s">
        <v>456</v>
      </c>
      <c r="G2568" s="32" t="s">
        <v>1568</v>
      </c>
      <c r="J2568" s="32" t="s">
        <v>4458</v>
      </c>
      <c r="K2568" s="32" t="s">
        <v>4459</v>
      </c>
      <c r="L2568" s="32" t="s">
        <v>4461</v>
      </c>
      <c r="M2568" s="32" t="s">
        <v>5380</v>
      </c>
      <c r="O2568" s="32">
        <v>9</v>
      </c>
      <c r="P2568" s="32">
        <v>91</v>
      </c>
      <c r="Y2568" s="12" t="s">
        <v>5384</v>
      </c>
      <c r="AD2568" s="12" t="s">
        <v>98</v>
      </c>
      <c r="AE2568" s="12" t="s">
        <v>5317</v>
      </c>
      <c r="AF2568" s="12" t="s">
        <v>2186</v>
      </c>
      <c r="AG2568" s="12" t="s">
        <v>98</v>
      </c>
      <c r="AH2568" s="12" t="s">
        <v>5315</v>
      </c>
      <c r="AN2568" s="46">
        <v>1402</v>
      </c>
      <c r="AU2568" s="12" t="s">
        <v>5309</v>
      </c>
    </row>
    <row r="2569" spans="1:47" ht="12" customHeight="1" x14ac:dyDescent="0.2">
      <c r="A2569" s="95" t="s">
        <v>4667</v>
      </c>
      <c r="B2569" s="42">
        <v>904402</v>
      </c>
      <c r="C2569" s="42" t="s">
        <v>5087</v>
      </c>
      <c r="D2569" s="86" t="s">
        <v>5234</v>
      </c>
      <c r="E2569" s="86" t="s">
        <v>2</v>
      </c>
      <c r="F2569" s="32" t="s">
        <v>456</v>
      </c>
      <c r="G2569" s="32" t="s">
        <v>1587</v>
      </c>
      <c r="J2569" s="32" t="s">
        <v>4458</v>
      </c>
      <c r="K2569" s="32" t="s">
        <v>4459</v>
      </c>
      <c r="L2569" s="32" t="s">
        <v>4461</v>
      </c>
      <c r="M2569" s="32" t="s">
        <v>5380</v>
      </c>
      <c r="O2569" s="32">
        <v>9</v>
      </c>
      <c r="P2569" s="32">
        <v>91</v>
      </c>
      <c r="W2569" s="12" t="s">
        <v>5385</v>
      </c>
      <c r="X2569" s="12" t="s">
        <v>5385</v>
      </c>
      <c r="AD2569" s="12" t="s">
        <v>98</v>
      </c>
      <c r="AE2569" s="12" t="s">
        <v>5317</v>
      </c>
      <c r="AF2569" s="12" t="s">
        <v>2186</v>
      </c>
      <c r="AG2569" s="12" t="s">
        <v>98</v>
      </c>
      <c r="AH2569" s="12" t="s">
        <v>5315</v>
      </c>
      <c r="AN2569" s="46">
        <v>1402</v>
      </c>
      <c r="AU2569" s="12" t="s">
        <v>5309</v>
      </c>
    </row>
    <row r="2570" spans="1:47" ht="12" customHeight="1" x14ac:dyDescent="0.2">
      <c r="A2570" s="95" t="s">
        <v>4668</v>
      </c>
      <c r="B2570" s="42">
        <v>904502</v>
      </c>
      <c r="C2570" s="42" t="s">
        <v>5088</v>
      </c>
      <c r="D2570" s="86" t="s">
        <v>5235</v>
      </c>
      <c r="E2570" s="86" t="s">
        <v>2</v>
      </c>
      <c r="F2570" s="32" t="s">
        <v>456</v>
      </c>
      <c r="G2570" s="32" t="s">
        <v>1606</v>
      </c>
      <c r="J2570" s="32" t="s">
        <v>4458</v>
      </c>
      <c r="K2570" s="32" t="s">
        <v>4459</v>
      </c>
      <c r="L2570" s="32" t="s">
        <v>4461</v>
      </c>
      <c r="M2570" s="32" t="s">
        <v>5380</v>
      </c>
      <c r="O2570" s="32">
        <v>9</v>
      </c>
      <c r="P2570" s="32">
        <v>91</v>
      </c>
      <c r="AB2570" s="12" t="s">
        <v>5386</v>
      </c>
      <c r="AD2570" s="12" t="s">
        <v>98</v>
      </c>
      <c r="AE2570" s="12" t="s">
        <v>5317</v>
      </c>
      <c r="AF2570" s="12" t="s">
        <v>2186</v>
      </c>
      <c r="AG2570" s="12" t="s">
        <v>98</v>
      </c>
      <c r="AH2570" s="12" t="s">
        <v>5315</v>
      </c>
      <c r="AN2570" s="46">
        <v>1402</v>
      </c>
      <c r="AU2570" s="12" t="s">
        <v>5309</v>
      </c>
    </row>
    <row r="2571" spans="1:47" ht="12" customHeight="1" x14ac:dyDescent="0.2">
      <c r="A2571" s="95" t="s">
        <v>4669</v>
      </c>
      <c r="B2571" s="42">
        <v>904602</v>
      </c>
      <c r="C2571" s="42" t="s">
        <v>5089</v>
      </c>
      <c r="D2571" s="86" t="s">
        <v>5236</v>
      </c>
      <c r="E2571" s="86" t="s">
        <v>2</v>
      </c>
      <c r="F2571" s="32" t="s">
        <v>456</v>
      </c>
      <c r="G2571" s="32" t="s">
        <v>1625</v>
      </c>
      <c r="J2571" s="32" t="s">
        <v>4458</v>
      </c>
      <c r="K2571" s="32" t="s">
        <v>4459</v>
      </c>
      <c r="L2571" s="32" t="s">
        <v>4461</v>
      </c>
      <c r="M2571" s="32" t="s">
        <v>5380</v>
      </c>
      <c r="O2571" s="32">
        <v>9</v>
      </c>
      <c r="P2571" s="32">
        <v>91</v>
      </c>
      <c r="AA2571" s="12" t="s">
        <v>5386</v>
      </c>
      <c r="AD2571" s="12" t="s">
        <v>98</v>
      </c>
      <c r="AE2571" s="12" t="s">
        <v>5317</v>
      </c>
      <c r="AF2571" s="12" t="s">
        <v>2186</v>
      </c>
      <c r="AG2571" s="12" t="s">
        <v>98</v>
      </c>
      <c r="AH2571" s="12" t="s">
        <v>5315</v>
      </c>
      <c r="AN2571" s="46">
        <v>1402</v>
      </c>
      <c r="AU2571" s="12" t="s">
        <v>5309</v>
      </c>
    </row>
    <row r="2572" spans="1:47" ht="12" customHeight="1" x14ac:dyDescent="0.2">
      <c r="A2572" s="95" t="s">
        <v>4670</v>
      </c>
      <c r="B2572" s="42">
        <v>904702</v>
      </c>
      <c r="C2572" s="42" t="s">
        <v>5090</v>
      </c>
      <c r="D2572" s="86" t="s">
        <v>5237</v>
      </c>
      <c r="E2572" s="86" t="s">
        <v>1629</v>
      </c>
      <c r="F2572" s="32" t="s">
        <v>456</v>
      </c>
      <c r="G2572" s="32" t="s">
        <v>1630</v>
      </c>
      <c r="J2572" s="32" t="s">
        <v>4458</v>
      </c>
      <c r="K2572" s="32" t="s">
        <v>4459</v>
      </c>
      <c r="L2572" s="32" t="s">
        <v>4461</v>
      </c>
      <c r="M2572" s="32" t="s">
        <v>5380</v>
      </c>
      <c r="O2572" s="32">
        <v>9</v>
      </c>
      <c r="P2572" s="32">
        <v>91</v>
      </c>
      <c r="Y2572" s="12" t="s">
        <v>5384</v>
      </c>
      <c r="AD2572" s="12" t="s">
        <v>98</v>
      </c>
      <c r="AE2572" s="12" t="s">
        <v>5317</v>
      </c>
      <c r="AF2572" s="12" t="s">
        <v>2186</v>
      </c>
      <c r="AG2572" s="12" t="s">
        <v>98</v>
      </c>
      <c r="AH2572" s="12" t="s">
        <v>5316</v>
      </c>
      <c r="AN2572" s="46">
        <v>1402</v>
      </c>
      <c r="AU2572" s="12" t="s">
        <v>5309</v>
      </c>
    </row>
    <row r="2573" spans="1:47" ht="12" customHeight="1" x14ac:dyDescent="0.2">
      <c r="A2573" s="95" t="s">
        <v>4671</v>
      </c>
      <c r="B2573" s="42">
        <v>904103</v>
      </c>
      <c r="C2573" s="42" t="s">
        <v>5091</v>
      </c>
      <c r="D2573" s="86" t="s">
        <v>5238</v>
      </c>
      <c r="E2573" s="86" t="s">
        <v>1</v>
      </c>
      <c r="F2573" s="32" t="s">
        <v>456</v>
      </c>
      <c r="G2573" s="32" t="s">
        <v>1472</v>
      </c>
      <c r="J2573" s="32" t="s">
        <v>4458</v>
      </c>
      <c r="K2573" s="32" t="s">
        <v>4459</v>
      </c>
      <c r="L2573" s="32" t="s">
        <v>4461</v>
      </c>
      <c r="M2573" s="32" t="s">
        <v>5379</v>
      </c>
      <c r="O2573" s="32">
        <v>9</v>
      </c>
      <c r="P2573" s="32">
        <v>91</v>
      </c>
      <c r="AA2573" s="12" t="s">
        <v>5386</v>
      </c>
      <c r="AD2573" s="12" t="s">
        <v>98</v>
      </c>
      <c r="AE2573" s="12" t="s">
        <v>5317</v>
      </c>
      <c r="AF2573" s="12" t="s">
        <v>2186</v>
      </c>
      <c r="AG2573" s="12" t="s">
        <v>98</v>
      </c>
      <c r="AH2573" s="12" t="s">
        <v>5313</v>
      </c>
      <c r="AN2573" s="46">
        <v>1403</v>
      </c>
      <c r="AR2573" s="34" t="s">
        <v>94</v>
      </c>
      <c r="AS2573" s="34" t="s">
        <v>94</v>
      </c>
      <c r="AU2573" s="12" t="s">
        <v>5310</v>
      </c>
    </row>
    <row r="2574" spans="1:47" ht="12" customHeight="1" x14ac:dyDescent="0.2">
      <c r="A2574" s="95" t="s">
        <v>4672</v>
      </c>
      <c r="B2574" s="42">
        <v>904203</v>
      </c>
      <c r="C2574" s="42" t="s">
        <v>5092</v>
      </c>
      <c r="D2574" s="86" t="s">
        <v>5239</v>
      </c>
      <c r="E2574" s="86" t="s">
        <v>501</v>
      </c>
      <c r="F2574" s="32" t="s">
        <v>456</v>
      </c>
      <c r="G2574" s="32" t="s">
        <v>1472</v>
      </c>
      <c r="J2574" s="32" t="s">
        <v>4458</v>
      </c>
      <c r="K2574" s="32" t="s">
        <v>4459</v>
      </c>
      <c r="L2574" s="32" t="s">
        <v>4461</v>
      </c>
      <c r="M2574" s="32" t="s">
        <v>5379</v>
      </c>
      <c r="O2574" s="32">
        <v>9</v>
      </c>
      <c r="P2574" s="32">
        <v>91</v>
      </c>
      <c r="AB2574" s="12" t="s">
        <v>5387</v>
      </c>
      <c r="AD2574" s="12" t="s">
        <v>98</v>
      </c>
      <c r="AE2574" s="12" t="s">
        <v>5317</v>
      </c>
      <c r="AF2574" s="12" t="s">
        <v>2186</v>
      </c>
      <c r="AG2574" s="12" t="s">
        <v>98</v>
      </c>
      <c r="AH2574" s="12" t="s">
        <v>5314</v>
      </c>
      <c r="AN2574" s="46">
        <v>1403</v>
      </c>
      <c r="AR2574" s="34" t="s">
        <v>94</v>
      </c>
      <c r="AS2574" s="34" t="s">
        <v>94</v>
      </c>
      <c r="AU2574" s="12" t="s">
        <v>5310</v>
      </c>
    </row>
    <row r="2575" spans="1:47" ht="12" customHeight="1" x14ac:dyDescent="0.2">
      <c r="A2575" s="95" t="s">
        <v>4673</v>
      </c>
      <c r="B2575" s="42">
        <v>904303</v>
      </c>
      <c r="C2575" s="42" t="s">
        <v>5093</v>
      </c>
      <c r="D2575" s="86" t="s">
        <v>5240</v>
      </c>
      <c r="E2575" s="86" t="s">
        <v>2</v>
      </c>
      <c r="F2575" s="32" t="s">
        <v>456</v>
      </c>
      <c r="G2575" s="32" t="s">
        <v>1568</v>
      </c>
      <c r="J2575" s="32" t="s">
        <v>4458</v>
      </c>
      <c r="K2575" s="32" t="s">
        <v>4459</v>
      </c>
      <c r="L2575" s="32" t="s">
        <v>4461</v>
      </c>
      <c r="M2575" s="32" t="s">
        <v>5379</v>
      </c>
      <c r="O2575" s="32">
        <v>9</v>
      </c>
      <c r="P2575" s="32">
        <v>91</v>
      </c>
      <c r="Y2575" s="12" t="s">
        <v>5384</v>
      </c>
      <c r="AD2575" s="12" t="s">
        <v>98</v>
      </c>
      <c r="AE2575" s="12" t="s">
        <v>5317</v>
      </c>
      <c r="AF2575" s="12" t="s">
        <v>2186</v>
      </c>
      <c r="AG2575" s="12" t="s">
        <v>98</v>
      </c>
      <c r="AH2575" s="12" t="s">
        <v>5315</v>
      </c>
      <c r="AN2575" s="46">
        <v>1403</v>
      </c>
      <c r="AU2575" s="12" t="s">
        <v>5310</v>
      </c>
    </row>
    <row r="2576" spans="1:47" ht="12" customHeight="1" x14ac:dyDescent="0.2">
      <c r="A2576" s="95" t="s">
        <v>4674</v>
      </c>
      <c r="B2576" s="42">
        <v>904403</v>
      </c>
      <c r="C2576" s="42" t="s">
        <v>5094</v>
      </c>
      <c r="D2576" s="86" t="s">
        <v>5241</v>
      </c>
      <c r="E2576" s="86" t="s">
        <v>2</v>
      </c>
      <c r="F2576" s="32" t="s">
        <v>456</v>
      </c>
      <c r="G2576" s="32" t="s">
        <v>1587</v>
      </c>
      <c r="J2576" s="32" t="s">
        <v>4458</v>
      </c>
      <c r="K2576" s="32" t="s">
        <v>4459</v>
      </c>
      <c r="L2576" s="32" t="s">
        <v>4461</v>
      </c>
      <c r="M2576" s="32" t="s">
        <v>5379</v>
      </c>
      <c r="O2576" s="32">
        <v>9</v>
      </c>
      <c r="P2576" s="32">
        <v>91</v>
      </c>
      <c r="W2576" s="12" t="s">
        <v>5385</v>
      </c>
      <c r="X2576" s="12" t="s">
        <v>5385</v>
      </c>
      <c r="AD2576" s="12" t="s">
        <v>98</v>
      </c>
      <c r="AE2576" s="12" t="s">
        <v>5317</v>
      </c>
      <c r="AF2576" s="12" t="s">
        <v>2186</v>
      </c>
      <c r="AG2576" s="12" t="s">
        <v>98</v>
      </c>
      <c r="AH2576" s="12" t="s">
        <v>5315</v>
      </c>
      <c r="AN2576" s="46">
        <v>1403</v>
      </c>
      <c r="AU2576" s="12" t="s">
        <v>5310</v>
      </c>
    </row>
    <row r="2577" spans="1:47" ht="12" customHeight="1" x14ac:dyDescent="0.2">
      <c r="A2577" s="95" t="s">
        <v>4675</v>
      </c>
      <c r="B2577" s="42">
        <v>904503</v>
      </c>
      <c r="C2577" s="42" t="s">
        <v>5095</v>
      </c>
      <c r="D2577" s="86" t="s">
        <v>5242</v>
      </c>
      <c r="E2577" s="86" t="s">
        <v>2</v>
      </c>
      <c r="F2577" s="32" t="s">
        <v>456</v>
      </c>
      <c r="G2577" s="32" t="s">
        <v>1606</v>
      </c>
      <c r="J2577" s="32" t="s">
        <v>4458</v>
      </c>
      <c r="K2577" s="32" t="s">
        <v>4459</v>
      </c>
      <c r="L2577" s="32" t="s">
        <v>4461</v>
      </c>
      <c r="M2577" s="32" t="s">
        <v>5379</v>
      </c>
      <c r="O2577" s="32">
        <v>9</v>
      </c>
      <c r="P2577" s="32">
        <v>91</v>
      </c>
      <c r="AB2577" s="12" t="s">
        <v>5386</v>
      </c>
      <c r="AD2577" s="12" t="s">
        <v>98</v>
      </c>
      <c r="AE2577" s="12" t="s">
        <v>5317</v>
      </c>
      <c r="AF2577" s="12" t="s">
        <v>2186</v>
      </c>
      <c r="AG2577" s="12" t="s">
        <v>98</v>
      </c>
      <c r="AH2577" s="12" t="s">
        <v>5315</v>
      </c>
      <c r="AN2577" s="46">
        <v>1403</v>
      </c>
      <c r="AU2577" s="12" t="s">
        <v>5310</v>
      </c>
    </row>
    <row r="2578" spans="1:47" ht="12" customHeight="1" x14ac:dyDescent="0.2">
      <c r="A2578" s="95" t="s">
        <v>4676</v>
      </c>
      <c r="B2578" s="42">
        <v>904603</v>
      </c>
      <c r="C2578" s="42" t="s">
        <v>5096</v>
      </c>
      <c r="D2578" s="86" t="s">
        <v>5243</v>
      </c>
      <c r="E2578" s="86" t="s">
        <v>2</v>
      </c>
      <c r="F2578" s="32" t="s">
        <v>456</v>
      </c>
      <c r="G2578" s="32" t="s">
        <v>1625</v>
      </c>
      <c r="J2578" s="32" t="s">
        <v>4458</v>
      </c>
      <c r="K2578" s="32" t="s">
        <v>4459</v>
      </c>
      <c r="L2578" s="32" t="s">
        <v>4461</v>
      </c>
      <c r="M2578" s="32" t="s">
        <v>5379</v>
      </c>
      <c r="O2578" s="32">
        <v>9</v>
      </c>
      <c r="P2578" s="32">
        <v>91</v>
      </c>
      <c r="AA2578" s="12" t="s">
        <v>5386</v>
      </c>
      <c r="AD2578" s="12" t="s">
        <v>98</v>
      </c>
      <c r="AE2578" s="12" t="s">
        <v>5317</v>
      </c>
      <c r="AF2578" s="12" t="s">
        <v>2186</v>
      </c>
      <c r="AG2578" s="12" t="s">
        <v>98</v>
      </c>
      <c r="AH2578" s="12" t="s">
        <v>5315</v>
      </c>
      <c r="AN2578" s="46">
        <v>1403</v>
      </c>
      <c r="AU2578" s="12" t="s">
        <v>5310</v>
      </c>
    </row>
    <row r="2579" spans="1:47" ht="12" customHeight="1" x14ac:dyDescent="0.2">
      <c r="A2579" s="95" t="s">
        <v>4677</v>
      </c>
      <c r="B2579" s="42">
        <v>904703</v>
      </c>
      <c r="C2579" s="42" t="s">
        <v>5097</v>
      </c>
      <c r="D2579" s="86" t="s">
        <v>5244</v>
      </c>
      <c r="E2579" s="86" t="s">
        <v>1629</v>
      </c>
      <c r="F2579" s="32" t="s">
        <v>456</v>
      </c>
      <c r="G2579" s="32" t="s">
        <v>1630</v>
      </c>
      <c r="J2579" s="32" t="s">
        <v>4458</v>
      </c>
      <c r="K2579" s="32" t="s">
        <v>4459</v>
      </c>
      <c r="L2579" s="32" t="s">
        <v>4461</v>
      </c>
      <c r="M2579" s="32" t="s">
        <v>5379</v>
      </c>
      <c r="O2579" s="32">
        <v>9</v>
      </c>
      <c r="P2579" s="32">
        <v>91</v>
      </c>
      <c r="Y2579" s="12" t="s">
        <v>5384</v>
      </c>
      <c r="AD2579" s="12" t="s">
        <v>98</v>
      </c>
      <c r="AE2579" s="12" t="s">
        <v>5317</v>
      </c>
      <c r="AF2579" s="12" t="s">
        <v>2186</v>
      </c>
      <c r="AG2579" s="12" t="s">
        <v>98</v>
      </c>
      <c r="AH2579" s="12" t="s">
        <v>5316</v>
      </c>
      <c r="AN2579" s="46">
        <v>1403</v>
      </c>
      <c r="AU2579" s="12" t="s">
        <v>5310</v>
      </c>
    </row>
    <row r="2580" spans="1:47" ht="12" customHeight="1" x14ac:dyDescent="0.2">
      <c r="A2580" s="95" t="s">
        <v>4678</v>
      </c>
      <c r="B2580" s="42">
        <v>905101</v>
      </c>
      <c r="C2580" s="42" t="s">
        <v>5098</v>
      </c>
      <c r="D2580" s="86" t="s">
        <v>5245</v>
      </c>
      <c r="E2580" s="86" t="s">
        <v>1</v>
      </c>
      <c r="F2580" s="32" t="s">
        <v>927</v>
      </c>
      <c r="G2580" s="32" t="s">
        <v>1472</v>
      </c>
      <c r="J2580" s="32" t="s">
        <v>4458</v>
      </c>
      <c r="K2580" s="32" t="s">
        <v>4459</v>
      </c>
      <c r="L2580" s="32" t="s">
        <v>4461</v>
      </c>
      <c r="M2580" s="32" t="s">
        <v>5378</v>
      </c>
      <c r="O2580" s="32">
        <v>9</v>
      </c>
      <c r="P2580" s="32">
        <v>91</v>
      </c>
      <c r="AA2580" s="12" t="s">
        <v>5386</v>
      </c>
      <c r="AD2580" s="12" t="s">
        <v>98</v>
      </c>
      <c r="AE2580" s="12" t="s">
        <v>5317</v>
      </c>
      <c r="AF2580" s="12" t="s">
        <v>2186</v>
      </c>
      <c r="AG2580" s="12" t="s">
        <v>98</v>
      </c>
      <c r="AH2580" s="12" t="s">
        <v>5313</v>
      </c>
      <c r="AN2580" s="46">
        <v>1501</v>
      </c>
      <c r="AR2580" s="34" t="s">
        <v>94</v>
      </c>
      <c r="AS2580" s="34" t="s">
        <v>94</v>
      </c>
      <c r="AU2580" s="12" t="s">
        <v>5308</v>
      </c>
    </row>
    <row r="2581" spans="1:47" ht="12" customHeight="1" x14ac:dyDescent="0.2">
      <c r="A2581" s="95" t="s">
        <v>4679</v>
      </c>
      <c r="B2581" s="42">
        <v>905201</v>
      </c>
      <c r="C2581" s="42" t="s">
        <v>5099</v>
      </c>
      <c r="D2581" s="86" t="s">
        <v>5246</v>
      </c>
      <c r="E2581" s="86" t="s">
        <v>501</v>
      </c>
      <c r="F2581" s="32" t="s">
        <v>927</v>
      </c>
      <c r="G2581" s="32" t="s">
        <v>1472</v>
      </c>
      <c r="J2581" s="32" t="s">
        <v>4458</v>
      </c>
      <c r="K2581" s="32" t="s">
        <v>4459</v>
      </c>
      <c r="L2581" s="32" t="s">
        <v>4461</v>
      </c>
      <c r="M2581" s="32" t="s">
        <v>5378</v>
      </c>
      <c r="O2581" s="32">
        <v>9</v>
      </c>
      <c r="P2581" s="32">
        <v>91</v>
      </c>
      <c r="AB2581" s="12" t="s">
        <v>5387</v>
      </c>
      <c r="AD2581" s="12" t="s">
        <v>98</v>
      </c>
      <c r="AE2581" s="12" t="s">
        <v>5317</v>
      </c>
      <c r="AF2581" s="12" t="s">
        <v>2186</v>
      </c>
      <c r="AG2581" s="12" t="s">
        <v>98</v>
      </c>
      <c r="AH2581" s="12" t="s">
        <v>5314</v>
      </c>
      <c r="AN2581" s="46">
        <v>1501</v>
      </c>
      <c r="AR2581" s="34" t="s">
        <v>94</v>
      </c>
      <c r="AS2581" s="34" t="s">
        <v>94</v>
      </c>
      <c r="AU2581" s="12" t="s">
        <v>5308</v>
      </c>
    </row>
    <row r="2582" spans="1:47" ht="12" customHeight="1" x14ac:dyDescent="0.2">
      <c r="A2582" s="95" t="s">
        <v>4680</v>
      </c>
      <c r="B2582" s="42">
        <v>905301</v>
      </c>
      <c r="C2582" s="42" t="s">
        <v>5100</v>
      </c>
      <c r="D2582" s="86" t="s">
        <v>5247</v>
      </c>
      <c r="E2582" s="86" t="s">
        <v>2</v>
      </c>
      <c r="F2582" s="32" t="s">
        <v>927</v>
      </c>
      <c r="G2582" s="32" t="s">
        <v>1568</v>
      </c>
      <c r="J2582" s="32" t="s">
        <v>4458</v>
      </c>
      <c r="K2582" s="32" t="s">
        <v>4459</v>
      </c>
      <c r="L2582" s="32" t="s">
        <v>4461</v>
      </c>
      <c r="M2582" s="32" t="s">
        <v>5378</v>
      </c>
      <c r="O2582" s="32">
        <v>9</v>
      </c>
      <c r="P2582" s="32">
        <v>91</v>
      </c>
      <c r="Y2582" s="12" t="s">
        <v>5384</v>
      </c>
      <c r="AD2582" s="12" t="s">
        <v>98</v>
      </c>
      <c r="AE2582" s="12" t="s">
        <v>5317</v>
      </c>
      <c r="AF2582" s="12" t="s">
        <v>2186</v>
      </c>
      <c r="AG2582" s="12" t="s">
        <v>98</v>
      </c>
      <c r="AH2582" s="12" t="s">
        <v>5315</v>
      </c>
      <c r="AN2582" s="46">
        <v>1501</v>
      </c>
      <c r="AU2582" s="12" t="s">
        <v>5308</v>
      </c>
    </row>
    <row r="2583" spans="1:47" ht="12" customHeight="1" x14ac:dyDescent="0.2">
      <c r="A2583" s="95" t="s">
        <v>4681</v>
      </c>
      <c r="B2583" s="42">
        <v>905401</v>
      </c>
      <c r="C2583" s="42" t="s">
        <v>5101</v>
      </c>
      <c r="D2583" s="86" t="s">
        <v>5248</v>
      </c>
      <c r="E2583" s="86" t="s">
        <v>2</v>
      </c>
      <c r="F2583" s="32" t="s">
        <v>927</v>
      </c>
      <c r="G2583" s="32" t="s">
        <v>1587</v>
      </c>
      <c r="J2583" s="32" t="s">
        <v>4458</v>
      </c>
      <c r="K2583" s="32" t="s">
        <v>4459</v>
      </c>
      <c r="L2583" s="32" t="s">
        <v>4461</v>
      </c>
      <c r="M2583" s="32" t="s">
        <v>5378</v>
      </c>
      <c r="O2583" s="32">
        <v>9</v>
      </c>
      <c r="P2583" s="32">
        <v>91</v>
      </c>
      <c r="W2583" s="12" t="s">
        <v>5385</v>
      </c>
      <c r="X2583" s="12" t="s">
        <v>5385</v>
      </c>
      <c r="AD2583" s="12" t="s">
        <v>98</v>
      </c>
      <c r="AE2583" s="12" t="s">
        <v>5317</v>
      </c>
      <c r="AF2583" s="12" t="s">
        <v>2186</v>
      </c>
      <c r="AG2583" s="12" t="s">
        <v>98</v>
      </c>
      <c r="AH2583" s="12" t="s">
        <v>5315</v>
      </c>
      <c r="AN2583" s="46">
        <v>1501</v>
      </c>
      <c r="AU2583" s="12" t="s">
        <v>5308</v>
      </c>
    </row>
    <row r="2584" spans="1:47" ht="12" customHeight="1" x14ac:dyDescent="0.2">
      <c r="A2584" s="95" t="s">
        <v>4682</v>
      </c>
      <c r="B2584" s="42">
        <v>905501</v>
      </c>
      <c r="C2584" s="42" t="s">
        <v>5102</v>
      </c>
      <c r="D2584" s="86" t="s">
        <v>5249</v>
      </c>
      <c r="E2584" s="86" t="s">
        <v>2</v>
      </c>
      <c r="F2584" s="32" t="s">
        <v>927</v>
      </c>
      <c r="G2584" s="32" t="s">
        <v>1606</v>
      </c>
      <c r="J2584" s="32" t="s">
        <v>4458</v>
      </c>
      <c r="K2584" s="32" t="s">
        <v>4459</v>
      </c>
      <c r="L2584" s="32" t="s">
        <v>4461</v>
      </c>
      <c r="M2584" s="32" t="s">
        <v>5378</v>
      </c>
      <c r="O2584" s="32">
        <v>9</v>
      </c>
      <c r="P2584" s="32">
        <v>91</v>
      </c>
      <c r="AB2584" s="12" t="s">
        <v>5386</v>
      </c>
      <c r="AD2584" s="12" t="s">
        <v>98</v>
      </c>
      <c r="AE2584" s="12" t="s">
        <v>5317</v>
      </c>
      <c r="AF2584" s="12" t="s">
        <v>2186</v>
      </c>
      <c r="AG2584" s="12" t="s">
        <v>98</v>
      </c>
      <c r="AH2584" s="12" t="s">
        <v>5315</v>
      </c>
      <c r="AN2584" s="46">
        <v>1501</v>
      </c>
      <c r="AU2584" s="12" t="s">
        <v>5308</v>
      </c>
    </row>
    <row r="2585" spans="1:47" ht="12" customHeight="1" x14ac:dyDescent="0.2">
      <c r="A2585" s="95" t="s">
        <v>4683</v>
      </c>
      <c r="B2585" s="42">
        <v>905601</v>
      </c>
      <c r="C2585" s="42" t="s">
        <v>5103</v>
      </c>
      <c r="D2585" s="86" t="s">
        <v>5250</v>
      </c>
      <c r="E2585" s="86" t="s">
        <v>2</v>
      </c>
      <c r="F2585" s="32" t="s">
        <v>927</v>
      </c>
      <c r="G2585" s="32" t="s">
        <v>1625</v>
      </c>
      <c r="J2585" s="32" t="s">
        <v>4458</v>
      </c>
      <c r="K2585" s="32" t="s">
        <v>4459</v>
      </c>
      <c r="L2585" s="32" t="s">
        <v>4461</v>
      </c>
      <c r="M2585" s="32" t="s">
        <v>5378</v>
      </c>
      <c r="O2585" s="32">
        <v>9</v>
      </c>
      <c r="P2585" s="32">
        <v>91</v>
      </c>
      <c r="AA2585" s="12" t="s">
        <v>5386</v>
      </c>
      <c r="AD2585" s="12" t="s">
        <v>98</v>
      </c>
      <c r="AE2585" s="12" t="s">
        <v>5317</v>
      </c>
      <c r="AF2585" s="12" t="s">
        <v>2186</v>
      </c>
      <c r="AG2585" s="12" t="s">
        <v>98</v>
      </c>
      <c r="AH2585" s="12" t="s">
        <v>5315</v>
      </c>
      <c r="AN2585" s="46">
        <v>1501</v>
      </c>
      <c r="AU2585" s="12" t="s">
        <v>5308</v>
      </c>
    </row>
    <row r="2586" spans="1:47" ht="12" customHeight="1" x14ac:dyDescent="0.2">
      <c r="A2586" s="95" t="s">
        <v>4684</v>
      </c>
      <c r="B2586" s="42">
        <v>905701</v>
      </c>
      <c r="C2586" s="42" t="s">
        <v>5104</v>
      </c>
      <c r="D2586" s="86" t="s">
        <v>5251</v>
      </c>
      <c r="E2586" s="86" t="s">
        <v>1629</v>
      </c>
      <c r="F2586" s="32" t="s">
        <v>927</v>
      </c>
      <c r="G2586" s="32" t="s">
        <v>1630</v>
      </c>
      <c r="J2586" s="32" t="s">
        <v>4458</v>
      </c>
      <c r="K2586" s="32" t="s">
        <v>4459</v>
      </c>
      <c r="L2586" s="32" t="s">
        <v>4461</v>
      </c>
      <c r="M2586" s="32" t="s">
        <v>5378</v>
      </c>
      <c r="O2586" s="32">
        <v>9</v>
      </c>
      <c r="P2586" s="32">
        <v>91</v>
      </c>
      <c r="Y2586" s="12" t="s">
        <v>5384</v>
      </c>
      <c r="AD2586" s="12" t="s">
        <v>98</v>
      </c>
      <c r="AE2586" s="12" t="s">
        <v>5317</v>
      </c>
      <c r="AF2586" s="12" t="s">
        <v>2186</v>
      </c>
      <c r="AG2586" s="12" t="s">
        <v>98</v>
      </c>
      <c r="AH2586" s="12" t="s">
        <v>5316</v>
      </c>
      <c r="AN2586" s="46">
        <v>1501</v>
      </c>
      <c r="AU2586" s="12" t="s">
        <v>5308</v>
      </c>
    </row>
    <row r="2587" spans="1:47" ht="12" customHeight="1" x14ac:dyDescent="0.2">
      <c r="A2587" s="95" t="s">
        <v>4685</v>
      </c>
      <c r="B2587" s="42">
        <v>905102</v>
      </c>
      <c r="C2587" s="42" t="s">
        <v>5105</v>
      </c>
      <c r="D2587" s="86" t="s">
        <v>5252</v>
      </c>
      <c r="E2587" s="86" t="s">
        <v>1</v>
      </c>
      <c r="F2587" s="32" t="s">
        <v>927</v>
      </c>
      <c r="G2587" s="32" t="s">
        <v>1472</v>
      </c>
      <c r="J2587" s="32" t="s">
        <v>4458</v>
      </c>
      <c r="K2587" s="32" t="s">
        <v>4459</v>
      </c>
      <c r="L2587" s="32" t="s">
        <v>4461</v>
      </c>
      <c r="M2587" s="32" t="s">
        <v>5380</v>
      </c>
      <c r="O2587" s="32">
        <v>9</v>
      </c>
      <c r="P2587" s="32">
        <v>91</v>
      </c>
      <c r="AA2587" s="12" t="s">
        <v>5386</v>
      </c>
      <c r="AD2587" s="12" t="s">
        <v>98</v>
      </c>
      <c r="AE2587" s="12" t="s">
        <v>5317</v>
      </c>
      <c r="AF2587" s="12" t="s">
        <v>2186</v>
      </c>
      <c r="AG2587" s="12" t="s">
        <v>98</v>
      </c>
      <c r="AH2587" s="12" t="s">
        <v>5313</v>
      </c>
      <c r="AN2587" s="46">
        <v>1502</v>
      </c>
      <c r="AR2587" s="34" t="s">
        <v>94</v>
      </c>
      <c r="AS2587" s="34" t="s">
        <v>94</v>
      </c>
      <c r="AU2587" s="12" t="s">
        <v>5309</v>
      </c>
    </row>
    <row r="2588" spans="1:47" ht="12" customHeight="1" x14ac:dyDescent="0.2">
      <c r="A2588" s="95" t="s">
        <v>4686</v>
      </c>
      <c r="B2588" s="42">
        <v>905202</v>
      </c>
      <c r="C2588" s="42" t="s">
        <v>5106</v>
      </c>
      <c r="D2588" s="86" t="s">
        <v>5253</v>
      </c>
      <c r="E2588" s="86" t="s">
        <v>501</v>
      </c>
      <c r="F2588" s="32" t="s">
        <v>927</v>
      </c>
      <c r="G2588" s="32" t="s">
        <v>1472</v>
      </c>
      <c r="J2588" s="32" t="s">
        <v>4458</v>
      </c>
      <c r="K2588" s="32" t="s">
        <v>4459</v>
      </c>
      <c r="L2588" s="32" t="s">
        <v>4461</v>
      </c>
      <c r="M2588" s="32" t="s">
        <v>5380</v>
      </c>
      <c r="O2588" s="32">
        <v>9</v>
      </c>
      <c r="P2588" s="32">
        <v>91</v>
      </c>
      <c r="AB2588" s="12" t="s">
        <v>5387</v>
      </c>
      <c r="AD2588" s="12" t="s">
        <v>98</v>
      </c>
      <c r="AE2588" s="12" t="s">
        <v>5317</v>
      </c>
      <c r="AF2588" s="12" t="s">
        <v>2186</v>
      </c>
      <c r="AG2588" s="12" t="s">
        <v>98</v>
      </c>
      <c r="AH2588" s="12" t="s">
        <v>5314</v>
      </c>
      <c r="AN2588" s="46">
        <v>1502</v>
      </c>
      <c r="AR2588" s="34" t="s">
        <v>94</v>
      </c>
      <c r="AS2588" s="34" t="s">
        <v>94</v>
      </c>
      <c r="AU2588" s="12" t="s">
        <v>5309</v>
      </c>
    </row>
    <row r="2589" spans="1:47" ht="12" customHeight="1" x14ac:dyDescent="0.2">
      <c r="A2589" s="95" t="s">
        <v>4687</v>
      </c>
      <c r="B2589" s="42">
        <v>905302</v>
      </c>
      <c r="C2589" s="42" t="s">
        <v>5107</v>
      </c>
      <c r="D2589" s="86" t="s">
        <v>5254</v>
      </c>
      <c r="E2589" s="86" t="s">
        <v>2</v>
      </c>
      <c r="F2589" s="32" t="s">
        <v>927</v>
      </c>
      <c r="G2589" s="32" t="s">
        <v>1568</v>
      </c>
      <c r="J2589" s="32" t="s">
        <v>4458</v>
      </c>
      <c r="K2589" s="32" t="s">
        <v>4459</v>
      </c>
      <c r="L2589" s="32" t="s">
        <v>4461</v>
      </c>
      <c r="M2589" s="32" t="s">
        <v>5380</v>
      </c>
      <c r="O2589" s="32">
        <v>9</v>
      </c>
      <c r="P2589" s="32">
        <v>91</v>
      </c>
      <c r="Y2589" s="12" t="s">
        <v>5384</v>
      </c>
      <c r="AD2589" s="12" t="s">
        <v>98</v>
      </c>
      <c r="AE2589" s="12" t="s">
        <v>5317</v>
      </c>
      <c r="AF2589" s="12" t="s">
        <v>2186</v>
      </c>
      <c r="AG2589" s="12" t="s">
        <v>98</v>
      </c>
      <c r="AH2589" s="12" t="s">
        <v>5315</v>
      </c>
      <c r="AN2589" s="46">
        <v>1502</v>
      </c>
      <c r="AU2589" s="12" t="s">
        <v>5309</v>
      </c>
    </row>
    <row r="2590" spans="1:47" ht="12" customHeight="1" x14ac:dyDescent="0.2">
      <c r="A2590" s="95" t="s">
        <v>4688</v>
      </c>
      <c r="B2590" s="42">
        <v>905402</v>
      </c>
      <c r="C2590" s="42" t="s">
        <v>5108</v>
      </c>
      <c r="D2590" s="86" t="s">
        <v>5255</v>
      </c>
      <c r="E2590" s="86" t="s">
        <v>2</v>
      </c>
      <c r="F2590" s="32" t="s">
        <v>927</v>
      </c>
      <c r="G2590" s="32" t="s">
        <v>1587</v>
      </c>
      <c r="J2590" s="32" t="s">
        <v>4458</v>
      </c>
      <c r="K2590" s="32" t="s">
        <v>4459</v>
      </c>
      <c r="L2590" s="32" t="s">
        <v>4461</v>
      </c>
      <c r="M2590" s="32" t="s">
        <v>5380</v>
      </c>
      <c r="O2590" s="32">
        <v>9</v>
      </c>
      <c r="P2590" s="32">
        <v>91</v>
      </c>
      <c r="W2590" s="12" t="s">
        <v>5385</v>
      </c>
      <c r="X2590" s="12" t="s">
        <v>5385</v>
      </c>
      <c r="AD2590" s="12" t="s">
        <v>98</v>
      </c>
      <c r="AE2590" s="12" t="s">
        <v>5317</v>
      </c>
      <c r="AF2590" s="12" t="s">
        <v>2186</v>
      </c>
      <c r="AG2590" s="12" t="s">
        <v>98</v>
      </c>
      <c r="AH2590" s="12" t="s">
        <v>5315</v>
      </c>
      <c r="AN2590" s="46">
        <v>1502</v>
      </c>
      <c r="AU2590" s="12" t="s">
        <v>5309</v>
      </c>
    </row>
    <row r="2591" spans="1:47" ht="12" customHeight="1" x14ac:dyDescent="0.2">
      <c r="A2591" s="95" t="s">
        <v>4689</v>
      </c>
      <c r="B2591" s="42">
        <v>905502</v>
      </c>
      <c r="C2591" s="42" t="s">
        <v>5109</v>
      </c>
      <c r="D2591" s="86" t="s">
        <v>5256</v>
      </c>
      <c r="E2591" s="86" t="s">
        <v>2</v>
      </c>
      <c r="F2591" s="32" t="s">
        <v>927</v>
      </c>
      <c r="G2591" s="32" t="s">
        <v>1606</v>
      </c>
      <c r="J2591" s="32" t="s">
        <v>4458</v>
      </c>
      <c r="K2591" s="32" t="s">
        <v>4459</v>
      </c>
      <c r="L2591" s="32" t="s">
        <v>4461</v>
      </c>
      <c r="M2591" s="32" t="s">
        <v>5380</v>
      </c>
      <c r="O2591" s="32">
        <v>9</v>
      </c>
      <c r="P2591" s="32">
        <v>91</v>
      </c>
      <c r="AB2591" s="12" t="s">
        <v>5386</v>
      </c>
      <c r="AD2591" s="12" t="s">
        <v>98</v>
      </c>
      <c r="AE2591" s="12" t="s">
        <v>5317</v>
      </c>
      <c r="AF2591" s="12" t="s">
        <v>2186</v>
      </c>
      <c r="AG2591" s="12" t="s">
        <v>98</v>
      </c>
      <c r="AH2591" s="12" t="s">
        <v>5315</v>
      </c>
      <c r="AN2591" s="46">
        <v>1502</v>
      </c>
      <c r="AU2591" s="12" t="s">
        <v>5309</v>
      </c>
    </row>
    <row r="2592" spans="1:47" ht="12" customHeight="1" x14ac:dyDescent="0.2">
      <c r="A2592" s="95" t="s">
        <v>4690</v>
      </c>
      <c r="B2592" s="42">
        <v>905602</v>
      </c>
      <c r="C2592" s="42" t="s">
        <v>5110</v>
      </c>
      <c r="D2592" s="86" t="s">
        <v>5257</v>
      </c>
      <c r="E2592" s="86" t="s">
        <v>2</v>
      </c>
      <c r="F2592" s="32" t="s">
        <v>927</v>
      </c>
      <c r="G2592" s="32" t="s">
        <v>1625</v>
      </c>
      <c r="J2592" s="32" t="s">
        <v>4458</v>
      </c>
      <c r="K2592" s="32" t="s">
        <v>4459</v>
      </c>
      <c r="L2592" s="32" t="s">
        <v>4461</v>
      </c>
      <c r="M2592" s="32" t="s">
        <v>5380</v>
      </c>
      <c r="O2592" s="32">
        <v>9</v>
      </c>
      <c r="P2592" s="32">
        <v>91</v>
      </c>
      <c r="AA2592" s="12" t="s">
        <v>5386</v>
      </c>
      <c r="AD2592" s="12" t="s">
        <v>98</v>
      </c>
      <c r="AE2592" s="12" t="s">
        <v>5317</v>
      </c>
      <c r="AF2592" s="12" t="s">
        <v>2186</v>
      </c>
      <c r="AG2592" s="12" t="s">
        <v>98</v>
      </c>
      <c r="AH2592" s="12" t="s">
        <v>5315</v>
      </c>
      <c r="AN2592" s="46">
        <v>1502</v>
      </c>
      <c r="AU2592" s="12" t="s">
        <v>5309</v>
      </c>
    </row>
    <row r="2593" spans="1:47" ht="12" customHeight="1" x14ac:dyDescent="0.2">
      <c r="A2593" s="95" t="s">
        <v>4691</v>
      </c>
      <c r="B2593" s="42">
        <v>905702</v>
      </c>
      <c r="C2593" s="42" t="s">
        <v>5111</v>
      </c>
      <c r="D2593" s="86" t="s">
        <v>5258</v>
      </c>
      <c r="E2593" s="86" t="s">
        <v>1629</v>
      </c>
      <c r="F2593" s="32" t="s">
        <v>927</v>
      </c>
      <c r="G2593" s="32" t="s">
        <v>1630</v>
      </c>
      <c r="J2593" s="32" t="s">
        <v>4458</v>
      </c>
      <c r="K2593" s="32" t="s">
        <v>4459</v>
      </c>
      <c r="L2593" s="32" t="s">
        <v>4461</v>
      </c>
      <c r="M2593" s="32" t="s">
        <v>5380</v>
      </c>
      <c r="O2593" s="32">
        <v>9</v>
      </c>
      <c r="P2593" s="32">
        <v>91</v>
      </c>
      <c r="Y2593" s="12" t="s">
        <v>5384</v>
      </c>
      <c r="AD2593" s="12" t="s">
        <v>98</v>
      </c>
      <c r="AE2593" s="12" t="s">
        <v>5317</v>
      </c>
      <c r="AF2593" s="12" t="s">
        <v>2186</v>
      </c>
      <c r="AG2593" s="12" t="s">
        <v>98</v>
      </c>
      <c r="AH2593" s="12" t="s">
        <v>5316</v>
      </c>
      <c r="AN2593" s="46">
        <v>1502</v>
      </c>
      <c r="AU2593" s="12" t="s">
        <v>5309</v>
      </c>
    </row>
    <row r="2594" spans="1:47" ht="12" customHeight="1" x14ac:dyDescent="0.2">
      <c r="A2594" s="95" t="s">
        <v>4692</v>
      </c>
      <c r="B2594" s="42">
        <v>905103</v>
      </c>
      <c r="C2594" s="42" t="s">
        <v>5112</v>
      </c>
      <c r="D2594" s="86" t="s">
        <v>5259</v>
      </c>
      <c r="E2594" s="86" t="s">
        <v>1</v>
      </c>
      <c r="F2594" s="32" t="s">
        <v>927</v>
      </c>
      <c r="G2594" s="32" t="s">
        <v>1472</v>
      </c>
      <c r="J2594" s="32" t="s">
        <v>4458</v>
      </c>
      <c r="K2594" s="32" t="s">
        <v>4459</v>
      </c>
      <c r="L2594" s="32" t="s">
        <v>4461</v>
      </c>
      <c r="M2594" s="32" t="s">
        <v>5379</v>
      </c>
      <c r="O2594" s="32">
        <v>9</v>
      </c>
      <c r="P2594" s="32">
        <v>91</v>
      </c>
      <c r="AA2594" s="12" t="s">
        <v>5386</v>
      </c>
      <c r="AD2594" s="12" t="s">
        <v>98</v>
      </c>
      <c r="AE2594" s="12" t="s">
        <v>5317</v>
      </c>
      <c r="AF2594" s="12" t="s">
        <v>2186</v>
      </c>
      <c r="AG2594" s="12" t="s">
        <v>98</v>
      </c>
      <c r="AH2594" s="12" t="s">
        <v>5313</v>
      </c>
      <c r="AN2594" s="46">
        <v>1503</v>
      </c>
      <c r="AR2594" s="34" t="s">
        <v>94</v>
      </c>
      <c r="AS2594" s="34" t="s">
        <v>94</v>
      </c>
      <c r="AU2594" s="12" t="s">
        <v>5310</v>
      </c>
    </row>
    <row r="2595" spans="1:47" ht="12" customHeight="1" x14ac:dyDescent="0.2">
      <c r="A2595" s="95" t="s">
        <v>4693</v>
      </c>
      <c r="B2595" s="42">
        <v>905203</v>
      </c>
      <c r="C2595" s="42" t="s">
        <v>5113</v>
      </c>
      <c r="D2595" s="86" t="s">
        <v>5260</v>
      </c>
      <c r="E2595" s="86" t="s">
        <v>501</v>
      </c>
      <c r="F2595" s="32" t="s">
        <v>927</v>
      </c>
      <c r="G2595" s="32" t="s">
        <v>1472</v>
      </c>
      <c r="J2595" s="32" t="s">
        <v>4458</v>
      </c>
      <c r="K2595" s="32" t="s">
        <v>4459</v>
      </c>
      <c r="L2595" s="32" t="s">
        <v>4461</v>
      </c>
      <c r="M2595" s="32" t="s">
        <v>5379</v>
      </c>
      <c r="O2595" s="32">
        <v>9</v>
      </c>
      <c r="P2595" s="32">
        <v>91</v>
      </c>
      <c r="AB2595" s="12" t="s">
        <v>5387</v>
      </c>
      <c r="AD2595" s="12" t="s">
        <v>98</v>
      </c>
      <c r="AE2595" s="12" t="s">
        <v>5317</v>
      </c>
      <c r="AF2595" s="12" t="s">
        <v>2186</v>
      </c>
      <c r="AG2595" s="12" t="s">
        <v>98</v>
      </c>
      <c r="AH2595" s="12" t="s">
        <v>5314</v>
      </c>
      <c r="AN2595" s="46">
        <v>1503</v>
      </c>
      <c r="AR2595" s="34" t="s">
        <v>94</v>
      </c>
      <c r="AS2595" s="34" t="s">
        <v>94</v>
      </c>
      <c r="AU2595" s="12" t="s">
        <v>5310</v>
      </c>
    </row>
    <row r="2596" spans="1:47" ht="12" customHeight="1" x14ac:dyDescent="0.2">
      <c r="A2596" s="95" t="s">
        <v>4694</v>
      </c>
      <c r="B2596" s="42">
        <v>905303</v>
      </c>
      <c r="C2596" s="42" t="s">
        <v>5114</v>
      </c>
      <c r="D2596" s="86" t="s">
        <v>5261</v>
      </c>
      <c r="E2596" s="86" t="s">
        <v>2</v>
      </c>
      <c r="F2596" s="32" t="s">
        <v>927</v>
      </c>
      <c r="G2596" s="32" t="s">
        <v>1568</v>
      </c>
      <c r="J2596" s="32" t="s">
        <v>4458</v>
      </c>
      <c r="K2596" s="32" t="s">
        <v>4459</v>
      </c>
      <c r="L2596" s="32" t="s">
        <v>4461</v>
      </c>
      <c r="M2596" s="32" t="s">
        <v>5379</v>
      </c>
      <c r="O2596" s="32">
        <v>9</v>
      </c>
      <c r="P2596" s="32">
        <v>91</v>
      </c>
      <c r="Y2596" s="12" t="s">
        <v>5384</v>
      </c>
      <c r="AD2596" s="12" t="s">
        <v>98</v>
      </c>
      <c r="AE2596" s="12" t="s">
        <v>5317</v>
      </c>
      <c r="AF2596" s="12" t="s">
        <v>2186</v>
      </c>
      <c r="AG2596" s="12" t="s">
        <v>98</v>
      </c>
      <c r="AH2596" s="12" t="s">
        <v>5315</v>
      </c>
      <c r="AN2596" s="46">
        <v>1503</v>
      </c>
      <c r="AU2596" s="12" t="s">
        <v>5310</v>
      </c>
    </row>
    <row r="2597" spans="1:47" ht="12" customHeight="1" x14ac:dyDescent="0.2">
      <c r="A2597" s="95" t="s">
        <v>4695</v>
      </c>
      <c r="B2597" s="42">
        <v>905403</v>
      </c>
      <c r="C2597" s="42" t="s">
        <v>5115</v>
      </c>
      <c r="D2597" s="86" t="s">
        <v>5262</v>
      </c>
      <c r="E2597" s="86" t="s">
        <v>2</v>
      </c>
      <c r="F2597" s="32" t="s">
        <v>927</v>
      </c>
      <c r="G2597" s="32" t="s">
        <v>1587</v>
      </c>
      <c r="J2597" s="32" t="s">
        <v>4458</v>
      </c>
      <c r="K2597" s="32" t="s">
        <v>4459</v>
      </c>
      <c r="L2597" s="32" t="s">
        <v>4461</v>
      </c>
      <c r="M2597" s="32" t="s">
        <v>5379</v>
      </c>
      <c r="O2597" s="32">
        <v>9</v>
      </c>
      <c r="P2597" s="32">
        <v>91</v>
      </c>
      <c r="W2597" s="12" t="s">
        <v>5385</v>
      </c>
      <c r="X2597" s="12" t="s">
        <v>5385</v>
      </c>
      <c r="AD2597" s="12" t="s">
        <v>98</v>
      </c>
      <c r="AE2597" s="12" t="s">
        <v>5317</v>
      </c>
      <c r="AF2597" s="12" t="s">
        <v>2186</v>
      </c>
      <c r="AG2597" s="12" t="s">
        <v>98</v>
      </c>
      <c r="AH2597" s="12" t="s">
        <v>5315</v>
      </c>
      <c r="AN2597" s="46">
        <v>1503</v>
      </c>
      <c r="AU2597" s="12" t="s">
        <v>5310</v>
      </c>
    </row>
    <row r="2598" spans="1:47" ht="12" customHeight="1" x14ac:dyDescent="0.2">
      <c r="A2598" s="95" t="s">
        <v>4696</v>
      </c>
      <c r="B2598" s="42">
        <v>905503</v>
      </c>
      <c r="C2598" s="42" t="s">
        <v>5116</v>
      </c>
      <c r="D2598" s="86" t="s">
        <v>5263</v>
      </c>
      <c r="E2598" s="86" t="s">
        <v>2</v>
      </c>
      <c r="F2598" s="32" t="s">
        <v>927</v>
      </c>
      <c r="G2598" s="32" t="s">
        <v>1606</v>
      </c>
      <c r="J2598" s="32" t="s">
        <v>4458</v>
      </c>
      <c r="K2598" s="32" t="s">
        <v>4459</v>
      </c>
      <c r="L2598" s="32" t="s">
        <v>4461</v>
      </c>
      <c r="M2598" s="32" t="s">
        <v>5379</v>
      </c>
      <c r="O2598" s="32">
        <v>9</v>
      </c>
      <c r="P2598" s="32">
        <v>91</v>
      </c>
      <c r="AB2598" s="12" t="s">
        <v>5386</v>
      </c>
      <c r="AD2598" s="12" t="s">
        <v>98</v>
      </c>
      <c r="AE2598" s="12" t="s">
        <v>5317</v>
      </c>
      <c r="AF2598" s="12" t="s">
        <v>2186</v>
      </c>
      <c r="AG2598" s="12" t="s">
        <v>98</v>
      </c>
      <c r="AH2598" s="12" t="s">
        <v>5315</v>
      </c>
      <c r="AN2598" s="46">
        <v>1503</v>
      </c>
      <c r="AU2598" s="12" t="s">
        <v>5310</v>
      </c>
    </row>
    <row r="2599" spans="1:47" ht="12" customHeight="1" x14ac:dyDescent="0.2">
      <c r="A2599" s="95" t="s">
        <v>4697</v>
      </c>
      <c r="B2599" s="42">
        <v>905603</v>
      </c>
      <c r="C2599" s="42" t="s">
        <v>5117</v>
      </c>
      <c r="D2599" s="86" t="s">
        <v>5264</v>
      </c>
      <c r="E2599" s="86" t="s">
        <v>2</v>
      </c>
      <c r="F2599" s="32" t="s">
        <v>927</v>
      </c>
      <c r="G2599" s="32" t="s">
        <v>1625</v>
      </c>
      <c r="J2599" s="32" t="s">
        <v>4458</v>
      </c>
      <c r="K2599" s="32" t="s">
        <v>4459</v>
      </c>
      <c r="L2599" s="32" t="s">
        <v>4461</v>
      </c>
      <c r="M2599" s="32" t="s">
        <v>5379</v>
      </c>
      <c r="O2599" s="32">
        <v>9</v>
      </c>
      <c r="P2599" s="32">
        <v>91</v>
      </c>
      <c r="AA2599" s="12" t="s">
        <v>5386</v>
      </c>
      <c r="AD2599" s="12" t="s">
        <v>98</v>
      </c>
      <c r="AE2599" s="12" t="s">
        <v>5317</v>
      </c>
      <c r="AF2599" s="12" t="s">
        <v>2186</v>
      </c>
      <c r="AG2599" s="12" t="s">
        <v>98</v>
      </c>
      <c r="AH2599" s="12" t="s">
        <v>5315</v>
      </c>
      <c r="AN2599" s="46">
        <v>1503</v>
      </c>
      <c r="AU2599" s="12" t="s">
        <v>5310</v>
      </c>
    </row>
    <row r="2600" spans="1:47" ht="12" customHeight="1" x14ac:dyDescent="0.2">
      <c r="A2600" s="95" t="s">
        <v>4698</v>
      </c>
      <c r="B2600" s="42">
        <v>905703</v>
      </c>
      <c r="C2600" s="42" t="s">
        <v>5118</v>
      </c>
      <c r="D2600" s="86" t="s">
        <v>5265</v>
      </c>
      <c r="E2600" s="86" t="s">
        <v>1629</v>
      </c>
      <c r="F2600" s="32" t="s">
        <v>927</v>
      </c>
      <c r="G2600" s="32" t="s">
        <v>1630</v>
      </c>
      <c r="J2600" s="32" t="s">
        <v>4458</v>
      </c>
      <c r="K2600" s="32" t="s">
        <v>4459</v>
      </c>
      <c r="L2600" s="32" t="s">
        <v>4461</v>
      </c>
      <c r="M2600" s="32" t="s">
        <v>5379</v>
      </c>
      <c r="O2600" s="32">
        <v>9</v>
      </c>
      <c r="P2600" s="32">
        <v>91</v>
      </c>
      <c r="Y2600" s="12" t="s">
        <v>5384</v>
      </c>
      <c r="AD2600" s="12" t="s">
        <v>98</v>
      </c>
      <c r="AE2600" s="12" t="s">
        <v>5317</v>
      </c>
      <c r="AF2600" s="12" t="s">
        <v>2186</v>
      </c>
      <c r="AG2600" s="12" t="s">
        <v>98</v>
      </c>
      <c r="AH2600" s="12" t="s">
        <v>5316</v>
      </c>
      <c r="AN2600" s="46">
        <v>1503</v>
      </c>
      <c r="AU2600" s="12" t="s">
        <v>5310</v>
      </c>
    </row>
    <row r="2601" spans="1:47" ht="12" customHeight="1" x14ac:dyDescent="0.2">
      <c r="A2601" s="95" t="s">
        <v>5356</v>
      </c>
      <c r="B2601" s="42">
        <v>906101</v>
      </c>
      <c r="C2601" s="42" t="s">
        <v>5119</v>
      </c>
      <c r="D2601" s="86" t="s">
        <v>5266</v>
      </c>
      <c r="E2601" s="86" t="s">
        <v>1</v>
      </c>
      <c r="F2601" s="32" t="s">
        <v>395</v>
      </c>
      <c r="G2601" s="32" t="s">
        <v>1491</v>
      </c>
      <c r="J2601" s="32" t="s">
        <v>4458</v>
      </c>
      <c r="K2601" s="32" t="s">
        <v>4459</v>
      </c>
      <c r="L2601" s="32" t="s">
        <v>4461</v>
      </c>
      <c r="M2601" s="32" t="s">
        <v>5378</v>
      </c>
      <c r="O2601" s="32">
        <v>9</v>
      </c>
      <c r="P2601" s="32">
        <v>91</v>
      </c>
      <c r="AA2601" s="12" t="s">
        <v>5387</v>
      </c>
      <c r="AD2601" s="12" t="s">
        <v>98</v>
      </c>
      <c r="AE2601" s="12" t="s">
        <v>5317</v>
      </c>
      <c r="AF2601" s="12" t="s">
        <v>2186</v>
      </c>
      <c r="AG2601" s="12" t="s">
        <v>98</v>
      </c>
      <c r="AH2601" s="12" t="s">
        <v>5313</v>
      </c>
      <c r="AN2601" s="46">
        <v>1601</v>
      </c>
      <c r="AR2601" s="34" t="s">
        <v>94</v>
      </c>
      <c r="AS2601" s="34" t="s">
        <v>94</v>
      </c>
      <c r="AU2601" s="12" t="s">
        <v>5308</v>
      </c>
    </row>
    <row r="2602" spans="1:47" ht="12" customHeight="1" x14ac:dyDescent="0.2">
      <c r="A2602" s="95" t="s">
        <v>5357</v>
      </c>
      <c r="B2602" s="42">
        <v>906201</v>
      </c>
      <c r="C2602" s="42" t="s">
        <v>5120</v>
      </c>
      <c r="D2602" s="86" t="s">
        <v>5267</v>
      </c>
      <c r="E2602" s="86" t="s">
        <v>501</v>
      </c>
      <c r="F2602" s="32" t="s">
        <v>395</v>
      </c>
      <c r="G2602" s="32" t="s">
        <v>1491</v>
      </c>
      <c r="J2602" s="32" t="s">
        <v>4458</v>
      </c>
      <c r="K2602" s="32" t="s">
        <v>4459</v>
      </c>
      <c r="L2602" s="32" t="s">
        <v>4461</v>
      </c>
      <c r="M2602" s="32" t="s">
        <v>5378</v>
      </c>
      <c r="O2602" s="32">
        <v>9</v>
      </c>
      <c r="P2602" s="32">
        <v>91</v>
      </c>
      <c r="AB2602" s="12" t="s">
        <v>5386</v>
      </c>
      <c r="AD2602" s="12" t="s">
        <v>98</v>
      </c>
      <c r="AE2602" s="12" t="s">
        <v>5317</v>
      </c>
      <c r="AF2602" s="12" t="s">
        <v>2186</v>
      </c>
      <c r="AG2602" s="12" t="s">
        <v>98</v>
      </c>
      <c r="AH2602" s="12" t="s">
        <v>5314</v>
      </c>
      <c r="AN2602" s="46">
        <v>1601</v>
      </c>
      <c r="AR2602" s="34" t="s">
        <v>94</v>
      </c>
      <c r="AS2602" s="34" t="s">
        <v>94</v>
      </c>
      <c r="AU2602" s="12" t="s">
        <v>5308</v>
      </c>
    </row>
    <row r="2603" spans="1:47" ht="12" customHeight="1" x14ac:dyDescent="0.2">
      <c r="A2603" s="95" t="s">
        <v>5358</v>
      </c>
      <c r="B2603" s="42">
        <v>906301</v>
      </c>
      <c r="C2603" s="42" t="s">
        <v>5121</v>
      </c>
      <c r="D2603" s="86" t="s">
        <v>5268</v>
      </c>
      <c r="E2603" s="86" t="s">
        <v>2</v>
      </c>
      <c r="F2603" s="32" t="s">
        <v>395</v>
      </c>
      <c r="G2603" s="32" t="s">
        <v>1568</v>
      </c>
      <c r="J2603" s="32" t="s">
        <v>4458</v>
      </c>
      <c r="K2603" s="32" t="s">
        <v>4459</v>
      </c>
      <c r="L2603" s="32" t="s">
        <v>4461</v>
      </c>
      <c r="M2603" s="32" t="s">
        <v>5378</v>
      </c>
      <c r="O2603" s="32">
        <v>9</v>
      </c>
      <c r="P2603" s="32">
        <v>91</v>
      </c>
      <c r="Y2603" s="12" t="s">
        <v>5384</v>
      </c>
      <c r="AD2603" s="12" t="s">
        <v>98</v>
      </c>
      <c r="AE2603" s="12" t="s">
        <v>5317</v>
      </c>
      <c r="AF2603" s="12" t="s">
        <v>2186</v>
      </c>
      <c r="AG2603" s="12" t="s">
        <v>98</v>
      </c>
      <c r="AH2603" s="12" t="s">
        <v>5315</v>
      </c>
      <c r="AN2603" s="46">
        <v>1601</v>
      </c>
      <c r="AU2603" s="12" t="s">
        <v>5308</v>
      </c>
    </row>
    <row r="2604" spans="1:47" ht="12" customHeight="1" x14ac:dyDescent="0.2">
      <c r="A2604" s="95" t="s">
        <v>5359</v>
      </c>
      <c r="B2604" s="42">
        <v>906401</v>
      </c>
      <c r="C2604" s="42" t="s">
        <v>5122</v>
      </c>
      <c r="D2604" s="86" t="s">
        <v>5269</v>
      </c>
      <c r="E2604" s="86" t="s">
        <v>2</v>
      </c>
      <c r="F2604" s="32" t="s">
        <v>395</v>
      </c>
      <c r="G2604" s="32" t="s">
        <v>1587</v>
      </c>
      <c r="J2604" s="32" t="s">
        <v>4458</v>
      </c>
      <c r="K2604" s="32" t="s">
        <v>4459</v>
      </c>
      <c r="L2604" s="32" t="s">
        <v>4461</v>
      </c>
      <c r="M2604" s="32" t="s">
        <v>5378</v>
      </c>
      <c r="O2604" s="32">
        <v>9</v>
      </c>
      <c r="P2604" s="32">
        <v>91</v>
      </c>
      <c r="W2604" s="12" t="s">
        <v>5385</v>
      </c>
      <c r="X2604" s="12" t="s">
        <v>5385</v>
      </c>
      <c r="AD2604" s="12" t="s">
        <v>98</v>
      </c>
      <c r="AE2604" s="12" t="s">
        <v>5317</v>
      </c>
      <c r="AF2604" s="12" t="s">
        <v>2186</v>
      </c>
      <c r="AG2604" s="12" t="s">
        <v>98</v>
      </c>
      <c r="AH2604" s="12" t="s">
        <v>5315</v>
      </c>
      <c r="AN2604" s="46">
        <v>1601</v>
      </c>
      <c r="AU2604" s="12" t="s">
        <v>5308</v>
      </c>
    </row>
    <row r="2605" spans="1:47" ht="12" customHeight="1" x14ac:dyDescent="0.2">
      <c r="A2605" s="95" t="s">
        <v>5360</v>
      </c>
      <c r="B2605" s="42">
        <v>906501</v>
      </c>
      <c r="C2605" s="42" t="s">
        <v>5123</v>
      </c>
      <c r="D2605" s="86" t="s">
        <v>5270</v>
      </c>
      <c r="E2605" s="86" t="s">
        <v>2</v>
      </c>
      <c r="F2605" s="32" t="s">
        <v>395</v>
      </c>
      <c r="G2605" s="32" t="s">
        <v>1606</v>
      </c>
      <c r="J2605" s="32" t="s">
        <v>4458</v>
      </c>
      <c r="K2605" s="32" t="s">
        <v>4459</v>
      </c>
      <c r="L2605" s="32" t="s">
        <v>4461</v>
      </c>
      <c r="M2605" s="32" t="s">
        <v>5378</v>
      </c>
      <c r="O2605" s="32">
        <v>9</v>
      </c>
      <c r="P2605" s="32">
        <v>91</v>
      </c>
      <c r="AB2605" s="12" t="s">
        <v>5386</v>
      </c>
      <c r="AD2605" s="12" t="s">
        <v>98</v>
      </c>
      <c r="AE2605" s="12" t="s">
        <v>5317</v>
      </c>
      <c r="AF2605" s="12" t="s">
        <v>2186</v>
      </c>
      <c r="AG2605" s="12" t="s">
        <v>98</v>
      </c>
      <c r="AH2605" s="12" t="s">
        <v>5315</v>
      </c>
      <c r="AN2605" s="46">
        <v>1601</v>
      </c>
      <c r="AU2605" s="12" t="s">
        <v>5308</v>
      </c>
    </row>
    <row r="2606" spans="1:47" ht="12" customHeight="1" x14ac:dyDescent="0.2">
      <c r="A2606" s="95" t="s">
        <v>5361</v>
      </c>
      <c r="B2606" s="42">
        <v>906601</v>
      </c>
      <c r="C2606" s="42" t="s">
        <v>5124</v>
      </c>
      <c r="D2606" s="86" t="s">
        <v>5271</v>
      </c>
      <c r="E2606" s="86" t="s">
        <v>2</v>
      </c>
      <c r="F2606" s="32" t="s">
        <v>395</v>
      </c>
      <c r="G2606" s="32" t="s">
        <v>1625</v>
      </c>
      <c r="J2606" s="32" t="s">
        <v>4458</v>
      </c>
      <c r="K2606" s="32" t="s">
        <v>4459</v>
      </c>
      <c r="L2606" s="32" t="s">
        <v>4461</v>
      </c>
      <c r="M2606" s="32" t="s">
        <v>5378</v>
      </c>
      <c r="O2606" s="32">
        <v>9</v>
      </c>
      <c r="P2606" s="32">
        <v>91</v>
      </c>
      <c r="AA2606" s="12" t="s">
        <v>5386</v>
      </c>
      <c r="AD2606" s="12" t="s">
        <v>98</v>
      </c>
      <c r="AE2606" s="12" t="s">
        <v>5317</v>
      </c>
      <c r="AF2606" s="12" t="s">
        <v>2186</v>
      </c>
      <c r="AG2606" s="12" t="s">
        <v>98</v>
      </c>
      <c r="AH2606" s="12" t="s">
        <v>5315</v>
      </c>
      <c r="AN2606" s="46">
        <v>1601</v>
      </c>
      <c r="AU2606" s="12" t="s">
        <v>5308</v>
      </c>
    </row>
    <row r="2607" spans="1:47" ht="12" customHeight="1" x14ac:dyDescent="0.2">
      <c r="A2607" s="95" t="s">
        <v>5362</v>
      </c>
      <c r="B2607" s="42">
        <v>906701</v>
      </c>
      <c r="C2607" s="42" t="s">
        <v>5125</v>
      </c>
      <c r="D2607" s="86" t="s">
        <v>5272</v>
      </c>
      <c r="E2607" s="86" t="s">
        <v>1629</v>
      </c>
      <c r="F2607" s="32" t="s">
        <v>395</v>
      </c>
      <c r="G2607" s="32" t="s">
        <v>1630</v>
      </c>
      <c r="J2607" s="32" t="s">
        <v>4458</v>
      </c>
      <c r="K2607" s="32" t="s">
        <v>4459</v>
      </c>
      <c r="L2607" s="32" t="s">
        <v>4461</v>
      </c>
      <c r="M2607" s="32" t="s">
        <v>5378</v>
      </c>
      <c r="O2607" s="32">
        <v>9</v>
      </c>
      <c r="P2607" s="32">
        <v>91</v>
      </c>
      <c r="Y2607" s="12" t="s">
        <v>5384</v>
      </c>
      <c r="AD2607" s="12" t="s">
        <v>98</v>
      </c>
      <c r="AE2607" s="12" t="s">
        <v>5317</v>
      </c>
      <c r="AF2607" s="12" t="s">
        <v>2186</v>
      </c>
      <c r="AG2607" s="12" t="s">
        <v>98</v>
      </c>
      <c r="AH2607" s="12" t="s">
        <v>5316</v>
      </c>
      <c r="AN2607" s="46">
        <v>1601</v>
      </c>
      <c r="AU2607" s="12" t="s">
        <v>5308</v>
      </c>
    </row>
    <row r="2608" spans="1:47" ht="12" customHeight="1" x14ac:dyDescent="0.2">
      <c r="A2608" s="95" t="s">
        <v>5363</v>
      </c>
      <c r="B2608" s="42">
        <v>906102</v>
      </c>
      <c r="C2608" s="42" t="s">
        <v>5126</v>
      </c>
      <c r="D2608" s="86" t="s">
        <v>5273</v>
      </c>
      <c r="E2608" s="86" t="s">
        <v>1</v>
      </c>
      <c r="F2608" s="32" t="s">
        <v>395</v>
      </c>
      <c r="G2608" s="32" t="s">
        <v>1491</v>
      </c>
      <c r="J2608" s="32" t="s">
        <v>4458</v>
      </c>
      <c r="K2608" s="32" t="s">
        <v>4459</v>
      </c>
      <c r="L2608" s="32" t="s">
        <v>4461</v>
      </c>
      <c r="M2608" s="32" t="s">
        <v>5380</v>
      </c>
      <c r="O2608" s="32">
        <v>9</v>
      </c>
      <c r="P2608" s="32">
        <v>91</v>
      </c>
      <c r="AA2608" s="12" t="s">
        <v>5387</v>
      </c>
      <c r="AD2608" s="12" t="s">
        <v>98</v>
      </c>
      <c r="AE2608" s="12" t="s">
        <v>5317</v>
      </c>
      <c r="AF2608" s="12" t="s">
        <v>2186</v>
      </c>
      <c r="AG2608" s="12" t="s">
        <v>98</v>
      </c>
      <c r="AH2608" s="12" t="s">
        <v>5313</v>
      </c>
      <c r="AN2608" s="46">
        <v>1602</v>
      </c>
      <c r="AR2608" s="34" t="s">
        <v>94</v>
      </c>
      <c r="AS2608" s="34" t="s">
        <v>94</v>
      </c>
      <c r="AU2608" s="12" t="s">
        <v>5309</v>
      </c>
    </row>
    <row r="2609" spans="1:47" ht="12" customHeight="1" x14ac:dyDescent="0.2">
      <c r="A2609" s="95" t="s">
        <v>5364</v>
      </c>
      <c r="B2609" s="42">
        <v>906202</v>
      </c>
      <c r="C2609" s="42" t="s">
        <v>5127</v>
      </c>
      <c r="D2609" s="86" t="s">
        <v>5274</v>
      </c>
      <c r="E2609" s="86" t="s">
        <v>501</v>
      </c>
      <c r="F2609" s="32" t="s">
        <v>395</v>
      </c>
      <c r="G2609" s="32" t="s">
        <v>1491</v>
      </c>
      <c r="J2609" s="32" t="s">
        <v>4458</v>
      </c>
      <c r="K2609" s="32" t="s">
        <v>4459</v>
      </c>
      <c r="L2609" s="32" t="s">
        <v>4461</v>
      </c>
      <c r="M2609" s="32" t="s">
        <v>5380</v>
      </c>
      <c r="O2609" s="32">
        <v>9</v>
      </c>
      <c r="P2609" s="32">
        <v>91</v>
      </c>
      <c r="AB2609" s="12" t="s">
        <v>5386</v>
      </c>
      <c r="AD2609" s="12" t="s">
        <v>98</v>
      </c>
      <c r="AE2609" s="12" t="s">
        <v>5317</v>
      </c>
      <c r="AF2609" s="12" t="s">
        <v>2186</v>
      </c>
      <c r="AG2609" s="12" t="s">
        <v>98</v>
      </c>
      <c r="AH2609" s="12" t="s">
        <v>5314</v>
      </c>
      <c r="AN2609" s="46">
        <v>1602</v>
      </c>
      <c r="AR2609" s="34" t="s">
        <v>94</v>
      </c>
      <c r="AS2609" s="34" t="s">
        <v>94</v>
      </c>
      <c r="AU2609" s="12" t="s">
        <v>5309</v>
      </c>
    </row>
    <row r="2610" spans="1:47" ht="12" customHeight="1" x14ac:dyDescent="0.2">
      <c r="A2610" s="95" t="s">
        <v>5365</v>
      </c>
      <c r="B2610" s="42">
        <v>906302</v>
      </c>
      <c r="C2610" s="42" t="s">
        <v>5128</v>
      </c>
      <c r="D2610" s="86" t="s">
        <v>5275</v>
      </c>
      <c r="E2610" s="86" t="s">
        <v>2</v>
      </c>
      <c r="F2610" s="32" t="s">
        <v>395</v>
      </c>
      <c r="G2610" s="32" t="s">
        <v>1568</v>
      </c>
      <c r="J2610" s="32" t="s">
        <v>4458</v>
      </c>
      <c r="K2610" s="32" t="s">
        <v>4459</v>
      </c>
      <c r="L2610" s="32" t="s">
        <v>4461</v>
      </c>
      <c r="M2610" s="32" t="s">
        <v>5380</v>
      </c>
      <c r="O2610" s="32">
        <v>9</v>
      </c>
      <c r="P2610" s="32">
        <v>91</v>
      </c>
      <c r="Y2610" s="12" t="s">
        <v>5384</v>
      </c>
      <c r="AD2610" s="12" t="s">
        <v>98</v>
      </c>
      <c r="AE2610" s="12" t="s">
        <v>5317</v>
      </c>
      <c r="AF2610" s="12" t="s">
        <v>2186</v>
      </c>
      <c r="AG2610" s="12" t="s">
        <v>98</v>
      </c>
      <c r="AH2610" s="12" t="s">
        <v>5315</v>
      </c>
      <c r="AN2610" s="46">
        <v>1602</v>
      </c>
      <c r="AU2610" s="12" t="s">
        <v>5309</v>
      </c>
    </row>
    <row r="2611" spans="1:47" ht="12" customHeight="1" x14ac:dyDescent="0.2">
      <c r="A2611" s="95" t="s">
        <v>5366</v>
      </c>
      <c r="B2611" s="42">
        <v>906402</v>
      </c>
      <c r="C2611" s="42" t="s">
        <v>5129</v>
      </c>
      <c r="D2611" s="86" t="s">
        <v>5276</v>
      </c>
      <c r="E2611" s="86" t="s">
        <v>2</v>
      </c>
      <c r="F2611" s="32" t="s">
        <v>395</v>
      </c>
      <c r="G2611" s="32" t="s">
        <v>1587</v>
      </c>
      <c r="J2611" s="32" t="s">
        <v>4458</v>
      </c>
      <c r="K2611" s="32" t="s">
        <v>4459</v>
      </c>
      <c r="L2611" s="32" t="s">
        <v>4461</v>
      </c>
      <c r="M2611" s="32" t="s">
        <v>5380</v>
      </c>
      <c r="O2611" s="32">
        <v>9</v>
      </c>
      <c r="P2611" s="32">
        <v>91</v>
      </c>
      <c r="W2611" s="12" t="s">
        <v>5385</v>
      </c>
      <c r="X2611" s="12" t="s">
        <v>5385</v>
      </c>
      <c r="AD2611" s="12" t="s">
        <v>98</v>
      </c>
      <c r="AE2611" s="12" t="s">
        <v>5317</v>
      </c>
      <c r="AF2611" s="12" t="s">
        <v>2186</v>
      </c>
      <c r="AG2611" s="12" t="s">
        <v>98</v>
      </c>
      <c r="AH2611" s="12" t="s">
        <v>5315</v>
      </c>
      <c r="AN2611" s="46">
        <v>1602</v>
      </c>
      <c r="AU2611" s="12" t="s">
        <v>5309</v>
      </c>
    </row>
    <row r="2612" spans="1:47" ht="12" customHeight="1" x14ac:dyDescent="0.2">
      <c r="A2612" s="95" t="s">
        <v>5367</v>
      </c>
      <c r="B2612" s="42">
        <v>906502</v>
      </c>
      <c r="C2612" s="42" t="s">
        <v>5130</v>
      </c>
      <c r="D2612" s="86" t="s">
        <v>5277</v>
      </c>
      <c r="E2612" s="86" t="s">
        <v>2</v>
      </c>
      <c r="F2612" s="32" t="s">
        <v>395</v>
      </c>
      <c r="G2612" s="32" t="s">
        <v>1606</v>
      </c>
      <c r="J2612" s="32" t="s">
        <v>4458</v>
      </c>
      <c r="K2612" s="32" t="s">
        <v>4459</v>
      </c>
      <c r="L2612" s="32" t="s">
        <v>4461</v>
      </c>
      <c r="M2612" s="32" t="s">
        <v>5380</v>
      </c>
      <c r="O2612" s="32">
        <v>9</v>
      </c>
      <c r="P2612" s="32">
        <v>91</v>
      </c>
      <c r="AB2612" s="12" t="s">
        <v>5386</v>
      </c>
      <c r="AD2612" s="12" t="s">
        <v>98</v>
      </c>
      <c r="AE2612" s="12" t="s">
        <v>5317</v>
      </c>
      <c r="AF2612" s="12" t="s">
        <v>2186</v>
      </c>
      <c r="AG2612" s="12" t="s">
        <v>98</v>
      </c>
      <c r="AH2612" s="12" t="s">
        <v>5315</v>
      </c>
      <c r="AN2612" s="46">
        <v>1602</v>
      </c>
      <c r="AU2612" s="12" t="s">
        <v>5309</v>
      </c>
    </row>
    <row r="2613" spans="1:47" ht="12" customHeight="1" x14ac:dyDescent="0.2">
      <c r="A2613" s="95" t="s">
        <v>5368</v>
      </c>
      <c r="B2613" s="42">
        <v>906602</v>
      </c>
      <c r="C2613" s="42" t="s">
        <v>5131</v>
      </c>
      <c r="D2613" s="86" t="s">
        <v>5278</v>
      </c>
      <c r="E2613" s="86" t="s">
        <v>2</v>
      </c>
      <c r="F2613" s="32" t="s">
        <v>395</v>
      </c>
      <c r="G2613" s="32" t="s">
        <v>1625</v>
      </c>
      <c r="J2613" s="32" t="s">
        <v>4458</v>
      </c>
      <c r="K2613" s="32" t="s">
        <v>4459</v>
      </c>
      <c r="L2613" s="32" t="s">
        <v>4461</v>
      </c>
      <c r="M2613" s="32" t="s">
        <v>5380</v>
      </c>
      <c r="O2613" s="32">
        <v>9</v>
      </c>
      <c r="P2613" s="32">
        <v>91</v>
      </c>
      <c r="AA2613" s="12" t="s">
        <v>5386</v>
      </c>
      <c r="AD2613" s="12" t="s">
        <v>98</v>
      </c>
      <c r="AE2613" s="12" t="s">
        <v>5317</v>
      </c>
      <c r="AF2613" s="12" t="s">
        <v>2186</v>
      </c>
      <c r="AG2613" s="12" t="s">
        <v>98</v>
      </c>
      <c r="AH2613" s="12" t="s">
        <v>5315</v>
      </c>
      <c r="AN2613" s="46">
        <v>1602</v>
      </c>
      <c r="AU2613" s="12" t="s">
        <v>5309</v>
      </c>
    </row>
    <row r="2614" spans="1:47" ht="12" customHeight="1" x14ac:dyDescent="0.2">
      <c r="A2614" s="95" t="s">
        <v>5369</v>
      </c>
      <c r="B2614" s="42">
        <v>906702</v>
      </c>
      <c r="C2614" s="42" t="s">
        <v>5132</v>
      </c>
      <c r="D2614" s="86" t="s">
        <v>5279</v>
      </c>
      <c r="E2614" s="86" t="s">
        <v>1629</v>
      </c>
      <c r="F2614" s="32" t="s">
        <v>395</v>
      </c>
      <c r="G2614" s="32" t="s">
        <v>1630</v>
      </c>
      <c r="J2614" s="32" t="s">
        <v>4458</v>
      </c>
      <c r="K2614" s="32" t="s">
        <v>4459</v>
      </c>
      <c r="L2614" s="32" t="s">
        <v>4461</v>
      </c>
      <c r="M2614" s="32" t="s">
        <v>5380</v>
      </c>
      <c r="O2614" s="32">
        <v>9</v>
      </c>
      <c r="P2614" s="32">
        <v>91</v>
      </c>
      <c r="Y2614" s="12" t="s">
        <v>5384</v>
      </c>
      <c r="AD2614" s="12" t="s">
        <v>98</v>
      </c>
      <c r="AE2614" s="12" t="s">
        <v>5317</v>
      </c>
      <c r="AF2614" s="12" t="s">
        <v>2186</v>
      </c>
      <c r="AG2614" s="12" t="s">
        <v>98</v>
      </c>
      <c r="AH2614" s="12" t="s">
        <v>5316</v>
      </c>
      <c r="AN2614" s="46">
        <v>1602</v>
      </c>
      <c r="AU2614" s="12" t="s">
        <v>5309</v>
      </c>
    </row>
    <row r="2615" spans="1:47" ht="12" customHeight="1" x14ac:dyDescent="0.2">
      <c r="A2615" s="95" t="s">
        <v>5370</v>
      </c>
      <c r="B2615" s="42">
        <v>906103</v>
      </c>
      <c r="C2615" s="42" t="s">
        <v>5133</v>
      </c>
      <c r="D2615" s="86" t="s">
        <v>5280</v>
      </c>
      <c r="E2615" s="86" t="s">
        <v>1</v>
      </c>
      <c r="F2615" s="32" t="s">
        <v>395</v>
      </c>
      <c r="G2615" s="32" t="s">
        <v>1491</v>
      </c>
      <c r="J2615" s="32" t="s">
        <v>4458</v>
      </c>
      <c r="K2615" s="32" t="s">
        <v>4459</v>
      </c>
      <c r="L2615" s="32" t="s">
        <v>4461</v>
      </c>
      <c r="M2615" s="32" t="s">
        <v>5379</v>
      </c>
      <c r="O2615" s="32">
        <v>9</v>
      </c>
      <c r="P2615" s="32">
        <v>91</v>
      </c>
      <c r="AA2615" s="12" t="s">
        <v>5387</v>
      </c>
      <c r="AD2615" s="12" t="s">
        <v>98</v>
      </c>
      <c r="AE2615" s="12" t="s">
        <v>5317</v>
      </c>
      <c r="AF2615" s="12" t="s">
        <v>2186</v>
      </c>
      <c r="AG2615" s="12" t="s">
        <v>98</v>
      </c>
      <c r="AH2615" s="12" t="s">
        <v>5313</v>
      </c>
      <c r="AN2615" s="46">
        <v>1603</v>
      </c>
      <c r="AR2615" s="34" t="s">
        <v>94</v>
      </c>
      <c r="AS2615" s="34" t="s">
        <v>94</v>
      </c>
      <c r="AU2615" s="12" t="s">
        <v>5310</v>
      </c>
    </row>
    <row r="2616" spans="1:47" ht="12" customHeight="1" x14ac:dyDescent="0.2">
      <c r="A2616" s="95" t="s">
        <v>5371</v>
      </c>
      <c r="B2616" s="42">
        <v>906203</v>
      </c>
      <c r="C2616" s="42" t="s">
        <v>5134</v>
      </c>
      <c r="D2616" s="86" t="s">
        <v>5281</v>
      </c>
      <c r="E2616" s="86" t="s">
        <v>501</v>
      </c>
      <c r="F2616" s="32" t="s">
        <v>395</v>
      </c>
      <c r="G2616" s="32" t="s">
        <v>1491</v>
      </c>
      <c r="J2616" s="32" t="s">
        <v>4458</v>
      </c>
      <c r="K2616" s="32" t="s">
        <v>4459</v>
      </c>
      <c r="L2616" s="32" t="s">
        <v>4461</v>
      </c>
      <c r="M2616" s="32" t="s">
        <v>5379</v>
      </c>
      <c r="O2616" s="32">
        <v>9</v>
      </c>
      <c r="P2616" s="32">
        <v>91</v>
      </c>
      <c r="AB2616" s="12" t="s">
        <v>5386</v>
      </c>
      <c r="AD2616" s="12" t="s">
        <v>98</v>
      </c>
      <c r="AE2616" s="12" t="s">
        <v>5317</v>
      </c>
      <c r="AF2616" s="12" t="s">
        <v>2186</v>
      </c>
      <c r="AG2616" s="12" t="s">
        <v>98</v>
      </c>
      <c r="AH2616" s="12" t="s">
        <v>5314</v>
      </c>
      <c r="AN2616" s="46">
        <v>1603</v>
      </c>
      <c r="AR2616" s="34" t="s">
        <v>94</v>
      </c>
      <c r="AS2616" s="34" t="s">
        <v>94</v>
      </c>
      <c r="AU2616" s="12" t="s">
        <v>5310</v>
      </c>
    </row>
    <row r="2617" spans="1:47" ht="12" customHeight="1" x14ac:dyDescent="0.2">
      <c r="A2617" s="95" t="s">
        <v>5372</v>
      </c>
      <c r="B2617" s="42">
        <v>906303</v>
      </c>
      <c r="C2617" s="42" t="s">
        <v>5135</v>
      </c>
      <c r="D2617" s="86" t="s">
        <v>5282</v>
      </c>
      <c r="E2617" s="86" t="s">
        <v>2</v>
      </c>
      <c r="F2617" s="32" t="s">
        <v>395</v>
      </c>
      <c r="G2617" s="32" t="s">
        <v>1568</v>
      </c>
      <c r="J2617" s="32" t="s">
        <v>4458</v>
      </c>
      <c r="K2617" s="32" t="s">
        <v>4459</v>
      </c>
      <c r="L2617" s="32" t="s">
        <v>4461</v>
      </c>
      <c r="M2617" s="32" t="s">
        <v>5379</v>
      </c>
      <c r="O2617" s="32">
        <v>9</v>
      </c>
      <c r="P2617" s="32">
        <v>91</v>
      </c>
      <c r="Y2617" s="12" t="s">
        <v>5384</v>
      </c>
      <c r="AD2617" s="12" t="s">
        <v>98</v>
      </c>
      <c r="AE2617" s="12" t="s">
        <v>5317</v>
      </c>
      <c r="AF2617" s="12" t="s">
        <v>2186</v>
      </c>
      <c r="AG2617" s="12" t="s">
        <v>98</v>
      </c>
      <c r="AH2617" s="12" t="s">
        <v>5315</v>
      </c>
      <c r="AN2617" s="46">
        <v>1603</v>
      </c>
      <c r="AU2617" s="12" t="s">
        <v>5310</v>
      </c>
    </row>
    <row r="2618" spans="1:47" ht="12" customHeight="1" x14ac:dyDescent="0.2">
      <c r="A2618" s="95" t="s">
        <v>5373</v>
      </c>
      <c r="B2618" s="42">
        <v>906403</v>
      </c>
      <c r="C2618" s="42" t="s">
        <v>5136</v>
      </c>
      <c r="D2618" s="86" t="s">
        <v>5283</v>
      </c>
      <c r="E2618" s="86" t="s">
        <v>2</v>
      </c>
      <c r="F2618" s="32" t="s">
        <v>395</v>
      </c>
      <c r="G2618" s="32" t="s">
        <v>1587</v>
      </c>
      <c r="J2618" s="32" t="s">
        <v>4458</v>
      </c>
      <c r="K2618" s="32" t="s">
        <v>4459</v>
      </c>
      <c r="L2618" s="32" t="s">
        <v>4461</v>
      </c>
      <c r="M2618" s="32" t="s">
        <v>5379</v>
      </c>
      <c r="O2618" s="32">
        <v>9</v>
      </c>
      <c r="P2618" s="32">
        <v>91</v>
      </c>
      <c r="W2618" s="12" t="s">
        <v>5385</v>
      </c>
      <c r="X2618" s="12" t="s">
        <v>5385</v>
      </c>
      <c r="AD2618" s="12" t="s">
        <v>98</v>
      </c>
      <c r="AE2618" s="12" t="s">
        <v>5317</v>
      </c>
      <c r="AF2618" s="12" t="s">
        <v>2186</v>
      </c>
      <c r="AG2618" s="12" t="s">
        <v>98</v>
      </c>
      <c r="AH2618" s="12" t="s">
        <v>5315</v>
      </c>
      <c r="AN2618" s="46">
        <v>1603</v>
      </c>
      <c r="AU2618" s="12" t="s">
        <v>5310</v>
      </c>
    </row>
    <row r="2619" spans="1:47" ht="12" customHeight="1" x14ac:dyDescent="0.2">
      <c r="A2619" s="95" t="s">
        <v>5374</v>
      </c>
      <c r="B2619" s="42">
        <v>906503</v>
      </c>
      <c r="C2619" s="42" t="s">
        <v>5137</v>
      </c>
      <c r="D2619" s="86" t="s">
        <v>5284</v>
      </c>
      <c r="E2619" s="86" t="s">
        <v>2</v>
      </c>
      <c r="F2619" s="32" t="s">
        <v>395</v>
      </c>
      <c r="G2619" s="32" t="s">
        <v>1606</v>
      </c>
      <c r="J2619" s="32" t="s">
        <v>4458</v>
      </c>
      <c r="K2619" s="32" t="s">
        <v>4459</v>
      </c>
      <c r="L2619" s="32" t="s">
        <v>4461</v>
      </c>
      <c r="M2619" s="32" t="s">
        <v>5379</v>
      </c>
      <c r="O2619" s="32">
        <v>9</v>
      </c>
      <c r="P2619" s="32">
        <v>91</v>
      </c>
      <c r="AB2619" s="12" t="s">
        <v>5386</v>
      </c>
      <c r="AD2619" s="12" t="s">
        <v>98</v>
      </c>
      <c r="AE2619" s="12" t="s">
        <v>5317</v>
      </c>
      <c r="AF2619" s="12" t="s">
        <v>2186</v>
      </c>
      <c r="AG2619" s="12" t="s">
        <v>98</v>
      </c>
      <c r="AH2619" s="12" t="s">
        <v>5315</v>
      </c>
      <c r="AN2619" s="46">
        <v>1603</v>
      </c>
      <c r="AU2619" s="12" t="s">
        <v>5310</v>
      </c>
    </row>
    <row r="2620" spans="1:47" ht="12" customHeight="1" x14ac:dyDescent="0.2">
      <c r="A2620" s="95" t="s">
        <v>5375</v>
      </c>
      <c r="B2620" s="42">
        <v>906603</v>
      </c>
      <c r="C2620" s="42" t="s">
        <v>5138</v>
      </c>
      <c r="D2620" s="86" t="s">
        <v>5285</v>
      </c>
      <c r="E2620" s="86" t="s">
        <v>2</v>
      </c>
      <c r="F2620" s="32" t="s">
        <v>395</v>
      </c>
      <c r="G2620" s="32" t="s">
        <v>1625</v>
      </c>
      <c r="J2620" s="32" t="s">
        <v>4458</v>
      </c>
      <c r="K2620" s="32" t="s">
        <v>4459</v>
      </c>
      <c r="L2620" s="32" t="s">
        <v>4461</v>
      </c>
      <c r="M2620" s="32" t="s">
        <v>5379</v>
      </c>
      <c r="O2620" s="32">
        <v>9</v>
      </c>
      <c r="P2620" s="32">
        <v>91</v>
      </c>
      <c r="AA2620" s="12" t="s">
        <v>5386</v>
      </c>
      <c r="AD2620" s="12" t="s">
        <v>98</v>
      </c>
      <c r="AE2620" s="12" t="s">
        <v>5317</v>
      </c>
      <c r="AF2620" s="12" t="s">
        <v>2186</v>
      </c>
      <c r="AG2620" s="12" t="s">
        <v>98</v>
      </c>
      <c r="AH2620" s="12" t="s">
        <v>5315</v>
      </c>
      <c r="AN2620" s="46">
        <v>1603</v>
      </c>
      <c r="AU2620" s="12" t="s">
        <v>5310</v>
      </c>
    </row>
    <row r="2621" spans="1:47" ht="12" customHeight="1" x14ac:dyDescent="0.2">
      <c r="A2621" s="95" t="s">
        <v>5376</v>
      </c>
      <c r="B2621" s="42">
        <v>906703</v>
      </c>
      <c r="C2621" s="42" t="s">
        <v>5139</v>
      </c>
      <c r="D2621" s="86" t="s">
        <v>5286</v>
      </c>
      <c r="E2621" s="86" t="s">
        <v>1629</v>
      </c>
      <c r="F2621" s="32" t="s">
        <v>395</v>
      </c>
      <c r="G2621" s="32" t="s">
        <v>1630</v>
      </c>
      <c r="J2621" s="32" t="s">
        <v>4458</v>
      </c>
      <c r="K2621" s="32" t="s">
        <v>4459</v>
      </c>
      <c r="L2621" s="32" t="s">
        <v>4461</v>
      </c>
      <c r="M2621" s="32" t="s">
        <v>5379</v>
      </c>
      <c r="O2621" s="32">
        <v>9</v>
      </c>
      <c r="P2621" s="32">
        <v>91</v>
      </c>
      <c r="Y2621" s="12" t="s">
        <v>5384</v>
      </c>
      <c r="AD2621" s="12" t="s">
        <v>98</v>
      </c>
      <c r="AE2621" s="12" t="s">
        <v>5317</v>
      </c>
      <c r="AF2621" s="12" t="s">
        <v>2186</v>
      </c>
      <c r="AG2621" s="12" t="s">
        <v>98</v>
      </c>
      <c r="AH2621" s="12" t="s">
        <v>5316</v>
      </c>
      <c r="AN2621" s="46">
        <v>1603</v>
      </c>
      <c r="AU2621" s="12" t="s">
        <v>5310</v>
      </c>
    </row>
    <row r="2622" spans="1:47" ht="12" customHeight="1" x14ac:dyDescent="0.2">
      <c r="A2622" s="95" t="s">
        <v>4699</v>
      </c>
      <c r="B2622" s="42">
        <v>907101</v>
      </c>
      <c r="C2622" s="42" t="s">
        <v>5140</v>
      </c>
      <c r="D2622" s="86" t="s">
        <v>5287</v>
      </c>
      <c r="E2622" s="86" t="s">
        <v>1</v>
      </c>
      <c r="F2622" s="32" t="s">
        <v>1637</v>
      </c>
      <c r="G2622" s="32" t="s">
        <v>1491</v>
      </c>
      <c r="J2622" s="32" t="s">
        <v>4458</v>
      </c>
      <c r="K2622" s="32" t="s">
        <v>4459</v>
      </c>
      <c r="L2622" s="32" t="s">
        <v>4461</v>
      </c>
      <c r="M2622" s="32" t="s">
        <v>5378</v>
      </c>
      <c r="O2622" s="32">
        <v>9</v>
      </c>
      <c r="P2622" s="32">
        <v>91</v>
      </c>
      <c r="AA2622" s="12" t="s">
        <v>5387</v>
      </c>
      <c r="AD2622" s="12" t="s">
        <v>98</v>
      </c>
      <c r="AE2622" s="12" t="s">
        <v>5317</v>
      </c>
      <c r="AF2622" s="12" t="s">
        <v>2186</v>
      </c>
      <c r="AG2622" s="12" t="s">
        <v>98</v>
      </c>
      <c r="AH2622" s="12" t="s">
        <v>5313</v>
      </c>
      <c r="AN2622" s="46">
        <v>1701</v>
      </c>
      <c r="AR2622" s="34" t="s">
        <v>94</v>
      </c>
      <c r="AS2622" s="34" t="s">
        <v>94</v>
      </c>
      <c r="AU2622" s="12" t="s">
        <v>5308</v>
      </c>
    </row>
    <row r="2623" spans="1:47" ht="12" customHeight="1" x14ac:dyDescent="0.2">
      <c r="A2623" s="95" t="s">
        <v>4700</v>
      </c>
      <c r="B2623" s="42">
        <v>907201</v>
      </c>
      <c r="C2623" s="42" t="s">
        <v>5141</v>
      </c>
      <c r="D2623" s="86" t="s">
        <v>5288</v>
      </c>
      <c r="E2623" s="86" t="s">
        <v>501</v>
      </c>
      <c r="F2623" s="32" t="s">
        <v>1637</v>
      </c>
      <c r="G2623" s="32" t="s">
        <v>1491</v>
      </c>
      <c r="J2623" s="32" t="s">
        <v>4458</v>
      </c>
      <c r="K2623" s="32" t="s">
        <v>4459</v>
      </c>
      <c r="L2623" s="32" t="s">
        <v>4461</v>
      </c>
      <c r="M2623" s="32" t="s">
        <v>5378</v>
      </c>
      <c r="O2623" s="32">
        <v>9</v>
      </c>
      <c r="P2623" s="32">
        <v>91</v>
      </c>
      <c r="AB2623" s="12" t="s">
        <v>5386</v>
      </c>
      <c r="AD2623" s="12" t="s">
        <v>98</v>
      </c>
      <c r="AE2623" s="12" t="s">
        <v>5317</v>
      </c>
      <c r="AF2623" s="12" t="s">
        <v>2186</v>
      </c>
      <c r="AG2623" s="12" t="s">
        <v>98</v>
      </c>
      <c r="AH2623" s="12" t="s">
        <v>5314</v>
      </c>
      <c r="AN2623" s="46">
        <v>1701</v>
      </c>
      <c r="AR2623" s="34" t="s">
        <v>94</v>
      </c>
      <c r="AS2623" s="34" t="s">
        <v>94</v>
      </c>
      <c r="AU2623" s="12" t="s">
        <v>5308</v>
      </c>
    </row>
    <row r="2624" spans="1:47" ht="12" customHeight="1" x14ac:dyDescent="0.2">
      <c r="A2624" s="95" t="s">
        <v>4701</v>
      </c>
      <c r="B2624" s="42">
        <v>907301</v>
      </c>
      <c r="C2624" s="42" t="s">
        <v>5142</v>
      </c>
      <c r="D2624" s="86" t="s">
        <v>5289</v>
      </c>
      <c r="E2624" s="86" t="s">
        <v>2</v>
      </c>
      <c r="F2624" s="32" t="s">
        <v>1637</v>
      </c>
      <c r="G2624" s="32" t="s">
        <v>1568</v>
      </c>
      <c r="J2624" s="32" t="s">
        <v>4458</v>
      </c>
      <c r="K2624" s="32" t="s">
        <v>4459</v>
      </c>
      <c r="L2624" s="32" t="s">
        <v>4461</v>
      </c>
      <c r="M2624" s="32" t="s">
        <v>5378</v>
      </c>
      <c r="O2624" s="32">
        <v>9</v>
      </c>
      <c r="P2624" s="32">
        <v>91</v>
      </c>
      <c r="Y2624" s="12" t="s">
        <v>5384</v>
      </c>
      <c r="AD2624" s="12" t="s">
        <v>98</v>
      </c>
      <c r="AE2624" s="12" t="s">
        <v>5317</v>
      </c>
      <c r="AF2624" s="12" t="s">
        <v>2186</v>
      </c>
      <c r="AG2624" s="12" t="s">
        <v>98</v>
      </c>
      <c r="AH2624" s="12" t="s">
        <v>5315</v>
      </c>
      <c r="AN2624" s="46">
        <v>1701</v>
      </c>
      <c r="AU2624" s="12" t="s">
        <v>5308</v>
      </c>
    </row>
    <row r="2625" spans="1:47" ht="12" customHeight="1" x14ac:dyDescent="0.2">
      <c r="A2625" s="95" t="s">
        <v>4702</v>
      </c>
      <c r="B2625" s="42">
        <v>907401</v>
      </c>
      <c r="C2625" s="42" t="s">
        <v>5143</v>
      </c>
      <c r="D2625" s="86" t="s">
        <v>5290</v>
      </c>
      <c r="E2625" s="86" t="s">
        <v>2</v>
      </c>
      <c r="F2625" s="32" t="s">
        <v>1637</v>
      </c>
      <c r="G2625" s="32" t="s">
        <v>1587</v>
      </c>
      <c r="J2625" s="32" t="s">
        <v>4458</v>
      </c>
      <c r="K2625" s="32" t="s">
        <v>4459</v>
      </c>
      <c r="L2625" s="32" t="s">
        <v>4461</v>
      </c>
      <c r="M2625" s="32" t="s">
        <v>5378</v>
      </c>
      <c r="O2625" s="32">
        <v>9</v>
      </c>
      <c r="P2625" s="32">
        <v>91</v>
      </c>
      <c r="W2625" s="12" t="s">
        <v>5385</v>
      </c>
      <c r="X2625" s="12" t="s">
        <v>5385</v>
      </c>
      <c r="AD2625" s="12" t="s">
        <v>98</v>
      </c>
      <c r="AE2625" s="12" t="s">
        <v>5317</v>
      </c>
      <c r="AF2625" s="12" t="s">
        <v>2186</v>
      </c>
      <c r="AG2625" s="12" t="s">
        <v>98</v>
      </c>
      <c r="AH2625" s="12" t="s">
        <v>5315</v>
      </c>
      <c r="AN2625" s="46">
        <v>1701</v>
      </c>
      <c r="AU2625" s="12" t="s">
        <v>5308</v>
      </c>
    </row>
    <row r="2626" spans="1:47" ht="12" customHeight="1" x14ac:dyDescent="0.2">
      <c r="A2626" s="95" t="s">
        <v>4703</v>
      </c>
      <c r="B2626" s="42">
        <v>907501</v>
      </c>
      <c r="C2626" s="42" t="s">
        <v>5144</v>
      </c>
      <c r="D2626" s="86" t="s">
        <v>5291</v>
      </c>
      <c r="E2626" s="86" t="s">
        <v>2</v>
      </c>
      <c r="F2626" s="32" t="s">
        <v>1637</v>
      </c>
      <c r="G2626" s="32" t="s">
        <v>1606</v>
      </c>
      <c r="J2626" s="32" t="s">
        <v>4458</v>
      </c>
      <c r="K2626" s="32" t="s">
        <v>4459</v>
      </c>
      <c r="L2626" s="32" t="s">
        <v>4461</v>
      </c>
      <c r="M2626" s="32" t="s">
        <v>5378</v>
      </c>
      <c r="O2626" s="32">
        <v>9</v>
      </c>
      <c r="P2626" s="32">
        <v>91</v>
      </c>
      <c r="AB2626" s="12" t="s">
        <v>5386</v>
      </c>
      <c r="AD2626" s="12" t="s">
        <v>98</v>
      </c>
      <c r="AE2626" s="12" t="s">
        <v>5317</v>
      </c>
      <c r="AF2626" s="12" t="s">
        <v>2186</v>
      </c>
      <c r="AG2626" s="12" t="s">
        <v>98</v>
      </c>
      <c r="AH2626" s="12" t="s">
        <v>5315</v>
      </c>
      <c r="AN2626" s="46">
        <v>1701</v>
      </c>
      <c r="AU2626" s="12" t="s">
        <v>5308</v>
      </c>
    </row>
    <row r="2627" spans="1:47" ht="12" customHeight="1" x14ac:dyDescent="0.2">
      <c r="A2627" s="95" t="s">
        <v>4704</v>
      </c>
      <c r="B2627" s="42">
        <v>907601</v>
      </c>
      <c r="C2627" s="42" t="s">
        <v>5145</v>
      </c>
      <c r="D2627" s="86" t="s">
        <v>5292</v>
      </c>
      <c r="E2627" s="86" t="s">
        <v>2</v>
      </c>
      <c r="F2627" s="32" t="s">
        <v>1637</v>
      </c>
      <c r="G2627" s="32" t="s">
        <v>1625</v>
      </c>
      <c r="J2627" s="32" t="s">
        <v>4458</v>
      </c>
      <c r="K2627" s="32" t="s">
        <v>4459</v>
      </c>
      <c r="L2627" s="32" t="s">
        <v>4461</v>
      </c>
      <c r="M2627" s="32" t="s">
        <v>5378</v>
      </c>
      <c r="O2627" s="32">
        <v>9</v>
      </c>
      <c r="P2627" s="32">
        <v>91</v>
      </c>
      <c r="AA2627" s="12" t="s">
        <v>5386</v>
      </c>
      <c r="AD2627" s="12" t="s">
        <v>98</v>
      </c>
      <c r="AE2627" s="12" t="s">
        <v>5317</v>
      </c>
      <c r="AF2627" s="12" t="s">
        <v>2186</v>
      </c>
      <c r="AG2627" s="12" t="s">
        <v>98</v>
      </c>
      <c r="AH2627" s="12" t="s">
        <v>5315</v>
      </c>
      <c r="AN2627" s="46">
        <v>1701</v>
      </c>
      <c r="AU2627" s="12" t="s">
        <v>5308</v>
      </c>
    </row>
    <row r="2628" spans="1:47" ht="12" customHeight="1" x14ac:dyDescent="0.2">
      <c r="A2628" s="95" t="s">
        <v>4705</v>
      </c>
      <c r="B2628" s="42">
        <v>907701</v>
      </c>
      <c r="C2628" s="42" t="s">
        <v>5146</v>
      </c>
      <c r="D2628" s="86" t="s">
        <v>5293</v>
      </c>
      <c r="E2628" s="86" t="s">
        <v>1629</v>
      </c>
      <c r="F2628" s="32" t="s">
        <v>1637</v>
      </c>
      <c r="G2628" s="32" t="s">
        <v>1630</v>
      </c>
      <c r="J2628" s="32" t="s">
        <v>4458</v>
      </c>
      <c r="K2628" s="32" t="s">
        <v>4459</v>
      </c>
      <c r="L2628" s="32" t="s">
        <v>4461</v>
      </c>
      <c r="M2628" s="32" t="s">
        <v>5378</v>
      </c>
      <c r="O2628" s="32">
        <v>9</v>
      </c>
      <c r="P2628" s="32">
        <v>91</v>
      </c>
      <c r="Y2628" s="12" t="s">
        <v>5384</v>
      </c>
      <c r="AD2628" s="12" t="s">
        <v>98</v>
      </c>
      <c r="AE2628" s="12" t="s">
        <v>5317</v>
      </c>
      <c r="AF2628" s="12" t="s">
        <v>2186</v>
      </c>
      <c r="AG2628" s="12" t="s">
        <v>98</v>
      </c>
      <c r="AH2628" s="12" t="s">
        <v>5316</v>
      </c>
      <c r="AN2628" s="46">
        <v>1701</v>
      </c>
      <c r="AU2628" s="12" t="s">
        <v>5308</v>
      </c>
    </row>
    <row r="2629" spans="1:47" ht="12" customHeight="1" x14ac:dyDescent="0.2">
      <c r="A2629" s="95" t="s">
        <v>4706</v>
      </c>
      <c r="B2629" s="42">
        <v>907102</v>
      </c>
      <c r="C2629" s="42" t="s">
        <v>5147</v>
      </c>
      <c r="D2629" s="86" t="s">
        <v>5294</v>
      </c>
      <c r="E2629" s="86" t="s">
        <v>1</v>
      </c>
      <c r="F2629" s="32" t="s">
        <v>1637</v>
      </c>
      <c r="G2629" s="32" t="s">
        <v>1491</v>
      </c>
      <c r="J2629" s="32" t="s">
        <v>4458</v>
      </c>
      <c r="K2629" s="32" t="s">
        <v>4459</v>
      </c>
      <c r="L2629" s="32" t="s">
        <v>4461</v>
      </c>
      <c r="M2629" s="32" t="s">
        <v>5380</v>
      </c>
      <c r="O2629" s="32">
        <v>9</v>
      </c>
      <c r="P2629" s="32">
        <v>91</v>
      </c>
      <c r="AA2629" s="12" t="s">
        <v>5387</v>
      </c>
      <c r="AD2629" s="12" t="s">
        <v>98</v>
      </c>
      <c r="AE2629" s="12" t="s">
        <v>5317</v>
      </c>
      <c r="AF2629" s="12" t="s">
        <v>2186</v>
      </c>
      <c r="AG2629" s="12" t="s">
        <v>98</v>
      </c>
      <c r="AH2629" s="12" t="s">
        <v>5313</v>
      </c>
      <c r="AN2629" s="46">
        <v>1702</v>
      </c>
      <c r="AR2629" s="34" t="s">
        <v>94</v>
      </c>
      <c r="AS2629" s="34" t="s">
        <v>94</v>
      </c>
      <c r="AU2629" s="12" t="s">
        <v>5309</v>
      </c>
    </row>
    <row r="2630" spans="1:47" ht="12" customHeight="1" x14ac:dyDescent="0.2">
      <c r="A2630" s="95" t="s">
        <v>4707</v>
      </c>
      <c r="B2630" s="42">
        <v>907202</v>
      </c>
      <c r="C2630" s="42" t="s">
        <v>5148</v>
      </c>
      <c r="D2630" s="86" t="s">
        <v>5295</v>
      </c>
      <c r="E2630" s="86" t="s">
        <v>501</v>
      </c>
      <c r="F2630" s="32" t="s">
        <v>1637</v>
      </c>
      <c r="G2630" s="32" t="s">
        <v>1491</v>
      </c>
      <c r="J2630" s="32" t="s">
        <v>4458</v>
      </c>
      <c r="K2630" s="32" t="s">
        <v>4459</v>
      </c>
      <c r="L2630" s="32" t="s">
        <v>4461</v>
      </c>
      <c r="M2630" s="32" t="s">
        <v>5380</v>
      </c>
      <c r="O2630" s="32">
        <v>9</v>
      </c>
      <c r="P2630" s="32">
        <v>91</v>
      </c>
      <c r="AB2630" s="12" t="s">
        <v>5386</v>
      </c>
      <c r="AD2630" s="12" t="s">
        <v>98</v>
      </c>
      <c r="AE2630" s="12" t="s">
        <v>5317</v>
      </c>
      <c r="AF2630" s="12" t="s">
        <v>2186</v>
      </c>
      <c r="AG2630" s="12" t="s">
        <v>98</v>
      </c>
      <c r="AH2630" s="12" t="s">
        <v>5314</v>
      </c>
      <c r="AN2630" s="46">
        <v>1702</v>
      </c>
      <c r="AR2630" s="34" t="s">
        <v>94</v>
      </c>
      <c r="AS2630" s="34" t="s">
        <v>94</v>
      </c>
      <c r="AU2630" s="12" t="s">
        <v>5309</v>
      </c>
    </row>
    <row r="2631" spans="1:47" ht="12" customHeight="1" x14ac:dyDescent="0.2">
      <c r="A2631" s="95" t="s">
        <v>4708</v>
      </c>
      <c r="B2631" s="42">
        <v>907302</v>
      </c>
      <c r="C2631" s="42" t="s">
        <v>5149</v>
      </c>
      <c r="D2631" s="86" t="s">
        <v>5296</v>
      </c>
      <c r="E2631" s="86" t="s">
        <v>2</v>
      </c>
      <c r="F2631" s="32" t="s">
        <v>1637</v>
      </c>
      <c r="G2631" s="32" t="s">
        <v>1568</v>
      </c>
      <c r="J2631" s="32" t="s">
        <v>4458</v>
      </c>
      <c r="K2631" s="32" t="s">
        <v>4459</v>
      </c>
      <c r="L2631" s="32" t="s">
        <v>4461</v>
      </c>
      <c r="M2631" s="32" t="s">
        <v>5380</v>
      </c>
      <c r="O2631" s="32">
        <v>9</v>
      </c>
      <c r="P2631" s="32">
        <v>91</v>
      </c>
      <c r="Y2631" s="12" t="s">
        <v>5384</v>
      </c>
      <c r="AD2631" s="12" t="s">
        <v>98</v>
      </c>
      <c r="AE2631" s="12" t="s">
        <v>5317</v>
      </c>
      <c r="AF2631" s="12" t="s">
        <v>2186</v>
      </c>
      <c r="AG2631" s="12" t="s">
        <v>98</v>
      </c>
      <c r="AH2631" s="12" t="s">
        <v>5315</v>
      </c>
      <c r="AN2631" s="46">
        <v>1702</v>
      </c>
      <c r="AU2631" s="12" t="s">
        <v>5309</v>
      </c>
    </row>
    <row r="2632" spans="1:47" ht="12" customHeight="1" x14ac:dyDescent="0.2">
      <c r="A2632" s="95" t="s">
        <v>4709</v>
      </c>
      <c r="B2632" s="42">
        <v>907402</v>
      </c>
      <c r="C2632" s="42" t="s">
        <v>5150</v>
      </c>
      <c r="D2632" s="86" t="s">
        <v>5297</v>
      </c>
      <c r="E2632" s="86" t="s">
        <v>2</v>
      </c>
      <c r="F2632" s="32" t="s">
        <v>1637</v>
      </c>
      <c r="G2632" s="32" t="s">
        <v>1587</v>
      </c>
      <c r="J2632" s="32" t="s">
        <v>4458</v>
      </c>
      <c r="K2632" s="32" t="s">
        <v>4459</v>
      </c>
      <c r="L2632" s="32" t="s">
        <v>4461</v>
      </c>
      <c r="M2632" s="32" t="s">
        <v>5380</v>
      </c>
      <c r="O2632" s="32">
        <v>9</v>
      </c>
      <c r="P2632" s="32">
        <v>91</v>
      </c>
      <c r="W2632" s="12" t="s">
        <v>5385</v>
      </c>
      <c r="X2632" s="12" t="s">
        <v>5385</v>
      </c>
      <c r="AD2632" s="12" t="s">
        <v>98</v>
      </c>
      <c r="AE2632" s="12" t="s">
        <v>5317</v>
      </c>
      <c r="AF2632" s="12" t="s">
        <v>2186</v>
      </c>
      <c r="AG2632" s="12" t="s">
        <v>98</v>
      </c>
      <c r="AH2632" s="12" t="s">
        <v>5315</v>
      </c>
      <c r="AN2632" s="46">
        <v>1702</v>
      </c>
      <c r="AU2632" s="12" t="s">
        <v>5309</v>
      </c>
    </row>
    <row r="2633" spans="1:47" ht="12" customHeight="1" x14ac:dyDescent="0.2">
      <c r="A2633" s="95" t="s">
        <v>4710</v>
      </c>
      <c r="B2633" s="42">
        <v>907502</v>
      </c>
      <c r="C2633" s="42" t="s">
        <v>5151</v>
      </c>
      <c r="D2633" s="86" t="s">
        <v>5298</v>
      </c>
      <c r="E2633" s="86" t="s">
        <v>2</v>
      </c>
      <c r="F2633" s="32" t="s">
        <v>1637</v>
      </c>
      <c r="G2633" s="32" t="s">
        <v>1606</v>
      </c>
      <c r="J2633" s="32" t="s">
        <v>4458</v>
      </c>
      <c r="K2633" s="32" t="s">
        <v>4459</v>
      </c>
      <c r="L2633" s="32" t="s">
        <v>4461</v>
      </c>
      <c r="M2633" s="32" t="s">
        <v>5380</v>
      </c>
      <c r="O2633" s="32">
        <v>9</v>
      </c>
      <c r="P2633" s="32">
        <v>91</v>
      </c>
      <c r="AB2633" s="12" t="s">
        <v>5386</v>
      </c>
      <c r="AD2633" s="12" t="s">
        <v>98</v>
      </c>
      <c r="AE2633" s="12" t="s">
        <v>5317</v>
      </c>
      <c r="AF2633" s="12" t="s">
        <v>2186</v>
      </c>
      <c r="AG2633" s="12" t="s">
        <v>98</v>
      </c>
      <c r="AH2633" s="12" t="s">
        <v>5315</v>
      </c>
      <c r="AN2633" s="46">
        <v>1702</v>
      </c>
      <c r="AU2633" s="12" t="s">
        <v>5309</v>
      </c>
    </row>
    <row r="2634" spans="1:47" ht="12" customHeight="1" x14ac:dyDescent="0.2">
      <c r="A2634" s="95" t="s">
        <v>4711</v>
      </c>
      <c r="B2634" s="42">
        <v>907602</v>
      </c>
      <c r="C2634" s="42" t="s">
        <v>5152</v>
      </c>
      <c r="D2634" s="86" t="s">
        <v>5299</v>
      </c>
      <c r="E2634" s="86" t="s">
        <v>2</v>
      </c>
      <c r="F2634" s="32" t="s">
        <v>1637</v>
      </c>
      <c r="G2634" s="32" t="s">
        <v>1625</v>
      </c>
      <c r="J2634" s="32" t="s">
        <v>4458</v>
      </c>
      <c r="K2634" s="32" t="s">
        <v>4459</v>
      </c>
      <c r="L2634" s="32" t="s">
        <v>4461</v>
      </c>
      <c r="M2634" s="32" t="s">
        <v>5380</v>
      </c>
      <c r="O2634" s="32">
        <v>9</v>
      </c>
      <c r="P2634" s="32">
        <v>91</v>
      </c>
      <c r="AA2634" s="12" t="s">
        <v>5386</v>
      </c>
      <c r="AD2634" s="12" t="s">
        <v>98</v>
      </c>
      <c r="AE2634" s="12" t="s">
        <v>5317</v>
      </c>
      <c r="AF2634" s="12" t="s">
        <v>2186</v>
      </c>
      <c r="AG2634" s="12" t="s">
        <v>98</v>
      </c>
      <c r="AH2634" s="12" t="s">
        <v>5315</v>
      </c>
      <c r="AN2634" s="46">
        <v>1702</v>
      </c>
      <c r="AU2634" s="12" t="s">
        <v>5309</v>
      </c>
    </row>
    <row r="2635" spans="1:47" ht="12" customHeight="1" x14ac:dyDescent="0.2">
      <c r="A2635" s="95" t="s">
        <v>4712</v>
      </c>
      <c r="B2635" s="42">
        <v>907702</v>
      </c>
      <c r="C2635" s="42" t="s">
        <v>5153</v>
      </c>
      <c r="D2635" s="86" t="s">
        <v>5300</v>
      </c>
      <c r="E2635" s="86" t="s">
        <v>1629</v>
      </c>
      <c r="F2635" s="32" t="s">
        <v>1637</v>
      </c>
      <c r="G2635" s="32" t="s">
        <v>1630</v>
      </c>
      <c r="J2635" s="32" t="s">
        <v>4458</v>
      </c>
      <c r="K2635" s="32" t="s">
        <v>4459</v>
      </c>
      <c r="L2635" s="32" t="s">
        <v>4461</v>
      </c>
      <c r="M2635" s="32" t="s">
        <v>5380</v>
      </c>
      <c r="O2635" s="32">
        <v>9</v>
      </c>
      <c r="P2635" s="32">
        <v>91</v>
      </c>
      <c r="Y2635" s="12" t="s">
        <v>5384</v>
      </c>
      <c r="AD2635" s="12" t="s">
        <v>98</v>
      </c>
      <c r="AE2635" s="12" t="s">
        <v>5317</v>
      </c>
      <c r="AF2635" s="12" t="s">
        <v>2186</v>
      </c>
      <c r="AG2635" s="12" t="s">
        <v>98</v>
      </c>
      <c r="AH2635" s="12" t="s">
        <v>5316</v>
      </c>
      <c r="AN2635" s="46">
        <v>1702</v>
      </c>
      <c r="AU2635" s="12" t="s">
        <v>5309</v>
      </c>
    </row>
    <row r="2636" spans="1:47" ht="12" customHeight="1" x14ac:dyDescent="0.2">
      <c r="A2636" s="95" t="s">
        <v>4713</v>
      </c>
      <c r="B2636" s="42">
        <v>907103</v>
      </c>
      <c r="C2636" s="42" t="s">
        <v>5154</v>
      </c>
      <c r="D2636" s="86" t="s">
        <v>5301</v>
      </c>
      <c r="E2636" s="86" t="s">
        <v>1</v>
      </c>
      <c r="F2636" s="32" t="s">
        <v>1637</v>
      </c>
      <c r="G2636" s="32" t="s">
        <v>1491</v>
      </c>
      <c r="J2636" s="32" t="s">
        <v>4458</v>
      </c>
      <c r="K2636" s="32" t="s">
        <v>4459</v>
      </c>
      <c r="L2636" s="32" t="s">
        <v>4461</v>
      </c>
      <c r="M2636" s="32" t="s">
        <v>5379</v>
      </c>
      <c r="O2636" s="32">
        <v>9</v>
      </c>
      <c r="P2636" s="32">
        <v>91</v>
      </c>
      <c r="AA2636" s="12" t="s">
        <v>5387</v>
      </c>
      <c r="AD2636" s="12" t="s">
        <v>98</v>
      </c>
      <c r="AE2636" s="12" t="s">
        <v>5317</v>
      </c>
      <c r="AF2636" s="12" t="s">
        <v>2186</v>
      </c>
      <c r="AG2636" s="12" t="s">
        <v>98</v>
      </c>
      <c r="AH2636" s="12" t="s">
        <v>5313</v>
      </c>
      <c r="AN2636" s="46">
        <v>1703</v>
      </c>
      <c r="AR2636" s="34" t="s">
        <v>94</v>
      </c>
      <c r="AS2636" s="34" t="s">
        <v>94</v>
      </c>
      <c r="AU2636" s="12" t="s">
        <v>5310</v>
      </c>
    </row>
    <row r="2637" spans="1:47" ht="12" customHeight="1" x14ac:dyDescent="0.2">
      <c r="A2637" s="95" t="s">
        <v>4714</v>
      </c>
      <c r="B2637" s="42">
        <v>907203</v>
      </c>
      <c r="C2637" s="42" t="s">
        <v>5155</v>
      </c>
      <c r="D2637" s="86" t="s">
        <v>5302</v>
      </c>
      <c r="E2637" s="86" t="s">
        <v>501</v>
      </c>
      <c r="F2637" s="32" t="s">
        <v>1637</v>
      </c>
      <c r="G2637" s="32" t="s">
        <v>1491</v>
      </c>
      <c r="J2637" s="32" t="s">
        <v>4458</v>
      </c>
      <c r="K2637" s="32" t="s">
        <v>4459</v>
      </c>
      <c r="L2637" s="32" t="s">
        <v>4461</v>
      </c>
      <c r="M2637" s="32" t="s">
        <v>5379</v>
      </c>
      <c r="O2637" s="32">
        <v>9</v>
      </c>
      <c r="P2637" s="32">
        <v>91</v>
      </c>
      <c r="AB2637" s="12" t="s">
        <v>5386</v>
      </c>
      <c r="AD2637" s="12" t="s">
        <v>98</v>
      </c>
      <c r="AE2637" s="12" t="s">
        <v>5317</v>
      </c>
      <c r="AF2637" s="12" t="s">
        <v>2186</v>
      </c>
      <c r="AG2637" s="12" t="s">
        <v>98</v>
      </c>
      <c r="AH2637" s="12" t="s">
        <v>5314</v>
      </c>
      <c r="AN2637" s="46">
        <v>1703</v>
      </c>
      <c r="AR2637" s="34" t="s">
        <v>94</v>
      </c>
      <c r="AS2637" s="34" t="s">
        <v>94</v>
      </c>
      <c r="AU2637" s="12" t="s">
        <v>5310</v>
      </c>
    </row>
    <row r="2638" spans="1:47" ht="12" customHeight="1" x14ac:dyDescent="0.2">
      <c r="A2638" s="95" t="s">
        <v>4715</v>
      </c>
      <c r="B2638" s="42">
        <v>907303</v>
      </c>
      <c r="C2638" s="42" t="s">
        <v>5156</v>
      </c>
      <c r="D2638" s="86" t="s">
        <v>5303</v>
      </c>
      <c r="E2638" s="86" t="s">
        <v>2</v>
      </c>
      <c r="F2638" s="32" t="s">
        <v>1637</v>
      </c>
      <c r="G2638" s="32" t="s">
        <v>1568</v>
      </c>
      <c r="J2638" s="32" t="s">
        <v>4458</v>
      </c>
      <c r="K2638" s="32" t="s">
        <v>4459</v>
      </c>
      <c r="L2638" s="32" t="s">
        <v>4461</v>
      </c>
      <c r="M2638" s="32" t="s">
        <v>5379</v>
      </c>
      <c r="O2638" s="32">
        <v>9</v>
      </c>
      <c r="P2638" s="32">
        <v>91</v>
      </c>
      <c r="Y2638" s="12" t="s">
        <v>5384</v>
      </c>
      <c r="AD2638" s="12" t="s">
        <v>98</v>
      </c>
      <c r="AE2638" s="12" t="s">
        <v>5317</v>
      </c>
      <c r="AF2638" s="12" t="s">
        <v>2186</v>
      </c>
      <c r="AG2638" s="12" t="s">
        <v>98</v>
      </c>
      <c r="AH2638" s="12" t="s">
        <v>5315</v>
      </c>
      <c r="AN2638" s="46">
        <v>1703</v>
      </c>
      <c r="AU2638" s="12" t="s">
        <v>5310</v>
      </c>
    </row>
    <row r="2639" spans="1:47" ht="12" customHeight="1" x14ac:dyDescent="0.2">
      <c r="A2639" s="95" t="s">
        <v>4716</v>
      </c>
      <c r="B2639" s="42">
        <v>907403</v>
      </c>
      <c r="C2639" s="42" t="s">
        <v>5157</v>
      </c>
      <c r="D2639" s="86" t="s">
        <v>5304</v>
      </c>
      <c r="E2639" s="86" t="s">
        <v>2</v>
      </c>
      <c r="F2639" s="32" t="s">
        <v>1637</v>
      </c>
      <c r="G2639" s="32" t="s">
        <v>1587</v>
      </c>
      <c r="J2639" s="32" t="s">
        <v>4458</v>
      </c>
      <c r="K2639" s="32" t="s">
        <v>4459</v>
      </c>
      <c r="L2639" s="32" t="s">
        <v>4461</v>
      </c>
      <c r="M2639" s="32" t="s">
        <v>5379</v>
      </c>
      <c r="O2639" s="32">
        <v>9</v>
      </c>
      <c r="P2639" s="32">
        <v>91</v>
      </c>
      <c r="W2639" s="12" t="s">
        <v>5385</v>
      </c>
      <c r="X2639" s="12" t="s">
        <v>5385</v>
      </c>
      <c r="AD2639" s="12" t="s">
        <v>98</v>
      </c>
      <c r="AE2639" s="12" t="s">
        <v>5317</v>
      </c>
      <c r="AF2639" s="12" t="s">
        <v>2186</v>
      </c>
      <c r="AG2639" s="12" t="s">
        <v>98</v>
      </c>
      <c r="AH2639" s="12" t="s">
        <v>5315</v>
      </c>
      <c r="AN2639" s="46">
        <v>1703</v>
      </c>
      <c r="AU2639" s="12" t="s">
        <v>5310</v>
      </c>
    </row>
    <row r="2640" spans="1:47" ht="12" customHeight="1" x14ac:dyDescent="0.2">
      <c r="A2640" s="95" t="s">
        <v>4717</v>
      </c>
      <c r="B2640" s="42">
        <v>907503</v>
      </c>
      <c r="C2640" s="42" t="s">
        <v>5158</v>
      </c>
      <c r="D2640" s="86" t="s">
        <v>5305</v>
      </c>
      <c r="E2640" s="86" t="s">
        <v>2</v>
      </c>
      <c r="F2640" s="32" t="s">
        <v>1637</v>
      </c>
      <c r="G2640" s="32" t="s">
        <v>1606</v>
      </c>
      <c r="J2640" s="32" t="s">
        <v>4458</v>
      </c>
      <c r="K2640" s="32" t="s">
        <v>4459</v>
      </c>
      <c r="L2640" s="32" t="s">
        <v>4461</v>
      </c>
      <c r="M2640" s="32" t="s">
        <v>5379</v>
      </c>
      <c r="O2640" s="32">
        <v>9</v>
      </c>
      <c r="P2640" s="32">
        <v>91</v>
      </c>
      <c r="AB2640" s="12" t="s">
        <v>5386</v>
      </c>
      <c r="AD2640" s="12" t="s">
        <v>98</v>
      </c>
      <c r="AE2640" s="12" t="s">
        <v>5317</v>
      </c>
      <c r="AF2640" s="12" t="s">
        <v>2186</v>
      </c>
      <c r="AG2640" s="12" t="s">
        <v>98</v>
      </c>
      <c r="AH2640" s="12" t="s">
        <v>5315</v>
      </c>
      <c r="AN2640" s="46">
        <v>1703</v>
      </c>
      <c r="AU2640" s="12" t="s">
        <v>5310</v>
      </c>
    </row>
    <row r="2641" spans="1:47" ht="12" customHeight="1" x14ac:dyDescent="0.2">
      <c r="A2641" s="95" t="s">
        <v>4718</v>
      </c>
      <c r="B2641" s="42">
        <v>907603</v>
      </c>
      <c r="C2641" s="42" t="s">
        <v>5159</v>
      </c>
      <c r="D2641" s="86" t="s">
        <v>5306</v>
      </c>
      <c r="E2641" s="86" t="s">
        <v>2</v>
      </c>
      <c r="F2641" s="32" t="s">
        <v>1637</v>
      </c>
      <c r="G2641" s="32" t="s">
        <v>1625</v>
      </c>
      <c r="J2641" s="32" t="s">
        <v>4458</v>
      </c>
      <c r="K2641" s="32" t="s">
        <v>4459</v>
      </c>
      <c r="L2641" s="32" t="s">
        <v>4461</v>
      </c>
      <c r="M2641" s="32" t="s">
        <v>5379</v>
      </c>
      <c r="O2641" s="32">
        <v>9</v>
      </c>
      <c r="P2641" s="32">
        <v>91</v>
      </c>
      <c r="AA2641" s="12" t="s">
        <v>5386</v>
      </c>
      <c r="AD2641" s="12" t="s">
        <v>98</v>
      </c>
      <c r="AE2641" s="12" t="s">
        <v>5317</v>
      </c>
      <c r="AF2641" s="12" t="s">
        <v>2186</v>
      </c>
      <c r="AG2641" s="12" t="s">
        <v>98</v>
      </c>
      <c r="AH2641" s="12" t="s">
        <v>5315</v>
      </c>
      <c r="AN2641" s="46">
        <v>1703</v>
      </c>
      <c r="AU2641" s="12" t="s">
        <v>5310</v>
      </c>
    </row>
    <row r="2642" spans="1:47" ht="12" customHeight="1" x14ac:dyDescent="0.2">
      <c r="A2642" s="95" t="s">
        <v>4719</v>
      </c>
      <c r="B2642" s="42">
        <v>907703</v>
      </c>
      <c r="C2642" s="42" t="s">
        <v>5160</v>
      </c>
      <c r="D2642" s="86" t="s">
        <v>5307</v>
      </c>
      <c r="E2642" s="86" t="s">
        <v>1629</v>
      </c>
      <c r="F2642" s="32" t="s">
        <v>1637</v>
      </c>
      <c r="G2642" s="32" t="s">
        <v>1630</v>
      </c>
      <c r="J2642" s="32" t="s">
        <v>4458</v>
      </c>
      <c r="K2642" s="32" t="s">
        <v>4459</v>
      </c>
      <c r="L2642" s="32" t="s">
        <v>4461</v>
      </c>
      <c r="M2642" s="32" t="s">
        <v>5379</v>
      </c>
      <c r="O2642" s="32">
        <v>9</v>
      </c>
      <c r="P2642" s="32">
        <v>91</v>
      </c>
      <c r="Y2642" s="12" t="s">
        <v>5384</v>
      </c>
      <c r="AD2642" s="12" t="s">
        <v>98</v>
      </c>
      <c r="AE2642" s="12" t="s">
        <v>5317</v>
      </c>
      <c r="AF2642" s="12" t="s">
        <v>2186</v>
      </c>
      <c r="AG2642" s="12" t="s">
        <v>98</v>
      </c>
      <c r="AH2642" s="12" t="s">
        <v>5316</v>
      </c>
      <c r="AN2642" s="46">
        <v>1703</v>
      </c>
      <c r="AU2642" s="12" t="s">
        <v>5310</v>
      </c>
    </row>
    <row r="2643" spans="1:47" ht="12" customHeight="1" x14ac:dyDescent="0.2">
      <c r="A2643" s="10" t="s">
        <v>5664</v>
      </c>
      <c r="B2643" s="86">
        <v>47044</v>
      </c>
      <c r="C2643" s="1" t="s">
        <v>5665</v>
      </c>
      <c r="D2643" s="86" t="s">
        <v>5307</v>
      </c>
      <c r="E2643" s="86" t="s">
        <v>1629</v>
      </c>
      <c r="F2643" s="32" t="s">
        <v>312</v>
      </c>
      <c r="G2643" s="32" t="s">
        <v>1630</v>
      </c>
      <c r="O2643" s="32">
        <v>10</v>
      </c>
      <c r="P2643" s="32">
        <v>1</v>
      </c>
      <c r="AE2643" s="12"/>
      <c r="AU2643" s="108" t="s">
        <v>5666</v>
      </c>
    </row>
  </sheetData>
  <autoFilter ref="A2:BA2643" xr:uid="{38F7910B-10A4-40AF-A4A2-BCCDAE84175C}"/>
  <mergeCells count="4">
    <mergeCell ref="AI1:AM1"/>
    <mergeCell ref="AO1:AP1"/>
    <mergeCell ref="AD1:AF1"/>
    <mergeCell ref="AG1:AH1"/>
  </mergeCells>
  <phoneticPr fontId="4" type="noConversion"/>
  <conditionalFormatting sqref="A2644:A1048576 A2351:A2642 A2306:A2322 A2221:A2237 A1931:A2152 A1854:A1857 A1:A2 A1923:A1929 A1744:A1746 A36:A38 A40 A1756:A1777 A46 A519:A1736 A4:A34">
    <cfRule type="duplicateValues" dxfId="467" priority="502"/>
  </conditionalFormatting>
  <conditionalFormatting sqref="A1859:A1862">
    <cfRule type="duplicateValues" dxfId="466" priority="500"/>
  </conditionalFormatting>
  <conditionalFormatting sqref="A1858:A1862">
    <cfRule type="duplicateValues" dxfId="465" priority="499"/>
  </conditionalFormatting>
  <conditionalFormatting sqref="A1864:A1867">
    <cfRule type="duplicateValues" dxfId="464" priority="498"/>
  </conditionalFormatting>
  <conditionalFormatting sqref="A1863:A1867">
    <cfRule type="duplicateValues" dxfId="463" priority="497"/>
  </conditionalFormatting>
  <conditionalFormatting sqref="A1869:A1872">
    <cfRule type="duplicateValues" dxfId="462" priority="496"/>
  </conditionalFormatting>
  <conditionalFormatting sqref="A1868:A1872">
    <cfRule type="duplicateValues" dxfId="461" priority="495"/>
  </conditionalFormatting>
  <conditionalFormatting sqref="A1874:A1877">
    <cfRule type="duplicateValues" dxfId="460" priority="494"/>
  </conditionalFormatting>
  <conditionalFormatting sqref="A1873:A1877">
    <cfRule type="duplicateValues" dxfId="459" priority="493"/>
  </conditionalFormatting>
  <conditionalFormatting sqref="A1879:A1882">
    <cfRule type="duplicateValues" dxfId="458" priority="492"/>
  </conditionalFormatting>
  <conditionalFormatting sqref="A1878:A1882">
    <cfRule type="duplicateValues" dxfId="457" priority="491"/>
  </conditionalFormatting>
  <conditionalFormatting sqref="A1884:A1887">
    <cfRule type="duplicateValues" dxfId="456" priority="490"/>
  </conditionalFormatting>
  <conditionalFormatting sqref="A1883:A1887">
    <cfRule type="duplicateValues" dxfId="455" priority="489"/>
  </conditionalFormatting>
  <conditionalFormatting sqref="A1889:A1892">
    <cfRule type="duplicateValues" dxfId="454" priority="488"/>
  </conditionalFormatting>
  <conditionalFormatting sqref="A1894:A1897">
    <cfRule type="duplicateValues" dxfId="453" priority="486"/>
  </conditionalFormatting>
  <conditionalFormatting sqref="A1893:A1897">
    <cfRule type="duplicateValues" dxfId="452" priority="485"/>
  </conditionalFormatting>
  <conditionalFormatting sqref="A1899:A1902">
    <cfRule type="duplicateValues" dxfId="451" priority="484"/>
  </conditionalFormatting>
  <conditionalFormatting sqref="A1898:A1902">
    <cfRule type="duplicateValues" dxfId="450" priority="483"/>
  </conditionalFormatting>
  <conditionalFormatting sqref="A1904:A1907">
    <cfRule type="duplicateValues" dxfId="449" priority="482"/>
  </conditionalFormatting>
  <conditionalFormatting sqref="A1903:A1907">
    <cfRule type="duplicateValues" dxfId="448" priority="481"/>
  </conditionalFormatting>
  <conditionalFormatting sqref="A1909:A1912">
    <cfRule type="duplicateValues" dxfId="447" priority="480"/>
  </conditionalFormatting>
  <conditionalFormatting sqref="A1908:A1912">
    <cfRule type="duplicateValues" dxfId="446" priority="479"/>
  </conditionalFormatting>
  <conditionalFormatting sqref="A1914:A1917">
    <cfRule type="duplicateValues" dxfId="445" priority="478"/>
  </conditionalFormatting>
  <conditionalFormatting sqref="A1913:A1917">
    <cfRule type="duplicateValues" dxfId="444" priority="477"/>
  </conditionalFormatting>
  <conditionalFormatting sqref="A1919:A1922">
    <cfRule type="duplicateValues" dxfId="443" priority="476"/>
  </conditionalFormatting>
  <conditionalFormatting sqref="A1918:A1922">
    <cfRule type="duplicateValues" dxfId="442" priority="475"/>
  </conditionalFormatting>
  <conditionalFormatting sqref="A1737">
    <cfRule type="duplicateValues" dxfId="441" priority="474"/>
  </conditionalFormatting>
  <conditionalFormatting sqref="A1738:A1742">
    <cfRule type="duplicateValues" dxfId="440" priority="473"/>
  </conditionalFormatting>
  <conditionalFormatting sqref="A1743">
    <cfRule type="duplicateValues" dxfId="439" priority="472"/>
  </conditionalFormatting>
  <conditionalFormatting sqref="A1778:A1780">
    <cfRule type="duplicateValues" dxfId="438" priority="471"/>
  </conditionalFormatting>
  <conditionalFormatting sqref="A1781">
    <cfRule type="duplicateValues" dxfId="437" priority="470"/>
  </conditionalFormatting>
  <conditionalFormatting sqref="A35">
    <cfRule type="duplicateValues" dxfId="436" priority="469"/>
  </conditionalFormatting>
  <conditionalFormatting sqref="A39">
    <cfRule type="duplicateValues" dxfId="435" priority="468"/>
  </conditionalFormatting>
  <conditionalFormatting sqref="A47">
    <cfRule type="duplicateValues" dxfId="434" priority="467"/>
  </conditionalFormatting>
  <conditionalFormatting sqref="A1747">
    <cfRule type="duplicateValues" dxfId="433" priority="464"/>
  </conditionalFormatting>
  <conditionalFormatting sqref="A1748">
    <cfRule type="duplicateValues" dxfId="432" priority="463"/>
  </conditionalFormatting>
  <conditionalFormatting sqref="A1782:A1783">
    <cfRule type="duplicateValues" dxfId="431" priority="462"/>
  </conditionalFormatting>
  <conditionalFormatting sqref="A1784">
    <cfRule type="duplicateValues" dxfId="430" priority="461"/>
  </conditionalFormatting>
  <conditionalFormatting sqref="A93">
    <cfRule type="duplicateValues" dxfId="429" priority="460"/>
  </conditionalFormatting>
  <conditionalFormatting sqref="A42">
    <cfRule type="duplicateValues" dxfId="428" priority="459"/>
  </conditionalFormatting>
  <conditionalFormatting sqref="A45">
    <cfRule type="duplicateValues" dxfId="427" priority="458"/>
  </conditionalFormatting>
  <conditionalFormatting sqref="A48">
    <cfRule type="duplicateValues" dxfId="426" priority="457"/>
  </conditionalFormatting>
  <conditionalFormatting sqref="A1794:A1801">
    <cfRule type="duplicateValues" dxfId="425" priority="456"/>
  </conditionalFormatting>
  <conditionalFormatting sqref="A1805:A1806">
    <cfRule type="duplicateValues" dxfId="424" priority="455"/>
  </conditionalFormatting>
  <conditionalFormatting sqref="A94">
    <cfRule type="duplicateValues" dxfId="423" priority="453"/>
  </conditionalFormatting>
  <conditionalFormatting sqref="A43:A44">
    <cfRule type="duplicateValues" dxfId="422" priority="452"/>
  </conditionalFormatting>
  <conditionalFormatting sqref="A67">
    <cfRule type="duplicateValues" dxfId="421" priority="451"/>
  </conditionalFormatting>
  <conditionalFormatting sqref="A1787:A1788">
    <cfRule type="duplicateValues" dxfId="420" priority="450"/>
  </conditionalFormatting>
  <conditionalFormatting sqref="A1807">
    <cfRule type="duplicateValues" dxfId="419" priority="449"/>
  </conditionalFormatting>
  <conditionalFormatting sqref="A1808">
    <cfRule type="duplicateValues" dxfId="418" priority="448"/>
  </conditionalFormatting>
  <conditionalFormatting sqref="A65">
    <cfRule type="duplicateValues" dxfId="417" priority="447"/>
  </conditionalFormatting>
  <conditionalFormatting sqref="A66">
    <cfRule type="duplicateValues" dxfId="416" priority="446"/>
  </conditionalFormatting>
  <conditionalFormatting sqref="A68">
    <cfRule type="duplicateValues" dxfId="415" priority="445"/>
  </conditionalFormatting>
  <conditionalFormatting sqref="A1809">
    <cfRule type="duplicateValues" dxfId="414" priority="444"/>
  </conditionalFormatting>
  <conditionalFormatting sqref="A1810:A1811">
    <cfRule type="duplicateValues" dxfId="413" priority="443"/>
  </conditionalFormatting>
  <conditionalFormatting sqref="A1750:A1754">
    <cfRule type="duplicateValues" dxfId="412" priority="442"/>
  </conditionalFormatting>
  <conditionalFormatting sqref="A41">
    <cfRule type="duplicateValues" dxfId="411" priority="441"/>
  </conditionalFormatting>
  <conditionalFormatting sqref="A53">
    <cfRule type="duplicateValues" dxfId="410" priority="440"/>
  </conditionalFormatting>
  <conditionalFormatting sqref="A52">
    <cfRule type="duplicateValues" dxfId="409" priority="439"/>
  </conditionalFormatting>
  <conditionalFormatting sqref="A139:A141 A107:A137 A143 A149">
    <cfRule type="duplicateValues" dxfId="408" priority="436"/>
  </conditionalFormatting>
  <conditionalFormatting sqref="A138">
    <cfRule type="duplicateValues" dxfId="407" priority="435"/>
  </conditionalFormatting>
  <conditionalFormatting sqref="A142">
    <cfRule type="duplicateValues" dxfId="406" priority="434"/>
  </conditionalFormatting>
  <conditionalFormatting sqref="A150">
    <cfRule type="duplicateValues" dxfId="405" priority="433"/>
  </conditionalFormatting>
  <conditionalFormatting sqref="A173">
    <cfRule type="duplicateValues" dxfId="404" priority="432"/>
  </conditionalFormatting>
  <conditionalFormatting sqref="A145">
    <cfRule type="duplicateValues" dxfId="403" priority="431"/>
  </conditionalFormatting>
  <conditionalFormatting sqref="A148">
    <cfRule type="duplicateValues" dxfId="402" priority="430"/>
  </conditionalFormatting>
  <conditionalFormatting sqref="A151">
    <cfRule type="duplicateValues" dxfId="401" priority="429"/>
  </conditionalFormatting>
  <conditionalFormatting sqref="A197">
    <cfRule type="duplicateValues" dxfId="400" priority="428"/>
  </conditionalFormatting>
  <conditionalFormatting sqref="A146:A147">
    <cfRule type="duplicateValues" dxfId="399" priority="427"/>
  </conditionalFormatting>
  <conditionalFormatting sqref="A170">
    <cfRule type="duplicateValues" dxfId="398" priority="426"/>
  </conditionalFormatting>
  <conditionalFormatting sqref="A168">
    <cfRule type="duplicateValues" dxfId="397" priority="425"/>
  </conditionalFormatting>
  <conditionalFormatting sqref="A169">
    <cfRule type="duplicateValues" dxfId="396" priority="424"/>
  </conditionalFormatting>
  <conditionalFormatting sqref="A171">
    <cfRule type="duplicateValues" dxfId="395" priority="423"/>
  </conditionalFormatting>
  <conditionalFormatting sqref="A144">
    <cfRule type="duplicateValues" dxfId="394" priority="422"/>
  </conditionalFormatting>
  <conditionalFormatting sqref="A156">
    <cfRule type="duplicateValues" dxfId="393" priority="421"/>
  </conditionalFormatting>
  <conditionalFormatting sqref="A155">
    <cfRule type="duplicateValues" dxfId="392" priority="420"/>
  </conditionalFormatting>
  <conditionalFormatting sqref="A54">
    <cfRule type="duplicateValues" dxfId="391" priority="418"/>
  </conditionalFormatting>
  <conditionalFormatting sqref="A55">
    <cfRule type="duplicateValues" dxfId="390" priority="417"/>
  </conditionalFormatting>
  <conditionalFormatting sqref="A95">
    <cfRule type="duplicateValues" dxfId="389" priority="416"/>
  </conditionalFormatting>
  <conditionalFormatting sqref="A69">
    <cfRule type="duplicateValues" dxfId="388" priority="415"/>
  </conditionalFormatting>
  <conditionalFormatting sqref="A157">
    <cfRule type="duplicateValues" dxfId="387" priority="413"/>
  </conditionalFormatting>
  <conditionalFormatting sqref="A158">
    <cfRule type="duplicateValues" dxfId="386" priority="412"/>
  </conditionalFormatting>
  <conditionalFormatting sqref="A172">
    <cfRule type="duplicateValues" dxfId="385" priority="411"/>
  </conditionalFormatting>
  <conditionalFormatting sqref="A198">
    <cfRule type="duplicateValues" dxfId="384" priority="410"/>
  </conditionalFormatting>
  <conditionalFormatting sqref="A56">
    <cfRule type="duplicateValues" dxfId="383" priority="409"/>
  </conditionalFormatting>
  <conditionalFormatting sqref="A70">
    <cfRule type="duplicateValues" dxfId="382" priority="408"/>
  </conditionalFormatting>
  <conditionalFormatting sqref="A76">
    <cfRule type="duplicateValues" dxfId="381" priority="407"/>
  </conditionalFormatting>
  <conditionalFormatting sqref="A196">
    <cfRule type="duplicateValues" dxfId="380" priority="406"/>
  </conditionalFormatting>
  <conditionalFormatting sqref="A179">
    <cfRule type="duplicateValues" dxfId="379" priority="405"/>
  </conditionalFormatting>
  <conditionalFormatting sqref="A159">
    <cfRule type="duplicateValues" dxfId="378" priority="404"/>
  </conditionalFormatting>
  <conditionalFormatting sqref="A1789">
    <cfRule type="duplicateValues" dxfId="377" priority="402"/>
  </conditionalFormatting>
  <conditionalFormatting sqref="A1790">
    <cfRule type="duplicateValues" dxfId="376" priority="401"/>
  </conditionalFormatting>
  <conditionalFormatting sqref="A1785">
    <cfRule type="duplicateValues" dxfId="375" priority="400"/>
  </conditionalFormatting>
  <conditionalFormatting sqref="A1792">
    <cfRule type="duplicateValues" dxfId="374" priority="399"/>
  </conditionalFormatting>
  <conditionalFormatting sqref="A1749">
    <cfRule type="duplicateValues" dxfId="373" priority="398"/>
  </conditionalFormatting>
  <conditionalFormatting sqref="A1755">
    <cfRule type="duplicateValues" dxfId="372" priority="397"/>
  </conditionalFormatting>
  <conditionalFormatting sqref="A96">
    <cfRule type="duplicateValues" dxfId="371" priority="396"/>
  </conditionalFormatting>
  <conditionalFormatting sqref="A199">
    <cfRule type="duplicateValues" dxfId="370" priority="395"/>
  </conditionalFormatting>
  <conditionalFormatting sqref="A242:A244 A210:A240 A246 A252">
    <cfRule type="duplicateValues" dxfId="369" priority="394"/>
  </conditionalFormatting>
  <conditionalFormatting sqref="A241">
    <cfRule type="duplicateValues" dxfId="368" priority="393"/>
  </conditionalFormatting>
  <conditionalFormatting sqref="A245">
    <cfRule type="duplicateValues" dxfId="367" priority="392"/>
  </conditionalFormatting>
  <conditionalFormatting sqref="A253">
    <cfRule type="duplicateValues" dxfId="366" priority="391"/>
  </conditionalFormatting>
  <conditionalFormatting sqref="A276">
    <cfRule type="duplicateValues" dxfId="365" priority="390"/>
  </conditionalFormatting>
  <conditionalFormatting sqref="A248">
    <cfRule type="duplicateValues" dxfId="364" priority="389"/>
  </conditionalFormatting>
  <conditionalFormatting sqref="A251">
    <cfRule type="duplicateValues" dxfId="363" priority="388"/>
  </conditionalFormatting>
  <conditionalFormatting sqref="A254">
    <cfRule type="duplicateValues" dxfId="362" priority="387"/>
  </conditionalFormatting>
  <conditionalFormatting sqref="A300">
    <cfRule type="duplicateValues" dxfId="361" priority="386"/>
  </conditionalFormatting>
  <conditionalFormatting sqref="A249:A250">
    <cfRule type="duplicateValues" dxfId="360" priority="385"/>
  </conditionalFormatting>
  <conditionalFormatting sqref="A273">
    <cfRule type="duplicateValues" dxfId="359" priority="384"/>
  </conditionalFormatting>
  <conditionalFormatting sqref="A271">
    <cfRule type="duplicateValues" dxfId="358" priority="383"/>
  </conditionalFormatting>
  <conditionalFormatting sqref="A272">
    <cfRule type="duplicateValues" dxfId="357" priority="382"/>
  </conditionalFormatting>
  <conditionalFormatting sqref="A274">
    <cfRule type="duplicateValues" dxfId="356" priority="381"/>
  </conditionalFormatting>
  <conditionalFormatting sqref="A247">
    <cfRule type="duplicateValues" dxfId="355" priority="380"/>
  </conditionalFormatting>
  <conditionalFormatting sqref="A259">
    <cfRule type="duplicateValues" dxfId="354" priority="379"/>
  </conditionalFormatting>
  <conditionalFormatting sqref="A258">
    <cfRule type="duplicateValues" dxfId="353" priority="378"/>
  </conditionalFormatting>
  <conditionalFormatting sqref="A260">
    <cfRule type="duplicateValues" dxfId="352" priority="377"/>
  </conditionalFormatting>
  <conditionalFormatting sqref="A261">
    <cfRule type="duplicateValues" dxfId="351" priority="376"/>
  </conditionalFormatting>
  <conditionalFormatting sqref="A275">
    <cfRule type="duplicateValues" dxfId="350" priority="375"/>
  </conditionalFormatting>
  <conditionalFormatting sqref="A301">
    <cfRule type="duplicateValues" dxfId="349" priority="374"/>
  </conditionalFormatting>
  <conditionalFormatting sqref="A299">
    <cfRule type="duplicateValues" dxfId="348" priority="373"/>
  </conditionalFormatting>
  <conditionalFormatting sqref="A282">
    <cfRule type="duplicateValues" dxfId="347" priority="372"/>
  </conditionalFormatting>
  <conditionalFormatting sqref="A262">
    <cfRule type="duplicateValues" dxfId="346" priority="371"/>
  </conditionalFormatting>
  <conditionalFormatting sqref="A302">
    <cfRule type="duplicateValues" dxfId="345" priority="370"/>
  </conditionalFormatting>
  <conditionalFormatting sqref="A49">
    <cfRule type="duplicateValues" dxfId="344" priority="369"/>
  </conditionalFormatting>
  <conditionalFormatting sqref="A60">
    <cfRule type="duplicateValues" dxfId="343" priority="368"/>
  </conditionalFormatting>
  <conditionalFormatting sqref="A61">
    <cfRule type="duplicateValues" dxfId="342" priority="367"/>
  </conditionalFormatting>
  <conditionalFormatting sqref="A152">
    <cfRule type="duplicateValues" dxfId="341" priority="366"/>
  </conditionalFormatting>
  <conditionalFormatting sqref="A163">
    <cfRule type="duplicateValues" dxfId="340" priority="365"/>
  </conditionalFormatting>
  <conditionalFormatting sqref="A164">
    <cfRule type="duplicateValues" dxfId="339" priority="364"/>
  </conditionalFormatting>
  <conditionalFormatting sqref="A255">
    <cfRule type="duplicateValues" dxfId="338" priority="363"/>
  </conditionalFormatting>
  <conditionalFormatting sqref="A266">
    <cfRule type="duplicateValues" dxfId="337" priority="362"/>
  </conditionalFormatting>
  <conditionalFormatting sqref="A267">
    <cfRule type="duplicateValues" dxfId="336" priority="361"/>
  </conditionalFormatting>
  <conditionalFormatting sqref="A1812">
    <cfRule type="duplicateValues" dxfId="335" priority="360"/>
  </conditionalFormatting>
  <conditionalFormatting sqref="A97">
    <cfRule type="duplicateValues" dxfId="334" priority="359"/>
  </conditionalFormatting>
  <conditionalFormatting sqref="A200">
    <cfRule type="duplicateValues" dxfId="333" priority="358"/>
  </conditionalFormatting>
  <conditionalFormatting sqref="A303">
    <cfRule type="duplicateValues" dxfId="332" priority="357"/>
  </conditionalFormatting>
  <conditionalFormatting sqref="A59">
    <cfRule type="duplicateValues" dxfId="331" priority="356"/>
  </conditionalFormatting>
  <conditionalFormatting sqref="A64">
    <cfRule type="duplicateValues" dxfId="330" priority="355"/>
  </conditionalFormatting>
  <conditionalFormatting sqref="A162">
    <cfRule type="duplicateValues" dxfId="329" priority="354"/>
  </conditionalFormatting>
  <conditionalFormatting sqref="A167">
    <cfRule type="duplicateValues" dxfId="328" priority="353"/>
  </conditionalFormatting>
  <conditionalFormatting sqref="A265">
    <cfRule type="duplicateValues" dxfId="327" priority="352"/>
  </conditionalFormatting>
  <conditionalFormatting sqref="A270">
    <cfRule type="duplicateValues" dxfId="326" priority="351"/>
  </conditionalFormatting>
  <conditionalFormatting sqref="A1786">
    <cfRule type="duplicateValues" dxfId="325" priority="350"/>
  </conditionalFormatting>
  <conditionalFormatting sqref="A1791">
    <cfRule type="duplicateValues" dxfId="324" priority="349"/>
  </conditionalFormatting>
  <conditionalFormatting sqref="A1793">
    <cfRule type="duplicateValues" dxfId="323" priority="348"/>
  </conditionalFormatting>
  <conditionalFormatting sqref="A1813">
    <cfRule type="duplicateValues" dxfId="322" priority="347"/>
  </conditionalFormatting>
  <conditionalFormatting sqref="A58">
    <cfRule type="duplicateValues" dxfId="321" priority="346"/>
  </conditionalFormatting>
  <conditionalFormatting sqref="A161">
    <cfRule type="duplicateValues" dxfId="320" priority="345"/>
  </conditionalFormatting>
  <conditionalFormatting sqref="A264">
    <cfRule type="duplicateValues" dxfId="319" priority="344"/>
  </conditionalFormatting>
  <conditionalFormatting sqref="A1802:A1804">
    <cfRule type="duplicateValues" dxfId="318" priority="343"/>
  </conditionalFormatting>
  <conditionalFormatting sqref="A1814">
    <cfRule type="duplicateValues" dxfId="317" priority="342"/>
  </conditionalFormatting>
  <conditionalFormatting sqref="A1815">
    <cfRule type="duplicateValues" dxfId="316" priority="341"/>
  </conditionalFormatting>
  <conditionalFormatting sqref="A63">
    <cfRule type="duplicateValues" dxfId="315" priority="338"/>
  </conditionalFormatting>
  <conditionalFormatting sqref="A62">
    <cfRule type="duplicateValues" dxfId="314" priority="337"/>
  </conditionalFormatting>
  <conditionalFormatting sqref="A166">
    <cfRule type="duplicateValues" dxfId="313" priority="336"/>
  </conditionalFormatting>
  <conditionalFormatting sqref="A165">
    <cfRule type="duplicateValues" dxfId="312" priority="335"/>
  </conditionalFormatting>
  <conditionalFormatting sqref="A268">
    <cfRule type="duplicateValues" dxfId="311" priority="334"/>
  </conditionalFormatting>
  <conditionalFormatting sqref="A269">
    <cfRule type="duplicateValues" dxfId="310" priority="333"/>
  </conditionalFormatting>
  <conditionalFormatting sqref="A345:A347 A313:A343 A349 A355">
    <cfRule type="duplicateValues" dxfId="309" priority="332"/>
  </conditionalFormatting>
  <conditionalFormatting sqref="A344">
    <cfRule type="duplicateValues" dxfId="308" priority="331"/>
  </conditionalFormatting>
  <conditionalFormatting sqref="A348">
    <cfRule type="duplicateValues" dxfId="307" priority="330"/>
  </conditionalFormatting>
  <conditionalFormatting sqref="A356">
    <cfRule type="duplicateValues" dxfId="306" priority="329"/>
  </conditionalFormatting>
  <conditionalFormatting sqref="A379">
    <cfRule type="duplicateValues" dxfId="305" priority="328"/>
  </conditionalFormatting>
  <conditionalFormatting sqref="A351">
    <cfRule type="duplicateValues" dxfId="304" priority="327"/>
  </conditionalFormatting>
  <conditionalFormatting sqref="A354">
    <cfRule type="duplicateValues" dxfId="303" priority="326"/>
  </conditionalFormatting>
  <conditionalFormatting sqref="A357">
    <cfRule type="duplicateValues" dxfId="302" priority="325"/>
  </conditionalFormatting>
  <conditionalFormatting sqref="A403">
    <cfRule type="duplicateValues" dxfId="301" priority="324"/>
  </conditionalFormatting>
  <conditionalFormatting sqref="A352:A353">
    <cfRule type="duplicateValues" dxfId="300" priority="323"/>
  </conditionalFormatting>
  <conditionalFormatting sqref="A376">
    <cfRule type="duplicateValues" dxfId="299" priority="322"/>
  </conditionalFormatting>
  <conditionalFormatting sqref="A374">
    <cfRule type="duplicateValues" dxfId="298" priority="321"/>
  </conditionalFormatting>
  <conditionalFormatting sqref="A375">
    <cfRule type="duplicateValues" dxfId="297" priority="320"/>
  </conditionalFormatting>
  <conditionalFormatting sqref="A377">
    <cfRule type="duplicateValues" dxfId="296" priority="319"/>
  </conditionalFormatting>
  <conditionalFormatting sqref="A350">
    <cfRule type="duplicateValues" dxfId="295" priority="318"/>
  </conditionalFormatting>
  <conditionalFormatting sqref="A362">
    <cfRule type="duplicateValues" dxfId="294" priority="317"/>
  </conditionalFormatting>
  <conditionalFormatting sqref="A361">
    <cfRule type="duplicateValues" dxfId="293" priority="316"/>
  </conditionalFormatting>
  <conditionalFormatting sqref="A363">
    <cfRule type="duplicateValues" dxfId="292" priority="315"/>
  </conditionalFormatting>
  <conditionalFormatting sqref="A364">
    <cfRule type="duplicateValues" dxfId="291" priority="314"/>
  </conditionalFormatting>
  <conditionalFormatting sqref="A378">
    <cfRule type="duplicateValues" dxfId="290" priority="313"/>
  </conditionalFormatting>
  <conditionalFormatting sqref="A404">
    <cfRule type="duplicateValues" dxfId="289" priority="312"/>
  </conditionalFormatting>
  <conditionalFormatting sqref="A402">
    <cfRule type="duplicateValues" dxfId="288" priority="311"/>
  </conditionalFormatting>
  <conditionalFormatting sqref="A385">
    <cfRule type="duplicateValues" dxfId="287" priority="310"/>
  </conditionalFormatting>
  <conditionalFormatting sqref="A365">
    <cfRule type="duplicateValues" dxfId="286" priority="309"/>
  </conditionalFormatting>
  <conditionalFormatting sqref="A405">
    <cfRule type="duplicateValues" dxfId="285" priority="308"/>
  </conditionalFormatting>
  <conditionalFormatting sqref="A358">
    <cfRule type="duplicateValues" dxfId="284" priority="307"/>
  </conditionalFormatting>
  <conditionalFormatting sqref="A369">
    <cfRule type="duplicateValues" dxfId="283" priority="306"/>
  </conditionalFormatting>
  <conditionalFormatting sqref="A370">
    <cfRule type="duplicateValues" dxfId="282" priority="305"/>
  </conditionalFormatting>
  <conditionalFormatting sqref="A406">
    <cfRule type="duplicateValues" dxfId="281" priority="304"/>
  </conditionalFormatting>
  <conditionalFormatting sqref="A368">
    <cfRule type="duplicateValues" dxfId="280" priority="303"/>
  </conditionalFormatting>
  <conditionalFormatting sqref="A373">
    <cfRule type="duplicateValues" dxfId="279" priority="302"/>
  </conditionalFormatting>
  <conditionalFormatting sqref="A367">
    <cfRule type="duplicateValues" dxfId="278" priority="301"/>
  </conditionalFormatting>
  <conditionalFormatting sqref="A371">
    <cfRule type="duplicateValues" dxfId="277" priority="300"/>
  </conditionalFormatting>
  <conditionalFormatting sqref="A372">
    <cfRule type="duplicateValues" dxfId="276" priority="299"/>
  </conditionalFormatting>
  <conditionalFormatting sqref="A201">
    <cfRule type="duplicateValues" dxfId="275" priority="298"/>
  </conditionalFormatting>
  <conditionalFormatting sqref="A98">
    <cfRule type="duplicateValues" dxfId="274" priority="297"/>
  </conditionalFormatting>
  <conditionalFormatting sqref="A304">
    <cfRule type="duplicateValues" dxfId="273" priority="296"/>
  </conditionalFormatting>
  <conditionalFormatting sqref="A407">
    <cfRule type="duplicateValues" dxfId="272" priority="295"/>
  </conditionalFormatting>
  <conditionalFormatting sqref="A1825">
    <cfRule type="duplicateValues" dxfId="271" priority="294"/>
  </conditionalFormatting>
  <conditionalFormatting sqref="A1816">
    <cfRule type="duplicateValues" dxfId="270" priority="293"/>
  </conditionalFormatting>
  <conditionalFormatting sqref="A1817">
    <cfRule type="duplicateValues" dxfId="269" priority="292"/>
  </conditionalFormatting>
  <conditionalFormatting sqref="A1818">
    <cfRule type="duplicateValues" dxfId="268" priority="291"/>
  </conditionalFormatting>
  <conditionalFormatting sqref="A1824">
    <cfRule type="duplicateValues" dxfId="267" priority="290"/>
  </conditionalFormatting>
  <conditionalFormatting sqref="A1823">
    <cfRule type="duplicateValues" dxfId="266" priority="289"/>
  </conditionalFormatting>
  <conditionalFormatting sqref="A1822">
    <cfRule type="duplicateValues" dxfId="265" priority="288"/>
  </conditionalFormatting>
  <conditionalFormatting sqref="A1826">
    <cfRule type="duplicateValues" dxfId="264" priority="287"/>
  </conditionalFormatting>
  <conditionalFormatting sqref="A71">
    <cfRule type="duplicateValues" dxfId="263" priority="286"/>
  </conditionalFormatting>
  <conditionalFormatting sqref="A174">
    <cfRule type="duplicateValues" dxfId="262" priority="285"/>
  </conditionalFormatting>
  <conditionalFormatting sqref="A277">
    <cfRule type="duplicateValues" dxfId="261" priority="284"/>
  </conditionalFormatting>
  <conditionalFormatting sqref="A380">
    <cfRule type="duplicateValues" dxfId="260" priority="283"/>
  </conditionalFormatting>
  <conditionalFormatting sqref="A1819">
    <cfRule type="duplicateValues" dxfId="259" priority="282"/>
  </conditionalFormatting>
  <conditionalFormatting sqref="A1820">
    <cfRule type="duplicateValues" dxfId="258" priority="281"/>
  </conditionalFormatting>
  <conditionalFormatting sqref="A1821">
    <cfRule type="duplicateValues" dxfId="257" priority="280"/>
  </conditionalFormatting>
  <conditionalFormatting sqref="A1827">
    <cfRule type="duplicateValues" dxfId="256" priority="279"/>
  </conditionalFormatting>
  <conditionalFormatting sqref="A72">
    <cfRule type="duplicateValues" dxfId="255" priority="277"/>
  </conditionalFormatting>
  <conditionalFormatting sqref="A175">
    <cfRule type="duplicateValues" dxfId="254" priority="276"/>
  </conditionalFormatting>
  <conditionalFormatting sqref="A278">
    <cfRule type="duplicateValues" dxfId="253" priority="275"/>
  </conditionalFormatting>
  <conditionalFormatting sqref="A381">
    <cfRule type="duplicateValues" dxfId="252" priority="274"/>
  </conditionalFormatting>
  <conditionalFormatting sqref="A1849">
    <cfRule type="duplicateValues" dxfId="251" priority="273"/>
  </conditionalFormatting>
  <conditionalFormatting sqref="A1850">
    <cfRule type="duplicateValues" dxfId="250" priority="272"/>
  </conditionalFormatting>
  <conditionalFormatting sqref="A57">
    <cfRule type="duplicateValues" dxfId="249" priority="271"/>
  </conditionalFormatting>
  <conditionalFormatting sqref="A160">
    <cfRule type="duplicateValues" dxfId="248" priority="270"/>
  </conditionalFormatting>
  <conditionalFormatting sqref="A263">
    <cfRule type="duplicateValues" dxfId="247" priority="269"/>
  </conditionalFormatting>
  <conditionalFormatting sqref="A366">
    <cfRule type="duplicateValues" dxfId="246" priority="268"/>
  </conditionalFormatting>
  <conditionalFormatting sqref="A448:A450 A416:A446 A452 A458">
    <cfRule type="duplicateValues" dxfId="245" priority="267"/>
  </conditionalFormatting>
  <conditionalFormatting sqref="A447">
    <cfRule type="duplicateValues" dxfId="244" priority="266"/>
  </conditionalFormatting>
  <conditionalFormatting sqref="A451">
    <cfRule type="duplicateValues" dxfId="243" priority="265"/>
  </conditionalFormatting>
  <conditionalFormatting sqref="A459">
    <cfRule type="duplicateValues" dxfId="242" priority="264"/>
  </conditionalFormatting>
  <conditionalFormatting sqref="A482">
    <cfRule type="duplicateValues" dxfId="241" priority="263"/>
  </conditionalFormatting>
  <conditionalFormatting sqref="A454">
    <cfRule type="duplicateValues" dxfId="240" priority="262"/>
  </conditionalFormatting>
  <conditionalFormatting sqref="A457">
    <cfRule type="duplicateValues" dxfId="239" priority="261"/>
  </conditionalFormatting>
  <conditionalFormatting sqref="A460">
    <cfRule type="duplicateValues" dxfId="238" priority="260"/>
  </conditionalFormatting>
  <conditionalFormatting sqref="A506">
    <cfRule type="duplicateValues" dxfId="237" priority="259"/>
  </conditionalFormatting>
  <conditionalFormatting sqref="A455:A456">
    <cfRule type="duplicateValues" dxfId="236" priority="258"/>
  </conditionalFormatting>
  <conditionalFormatting sqref="A479">
    <cfRule type="duplicateValues" dxfId="235" priority="257"/>
  </conditionalFormatting>
  <conditionalFormatting sqref="A477">
    <cfRule type="duplicateValues" dxfId="234" priority="256"/>
  </conditionalFormatting>
  <conditionalFormatting sqref="A478">
    <cfRule type="duplicateValues" dxfId="233" priority="255"/>
  </conditionalFormatting>
  <conditionalFormatting sqref="A480">
    <cfRule type="duplicateValues" dxfId="232" priority="254"/>
  </conditionalFormatting>
  <conditionalFormatting sqref="A453">
    <cfRule type="duplicateValues" dxfId="231" priority="253"/>
  </conditionalFormatting>
  <conditionalFormatting sqref="A465">
    <cfRule type="duplicateValues" dxfId="230" priority="252"/>
  </conditionalFormatting>
  <conditionalFormatting sqref="A464">
    <cfRule type="duplicateValues" dxfId="229" priority="251"/>
  </conditionalFormatting>
  <conditionalFormatting sqref="A466">
    <cfRule type="duplicateValues" dxfId="228" priority="250"/>
  </conditionalFormatting>
  <conditionalFormatting sqref="A467">
    <cfRule type="duplicateValues" dxfId="227" priority="249"/>
  </conditionalFormatting>
  <conditionalFormatting sqref="A481">
    <cfRule type="duplicateValues" dxfId="226" priority="248"/>
  </conditionalFormatting>
  <conditionalFormatting sqref="A507">
    <cfRule type="duplicateValues" dxfId="225" priority="247"/>
  </conditionalFormatting>
  <conditionalFormatting sqref="A505">
    <cfRule type="duplicateValues" dxfId="224" priority="246"/>
  </conditionalFormatting>
  <conditionalFormatting sqref="A488">
    <cfRule type="duplicateValues" dxfId="223" priority="245"/>
  </conditionalFormatting>
  <conditionalFormatting sqref="A468">
    <cfRule type="duplicateValues" dxfId="222" priority="244"/>
  </conditionalFormatting>
  <conditionalFormatting sqref="A508">
    <cfRule type="duplicateValues" dxfId="221" priority="243"/>
  </conditionalFormatting>
  <conditionalFormatting sqref="A461">
    <cfRule type="duplicateValues" dxfId="220" priority="242"/>
  </conditionalFormatting>
  <conditionalFormatting sqref="A472">
    <cfRule type="duplicateValues" dxfId="219" priority="241"/>
  </conditionalFormatting>
  <conditionalFormatting sqref="A473">
    <cfRule type="duplicateValues" dxfId="218" priority="240"/>
  </conditionalFormatting>
  <conditionalFormatting sqref="A509">
    <cfRule type="duplicateValues" dxfId="217" priority="239"/>
  </conditionalFormatting>
  <conditionalFormatting sqref="A471">
    <cfRule type="duplicateValues" dxfId="216" priority="238"/>
  </conditionalFormatting>
  <conditionalFormatting sqref="A476">
    <cfRule type="duplicateValues" dxfId="215" priority="237"/>
  </conditionalFormatting>
  <conditionalFormatting sqref="A470">
    <cfRule type="duplicateValues" dxfId="214" priority="236"/>
  </conditionalFormatting>
  <conditionalFormatting sqref="A474">
    <cfRule type="duplicateValues" dxfId="213" priority="235"/>
  </conditionalFormatting>
  <conditionalFormatting sqref="A475">
    <cfRule type="duplicateValues" dxfId="212" priority="234"/>
  </conditionalFormatting>
  <conditionalFormatting sqref="A510">
    <cfRule type="duplicateValues" dxfId="211" priority="233"/>
  </conditionalFormatting>
  <conditionalFormatting sqref="A483">
    <cfRule type="duplicateValues" dxfId="210" priority="232"/>
  </conditionalFormatting>
  <conditionalFormatting sqref="A484">
    <cfRule type="duplicateValues" dxfId="209" priority="231"/>
  </conditionalFormatting>
  <conditionalFormatting sqref="A469">
    <cfRule type="duplicateValues" dxfId="208" priority="230"/>
  </conditionalFormatting>
  <conditionalFormatting sqref="A90">
    <cfRule type="duplicateValues" dxfId="207" priority="229"/>
  </conditionalFormatting>
  <conditionalFormatting sqref="A193">
    <cfRule type="duplicateValues" dxfId="206" priority="228"/>
  </conditionalFormatting>
  <conditionalFormatting sqref="A296">
    <cfRule type="duplicateValues" dxfId="205" priority="227"/>
  </conditionalFormatting>
  <conditionalFormatting sqref="A399">
    <cfRule type="duplicateValues" dxfId="204" priority="226"/>
  </conditionalFormatting>
  <conditionalFormatting sqref="A502">
    <cfRule type="duplicateValues" dxfId="203" priority="225"/>
  </conditionalFormatting>
  <conditionalFormatting sqref="A511">
    <cfRule type="duplicateValues" dxfId="202" priority="224"/>
  </conditionalFormatting>
  <conditionalFormatting sqref="A408">
    <cfRule type="duplicateValues" dxfId="201" priority="223"/>
  </conditionalFormatting>
  <conditionalFormatting sqref="A305">
    <cfRule type="duplicateValues" dxfId="200" priority="222"/>
  </conditionalFormatting>
  <conditionalFormatting sqref="A202">
    <cfRule type="duplicateValues" dxfId="199" priority="221"/>
  </conditionalFormatting>
  <conditionalFormatting sqref="A2323:A2339">
    <cfRule type="duplicateValues" dxfId="198" priority="213"/>
  </conditionalFormatting>
  <conditionalFormatting sqref="A2323:A2339">
    <cfRule type="duplicateValues" dxfId="197" priority="214"/>
  </conditionalFormatting>
  <conditionalFormatting sqref="A2217">
    <cfRule type="duplicateValues" dxfId="196" priority="211"/>
  </conditionalFormatting>
  <conditionalFormatting sqref="A2207:A2216">
    <cfRule type="duplicateValues" dxfId="195" priority="210"/>
  </conditionalFormatting>
  <conditionalFormatting sqref="A2206">
    <cfRule type="duplicateValues" dxfId="194" priority="209"/>
  </conditionalFormatting>
  <conditionalFormatting sqref="A2196:A2205">
    <cfRule type="duplicateValues" dxfId="193" priority="208"/>
  </conditionalFormatting>
  <conditionalFormatting sqref="A2195">
    <cfRule type="duplicateValues" dxfId="192" priority="207"/>
  </conditionalFormatting>
  <conditionalFormatting sqref="A2185:A2194">
    <cfRule type="duplicateValues" dxfId="191" priority="206"/>
  </conditionalFormatting>
  <conditionalFormatting sqref="A2184">
    <cfRule type="duplicateValues" dxfId="190" priority="205"/>
  </conditionalFormatting>
  <conditionalFormatting sqref="A2174:A2183">
    <cfRule type="duplicateValues" dxfId="189" priority="204"/>
  </conditionalFormatting>
  <conditionalFormatting sqref="A2173">
    <cfRule type="duplicateValues" dxfId="188" priority="203"/>
  </conditionalFormatting>
  <conditionalFormatting sqref="A2163:A2172">
    <cfRule type="duplicateValues" dxfId="187" priority="202"/>
  </conditionalFormatting>
  <conditionalFormatting sqref="A2153:A2162">
    <cfRule type="duplicateValues" dxfId="186" priority="201"/>
  </conditionalFormatting>
  <conditionalFormatting sqref="A2218:A2220">
    <cfRule type="duplicateValues" dxfId="185" priority="516"/>
  </conditionalFormatting>
  <conditionalFormatting sqref="A2302">
    <cfRule type="duplicateValues" dxfId="184" priority="199"/>
  </conditionalFormatting>
  <conditionalFormatting sqref="A2292:A2301">
    <cfRule type="duplicateValues" dxfId="183" priority="198"/>
  </conditionalFormatting>
  <conditionalFormatting sqref="A2291">
    <cfRule type="duplicateValues" dxfId="182" priority="197"/>
  </conditionalFormatting>
  <conditionalFormatting sqref="A2281:A2290">
    <cfRule type="duplicateValues" dxfId="181" priority="196"/>
  </conditionalFormatting>
  <conditionalFormatting sqref="A2280">
    <cfRule type="duplicateValues" dxfId="180" priority="195"/>
  </conditionalFormatting>
  <conditionalFormatting sqref="A2270:A2279">
    <cfRule type="duplicateValues" dxfId="179" priority="194"/>
  </conditionalFormatting>
  <conditionalFormatting sqref="A2269">
    <cfRule type="duplicateValues" dxfId="178" priority="193"/>
  </conditionalFormatting>
  <conditionalFormatting sqref="A2259:A2268">
    <cfRule type="duplicateValues" dxfId="177" priority="192"/>
  </conditionalFormatting>
  <conditionalFormatting sqref="A2258">
    <cfRule type="duplicateValues" dxfId="176" priority="191"/>
  </conditionalFormatting>
  <conditionalFormatting sqref="A2248:A2257">
    <cfRule type="duplicateValues" dxfId="175" priority="190"/>
  </conditionalFormatting>
  <conditionalFormatting sqref="A2238:A2247">
    <cfRule type="duplicateValues" dxfId="174" priority="189"/>
  </conditionalFormatting>
  <conditionalFormatting sqref="A2303:A2305">
    <cfRule type="duplicateValues" dxfId="173" priority="200"/>
  </conditionalFormatting>
  <conditionalFormatting sqref="A1828">
    <cfRule type="duplicateValues" dxfId="172" priority="188"/>
  </conditionalFormatting>
  <conditionalFormatting sqref="A81">
    <cfRule type="duplicateValues" dxfId="171" priority="187"/>
  </conditionalFormatting>
  <conditionalFormatting sqref="A184">
    <cfRule type="duplicateValues" dxfId="170" priority="186"/>
  </conditionalFormatting>
  <conditionalFormatting sqref="A287">
    <cfRule type="duplicateValues" dxfId="169" priority="185"/>
  </conditionalFormatting>
  <conditionalFormatting sqref="A390">
    <cfRule type="duplicateValues" dxfId="168" priority="184"/>
  </conditionalFormatting>
  <conditionalFormatting sqref="A493">
    <cfRule type="duplicateValues" dxfId="167" priority="183"/>
  </conditionalFormatting>
  <conditionalFormatting sqref="A50">
    <cfRule type="duplicateValues" dxfId="166" priority="182"/>
  </conditionalFormatting>
  <conditionalFormatting sqref="A153">
    <cfRule type="duplicateValues" dxfId="165" priority="181"/>
  </conditionalFormatting>
  <conditionalFormatting sqref="A256">
    <cfRule type="duplicateValues" dxfId="164" priority="180"/>
  </conditionalFormatting>
  <conditionalFormatting sqref="A359">
    <cfRule type="duplicateValues" dxfId="163" priority="179"/>
  </conditionalFormatting>
  <conditionalFormatting sqref="A462">
    <cfRule type="duplicateValues" dxfId="162" priority="178"/>
  </conditionalFormatting>
  <conditionalFormatting sqref="A1829">
    <cfRule type="duplicateValues" dxfId="161" priority="177"/>
  </conditionalFormatting>
  <conditionalFormatting sqref="A73">
    <cfRule type="duplicateValues" dxfId="160" priority="176"/>
  </conditionalFormatting>
  <conditionalFormatting sqref="A176">
    <cfRule type="duplicateValues" dxfId="159" priority="175"/>
  </conditionalFormatting>
  <conditionalFormatting sqref="A279">
    <cfRule type="duplicateValues" dxfId="158" priority="174"/>
  </conditionalFormatting>
  <conditionalFormatting sqref="A382">
    <cfRule type="duplicateValues" dxfId="157" priority="173"/>
  </conditionalFormatting>
  <conditionalFormatting sqref="A485">
    <cfRule type="duplicateValues" dxfId="156" priority="172"/>
  </conditionalFormatting>
  <conditionalFormatting sqref="A1830">
    <cfRule type="duplicateValues" dxfId="155" priority="170"/>
  </conditionalFormatting>
  <conditionalFormatting sqref="A99">
    <cfRule type="duplicateValues" dxfId="154" priority="169"/>
  </conditionalFormatting>
  <conditionalFormatting sqref="A78">
    <cfRule type="duplicateValues" dxfId="153" priority="168"/>
  </conditionalFormatting>
  <conditionalFormatting sqref="A181">
    <cfRule type="duplicateValues" dxfId="152" priority="167"/>
  </conditionalFormatting>
  <conditionalFormatting sqref="A284">
    <cfRule type="duplicateValues" dxfId="151" priority="166"/>
  </conditionalFormatting>
  <conditionalFormatting sqref="A387">
    <cfRule type="duplicateValues" dxfId="150" priority="165"/>
  </conditionalFormatting>
  <conditionalFormatting sqref="A490">
    <cfRule type="duplicateValues" dxfId="149" priority="164"/>
  </conditionalFormatting>
  <conditionalFormatting sqref="A74">
    <cfRule type="duplicateValues" dxfId="148" priority="163"/>
  </conditionalFormatting>
  <conditionalFormatting sqref="A177">
    <cfRule type="duplicateValues" dxfId="147" priority="162"/>
  </conditionalFormatting>
  <conditionalFormatting sqref="A280">
    <cfRule type="duplicateValues" dxfId="146" priority="161"/>
  </conditionalFormatting>
  <conditionalFormatting sqref="A383">
    <cfRule type="duplicateValues" dxfId="145" priority="160"/>
  </conditionalFormatting>
  <conditionalFormatting sqref="A486">
    <cfRule type="duplicateValues" dxfId="144" priority="159"/>
  </conditionalFormatting>
  <conditionalFormatting sqref="A100">
    <cfRule type="duplicateValues" dxfId="143" priority="158"/>
  </conditionalFormatting>
  <conditionalFormatting sqref="A203">
    <cfRule type="duplicateValues" dxfId="142" priority="157"/>
  </conditionalFormatting>
  <conditionalFormatting sqref="A306">
    <cfRule type="duplicateValues" dxfId="141" priority="156"/>
  </conditionalFormatting>
  <conditionalFormatting sqref="A409">
    <cfRule type="duplicateValues" dxfId="140" priority="155"/>
  </conditionalFormatting>
  <conditionalFormatting sqref="A512">
    <cfRule type="duplicateValues" dxfId="139" priority="154"/>
  </conditionalFormatting>
  <conditionalFormatting sqref="A1831">
    <cfRule type="duplicateValues" dxfId="138" priority="153"/>
  </conditionalFormatting>
  <conditionalFormatting sqref="A1832">
    <cfRule type="duplicateValues" dxfId="137" priority="152"/>
  </conditionalFormatting>
  <conditionalFormatting sqref="A1833">
    <cfRule type="duplicateValues" dxfId="136" priority="151"/>
  </conditionalFormatting>
  <conditionalFormatting sqref="A1834">
    <cfRule type="duplicateValues" dxfId="135" priority="150"/>
  </conditionalFormatting>
  <conditionalFormatting sqref="A101">
    <cfRule type="duplicateValues" dxfId="134" priority="149"/>
  </conditionalFormatting>
  <conditionalFormatting sqref="A204">
    <cfRule type="duplicateValues" dxfId="133" priority="148"/>
  </conditionalFormatting>
  <conditionalFormatting sqref="A307">
    <cfRule type="duplicateValues" dxfId="132" priority="147"/>
  </conditionalFormatting>
  <conditionalFormatting sqref="A410">
    <cfRule type="duplicateValues" dxfId="131" priority="146"/>
  </conditionalFormatting>
  <conditionalFormatting sqref="A513">
    <cfRule type="duplicateValues" dxfId="130" priority="145"/>
  </conditionalFormatting>
  <conditionalFormatting sqref="A51">
    <cfRule type="duplicateValues" dxfId="129" priority="144"/>
  </conditionalFormatting>
  <conditionalFormatting sqref="A154">
    <cfRule type="duplicateValues" dxfId="128" priority="143"/>
  </conditionalFormatting>
  <conditionalFormatting sqref="A257">
    <cfRule type="duplicateValues" dxfId="127" priority="142"/>
  </conditionalFormatting>
  <conditionalFormatting sqref="A360">
    <cfRule type="duplicateValues" dxfId="126" priority="141"/>
  </conditionalFormatting>
  <conditionalFormatting sqref="A463">
    <cfRule type="duplicateValues" dxfId="125" priority="140"/>
  </conditionalFormatting>
  <conditionalFormatting sqref="A1835">
    <cfRule type="duplicateValues" dxfId="124" priority="139"/>
  </conditionalFormatting>
  <conditionalFormatting sqref="A1836">
    <cfRule type="duplicateValues" dxfId="123" priority="138"/>
  </conditionalFormatting>
  <conditionalFormatting sqref="A75">
    <cfRule type="duplicateValues" dxfId="122" priority="137"/>
  </conditionalFormatting>
  <conditionalFormatting sqref="A178">
    <cfRule type="duplicateValues" dxfId="121" priority="136"/>
  </conditionalFormatting>
  <conditionalFormatting sqref="A281">
    <cfRule type="duplicateValues" dxfId="120" priority="135"/>
  </conditionalFormatting>
  <conditionalFormatting sqref="A384">
    <cfRule type="duplicateValues" dxfId="119" priority="134"/>
  </conditionalFormatting>
  <conditionalFormatting sqref="A487">
    <cfRule type="duplicateValues" dxfId="118" priority="133"/>
  </conditionalFormatting>
  <conditionalFormatting sqref="A1837">
    <cfRule type="duplicateValues" dxfId="117" priority="132"/>
  </conditionalFormatting>
  <conditionalFormatting sqref="A77">
    <cfRule type="duplicateValues" dxfId="116" priority="131"/>
  </conditionalFormatting>
  <conditionalFormatting sqref="A180">
    <cfRule type="duplicateValues" dxfId="115" priority="130"/>
  </conditionalFormatting>
  <conditionalFormatting sqref="A283">
    <cfRule type="duplicateValues" dxfId="114" priority="129"/>
  </conditionalFormatting>
  <conditionalFormatting sqref="A386">
    <cfRule type="duplicateValues" dxfId="113" priority="128"/>
  </conditionalFormatting>
  <conditionalFormatting sqref="A489">
    <cfRule type="duplicateValues" dxfId="112" priority="127"/>
  </conditionalFormatting>
  <conditionalFormatting sqref="A79">
    <cfRule type="duplicateValues" dxfId="111" priority="126"/>
  </conditionalFormatting>
  <conditionalFormatting sqref="A182">
    <cfRule type="duplicateValues" dxfId="110" priority="125"/>
  </conditionalFormatting>
  <conditionalFormatting sqref="A285">
    <cfRule type="duplicateValues" dxfId="109" priority="124"/>
  </conditionalFormatting>
  <conditionalFormatting sqref="A388">
    <cfRule type="duplicateValues" dxfId="108" priority="123"/>
  </conditionalFormatting>
  <conditionalFormatting sqref="A491">
    <cfRule type="duplicateValues" dxfId="107" priority="122"/>
  </conditionalFormatting>
  <conditionalFormatting sqref="A1930">
    <cfRule type="duplicateValues" dxfId="106" priority="529"/>
  </conditionalFormatting>
  <conditionalFormatting sqref="A1888:A1892">
    <cfRule type="duplicateValues" dxfId="105" priority="542"/>
  </conditionalFormatting>
  <conditionalFormatting sqref="A1853:A1857">
    <cfRule type="duplicateValues" dxfId="104" priority="555"/>
  </conditionalFormatting>
  <conditionalFormatting sqref="A80">
    <cfRule type="duplicateValues" dxfId="103" priority="121"/>
  </conditionalFormatting>
  <conditionalFormatting sqref="A183">
    <cfRule type="duplicateValues" dxfId="102" priority="120"/>
  </conditionalFormatting>
  <conditionalFormatting sqref="A286">
    <cfRule type="duplicateValues" dxfId="101" priority="119"/>
  </conditionalFormatting>
  <conditionalFormatting sqref="A389">
    <cfRule type="duplicateValues" dxfId="100" priority="118"/>
  </conditionalFormatting>
  <conditionalFormatting sqref="A492">
    <cfRule type="duplicateValues" dxfId="99" priority="117"/>
  </conditionalFormatting>
  <conditionalFormatting sqref="A1838">
    <cfRule type="duplicateValues" dxfId="98" priority="116"/>
  </conditionalFormatting>
  <conditionalFormatting sqref="A1839:A1840">
    <cfRule type="duplicateValues" dxfId="97" priority="115"/>
  </conditionalFormatting>
  <conditionalFormatting sqref="A82">
    <cfRule type="duplicateValues" dxfId="96" priority="114"/>
  </conditionalFormatting>
  <conditionalFormatting sqref="A185">
    <cfRule type="duplicateValues" dxfId="95" priority="113"/>
  </conditionalFormatting>
  <conditionalFormatting sqref="A288">
    <cfRule type="duplicateValues" dxfId="94" priority="112"/>
  </conditionalFormatting>
  <conditionalFormatting sqref="A391">
    <cfRule type="duplicateValues" dxfId="93" priority="111"/>
  </conditionalFormatting>
  <conditionalFormatting sqref="A494">
    <cfRule type="duplicateValues" dxfId="92" priority="110"/>
  </conditionalFormatting>
  <conditionalFormatting sqref="A1841">
    <cfRule type="duplicateValues" dxfId="91" priority="569"/>
  </conditionalFormatting>
  <conditionalFormatting sqref="A87">
    <cfRule type="duplicateValues" dxfId="90" priority="108"/>
  </conditionalFormatting>
  <conditionalFormatting sqref="A190">
    <cfRule type="duplicateValues" dxfId="89" priority="107"/>
  </conditionalFormatting>
  <conditionalFormatting sqref="A293">
    <cfRule type="duplicateValues" dxfId="88" priority="106"/>
  </conditionalFormatting>
  <conditionalFormatting sqref="A396">
    <cfRule type="duplicateValues" dxfId="87" priority="105"/>
  </conditionalFormatting>
  <conditionalFormatting sqref="A499">
    <cfRule type="duplicateValues" dxfId="86" priority="104"/>
  </conditionalFormatting>
  <conditionalFormatting sqref="A88">
    <cfRule type="duplicateValues" dxfId="85" priority="103"/>
  </conditionalFormatting>
  <conditionalFormatting sqref="A191">
    <cfRule type="duplicateValues" dxfId="84" priority="102"/>
  </conditionalFormatting>
  <conditionalFormatting sqref="A294">
    <cfRule type="duplicateValues" dxfId="83" priority="101"/>
  </conditionalFormatting>
  <conditionalFormatting sqref="A397">
    <cfRule type="duplicateValues" dxfId="82" priority="100"/>
  </conditionalFormatting>
  <conditionalFormatting sqref="A500">
    <cfRule type="duplicateValues" dxfId="81" priority="99"/>
  </conditionalFormatting>
  <conditionalFormatting sqref="A84">
    <cfRule type="duplicateValues" dxfId="80" priority="98"/>
  </conditionalFormatting>
  <conditionalFormatting sqref="A187">
    <cfRule type="duplicateValues" dxfId="79" priority="97"/>
  </conditionalFormatting>
  <conditionalFormatting sqref="A290">
    <cfRule type="duplicateValues" dxfId="78" priority="96"/>
  </conditionalFormatting>
  <conditionalFormatting sqref="A393">
    <cfRule type="duplicateValues" dxfId="77" priority="95"/>
  </conditionalFormatting>
  <conditionalFormatting sqref="A496">
    <cfRule type="duplicateValues" dxfId="76" priority="94"/>
  </conditionalFormatting>
  <conditionalFormatting sqref="A102">
    <cfRule type="duplicateValues" dxfId="75" priority="93"/>
  </conditionalFormatting>
  <conditionalFormatting sqref="A205">
    <cfRule type="duplicateValues" dxfId="74" priority="92"/>
  </conditionalFormatting>
  <conditionalFormatting sqref="A308">
    <cfRule type="duplicateValues" dxfId="73" priority="91"/>
  </conditionalFormatting>
  <conditionalFormatting sqref="A411">
    <cfRule type="duplicateValues" dxfId="72" priority="90"/>
  </conditionalFormatting>
  <conditionalFormatting sqref="A514">
    <cfRule type="duplicateValues" dxfId="71" priority="89"/>
  </conditionalFormatting>
  <conditionalFormatting sqref="A1842">
    <cfRule type="duplicateValues" dxfId="70" priority="88"/>
  </conditionalFormatting>
  <conditionalFormatting sqref="A2349">
    <cfRule type="duplicateValues" dxfId="69" priority="87"/>
  </conditionalFormatting>
  <conditionalFormatting sqref="A2350">
    <cfRule type="duplicateValues" dxfId="68" priority="86"/>
  </conditionalFormatting>
  <conditionalFormatting sqref="B2349">
    <cfRule type="duplicateValues" dxfId="67" priority="85"/>
  </conditionalFormatting>
  <conditionalFormatting sqref="B2349">
    <cfRule type="duplicateValues" dxfId="66" priority="84"/>
  </conditionalFormatting>
  <conditionalFormatting sqref="B2350">
    <cfRule type="duplicateValues" dxfId="65" priority="83"/>
  </conditionalFormatting>
  <conditionalFormatting sqref="B2350">
    <cfRule type="duplicateValues" dxfId="64" priority="82"/>
  </conditionalFormatting>
  <conditionalFormatting sqref="A2340:A2347">
    <cfRule type="duplicateValues" dxfId="63" priority="80"/>
  </conditionalFormatting>
  <conditionalFormatting sqref="A2340:A2347">
    <cfRule type="duplicateValues" dxfId="62" priority="81"/>
  </conditionalFormatting>
  <conditionalFormatting sqref="A2348">
    <cfRule type="duplicateValues" dxfId="61" priority="78"/>
  </conditionalFormatting>
  <conditionalFormatting sqref="A2348">
    <cfRule type="duplicateValues" dxfId="60" priority="79"/>
  </conditionalFormatting>
  <conditionalFormatting sqref="A85">
    <cfRule type="duplicateValues" dxfId="59" priority="73"/>
  </conditionalFormatting>
  <conditionalFormatting sqref="A188">
    <cfRule type="duplicateValues" dxfId="58" priority="72"/>
  </conditionalFormatting>
  <conditionalFormatting sqref="A291">
    <cfRule type="duplicateValues" dxfId="57" priority="71"/>
  </conditionalFormatting>
  <conditionalFormatting sqref="A394">
    <cfRule type="duplicateValues" dxfId="56" priority="70"/>
  </conditionalFormatting>
  <conditionalFormatting sqref="A497">
    <cfRule type="duplicateValues" dxfId="55" priority="69"/>
  </conditionalFormatting>
  <conditionalFormatting sqref="A86">
    <cfRule type="duplicateValues" dxfId="54" priority="68"/>
  </conditionalFormatting>
  <conditionalFormatting sqref="A189">
    <cfRule type="duplicateValues" dxfId="53" priority="67"/>
  </conditionalFormatting>
  <conditionalFormatting sqref="A292">
    <cfRule type="duplicateValues" dxfId="52" priority="66"/>
  </conditionalFormatting>
  <conditionalFormatting sqref="A395">
    <cfRule type="duplicateValues" dxfId="51" priority="65"/>
  </conditionalFormatting>
  <conditionalFormatting sqref="A498">
    <cfRule type="duplicateValues" dxfId="50" priority="64"/>
  </conditionalFormatting>
  <conditionalFormatting sqref="A89">
    <cfRule type="duplicateValues" dxfId="49" priority="63"/>
  </conditionalFormatting>
  <conditionalFormatting sqref="A192">
    <cfRule type="duplicateValues" dxfId="48" priority="62"/>
  </conditionalFormatting>
  <conditionalFormatting sqref="A295">
    <cfRule type="duplicateValues" dxfId="47" priority="61"/>
  </conditionalFormatting>
  <conditionalFormatting sqref="A398">
    <cfRule type="duplicateValues" dxfId="46" priority="60"/>
  </conditionalFormatting>
  <conditionalFormatting sqref="A501">
    <cfRule type="duplicateValues" dxfId="45" priority="59"/>
  </conditionalFormatting>
  <conditionalFormatting sqref="A91">
    <cfRule type="duplicateValues" dxfId="44" priority="58"/>
  </conditionalFormatting>
  <conditionalFormatting sqref="A92">
    <cfRule type="duplicateValues" dxfId="43" priority="57"/>
  </conditionalFormatting>
  <conditionalFormatting sqref="A194">
    <cfRule type="duplicateValues" dxfId="42" priority="56"/>
  </conditionalFormatting>
  <conditionalFormatting sqref="A195">
    <cfRule type="duplicateValues" dxfId="41" priority="55"/>
  </conditionalFormatting>
  <conditionalFormatting sqref="A297">
    <cfRule type="duplicateValues" dxfId="40" priority="54"/>
  </conditionalFormatting>
  <conditionalFormatting sqref="A298">
    <cfRule type="duplicateValues" dxfId="39" priority="53"/>
  </conditionalFormatting>
  <conditionalFormatting sqref="A400">
    <cfRule type="duplicateValues" dxfId="38" priority="52"/>
  </conditionalFormatting>
  <conditionalFormatting sqref="A401">
    <cfRule type="duplicateValues" dxfId="37" priority="51"/>
  </conditionalFormatting>
  <conditionalFormatting sqref="A503">
    <cfRule type="duplicateValues" dxfId="36" priority="50"/>
  </conditionalFormatting>
  <conditionalFormatting sqref="A504">
    <cfRule type="duplicateValues" dxfId="35" priority="49"/>
  </conditionalFormatting>
  <conditionalFormatting sqref="A103">
    <cfRule type="duplicateValues" dxfId="34" priority="48"/>
  </conditionalFormatting>
  <conditionalFormatting sqref="A206">
    <cfRule type="duplicateValues" dxfId="33" priority="47"/>
  </conditionalFormatting>
  <conditionalFormatting sqref="A309">
    <cfRule type="duplicateValues" dxfId="32" priority="46"/>
  </conditionalFormatting>
  <conditionalFormatting sqref="A412">
    <cfRule type="duplicateValues" dxfId="31" priority="45"/>
  </conditionalFormatting>
  <conditionalFormatting sqref="A515">
    <cfRule type="duplicateValues" dxfId="30" priority="44"/>
  </conditionalFormatting>
  <conditionalFormatting sqref="A1844">
    <cfRule type="duplicateValues" dxfId="29" priority="43"/>
  </conditionalFormatting>
  <conditionalFormatting sqref="A1843">
    <cfRule type="duplicateValues" dxfId="28" priority="42"/>
  </conditionalFormatting>
  <conditionalFormatting sqref="A1845">
    <cfRule type="duplicateValues" dxfId="27" priority="41"/>
  </conditionalFormatting>
  <conditionalFormatting sqref="A83">
    <cfRule type="duplicateValues" dxfId="26" priority="40"/>
  </conditionalFormatting>
  <conditionalFormatting sqref="A186">
    <cfRule type="duplicateValues" dxfId="25" priority="39"/>
  </conditionalFormatting>
  <conditionalFormatting sqref="A289">
    <cfRule type="duplicateValues" dxfId="24" priority="38"/>
  </conditionalFormatting>
  <conditionalFormatting sqref="A392">
    <cfRule type="duplicateValues" dxfId="23" priority="37"/>
  </conditionalFormatting>
  <conditionalFormatting sqref="A495">
    <cfRule type="duplicateValues" dxfId="22" priority="36"/>
  </conditionalFormatting>
  <conditionalFormatting sqref="A207">
    <cfRule type="duplicateValues" dxfId="21" priority="35"/>
  </conditionalFormatting>
  <conditionalFormatting sqref="A310">
    <cfRule type="duplicateValues" dxfId="20" priority="34"/>
  </conditionalFormatting>
  <conditionalFormatting sqref="A413">
    <cfRule type="duplicateValues" dxfId="19" priority="33"/>
  </conditionalFormatting>
  <conditionalFormatting sqref="A516">
    <cfRule type="duplicateValues" dxfId="18" priority="32"/>
  </conditionalFormatting>
  <conditionalFormatting sqref="A104">
    <cfRule type="duplicateValues" dxfId="17" priority="31"/>
  </conditionalFormatting>
  <conditionalFormatting sqref="A105">
    <cfRule type="duplicateValues" dxfId="16" priority="30"/>
  </conditionalFormatting>
  <conditionalFormatting sqref="A208">
    <cfRule type="duplicateValues" dxfId="15" priority="29"/>
  </conditionalFormatting>
  <conditionalFormatting sqref="A311">
    <cfRule type="duplicateValues" dxfId="14" priority="28"/>
  </conditionalFormatting>
  <conditionalFormatting sqref="A414">
    <cfRule type="duplicateValues" dxfId="13" priority="27"/>
  </conditionalFormatting>
  <conditionalFormatting sqref="A517">
    <cfRule type="duplicateValues" dxfId="12" priority="26"/>
  </conditionalFormatting>
  <conditionalFormatting sqref="A1846">
    <cfRule type="duplicateValues" dxfId="11" priority="25"/>
  </conditionalFormatting>
  <conditionalFormatting sqref="A1847">
    <cfRule type="duplicateValues" dxfId="10" priority="24"/>
  </conditionalFormatting>
  <conditionalFormatting sqref="A1848">
    <cfRule type="duplicateValues" dxfId="9" priority="23"/>
  </conditionalFormatting>
  <conditionalFormatting sqref="A2643">
    <cfRule type="duplicateValues" dxfId="8" priority="20"/>
  </conditionalFormatting>
  <conditionalFormatting sqref="B2643">
    <cfRule type="duplicateValues" dxfId="7" priority="19"/>
  </conditionalFormatting>
  <conditionalFormatting sqref="A1851">
    <cfRule type="duplicateValues" dxfId="6" priority="16"/>
  </conditionalFormatting>
  <conditionalFormatting sqref="A1852">
    <cfRule type="duplicateValues" dxfId="5" priority="15"/>
  </conditionalFormatting>
  <conditionalFormatting sqref="A106">
    <cfRule type="duplicateValues" dxfId="4" priority="14"/>
  </conditionalFormatting>
  <conditionalFormatting sqref="A209">
    <cfRule type="duplicateValues" dxfId="3" priority="13"/>
  </conditionalFormatting>
  <conditionalFormatting sqref="A312">
    <cfRule type="duplicateValues" dxfId="2" priority="12"/>
  </conditionalFormatting>
  <conditionalFormatting sqref="A415">
    <cfRule type="duplicateValues" dxfId="1" priority="11"/>
  </conditionalFormatting>
  <conditionalFormatting sqref="A518">
    <cfRule type="duplicateValues" dxfId="0" priority="10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36B22-4C25-4458-BB78-855413DE9DAE}">
  <dimension ref="B1:AH219"/>
  <sheetViews>
    <sheetView showGridLines="0" topLeftCell="O184" workbookViewId="0">
      <selection activeCell="AE189" sqref="AE189"/>
    </sheetView>
  </sheetViews>
  <sheetFormatPr defaultColWidth="9" defaultRowHeight="16.5" outlineLevelCol="1" x14ac:dyDescent="0.3"/>
  <cols>
    <col min="1" max="1" width="1.375" style="47" customWidth="1"/>
    <col min="2" max="2" width="3.25" style="47" customWidth="1"/>
    <col min="3" max="6" width="9" style="47"/>
    <col min="7" max="8" width="9" style="47" customWidth="1" outlineLevel="1"/>
    <col min="9" max="9" width="18.75" style="47" customWidth="1" outlineLevel="1"/>
    <col min="10" max="10" width="12.125" style="47" customWidth="1" outlineLevel="1"/>
    <col min="11" max="11" width="10.875" style="47" customWidth="1" outlineLevel="1"/>
    <col min="12" max="12" width="12.875" style="47" bestFit="1" customWidth="1" outlineLevel="1"/>
    <col min="13" max="16" width="12.875" style="47" customWidth="1" outlineLevel="1"/>
    <col min="17" max="18" width="7.125" style="47" customWidth="1" outlineLevel="1"/>
    <col min="19" max="22" width="9" style="47" customWidth="1" outlineLevel="1"/>
    <col min="23" max="26" width="2.5" style="47" customWidth="1" outlineLevel="1"/>
    <col min="27" max="27" width="32.625" style="47" bestFit="1" customWidth="1" outlineLevel="1"/>
    <col min="28" max="28" width="9" style="47"/>
    <col min="29" max="29" width="34.75" style="47" customWidth="1"/>
    <col min="30" max="30" width="24.875" style="47" bestFit="1" customWidth="1"/>
    <col min="31" max="31" width="9" style="47"/>
    <col min="32" max="32" width="9" style="47" bestFit="1" customWidth="1"/>
    <col min="33" max="33" width="9.625" style="47" bestFit="1" customWidth="1"/>
    <col min="34" max="34" width="9" style="47" bestFit="1" customWidth="1"/>
    <col min="35" max="16384" width="9" style="47"/>
  </cols>
  <sheetData>
    <row r="1" spans="2:34" ht="9" customHeight="1" x14ac:dyDescent="0.3"/>
    <row r="2" spans="2:34" x14ac:dyDescent="0.3">
      <c r="B2" s="47" t="s">
        <v>5440</v>
      </c>
      <c r="J2" s="61">
        <v>2</v>
      </c>
      <c r="K2" s="61">
        <v>3</v>
      </c>
      <c r="L2" s="61">
        <v>4</v>
      </c>
      <c r="M2" s="61">
        <v>5</v>
      </c>
      <c r="N2" s="61">
        <v>6</v>
      </c>
      <c r="O2" s="61">
        <v>7</v>
      </c>
      <c r="P2" s="60" t="s">
        <v>5439</v>
      </c>
      <c r="AB2" s="59" t="s">
        <v>5438</v>
      </c>
      <c r="AC2" s="59"/>
      <c r="AD2" s="59"/>
    </row>
    <row r="3" spans="2:34" x14ac:dyDescent="0.3">
      <c r="C3" s="54" t="s">
        <v>5437</v>
      </c>
      <c r="D3" s="54" t="s">
        <v>5406</v>
      </c>
      <c r="E3" s="54" t="s">
        <v>5420</v>
      </c>
      <c r="F3" s="54" t="s">
        <v>5436</v>
      </c>
      <c r="G3" s="54" t="s">
        <v>5419</v>
      </c>
      <c r="H3" s="54" t="s">
        <v>5435</v>
      </c>
      <c r="I3" s="54" t="s">
        <v>5434</v>
      </c>
      <c r="J3" s="54" t="s">
        <v>5433</v>
      </c>
      <c r="K3" s="54" t="s">
        <v>5432</v>
      </c>
      <c r="L3" s="54" t="s">
        <v>5431</v>
      </c>
      <c r="M3" s="54" t="s">
        <v>5430</v>
      </c>
      <c r="N3" s="104" t="s">
        <v>5540</v>
      </c>
      <c r="O3" s="104" t="s">
        <v>5541</v>
      </c>
      <c r="P3" s="58" t="s">
        <v>5429</v>
      </c>
      <c r="Q3" s="58" t="s">
        <v>5428</v>
      </c>
      <c r="R3" s="58" t="s">
        <v>5427</v>
      </c>
      <c r="S3" s="58" t="s">
        <v>5426</v>
      </c>
      <c r="T3" s="58" t="s">
        <v>5507</v>
      </c>
      <c r="U3" s="105" t="s">
        <v>5538</v>
      </c>
      <c r="V3" s="105" t="s">
        <v>5539</v>
      </c>
      <c r="W3" s="115" t="s">
        <v>5425</v>
      </c>
      <c r="X3" s="116"/>
      <c r="Y3" s="116"/>
      <c r="Z3" s="117"/>
      <c r="AA3" s="57" t="s">
        <v>5424</v>
      </c>
      <c r="AB3" s="57" t="s">
        <v>5423</v>
      </c>
      <c r="AC3" s="54" t="s">
        <v>5422</v>
      </c>
      <c r="AD3" s="54" t="s">
        <v>5421</v>
      </c>
      <c r="AF3" s="54" t="s">
        <v>5420</v>
      </c>
      <c r="AG3" s="54" t="s">
        <v>5409</v>
      </c>
      <c r="AH3" s="54" t="s">
        <v>5419</v>
      </c>
    </row>
    <row r="4" spans="2:34" x14ac:dyDescent="0.3">
      <c r="C4" s="51">
        <v>1</v>
      </c>
      <c r="D4" s="51">
        <v>1</v>
      </c>
      <c r="E4" s="51" t="s">
        <v>5400</v>
      </c>
      <c r="F4" s="51" t="s">
        <v>5408</v>
      </c>
      <c r="G4" s="50" t="str">
        <f>VLOOKUP(E4,옵션그룹계산1!$AF$4:$AH$7,3,FALSE)</f>
        <v xml:space="preserve">    </v>
      </c>
      <c r="H4" s="49" t="str">
        <f>VLOOKUP(D4,옵션그룹계산1!$AF$16:$AG$19,2,FALSE)</f>
        <v>(Grade 2)</v>
      </c>
      <c r="I4" s="50" t="str">
        <f t="shared" ref="I4:I67" si="0">E4&amp;"_"&amp;F4</f>
        <v>방어구_딜러</v>
      </c>
      <c r="J4" s="49" t="str">
        <f>IF($D4&gt;=(J$2-1),VLOOKUP($I4,색인!$L$4:$R$11,J$2,FALSE)&amp;"_"&amp;$C4,"")</f>
        <v>공격력_1</v>
      </c>
      <c r="K4" s="49" t="str">
        <f>IF($D4&gt;=(K$2-1),VLOOKUP($I4,색인!$L$4:$R$11,K$2,FALSE)&amp;"_"&amp;$C4,"")</f>
        <v/>
      </c>
      <c r="L4" s="49" t="str">
        <f>IF($D4&gt;=(L$2-1),VLOOKUP($I4,색인!$L$4:$R$11,L$2,FALSE)&amp;"_"&amp;$C4,"")</f>
        <v/>
      </c>
      <c r="M4" s="49" t="str">
        <f>IF($D4&gt;=(M$2-1),VLOOKUP($I4,색인!$L$4:$R$11,M$2,FALSE)&amp;"_"&amp;$C4,"")</f>
        <v/>
      </c>
      <c r="N4" s="49" t="str">
        <f>IF(AND(C4&gt;=6,D4&gt;=4),VLOOKUP($I4,색인!$L$4:$R$11,N$2,FALSE)&amp;"_"&amp;$C4,"")</f>
        <v/>
      </c>
      <c r="O4" s="49" t="str">
        <f>IF(AND(C4&gt;=6,D4&gt;=4),VLOOKUP($I4,색인!$L$4:$R$11,O$2,FALSE)&amp;"_"&amp;$C4,"")</f>
        <v/>
      </c>
      <c r="P4" s="50" t="str">
        <f t="shared" ref="P4:P67" si="1">AB4</f>
        <v>1111</v>
      </c>
      <c r="Q4" s="49">
        <f>VLOOKUP(옵션그룹계산1!J4,색인!$E$4:$F$99,2,FALSE)</f>
        <v>101</v>
      </c>
      <c r="R4" s="49" t="str">
        <f>_xlfn.IFNA(VLOOKUP(옵션그룹계산1!K4,색인!$E$4:$F$99,2,FALSE),"")</f>
        <v/>
      </c>
      <c r="S4" s="49" t="str">
        <f>_xlfn.IFNA(VLOOKUP(옵션그룹계산1!L4,색인!$E$4:$F$99,2,FALSE),"")</f>
        <v/>
      </c>
      <c r="T4" s="49" t="str">
        <f>_xlfn.IFNA(VLOOKUP(옵션그룹계산1!M4,색인!$E$4:$F$99,2,FALSE),"")</f>
        <v/>
      </c>
      <c r="U4" s="49" t="str">
        <f>_xlfn.IFNA(VLOOKUP(옵션그룹계산1!N4,색인!$E$4:$F$99,2,FALSE),"")</f>
        <v/>
      </c>
      <c r="V4" s="49" t="str">
        <f>_xlfn.IFNA(VLOOKUP(옵션그룹계산1!O4,색인!$E$4:$F$99,2,FALSE),"")</f>
        <v/>
      </c>
      <c r="W4" s="50">
        <f t="shared" ref="W4:W67" si="2">C4</f>
        <v>1</v>
      </c>
      <c r="X4" s="50">
        <f t="shared" ref="X4:X67" si="3">D4</f>
        <v>1</v>
      </c>
      <c r="Y4" s="50">
        <f t="shared" ref="Y4:Y67" si="4">VLOOKUP(E4,$AF$4:$AG$7,2,FALSE)</f>
        <v>1</v>
      </c>
      <c r="Z4" s="50">
        <f t="shared" ref="Z4:Z67" si="5">VLOOKUP(F4,$AF$11:$AG$12,2,FALSE)</f>
        <v>1</v>
      </c>
      <c r="AA4" s="48" t="str">
        <f t="shared" ref="AA4:AA67" si="6">"T"&amp;C4&amp;"_"&amp;D4&amp;"옵션_"&amp;E4&amp;"_"&amp;F4</f>
        <v>T1_1옵션_방어구_딜러</v>
      </c>
      <c r="AB4" s="50" t="str">
        <f t="shared" ref="AB4:AB67" si="7">W4&amp;X4&amp;Y4&amp;Z4</f>
        <v>1111</v>
      </c>
      <c r="AC4" s="49" t="str">
        <f t="shared" ref="AC4:AC67" si="8">"T"&amp;C4&amp;"_"&amp;D4&amp;"옵션_"&amp;E4&amp;"_"&amp;F4&amp;G4&amp;H4</f>
        <v>T1_1옵션_방어구_딜러    (Grade 2)</v>
      </c>
      <c r="AD4" s="48" t="str">
        <f t="shared" ref="AD4:AD67" si="9">Q4&amp;IF(R4="","",","&amp;R4)&amp;IF(S4="","",","&amp;S4)&amp;IF(T4="","",","&amp;T4)&amp;IF(U4="","",","&amp;U4)&amp;IF(V4="","",","&amp;V4)</f>
        <v>101</v>
      </c>
      <c r="AF4" s="53" t="s">
        <v>5418</v>
      </c>
      <c r="AG4" s="53">
        <v>1</v>
      </c>
      <c r="AH4" s="56" t="s">
        <v>5414</v>
      </c>
    </row>
    <row r="5" spans="2:34" x14ac:dyDescent="0.3">
      <c r="C5" s="51">
        <v>1</v>
      </c>
      <c r="D5" s="51">
        <v>1</v>
      </c>
      <c r="E5" s="51" t="s">
        <v>5400</v>
      </c>
      <c r="F5" s="51" t="s">
        <v>5407</v>
      </c>
      <c r="G5" s="50" t="str">
        <f>VLOOKUP(E5,옵션그룹계산1!$AF$4:$AH$7,3,FALSE)</f>
        <v xml:space="preserve">    </v>
      </c>
      <c r="H5" s="49" t="str">
        <f>VLOOKUP(D5,옵션그룹계산1!$AF$16:$AG$19,2,FALSE)</f>
        <v>(Grade 2)</v>
      </c>
      <c r="I5" s="50" t="str">
        <f t="shared" si="0"/>
        <v>방어구_탱커</v>
      </c>
      <c r="J5" s="49" t="str">
        <f>IF($D5&gt;=(J$2-1),VLOOKUP($I5,색인!$L$4:$R$11,J$2,FALSE)&amp;"_"&amp;$C5,"")</f>
        <v>공격속도_1</v>
      </c>
      <c r="K5" s="49" t="str">
        <f>IF($D5&gt;=(K$2-1),VLOOKUP($I5,색인!$L$4:$R$11,K$2,FALSE)&amp;"_"&amp;$C5,"")</f>
        <v/>
      </c>
      <c r="L5" s="49" t="str">
        <f>IF($D5&gt;=(L$2-1),VLOOKUP($I5,색인!$L$4:$R$11,L$2,FALSE)&amp;"_"&amp;$C5,"")</f>
        <v/>
      </c>
      <c r="M5" s="49" t="str">
        <f>IF($D5&gt;=(M$2-1),VLOOKUP($I5,색인!$L$4:$R$11,M$2,FALSE)&amp;"_"&amp;$C5,"")</f>
        <v/>
      </c>
      <c r="N5" s="49" t="str">
        <f>IF(AND(C5&gt;=6,D5&gt;=4),VLOOKUP($I5,색인!$L$4:$R$11,N$2,FALSE)&amp;"_"&amp;$C5,"")</f>
        <v/>
      </c>
      <c r="O5" s="49" t="str">
        <f>IF(AND(C5&gt;=6,D5&gt;=4),VLOOKUP($I5,색인!$L$4:$R$11,O$2,FALSE)&amp;"_"&amp;$C5,"")</f>
        <v/>
      </c>
      <c r="P5" s="50" t="str">
        <f t="shared" si="1"/>
        <v>1112</v>
      </c>
      <c r="Q5" s="49">
        <f>VLOOKUP(옵션그룹계산1!J5,색인!$E$4:$F$99,2,FALSE)</f>
        <v>1101</v>
      </c>
      <c r="R5" s="49" t="str">
        <f>_xlfn.IFNA(VLOOKUP(옵션그룹계산1!K5,색인!$E$4:$F$99,2,FALSE),"")</f>
        <v/>
      </c>
      <c r="S5" s="49" t="str">
        <f>_xlfn.IFNA(VLOOKUP(옵션그룹계산1!L5,색인!$E$4:$F$99,2,FALSE),"")</f>
        <v/>
      </c>
      <c r="T5" s="49" t="str">
        <f>_xlfn.IFNA(VLOOKUP(옵션그룹계산1!M5,색인!$E$4:$F$99,2,FALSE),"")</f>
        <v/>
      </c>
      <c r="U5" s="49" t="str">
        <f>_xlfn.IFNA(VLOOKUP(옵션그룹계산1!N5,색인!$E$4:$F$99,2,FALSE),"")</f>
        <v/>
      </c>
      <c r="V5" s="49" t="str">
        <f>_xlfn.IFNA(VLOOKUP(옵션그룹계산1!O5,색인!$E$4:$F$99,2,FALSE),"")</f>
        <v/>
      </c>
      <c r="W5" s="50">
        <f t="shared" si="2"/>
        <v>1</v>
      </c>
      <c r="X5" s="50">
        <f t="shared" si="3"/>
        <v>1</v>
      </c>
      <c r="Y5" s="50">
        <f t="shared" si="4"/>
        <v>1</v>
      </c>
      <c r="Z5" s="50">
        <f t="shared" si="5"/>
        <v>2</v>
      </c>
      <c r="AA5" s="48" t="str">
        <f t="shared" si="6"/>
        <v>T1_1옵션_방어구_탱커</v>
      </c>
      <c r="AB5" s="50" t="str">
        <f t="shared" si="7"/>
        <v>1112</v>
      </c>
      <c r="AC5" s="49" t="str">
        <f t="shared" si="8"/>
        <v>T1_1옵션_방어구_탱커    (Grade 2)</v>
      </c>
      <c r="AD5" s="48" t="str">
        <f t="shared" si="9"/>
        <v>1101</v>
      </c>
      <c r="AF5" s="53" t="s">
        <v>5417</v>
      </c>
      <c r="AG5" s="53">
        <v>2</v>
      </c>
      <c r="AH5" s="56" t="s">
        <v>5416</v>
      </c>
    </row>
    <row r="6" spans="2:34" x14ac:dyDescent="0.3">
      <c r="C6" s="51">
        <v>1</v>
      </c>
      <c r="D6" s="51">
        <v>1</v>
      </c>
      <c r="E6" s="51" t="s">
        <v>5399</v>
      </c>
      <c r="F6" s="51" t="s">
        <v>5397</v>
      </c>
      <c r="G6" s="50" t="str">
        <f>VLOOKUP(E6,옵션그룹계산1!$AF$4:$AH$7,3,FALSE)</f>
        <v xml:space="preserve"> </v>
      </c>
      <c r="H6" s="49" t="str">
        <f>VLOOKUP(D6,옵션그룹계산1!$AF$16:$AG$19,2,FALSE)</f>
        <v>(Grade 2)</v>
      </c>
      <c r="I6" s="50" t="str">
        <f t="shared" si="0"/>
        <v>보조장비_딜러</v>
      </c>
      <c r="J6" s="49" t="str">
        <f>IF($D6&gt;=(J$2-1),VLOOKUP($I6,색인!$L$4:$R$11,J$2,FALSE)&amp;"_"&amp;$C6,"")</f>
        <v>공격력_1</v>
      </c>
      <c r="K6" s="49" t="str">
        <f>IF($D6&gt;=(K$2-1),VLOOKUP($I6,색인!$L$4:$R$11,K$2,FALSE)&amp;"_"&amp;$C6,"")</f>
        <v/>
      </c>
      <c r="L6" s="49" t="str">
        <f>IF($D6&gt;=(L$2-1),VLOOKUP($I6,색인!$L$4:$R$11,L$2,FALSE)&amp;"_"&amp;$C6,"")</f>
        <v/>
      </c>
      <c r="M6" s="49" t="str">
        <f>IF($D6&gt;=(M$2-1),VLOOKUP($I6,색인!$L$4:$R$11,M$2,FALSE)&amp;"_"&amp;$C6,"")</f>
        <v/>
      </c>
      <c r="N6" s="49" t="str">
        <f>IF(AND(C6&gt;=6,D6&gt;=4),VLOOKUP($I6,색인!$L$4:$R$11,N$2,FALSE)&amp;"_"&amp;$C6,"")</f>
        <v/>
      </c>
      <c r="O6" s="49" t="str">
        <f>IF(AND(C6&gt;=6,D6&gt;=4),VLOOKUP($I6,색인!$L$4:$R$11,O$2,FALSE)&amp;"_"&amp;$C6,"")</f>
        <v/>
      </c>
      <c r="P6" s="50" t="str">
        <f t="shared" si="1"/>
        <v>1121</v>
      </c>
      <c r="Q6" s="49">
        <f>VLOOKUP(옵션그룹계산1!J6,색인!$E$4:$F$99,2,FALSE)</f>
        <v>101</v>
      </c>
      <c r="R6" s="49" t="str">
        <f>_xlfn.IFNA(VLOOKUP(옵션그룹계산1!K6,색인!$E$4:$F$99,2,FALSE),"")</f>
        <v/>
      </c>
      <c r="S6" s="49" t="str">
        <f>_xlfn.IFNA(VLOOKUP(옵션그룹계산1!L6,색인!$E$4:$F$99,2,FALSE),"")</f>
        <v/>
      </c>
      <c r="T6" s="49" t="str">
        <f>_xlfn.IFNA(VLOOKUP(옵션그룹계산1!M6,색인!$E$4:$F$99,2,FALSE),"")</f>
        <v/>
      </c>
      <c r="U6" s="49" t="str">
        <f>_xlfn.IFNA(VLOOKUP(옵션그룹계산1!N6,색인!$E$4:$F$99,2,FALSE),"")</f>
        <v/>
      </c>
      <c r="V6" s="49" t="str">
        <f>_xlfn.IFNA(VLOOKUP(옵션그룹계산1!O6,색인!$E$4:$F$99,2,FALSE),"")</f>
        <v/>
      </c>
      <c r="W6" s="50">
        <f t="shared" si="2"/>
        <v>1</v>
      </c>
      <c r="X6" s="50">
        <f t="shared" si="3"/>
        <v>1</v>
      </c>
      <c r="Y6" s="50">
        <f t="shared" si="4"/>
        <v>2</v>
      </c>
      <c r="Z6" s="50">
        <f t="shared" si="5"/>
        <v>1</v>
      </c>
      <c r="AA6" s="48" t="str">
        <f t="shared" si="6"/>
        <v>T1_1옵션_보조장비_딜러</v>
      </c>
      <c r="AB6" s="50" t="str">
        <f t="shared" si="7"/>
        <v>1121</v>
      </c>
      <c r="AC6" s="49" t="str">
        <f t="shared" si="8"/>
        <v>T1_1옵션_보조장비_딜러 (Grade 2)</v>
      </c>
      <c r="AD6" s="48" t="str">
        <f t="shared" si="9"/>
        <v>101</v>
      </c>
      <c r="AF6" s="53" t="s">
        <v>5415</v>
      </c>
      <c r="AG6" s="53">
        <v>3</v>
      </c>
      <c r="AH6" s="56" t="s">
        <v>5414</v>
      </c>
    </row>
    <row r="7" spans="2:34" x14ac:dyDescent="0.3">
      <c r="C7" s="51">
        <v>1</v>
      </c>
      <c r="D7" s="51">
        <v>1</v>
      </c>
      <c r="E7" s="51" t="s">
        <v>5399</v>
      </c>
      <c r="F7" s="51" t="s">
        <v>5395</v>
      </c>
      <c r="G7" s="50" t="str">
        <f>VLOOKUP(E7,옵션그룹계산1!$AF$4:$AH$7,3,FALSE)</f>
        <v xml:space="preserve"> </v>
      </c>
      <c r="H7" s="49" t="str">
        <f>VLOOKUP(D7,옵션그룹계산1!$AF$16:$AG$19,2,FALSE)</f>
        <v>(Grade 2)</v>
      </c>
      <c r="I7" s="50" t="str">
        <f t="shared" si="0"/>
        <v>보조장비_탱커</v>
      </c>
      <c r="J7" s="49" t="str">
        <f>IF($D7&gt;=(J$2-1),VLOOKUP($I7,색인!$L$4:$R$11,J$2,FALSE)&amp;"_"&amp;$C7,"")</f>
        <v>공격속도_1</v>
      </c>
      <c r="K7" s="49" t="str">
        <f>IF($D7&gt;=(K$2-1),VLOOKUP($I7,색인!$L$4:$R$11,K$2,FALSE)&amp;"_"&amp;$C7,"")</f>
        <v/>
      </c>
      <c r="L7" s="49" t="str">
        <f>IF($D7&gt;=(L$2-1),VLOOKUP($I7,색인!$L$4:$R$11,L$2,FALSE)&amp;"_"&amp;$C7,"")</f>
        <v/>
      </c>
      <c r="M7" s="49" t="str">
        <f>IF($D7&gt;=(M$2-1),VLOOKUP($I7,색인!$L$4:$R$11,M$2,FALSE)&amp;"_"&amp;$C7,"")</f>
        <v/>
      </c>
      <c r="N7" s="49" t="str">
        <f>IF(AND(C7&gt;=6,D7&gt;=4),VLOOKUP($I7,색인!$L$4:$R$11,N$2,FALSE)&amp;"_"&amp;$C7,"")</f>
        <v/>
      </c>
      <c r="O7" s="49" t="str">
        <f>IF(AND(C7&gt;=6,D7&gt;=4),VLOOKUP($I7,색인!$L$4:$R$11,O$2,FALSE)&amp;"_"&amp;$C7,"")</f>
        <v/>
      </c>
      <c r="P7" s="50" t="str">
        <f t="shared" si="1"/>
        <v>1122</v>
      </c>
      <c r="Q7" s="49">
        <f>VLOOKUP(옵션그룹계산1!J7,색인!$E$4:$F$99,2,FALSE)</f>
        <v>1101</v>
      </c>
      <c r="R7" s="49" t="str">
        <f>_xlfn.IFNA(VLOOKUP(옵션그룹계산1!K7,색인!$E$4:$F$99,2,FALSE),"")</f>
        <v/>
      </c>
      <c r="S7" s="49" t="str">
        <f>_xlfn.IFNA(VLOOKUP(옵션그룹계산1!L7,색인!$E$4:$F$99,2,FALSE),"")</f>
        <v/>
      </c>
      <c r="T7" s="49" t="str">
        <f>_xlfn.IFNA(VLOOKUP(옵션그룹계산1!M7,색인!$E$4:$F$99,2,FALSE),"")</f>
        <v/>
      </c>
      <c r="U7" s="49" t="str">
        <f>_xlfn.IFNA(VLOOKUP(옵션그룹계산1!N7,색인!$E$4:$F$99,2,FALSE),"")</f>
        <v/>
      </c>
      <c r="V7" s="49" t="str">
        <f>_xlfn.IFNA(VLOOKUP(옵션그룹계산1!O7,색인!$E$4:$F$99,2,FALSE),"")</f>
        <v/>
      </c>
      <c r="W7" s="50">
        <f t="shared" si="2"/>
        <v>1</v>
      </c>
      <c r="X7" s="50">
        <f t="shared" si="3"/>
        <v>1</v>
      </c>
      <c r="Y7" s="50">
        <f t="shared" si="4"/>
        <v>2</v>
      </c>
      <c r="Z7" s="50">
        <f t="shared" si="5"/>
        <v>2</v>
      </c>
      <c r="AA7" s="48" t="str">
        <f t="shared" si="6"/>
        <v>T1_1옵션_보조장비_탱커</v>
      </c>
      <c r="AB7" s="50" t="str">
        <f t="shared" si="7"/>
        <v>1122</v>
      </c>
      <c r="AC7" s="49" t="str">
        <f t="shared" si="8"/>
        <v>T1_1옵션_보조장비_탱커 (Grade 2)</v>
      </c>
      <c r="AD7" s="48" t="str">
        <f t="shared" si="9"/>
        <v>1101</v>
      </c>
      <c r="AF7" s="53" t="s">
        <v>5413</v>
      </c>
      <c r="AG7" s="53">
        <v>4</v>
      </c>
      <c r="AH7" s="56" t="s">
        <v>5412</v>
      </c>
    </row>
    <row r="8" spans="2:34" x14ac:dyDescent="0.3">
      <c r="C8" s="51">
        <v>1</v>
      </c>
      <c r="D8" s="51">
        <v>1</v>
      </c>
      <c r="E8" s="51" t="s">
        <v>5398</v>
      </c>
      <c r="F8" s="51" t="s">
        <v>5397</v>
      </c>
      <c r="G8" s="50" t="str">
        <f>VLOOKUP(E8,옵션그룹계산1!$AF$4:$AH$7,3,FALSE)</f>
        <v xml:space="preserve">    </v>
      </c>
      <c r="H8" s="49" t="str">
        <f>VLOOKUP(D8,옵션그룹계산1!$AF$16:$AG$19,2,FALSE)</f>
        <v>(Grade 2)</v>
      </c>
      <c r="I8" s="50" t="str">
        <f t="shared" si="0"/>
        <v>장신구_딜러</v>
      </c>
      <c r="J8" s="49" t="str">
        <f>IF($D8&gt;=(J$2-1),VLOOKUP($I8,색인!$L$4:$R$11,J$2,FALSE)&amp;"_"&amp;$C8,"")</f>
        <v>공격력_1</v>
      </c>
      <c r="K8" s="49" t="str">
        <f>IF($D8&gt;=(K$2-1),VLOOKUP($I8,색인!$L$4:$R$11,K$2,FALSE)&amp;"_"&amp;$C8,"")</f>
        <v/>
      </c>
      <c r="L8" s="49" t="str">
        <f>IF($D8&gt;=(L$2-1),VLOOKUP($I8,색인!$L$4:$R$11,L$2,FALSE)&amp;"_"&amp;$C8,"")</f>
        <v/>
      </c>
      <c r="M8" s="49" t="str">
        <f>IF($D8&gt;=(M$2-1),VLOOKUP($I8,색인!$L$4:$R$11,M$2,FALSE)&amp;"_"&amp;$C8,"")</f>
        <v/>
      </c>
      <c r="N8" s="49" t="str">
        <f>IF(AND(C8&gt;=6,D8&gt;=4),VLOOKUP($I8,색인!$L$4:$R$11,N$2,FALSE)&amp;"_"&amp;$C8,"")</f>
        <v/>
      </c>
      <c r="O8" s="49" t="str">
        <f>IF(AND(C8&gt;=6,D8&gt;=4),VLOOKUP($I8,색인!$L$4:$R$11,O$2,FALSE)&amp;"_"&amp;$C8,"")</f>
        <v/>
      </c>
      <c r="P8" s="50" t="str">
        <f t="shared" si="1"/>
        <v>1131</v>
      </c>
      <c r="Q8" s="49">
        <f>VLOOKUP(옵션그룹계산1!J8,색인!$E$4:$F$99,2,FALSE)</f>
        <v>101</v>
      </c>
      <c r="R8" s="49" t="str">
        <f>_xlfn.IFNA(VLOOKUP(옵션그룹계산1!K8,색인!$E$4:$F$99,2,FALSE),"")</f>
        <v/>
      </c>
      <c r="S8" s="49" t="str">
        <f>_xlfn.IFNA(VLOOKUP(옵션그룹계산1!L8,색인!$E$4:$F$99,2,FALSE),"")</f>
        <v/>
      </c>
      <c r="T8" s="49" t="str">
        <f>_xlfn.IFNA(VLOOKUP(옵션그룹계산1!M8,색인!$E$4:$F$99,2,FALSE),"")</f>
        <v/>
      </c>
      <c r="U8" s="49" t="str">
        <f>_xlfn.IFNA(VLOOKUP(옵션그룹계산1!N8,색인!$E$4:$F$99,2,FALSE),"")</f>
        <v/>
      </c>
      <c r="V8" s="49" t="str">
        <f>_xlfn.IFNA(VLOOKUP(옵션그룹계산1!O8,색인!$E$4:$F$99,2,FALSE),"")</f>
        <v/>
      </c>
      <c r="W8" s="50">
        <f t="shared" si="2"/>
        <v>1</v>
      </c>
      <c r="X8" s="50">
        <f t="shared" si="3"/>
        <v>1</v>
      </c>
      <c r="Y8" s="50">
        <f t="shared" si="4"/>
        <v>3</v>
      </c>
      <c r="Z8" s="50">
        <f t="shared" si="5"/>
        <v>1</v>
      </c>
      <c r="AA8" s="48" t="str">
        <f t="shared" si="6"/>
        <v>T1_1옵션_장신구_딜러</v>
      </c>
      <c r="AB8" s="50" t="str">
        <f t="shared" si="7"/>
        <v>1131</v>
      </c>
      <c r="AC8" s="49" t="str">
        <f t="shared" si="8"/>
        <v>T1_1옵션_장신구_딜러    (Grade 2)</v>
      </c>
      <c r="AD8" s="48" t="str">
        <f t="shared" si="9"/>
        <v>101</v>
      </c>
      <c r="AF8" s="55" t="s">
        <v>5411</v>
      </c>
    </row>
    <row r="9" spans="2:34" x14ac:dyDescent="0.3">
      <c r="C9" s="51">
        <v>1</v>
      </c>
      <c r="D9" s="51">
        <v>1</v>
      </c>
      <c r="E9" s="51" t="s">
        <v>5398</v>
      </c>
      <c r="F9" s="51" t="s">
        <v>5395</v>
      </c>
      <c r="G9" s="50" t="str">
        <f>VLOOKUP(E9,옵션그룹계산1!$AF$4:$AH$7,3,FALSE)</f>
        <v xml:space="preserve">    </v>
      </c>
      <c r="H9" s="49" t="str">
        <f>VLOOKUP(D9,옵션그룹계산1!$AF$16:$AG$19,2,FALSE)</f>
        <v>(Grade 2)</v>
      </c>
      <c r="I9" s="50" t="str">
        <f t="shared" si="0"/>
        <v>장신구_탱커</v>
      </c>
      <c r="J9" s="49" t="str">
        <f>IF($D9&gt;=(J$2-1),VLOOKUP($I9,색인!$L$4:$R$11,J$2,FALSE)&amp;"_"&amp;$C9,"")</f>
        <v>체력_1</v>
      </c>
      <c r="K9" s="49" t="str">
        <f>IF($D9&gt;=(K$2-1),VLOOKUP($I9,색인!$L$4:$R$11,K$2,FALSE)&amp;"_"&amp;$C9,"")</f>
        <v/>
      </c>
      <c r="L9" s="49" t="str">
        <f>IF($D9&gt;=(L$2-1),VLOOKUP($I9,색인!$L$4:$R$11,L$2,FALSE)&amp;"_"&amp;$C9,"")</f>
        <v/>
      </c>
      <c r="M9" s="49" t="str">
        <f>IF($D9&gt;=(M$2-1),VLOOKUP($I9,색인!$L$4:$R$11,M$2,FALSE)&amp;"_"&amp;$C9,"")</f>
        <v/>
      </c>
      <c r="N9" s="49" t="str">
        <f>IF(AND(C9&gt;=6,D9&gt;=4),VLOOKUP($I9,색인!$L$4:$R$11,N$2,FALSE)&amp;"_"&amp;$C9,"")</f>
        <v/>
      </c>
      <c r="O9" s="49" t="str">
        <f>IF(AND(C9&gt;=6,D9&gt;=4),VLOOKUP($I9,색인!$L$4:$R$11,O$2,FALSE)&amp;"_"&amp;$C9,"")</f>
        <v/>
      </c>
      <c r="P9" s="50" t="str">
        <f t="shared" si="1"/>
        <v>1132</v>
      </c>
      <c r="Q9" s="49">
        <f>VLOOKUP(옵션그룹계산1!J9,색인!$E$4:$F$99,2,FALSE)</f>
        <v>201</v>
      </c>
      <c r="R9" s="49" t="str">
        <f>_xlfn.IFNA(VLOOKUP(옵션그룹계산1!K9,색인!$E$4:$F$99,2,FALSE),"")</f>
        <v/>
      </c>
      <c r="S9" s="49" t="str">
        <f>_xlfn.IFNA(VLOOKUP(옵션그룹계산1!L9,색인!$E$4:$F$99,2,FALSE),"")</f>
        <v/>
      </c>
      <c r="T9" s="49" t="str">
        <f>_xlfn.IFNA(VLOOKUP(옵션그룹계산1!M9,색인!$E$4:$F$99,2,FALSE),"")</f>
        <v/>
      </c>
      <c r="U9" s="49" t="str">
        <f>_xlfn.IFNA(VLOOKUP(옵션그룹계산1!N9,색인!$E$4:$F$99,2,FALSE),"")</f>
        <v/>
      </c>
      <c r="V9" s="49" t="str">
        <f>_xlfn.IFNA(VLOOKUP(옵션그룹계산1!O9,색인!$E$4:$F$99,2,FALSE),"")</f>
        <v/>
      </c>
      <c r="W9" s="50">
        <f t="shared" si="2"/>
        <v>1</v>
      </c>
      <c r="X9" s="50">
        <f t="shared" si="3"/>
        <v>1</v>
      </c>
      <c r="Y9" s="50">
        <f t="shared" si="4"/>
        <v>3</v>
      </c>
      <c r="Z9" s="50">
        <f t="shared" si="5"/>
        <v>2</v>
      </c>
      <c r="AA9" s="48" t="str">
        <f t="shared" si="6"/>
        <v>T1_1옵션_장신구_탱커</v>
      </c>
      <c r="AB9" s="50" t="str">
        <f t="shared" si="7"/>
        <v>1132</v>
      </c>
      <c r="AC9" s="49" t="str">
        <f t="shared" si="8"/>
        <v>T1_1옵션_장신구_탱커    (Grade 2)</v>
      </c>
      <c r="AD9" s="48" t="str">
        <f t="shared" si="9"/>
        <v>201</v>
      </c>
    </row>
    <row r="10" spans="2:34" x14ac:dyDescent="0.3">
      <c r="C10" s="51">
        <v>1</v>
      </c>
      <c r="D10" s="51">
        <v>1</v>
      </c>
      <c r="E10" s="51" t="s">
        <v>5396</v>
      </c>
      <c r="F10" s="51" t="s">
        <v>5397</v>
      </c>
      <c r="G10" s="50" t="str">
        <f>VLOOKUP(E10,옵션그룹계산1!$AF$4:$AH$7,3,FALSE)</f>
        <v xml:space="preserve">       </v>
      </c>
      <c r="H10" s="49" t="str">
        <f>VLOOKUP(D10,옵션그룹계산1!$AF$16:$AG$19,2,FALSE)</f>
        <v>(Grade 2)</v>
      </c>
      <c r="I10" s="50" t="str">
        <f t="shared" si="0"/>
        <v>보주_딜러</v>
      </c>
      <c r="J10" s="49" t="str">
        <f>IF($D10&gt;=(J$2-1),VLOOKUP($I10,색인!$L$4:$R$11,J$2,FALSE)&amp;"_"&amp;$C10,"")</f>
        <v>공격력_1</v>
      </c>
      <c r="K10" s="49" t="str">
        <f>IF($D10&gt;=(K$2-1),VLOOKUP($I10,색인!$L$4:$R$11,K$2,FALSE)&amp;"_"&amp;$C10,"")</f>
        <v/>
      </c>
      <c r="L10" s="49" t="str">
        <f>IF($D10&gt;=(L$2-1),VLOOKUP($I10,색인!$L$4:$R$11,L$2,FALSE)&amp;"_"&amp;$C10,"")</f>
        <v/>
      </c>
      <c r="M10" s="49" t="str">
        <f>IF($D10&gt;=(M$2-1),VLOOKUP($I10,색인!$L$4:$R$11,M$2,FALSE)&amp;"_"&amp;$C10,"")</f>
        <v/>
      </c>
      <c r="N10" s="49" t="str">
        <f>IF(AND(C10&gt;=6,D10&gt;=4),VLOOKUP($I10,색인!$L$4:$R$11,N$2,FALSE)&amp;"_"&amp;$C10,"")</f>
        <v/>
      </c>
      <c r="O10" s="49" t="str">
        <f>IF(AND(C10&gt;=6,D10&gt;=4),VLOOKUP($I10,색인!$L$4:$R$11,O$2,FALSE)&amp;"_"&amp;$C10,"")</f>
        <v/>
      </c>
      <c r="P10" s="50" t="str">
        <f t="shared" si="1"/>
        <v>1141</v>
      </c>
      <c r="Q10" s="49">
        <f>VLOOKUP(옵션그룹계산1!J10,색인!$E$4:$F$99,2,FALSE)</f>
        <v>101</v>
      </c>
      <c r="R10" s="49" t="str">
        <f>_xlfn.IFNA(VLOOKUP(옵션그룹계산1!K10,색인!$E$4:$F$99,2,FALSE),"")</f>
        <v/>
      </c>
      <c r="S10" s="49" t="str">
        <f>_xlfn.IFNA(VLOOKUP(옵션그룹계산1!L10,색인!$E$4:$F$99,2,FALSE),"")</f>
        <v/>
      </c>
      <c r="T10" s="49" t="str">
        <f>_xlfn.IFNA(VLOOKUP(옵션그룹계산1!M10,색인!$E$4:$F$99,2,FALSE),"")</f>
        <v/>
      </c>
      <c r="U10" s="49" t="str">
        <f>_xlfn.IFNA(VLOOKUP(옵션그룹계산1!N10,색인!$E$4:$F$99,2,FALSE),"")</f>
        <v/>
      </c>
      <c r="V10" s="49" t="str">
        <f>_xlfn.IFNA(VLOOKUP(옵션그룹계산1!O10,색인!$E$4:$F$99,2,FALSE),"")</f>
        <v/>
      </c>
      <c r="W10" s="50">
        <f t="shared" si="2"/>
        <v>1</v>
      </c>
      <c r="X10" s="50">
        <f t="shared" si="3"/>
        <v>1</v>
      </c>
      <c r="Y10" s="50">
        <f t="shared" si="4"/>
        <v>4</v>
      </c>
      <c r="Z10" s="50">
        <f t="shared" si="5"/>
        <v>1</v>
      </c>
      <c r="AA10" s="48" t="str">
        <f t="shared" si="6"/>
        <v>T1_1옵션_보주_딜러</v>
      </c>
      <c r="AB10" s="50" t="str">
        <f t="shared" si="7"/>
        <v>1141</v>
      </c>
      <c r="AC10" s="49" t="str">
        <f t="shared" si="8"/>
        <v>T1_1옵션_보주_딜러       (Grade 2)</v>
      </c>
      <c r="AD10" s="48" t="str">
        <f t="shared" si="9"/>
        <v>101</v>
      </c>
      <c r="AF10" s="54" t="s">
        <v>5410</v>
      </c>
      <c r="AG10" s="54" t="s">
        <v>5409</v>
      </c>
    </row>
    <row r="11" spans="2:34" x14ac:dyDescent="0.3">
      <c r="C11" s="51">
        <v>1</v>
      </c>
      <c r="D11" s="51">
        <v>1</v>
      </c>
      <c r="E11" s="51" t="s">
        <v>5396</v>
      </c>
      <c r="F11" s="51" t="s">
        <v>5395</v>
      </c>
      <c r="G11" s="50" t="str">
        <f>VLOOKUP(E11,옵션그룹계산1!$AF$4:$AH$7,3,FALSE)</f>
        <v xml:space="preserve">       </v>
      </c>
      <c r="H11" s="49" t="str">
        <f>VLOOKUP(D11,옵션그룹계산1!$AF$16:$AG$19,2,FALSE)</f>
        <v>(Grade 2)</v>
      </c>
      <c r="I11" s="50" t="str">
        <f t="shared" si="0"/>
        <v>보주_탱커</v>
      </c>
      <c r="J11" s="49" t="str">
        <f>IF($D11&gt;=(J$2-1),VLOOKUP($I11,색인!$L$4:$R$11,J$2,FALSE)&amp;"_"&amp;$C11,"")</f>
        <v>체력_1</v>
      </c>
      <c r="K11" s="49" t="str">
        <f>IF($D11&gt;=(K$2-1),VLOOKUP($I11,색인!$L$4:$R$11,K$2,FALSE)&amp;"_"&amp;$C11,"")</f>
        <v/>
      </c>
      <c r="L11" s="49" t="str">
        <f>IF($D11&gt;=(L$2-1),VLOOKUP($I11,색인!$L$4:$R$11,L$2,FALSE)&amp;"_"&amp;$C11,"")</f>
        <v/>
      </c>
      <c r="M11" s="49" t="str">
        <f>IF($D11&gt;=(M$2-1),VLOOKUP($I11,색인!$L$4:$R$11,M$2,FALSE)&amp;"_"&amp;$C11,"")</f>
        <v/>
      </c>
      <c r="N11" s="49" t="str">
        <f>IF(AND(C11&gt;=6,D11&gt;=4),VLOOKUP($I11,색인!$L$4:$R$11,N$2,FALSE)&amp;"_"&amp;$C11,"")</f>
        <v/>
      </c>
      <c r="O11" s="49" t="str">
        <f>IF(AND(C11&gt;=6,D11&gt;=4),VLOOKUP($I11,색인!$L$4:$R$11,O$2,FALSE)&amp;"_"&amp;$C11,"")</f>
        <v/>
      </c>
      <c r="P11" s="50" t="str">
        <f t="shared" si="1"/>
        <v>1142</v>
      </c>
      <c r="Q11" s="49">
        <f>VLOOKUP(옵션그룹계산1!J11,색인!$E$4:$F$99,2,FALSE)</f>
        <v>201</v>
      </c>
      <c r="R11" s="49" t="str">
        <f>_xlfn.IFNA(VLOOKUP(옵션그룹계산1!K11,색인!$E$4:$F$99,2,FALSE),"")</f>
        <v/>
      </c>
      <c r="S11" s="49" t="str">
        <f>_xlfn.IFNA(VLOOKUP(옵션그룹계산1!L11,색인!$E$4:$F$99,2,FALSE),"")</f>
        <v/>
      </c>
      <c r="T11" s="49" t="str">
        <f>_xlfn.IFNA(VLOOKUP(옵션그룹계산1!M11,색인!$E$4:$F$99,2,FALSE),"")</f>
        <v/>
      </c>
      <c r="U11" s="49" t="str">
        <f>_xlfn.IFNA(VLOOKUP(옵션그룹계산1!N11,색인!$E$4:$F$99,2,FALSE),"")</f>
        <v/>
      </c>
      <c r="V11" s="49" t="str">
        <f>_xlfn.IFNA(VLOOKUP(옵션그룹계산1!O11,색인!$E$4:$F$99,2,FALSE),"")</f>
        <v/>
      </c>
      <c r="W11" s="50">
        <f t="shared" si="2"/>
        <v>1</v>
      </c>
      <c r="X11" s="50">
        <f t="shared" si="3"/>
        <v>1</v>
      </c>
      <c r="Y11" s="50">
        <f t="shared" si="4"/>
        <v>4</v>
      </c>
      <c r="Z11" s="50">
        <f t="shared" si="5"/>
        <v>2</v>
      </c>
      <c r="AA11" s="48" t="str">
        <f t="shared" si="6"/>
        <v>T1_1옵션_보주_탱커</v>
      </c>
      <c r="AB11" s="50" t="str">
        <f t="shared" si="7"/>
        <v>1142</v>
      </c>
      <c r="AC11" s="49" t="str">
        <f t="shared" si="8"/>
        <v>T1_1옵션_보주_탱커       (Grade 2)</v>
      </c>
      <c r="AD11" s="48" t="str">
        <f t="shared" si="9"/>
        <v>201</v>
      </c>
      <c r="AF11" s="53" t="s">
        <v>5408</v>
      </c>
      <c r="AG11" s="53">
        <v>1</v>
      </c>
    </row>
    <row r="12" spans="2:34" x14ac:dyDescent="0.3">
      <c r="C12" s="51">
        <v>1</v>
      </c>
      <c r="D12" s="51">
        <v>2</v>
      </c>
      <c r="E12" s="51" t="s">
        <v>5400</v>
      </c>
      <c r="F12" s="51" t="s">
        <v>5397</v>
      </c>
      <c r="G12" s="50" t="str">
        <f>VLOOKUP(E12,옵션그룹계산1!$AF$4:$AH$7,3,FALSE)</f>
        <v xml:space="preserve">    </v>
      </c>
      <c r="H12" s="49" t="str">
        <f>VLOOKUP(D12,옵션그룹계산1!$AF$16:$AG$19,2,FALSE)</f>
        <v>(Grade 3)</v>
      </c>
      <c r="I12" s="50" t="str">
        <f t="shared" si="0"/>
        <v>방어구_딜러</v>
      </c>
      <c r="J12" s="49" t="str">
        <f>IF($D12&gt;=(J$2-1),VLOOKUP($I12,색인!$L$4:$R$11,J$2,FALSE)&amp;"_"&amp;$C12,"")</f>
        <v>공격력_1</v>
      </c>
      <c r="K12" s="49" t="str">
        <f>IF($D12&gt;=(K$2-1),VLOOKUP($I12,색인!$L$4:$R$11,K$2,FALSE)&amp;"_"&amp;$C12,"")</f>
        <v>공격속도_1</v>
      </c>
      <c r="L12" s="49" t="str">
        <f>IF($D12&gt;=(L$2-1),VLOOKUP($I12,색인!$L$4:$R$11,L$2,FALSE)&amp;"_"&amp;$C12,"")</f>
        <v/>
      </c>
      <c r="M12" s="49" t="str">
        <f>IF($D12&gt;=(M$2-1),VLOOKUP($I12,색인!$L$4:$R$11,M$2,FALSE)&amp;"_"&amp;$C12,"")</f>
        <v/>
      </c>
      <c r="N12" s="49" t="str">
        <f>IF(AND(C12&gt;=6,D12&gt;=4),VLOOKUP($I12,색인!$L$4:$R$11,N$2,FALSE)&amp;"_"&amp;$C12,"")</f>
        <v/>
      </c>
      <c r="O12" s="49" t="str">
        <f>IF(AND(C12&gt;=6,D12&gt;=4),VLOOKUP($I12,색인!$L$4:$R$11,O$2,FALSE)&amp;"_"&amp;$C12,"")</f>
        <v/>
      </c>
      <c r="P12" s="50" t="str">
        <f t="shared" si="1"/>
        <v>1211</v>
      </c>
      <c r="Q12" s="49">
        <f>VLOOKUP(옵션그룹계산1!J12,색인!$E$4:$F$99,2,FALSE)</f>
        <v>101</v>
      </c>
      <c r="R12" s="49">
        <f>_xlfn.IFNA(VLOOKUP(옵션그룹계산1!K12,색인!$E$4:$F$99,2,FALSE),"")</f>
        <v>1101</v>
      </c>
      <c r="S12" s="49" t="str">
        <f>_xlfn.IFNA(VLOOKUP(옵션그룹계산1!L12,색인!$E$4:$F$99,2,FALSE),"")</f>
        <v/>
      </c>
      <c r="T12" s="49" t="str">
        <f>_xlfn.IFNA(VLOOKUP(옵션그룹계산1!M12,색인!$E$4:$F$99,2,FALSE),"")</f>
        <v/>
      </c>
      <c r="U12" s="49" t="str">
        <f>_xlfn.IFNA(VLOOKUP(옵션그룹계산1!N12,색인!$E$4:$F$99,2,FALSE),"")</f>
        <v/>
      </c>
      <c r="V12" s="49" t="str">
        <f>_xlfn.IFNA(VLOOKUP(옵션그룹계산1!O12,색인!$E$4:$F$99,2,FALSE),"")</f>
        <v/>
      </c>
      <c r="W12" s="50">
        <f t="shared" si="2"/>
        <v>1</v>
      </c>
      <c r="X12" s="50">
        <f t="shared" si="3"/>
        <v>2</v>
      </c>
      <c r="Y12" s="50">
        <f t="shared" si="4"/>
        <v>1</v>
      </c>
      <c r="Z12" s="50">
        <f t="shared" si="5"/>
        <v>1</v>
      </c>
      <c r="AA12" s="48" t="str">
        <f t="shared" si="6"/>
        <v>T1_2옵션_방어구_딜러</v>
      </c>
      <c r="AB12" s="50" t="str">
        <f t="shared" si="7"/>
        <v>1211</v>
      </c>
      <c r="AC12" s="49" t="str">
        <f t="shared" si="8"/>
        <v>T1_2옵션_방어구_딜러    (Grade 3)</v>
      </c>
      <c r="AD12" s="48" t="str">
        <f t="shared" si="9"/>
        <v>101,1101</v>
      </c>
      <c r="AF12" s="53" t="s">
        <v>5407</v>
      </c>
      <c r="AG12" s="53">
        <v>2</v>
      </c>
    </row>
    <row r="13" spans="2:34" x14ac:dyDescent="0.3">
      <c r="C13" s="51">
        <v>1</v>
      </c>
      <c r="D13" s="51">
        <v>2</v>
      </c>
      <c r="E13" s="51" t="s">
        <v>5400</v>
      </c>
      <c r="F13" s="51" t="s">
        <v>5395</v>
      </c>
      <c r="G13" s="50" t="str">
        <f>VLOOKUP(E13,옵션그룹계산1!$AF$4:$AH$7,3,FALSE)</f>
        <v xml:space="preserve">    </v>
      </c>
      <c r="H13" s="49" t="str">
        <f>VLOOKUP(D13,옵션그룹계산1!$AF$16:$AG$19,2,FALSE)</f>
        <v>(Grade 3)</v>
      </c>
      <c r="I13" s="50" t="str">
        <f t="shared" si="0"/>
        <v>방어구_탱커</v>
      </c>
      <c r="J13" s="49" t="str">
        <f>IF($D13&gt;=(J$2-1),VLOOKUP($I13,색인!$L$4:$R$11,J$2,FALSE)&amp;"_"&amp;$C13,"")</f>
        <v>공격속도_1</v>
      </c>
      <c r="K13" s="49" t="str">
        <f>IF($D13&gt;=(K$2-1),VLOOKUP($I13,색인!$L$4:$R$11,K$2,FALSE)&amp;"_"&amp;$C13,"")</f>
        <v>물리블록_1</v>
      </c>
      <c r="L13" s="49" t="str">
        <f>IF($D13&gt;=(L$2-1),VLOOKUP($I13,색인!$L$4:$R$11,L$2,FALSE)&amp;"_"&amp;$C13,"")</f>
        <v/>
      </c>
      <c r="M13" s="49" t="str">
        <f>IF($D13&gt;=(M$2-1),VLOOKUP($I13,색인!$L$4:$R$11,M$2,FALSE)&amp;"_"&amp;$C13,"")</f>
        <v/>
      </c>
      <c r="N13" s="49" t="str">
        <f>IF(AND(C13&gt;=6,D13&gt;=4),VLOOKUP($I13,색인!$L$4:$R$11,N$2,FALSE)&amp;"_"&amp;$C13,"")</f>
        <v/>
      </c>
      <c r="O13" s="49" t="str">
        <f>IF(AND(C13&gt;=6,D13&gt;=4),VLOOKUP($I13,색인!$L$4:$R$11,O$2,FALSE)&amp;"_"&amp;$C13,"")</f>
        <v/>
      </c>
      <c r="P13" s="50" t="str">
        <f t="shared" si="1"/>
        <v>1212</v>
      </c>
      <c r="Q13" s="49">
        <f>VLOOKUP(옵션그룹계산1!J13,색인!$E$4:$F$99,2,FALSE)</f>
        <v>1101</v>
      </c>
      <c r="R13" s="49">
        <f>_xlfn.IFNA(VLOOKUP(옵션그룹계산1!K13,색인!$E$4:$F$99,2,FALSE),"")</f>
        <v>901</v>
      </c>
      <c r="S13" s="49" t="str">
        <f>_xlfn.IFNA(VLOOKUP(옵션그룹계산1!L13,색인!$E$4:$F$99,2,FALSE),"")</f>
        <v/>
      </c>
      <c r="T13" s="49" t="str">
        <f>_xlfn.IFNA(VLOOKUP(옵션그룹계산1!M13,색인!$E$4:$F$99,2,FALSE),"")</f>
        <v/>
      </c>
      <c r="U13" s="49" t="str">
        <f>_xlfn.IFNA(VLOOKUP(옵션그룹계산1!N13,색인!$E$4:$F$99,2,FALSE),"")</f>
        <v/>
      </c>
      <c r="V13" s="49" t="str">
        <f>_xlfn.IFNA(VLOOKUP(옵션그룹계산1!O13,색인!$E$4:$F$99,2,FALSE),"")</f>
        <v/>
      </c>
      <c r="W13" s="50">
        <f t="shared" si="2"/>
        <v>1</v>
      </c>
      <c r="X13" s="50">
        <f t="shared" si="3"/>
        <v>2</v>
      </c>
      <c r="Y13" s="50">
        <f t="shared" si="4"/>
        <v>1</v>
      </c>
      <c r="Z13" s="50">
        <f t="shared" si="5"/>
        <v>2</v>
      </c>
      <c r="AA13" s="48" t="str">
        <f t="shared" si="6"/>
        <v>T1_2옵션_방어구_탱커</v>
      </c>
      <c r="AB13" s="50" t="str">
        <f t="shared" si="7"/>
        <v>1212</v>
      </c>
      <c r="AC13" s="49" t="str">
        <f t="shared" si="8"/>
        <v>T1_2옵션_방어구_탱커    (Grade 3)</v>
      </c>
      <c r="AD13" s="48" t="str">
        <f t="shared" si="9"/>
        <v>1101,901</v>
      </c>
    </row>
    <row r="14" spans="2:34" x14ac:dyDescent="0.3">
      <c r="C14" s="51">
        <v>1</v>
      </c>
      <c r="D14" s="51">
        <v>2</v>
      </c>
      <c r="E14" s="51" t="s">
        <v>5399</v>
      </c>
      <c r="F14" s="51" t="s">
        <v>5397</v>
      </c>
      <c r="G14" s="50" t="str">
        <f>VLOOKUP(E14,옵션그룹계산1!$AF$4:$AH$7,3,FALSE)</f>
        <v xml:space="preserve"> </v>
      </c>
      <c r="H14" s="49" t="str">
        <f>VLOOKUP(D14,옵션그룹계산1!$AF$16:$AG$19,2,FALSE)</f>
        <v>(Grade 3)</v>
      </c>
      <c r="I14" s="50" t="str">
        <f t="shared" si="0"/>
        <v>보조장비_딜러</v>
      </c>
      <c r="J14" s="49" t="str">
        <f>IF($D14&gt;=(J$2-1),VLOOKUP($I14,색인!$L$4:$R$11,J$2,FALSE)&amp;"_"&amp;$C14,"")</f>
        <v>공격력_1</v>
      </c>
      <c r="K14" s="49" t="str">
        <f>IF($D14&gt;=(K$2-1),VLOOKUP($I14,색인!$L$4:$R$11,K$2,FALSE)&amp;"_"&amp;$C14,"")</f>
        <v>공격속도_1</v>
      </c>
      <c r="L14" s="49" t="str">
        <f>IF($D14&gt;=(L$2-1),VLOOKUP($I14,색인!$L$4:$R$11,L$2,FALSE)&amp;"_"&amp;$C14,"")</f>
        <v/>
      </c>
      <c r="M14" s="49" t="str">
        <f>IF($D14&gt;=(M$2-1),VLOOKUP($I14,색인!$L$4:$R$11,M$2,FALSE)&amp;"_"&amp;$C14,"")</f>
        <v/>
      </c>
      <c r="N14" s="49" t="str">
        <f>IF(AND(C14&gt;=6,D14&gt;=4),VLOOKUP($I14,색인!$L$4:$R$11,N$2,FALSE)&amp;"_"&amp;$C14,"")</f>
        <v/>
      </c>
      <c r="O14" s="49" t="str">
        <f>IF(AND(C14&gt;=6,D14&gt;=4),VLOOKUP($I14,색인!$L$4:$R$11,O$2,FALSE)&amp;"_"&amp;$C14,"")</f>
        <v/>
      </c>
      <c r="P14" s="50" t="str">
        <f t="shared" si="1"/>
        <v>1221</v>
      </c>
      <c r="Q14" s="49">
        <f>VLOOKUP(옵션그룹계산1!J14,색인!$E$4:$F$99,2,FALSE)</f>
        <v>101</v>
      </c>
      <c r="R14" s="49">
        <f>_xlfn.IFNA(VLOOKUP(옵션그룹계산1!K14,색인!$E$4:$F$99,2,FALSE),"")</f>
        <v>1101</v>
      </c>
      <c r="S14" s="49" t="str">
        <f>_xlfn.IFNA(VLOOKUP(옵션그룹계산1!L14,색인!$E$4:$F$99,2,FALSE),"")</f>
        <v/>
      </c>
      <c r="T14" s="49" t="str">
        <f>_xlfn.IFNA(VLOOKUP(옵션그룹계산1!M14,색인!$E$4:$F$99,2,FALSE),"")</f>
        <v/>
      </c>
      <c r="U14" s="49" t="str">
        <f>_xlfn.IFNA(VLOOKUP(옵션그룹계산1!N14,색인!$E$4:$F$99,2,FALSE),"")</f>
        <v/>
      </c>
      <c r="V14" s="49" t="str">
        <f>_xlfn.IFNA(VLOOKUP(옵션그룹계산1!O14,색인!$E$4:$F$99,2,FALSE),"")</f>
        <v/>
      </c>
      <c r="W14" s="50">
        <f t="shared" si="2"/>
        <v>1</v>
      </c>
      <c r="X14" s="50">
        <f t="shared" si="3"/>
        <v>2</v>
      </c>
      <c r="Y14" s="50">
        <f t="shared" si="4"/>
        <v>2</v>
      </c>
      <c r="Z14" s="50">
        <f t="shared" si="5"/>
        <v>1</v>
      </c>
      <c r="AA14" s="48" t="str">
        <f t="shared" si="6"/>
        <v>T1_2옵션_보조장비_딜러</v>
      </c>
      <c r="AB14" s="50" t="str">
        <f t="shared" si="7"/>
        <v>1221</v>
      </c>
      <c r="AC14" s="49" t="str">
        <f t="shared" si="8"/>
        <v>T1_2옵션_보조장비_딜러 (Grade 3)</v>
      </c>
      <c r="AD14" s="48" t="str">
        <f t="shared" si="9"/>
        <v>101,1101</v>
      </c>
    </row>
    <row r="15" spans="2:34" x14ac:dyDescent="0.3">
      <c r="C15" s="51">
        <v>1</v>
      </c>
      <c r="D15" s="51">
        <v>2</v>
      </c>
      <c r="E15" s="51" t="s">
        <v>5399</v>
      </c>
      <c r="F15" s="51" t="s">
        <v>5395</v>
      </c>
      <c r="G15" s="50" t="str">
        <f>VLOOKUP(E15,옵션그룹계산1!$AF$4:$AH$7,3,FALSE)</f>
        <v xml:space="preserve"> </v>
      </c>
      <c r="H15" s="49" t="str">
        <f>VLOOKUP(D15,옵션그룹계산1!$AF$16:$AG$19,2,FALSE)</f>
        <v>(Grade 3)</v>
      </c>
      <c r="I15" s="50" t="str">
        <f t="shared" si="0"/>
        <v>보조장비_탱커</v>
      </c>
      <c r="J15" s="49" t="str">
        <f>IF($D15&gt;=(J$2-1),VLOOKUP($I15,색인!$L$4:$R$11,J$2,FALSE)&amp;"_"&amp;$C15,"")</f>
        <v>공격속도_1</v>
      </c>
      <c r="K15" s="49" t="str">
        <f>IF($D15&gt;=(K$2-1),VLOOKUP($I15,색인!$L$4:$R$11,K$2,FALSE)&amp;"_"&amp;$C15,"")</f>
        <v>마법블록_1</v>
      </c>
      <c r="L15" s="49" t="str">
        <f>IF($D15&gt;=(L$2-1),VLOOKUP($I15,색인!$L$4:$R$11,L$2,FALSE)&amp;"_"&amp;$C15,"")</f>
        <v/>
      </c>
      <c r="M15" s="49" t="str">
        <f>IF($D15&gt;=(M$2-1),VLOOKUP($I15,색인!$L$4:$R$11,M$2,FALSE)&amp;"_"&amp;$C15,"")</f>
        <v/>
      </c>
      <c r="N15" s="49" t="str">
        <f>IF(AND(C15&gt;=6,D15&gt;=4),VLOOKUP($I15,색인!$L$4:$R$11,N$2,FALSE)&amp;"_"&amp;$C15,"")</f>
        <v/>
      </c>
      <c r="O15" s="49" t="str">
        <f>IF(AND(C15&gt;=6,D15&gt;=4),VLOOKUP($I15,색인!$L$4:$R$11,O$2,FALSE)&amp;"_"&amp;$C15,"")</f>
        <v/>
      </c>
      <c r="P15" s="50" t="str">
        <f t="shared" si="1"/>
        <v>1222</v>
      </c>
      <c r="Q15" s="49">
        <f>VLOOKUP(옵션그룹계산1!J15,색인!$E$4:$F$99,2,FALSE)</f>
        <v>1101</v>
      </c>
      <c r="R15" s="49">
        <f>_xlfn.IFNA(VLOOKUP(옵션그룹계산1!K15,색인!$E$4:$F$99,2,FALSE),"")</f>
        <v>1901</v>
      </c>
      <c r="S15" s="49" t="str">
        <f>_xlfn.IFNA(VLOOKUP(옵션그룹계산1!L15,색인!$E$4:$F$99,2,FALSE),"")</f>
        <v/>
      </c>
      <c r="T15" s="49" t="str">
        <f>_xlfn.IFNA(VLOOKUP(옵션그룹계산1!M15,색인!$E$4:$F$99,2,FALSE),"")</f>
        <v/>
      </c>
      <c r="U15" s="49" t="str">
        <f>_xlfn.IFNA(VLOOKUP(옵션그룹계산1!N15,색인!$E$4:$F$99,2,FALSE),"")</f>
        <v/>
      </c>
      <c r="V15" s="49" t="str">
        <f>_xlfn.IFNA(VLOOKUP(옵션그룹계산1!O15,색인!$E$4:$F$99,2,FALSE),"")</f>
        <v/>
      </c>
      <c r="W15" s="50">
        <f t="shared" si="2"/>
        <v>1</v>
      </c>
      <c r="X15" s="50">
        <f t="shared" si="3"/>
        <v>2</v>
      </c>
      <c r="Y15" s="50">
        <f t="shared" si="4"/>
        <v>2</v>
      </c>
      <c r="Z15" s="50">
        <f t="shared" si="5"/>
        <v>2</v>
      </c>
      <c r="AA15" s="48" t="str">
        <f t="shared" si="6"/>
        <v>T1_2옵션_보조장비_탱커</v>
      </c>
      <c r="AB15" s="50" t="str">
        <f t="shared" si="7"/>
        <v>1222</v>
      </c>
      <c r="AC15" s="49" t="str">
        <f t="shared" si="8"/>
        <v>T1_2옵션_보조장비_탱커 (Grade 3)</v>
      </c>
      <c r="AD15" s="48" t="str">
        <f t="shared" si="9"/>
        <v>1101,1901</v>
      </c>
      <c r="AF15" s="54" t="s">
        <v>5406</v>
      </c>
      <c r="AG15" s="54" t="s">
        <v>5405</v>
      </c>
    </row>
    <row r="16" spans="2:34" x14ac:dyDescent="0.3">
      <c r="C16" s="51">
        <v>1</v>
      </c>
      <c r="D16" s="51">
        <v>2</v>
      </c>
      <c r="E16" s="51" t="s">
        <v>5398</v>
      </c>
      <c r="F16" s="51" t="s">
        <v>5397</v>
      </c>
      <c r="G16" s="50" t="str">
        <f>VLOOKUP(E16,옵션그룹계산1!$AF$4:$AH$7,3,FALSE)</f>
        <v xml:space="preserve">    </v>
      </c>
      <c r="H16" s="49" t="str">
        <f>VLOOKUP(D16,옵션그룹계산1!$AF$16:$AG$19,2,FALSE)</f>
        <v>(Grade 3)</v>
      </c>
      <c r="I16" s="50" t="str">
        <f t="shared" si="0"/>
        <v>장신구_딜러</v>
      </c>
      <c r="J16" s="49" t="str">
        <f>IF($D16&gt;=(J$2-1),VLOOKUP($I16,색인!$L$4:$R$11,J$2,FALSE)&amp;"_"&amp;$C16,"")</f>
        <v>공격력_1</v>
      </c>
      <c r="K16" s="49" t="str">
        <f>IF($D16&gt;=(K$2-1),VLOOKUP($I16,색인!$L$4:$R$11,K$2,FALSE)&amp;"_"&amp;$C16,"")</f>
        <v>공격속도_1</v>
      </c>
      <c r="L16" s="49" t="str">
        <f>IF($D16&gt;=(L$2-1),VLOOKUP($I16,색인!$L$4:$R$11,L$2,FALSE)&amp;"_"&amp;$C16,"")</f>
        <v/>
      </c>
      <c r="M16" s="49" t="str">
        <f>IF($D16&gt;=(M$2-1),VLOOKUP($I16,색인!$L$4:$R$11,M$2,FALSE)&amp;"_"&amp;$C16,"")</f>
        <v/>
      </c>
      <c r="N16" s="49" t="str">
        <f>IF(AND(C16&gt;=6,D16&gt;=4),VLOOKUP($I16,색인!$L$4:$R$11,N$2,FALSE)&amp;"_"&amp;$C16,"")</f>
        <v/>
      </c>
      <c r="O16" s="49" t="str">
        <f>IF(AND(C16&gt;=6,D16&gt;=4),VLOOKUP($I16,색인!$L$4:$R$11,O$2,FALSE)&amp;"_"&amp;$C16,"")</f>
        <v/>
      </c>
      <c r="P16" s="50" t="str">
        <f t="shared" si="1"/>
        <v>1231</v>
      </c>
      <c r="Q16" s="49">
        <f>VLOOKUP(옵션그룹계산1!J16,색인!$E$4:$F$99,2,FALSE)</f>
        <v>101</v>
      </c>
      <c r="R16" s="49">
        <f>_xlfn.IFNA(VLOOKUP(옵션그룹계산1!K16,색인!$E$4:$F$99,2,FALSE),"")</f>
        <v>1101</v>
      </c>
      <c r="S16" s="49" t="str">
        <f>_xlfn.IFNA(VLOOKUP(옵션그룹계산1!L16,색인!$E$4:$F$99,2,FALSE),"")</f>
        <v/>
      </c>
      <c r="T16" s="49" t="str">
        <f>_xlfn.IFNA(VLOOKUP(옵션그룹계산1!M16,색인!$E$4:$F$99,2,FALSE),"")</f>
        <v/>
      </c>
      <c r="U16" s="49" t="str">
        <f>_xlfn.IFNA(VLOOKUP(옵션그룹계산1!N16,색인!$E$4:$F$99,2,FALSE),"")</f>
        <v/>
      </c>
      <c r="V16" s="49" t="str">
        <f>_xlfn.IFNA(VLOOKUP(옵션그룹계산1!O16,색인!$E$4:$F$99,2,FALSE),"")</f>
        <v/>
      </c>
      <c r="W16" s="50">
        <f t="shared" si="2"/>
        <v>1</v>
      </c>
      <c r="X16" s="50">
        <f t="shared" si="3"/>
        <v>2</v>
      </c>
      <c r="Y16" s="50">
        <f t="shared" si="4"/>
        <v>3</v>
      </c>
      <c r="Z16" s="50">
        <f t="shared" si="5"/>
        <v>1</v>
      </c>
      <c r="AA16" s="48" t="str">
        <f t="shared" si="6"/>
        <v>T1_2옵션_장신구_딜러</v>
      </c>
      <c r="AB16" s="50" t="str">
        <f t="shared" si="7"/>
        <v>1231</v>
      </c>
      <c r="AC16" s="49" t="str">
        <f t="shared" si="8"/>
        <v>T1_2옵션_장신구_딜러    (Grade 3)</v>
      </c>
      <c r="AD16" s="48" t="str">
        <f t="shared" si="9"/>
        <v>101,1101</v>
      </c>
      <c r="AF16" s="53">
        <v>1</v>
      </c>
      <c r="AG16" s="52" t="s">
        <v>5404</v>
      </c>
    </row>
    <row r="17" spans="3:33" x14ac:dyDescent="0.3">
      <c r="C17" s="51">
        <v>1</v>
      </c>
      <c r="D17" s="51">
        <v>2</v>
      </c>
      <c r="E17" s="51" t="s">
        <v>5398</v>
      </c>
      <c r="F17" s="51" t="s">
        <v>5395</v>
      </c>
      <c r="G17" s="50" t="str">
        <f>VLOOKUP(E17,옵션그룹계산1!$AF$4:$AH$7,3,FALSE)</f>
        <v xml:space="preserve">    </v>
      </c>
      <c r="H17" s="49" t="str">
        <f>VLOOKUP(D17,옵션그룹계산1!$AF$16:$AG$19,2,FALSE)</f>
        <v>(Grade 3)</v>
      </c>
      <c r="I17" s="50" t="str">
        <f t="shared" si="0"/>
        <v>장신구_탱커</v>
      </c>
      <c r="J17" s="49" t="str">
        <f>IF($D17&gt;=(J$2-1),VLOOKUP($I17,색인!$L$4:$R$11,J$2,FALSE)&amp;"_"&amp;$C17,"")</f>
        <v>체력_1</v>
      </c>
      <c r="K17" s="49" t="str">
        <f>IF($D17&gt;=(K$2-1),VLOOKUP($I17,색인!$L$4:$R$11,K$2,FALSE)&amp;"_"&amp;$C17,"")</f>
        <v>물리블록_1</v>
      </c>
      <c r="L17" s="49" t="str">
        <f>IF($D17&gt;=(L$2-1),VLOOKUP($I17,색인!$L$4:$R$11,L$2,FALSE)&amp;"_"&amp;$C17,"")</f>
        <v/>
      </c>
      <c r="M17" s="49" t="str">
        <f>IF($D17&gt;=(M$2-1),VLOOKUP($I17,색인!$L$4:$R$11,M$2,FALSE)&amp;"_"&amp;$C17,"")</f>
        <v/>
      </c>
      <c r="N17" s="49" t="str">
        <f>IF(AND(C17&gt;=6,D17&gt;=4),VLOOKUP($I17,색인!$L$4:$R$11,N$2,FALSE)&amp;"_"&amp;$C17,"")</f>
        <v/>
      </c>
      <c r="O17" s="49" t="str">
        <f>IF(AND(C17&gt;=6,D17&gt;=4),VLOOKUP($I17,색인!$L$4:$R$11,O$2,FALSE)&amp;"_"&amp;$C17,"")</f>
        <v/>
      </c>
      <c r="P17" s="50" t="str">
        <f t="shared" si="1"/>
        <v>1232</v>
      </c>
      <c r="Q17" s="49">
        <f>VLOOKUP(옵션그룹계산1!J17,색인!$E$4:$F$99,2,FALSE)</f>
        <v>201</v>
      </c>
      <c r="R17" s="49">
        <f>_xlfn.IFNA(VLOOKUP(옵션그룹계산1!K17,색인!$E$4:$F$99,2,FALSE),"")</f>
        <v>901</v>
      </c>
      <c r="S17" s="49" t="str">
        <f>_xlfn.IFNA(VLOOKUP(옵션그룹계산1!L17,색인!$E$4:$F$99,2,FALSE),"")</f>
        <v/>
      </c>
      <c r="T17" s="49" t="str">
        <f>_xlfn.IFNA(VLOOKUP(옵션그룹계산1!M17,색인!$E$4:$F$99,2,FALSE),"")</f>
        <v/>
      </c>
      <c r="U17" s="49" t="str">
        <f>_xlfn.IFNA(VLOOKUP(옵션그룹계산1!N17,색인!$E$4:$F$99,2,FALSE),"")</f>
        <v/>
      </c>
      <c r="V17" s="49" t="str">
        <f>_xlfn.IFNA(VLOOKUP(옵션그룹계산1!O17,색인!$E$4:$F$99,2,FALSE),"")</f>
        <v/>
      </c>
      <c r="W17" s="50">
        <f t="shared" si="2"/>
        <v>1</v>
      </c>
      <c r="X17" s="50">
        <f t="shared" si="3"/>
        <v>2</v>
      </c>
      <c r="Y17" s="50">
        <f t="shared" si="4"/>
        <v>3</v>
      </c>
      <c r="Z17" s="50">
        <f t="shared" si="5"/>
        <v>2</v>
      </c>
      <c r="AA17" s="48" t="str">
        <f t="shared" si="6"/>
        <v>T1_2옵션_장신구_탱커</v>
      </c>
      <c r="AB17" s="50" t="str">
        <f t="shared" si="7"/>
        <v>1232</v>
      </c>
      <c r="AC17" s="49" t="str">
        <f t="shared" si="8"/>
        <v>T1_2옵션_장신구_탱커    (Grade 3)</v>
      </c>
      <c r="AD17" s="48" t="str">
        <f t="shared" si="9"/>
        <v>201,901</v>
      </c>
      <c r="AF17" s="53">
        <v>2</v>
      </c>
      <c r="AG17" s="52" t="s">
        <v>5403</v>
      </c>
    </row>
    <row r="18" spans="3:33" x14ac:dyDescent="0.3">
      <c r="C18" s="51">
        <v>1</v>
      </c>
      <c r="D18" s="51">
        <v>2</v>
      </c>
      <c r="E18" s="51" t="s">
        <v>5396</v>
      </c>
      <c r="F18" s="51" t="s">
        <v>5397</v>
      </c>
      <c r="G18" s="50" t="str">
        <f>VLOOKUP(E18,옵션그룹계산1!$AF$4:$AH$7,3,FALSE)</f>
        <v xml:space="preserve">       </v>
      </c>
      <c r="H18" s="49" t="str">
        <f>VLOOKUP(D18,옵션그룹계산1!$AF$16:$AG$19,2,FALSE)</f>
        <v>(Grade 3)</v>
      </c>
      <c r="I18" s="50" t="str">
        <f t="shared" si="0"/>
        <v>보주_딜러</v>
      </c>
      <c r="J18" s="49" t="str">
        <f>IF($D18&gt;=(J$2-1),VLOOKUP($I18,색인!$L$4:$R$11,J$2,FALSE)&amp;"_"&amp;$C18,"")</f>
        <v>공격력_1</v>
      </c>
      <c r="K18" s="49" t="str">
        <f>IF($D18&gt;=(K$2-1),VLOOKUP($I18,색인!$L$4:$R$11,K$2,FALSE)&amp;"_"&amp;$C18,"")</f>
        <v>공격속도_1</v>
      </c>
      <c r="L18" s="49" t="str">
        <f>IF($D18&gt;=(L$2-1),VLOOKUP($I18,색인!$L$4:$R$11,L$2,FALSE)&amp;"_"&amp;$C18,"")</f>
        <v/>
      </c>
      <c r="M18" s="49" t="str">
        <f>IF($D18&gt;=(M$2-1),VLOOKUP($I18,색인!$L$4:$R$11,M$2,FALSE)&amp;"_"&amp;$C18,"")</f>
        <v/>
      </c>
      <c r="N18" s="49" t="str">
        <f>IF(AND(C18&gt;=6,D18&gt;=4),VLOOKUP($I18,색인!$L$4:$R$11,N$2,FALSE)&amp;"_"&amp;$C18,"")</f>
        <v/>
      </c>
      <c r="O18" s="49" t="str">
        <f>IF(AND(C18&gt;=6,D18&gt;=4),VLOOKUP($I18,색인!$L$4:$R$11,O$2,FALSE)&amp;"_"&amp;$C18,"")</f>
        <v/>
      </c>
      <c r="P18" s="50" t="str">
        <f t="shared" si="1"/>
        <v>1241</v>
      </c>
      <c r="Q18" s="49">
        <f>VLOOKUP(옵션그룹계산1!J18,색인!$E$4:$F$99,2,FALSE)</f>
        <v>101</v>
      </c>
      <c r="R18" s="49">
        <f>_xlfn.IFNA(VLOOKUP(옵션그룹계산1!K18,색인!$E$4:$F$99,2,FALSE),"")</f>
        <v>1101</v>
      </c>
      <c r="S18" s="49" t="str">
        <f>_xlfn.IFNA(VLOOKUP(옵션그룹계산1!L18,색인!$E$4:$F$99,2,FALSE),"")</f>
        <v/>
      </c>
      <c r="T18" s="49" t="str">
        <f>_xlfn.IFNA(VLOOKUP(옵션그룹계산1!M18,색인!$E$4:$F$99,2,FALSE),"")</f>
        <v/>
      </c>
      <c r="U18" s="49" t="str">
        <f>_xlfn.IFNA(VLOOKUP(옵션그룹계산1!N18,색인!$E$4:$F$99,2,FALSE),"")</f>
        <v/>
      </c>
      <c r="V18" s="49" t="str">
        <f>_xlfn.IFNA(VLOOKUP(옵션그룹계산1!O18,색인!$E$4:$F$99,2,FALSE),"")</f>
        <v/>
      </c>
      <c r="W18" s="50">
        <f t="shared" si="2"/>
        <v>1</v>
      </c>
      <c r="X18" s="50">
        <f t="shared" si="3"/>
        <v>2</v>
      </c>
      <c r="Y18" s="50">
        <f t="shared" si="4"/>
        <v>4</v>
      </c>
      <c r="Z18" s="50">
        <f t="shared" si="5"/>
        <v>1</v>
      </c>
      <c r="AA18" s="48" t="str">
        <f t="shared" si="6"/>
        <v>T1_2옵션_보주_딜러</v>
      </c>
      <c r="AB18" s="50" t="str">
        <f t="shared" si="7"/>
        <v>1241</v>
      </c>
      <c r="AC18" s="49" t="str">
        <f t="shared" si="8"/>
        <v>T1_2옵션_보주_딜러       (Grade 3)</v>
      </c>
      <c r="AD18" s="48" t="str">
        <f t="shared" si="9"/>
        <v>101,1101</v>
      </c>
      <c r="AF18" s="53">
        <v>3</v>
      </c>
      <c r="AG18" s="52" t="s">
        <v>5402</v>
      </c>
    </row>
    <row r="19" spans="3:33" x14ac:dyDescent="0.3">
      <c r="C19" s="51">
        <v>1</v>
      </c>
      <c r="D19" s="51">
        <v>2</v>
      </c>
      <c r="E19" s="51" t="s">
        <v>5396</v>
      </c>
      <c r="F19" s="51" t="s">
        <v>5395</v>
      </c>
      <c r="G19" s="50" t="str">
        <f>VLOOKUP(E19,옵션그룹계산1!$AF$4:$AH$7,3,FALSE)</f>
        <v xml:space="preserve">       </v>
      </c>
      <c r="H19" s="49" t="str">
        <f>VLOOKUP(D19,옵션그룹계산1!$AF$16:$AG$19,2,FALSE)</f>
        <v>(Grade 3)</v>
      </c>
      <c r="I19" s="50" t="str">
        <f t="shared" si="0"/>
        <v>보주_탱커</v>
      </c>
      <c r="J19" s="49" t="str">
        <f>IF($D19&gt;=(J$2-1),VLOOKUP($I19,색인!$L$4:$R$11,J$2,FALSE)&amp;"_"&amp;$C19,"")</f>
        <v>체력_1</v>
      </c>
      <c r="K19" s="49" t="str">
        <f>IF($D19&gt;=(K$2-1),VLOOKUP($I19,색인!$L$4:$R$11,K$2,FALSE)&amp;"_"&amp;$C19,"")</f>
        <v>물리블록_1</v>
      </c>
      <c r="L19" s="49" t="str">
        <f>IF($D19&gt;=(L$2-1),VLOOKUP($I19,색인!$L$4:$R$11,L$2,FALSE)&amp;"_"&amp;$C19,"")</f>
        <v/>
      </c>
      <c r="M19" s="49" t="str">
        <f>IF($D19&gt;=(M$2-1),VLOOKUP($I19,색인!$L$4:$R$11,M$2,FALSE)&amp;"_"&amp;$C19,"")</f>
        <v/>
      </c>
      <c r="N19" s="49" t="str">
        <f>IF(AND(C19&gt;=6,D19&gt;=4),VLOOKUP($I19,색인!$L$4:$R$11,N$2,FALSE)&amp;"_"&amp;$C19,"")</f>
        <v/>
      </c>
      <c r="O19" s="49" t="str">
        <f>IF(AND(C19&gt;=6,D19&gt;=4),VLOOKUP($I19,색인!$L$4:$R$11,O$2,FALSE)&amp;"_"&amp;$C19,"")</f>
        <v/>
      </c>
      <c r="P19" s="50" t="str">
        <f t="shared" si="1"/>
        <v>1242</v>
      </c>
      <c r="Q19" s="49">
        <f>VLOOKUP(옵션그룹계산1!J19,색인!$E$4:$F$99,2,FALSE)</f>
        <v>201</v>
      </c>
      <c r="R19" s="49">
        <f>_xlfn.IFNA(VLOOKUP(옵션그룹계산1!K19,색인!$E$4:$F$99,2,FALSE),"")</f>
        <v>901</v>
      </c>
      <c r="S19" s="49" t="str">
        <f>_xlfn.IFNA(VLOOKUP(옵션그룹계산1!L19,색인!$E$4:$F$99,2,FALSE),"")</f>
        <v/>
      </c>
      <c r="T19" s="49" t="str">
        <f>_xlfn.IFNA(VLOOKUP(옵션그룹계산1!M19,색인!$E$4:$F$99,2,FALSE),"")</f>
        <v/>
      </c>
      <c r="U19" s="49" t="str">
        <f>_xlfn.IFNA(VLOOKUP(옵션그룹계산1!N19,색인!$E$4:$F$99,2,FALSE),"")</f>
        <v/>
      </c>
      <c r="V19" s="49" t="str">
        <f>_xlfn.IFNA(VLOOKUP(옵션그룹계산1!O19,색인!$E$4:$F$99,2,FALSE),"")</f>
        <v/>
      </c>
      <c r="W19" s="50">
        <f t="shared" si="2"/>
        <v>1</v>
      </c>
      <c r="X19" s="50">
        <f t="shared" si="3"/>
        <v>2</v>
      </c>
      <c r="Y19" s="50">
        <f t="shared" si="4"/>
        <v>4</v>
      </c>
      <c r="Z19" s="50">
        <f t="shared" si="5"/>
        <v>2</v>
      </c>
      <c r="AA19" s="48" t="str">
        <f t="shared" si="6"/>
        <v>T1_2옵션_보주_탱커</v>
      </c>
      <c r="AB19" s="50" t="str">
        <f t="shared" si="7"/>
        <v>1242</v>
      </c>
      <c r="AC19" s="49" t="str">
        <f t="shared" si="8"/>
        <v>T1_2옵션_보주_탱커       (Grade 3)</v>
      </c>
      <c r="AD19" s="48" t="str">
        <f t="shared" si="9"/>
        <v>201,901</v>
      </c>
      <c r="AF19" s="53">
        <v>4</v>
      </c>
      <c r="AG19" s="52" t="s">
        <v>5401</v>
      </c>
    </row>
    <row r="20" spans="3:33" x14ac:dyDescent="0.3">
      <c r="C20" s="51">
        <v>1</v>
      </c>
      <c r="D20" s="51">
        <v>3</v>
      </c>
      <c r="E20" s="51" t="s">
        <v>5400</v>
      </c>
      <c r="F20" s="51" t="s">
        <v>5397</v>
      </c>
      <c r="G20" s="50" t="str">
        <f>VLOOKUP(E20,옵션그룹계산1!$AF$4:$AH$7,3,FALSE)</f>
        <v xml:space="preserve">    </v>
      </c>
      <c r="H20" s="49" t="str">
        <f>VLOOKUP(D20,옵션그룹계산1!$AF$16:$AG$19,2,FALSE)</f>
        <v>(Grade 4~5)</v>
      </c>
      <c r="I20" s="50" t="str">
        <f t="shared" si="0"/>
        <v>방어구_딜러</v>
      </c>
      <c r="J20" s="49" t="str">
        <f>IF($D20&gt;=(J$2-1),VLOOKUP($I20,색인!$L$4:$R$11,J$2,FALSE)&amp;"_"&amp;$C20,"")</f>
        <v>공격력_1</v>
      </c>
      <c r="K20" s="49" t="str">
        <f>IF($D20&gt;=(K$2-1),VLOOKUP($I20,색인!$L$4:$R$11,K$2,FALSE)&amp;"_"&amp;$C20,"")</f>
        <v>공격속도_1</v>
      </c>
      <c r="L20" s="49" t="str">
        <f>IF($D20&gt;=(L$2-1),VLOOKUP($I20,색인!$L$4:$R$11,L$2,FALSE)&amp;"_"&amp;$C20,"")</f>
        <v>치명타확률_1</v>
      </c>
      <c r="M20" s="49" t="str">
        <f>IF($D20&gt;=(M$2-1),VLOOKUP($I20,색인!$L$4:$R$11,M$2,FALSE)&amp;"_"&amp;$C20,"")</f>
        <v/>
      </c>
      <c r="N20" s="49" t="str">
        <f>IF(AND(C20&gt;=6,D20&gt;=4),VLOOKUP($I20,색인!$L$4:$R$11,N$2,FALSE)&amp;"_"&amp;$C20,"")</f>
        <v/>
      </c>
      <c r="O20" s="49" t="str">
        <f>IF(AND(C20&gt;=6,D20&gt;=4),VLOOKUP($I20,색인!$L$4:$R$11,O$2,FALSE)&amp;"_"&amp;$C20,"")</f>
        <v/>
      </c>
      <c r="P20" s="50" t="str">
        <f t="shared" si="1"/>
        <v>1311</v>
      </c>
      <c r="Q20" s="49">
        <f>VLOOKUP(옵션그룹계산1!J20,색인!$E$4:$F$99,2,FALSE)</f>
        <v>101</v>
      </c>
      <c r="R20" s="49">
        <f>_xlfn.IFNA(VLOOKUP(옵션그룹계산1!K20,색인!$E$4:$F$99,2,FALSE),"")</f>
        <v>1101</v>
      </c>
      <c r="S20" s="49">
        <f>_xlfn.IFNA(VLOOKUP(옵션그룹계산1!L20,색인!$E$4:$F$99,2,FALSE),"")</f>
        <v>501</v>
      </c>
      <c r="T20" s="49" t="str">
        <f>_xlfn.IFNA(VLOOKUP(옵션그룹계산1!M20,색인!$E$4:$F$99,2,FALSE),"")</f>
        <v/>
      </c>
      <c r="U20" s="49" t="str">
        <f>_xlfn.IFNA(VLOOKUP(옵션그룹계산1!N20,색인!$E$4:$F$99,2,FALSE),"")</f>
        <v/>
      </c>
      <c r="V20" s="49" t="str">
        <f>_xlfn.IFNA(VLOOKUP(옵션그룹계산1!O20,색인!$E$4:$F$99,2,FALSE),"")</f>
        <v/>
      </c>
      <c r="W20" s="50">
        <f t="shared" si="2"/>
        <v>1</v>
      </c>
      <c r="X20" s="50">
        <f t="shared" si="3"/>
        <v>3</v>
      </c>
      <c r="Y20" s="50">
        <f t="shared" si="4"/>
        <v>1</v>
      </c>
      <c r="Z20" s="50">
        <f t="shared" si="5"/>
        <v>1</v>
      </c>
      <c r="AA20" s="48" t="str">
        <f t="shared" si="6"/>
        <v>T1_3옵션_방어구_딜러</v>
      </c>
      <c r="AB20" s="50" t="str">
        <f t="shared" si="7"/>
        <v>1311</v>
      </c>
      <c r="AC20" s="49" t="str">
        <f t="shared" si="8"/>
        <v>T1_3옵션_방어구_딜러    (Grade 4~5)</v>
      </c>
      <c r="AD20" s="48" t="str">
        <f t="shared" si="9"/>
        <v>101,1101,501</v>
      </c>
    </row>
    <row r="21" spans="3:33" x14ac:dyDescent="0.3">
      <c r="C21" s="51">
        <v>1</v>
      </c>
      <c r="D21" s="51">
        <v>3</v>
      </c>
      <c r="E21" s="51" t="s">
        <v>5400</v>
      </c>
      <c r="F21" s="51" t="s">
        <v>5395</v>
      </c>
      <c r="G21" s="50" t="str">
        <f>VLOOKUP(E21,옵션그룹계산1!$AF$4:$AH$7,3,FALSE)</f>
        <v xml:space="preserve">    </v>
      </c>
      <c r="H21" s="49" t="str">
        <f>VLOOKUP(D21,옵션그룹계산1!$AF$16:$AG$19,2,FALSE)</f>
        <v>(Grade 4~5)</v>
      </c>
      <c r="I21" s="50" t="str">
        <f t="shared" si="0"/>
        <v>방어구_탱커</v>
      </c>
      <c r="J21" s="49" t="str">
        <f>IF($D21&gt;=(J$2-1),VLOOKUP($I21,색인!$L$4:$R$11,J$2,FALSE)&amp;"_"&amp;$C21,"")</f>
        <v>공격속도_1</v>
      </c>
      <c r="K21" s="49" t="str">
        <f>IF($D21&gt;=(K$2-1),VLOOKUP($I21,색인!$L$4:$R$11,K$2,FALSE)&amp;"_"&amp;$C21,"")</f>
        <v>물리블록_1</v>
      </c>
      <c r="L21" s="49" t="str">
        <f>IF($D21&gt;=(L$2-1),VLOOKUP($I21,색인!$L$4:$R$11,L$2,FALSE)&amp;"_"&amp;$C21,"")</f>
        <v>물리방어력_1</v>
      </c>
      <c r="M21" s="49" t="str">
        <f>IF($D21&gt;=(M$2-1),VLOOKUP($I21,색인!$L$4:$R$11,M$2,FALSE)&amp;"_"&amp;$C21,"")</f>
        <v/>
      </c>
      <c r="N21" s="49" t="str">
        <f>IF(AND(C21&gt;=6,D21&gt;=4),VLOOKUP($I21,색인!$L$4:$R$11,N$2,FALSE)&amp;"_"&amp;$C21,"")</f>
        <v/>
      </c>
      <c r="O21" s="49" t="str">
        <f>IF(AND(C21&gt;=6,D21&gt;=4),VLOOKUP($I21,색인!$L$4:$R$11,O$2,FALSE)&amp;"_"&amp;$C21,"")</f>
        <v/>
      </c>
      <c r="P21" s="50" t="str">
        <f t="shared" si="1"/>
        <v>1312</v>
      </c>
      <c r="Q21" s="49">
        <f>VLOOKUP(옵션그룹계산1!J21,색인!$E$4:$F$99,2,FALSE)</f>
        <v>1101</v>
      </c>
      <c r="R21" s="49">
        <f>_xlfn.IFNA(VLOOKUP(옵션그룹계산1!K21,색인!$E$4:$F$99,2,FALSE),"")</f>
        <v>901</v>
      </c>
      <c r="S21" s="49">
        <f>_xlfn.IFNA(VLOOKUP(옵션그룹계산1!L21,색인!$E$4:$F$99,2,FALSE),"")</f>
        <v>301</v>
      </c>
      <c r="T21" s="49" t="str">
        <f>_xlfn.IFNA(VLOOKUP(옵션그룹계산1!M21,색인!$E$4:$F$99,2,FALSE),"")</f>
        <v/>
      </c>
      <c r="U21" s="49" t="str">
        <f>_xlfn.IFNA(VLOOKUP(옵션그룹계산1!N21,색인!$E$4:$F$99,2,FALSE),"")</f>
        <v/>
      </c>
      <c r="V21" s="49" t="str">
        <f>_xlfn.IFNA(VLOOKUP(옵션그룹계산1!O21,색인!$E$4:$F$99,2,FALSE),"")</f>
        <v/>
      </c>
      <c r="W21" s="50">
        <f t="shared" si="2"/>
        <v>1</v>
      </c>
      <c r="X21" s="50">
        <f t="shared" si="3"/>
        <v>3</v>
      </c>
      <c r="Y21" s="50">
        <f t="shared" si="4"/>
        <v>1</v>
      </c>
      <c r="Z21" s="50">
        <f t="shared" si="5"/>
        <v>2</v>
      </c>
      <c r="AA21" s="48" t="str">
        <f t="shared" si="6"/>
        <v>T1_3옵션_방어구_탱커</v>
      </c>
      <c r="AB21" s="50" t="str">
        <f t="shared" si="7"/>
        <v>1312</v>
      </c>
      <c r="AC21" s="49" t="str">
        <f t="shared" si="8"/>
        <v>T1_3옵션_방어구_탱커    (Grade 4~5)</v>
      </c>
      <c r="AD21" s="48" t="str">
        <f t="shared" si="9"/>
        <v>1101,901,301</v>
      </c>
    </row>
    <row r="22" spans="3:33" x14ac:dyDescent="0.3">
      <c r="C22" s="51">
        <v>1</v>
      </c>
      <c r="D22" s="51">
        <v>3</v>
      </c>
      <c r="E22" s="51" t="s">
        <v>5399</v>
      </c>
      <c r="F22" s="51" t="s">
        <v>5397</v>
      </c>
      <c r="G22" s="50" t="str">
        <f>VLOOKUP(E22,옵션그룹계산1!$AF$4:$AH$7,3,FALSE)</f>
        <v xml:space="preserve"> </v>
      </c>
      <c r="H22" s="49" t="str">
        <f>VLOOKUP(D22,옵션그룹계산1!$AF$16:$AG$19,2,FALSE)</f>
        <v>(Grade 4~5)</v>
      </c>
      <c r="I22" s="50" t="str">
        <f t="shared" si="0"/>
        <v>보조장비_딜러</v>
      </c>
      <c r="J22" s="49" t="str">
        <f>IF($D22&gt;=(J$2-1),VLOOKUP($I22,색인!$L$4:$R$11,J$2,FALSE)&amp;"_"&amp;$C22,"")</f>
        <v>공격력_1</v>
      </c>
      <c r="K22" s="49" t="str">
        <f>IF($D22&gt;=(K$2-1),VLOOKUP($I22,색인!$L$4:$R$11,K$2,FALSE)&amp;"_"&amp;$C22,"")</f>
        <v>공격속도_1</v>
      </c>
      <c r="L22" s="49" t="str">
        <f>IF($D22&gt;=(L$2-1),VLOOKUP($I22,색인!$L$4:$R$11,L$2,FALSE)&amp;"_"&amp;$C22,"")</f>
        <v>치명타확률_1</v>
      </c>
      <c r="M22" s="49" t="str">
        <f>IF($D22&gt;=(M$2-1),VLOOKUP($I22,색인!$L$4:$R$11,M$2,FALSE)&amp;"_"&amp;$C22,"")</f>
        <v/>
      </c>
      <c r="N22" s="49" t="str">
        <f>IF(AND(C22&gt;=6,D22&gt;=4),VLOOKUP($I22,색인!$L$4:$R$11,N$2,FALSE)&amp;"_"&amp;$C22,"")</f>
        <v/>
      </c>
      <c r="O22" s="49" t="str">
        <f>IF(AND(C22&gt;=6,D22&gt;=4),VLOOKUP($I22,색인!$L$4:$R$11,O$2,FALSE)&amp;"_"&amp;$C22,"")</f>
        <v/>
      </c>
      <c r="P22" s="50" t="str">
        <f t="shared" si="1"/>
        <v>1321</v>
      </c>
      <c r="Q22" s="49">
        <f>VLOOKUP(옵션그룹계산1!J22,색인!$E$4:$F$99,2,FALSE)</f>
        <v>101</v>
      </c>
      <c r="R22" s="49">
        <f>_xlfn.IFNA(VLOOKUP(옵션그룹계산1!K22,색인!$E$4:$F$99,2,FALSE),"")</f>
        <v>1101</v>
      </c>
      <c r="S22" s="49">
        <f>_xlfn.IFNA(VLOOKUP(옵션그룹계산1!L22,색인!$E$4:$F$99,2,FALSE),"")</f>
        <v>501</v>
      </c>
      <c r="T22" s="49" t="str">
        <f>_xlfn.IFNA(VLOOKUP(옵션그룹계산1!M22,색인!$E$4:$F$99,2,FALSE),"")</f>
        <v/>
      </c>
      <c r="U22" s="49" t="str">
        <f>_xlfn.IFNA(VLOOKUP(옵션그룹계산1!N22,색인!$E$4:$F$99,2,FALSE),"")</f>
        <v/>
      </c>
      <c r="V22" s="49" t="str">
        <f>_xlfn.IFNA(VLOOKUP(옵션그룹계산1!O22,색인!$E$4:$F$99,2,FALSE),"")</f>
        <v/>
      </c>
      <c r="W22" s="50">
        <f t="shared" si="2"/>
        <v>1</v>
      </c>
      <c r="X22" s="50">
        <f t="shared" si="3"/>
        <v>3</v>
      </c>
      <c r="Y22" s="50">
        <f t="shared" si="4"/>
        <v>2</v>
      </c>
      <c r="Z22" s="50">
        <f t="shared" si="5"/>
        <v>1</v>
      </c>
      <c r="AA22" s="48" t="str">
        <f t="shared" si="6"/>
        <v>T1_3옵션_보조장비_딜러</v>
      </c>
      <c r="AB22" s="50" t="str">
        <f t="shared" si="7"/>
        <v>1321</v>
      </c>
      <c r="AC22" s="49" t="str">
        <f t="shared" si="8"/>
        <v>T1_3옵션_보조장비_딜러 (Grade 4~5)</v>
      </c>
      <c r="AD22" s="48" t="str">
        <f t="shared" si="9"/>
        <v>101,1101,501</v>
      </c>
    </row>
    <row r="23" spans="3:33" x14ac:dyDescent="0.3">
      <c r="C23" s="51">
        <v>1</v>
      </c>
      <c r="D23" s="51">
        <v>3</v>
      </c>
      <c r="E23" s="51" t="s">
        <v>5399</v>
      </c>
      <c r="F23" s="51" t="s">
        <v>5395</v>
      </c>
      <c r="G23" s="50" t="str">
        <f>VLOOKUP(E23,옵션그룹계산1!$AF$4:$AH$7,3,FALSE)</f>
        <v xml:space="preserve"> </v>
      </c>
      <c r="H23" s="49" t="str">
        <f>VLOOKUP(D23,옵션그룹계산1!$AF$16:$AG$19,2,FALSE)</f>
        <v>(Grade 4~5)</v>
      </c>
      <c r="I23" s="50" t="str">
        <f t="shared" si="0"/>
        <v>보조장비_탱커</v>
      </c>
      <c r="J23" s="49" t="str">
        <f>IF($D23&gt;=(J$2-1),VLOOKUP($I23,색인!$L$4:$R$11,J$2,FALSE)&amp;"_"&amp;$C23,"")</f>
        <v>공격속도_1</v>
      </c>
      <c r="K23" s="49" t="str">
        <f>IF($D23&gt;=(K$2-1),VLOOKUP($I23,색인!$L$4:$R$11,K$2,FALSE)&amp;"_"&amp;$C23,"")</f>
        <v>마법블록_1</v>
      </c>
      <c r="L23" s="49" t="str">
        <f>IF($D23&gt;=(L$2-1),VLOOKUP($I23,색인!$L$4:$R$11,L$2,FALSE)&amp;"_"&amp;$C23,"")</f>
        <v>마법방어력_1</v>
      </c>
      <c r="M23" s="49" t="str">
        <f>IF($D23&gt;=(M$2-1),VLOOKUP($I23,색인!$L$4:$R$11,M$2,FALSE)&amp;"_"&amp;$C23,"")</f>
        <v/>
      </c>
      <c r="N23" s="49" t="str">
        <f>IF(AND(C23&gt;=6,D23&gt;=4),VLOOKUP($I23,색인!$L$4:$R$11,N$2,FALSE)&amp;"_"&amp;$C23,"")</f>
        <v/>
      </c>
      <c r="O23" s="49" t="str">
        <f>IF(AND(C23&gt;=6,D23&gt;=4),VLOOKUP($I23,색인!$L$4:$R$11,O$2,FALSE)&amp;"_"&amp;$C23,"")</f>
        <v/>
      </c>
      <c r="P23" s="50" t="str">
        <f t="shared" si="1"/>
        <v>1322</v>
      </c>
      <c r="Q23" s="49">
        <f>VLOOKUP(옵션그룹계산1!J23,색인!$E$4:$F$99,2,FALSE)</f>
        <v>1101</v>
      </c>
      <c r="R23" s="49">
        <f>_xlfn.IFNA(VLOOKUP(옵션그룹계산1!K23,색인!$E$4:$F$99,2,FALSE),"")</f>
        <v>1901</v>
      </c>
      <c r="S23" s="49">
        <f>_xlfn.IFNA(VLOOKUP(옵션그룹계산1!L23,색인!$E$4:$F$99,2,FALSE),"")</f>
        <v>401</v>
      </c>
      <c r="T23" s="49" t="str">
        <f>_xlfn.IFNA(VLOOKUP(옵션그룹계산1!M23,색인!$E$4:$F$99,2,FALSE),"")</f>
        <v/>
      </c>
      <c r="U23" s="49" t="str">
        <f>_xlfn.IFNA(VLOOKUP(옵션그룹계산1!N23,색인!$E$4:$F$99,2,FALSE),"")</f>
        <v/>
      </c>
      <c r="V23" s="49" t="str">
        <f>_xlfn.IFNA(VLOOKUP(옵션그룹계산1!O23,색인!$E$4:$F$99,2,FALSE),"")</f>
        <v/>
      </c>
      <c r="W23" s="50">
        <f t="shared" si="2"/>
        <v>1</v>
      </c>
      <c r="X23" s="50">
        <f t="shared" si="3"/>
        <v>3</v>
      </c>
      <c r="Y23" s="50">
        <f t="shared" si="4"/>
        <v>2</v>
      </c>
      <c r="Z23" s="50">
        <f t="shared" si="5"/>
        <v>2</v>
      </c>
      <c r="AA23" s="48" t="str">
        <f t="shared" si="6"/>
        <v>T1_3옵션_보조장비_탱커</v>
      </c>
      <c r="AB23" s="50" t="str">
        <f t="shared" si="7"/>
        <v>1322</v>
      </c>
      <c r="AC23" s="49" t="str">
        <f t="shared" si="8"/>
        <v>T1_3옵션_보조장비_탱커 (Grade 4~5)</v>
      </c>
      <c r="AD23" s="48" t="str">
        <f t="shared" si="9"/>
        <v>1101,1901,401</v>
      </c>
    </row>
    <row r="24" spans="3:33" x14ac:dyDescent="0.3">
      <c r="C24" s="51">
        <v>1</v>
      </c>
      <c r="D24" s="51">
        <v>3</v>
      </c>
      <c r="E24" s="51" t="s">
        <v>5398</v>
      </c>
      <c r="F24" s="51" t="s">
        <v>5397</v>
      </c>
      <c r="G24" s="50" t="str">
        <f>VLOOKUP(E24,옵션그룹계산1!$AF$4:$AH$7,3,FALSE)</f>
        <v xml:space="preserve">    </v>
      </c>
      <c r="H24" s="49" t="str">
        <f>VLOOKUP(D24,옵션그룹계산1!$AF$16:$AG$19,2,FALSE)</f>
        <v>(Grade 4~5)</v>
      </c>
      <c r="I24" s="50" t="str">
        <f t="shared" si="0"/>
        <v>장신구_딜러</v>
      </c>
      <c r="J24" s="49" t="str">
        <f>IF($D24&gt;=(J$2-1),VLOOKUP($I24,색인!$L$4:$R$11,J$2,FALSE)&amp;"_"&amp;$C24,"")</f>
        <v>공격력_1</v>
      </c>
      <c r="K24" s="49" t="str">
        <f>IF($D24&gt;=(K$2-1),VLOOKUP($I24,색인!$L$4:$R$11,K$2,FALSE)&amp;"_"&amp;$C24,"")</f>
        <v>공격속도_1</v>
      </c>
      <c r="L24" s="49" t="str">
        <f>IF($D24&gt;=(L$2-1),VLOOKUP($I24,색인!$L$4:$R$11,L$2,FALSE)&amp;"_"&amp;$C24,"")</f>
        <v>치명타확률_1</v>
      </c>
      <c r="M24" s="49" t="str">
        <f>IF($D24&gt;=(M$2-1),VLOOKUP($I24,색인!$L$4:$R$11,M$2,FALSE)&amp;"_"&amp;$C24,"")</f>
        <v/>
      </c>
      <c r="N24" s="49" t="str">
        <f>IF(AND(C24&gt;=6,D24&gt;=4),VLOOKUP($I24,색인!$L$4:$R$11,N$2,FALSE)&amp;"_"&amp;$C24,"")</f>
        <v/>
      </c>
      <c r="O24" s="49" t="str">
        <f>IF(AND(C24&gt;=6,D24&gt;=4),VLOOKUP($I24,색인!$L$4:$R$11,O$2,FALSE)&amp;"_"&amp;$C24,"")</f>
        <v/>
      </c>
      <c r="P24" s="50" t="str">
        <f t="shared" si="1"/>
        <v>1331</v>
      </c>
      <c r="Q24" s="49">
        <f>VLOOKUP(옵션그룹계산1!J24,색인!$E$4:$F$99,2,FALSE)</f>
        <v>101</v>
      </c>
      <c r="R24" s="49">
        <f>_xlfn.IFNA(VLOOKUP(옵션그룹계산1!K24,색인!$E$4:$F$99,2,FALSE),"")</f>
        <v>1101</v>
      </c>
      <c r="S24" s="49">
        <f>_xlfn.IFNA(VLOOKUP(옵션그룹계산1!L24,색인!$E$4:$F$99,2,FALSE),"")</f>
        <v>501</v>
      </c>
      <c r="T24" s="49" t="str">
        <f>_xlfn.IFNA(VLOOKUP(옵션그룹계산1!M24,색인!$E$4:$F$99,2,FALSE),"")</f>
        <v/>
      </c>
      <c r="U24" s="49" t="str">
        <f>_xlfn.IFNA(VLOOKUP(옵션그룹계산1!N24,색인!$E$4:$F$99,2,FALSE),"")</f>
        <v/>
      </c>
      <c r="V24" s="49" t="str">
        <f>_xlfn.IFNA(VLOOKUP(옵션그룹계산1!O24,색인!$E$4:$F$99,2,FALSE),"")</f>
        <v/>
      </c>
      <c r="W24" s="50">
        <f t="shared" si="2"/>
        <v>1</v>
      </c>
      <c r="X24" s="50">
        <f t="shared" si="3"/>
        <v>3</v>
      </c>
      <c r="Y24" s="50">
        <f t="shared" si="4"/>
        <v>3</v>
      </c>
      <c r="Z24" s="50">
        <f t="shared" si="5"/>
        <v>1</v>
      </c>
      <c r="AA24" s="48" t="str">
        <f t="shared" si="6"/>
        <v>T1_3옵션_장신구_딜러</v>
      </c>
      <c r="AB24" s="50" t="str">
        <f t="shared" si="7"/>
        <v>1331</v>
      </c>
      <c r="AC24" s="49" t="str">
        <f t="shared" si="8"/>
        <v>T1_3옵션_장신구_딜러    (Grade 4~5)</v>
      </c>
      <c r="AD24" s="48" t="str">
        <f t="shared" si="9"/>
        <v>101,1101,501</v>
      </c>
    </row>
    <row r="25" spans="3:33" x14ac:dyDescent="0.3">
      <c r="C25" s="51">
        <v>1</v>
      </c>
      <c r="D25" s="51">
        <v>3</v>
      </c>
      <c r="E25" s="51" t="s">
        <v>5398</v>
      </c>
      <c r="F25" s="51" t="s">
        <v>5395</v>
      </c>
      <c r="G25" s="50" t="str">
        <f>VLOOKUP(E25,옵션그룹계산1!$AF$4:$AH$7,3,FALSE)</f>
        <v xml:space="preserve">    </v>
      </c>
      <c r="H25" s="49" t="str">
        <f>VLOOKUP(D25,옵션그룹계산1!$AF$16:$AG$19,2,FALSE)</f>
        <v>(Grade 4~5)</v>
      </c>
      <c r="I25" s="50" t="str">
        <f t="shared" si="0"/>
        <v>장신구_탱커</v>
      </c>
      <c r="J25" s="49" t="str">
        <f>IF($D25&gt;=(J$2-1),VLOOKUP($I25,색인!$L$4:$R$11,J$2,FALSE)&amp;"_"&amp;$C25,"")</f>
        <v>체력_1</v>
      </c>
      <c r="K25" s="49" t="str">
        <f>IF($D25&gt;=(K$2-1),VLOOKUP($I25,색인!$L$4:$R$11,K$2,FALSE)&amp;"_"&amp;$C25,"")</f>
        <v>물리블록_1</v>
      </c>
      <c r="L25" s="49" t="str">
        <f>IF($D25&gt;=(L$2-1),VLOOKUP($I25,색인!$L$4:$R$11,L$2,FALSE)&amp;"_"&amp;$C25,"")</f>
        <v>마법블록_1</v>
      </c>
      <c r="M25" s="49" t="str">
        <f>IF($D25&gt;=(M$2-1),VLOOKUP($I25,색인!$L$4:$R$11,M$2,FALSE)&amp;"_"&amp;$C25,"")</f>
        <v/>
      </c>
      <c r="N25" s="49" t="str">
        <f>IF(AND(C25&gt;=6,D25&gt;=4),VLOOKUP($I25,색인!$L$4:$R$11,N$2,FALSE)&amp;"_"&amp;$C25,"")</f>
        <v/>
      </c>
      <c r="O25" s="49" t="str">
        <f>IF(AND(C25&gt;=6,D25&gt;=4),VLOOKUP($I25,색인!$L$4:$R$11,O$2,FALSE)&amp;"_"&amp;$C25,"")</f>
        <v/>
      </c>
      <c r="P25" s="50" t="str">
        <f t="shared" si="1"/>
        <v>1332</v>
      </c>
      <c r="Q25" s="49">
        <f>VLOOKUP(옵션그룹계산1!J25,색인!$E$4:$F$99,2,FALSE)</f>
        <v>201</v>
      </c>
      <c r="R25" s="49">
        <f>_xlfn.IFNA(VLOOKUP(옵션그룹계산1!K25,색인!$E$4:$F$99,2,FALSE),"")</f>
        <v>901</v>
      </c>
      <c r="S25" s="49">
        <f>_xlfn.IFNA(VLOOKUP(옵션그룹계산1!L25,색인!$E$4:$F$99,2,FALSE),"")</f>
        <v>1901</v>
      </c>
      <c r="T25" s="49" t="str">
        <f>_xlfn.IFNA(VLOOKUP(옵션그룹계산1!M25,색인!$E$4:$F$99,2,FALSE),"")</f>
        <v/>
      </c>
      <c r="U25" s="49" t="str">
        <f>_xlfn.IFNA(VLOOKUP(옵션그룹계산1!N25,색인!$E$4:$F$99,2,FALSE),"")</f>
        <v/>
      </c>
      <c r="V25" s="49" t="str">
        <f>_xlfn.IFNA(VLOOKUP(옵션그룹계산1!O25,색인!$E$4:$F$99,2,FALSE),"")</f>
        <v/>
      </c>
      <c r="W25" s="50">
        <f t="shared" si="2"/>
        <v>1</v>
      </c>
      <c r="X25" s="50">
        <f t="shared" si="3"/>
        <v>3</v>
      </c>
      <c r="Y25" s="50">
        <f t="shared" si="4"/>
        <v>3</v>
      </c>
      <c r="Z25" s="50">
        <f t="shared" si="5"/>
        <v>2</v>
      </c>
      <c r="AA25" s="48" t="str">
        <f t="shared" si="6"/>
        <v>T1_3옵션_장신구_탱커</v>
      </c>
      <c r="AB25" s="50" t="str">
        <f t="shared" si="7"/>
        <v>1332</v>
      </c>
      <c r="AC25" s="49" t="str">
        <f t="shared" si="8"/>
        <v>T1_3옵션_장신구_탱커    (Grade 4~5)</v>
      </c>
      <c r="AD25" s="48" t="str">
        <f t="shared" si="9"/>
        <v>201,901,1901</v>
      </c>
    </row>
    <row r="26" spans="3:33" x14ac:dyDescent="0.3">
      <c r="C26" s="51">
        <v>1</v>
      </c>
      <c r="D26" s="51">
        <v>3</v>
      </c>
      <c r="E26" s="51" t="s">
        <v>5396</v>
      </c>
      <c r="F26" s="51" t="s">
        <v>5397</v>
      </c>
      <c r="G26" s="50" t="str">
        <f>VLOOKUP(E26,옵션그룹계산1!$AF$4:$AH$7,3,FALSE)</f>
        <v xml:space="preserve">       </v>
      </c>
      <c r="H26" s="49" t="str">
        <f>VLOOKUP(D26,옵션그룹계산1!$AF$16:$AG$19,2,FALSE)</f>
        <v>(Grade 4~5)</v>
      </c>
      <c r="I26" s="50" t="str">
        <f t="shared" si="0"/>
        <v>보주_딜러</v>
      </c>
      <c r="J26" s="49" t="str">
        <f>IF($D26&gt;=(J$2-1),VLOOKUP($I26,색인!$L$4:$R$11,J$2,FALSE)&amp;"_"&amp;$C26,"")</f>
        <v>공격력_1</v>
      </c>
      <c r="K26" s="49" t="str">
        <f>IF($D26&gt;=(K$2-1),VLOOKUP($I26,색인!$L$4:$R$11,K$2,FALSE)&amp;"_"&amp;$C26,"")</f>
        <v>공격속도_1</v>
      </c>
      <c r="L26" s="49" t="str">
        <f>IF($D26&gt;=(L$2-1),VLOOKUP($I26,색인!$L$4:$R$11,L$2,FALSE)&amp;"_"&amp;$C26,"")</f>
        <v>치명타확률_1</v>
      </c>
      <c r="M26" s="49" t="str">
        <f>IF($D26&gt;=(M$2-1),VLOOKUP($I26,색인!$L$4:$R$11,M$2,FALSE)&amp;"_"&amp;$C26,"")</f>
        <v/>
      </c>
      <c r="N26" s="49" t="str">
        <f>IF(AND(C26&gt;=6,D26&gt;=4),VLOOKUP($I26,색인!$L$4:$R$11,N$2,FALSE)&amp;"_"&amp;$C26,"")</f>
        <v/>
      </c>
      <c r="O26" s="49" t="str">
        <f>IF(AND(C26&gt;=6,D26&gt;=4),VLOOKUP($I26,색인!$L$4:$R$11,O$2,FALSE)&amp;"_"&amp;$C26,"")</f>
        <v/>
      </c>
      <c r="P26" s="50" t="str">
        <f t="shared" si="1"/>
        <v>1341</v>
      </c>
      <c r="Q26" s="49">
        <f>VLOOKUP(옵션그룹계산1!J26,색인!$E$4:$F$99,2,FALSE)</f>
        <v>101</v>
      </c>
      <c r="R26" s="49">
        <f>_xlfn.IFNA(VLOOKUP(옵션그룹계산1!K26,색인!$E$4:$F$99,2,FALSE),"")</f>
        <v>1101</v>
      </c>
      <c r="S26" s="49">
        <f>_xlfn.IFNA(VLOOKUP(옵션그룹계산1!L26,색인!$E$4:$F$99,2,FALSE),"")</f>
        <v>501</v>
      </c>
      <c r="T26" s="49" t="str">
        <f>_xlfn.IFNA(VLOOKUP(옵션그룹계산1!M26,색인!$E$4:$F$99,2,FALSE),"")</f>
        <v/>
      </c>
      <c r="U26" s="49" t="str">
        <f>_xlfn.IFNA(VLOOKUP(옵션그룹계산1!N26,색인!$E$4:$F$99,2,FALSE),"")</f>
        <v/>
      </c>
      <c r="V26" s="49" t="str">
        <f>_xlfn.IFNA(VLOOKUP(옵션그룹계산1!O26,색인!$E$4:$F$99,2,FALSE),"")</f>
        <v/>
      </c>
      <c r="W26" s="50">
        <f t="shared" si="2"/>
        <v>1</v>
      </c>
      <c r="X26" s="50">
        <f t="shared" si="3"/>
        <v>3</v>
      </c>
      <c r="Y26" s="50">
        <f t="shared" si="4"/>
        <v>4</v>
      </c>
      <c r="Z26" s="50">
        <f t="shared" si="5"/>
        <v>1</v>
      </c>
      <c r="AA26" s="48" t="str">
        <f t="shared" si="6"/>
        <v>T1_3옵션_보주_딜러</v>
      </c>
      <c r="AB26" s="50" t="str">
        <f t="shared" si="7"/>
        <v>1341</v>
      </c>
      <c r="AC26" s="49" t="str">
        <f t="shared" si="8"/>
        <v>T1_3옵션_보주_딜러       (Grade 4~5)</v>
      </c>
      <c r="AD26" s="48" t="str">
        <f t="shared" si="9"/>
        <v>101,1101,501</v>
      </c>
    </row>
    <row r="27" spans="3:33" x14ac:dyDescent="0.3">
      <c r="C27" s="51">
        <v>1</v>
      </c>
      <c r="D27" s="51">
        <v>3</v>
      </c>
      <c r="E27" s="51" t="s">
        <v>5396</v>
      </c>
      <c r="F27" s="51" t="s">
        <v>5395</v>
      </c>
      <c r="G27" s="50" t="str">
        <f>VLOOKUP(E27,옵션그룹계산1!$AF$4:$AH$7,3,FALSE)</f>
        <v xml:space="preserve">       </v>
      </c>
      <c r="H27" s="49" t="str">
        <f>VLOOKUP(D27,옵션그룹계산1!$AF$16:$AG$19,2,FALSE)</f>
        <v>(Grade 4~5)</v>
      </c>
      <c r="I27" s="50" t="str">
        <f t="shared" si="0"/>
        <v>보주_탱커</v>
      </c>
      <c r="J27" s="49" t="str">
        <f>IF($D27&gt;=(J$2-1),VLOOKUP($I27,색인!$L$4:$R$11,J$2,FALSE)&amp;"_"&amp;$C27,"")</f>
        <v>체력_1</v>
      </c>
      <c r="K27" s="49" t="str">
        <f>IF($D27&gt;=(K$2-1),VLOOKUP($I27,색인!$L$4:$R$11,K$2,FALSE)&amp;"_"&amp;$C27,"")</f>
        <v>물리블록_1</v>
      </c>
      <c r="L27" s="49" t="str">
        <f>IF($D27&gt;=(L$2-1),VLOOKUP($I27,색인!$L$4:$R$11,L$2,FALSE)&amp;"_"&amp;$C27,"")</f>
        <v>마법블록_1</v>
      </c>
      <c r="M27" s="49" t="str">
        <f>IF($D27&gt;=(M$2-1),VLOOKUP($I27,색인!$L$4:$R$11,M$2,FALSE)&amp;"_"&amp;$C27,"")</f>
        <v/>
      </c>
      <c r="N27" s="49" t="str">
        <f>IF(AND(C27&gt;=6,D27&gt;=4),VLOOKUP($I27,색인!$L$4:$R$11,N$2,FALSE)&amp;"_"&amp;$C27,"")</f>
        <v/>
      </c>
      <c r="O27" s="49" t="str">
        <f>IF(AND(C27&gt;=6,D27&gt;=4),VLOOKUP($I27,색인!$L$4:$R$11,O$2,FALSE)&amp;"_"&amp;$C27,"")</f>
        <v/>
      </c>
      <c r="P27" s="50" t="str">
        <f t="shared" si="1"/>
        <v>1342</v>
      </c>
      <c r="Q27" s="49">
        <f>VLOOKUP(옵션그룹계산1!J27,색인!$E$4:$F$99,2,FALSE)</f>
        <v>201</v>
      </c>
      <c r="R27" s="49">
        <f>_xlfn.IFNA(VLOOKUP(옵션그룹계산1!K27,색인!$E$4:$F$99,2,FALSE),"")</f>
        <v>901</v>
      </c>
      <c r="S27" s="49">
        <f>_xlfn.IFNA(VLOOKUP(옵션그룹계산1!L27,색인!$E$4:$F$99,2,FALSE),"")</f>
        <v>1901</v>
      </c>
      <c r="T27" s="49" t="str">
        <f>_xlfn.IFNA(VLOOKUP(옵션그룹계산1!M27,색인!$E$4:$F$99,2,FALSE),"")</f>
        <v/>
      </c>
      <c r="U27" s="49" t="str">
        <f>_xlfn.IFNA(VLOOKUP(옵션그룹계산1!N27,색인!$E$4:$F$99,2,FALSE),"")</f>
        <v/>
      </c>
      <c r="V27" s="49" t="str">
        <f>_xlfn.IFNA(VLOOKUP(옵션그룹계산1!O27,색인!$E$4:$F$99,2,FALSE),"")</f>
        <v/>
      </c>
      <c r="W27" s="50">
        <f t="shared" si="2"/>
        <v>1</v>
      </c>
      <c r="X27" s="50">
        <f t="shared" si="3"/>
        <v>3</v>
      </c>
      <c r="Y27" s="50">
        <f t="shared" si="4"/>
        <v>4</v>
      </c>
      <c r="Z27" s="50">
        <f t="shared" si="5"/>
        <v>2</v>
      </c>
      <c r="AA27" s="48" t="str">
        <f t="shared" si="6"/>
        <v>T1_3옵션_보주_탱커</v>
      </c>
      <c r="AB27" s="50" t="str">
        <f t="shared" si="7"/>
        <v>1342</v>
      </c>
      <c r="AC27" s="49" t="str">
        <f t="shared" si="8"/>
        <v>T1_3옵션_보주_탱커       (Grade 4~5)</v>
      </c>
      <c r="AD27" s="48" t="str">
        <f t="shared" si="9"/>
        <v>201,901,1901</v>
      </c>
    </row>
    <row r="28" spans="3:33" x14ac:dyDescent="0.3">
      <c r="C28" s="51">
        <v>2</v>
      </c>
      <c r="D28" s="51">
        <v>1</v>
      </c>
      <c r="E28" s="51" t="s">
        <v>5400</v>
      </c>
      <c r="F28" s="51" t="s">
        <v>5397</v>
      </c>
      <c r="G28" s="50" t="str">
        <f>VLOOKUP(E28,옵션그룹계산1!$AF$4:$AH$7,3,FALSE)</f>
        <v xml:space="preserve">    </v>
      </c>
      <c r="H28" s="49" t="str">
        <f>VLOOKUP(D28,옵션그룹계산1!$AF$16:$AG$19,2,FALSE)</f>
        <v>(Grade 2)</v>
      </c>
      <c r="I28" s="50" t="str">
        <f t="shared" si="0"/>
        <v>방어구_딜러</v>
      </c>
      <c r="J28" s="49" t="str">
        <f>IF($D28&gt;=(J$2-1),VLOOKUP($I28,색인!$L$4:$R$11,J$2,FALSE)&amp;"_"&amp;$C28,"")</f>
        <v>공격력_2</v>
      </c>
      <c r="K28" s="49" t="str">
        <f>IF($D28&gt;=(K$2-1),VLOOKUP($I28,색인!$L$4:$R$11,K$2,FALSE)&amp;"_"&amp;$C28,"")</f>
        <v/>
      </c>
      <c r="L28" s="49" t="str">
        <f>IF($D28&gt;=(L$2-1),VLOOKUP($I28,색인!$L$4:$R$11,L$2,FALSE)&amp;"_"&amp;$C28,"")</f>
        <v/>
      </c>
      <c r="M28" s="49" t="str">
        <f>IF($D28&gt;=(M$2-1),VLOOKUP($I28,색인!$L$4:$R$11,M$2,FALSE)&amp;"_"&amp;$C28,"")</f>
        <v/>
      </c>
      <c r="N28" s="49" t="str">
        <f>IF(AND(C28&gt;=6,D28&gt;=4),VLOOKUP($I28,색인!$L$4:$R$11,N$2,FALSE)&amp;"_"&amp;$C28,"")</f>
        <v/>
      </c>
      <c r="O28" s="49" t="str">
        <f>IF(AND(C28&gt;=6,D28&gt;=4),VLOOKUP($I28,색인!$L$4:$R$11,O$2,FALSE)&amp;"_"&amp;$C28,"")</f>
        <v/>
      </c>
      <c r="P28" s="50" t="str">
        <f t="shared" si="1"/>
        <v>2111</v>
      </c>
      <c r="Q28" s="49">
        <f>VLOOKUP(옵션그룹계산1!J28,색인!$E$4:$F$99,2,FALSE)</f>
        <v>102</v>
      </c>
      <c r="R28" s="49" t="str">
        <f>_xlfn.IFNA(VLOOKUP(옵션그룹계산1!K28,색인!$E$4:$F$99,2,FALSE),"")</f>
        <v/>
      </c>
      <c r="S28" s="49" t="str">
        <f>_xlfn.IFNA(VLOOKUP(옵션그룹계산1!L28,색인!$E$4:$F$99,2,FALSE),"")</f>
        <v/>
      </c>
      <c r="T28" s="49" t="str">
        <f>_xlfn.IFNA(VLOOKUP(옵션그룹계산1!M28,색인!$E$4:$F$99,2,FALSE),"")</f>
        <v/>
      </c>
      <c r="U28" s="49" t="str">
        <f>_xlfn.IFNA(VLOOKUP(옵션그룹계산1!N28,색인!$E$4:$F$99,2,FALSE),"")</f>
        <v/>
      </c>
      <c r="V28" s="49" t="str">
        <f>_xlfn.IFNA(VLOOKUP(옵션그룹계산1!O28,색인!$E$4:$F$99,2,FALSE),"")</f>
        <v/>
      </c>
      <c r="W28" s="50">
        <f t="shared" si="2"/>
        <v>2</v>
      </c>
      <c r="X28" s="50">
        <f t="shared" si="3"/>
        <v>1</v>
      </c>
      <c r="Y28" s="50">
        <f t="shared" si="4"/>
        <v>1</v>
      </c>
      <c r="Z28" s="50">
        <f t="shared" si="5"/>
        <v>1</v>
      </c>
      <c r="AA28" s="48" t="str">
        <f t="shared" si="6"/>
        <v>T2_1옵션_방어구_딜러</v>
      </c>
      <c r="AB28" s="50" t="str">
        <f t="shared" si="7"/>
        <v>2111</v>
      </c>
      <c r="AC28" s="49" t="str">
        <f t="shared" si="8"/>
        <v>T2_1옵션_방어구_딜러    (Grade 2)</v>
      </c>
      <c r="AD28" s="48" t="str">
        <f t="shared" si="9"/>
        <v>102</v>
      </c>
    </row>
    <row r="29" spans="3:33" x14ac:dyDescent="0.3">
      <c r="C29" s="51">
        <v>2</v>
      </c>
      <c r="D29" s="51">
        <v>1</v>
      </c>
      <c r="E29" s="51" t="s">
        <v>5400</v>
      </c>
      <c r="F29" s="51" t="s">
        <v>5395</v>
      </c>
      <c r="G29" s="50" t="str">
        <f>VLOOKUP(E29,옵션그룹계산1!$AF$4:$AH$7,3,FALSE)</f>
        <v xml:space="preserve">    </v>
      </c>
      <c r="H29" s="49" t="str">
        <f>VLOOKUP(D29,옵션그룹계산1!$AF$16:$AG$19,2,FALSE)</f>
        <v>(Grade 2)</v>
      </c>
      <c r="I29" s="50" t="str">
        <f t="shared" si="0"/>
        <v>방어구_탱커</v>
      </c>
      <c r="J29" s="49" t="str">
        <f>IF($D29&gt;=(J$2-1),VLOOKUP($I29,색인!$L$4:$R$11,J$2,FALSE)&amp;"_"&amp;$C29,"")</f>
        <v>공격속도_2</v>
      </c>
      <c r="K29" s="49" t="str">
        <f>IF($D29&gt;=(K$2-1),VLOOKUP($I29,색인!$L$4:$R$11,K$2,FALSE)&amp;"_"&amp;$C29,"")</f>
        <v/>
      </c>
      <c r="L29" s="49" t="str">
        <f>IF($D29&gt;=(L$2-1),VLOOKUP($I29,색인!$L$4:$R$11,L$2,FALSE)&amp;"_"&amp;$C29,"")</f>
        <v/>
      </c>
      <c r="M29" s="49" t="str">
        <f>IF($D29&gt;=(M$2-1),VLOOKUP($I29,색인!$L$4:$R$11,M$2,FALSE)&amp;"_"&amp;$C29,"")</f>
        <v/>
      </c>
      <c r="N29" s="49" t="str">
        <f>IF(AND(C29&gt;=6,D29&gt;=4),VLOOKUP($I29,색인!$L$4:$R$11,N$2,FALSE)&amp;"_"&amp;$C29,"")</f>
        <v/>
      </c>
      <c r="O29" s="49" t="str">
        <f>IF(AND(C29&gt;=6,D29&gt;=4),VLOOKUP($I29,색인!$L$4:$R$11,O$2,FALSE)&amp;"_"&amp;$C29,"")</f>
        <v/>
      </c>
      <c r="P29" s="50" t="str">
        <f t="shared" si="1"/>
        <v>2112</v>
      </c>
      <c r="Q29" s="49">
        <f>VLOOKUP(옵션그룹계산1!J29,색인!$E$4:$F$99,2,FALSE)</f>
        <v>1102</v>
      </c>
      <c r="R29" s="49" t="str">
        <f>_xlfn.IFNA(VLOOKUP(옵션그룹계산1!K29,색인!$E$4:$F$99,2,FALSE),"")</f>
        <v/>
      </c>
      <c r="S29" s="49" t="str">
        <f>_xlfn.IFNA(VLOOKUP(옵션그룹계산1!L29,색인!$E$4:$F$99,2,FALSE),"")</f>
        <v/>
      </c>
      <c r="T29" s="49" t="str">
        <f>_xlfn.IFNA(VLOOKUP(옵션그룹계산1!M29,색인!$E$4:$F$99,2,FALSE),"")</f>
        <v/>
      </c>
      <c r="U29" s="49" t="str">
        <f>_xlfn.IFNA(VLOOKUP(옵션그룹계산1!N29,색인!$E$4:$F$99,2,FALSE),"")</f>
        <v/>
      </c>
      <c r="V29" s="49" t="str">
        <f>_xlfn.IFNA(VLOOKUP(옵션그룹계산1!O29,색인!$E$4:$F$99,2,FALSE),"")</f>
        <v/>
      </c>
      <c r="W29" s="50">
        <f t="shared" si="2"/>
        <v>2</v>
      </c>
      <c r="X29" s="50">
        <f t="shared" si="3"/>
        <v>1</v>
      </c>
      <c r="Y29" s="50">
        <f t="shared" si="4"/>
        <v>1</v>
      </c>
      <c r="Z29" s="50">
        <f t="shared" si="5"/>
        <v>2</v>
      </c>
      <c r="AA29" s="48" t="str">
        <f t="shared" si="6"/>
        <v>T2_1옵션_방어구_탱커</v>
      </c>
      <c r="AB29" s="50" t="str">
        <f t="shared" si="7"/>
        <v>2112</v>
      </c>
      <c r="AC29" s="49" t="str">
        <f t="shared" si="8"/>
        <v>T2_1옵션_방어구_탱커    (Grade 2)</v>
      </c>
      <c r="AD29" s="48" t="str">
        <f t="shared" si="9"/>
        <v>1102</v>
      </c>
    </row>
    <row r="30" spans="3:33" x14ac:dyDescent="0.3">
      <c r="C30" s="51">
        <v>2</v>
      </c>
      <c r="D30" s="51">
        <v>1</v>
      </c>
      <c r="E30" s="51" t="s">
        <v>5399</v>
      </c>
      <c r="F30" s="51" t="s">
        <v>5397</v>
      </c>
      <c r="G30" s="50" t="str">
        <f>VLOOKUP(E30,옵션그룹계산1!$AF$4:$AH$7,3,FALSE)</f>
        <v xml:space="preserve"> </v>
      </c>
      <c r="H30" s="49" t="str">
        <f>VLOOKUP(D30,옵션그룹계산1!$AF$16:$AG$19,2,FALSE)</f>
        <v>(Grade 2)</v>
      </c>
      <c r="I30" s="50" t="str">
        <f t="shared" si="0"/>
        <v>보조장비_딜러</v>
      </c>
      <c r="J30" s="49" t="str">
        <f>IF($D30&gt;=(J$2-1),VLOOKUP($I30,색인!$L$4:$R$11,J$2,FALSE)&amp;"_"&amp;$C30,"")</f>
        <v>공격력_2</v>
      </c>
      <c r="K30" s="49" t="str">
        <f>IF($D30&gt;=(K$2-1),VLOOKUP($I30,색인!$L$4:$R$11,K$2,FALSE)&amp;"_"&amp;$C30,"")</f>
        <v/>
      </c>
      <c r="L30" s="49" t="str">
        <f>IF($D30&gt;=(L$2-1),VLOOKUP($I30,색인!$L$4:$R$11,L$2,FALSE)&amp;"_"&amp;$C30,"")</f>
        <v/>
      </c>
      <c r="M30" s="49" t="str">
        <f>IF($D30&gt;=(M$2-1),VLOOKUP($I30,색인!$L$4:$R$11,M$2,FALSE)&amp;"_"&amp;$C30,"")</f>
        <v/>
      </c>
      <c r="N30" s="49" t="str">
        <f>IF(AND(C30&gt;=6,D30&gt;=4),VLOOKUP($I30,색인!$L$4:$R$11,N$2,FALSE)&amp;"_"&amp;$C30,"")</f>
        <v/>
      </c>
      <c r="O30" s="49" t="str">
        <f>IF(AND(C30&gt;=6,D30&gt;=4),VLOOKUP($I30,색인!$L$4:$R$11,O$2,FALSE)&amp;"_"&amp;$C30,"")</f>
        <v/>
      </c>
      <c r="P30" s="50" t="str">
        <f t="shared" si="1"/>
        <v>2121</v>
      </c>
      <c r="Q30" s="49">
        <f>VLOOKUP(옵션그룹계산1!J30,색인!$E$4:$F$99,2,FALSE)</f>
        <v>102</v>
      </c>
      <c r="R30" s="49" t="str">
        <f>_xlfn.IFNA(VLOOKUP(옵션그룹계산1!K30,색인!$E$4:$F$99,2,FALSE),"")</f>
        <v/>
      </c>
      <c r="S30" s="49" t="str">
        <f>_xlfn.IFNA(VLOOKUP(옵션그룹계산1!L30,색인!$E$4:$F$99,2,FALSE),"")</f>
        <v/>
      </c>
      <c r="T30" s="49" t="str">
        <f>_xlfn.IFNA(VLOOKUP(옵션그룹계산1!M30,색인!$E$4:$F$99,2,FALSE),"")</f>
        <v/>
      </c>
      <c r="U30" s="49" t="str">
        <f>_xlfn.IFNA(VLOOKUP(옵션그룹계산1!N30,색인!$E$4:$F$99,2,FALSE),"")</f>
        <v/>
      </c>
      <c r="V30" s="49" t="str">
        <f>_xlfn.IFNA(VLOOKUP(옵션그룹계산1!O30,색인!$E$4:$F$99,2,FALSE),"")</f>
        <v/>
      </c>
      <c r="W30" s="50">
        <f t="shared" si="2"/>
        <v>2</v>
      </c>
      <c r="X30" s="50">
        <f t="shared" si="3"/>
        <v>1</v>
      </c>
      <c r="Y30" s="50">
        <f t="shared" si="4"/>
        <v>2</v>
      </c>
      <c r="Z30" s="50">
        <f t="shared" si="5"/>
        <v>1</v>
      </c>
      <c r="AA30" s="48" t="str">
        <f t="shared" si="6"/>
        <v>T2_1옵션_보조장비_딜러</v>
      </c>
      <c r="AB30" s="50" t="str">
        <f t="shared" si="7"/>
        <v>2121</v>
      </c>
      <c r="AC30" s="49" t="str">
        <f t="shared" si="8"/>
        <v>T2_1옵션_보조장비_딜러 (Grade 2)</v>
      </c>
      <c r="AD30" s="48" t="str">
        <f t="shared" si="9"/>
        <v>102</v>
      </c>
    </row>
    <row r="31" spans="3:33" x14ac:dyDescent="0.3">
      <c r="C31" s="51">
        <v>2</v>
      </c>
      <c r="D31" s="51">
        <v>1</v>
      </c>
      <c r="E31" s="51" t="s">
        <v>5399</v>
      </c>
      <c r="F31" s="51" t="s">
        <v>5395</v>
      </c>
      <c r="G31" s="50" t="str">
        <f>VLOOKUP(E31,옵션그룹계산1!$AF$4:$AH$7,3,FALSE)</f>
        <v xml:space="preserve"> </v>
      </c>
      <c r="H31" s="49" t="str">
        <f>VLOOKUP(D31,옵션그룹계산1!$AF$16:$AG$19,2,FALSE)</f>
        <v>(Grade 2)</v>
      </c>
      <c r="I31" s="50" t="str">
        <f t="shared" si="0"/>
        <v>보조장비_탱커</v>
      </c>
      <c r="J31" s="49" t="str">
        <f>IF($D31&gt;=(J$2-1),VLOOKUP($I31,색인!$L$4:$R$11,J$2,FALSE)&amp;"_"&amp;$C31,"")</f>
        <v>공격속도_2</v>
      </c>
      <c r="K31" s="49" t="str">
        <f>IF($D31&gt;=(K$2-1),VLOOKUP($I31,색인!$L$4:$R$11,K$2,FALSE)&amp;"_"&amp;$C31,"")</f>
        <v/>
      </c>
      <c r="L31" s="49" t="str">
        <f>IF($D31&gt;=(L$2-1),VLOOKUP($I31,색인!$L$4:$R$11,L$2,FALSE)&amp;"_"&amp;$C31,"")</f>
        <v/>
      </c>
      <c r="M31" s="49" t="str">
        <f>IF($D31&gt;=(M$2-1),VLOOKUP($I31,색인!$L$4:$R$11,M$2,FALSE)&amp;"_"&amp;$C31,"")</f>
        <v/>
      </c>
      <c r="N31" s="49" t="str">
        <f>IF(AND(C31&gt;=6,D31&gt;=4),VLOOKUP($I31,색인!$L$4:$R$11,N$2,FALSE)&amp;"_"&amp;$C31,"")</f>
        <v/>
      </c>
      <c r="O31" s="49" t="str">
        <f>IF(AND(C31&gt;=6,D31&gt;=4),VLOOKUP($I31,색인!$L$4:$R$11,O$2,FALSE)&amp;"_"&amp;$C31,"")</f>
        <v/>
      </c>
      <c r="P31" s="50" t="str">
        <f t="shared" si="1"/>
        <v>2122</v>
      </c>
      <c r="Q31" s="49">
        <f>VLOOKUP(옵션그룹계산1!J31,색인!$E$4:$F$99,2,FALSE)</f>
        <v>1102</v>
      </c>
      <c r="R31" s="49" t="str">
        <f>_xlfn.IFNA(VLOOKUP(옵션그룹계산1!K31,색인!$E$4:$F$99,2,FALSE),"")</f>
        <v/>
      </c>
      <c r="S31" s="49" t="str">
        <f>_xlfn.IFNA(VLOOKUP(옵션그룹계산1!L31,색인!$E$4:$F$99,2,FALSE),"")</f>
        <v/>
      </c>
      <c r="T31" s="49" t="str">
        <f>_xlfn.IFNA(VLOOKUP(옵션그룹계산1!M31,색인!$E$4:$F$99,2,FALSE),"")</f>
        <v/>
      </c>
      <c r="U31" s="49" t="str">
        <f>_xlfn.IFNA(VLOOKUP(옵션그룹계산1!N31,색인!$E$4:$F$99,2,FALSE),"")</f>
        <v/>
      </c>
      <c r="V31" s="49" t="str">
        <f>_xlfn.IFNA(VLOOKUP(옵션그룹계산1!O31,색인!$E$4:$F$99,2,FALSE),"")</f>
        <v/>
      </c>
      <c r="W31" s="50">
        <f t="shared" si="2"/>
        <v>2</v>
      </c>
      <c r="X31" s="50">
        <f t="shared" si="3"/>
        <v>1</v>
      </c>
      <c r="Y31" s="50">
        <f t="shared" si="4"/>
        <v>2</v>
      </c>
      <c r="Z31" s="50">
        <f t="shared" si="5"/>
        <v>2</v>
      </c>
      <c r="AA31" s="48" t="str">
        <f t="shared" si="6"/>
        <v>T2_1옵션_보조장비_탱커</v>
      </c>
      <c r="AB31" s="50" t="str">
        <f t="shared" si="7"/>
        <v>2122</v>
      </c>
      <c r="AC31" s="49" t="str">
        <f t="shared" si="8"/>
        <v>T2_1옵션_보조장비_탱커 (Grade 2)</v>
      </c>
      <c r="AD31" s="48" t="str">
        <f t="shared" si="9"/>
        <v>1102</v>
      </c>
    </row>
    <row r="32" spans="3:33" x14ac:dyDescent="0.3">
      <c r="C32" s="51">
        <v>2</v>
      </c>
      <c r="D32" s="51">
        <v>1</v>
      </c>
      <c r="E32" s="51" t="s">
        <v>5398</v>
      </c>
      <c r="F32" s="51" t="s">
        <v>5397</v>
      </c>
      <c r="G32" s="50" t="str">
        <f>VLOOKUP(E32,옵션그룹계산1!$AF$4:$AH$7,3,FALSE)</f>
        <v xml:space="preserve">    </v>
      </c>
      <c r="H32" s="49" t="str">
        <f>VLOOKUP(D32,옵션그룹계산1!$AF$16:$AG$19,2,FALSE)</f>
        <v>(Grade 2)</v>
      </c>
      <c r="I32" s="50" t="str">
        <f t="shared" si="0"/>
        <v>장신구_딜러</v>
      </c>
      <c r="J32" s="49" t="str">
        <f>IF($D32&gt;=(J$2-1),VLOOKUP($I32,색인!$L$4:$R$11,J$2,FALSE)&amp;"_"&amp;$C32,"")</f>
        <v>공격력_2</v>
      </c>
      <c r="K32" s="49" t="str">
        <f>IF($D32&gt;=(K$2-1),VLOOKUP($I32,색인!$L$4:$R$11,K$2,FALSE)&amp;"_"&amp;$C32,"")</f>
        <v/>
      </c>
      <c r="L32" s="49" t="str">
        <f>IF($D32&gt;=(L$2-1),VLOOKUP($I32,색인!$L$4:$R$11,L$2,FALSE)&amp;"_"&amp;$C32,"")</f>
        <v/>
      </c>
      <c r="M32" s="49" t="str">
        <f>IF($D32&gt;=(M$2-1),VLOOKUP($I32,색인!$L$4:$R$11,M$2,FALSE)&amp;"_"&amp;$C32,"")</f>
        <v/>
      </c>
      <c r="N32" s="49" t="str">
        <f>IF(AND(C32&gt;=6,D32&gt;=4),VLOOKUP($I32,색인!$L$4:$R$11,N$2,FALSE)&amp;"_"&amp;$C32,"")</f>
        <v/>
      </c>
      <c r="O32" s="49" t="str">
        <f>IF(AND(C32&gt;=6,D32&gt;=4),VLOOKUP($I32,색인!$L$4:$R$11,O$2,FALSE)&amp;"_"&amp;$C32,"")</f>
        <v/>
      </c>
      <c r="P32" s="50" t="str">
        <f t="shared" si="1"/>
        <v>2131</v>
      </c>
      <c r="Q32" s="49">
        <f>VLOOKUP(옵션그룹계산1!J32,색인!$E$4:$F$99,2,FALSE)</f>
        <v>102</v>
      </c>
      <c r="R32" s="49" t="str">
        <f>_xlfn.IFNA(VLOOKUP(옵션그룹계산1!K32,색인!$E$4:$F$99,2,FALSE),"")</f>
        <v/>
      </c>
      <c r="S32" s="49" t="str">
        <f>_xlfn.IFNA(VLOOKUP(옵션그룹계산1!L32,색인!$E$4:$F$99,2,FALSE),"")</f>
        <v/>
      </c>
      <c r="T32" s="49" t="str">
        <f>_xlfn.IFNA(VLOOKUP(옵션그룹계산1!M32,색인!$E$4:$F$99,2,FALSE),"")</f>
        <v/>
      </c>
      <c r="U32" s="49" t="str">
        <f>_xlfn.IFNA(VLOOKUP(옵션그룹계산1!N32,색인!$E$4:$F$99,2,FALSE),"")</f>
        <v/>
      </c>
      <c r="V32" s="49" t="str">
        <f>_xlfn.IFNA(VLOOKUP(옵션그룹계산1!O32,색인!$E$4:$F$99,2,FALSE),"")</f>
        <v/>
      </c>
      <c r="W32" s="50">
        <f t="shared" si="2"/>
        <v>2</v>
      </c>
      <c r="X32" s="50">
        <f t="shared" si="3"/>
        <v>1</v>
      </c>
      <c r="Y32" s="50">
        <f t="shared" si="4"/>
        <v>3</v>
      </c>
      <c r="Z32" s="50">
        <f t="shared" si="5"/>
        <v>1</v>
      </c>
      <c r="AA32" s="48" t="str">
        <f t="shared" si="6"/>
        <v>T2_1옵션_장신구_딜러</v>
      </c>
      <c r="AB32" s="50" t="str">
        <f t="shared" si="7"/>
        <v>2131</v>
      </c>
      <c r="AC32" s="49" t="str">
        <f t="shared" si="8"/>
        <v>T2_1옵션_장신구_딜러    (Grade 2)</v>
      </c>
      <c r="AD32" s="48" t="str">
        <f t="shared" si="9"/>
        <v>102</v>
      </c>
    </row>
    <row r="33" spans="3:30" x14ac:dyDescent="0.3">
      <c r="C33" s="51">
        <v>2</v>
      </c>
      <c r="D33" s="51">
        <v>1</v>
      </c>
      <c r="E33" s="51" t="s">
        <v>5398</v>
      </c>
      <c r="F33" s="51" t="s">
        <v>5395</v>
      </c>
      <c r="G33" s="50" t="str">
        <f>VLOOKUP(E33,옵션그룹계산1!$AF$4:$AH$7,3,FALSE)</f>
        <v xml:space="preserve">    </v>
      </c>
      <c r="H33" s="49" t="str">
        <f>VLOOKUP(D33,옵션그룹계산1!$AF$16:$AG$19,2,FALSE)</f>
        <v>(Grade 2)</v>
      </c>
      <c r="I33" s="50" t="str">
        <f t="shared" si="0"/>
        <v>장신구_탱커</v>
      </c>
      <c r="J33" s="49" t="str">
        <f>IF($D33&gt;=(J$2-1),VLOOKUP($I33,색인!$L$4:$R$11,J$2,FALSE)&amp;"_"&amp;$C33,"")</f>
        <v>체력_2</v>
      </c>
      <c r="K33" s="49" t="str">
        <f>IF($D33&gt;=(K$2-1),VLOOKUP($I33,색인!$L$4:$R$11,K$2,FALSE)&amp;"_"&amp;$C33,"")</f>
        <v/>
      </c>
      <c r="L33" s="49" t="str">
        <f>IF($D33&gt;=(L$2-1),VLOOKUP($I33,색인!$L$4:$R$11,L$2,FALSE)&amp;"_"&amp;$C33,"")</f>
        <v/>
      </c>
      <c r="M33" s="49" t="str">
        <f>IF($D33&gt;=(M$2-1),VLOOKUP($I33,색인!$L$4:$R$11,M$2,FALSE)&amp;"_"&amp;$C33,"")</f>
        <v/>
      </c>
      <c r="N33" s="49" t="str">
        <f>IF(AND(C33&gt;=6,D33&gt;=4),VLOOKUP($I33,색인!$L$4:$R$11,N$2,FALSE)&amp;"_"&amp;$C33,"")</f>
        <v/>
      </c>
      <c r="O33" s="49" t="str">
        <f>IF(AND(C33&gt;=6,D33&gt;=4),VLOOKUP($I33,색인!$L$4:$R$11,O$2,FALSE)&amp;"_"&amp;$C33,"")</f>
        <v/>
      </c>
      <c r="P33" s="50" t="str">
        <f t="shared" si="1"/>
        <v>2132</v>
      </c>
      <c r="Q33" s="49">
        <f>VLOOKUP(옵션그룹계산1!J33,색인!$E$4:$F$99,2,FALSE)</f>
        <v>202</v>
      </c>
      <c r="R33" s="49" t="str">
        <f>_xlfn.IFNA(VLOOKUP(옵션그룹계산1!K33,색인!$E$4:$F$99,2,FALSE),"")</f>
        <v/>
      </c>
      <c r="S33" s="49" t="str">
        <f>_xlfn.IFNA(VLOOKUP(옵션그룹계산1!L33,색인!$E$4:$F$99,2,FALSE),"")</f>
        <v/>
      </c>
      <c r="T33" s="49" t="str">
        <f>_xlfn.IFNA(VLOOKUP(옵션그룹계산1!M33,색인!$E$4:$F$99,2,FALSE),"")</f>
        <v/>
      </c>
      <c r="U33" s="49" t="str">
        <f>_xlfn.IFNA(VLOOKUP(옵션그룹계산1!N33,색인!$E$4:$F$99,2,FALSE),"")</f>
        <v/>
      </c>
      <c r="V33" s="49" t="str">
        <f>_xlfn.IFNA(VLOOKUP(옵션그룹계산1!O33,색인!$E$4:$F$99,2,FALSE),"")</f>
        <v/>
      </c>
      <c r="W33" s="50">
        <f t="shared" si="2"/>
        <v>2</v>
      </c>
      <c r="X33" s="50">
        <f t="shared" si="3"/>
        <v>1</v>
      </c>
      <c r="Y33" s="50">
        <f t="shared" si="4"/>
        <v>3</v>
      </c>
      <c r="Z33" s="50">
        <f t="shared" si="5"/>
        <v>2</v>
      </c>
      <c r="AA33" s="48" t="str">
        <f t="shared" si="6"/>
        <v>T2_1옵션_장신구_탱커</v>
      </c>
      <c r="AB33" s="50" t="str">
        <f t="shared" si="7"/>
        <v>2132</v>
      </c>
      <c r="AC33" s="49" t="str">
        <f t="shared" si="8"/>
        <v>T2_1옵션_장신구_탱커    (Grade 2)</v>
      </c>
      <c r="AD33" s="48" t="str">
        <f t="shared" si="9"/>
        <v>202</v>
      </c>
    </row>
    <row r="34" spans="3:30" x14ac:dyDescent="0.3">
      <c r="C34" s="51">
        <v>2</v>
      </c>
      <c r="D34" s="51">
        <v>1</v>
      </c>
      <c r="E34" s="51" t="s">
        <v>5396</v>
      </c>
      <c r="F34" s="51" t="s">
        <v>5397</v>
      </c>
      <c r="G34" s="50" t="str">
        <f>VLOOKUP(E34,옵션그룹계산1!$AF$4:$AH$7,3,FALSE)</f>
        <v xml:space="preserve">       </v>
      </c>
      <c r="H34" s="49" t="str">
        <f>VLOOKUP(D34,옵션그룹계산1!$AF$16:$AG$19,2,FALSE)</f>
        <v>(Grade 2)</v>
      </c>
      <c r="I34" s="50" t="str">
        <f t="shared" si="0"/>
        <v>보주_딜러</v>
      </c>
      <c r="J34" s="49" t="str">
        <f>IF($D34&gt;=(J$2-1),VLOOKUP($I34,색인!$L$4:$R$11,J$2,FALSE)&amp;"_"&amp;$C34,"")</f>
        <v>공격력_2</v>
      </c>
      <c r="K34" s="49" t="str">
        <f>IF($D34&gt;=(K$2-1),VLOOKUP($I34,색인!$L$4:$R$11,K$2,FALSE)&amp;"_"&amp;$C34,"")</f>
        <v/>
      </c>
      <c r="L34" s="49" t="str">
        <f>IF($D34&gt;=(L$2-1),VLOOKUP($I34,색인!$L$4:$R$11,L$2,FALSE)&amp;"_"&amp;$C34,"")</f>
        <v/>
      </c>
      <c r="M34" s="49" t="str">
        <f>IF($D34&gt;=(M$2-1),VLOOKUP($I34,색인!$L$4:$R$11,M$2,FALSE)&amp;"_"&amp;$C34,"")</f>
        <v/>
      </c>
      <c r="N34" s="49" t="str">
        <f>IF(AND(C34&gt;=6,D34&gt;=4),VLOOKUP($I34,색인!$L$4:$R$11,N$2,FALSE)&amp;"_"&amp;$C34,"")</f>
        <v/>
      </c>
      <c r="O34" s="49" t="str">
        <f>IF(AND(C34&gt;=6,D34&gt;=4),VLOOKUP($I34,색인!$L$4:$R$11,O$2,FALSE)&amp;"_"&amp;$C34,"")</f>
        <v/>
      </c>
      <c r="P34" s="50" t="str">
        <f t="shared" si="1"/>
        <v>2141</v>
      </c>
      <c r="Q34" s="49">
        <f>VLOOKUP(옵션그룹계산1!J34,색인!$E$4:$F$99,2,FALSE)</f>
        <v>102</v>
      </c>
      <c r="R34" s="49" t="str">
        <f>_xlfn.IFNA(VLOOKUP(옵션그룹계산1!K34,색인!$E$4:$F$99,2,FALSE),"")</f>
        <v/>
      </c>
      <c r="S34" s="49" t="str">
        <f>_xlfn.IFNA(VLOOKUP(옵션그룹계산1!L34,색인!$E$4:$F$99,2,FALSE),"")</f>
        <v/>
      </c>
      <c r="T34" s="49" t="str">
        <f>_xlfn.IFNA(VLOOKUP(옵션그룹계산1!M34,색인!$E$4:$F$99,2,FALSE),"")</f>
        <v/>
      </c>
      <c r="U34" s="49" t="str">
        <f>_xlfn.IFNA(VLOOKUP(옵션그룹계산1!N34,색인!$E$4:$F$99,2,FALSE),"")</f>
        <v/>
      </c>
      <c r="V34" s="49" t="str">
        <f>_xlfn.IFNA(VLOOKUP(옵션그룹계산1!O34,색인!$E$4:$F$99,2,FALSE),"")</f>
        <v/>
      </c>
      <c r="W34" s="50">
        <f t="shared" si="2"/>
        <v>2</v>
      </c>
      <c r="X34" s="50">
        <f t="shared" si="3"/>
        <v>1</v>
      </c>
      <c r="Y34" s="50">
        <f t="shared" si="4"/>
        <v>4</v>
      </c>
      <c r="Z34" s="50">
        <f t="shared" si="5"/>
        <v>1</v>
      </c>
      <c r="AA34" s="48" t="str">
        <f t="shared" si="6"/>
        <v>T2_1옵션_보주_딜러</v>
      </c>
      <c r="AB34" s="50" t="str">
        <f t="shared" si="7"/>
        <v>2141</v>
      </c>
      <c r="AC34" s="49" t="str">
        <f t="shared" si="8"/>
        <v>T2_1옵션_보주_딜러       (Grade 2)</v>
      </c>
      <c r="AD34" s="48" t="str">
        <f t="shared" si="9"/>
        <v>102</v>
      </c>
    </row>
    <row r="35" spans="3:30" x14ac:dyDescent="0.3">
      <c r="C35" s="51">
        <v>2</v>
      </c>
      <c r="D35" s="51">
        <v>1</v>
      </c>
      <c r="E35" s="51" t="s">
        <v>5396</v>
      </c>
      <c r="F35" s="51" t="s">
        <v>5395</v>
      </c>
      <c r="G35" s="50" t="str">
        <f>VLOOKUP(E35,옵션그룹계산1!$AF$4:$AH$7,3,FALSE)</f>
        <v xml:space="preserve">       </v>
      </c>
      <c r="H35" s="49" t="str">
        <f>VLOOKUP(D35,옵션그룹계산1!$AF$16:$AG$19,2,FALSE)</f>
        <v>(Grade 2)</v>
      </c>
      <c r="I35" s="50" t="str">
        <f t="shared" si="0"/>
        <v>보주_탱커</v>
      </c>
      <c r="J35" s="49" t="str">
        <f>IF($D35&gt;=(J$2-1),VLOOKUP($I35,색인!$L$4:$R$11,J$2,FALSE)&amp;"_"&amp;$C35,"")</f>
        <v>체력_2</v>
      </c>
      <c r="K35" s="49" t="str">
        <f>IF($D35&gt;=(K$2-1),VLOOKUP($I35,색인!$L$4:$R$11,K$2,FALSE)&amp;"_"&amp;$C35,"")</f>
        <v/>
      </c>
      <c r="L35" s="49" t="str">
        <f>IF($D35&gt;=(L$2-1),VLOOKUP($I35,색인!$L$4:$R$11,L$2,FALSE)&amp;"_"&amp;$C35,"")</f>
        <v/>
      </c>
      <c r="M35" s="49" t="str">
        <f>IF($D35&gt;=(M$2-1),VLOOKUP($I35,색인!$L$4:$R$11,M$2,FALSE)&amp;"_"&amp;$C35,"")</f>
        <v/>
      </c>
      <c r="N35" s="49" t="str">
        <f>IF(AND(C35&gt;=6,D35&gt;=4),VLOOKUP($I35,색인!$L$4:$R$11,N$2,FALSE)&amp;"_"&amp;$C35,"")</f>
        <v/>
      </c>
      <c r="O35" s="49" t="str">
        <f>IF(AND(C35&gt;=6,D35&gt;=4),VLOOKUP($I35,색인!$L$4:$R$11,O$2,FALSE)&amp;"_"&amp;$C35,"")</f>
        <v/>
      </c>
      <c r="P35" s="50" t="str">
        <f t="shared" si="1"/>
        <v>2142</v>
      </c>
      <c r="Q35" s="49">
        <f>VLOOKUP(옵션그룹계산1!J35,색인!$E$4:$F$99,2,FALSE)</f>
        <v>202</v>
      </c>
      <c r="R35" s="49" t="str">
        <f>_xlfn.IFNA(VLOOKUP(옵션그룹계산1!K35,색인!$E$4:$F$99,2,FALSE),"")</f>
        <v/>
      </c>
      <c r="S35" s="49" t="str">
        <f>_xlfn.IFNA(VLOOKUP(옵션그룹계산1!L35,색인!$E$4:$F$99,2,FALSE),"")</f>
        <v/>
      </c>
      <c r="T35" s="49" t="str">
        <f>_xlfn.IFNA(VLOOKUP(옵션그룹계산1!M35,색인!$E$4:$F$99,2,FALSE),"")</f>
        <v/>
      </c>
      <c r="U35" s="49" t="str">
        <f>_xlfn.IFNA(VLOOKUP(옵션그룹계산1!N35,색인!$E$4:$F$99,2,FALSE),"")</f>
        <v/>
      </c>
      <c r="V35" s="49" t="str">
        <f>_xlfn.IFNA(VLOOKUP(옵션그룹계산1!O35,색인!$E$4:$F$99,2,FALSE),"")</f>
        <v/>
      </c>
      <c r="W35" s="50">
        <f t="shared" si="2"/>
        <v>2</v>
      </c>
      <c r="X35" s="50">
        <f t="shared" si="3"/>
        <v>1</v>
      </c>
      <c r="Y35" s="50">
        <f t="shared" si="4"/>
        <v>4</v>
      </c>
      <c r="Z35" s="50">
        <f t="shared" si="5"/>
        <v>2</v>
      </c>
      <c r="AA35" s="48" t="str">
        <f t="shared" si="6"/>
        <v>T2_1옵션_보주_탱커</v>
      </c>
      <c r="AB35" s="50" t="str">
        <f t="shared" si="7"/>
        <v>2142</v>
      </c>
      <c r="AC35" s="49" t="str">
        <f t="shared" si="8"/>
        <v>T2_1옵션_보주_탱커       (Grade 2)</v>
      </c>
      <c r="AD35" s="48" t="str">
        <f t="shared" si="9"/>
        <v>202</v>
      </c>
    </row>
    <row r="36" spans="3:30" x14ac:dyDescent="0.3">
      <c r="C36" s="51">
        <v>2</v>
      </c>
      <c r="D36" s="51">
        <v>2</v>
      </c>
      <c r="E36" s="51" t="s">
        <v>5400</v>
      </c>
      <c r="F36" s="51" t="s">
        <v>5397</v>
      </c>
      <c r="G36" s="50" t="str">
        <f>VLOOKUP(E36,옵션그룹계산1!$AF$4:$AH$7,3,FALSE)</f>
        <v xml:space="preserve">    </v>
      </c>
      <c r="H36" s="49" t="str">
        <f>VLOOKUP(D36,옵션그룹계산1!$AF$16:$AG$19,2,FALSE)</f>
        <v>(Grade 3)</v>
      </c>
      <c r="I36" s="50" t="str">
        <f t="shared" si="0"/>
        <v>방어구_딜러</v>
      </c>
      <c r="J36" s="49" t="str">
        <f>IF($D36&gt;=(J$2-1),VLOOKUP($I36,색인!$L$4:$R$11,J$2,FALSE)&amp;"_"&amp;$C36,"")</f>
        <v>공격력_2</v>
      </c>
      <c r="K36" s="49" t="str">
        <f>IF($D36&gt;=(K$2-1),VLOOKUP($I36,색인!$L$4:$R$11,K$2,FALSE)&amp;"_"&amp;$C36,"")</f>
        <v>공격속도_2</v>
      </c>
      <c r="L36" s="49" t="str">
        <f>IF($D36&gt;=(L$2-1),VLOOKUP($I36,색인!$L$4:$R$11,L$2,FALSE)&amp;"_"&amp;$C36,"")</f>
        <v/>
      </c>
      <c r="M36" s="49" t="str">
        <f>IF($D36&gt;=(M$2-1),VLOOKUP($I36,색인!$L$4:$R$11,M$2,FALSE)&amp;"_"&amp;$C36,"")</f>
        <v/>
      </c>
      <c r="N36" s="49" t="str">
        <f>IF(AND(C36&gt;=6,D36&gt;=4),VLOOKUP($I36,색인!$L$4:$R$11,N$2,FALSE)&amp;"_"&amp;$C36,"")</f>
        <v/>
      </c>
      <c r="O36" s="49" t="str">
        <f>IF(AND(C36&gt;=6,D36&gt;=4),VLOOKUP($I36,색인!$L$4:$R$11,O$2,FALSE)&amp;"_"&amp;$C36,"")</f>
        <v/>
      </c>
      <c r="P36" s="50" t="str">
        <f t="shared" si="1"/>
        <v>2211</v>
      </c>
      <c r="Q36" s="49">
        <f>VLOOKUP(옵션그룹계산1!J36,색인!$E$4:$F$99,2,FALSE)</f>
        <v>102</v>
      </c>
      <c r="R36" s="49">
        <f>_xlfn.IFNA(VLOOKUP(옵션그룹계산1!K36,색인!$E$4:$F$99,2,FALSE),"")</f>
        <v>1102</v>
      </c>
      <c r="S36" s="49" t="str">
        <f>_xlfn.IFNA(VLOOKUP(옵션그룹계산1!L36,색인!$E$4:$F$99,2,FALSE),"")</f>
        <v/>
      </c>
      <c r="T36" s="49" t="str">
        <f>_xlfn.IFNA(VLOOKUP(옵션그룹계산1!M36,색인!$E$4:$F$99,2,FALSE),"")</f>
        <v/>
      </c>
      <c r="U36" s="49" t="str">
        <f>_xlfn.IFNA(VLOOKUP(옵션그룹계산1!N36,색인!$E$4:$F$99,2,FALSE),"")</f>
        <v/>
      </c>
      <c r="V36" s="49" t="str">
        <f>_xlfn.IFNA(VLOOKUP(옵션그룹계산1!O36,색인!$E$4:$F$99,2,FALSE),"")</f>
        <v/>
      </c>
      <c r="W36" s="50">
        <f t="shared" si="2"/>
        <v>2</v>
      </c>
      <c r="X36" s="50">
        <f t="shared" si="3"/>
        <v>2</v>
      </c>
      <c r="Y36" s="50">
        <f t="shared" si="4"/>
        <v>1</v>
      </c>
      <c r="Z36" s="50">
        <f t="shared" si="5"/>
        <v>1</v>
      </c>
      <c r="AA36" s="48" t="str">
        <f t="shared" si="6"/>
        <v>T2_2옵션_방어구_딜러</v>
      </c>
      <c r="AB36" s="50" t="str">
        <f t="shared" si="7"/>
        <v>2211</v>
      </c>
      <c r="AC36" s="49" t="str">
        <f t="shared" si="8"/>
        <v>T2_2옵션_방어구_딜러    (Grade 3)</v>
      </c>
      <c r="AD36" s="48" t="str">
        <f t="shared" si="9"/>
        <v>102,1102</v>
      </c>
    </row>
    <row r="37" spans="3:30" x14ac:dyDescent="0.3">
      <c r="C37" s="51">
        <v>2</v>
      </c>
      <c r="D37" s="51">
        <v>2</v>
      </c>
      <c r="E37" s="51" t="s">
        <v>5400</v>
      </c>
      <c r="F37" s="51" t="s">
        <v>5395</v>
      </c>
      <c r="G37" s="50" t="str">
        <f>VLOOKUP(E37,옵션그룹계산1!$AF$4:$AH$7,3,FALSE)</f>
        <v xml:space="preserve">    </v>
      </c>
      <c r="H37" s="49" t="str">
        <f>VLOOKUP(D37,옵션그룹계산1!$AF$16:$AG$19,2,FALSE)</f>
        <v>(Grade 3)</v>
      </c>
      <c r="I37" s="50" t="str">
        <f t="shared" si="0"/>
        <v>방어구_탱커</v>
      </c>
      <c r="J37" s="49" t="str">
        <f>IF($D37&gt;=(J$2-1),VLOOKUP($I37,색인!$L$4:$R$11,J$2,FALSE)&amp;"_"&amp;$C37,"")</f>
        <v>공격속도_2</v>
      </c>
      <c r="K37" s="49" t="str">
        <f>IF($D37&gt;=(K$2-1),VLOOKUP($I37,색인!$L$4:$R$11,K$2,FALSE)&amp;"_"&amp;$C37,"")</f>
        <v>물리블록_2</v>
      </c>
      <c r="L37" s="49" t="str">
        <f>IF($D37&gt;=(L$2-1),VLOOKUP($I37,색인!$L$4:$R$11,L$2,FALSE)&amp;"_"&amp;$C37,"")</f>
        <v/>
      </c>
      <c r="M37" s="49" t="str">
        <f>IF($D37&gt;=(M$2-1),VLOOKUP($I37,색인!$L$4:$R$11,M$2,FALSE)&amp;"_"&amp;$C37,"")</f>
        <v/>
      </c>
      <c r="N37" s="49" t="str">
        <f>IF(AND(C37&gt;=6,D37&gt;=4),VLOOKUP($I37,색인!$L$4:$R$11,N$2,FALSE)&amp;"_"&amp;$C37,"")</f>
        <v/>
      </c>
      <c r="O37" s="49" t="str">
        <f>IF(AND(C37&gt;=6,D37&gt;=4),VLOOKUP($I37,색인!$L$4:$R$11,O$2,FALSE)&amp;"_"&amp;$C37,"")</f>
        <v/>
      </c>
      <c r="P37" s="50" t="str">
        <f t="shared" si="1"/>
        <v>2212</v>
      </c>
      <c r="Q37" s="49">
        <f>VLOOKUP(옵션그룹계산1!J37,색인!$E$4:$F$99,2,FALSE)</f>
        <v>1102</v>
      </c>
      <c r="R37" s="49">
        <f>_xlfn.IFNA(VLOOKUP(옵션그룹계산1!K37,색인!$E$4:$F$99,2,FALSE),"")</f>
        <v>902</v>
      </c>
      <c r="S37" s="49" t="str">
        <f>_xlfn.IFNA(VLOOKUP(옵션그룹계산1!L37,색인!$E$4:$F$99,2,FALSE),"")</f>
        <v/>
      </c>
      <c r="T37" s="49" t="str">
        <f>_xlfn.IFNA(VLOOKUP(옵션그룹계산1!M37,색인!$E$4:$F$99,2,FALSE),"")</f>
        <v/>
      </c>
      <c r="U37" s="49" t="str">
        <f>_xlfn.IFNA(VLOOKUP(옵션그룹계산1!N37,색인!$E$4:$F$99,2,FALSE),"")</f>
        <v/>
      </c>
      <c r="V37" s="49" t="str">
        <f>_xlfn.IFNA(VLOOKUP(옵션그룹계산1!O37,색인!$E$4:$F$99,2,FALSE),"")</f>
        <v/>
      </c>
      <c r="W37" s="50">
        <f t="shared" si="2"/>
        <v>2</v>
      </c>
      <c r="X37" s="50">
        <f t="shared" si="3"/>
        <v>2</v>
      </c>
      <c r="Y37" s="50">
        <f t="shared" si="4"/>
        <v>1</v>
      </c>
      <c r="Z37" s="50">
        <f t="shared" si="5"/>
        <v>2</v>
      </c>
      <c r="AA37" s="48" t="str">
        <f t="shared" si="6"/>
        <v>T2_2옵션_방어구_탱커</v>
      </c>
      <c r="AB37" s="50" t="str">
        <f t="shared" si="7"/>
        <v>2212</v>
      </c>
      <c r="AC37" s="49" t="str">
        <f t="shared" si="8"/>
        <v>T2_2옵션_방어구_탱커    (Grade 3)</v>
      </c>
      <c r="AD37" s="48" t="str">
        <f t="shared" si="9"/>
        <v>1102,902</v>
      </c>
    </row>
    <row r="38" spans="3:30" x14ac:dyDescent="0.3">
      <c r="C38" s="51">
        <v>2</v>
      </c>
      <c r="D38" s="51">
        <v>2</v>
      </c>
      <c r="E38" s="51" t="s">
        <v>5399</v>
      </c>
      <c r="F38" s="51" t="s">
        <v>5397</v>
      </c>
      <c r="G38" s="50" t="str">
        <f>VLOOKUP(E38,옵션그룹계산1!$AF$4:$AH$7,3,FALSE)</f>
        <v xml:space="preserve"> </v>
      </c>
      <c r="H38" s="49" t="str">
        <f>VLOOKUP(D38,옵션그룹계산1!$AF$16:$AG$19,2,FALSE)</f>
        <v>(Grade 3)</v>
      </c>
      <c r="I38" s="50" t="str">
        <f t="shared" si="0"/>
        <v>보조장비_딜러</v>
      </c>
      <c r="J38" s="49" t="str">
        <f>IF($D38&gt;=(J$2-1),VLOOKUP($I38,색인!$L$4:$R$11,J$2,FALSE)&amp;"_"&amp;$C38,"")</f>
        <v>공격력_2</v>
      </c>
      <c r="K38" s="49" t="str">
        <f>IF($D38&gt;=(K$2-1),VLOOKUP($I38,색인!$L$4:$R$11,K$2,FALSE)&amp;"_"&amp;$C38,"")</f>
        <v>공격속도_2</v>
      </c>
      <c r="L38" s="49" t="str">
        <f>IF($D38&gt;=(L$2-1),VLOOKUP($I38,색인!$L$4:$R$11,L$2,FALSE)&amp;"_"&amp;$C38,"")</f>
        <v/>
      </c>
      <c r="M38" s="49" t="str">
        <f>IF($D38&gt;=(M$2-1),VLOOKUP($I38,색인!$L$4:$R$11,M$2,FALSE)&amp;"_"&amp;$C38,"")</f>
        <v/>
      </c>
      <c r="N38" s="49" t="str">
        <f>IF(AND(C38&gt;=6,D38&gt;=4),VLOOKUP($I38,색인!$L$4:$R$11,N$2,FALSE)&amp;"_"&amp;$C38,"")</f>
        <v/>
      </c>
      <c r="O38" s="49" t="str">
        <f>IF(AND(C38&gt;=6,D38&gt;=4),VLOOKUP($I38,색인!$L$4:$R$11,O$2,FALSE)&amp;"_"&amp;$C38,"")</f>
        <v/>
      </c>
      <c r="P38" s="50" t="str">
        <f t="shared" si="1"/>
        <v>2221</v>
      </c>
      <c r="Q38" s="49">
        <f>VLOOKUP(옵션그룹계산1!J38,색인!$E$4:$F$99,2,FALSE)</f>
        <v>102</v>
      </c>
      <c r="R38" s="49">
        <f>_xlfn.IFNA(VLOOKUP(옵션그룹계산1!K38,색인!$E$4:$F$99,2,FALSE),"")</f>
        <v>1102</v>
      </c>
      <c r="S38" s="49" t="str">
        <f>_xlfn.IFNA(VLOOKUP(옵션그룹계산1!L38,색인!$E$4:$F$99,2,FALSE),"")</f>
        <v/>
      </c>
      <c r="T38" s="49" t="str">
        <f>_xlfn.IFNA(VLOOKUP(옵션그룹계산1!M38,색인!$E$4:$F$99,2,FALSE),"")</f>
        <v/>
      </c>
      <c r="U38" s="49" t="str">
        <f>_xlfn.IFNA(VLOOKUP(옵션그룹계산1!N38,색인!$E$4:$F$99,2,FALSE),"")</f>
        <v/>
      </c>
      <c r="V38" s="49" t="str">
        <f>_xlfn.IFNA(VLOOKUP(옵션그룹계산1!O38,색인!$E$4:$F$99,2,FALSE),"")</f>
        <v/>
      </c>
      <c r="W38" s="50">
        <f t="shared" si="2"/>
        <v>2</v>
      </c>
      <c r="X38" s="50">
        <f t="shared" si="3"/>
        <v>2</v>
      </c>
      <c r="Y38" s="50">
        <f t="shared" si="4"/>
        <v>2</v>
      </c>
      <c r="Z38" s="50">
        <f t="shared" si="5"/>
        <v>1</v>
      </c>
      <c r="AA38" s="48" t="str">
        <f t="shared" si="6"/>
        <v>T2_2옵션_보조장비_딜러</v>
      </c>
      <c r="AB38" s="50" t="str">
        <f t="shared" si="7"/>
        <v>2221</v>
      </c>
      <c r="AC38" s="49" t="str">
        <f t="shared" si="8"/>
        <v>T2_2옵션_보조장비_딜러 (Grade 3)</v>
      </c>
      <c r="AD38" s="48" t="str">
        <f t="shared" si="9"/>
        <v>102,1102</v>
      </c>
    </row>
    <row r="39" spans="3:30" x14ac:dyDescent="0.3">
      <c r="C39" s="51">
        <v>2</v>
      </c>
      <c r="D39" s="51">
        <v>2</v>
      </c>
      <c r="E39" s="51" t="s">
        <v>5399</v>
      </c>
      <c r="F39" s="51" t="s">
        <v>5395</v>
      </c>
      <c r="G39" s="50" t="str">
        <f>VLOOKUP(E39,옵션그룹계산1!$AF$4:$AH$7,3,FALSE)</f>
        <v xml:space="preserve"> </v>
      </c>
      <c r="H39" s="49" t="str">
        <f>VLOOKUP(D39,옵션그룹계산1!$AF$16:$AG$19,2,FALSE)</f>
        <v>(Grade 3)</v>
      </c>
      <c r="I39" s="50" t="str">
        <f t="shared" si="0"/>
        <v>보조장비_탱커</v>
      </c>
      <c r="J39" s="49" t="str">
        <f>IF($D39&gt;=(J$2-1),VLOOKUP($I39,색인!$L$4:$R$11,J$2,FALSE)&amp;"_"&amp;$C39,"")</f>
        <v>공격속도_2</v>
      </c>
      <c r="K39" s="49" t="str">
        <f>IF($D39&gt;=(K$2-1),VLOOKUP($I39,색인!$L$4:$R$11,K$2,FALSE)&amp;"_"&amp;$C39,"")</f>
        <v>마법블록_2</v>
      </c>
      <c r="L39" s="49" t="str">
        <f>IF($D39&gt;=(L$2-1),VLOOKUP($I39,색인!$L$4:$R$11,L$2,FALSE)&amp;"_"&amp;$C39,"")</f>
        <v/>
      </c>
      <c r="M39" s="49" t="str">
        <f>IF($D39&gt;=(M$2-1),VLOOKUP($I39,색인!$L$4:$R$11,M$2,FALSE)&amp;"_"&amp;$C39,"")</f>
        <v/>
      </c>
      <c r="N39" s="49" t="str">
        <f>IF(AND(C39&gt;=6,D39&gt;=4),VLOOKUP($I39,색인!$L$4:$R$11,N$2,FALSE)&amp;"_"&amp;$C39,"")</f>
        <v/>
      </c>
      <c r="O39" s="49" t="str">
        <f>IF(AND(C39&gt;=6,D39&gt;=4),VLOOKUP($I39,색인!$L$4:$R$11,O$2,FALSE)&amp;"_"&amp;$C39,"")</f>
        <v/>
      </c>
      <c r="P39" s="50" t="str">
        <f t="shared" si="1"/>
        <v>2222</v>
      </c>
      <c r="Q39" s="49">
        <f>VLOOKUP(옵션그룹계산1!J39,색인!$E$4:$F$99,2,FALSE)</f>
        <v>1102</v>
      </c>
      <c r="R39" s="49">
        <f>_xlfn.IFNA(VLOOKUP(옵션그룹계산1!K39,색인!$E$4:$F$99,2,FALSE),"")</f>
        <v>1902</v>
      </c>
      <c r="S39" s="49" t="str">
        <f>_xlfn.IFNA(VLOOKUP(옵션그룹계산1!L39,색인!$E$4:$F$99,2,FALSE),"")</f>
        <v/>
      </c>
      <c r="T39" s="49" t="str">
        <f>_xlfn.IFNA(VLOOKUP(옵션그룹계산1!M39,색인!$E$4:$F$99,2,FALSE),"")</f>
        <v/>
      </c>
      <c r="U39" s="49" t="str">
        <f>_xlfn.IFNA(VLOOKUP(옵션그룹계산1!N39,색인!$E$4:$F$99,2,FALSE),"")</f>
        <v/>
      </c>
      <c r="V39" s="49" t="str">
        <f>_xlfn.IFNA(VLOOKUP(옵션그룹계산1!O39,색인!$E$4:$F$99,2,FALSE),"")</f>
        <v/>
      </c>
      <c r="W39" s="50">
        <f t="shared" si="2"/>
        <v>2</v>
      </c>
      <c r="X39" s="50">
        <f t="shared" si="3"/>
        <v>2</v>
      </c>
      <c r="Y39" s="50">
        <f t="shared" si="4"/>
        <v>2</v>
      </c>
      <c r="Z39" s="50">
        <f t="shared" si="5"/>
        <v>2</v>
      </c>
      <c r="AA39" s="48" t="str">
        <f t="shared" si="6"/>
        <v>T2_2옵션_보조장비_탱커</v>
      </c>
      <c r="AB39" s="50" t="str">
        <f t="shared" si="7"/>
        <v>2222</v>
      </c>
      <c r="AC39" s="49" t="str">
        <f t="shared" si="8"/>
        <v>T2_2옵션_보조장비_탱커 (Grade 3)</v>
      </c>
      <c r="AD39" s="48" t="str">
        <f t="shared" si="9"/>
        <v>1102,1902</v>
      </c>
    </row>
    <row r="40" spans="3:30" x14ac:dyDescent="0.3">
      <c r="C40" s="51">
        <v>2</v>
      </c>
      <c r="D40" s="51">
        <v>2</v>
      </c>
      <c r="E40" s="51" t="s">
        <v>5398</v>
      </c>
      <c r="F40" s="51" t="s">
        <v>5397</v>
      </c>
      <c r="G40" s="50" t="str">
        <f>VLOOKUP(E40,옵션그룹계산1!$AF$4:$AH$7,3,FALSE)</f>
        <v xml:space="preserve">    </v>
      </c>
      <c r="H40" s="49" t="str">
        <f>VLOOKUP(D40,옵션그룹계산1!$AF$16:$AG$19,2,FALSE)</f>
        <v>(Grade 3)</v>
      </c>
      <c r="I40" s="50" t="str">
        <f t="shared" si="0"/>
        <v>장신구_딜러</v>
      </c>
      <c r="J40" s="49" t="str">
        <f>IF($D40&gt;=(J$2-1),VLOOKUP($I40,색인!$L$4:$R$11,J$2,FALSE)&amp;"_"&amp;$C40,"")</f>
        <v>공격력_2</v>
      </c>
      <c r="K40" s="49" t="str">
        <f>IF($D40&gt;=(K$2-1),VLOOKUP($I40,색인!$L$4:$R$11,K$2,FALSE)&amp;"_"&amp;$C40,"")</f>
        <v>공격속도_2</v>
      </c>
      <c r="L40" s="49" t="str">
        <f>IF($D40&gt;=(L$2-1),VLOOKUP($I40,색인!$L$4:$R$11,L$2,FALSE)&amp;"_"&amp;$C40,"")</f>
        <v/>
      </c>
      <c r="M40" s="49" t="str">
        <f>IF($D40&gt;=(M$2-1),VLOOKUP($I40,색인!$L$4:$R$11,M$2,FALSE)&amp;"_"&amp;$C40,"")</f>
        <v/>
      </c>
      <c r="N40" s="49" t="str">
        <f>IF(AND(C40&gt;=6,D40&gt;=4),VLOOKUP($I40,색인!$L$4:$R$11,N$2,FALSE)&amp;"_"&amp;$C40,"")</f>
        <v/>
      </c>
      <c r="O40" s="49" t="str">
        <f>IF(AND(C40&gt;=6,D40&gt;=4),VLOOKUP($I40,색인!$L$4:$R$11,O$2,FALSE)&amp;"_"&amp;$C40,"")</f>
        <v/>
      </c>
      <c r="P40" s="50" t="str">
        <f t="shared" si="1"/>
        <v>2231</v>
      </c>
      <c r="Q40" s="49">
        <f>VLOOKUP(옵션그룹계산1!J40,색인!$E$4:$F$99,2,FALSE)</f>
        <v>102</v>
      </c>
      <c r="R40" s="49">
        <f>_xlfn.IFNA(VLOOKUP(옵션그룹계산1!K40,색인!$E$4:$F$99,2,FALSE),"")</f>
        <v>1102</v>
      </c>
      <c r="S40" s="49" t="str">
        <f>_xlfn.IFNA(VLOOKUP(옵션그룹계산1!L40,색인!$E$4:$F$99,2,FALSE),"")</f>
        <v/>
      </c>
      <c r="T40" s="49" t="str">
        <f>_xlfn.IFNA(VLOOKUP(옵션그룹계산1!M40,색인!$E$4:$F$99,2,FALSE),"")</f>
        <v/>
      </c>
      <c r="U40" s="49" t="str">
        <f>_xlfn.IFNA(VLOOKUP(옵션그룹계산1!N40,색인!$E$4:$F$99,2,FALSE),"")</f>
        <v/>
      </c>
      <c r="V40" s="49" t="str">
        <f>_xlfn.IFNA(VLOOKUP(옵션그룹계산1!O40,색인!$E$4:$F$99,2,FALSE),"")</f>
        <v/>
      </c>
      <c r="W40" s="50">
        <f t="shared" si="2"/>
        <v>2</v>
      </c>
      <c r="X40" s="50">
        <f t="shared" si="3"/>
        <v>2</v>
      </c>
      <c r="Y40" s="50">
        <f t="shared" si="4"/>
        <v>3</v>
      </c>
      <c r="Z40" s="50">
        <f t="shared" si="5"/>
        <v>1</v>
      </c>
      <c r="AA40" s="48" t="str">
        <f t="shared" si="6"/>
        <v>T2_2옵션_장신구_딜러</v>
      </c>
      <c r="AB40" s="50" t="str">
        <f t="shared" si="7"/>
        <v>2231</v>
      </c>
      <c r="AC40" s="49" t="str">
        <f t="shared" si="8"/>
        <v>T2_2옵션_장신구_딜러    (Grade 3)</v>
      </c>
      <c r="AD40" s="48" t="str">
        <f t="shared" si="9"/>
        <v>102,1102</v>
      </c>
    </row>
    <row r="41" spans="3:30" x14ac:dyDescent="0.3">
      <c r="C41" s="51">
        <v>2</v>
      </c>
      <c r="D41" s="51">
        <v>2</v>
      </c>
      <c r="E41" s="51" t="s">
        <v>5398</v>
      </c>
      <c r="F41" s="51" t="s">
        <v>5395</v>
      </c>
      <c r="G41" s="50" t="str">
        <f>VLOOKUP(E41,옵션그룹계산1!$AF$4:$AH$7,3,FALSE)</f>
        <v xml:space="preserve">    </v>
      </c>
      <c r="H41" s="49" t="str">
        <f>VLOOKUP(D41,옵션그룹계산1!$AF$16:$AG$19,2,FALSE)</f>
        <v>(Grade 3)</v>
      </c>
      <c r="I41" s="50" t="str">
        <f t="shared" si="0"/>
        <v>장신구_탱커</v>
      </c>
      <c r="J41" s="49" t="str">
        <f>IF($D41&gt;=(J$2-1),VLOOKUP($I41,색인!$L$4:$R$11,J$2,FALSE)&amp;"_"&amp;$C41,"")</f>
        <v>체력_2</v>
      </c>
      <c r="K41" s="49" t="str">
        <f>IF($D41&gt;=(K$2-1),VLOOKUP($I41,색인!$L$4:$R$11,K$2,FALSE)&amp;"_"&amp;$C41,"")</f>
        <v>물리블록_2</v>
      </c>
      <c r="L41" s="49" t="str">
        <f>IF($D41&gt;=(L$2-1),VLOOKUP($I41,색인!$L$4:$R$11,L$2,FALSE)&amp;"_"&amp;$C41,"")</f>
        <v/>
      </c>
      <c r="M41" s="49" t="str">
        <f>IF($D41&gt;=(M$2-1),VLOOKUP($I41,색인!$L$4:$R$11,M$2,FALSE)&amp;"_"&amp;$C41,"")</f>
        <v/>
      </c>
      <c r="N41" s="49" t="str">
        <f>IF(AND(C41&gt;=6,D41&gt;=4),VLOOKUP($I41,색인!$L$4:$R$11,N$2,FALSE)&amp;"_"&amp;$C41,"")</f>
        <v/>
      </c>
      <c r="O41" s="49" t="str">
        <f>IF(AND(C41&gt;=6,D41&gt;=4),VLOOKUP($I41,색인!$L$4:$R$11,O$2,FALSE)&amp;"_"&amp;$C41,"")</f>
        <v/>
      </c>
      <c r="P41" s="50" t="str">
        <f t="shared" si="1"/>
        <v>2232</v>
      </c>
      <c r="Q41" s="49">
        <f>VLOOKUP(옵션그룹계산1!J41,색인!$E$4:$F$99,2,FALSE)</f>
        <v>202</v>
      </c>
      <c r="R41" s="49">
        <f>_xlfn.IFNA(VLOOKUP(옵션그룹계산1!K41,색인!$E$4:$F$99,2,FALSE),"")</f>
        <v>902</v>
      </c>
      <c r="S41" s="49" t="str">
        <f>_xlfn.IFNA(VLOOKUP(옵션그룹계산1!L41,색인!$E$4:$F$99,2,FALSE),"")</f>
        <v/>
      </c>
      <c r="T41" s="49" t="str">
        <f>_xlfn.IFNA(VLOOKUP(옵션그룹계산1!M41,색인!$E$4:$F$99,2,FALSE),"")</f>
        <v/>
      </c>
      <c r="U41" s="49" t="str">
        <f>_xlfn.IFNA(VLOOKUP(옵션그룹계산1!N41,색인!$E$4:$F$99,2,FALSE),"")</f>
        <v/>
      </c>
      <c r="V41" s="49" t="str">
        <f>_xlfn.IFNA(VLOOKUP(옵션그룹계산1!O41,색인!$E$4:$F$99,2,FALSE),"")</f>
        <v/>
      </c>
      <c r="W41" s="50">
        <f t="shared" si="2"/>
        <v>2</v>
      </c>
      <c r="X41" s="50">
        <f t="shared" si="3"/>
        <v>2</v>
      </c>
      <c r="Y41" s="50">
        <f t="shared" si="4"/>
        <v>3</v>
      </c>
      <c r="Z41" s="50">
        <f t="shared" si="5"/>
        <v>2</v>
      </c>
      <c r="AA41" s="48" t="str">
        <f t="shared" si="6"/>
        <v>T2_2옵션_장신구_탱커</v>
      </c>
      <c r="AB41" s="50" t="str">
        <f t="shared" si="7"/>
        <v>2232</v>
      </c>
      <c r="AC41" s="49" t="str">
        <f t="shared" si="8"/>
        <v>T2_2옵션_장신구_탱커    (Grade 3)</v>
      </c>
      <c r="AD41" s="48" t="str">
        <f t="shared" si="9"/>
        <v>202,902</v>
      </c>
    </row>
    <row r="42" spans="3:30" x14ac:dyDescent="0.3">
      <c r="C42" s="51">
        <v>2</v>
      </c>
      <c r="D42" s="51">
        <v>2</v>
      </c>
      <c r="E42" s="51" t="s">
        <v>5396</v>
      </c>
      <c r="F42" s="51" t="s">
        <v>5397</v>
      </c>
      <c r="G42" s="50" t="str">
        <f>VLOOKUP(E42,옵션그룹계산1!$AF$4:$AH$7,3,FALSE)</f>
        <v xml:space="preserve">       </v>
      </c>
      <c r="H42" s="49" t="str">
        <f>VLOOKUP(D42,옵션그룹계산1!$AF$16:$AG$19,2,FALSE)</f>
        <v>(Grade 3)</v>
      </c>
      <c r="I42" s="50" t="str">
        <f t="shared" si="0"/>
        <v>보주_딜러</v>
      </c>
      <c r="J42" s="49" t="str">
        <f>IF($D42&gt;=(J$2-1),VLOOKUP($I42,색인!$L$4:$R$11,J$2,FALSE)&amp;"_"&amp;$C42,"")</f>
        <v>공격력_2</v>
      </c>
      <c r="K42" s="49" t="str">
        <f>IF($D42&gt;=(K$2-1),VLOOKUP($I42,색인!$L$4:$R$11,K$2,FALSE)&amp;"_"&amp;$C42,"")</f>
        <v>공격속도_2</v>
      </c>
      <c r="L42" s="49" t="str">
        <f>IF($D42&gt;=(L$2-1),VLOOKUP($I42,색인!$L$4:$R$11,L$2,FALSE)&amp;"_"&amp;$C42,"")</f>
        <v/>
      </c>
      <c r="M42" s="49" t="str">
        <f>IF($D42&gt;=(M$2-1),VLOOKUP($I42,색인!$L$4:$R$11,M$2,FALSE)&amp;"_"&amp;$C42,"")</f>
        <v/>
      </c>
      <c r="N42" s="49" t="str">
        <f>IF(AND(C42&gt;=6,D42&gt;=4),VLOOKUP($I42,색인!$L$4:$R$11,N$2,FALSE)&amp;"_"&amp;$C42,"")</f>
        <v/>
      </c>
      <c r="O42" s="49" t="str">
        <f>IF(AND(C42&gt;=6,D42&gt;=4),VLOOKUP($I42,색인!$L$4:$R$11,O$2,FALSE)&amp;"_"&amp;$C42,"")</f>
        <v/>
      </c>
      <c r="P42" s="50" t="str">
        <f t="shared" si="1"/>
        <v>2241</v>
      </c>
      <c r="Q42" s="49">
        <f>VLOOKUP(옵션그룹계산1!J42,색인!$E$4:$F$99,2,FALSE)</f>
        <v>102</v>
      </c>
      <c r="R42" s="49">
        <f>_xlfn.IFNA(VLOOKUP(옵션그룹계산1!K42,색인!$E$4:$F$99,2,FALSE),"")</f>
        <v>1102</v>
      </c>
      <c r="S42" s="49" t="str">
        <f>_xlfn.IFNA(VLOOKUP(옵션그룹계산1!L42,색인!$E$4:$F$99,2,FALSE),"")</f>
        <v/>
      </c>
      <c r="T42" s="49" t="str">
        <f>_xlfn.IFNA(VLOOKUP(옵션그룹계산1!M42,색인!$E$4:$F$99,2,FALSE),"")</f>
        <v/>
      </c>
      <c r="U42" s="49" t="str">
        <f>_xlfn.IFNA(VLOOKUP(옵션그룹계산1!N42,색인!$E$4:$F$99,2,FALSE),"")</f>
        <v/>
      </c>
      <c r="V42" s="49" t="str">
        <f>_xlfn.IFNA(VLOOKUP(옵션그룹계산1!O42,색인!$E$4:$F$99,2,FALSE),"")</f>
        <v/>
      </c>
      <c r="W42" s="50">
        <f t="shared" si="2"/>
        <v>2</v>
      </c>
      <c r="X42" s="50">
        <f t="shared" si="3"/>
        <v>2</v>
      </c>
      <c r="Y42" s="50">
        <f t="shared" si="4"/>
        <v>4</v>
      </c>
      <c r="Z42" s="50">
        <f t="shared" si="5"/>
        <v>1</v>
      </c>
      <c r="AA42" s="48" t="str">
        <f t="shared" si="6"/>
        <v>T2_2옵션_보주_딜러</v>
      </c>
      <c r="AB42" s="50" t="str">
        <f t="shared" si="7"/>
        <v>2241</v>
      </c>
      <c r="AC42" s="49" t="str">
        <f t="shared" si="8"/>
        <v>T2_2옵션_보주_딜러       (Grade 3)</v>
      </c>
      <c r="AD42" s="48" t="str">
        <f t="shared" si="9"/>
        <v>102,1102</v>
      </c>
    </row>
    <row r="43" spans="3:30" x14ac:dyDescent="0.3">
      <c r="C43" s="51">
        <v>2</v>
      </c>
      <c r="D43" s="51">
        <v>2</v>
      </c>
      <c r="E43" s="51" t="s">
        <v>5396</v>
      </c>
      <c r="F43" s="51" t="s">
        <v>5395</v>
      </c>
      <c r="G43" s="50" t="str">
        <f>VLOOKUP(E43,옵션그룹계산1!$AF$4:$AH$7,3,FALSE)</f>
        <v xml:space="preserve">       </v>
      </c>
      <c r="H43" s="49" t="str">
        <f>VLOOKUP(D43,옵션그룹계산1!$AF$16:$AG$19,2,FALSE)</f>
        <v>(Grade 3)</v>
      </c>
      <c r="I43" s="50" t="str">
        <f t="shared" si="0"/>
        <v>보주_탱커</v>
      </c>
      <c r="J43" s="49" t="str">
        <f>IF($D43&gt;=(J$2-1),VLOOKUP($I43,색인!$L$4:$R$11,J$2,FALSE)&amp;"_"&amp;$C43,"")</f>
        <v>체력_2</v>
      </c>
      <c r="K43" s="49" t="str">
        <f>IF($D43&gt;=(K$2-1),VLOOKUP($I43,색인!$L$4:$R$11,K$2,FALSE)&amp;"_"&amp;$C43,"")</f>
        <v>물리블록_2</v>
      </c>
      <c r="L43" s="49" t="str">
        <f>IF($D43&gt;=(L$2-1),VLOOKUP($I43,색인!$L$4:$R$11,L$2,FALSE)&amp;"_"&amp;$C43,"")</f>
        <v/>
      </c>
      <c r="M43" s="49" t="str">
        <f>IF($D43&gt;=(M$2-1),VLOOKUP($I43,색인!$L$4:$R$11,M$2,FALSE)&amp;"_"&amp;$C43,"")</f>
        <v/>
      </c>
      <c r="N43" s="49" t="str">
        <f>IF(AND(C43&gt;=6,D43&gt;=4),VLOOKUP($I43,색인!$L$4:$R$11,N$2,FALSE)&amp;"_"&amp;$C43,"")</f>
        <v/>
      </c>
      <c r="O43" s="49" t="str">
        <f>IF(AND(C43&gt;=6,D43&gt;=4),VLOOKUP($I43,색인!$L$4:$R$11,O$2,FALSE)&amp;"_"&amp;$C43,"")</f>
        <v/>
      </c>
      <c r="P43" s="50" t="str">
        <f t="shared" si="1"/>
        <v>2242</v>
      </c>
      <c r="Q43" s="49">
        <f>VLOOKUP(옵션그룹계산1!J43,색인!$E$4:$F$99,2,FALSE)</f>
        <v>202</v>
      </c>
      <c r="R43" s="49">
        <f>_xlfn.IFNA(VLOOKUP(옵션그룹계산1!K43,색인!$E$4:$F$99,2,FALSE),"")</f>
        <v>902</v>
      </c>
      <c r="S43" s="49" t="str">
        <f>_xlfn.IFNA(VLOOKUP(옵션그룹계산1!L43,색인!$E$4:$F$99,2,FALSE),"")</f>
        <v/>
      </c>
      <c r="T43" s="49" t="str">
        <f>_xlfn.IFNA(VLOOKUP(옵션그룹계산1!M43,색인!$E$4:$F$99,2,FALSE),"")</f>
        <v/>
      </c>
      <c r="U43" s="49" t="str">
        <f>_xlfn.IFNA(VLOOKUP(옵션그룹계산1!N43,색인!$E$4:$F$99,2,FALSE),"")</f>
        <v/>
      </c>
      <c r="V43" s="49" t="str">
        <f>_xlfn.IFNA(VLOOKUP(옵션그룹계산1!O43,색인!$E$4:$F$99,2,FALSE),"")</f>
        <v/>
      </c>
      <c r="W43" s="50">
        <f t="shared" si="2"/>
        <v>2</v>
      </c>
      <c r="X43" s="50">
        <f t="shared" si="3"/>
        <v>2</v>
      </c>
      <c r="Y43" s="50">
        <f t="shared" si="4"/>
        <v>4</v>
      </c>
      <c r="Z43" s="50">
        <f t="shared" si="5"/>
        <v>2</v>
      </c>
      <c r="AA43" s="48" t="str">
        <f t="shared" si="6"/>
        <v>T2_2옵션_보주_탱커</v>
      </c>
      <c r="AB43" s="50" t="str">
        <f t="shared" si="7"/>
        <v>2242</v>
      </c>
      <c r="AC43" s="49" t="str">
        <f t="shared" si="8"/>
        <v>T2_2옵션_보주_탱커       (Grade 3)</v>
      </c>
      <c r="AD43" s="48" t="str">
        <f t="shared" si="9"/>
        <v>202,902</v>
      </c>
    </row>
    <row r="44" spans="3:30" x14ac:dyDescent="0.3">
      <c r="C44" s="51">
        <v>2</v>
      </c>
      <c r="D44" s="51">
        <v>3</v>
      </c>
      <c r="E44" s="51" t="s">
        <v>5400</v>
      </c>
      <c r="F44" s="51" t="s">
        <v>5397</v>
      </c>
      <c r="G44" s="50" t="str">
        <f>VLOOKUP(E44,옵션그룹계산1!$AF$4:$AH$7,3,FALSE)</f>
        <v xml:space="preserve">    </v>
      </c>
      <c r="H44" s="49" t="str">
        <f>VLOOKUP(D44,옵션그룹계산1!$AF$16:$AG$19,2,FALSE)</f>
        <v>(Grade 4~5)</v>
      </c>
      <c r="I44" s="50" t="str">
        <f t="shared" si="0"/>
        <v>방어구_딜러</v>
      </c>
      <c r="J44" s="49" t="str">
        <f>IF($D44&gt;=(J$2-1),VLOOKUP($I44,색인!$L$4:$R$11,J$2,FALSE)&amp;"_"&amp;$C44,"")</f>
        <v>공격력_2</v>
      </c>
      <c r="K44" s="49" t="str">
        <f>IF($D44&gt;=(K$2-1),VLOOKUP($I44,색인!$L$4:$R$11,K$2,FALSE)&amp;"_"&amp;$C44,"")</f>
        <v>공격속도_2</v>
      </c>
      <c r="L44" s="49" t="str">
        <f>IF($D44&gt;=(L$2-1),VLOOKUP($I44,색인!$L$4:$R$11,L$2,FALSE)&amp;"_"&amp;$C44,"")</f>
        <v>치명타확률_2</v>
      </c>
      <c r="M44" s="49" t="str">
        <f>IF($D44&gt;=(M$2-1),VLOOKUP($I44,색인!$L$4:$R$11,M$2,FALSE)&amp;"_"&amp;$C44,"")</f>
        <v/>
      </c>
      <c r="N44" s="49" t="str">
        <f>IF(AND(C44&gt;=6,D44&gt;=4),VLOOKUP($I44,색인!$L$4:$R$11,N$2,FALSE)&amp;"_"&amp;$C44,"")</f>
        <v/>
      </c>
      <c r="O44" s="49" t="str">
        <f>IF(AND(C44&gt;=6,D44&gt;=4),VLOOKUP($I44,색인!$L$4:$R$11,O$2,FALSE)&amp;"_"&amp;$C44,"")</f>
        <v/>
      </c>
      <c r="P44" s="50" t="str">
        <f t="shared" si="1"/>
        <v>2311</v>
      </c>
      <c r="Q44" s="49">
        <f>VLOOKUP(옵션그룹계산1!J44,색인!$E$4:$F$99,2,FALSE)</f>
        <v>102</v>
      </c>
      <c r="R44" s="49">
        <f>_xlfn.IFNA(VLOOKUP(옵션그룹계산1!K44,색인!$E$4:$F$99,2,FALSE),"")</f>
        <v>1102</v>
      </c>
      <c r="S44" s="49">
        <f>_xlfn.IFNA(VLOOKUP(옵션그룹계산1!L44,색인!$E$4:$F$99,2,FALSE),"")</f>
        <v>502</v>
      </c>
      <c r="T44" s="49" t="str">
        <f>_xlfn.IFNA(VLOOKUP(옵션그룹계산1!M44,색인!$E$4:$F$99,2,FALSE),"")</f>
        <v/>
      </c>
      <c r="U44" s="49" t="str">
        <f>_xlfn.IFNA(VLOOKUP(옵션그룹계산1!N44,색인!$E$4:$F$99,2,FALSE),"")</f>
        <v/>
      </c>
      <c r="V44" s="49" t="str">
        <f>_xlfn.IFNA(VLOOKUP(옵션그룹계산1!O44,색인!$E$4:$F$99,2,FALSE),"")</f>
        <v/>
      </c>
      <c r="W44" s="50">
        <f t="shared" si="2"/>
        <v>2</v>
      </c>
      <c r="X44" s="50">
        <f t="shared" si="3"/>
        <v>3</v>
      </c>
      <c r="Y44" s="50">
        <f t="shared" si="4"/>
        <v>1</v>
      </c>
      <c r="Z44" s="50">
        <f t="shared" si="5"/>
        <v>1</v>
      </c>
      <c r="AA44" s="48" t="str">
        <f t="shared" si="6"/>
        <v>T2_3옵션_방어구_딜러</v>
      </c>
      <c r="AB44" s="50" t="str">
        <f t="shared" si="7"/>
        <v>2311</v>
      </c>
      <c r="AC44" s="49" t="str">
        <f t="shared" si="8"/>
        <v>T2_3옵션_방어구_딜러    (Grade 4~5)</v>
      </c>
      <c r="AD44" s="48" t="str">
        <f t="shared" si="9"/>
        <v>102,1102,502</v>
      </c>
    </row>
    <row r="45" spans="3:30" x14ac:dyDescent="0.3">
      <c r="C45" s="51">
        <v>2</v>
      </c>
      <c r="D45" s="51">
        <v>3</v>
      </c>
      <c r="E45" s="51" t="s">
        <v>5400</v>
      </c>
      <c r="F45" s="51" t="s">
        <v>5395</v>
      </c>
      <c r="G45" s="50" t="str">
        <f>VLOOKUP(E45,옵션그룹계산1!$AF$4:$AH$7,3,FALSE)</f>
        <v xml:space="preserve">    </v>
      </c>
      <c r="H45" s="49" t="str">
        <f>VLOOKUP(D45,옵션그룹계산1!$AF$16:$AG$19,2,FALSE)</f>
        <v>(Grade 4~5)</v>
      </c>
      <c r="I45" s="50" t="str">
        <f t="shared" si="0"/>
        <v>방어구_탱커</v>
      </c>
      <c r="J45" s="49" t="str">
        <f>IF($D45&gt;=(J$2-1),VLOOKUP($I45,색인!$L$4:$R$11,J$2,FALSE)&amp;"_"&amp;$C45,"")</f>
        <v>공격속도_2</v>
      </c>
      <c r="K45" s="49" t="str">
        <f>IF($D45&gt;=(K$2-1),VLOOKUP($I45,색인!$L$4:$R$11,K$2,FALSE)&amp;"_"&amp;$C45,"")</f>
        <v>물리블록_2</v>
      </c>
      <c r="L45" s="49" t="str">
        <f>IF($D45&gt;=(L$2-1),VLOOKUP($I45,색인!$L$4:$R$11,L$2,FALSE)&amp;"_"&amp;$C45,"")</f>
        <v>물리방어력_2</v>
      </c>
      <c r="M45" s="49" t="str">
        <f>IF($D45&gt;=(M$2-1),VLOOKUP($I45,색인!$L$4:$R$11,M$2,FALSE)&amp;"_"&amp;$C45,"")</f>
        <v/>
      </c>
      <c r="N45" s="49" t="str">
        <f>IF(AND(C45&gt;=6,D45&gt;=4),VLOOKUP($I45,색인!$L$4:$R$11,N$2,FALSE)&amp;"_"&amp;$C45,"")</f>
        <v/>
      </c>
      <c r="O45" s="49" t="str">
        <f>IF(AND(C45&gt;=6,D45&gt;=4),VLOOKUP($I45,색인!$L$4:$R$11,O$2,FALSE)&amp;"_"&amp;$C45,"")</f>
        <v/>
      </c>
      <c r="P45" s="50" t="str">
        <f t="shared" si="1"/>
        <v>2312</v>
      </c>
      <c r="Q45" s="49">
        <f>VLOOKUP(옵션그룹계산1!J45,색인!$E$4:$F$99,2,FALSE)</f>
        <v>1102</v>
      </c>
      <c r="R45" s="49">
        <f>_xlfn.IFNA(VLOOKUP(옵션그룹계산1!K45,색인!$E$4:$F$99,2,FALSE),"")</f>
        <v>902</v>
      </c>
      <c r="S45" s="49">
        <f>_xlfn.IFNA(VLOOKUP(옵션그룹계산1!L45,색인!$E$4:$F$99,2,FALSE),"")</f>
        <v>302</v>
      </c>
      <c r="T45" s="49" t="str">
        <f>_xlfn.IFNA(VLOOKUP(옵션그룹계산1!M45,색인!$E$4:$F$99,2,FALSE),"")</f>
        <v/>
      </c>
      <c r="U45" s="49" t="str">
        <f>_xlfn.IFNA(VLOOKUP(옵션그룹계산1!N45,색인!$E$4:$F$99,2,FALSE),"")</f>
        <v/>
      </c>
      <c r="V45" s="49" t="str">
        <f>_xlfn.IFNA(VLOOKUP(옵션그룹계산1!O45,색인!$E$4:$F$99,2,FALSE),"")</f>
        <v/>
      </c>
      <c r="W45" s="50">
        <f t="shared" si="2"/>
        <v>2</v>
      </c>
      <c r="X45" s="50">
        <f t="shared" si="3"/>
        <v>3</v>
      </c>
      <c r="Y45" s="50">
        <f t="shared" si="4"/>
        <v>1</v>
      </c>
      <c r="Z45" s="50">
        <f t="shared" si="5"/>
        <v>2</v>
      </c>
      <c r="AA45" s="48" t="str">
        <f t="shared" si="6"/>
        <v>T2_3옵션_방어구_탱커</v>
      </c>
      <c r="AB45" s="50" t="str">
        <f t="shared" si="7"/>
        <v>2312</v>
      </c>
      <c r="AC45" s="49" t="str">
        <f t="shared" si="8"/>
        <v>T2_3옵션_방어구_탱커    (Grade 4~5)</v>
      </c>
      <c r="AD45" s="48" t="str">
        <f t="shared" si="9"/>
        <v>1102,902,302</v>
      </c>
    </row>
    <row r="46" spans="3:30" x14ac:dyDescent="0.3">
      <c r="C46" s="51">
        <v>2</v>
      </c>
      <c r="D46" s="51">
        <v>3</v>
      </c>
      <c r="E46" s="51" t="s">
        <v>5399</v>
      </c>
      <c r="F46" s="51" t="s">
        <v>5397</v>
      </c>
      <c r="G46" s="50" t="str">
        <f>VLOOKUP(E46,옵션그룹계산1!$AF$4:$AH$7,3,FALSE)</f>
        <v xml:space="preserve"> </v>
      </c>
      <c r="H46" s="49" t="str">
        <f>VLOOKUP(D46,옵션그룹계산1!$AF$16:$AG$19,2,FALSE)</f>
        <v>(Grade 4~5)</v>
      </c>
      <c r="I46" s="50" t="str">
        <f t="shared" si="0"/>
        <v>보조장비_딜러</v>
      </c>
      <c r="J46" s="49" t="str">
        <f>IF($D46&gt;=(J$2-1),VLOOKUP($I46,색인!$L$4:$R$11,J$2,FALSE)&amp;"_"&amp;$C46,"")</f>
        <v>공격력_2</v>
      </c>
      <c r="K46" s="49" t="str">
        <f>IF($D46&gt;=(K$2-1),VLOOKUP($I46,색인!$L$4:$R$11,K$2,FALSE)&amp;"_"&amp;$C46,"")</f>
        <v>공격속도_2</v>
      </c>
      <c r="L46" s="49" t="str">
        <f>IF($D46&gt;=(L$2-1),VLOOKUP($I46,색인!$L$4:$R$11,L$2,FALSE)&amp;"_"&amp;$C46,"")</f>
        <v>치명타확률_2</v>
      </c>
      <c r="M46" s="49" t="str">
        <f>IF($D46&gt;=(M$2-1),VLOOKUP($I46,색인!$L$4:$R$11,M$2,FALSE)&amp;"_"&amp;$C46,"")</f>
        <v/>
      </c>
      <c r="N46" s="49" t="str">
        <f>IF(AND(C46&gt;=6,D46&gt;=4),VLOOKUP($I46,색인!$L$4:$R$11,N$2,FALSE)&amp;"_"&amp;$C46,"")</f>
        <v/>
      </c>
      <c r="O46" s="49" t="str">
        <f>IF(AND(C46&gt;=6,D46&gt;=4),VLOOKUP($I46,색인!$L$4:$R$11,O$2,FALSE)&amp;"_"&amp;$C46,"")</f>
        <v/>
      </c>
      <c r="P46" s="50" t="str">
        <f t="shared" si="1"/>
        <v>2321</v>
      </c>
      <c r="Q46" s="49">
        <f>VLOOKUP(옵션그룹계산1!J46,색인!$E$4:$F$99,2,FALSE)</f>
        <v>102</v>
      </c>
      <c r="R46" s="49">
        <f>_xlfn.IFNA(VLOOKUP(옵션그룹계산1!K46,색인!$E$4:$F$99,2,FALSE),"")</f>
        <v>1102</v>
      </c>
      <c r="S46" s="49">
        <f>_xlfn.IFNA(VLOOKUP(옵션그룹계산1!L46,색인!$E$4:$F$99,2,FALSE),"")</f>
        <v>502</v>
      </c>
      <c r="T46" s="49" t="str">
        <f>_xlfn.IFNA(VLOOKUP(옵션그룹계산1!M46,색인!$E$4:$F$99,2,FALSE),"")</f>
        <v/>
      </c>
      <c r="U46" s="49" t="str">
        <f>_xlfn.IFNA(VLOOKUP(옵션그룹계산1!N46,색인!$E$4:$F$99,2,FALSE),"")</f>
        <v/>
      </c>
      <c r="V46" s="49" t="str">
        <f>_xlfn.IFNA(VLOOKUP(옵션그룹계산1!O46,색인!$E$4:$F$99,2,FALSE),"")</f>
        <v/>
      </c>
      <c r="W46" s="50">
        <f t="shared" si="2"/>
        <v>2</v>
      </c>
      <c r="X46" s="50">
        <f t="shared" si="3"/>
        <v>3</v>
      </c>
      <c r="Y46" s="50">
        <f t="shared" si="4"/>
        <v>2</v>
      </c>
      <c r="Z46" s="50">
        <f t="shared" si="5"/>
        <v>1</v>
      </c>
      <c r="AA46" s="48" t="str">
        <f t="shared" si="6"/>
        <v>T2_3옵션_보조장비_딜러</v>
      </c>
      <c r="AB46" s="50" t="str">
        <f t="shared" si="7"/>
        <v>2321</v>
      </c>
      <c r="AC46" s="49" t="str">
        <f t="shared" si="8"/>
        <v>T2_3옵션_보조장비_딜러 (Grade 4~5)</v>
      </c>
      <c r="AD46" s="48" t="str">
        <f t="shared" si="9"/>
        <v>102,1102,502</v>
      </c>
    </row>
    <row r="47" spans="3:30" x14ac:dyDescent="0.3">
      <c r="C47" s="51">
        <v>2</v>
      </c>
      <c r="D47" s="51">
        <v>3</v>
      </c>
      <c r="E47" s="51" t="s">
        <v>5399</v>
      </c>
      <c r="F47" s="51" t="s">
        <v>5395</v>
      </c>
      <c r="G47" s="50" t="str">
        <f>VLOOKUP(E47,옵션그룹계산1!$AF$4:$AH$7,3,FALSE)</f>
        <v xml:space="preserve"> </v>
      </c>
      <c r="H47" s="49" t="str">
        <f>VLOOKUP(D47,옵션그룹계산1!$AF$16:$AG$19,2,FALSE)</f>
        <v>(Grade 4~5)</v>
      </c>
      <c r="I47" s="50" t="str">
        <f t="shared" si="0"/>
        <v>보조장비_탱커</v>
      </c>
      <c r="J47" s="49" t="str">
        <f>IF($D47&gt;=(J$2-1),VLOOKUP($I47,색인!$L$4:$R$11,J$2,FALSE)&amp;"_"&amp;$C47,"")</f>
        <v>공격속도_2</v>
      </c>
      <c r="K47" s="49" t="str">
        <f>IF($D47&gt;=(K$2-1),VLOOKUP($I47,색인!$L$4:$R$11,K$2,FALSE)&amp;"_"&amp;$C47,"")</f>
        <v>마법블록_2</v>
      </c>
      <c r="L47" s="49" t="str">
        <f>IF($D47&gt;=(L$2-1),VLOOKUP($I47,색인!$L$4:$R$11,L$2,FALSE)&amp;"_"&amp;$C47,"")</f>
        <v>마법방어력_2</v>
      </c>
      <c r="M47" s="49" t="str">
        <f>IF($D47&gt;=(M$2-1),VLOOKUP($I47,색인!$L$4:$R$11,M$2,FALSE)&amp;"_"&amp;$C47,"")</f>
        <v/>
      </c>
      <c r="N47" s="49" t="str">
        <f>IF(AND(C47&gt;=6,D47&gt;=4),VLOOKUP($I47,색인!$L$4:$R$11,N$2,FALSE)&amp;"_"&amp;$C47,"")</f>
        <v/>
      </c>
      <c r="O47" s="49" t="str">
        <f>IF(AND(C47&gt;=6,D47&gt;=4),VLOOKUP($I47,색인!$L$4:$R$11,O$2,FALSE)&amp;"_"&amp;$C47,"")</f>
        <v/>
      </c>
      <c r="P47" s="50" t="str">
        <f t="shared" si="1"/>
        <v>2322</v>
      </c>
      <c r="Q47" s="49">
        <f>VLOOKUP(옵션그룹계산1!J47,색인!$E$4:$F$99,2,FALSE)</f>
        <v>1102</v>
      </c>
      <c r="R47" s="49">
        <f>_xlfn.IFNA(VLOOKUP(옵션그룹계산1!K47,색인!$E$4:$F$99,2,FALSE),"")</f>
        <v>1902</v>
      </c>
      <c r="S47" s="49">
        <f>_xlfn.IFNA(VLOOKUP(옵션그룹계산1!L47,색인!$E$4:$F$99,2,FALSE),"")</f>
        <v>402</v>
      </c>
      <c r="T47" s="49" t="str">
        <f>_xlfn.IFNA(VLOOKUP(옵션그룹계산1!M47,색인!$E$4:$F$99,2,FALSE),"")</f>
        <v/>
      </c>
      <c r="U47" s="49" t="str">
        <f>_xlfn.IFNA(VLOOKUP(옵션그룹계산1!N47,색인!$E$4:$F$99,2,FALSE),"")</f>
        <v/>
      </c>
      <c r="V47" s="49" t="str">
        <f>_xlfn.IFNA(VLOOKUP(옵션그룹계산1!O47,색인!$E$4:$F$99,2,FALSE),"")</f>
        <v/>
      </c>
      <c r="W47" s="50">
        <f t="shared" si="2"/>
        <v>2</v>
      </c>
      <c r="X47" s="50">
        <f t="shared" si="3"/>
        <v>3</v>
      </c>
      <c r="Y47" s="50">
        <f t="shared" si="4"/>
        <v>2</v>
      </c>
      <c r="Z47" s="50">
        <f t="shared" si="5"/>
        <v>2</v>
      </c>
      <c r="AA47" s="48" t="str">
        <f t="shared" si="6"/>
        <v>T2_3옵션_보조장비_탱커</v>
      </c>
      <c r="AB47" s="50" t="str">
        <f t="shared" si="7"/>
        <v>2322</v>
      </c>
      <c r="AC47" s="49" t="str">
        <f t="shared" si="8"/>
        <v>T2_3옵션_보조장비_탱커 (Grade 4~5)</v>
      </c>
      <c r="AD47" s="48" t="str">
        <f t="shared" si="9"/>
        <v>1102,1902,402</v>
      </c>
    </row>
    <row r="48" spans="3:30" x14ac:dyDescent="0.3">
      <c r="C48" s="51">
        <v>2</v>
      </c>
      <c r="D48" s="51">
        <v>3</v>
      </c>
      <c r="E48" s="51" t="s">
        <v>5398</v>
      </c>
      <c r="F48" s="51" t="s">
        <v>5397</v>
      </c>
      <c r="G48" s="50" t="str">
        <f>VLOOKUP(E48,옵션그룹계산1!$AF$4:$AH$7,3,FALSE)</f>
        <v xml:space="preserve">    </v>
      </c>
      <c r="H48" s="49" t="str">
        <f>VLOOKUP(D48,옵션그룹계산1!$AF$16:$AG$19,2,FALSE)</f>
        <v>(Grade 4~5)</v>
      </c>
      <c r="I48" s="50" t="str">
        <f t="shared" si="0"/>
        <v>장신구_딜러</v>
      </c>
      <c r="J48" s="49" t="str">
        <f>IF($D48&gt;=(J$2-1),VLOOKUP($I48,색인!$L$4:$R$11,J$2,FALSE)&amp;"_"&amp;$C48,"")</f>
        <v>공격력_2</v>
      </c>
      <c r="K48" s="49" t="str">
        <f>IF($D48&gt;=(K$2-1),VLOOKUP($I48,색인!$L$4:$R$11,K$2,FALSE)&amp;"_"&amp;$C48,"")</f>
        <v>공격속도_2</v>
      </c>
      <c r="L48" s="49" t="str">
        <f>IF($D48&gt;=(L$2-1),VLOOKUP($I48,색인!$L$4:$R$11,L$2,FALSE)&amp;"_"&amp;$C48,"")</f>
        <v>치명타확률_2</v>
      </c>
      <c r="M48" s="49" t="str">
        <f>IF($D48&gt;=(M$2-1),VLOOKUP($I48,색인!$L$4:$R$11,M$2,FALSE)&amp;"_"&amp;$C48,"")</f>
        <v/>
      </c>
      <c r="N48" s="49" t="str">
        <f>IF(AND(C48&gt;=6,D48&gt;=4),VLOOKUP($I48,색인!$L$4:$R$11,N$2,FALSE)&amp;"_"&amp;$C48,"")</f>
        <v/>
      </c>
      <c r="O48" s="49" t="str">
        <f>IF(AND(C48&gt;=6,D48&gt;=4),VLOOKUP($I48,색인!$L$4:$R$11,O$2,FALSE)&amp;"_"&amp;$C48,"")</f>
        <v/>
      </c>
      <c r="P48" s="50" t="str">
        <f t="shared" si="1"/>
        <v>2331</v>
      </c>
      <c r="Q48" s="49">
        <f>VLOOKUP(옵션그룹계산1!J48,색인!$E$4:$F$99,2,FALSE)</f>
        <v>102</v>
      </c>
      <c r="R48" s="49">
        <f>_xlfn.IFNA(VLOOKUP(옵션그룹계산1!K48,색인!$E$4:$F$99,2,FALSE),"")</f>
        <v>1102</v>
      </c>
      <c r="S48" s="49">
        <f>_xlfn.IFNA(VLOOKUP(옵션그룹계산1!L48,색인!$E$4:$F$99,2,FALSE),"")</f>
        <v>502</v>
      </c>
      <c r="T48" s="49" t="str">
        <f>_xlfn.IFNA(VLOOKUP(옵션그룹계산1!M48,색인!$E$4:$F$99,2,FALSE),"")</f>
        <v/>
      </c>
      <c r="U48" s="49" t="str">
        <f>_xlfn.IFNA(VLOOKUP(옵션그룹계산1!N48,색인!$E$4:$F$99,2,FALSE),"")</f>
        <v/>
      </c>
      <c r="V48" s="49" t="str">
        <f>_xlfn.IFNA(VLOOKUP(옵션그룹계산1!O48,색인!$E$4:$F$99,2,FALSE),"")</f>
        <v/>
      </c>
      <c r="W48" s="50">
        <f t="shared" si="2"/>
        <v>2</v>
      </c>
      <c r="X48" s="50">
        <f t="shared" si="3"/>
        <v>3</v>
      </c>
      <c r="Y48" s="50">
        <f t="shared" si="4"/>
        <v>3</v>
      </c>
      <c r="Z48" s="50">
        <f t="shared" si="5"/>
        <v>1</v>
      </c>
      <c r="AA48" s="48" t="str">
        <f t="shared" si="6"/>
        <v>T2_3옵션_장신구_딜러</v>
      </c>
      <c r="AB48" s="50" t="str">
        <f t="shared" si="7"/>
        <v>2331</v>
      </c>
      <c r="AC48" s="49" t="str">
        <f t="shared" si="8"/>
        <v>T2_3옵션_장신구_딜러    (Grade 4~5)</v>
      </c>
      <c r="AD48" s="48" t="str">
        <f t="shared" si="9"/>
        <v>102,1102,502</v>
      </c>
    </row>
    <row r="49" spans="3:30" x14ac:dyDescent="0.3">
      <c r="C49" s="51">
        <v>2</v>
      </c>
      <c r="D49" s="51">
        <v>3</v>
      </c>
      <c r="E49" s="51" t="s">
        <v>5398</v>
      </c>
      <c r="F49" s="51" t="s">
        <v>5395</v>
      </c>
      <c r="G49" s="50" t="str">
        <f>VLOOKUP(E49,옵션그룹계산1!$AF$4:$AH$7,3,FALSE)</f>
        <v xml:space="preserve">    </v>
      </c>
      <c r="H49" s="49" t="str">
        <f>VLOOKUP(D49,옵션그룹계산1!$AF$16:$AG$19,2,FALSE)</f>
        <v>(Grade 4~5)</v>
      </c>
      <c r="I49" s="50" t="str">
        <f t="shared" si="0"/>
        <v>장신구_탱커</v>
      </c>
      <c r="J49" s="49" t="str">
        <f>IF($D49&gt;=(J$2-1),VLOOKUP($I49,색인!$L$4:$R$11,J$2,FALSE)&amp;"_"&amp;$C49,"")</f>
        <v>체력_2</v>
      </c>
      <c r="K49" s="49" t="str">
        <f>IF($D49&gt;=(K$2-1),VLOOKUP($I49,색인!$L$4:$R$11,K$2,FALSE)&amp;"_"&amp;$C49,"")</f>
        <v>물리블록_2</v>
      </c>
      <c r="L49" s="49" t="str">
        <f>IF($D49&gt;=(L$2-1),VLOOKUP($I49,색인!$L$4:$R$11,L$2,FALSE)&amp;"_"&amp;$C49,"")</f>
        <v>마법블록_2</v>
      </c>
      <c r="M49" s="49" t="str">
        <f>IF($D49&gt;=(M$2-1),VLOOKUP($I49,색인!$L$4:$R$11,M$2,FALSE)&amp;"_"&amp;$C49,"")</f>
        <v/>
      </c>
      <c r="N49" s="49" t="str">
        <f>IF(AND(C49&gt;=6,D49&gt;=4),VLOOKUP($I49,색인!$L$4:$R$11,N$2,FALSE)&amp;"_"&amp;$C49,"")</f>
        <v/>
      </c>
      <c r="O49" s="49" t="str">
        <f>IF(AND(C49&gt;=6,D49&gt;=4),VLOOKUP($I49,색인!$L$4:$R$11,O$2,FALSE)&amp;"_"&amp;$C49,"")</f>
        <v/>
      </c>
      <c r="P49" s="50" t="str">
        <f t="shared" si="1"/>
        <v>2332</v>
      </c>
      <c r="Q49" s="49">
        <f>VLOOKUP(옵션그룹계산1!J49,색인!$E$4:$F$99,2,FALSE)</f>
        <v>202</v>
      </c>
      <c r="R49" s="49">
        <f>_xlfn.IFNA(VLOOKUP(옵션그룹계산1!K49,색인!$E$4:$F$99,2,FALSE),"")</f>
        <v>902</v>
      </c>
      <c r="S49" s="49">
        <f>_xlfn.IFNA(VLOOKUP(옵션그룹계산1!L49,색인!$E$4:$F$99,2,FALSE),"")</f>
        <v>1902</v>
      </c>
      <c r="T49" s="49" t="str">
        <f>_xlfn.IFNA(VLOOKUP(옵션그룹계산1!M49,색인!$E$4:$F$99,2,FALSE),"")</f>
        <v/>
      </c>
      <c r="U49" s="49" t="str">
        <f>_xlfn.IFNA(VLOOKUP(옵션그룹계산1!N49,색인!$E$4:$F$99,2,FALSE),"")</f>
        <v/>
      </c>
      <c r="V49" s="49" t="str">
        <f>_xlfn.IFNA(VLOOKUP(옵션그룹계산1!O49,색인!$E$4:$F$99,2,FALSE),"")</f>
        <v/>
      </c>
      <c r="W49" s="50">
        <f t="shared" si="2"/>
        <v>2</v>
      </c>
      <c r="X49" s="50">
        <f t="shared" si="3"/>
        <v>3</v>
      </c>
      <c r="Y49" s="50">
        <f t="shared" si="4"/>
        <v>3</v>
      </c>
      <c r="Z49" s="50">
        <f t="shared" si="5"/>
        <v>2</v>
      </c>
      <c r="AA49" s="48" t="str">
        <f t="shared" si="6"/>
        <v>T2_3옵션_장신구_탱커</v>
      </c>
      <c r="AB49" s="50" t="str">
        <f t="shared" si="7"/>
        <v>2332</v>
      </c>
      <c r="AC49" s="49" t="str">
        <f t="shared" si="8"/>
        <v>T2_3옵션_장신구_탱커    (Grade 4~5)</v>
      </c>
      <c r="AD49" s="48" t="str">
        <f t="shared" si="9"/>
        <v>202,902,1902</v>
      </c>
    </row>
    <row r="50" spans="3:30" x14ac:dyDescent="0.3">
      <c r="C50" s="51">
        <v>2</v>
      </c>
      <c r="D50" s="51">
        <v>3</v>
      </c>
      <c r="E50" s="51" t="s">
        <v>5396</v>
      </c>
      <c r="F50" s="51" t="s">
        <v>5397</v>
      </c>
      <c r="G50" s="50" t="str">
        <f>VLOOKUP(E50,옵션그룹계산1!$AF$4:$AH$7,3,FALSE)</f>
        <v xml:space="preserve">       </v>
      </c>
      <c r="H50" s="49" t="str">
        <f>VLOOKUP(D50,옵션그룹계산1!$AF$16:$AG$19,2,FALSE)</f>
        <v>(Grade 4~5)</v>
      </c>
      <c r="I50" s="50" t="str">
        <f t="shared" si="0"/>
        <v>보주_딜러</v>
      </c>
      <c r="J50" s="49" t="str">
        <f>IF($D50&gt;=(J$2-1),VLOOKUP($I50,색인!$L$4:$R$11,J$2,FALSE)&amp;"_"&amp;$C50,"")</f>
        <v>공격력_2</v>
      </c>
      <c r="K50" s="49" t="str">
        <f>IF($D50&gt;=(K$2-1),VLOOKUP($I50,색인!$L$4:$R$11,K$2,FALSE)&amp;"_"&amp;$C50,"")</f>
        <v>공격속도_2</v>
      </c>
      <c r="L50" s="49" t="str">
        <f>IF($D50&gt;=(L$2-1),VLOOKUP($I50,색인!$L$4:$R$11,L$2,FALSE)&amp;"_"&amp;$C50,"")</f>
        <v>치명타확률_2</v>
      </c>
      <c r="M50" s="49" t="str">
        <f>IF($D50&gt;=(M$2-1),VLOOKUP($I50,색인!$L$4:$R$11,M$2,FALSE)&amp;"_"&amp;$C50,"")</f>
        <v/>
      </c>
      <c r="N50" s="49" t="str">
        <f>IF(AND(C50&gt;=6,D50&gt;=4),VLOOKUP($I50,색인!$L$4:$R$11,N$2,FALSE)&amp;"_"&amp;$C50,"")</f>
        <v/>
      </c>
      <c r="O50" s="49" t="str">
        <f>IF(AND(C50&gt;=6,D50&gt;=4),VLOOKUP($I50,색인!$L$4:$R$11,O$2,FALSE)&amp;"_"&amp;$C50,"")</f>
        <v/>
      </c>
      <c r="P50" s="50" t="str">
        <f t="shared" si="1"/>
        <v>2341</v>
      </c>
      <c r="Q50" s="49">
        <f>VLOOKUP(옵션그룹계산1!J50,색인!$E$4:$F$99,2,FALSE)</f>
        <v>102</v>
      </c>
      <c r="R50" s="49">
        <f>_xlfn.IFNA(VLOOKUP(옵션그룹계산1!K50,색인!$E$4:$F$99,2,FALSE),"")</f>
        <v>1102</v>
      </c>
      <c r="S50" s="49">
        <f>_xlfn.IFNA(VLOOKUP(옵션그룹계산1!L50,색인!$E$4:$F$99,2,FALSE),"")</f>
        <v>502</v>
      </c>
      <c r="T50" s="49" t="str">
        <f>_xlfn.IFNA(VLOOKUP(옵션그룹계산1!M50,색인!$E$4:$F$99,2,FALSE),"")</f>
        <v/>
      </c>
      <c r="U50" s="49" t="str">
        <f>_xlfn.IFNA(VLOOKUP(옵션그룹계산1!N50,색인!$E$4:$F$99,2,FALSE),"")</f>
        <v/>
      </c>
      <c r="V50" s="49" t="str">
        <f>_xlfn.IFNA(VLOOKUP(옵션그룹계산1!O50,색인!$E$4:$F$99,2,FALSE),"")</f>
        <v/>
      </c>
      <c r="W50" s="50">
        <f t="shared" si="2"/>
        <v>2</v>
      </c>
      <c r="X50" s="50">
        <f t="shared" si="3"/>
        <v>3</v>
      </c>
      <c r="Y50" s="50">
        <f t="shared" si="4"/>
        <v>4</v>
      </c>
      <c r="Z50" s="50">
        <f t="shared" si="5"/>
        <v>1</v>
      </c>
      <c r="AA50" s="48" t="str">
        <f t="shared" si="6"/>
        <v>T2_3옵션_보주_딜러</v>
      </c>
      <c r="AB50" s="50" t="str">
        <f t="shared" si="7"/>
        <v>2341</v>
      </c>
      <c r="AC50" s="49" t="str">
        <f t="shared" si="8"/>
        <v>T2_3옵션_보주_딜러       (Grade 4~5)</v>
      </c>
      <c r="AD50" s="48" t="str">
        <f t="shared" si="9"/>
        <v>102,1102,502</v>
      </c>
    </row>
    <row r="51" spans="3:30" x14ac:dyDescent="0.3">
      <c r="C51" s="51">
        <v>2</v>
      </c>
      <c r="D51" s="51">
        <v>3</v>
      </c>
      <c r="E51" s="51" t="s">
        <v>5396</v>
      </c>
      <c r="F51" s="51" t="s">
        <v>5395</v>
      </c>
      <c r="G51" s="50" t="str">
        <f>VLOOKUP(E51,옵션그룹계산1!$AF$4:$AH$7,3,FALSE)</f>
        <v xml:space="preserve">       </v>
      </c>
      <c r="H51" s="49" t="str">
        <f>VLOOKUP(D51,옵션그룹계산1!$AF$16:$AG$19,2,FALSE)</f>
        <v>(Grade 4~5)</v>
      </c>
      <c r="I51" s="50" t="str">
        <f t="shared" si="0"/>
        <v>보주_탱커</v>
      </c>
      <c r="J51" s="49" t="str">
        <f>IF($D51&gt;=(J$2-1),VLOOKUP($I51,색인!$L$4:$R$11,J$2,FALSE)&amp;"_"&amp;$C51,"")</f>
        <v>체력_2</v>
      </c>
      <c r="K51" s="49" t="str">
        <f>IF($D51&gt;=(K$2-1),VLOOKUP($I51,색인!$L$4:$R$11,K$2,FALSE)&amp;"_"&amp;$C51,"")</f>
        <v>물리블록_2</v>
      </c>
      <c r="L51" s="49" t="str">
        <f>IF($D51&gt;=(L$2-1),VLOOKUP($I51,색인!$L$4:$R$11,L$2,FALSE)&amp;"_"&amp;$C51,"")</f>
        <v>마법블록_2</v>
      </c>
      <c r="M51" s="49" t="str">
        <f>IF($D51&gt;=(M$2-1),VLOOKUP($I51,색인!$L$4:$R$11,M$2,FALSE)&amp;"_"&amp;$C51,"")</f>
        <v/>
      </c>
      <c r="N51" s="49" t="str">
        <f>IF(AND(C51&gt;=6,D51&gt;=4),VLOOKUP($I51,색인!$L$4:$R$11,N$2,FALSE)&amp;"_"&amp;$C51,"")</f>
        <v/>
      </c>
      <c r="O51" s="49" t="str">
        <f>IF(AND(C51&gt;=6,D51&gt;=4),VLOOKUP($I51,색인!$L$4:$R$11,O$2,FALSE)&amp;"_"&amp;$C51,"")</f>
        <v/>
      </c>
      <c r="P51" s="50" t="str">
        <f t="shared" si="1"/>
        <v>2342</v>
      </c>
      <c r="Q51" s="49">
        <f>VLOOKUP(옵션그룹계산1!J51,색인!$E$4:$F$99,2,FALSE)</f>
        <v>202</v>
      </c>
      <c r="R51" s="49">
        <f>_xlfn.IFNA(VLOOKUP(옵션그룹계산1!K51,색인!$E$4:$F$99,2,FALSE),"")</f>
        <v>902</v>
      </c>
      <c r="S51" s="49">
        <f>_xlfn.IFNA(VLOOKUP(옵션그룹계산1!L51,색인!$E$4:$F$99,2,FALSE),"")</f>
        <v>1902</v>
      </c>
      <c r="T51" s="49" t="str">
        <f>_xlfn.IFNA(VLOOKUP(옵션그룹계산1!M51,색인!$E$4:$F$99,2,FALSE),"")</f>
        <v/>
      </c>
      <c r="U51" s="49" t="str">
        <f>_xlfn.IFNA(VLOOKUP(옵션그룹계산1!N51,색인!$E$4:$F$99,2,FALSE),"")</f>
        <v/>
      </c>
      <c r="V51" s="49" t="str">
        <f>_xlfn.IFNA(VLOOKUP(옵션그룹계산1!O51,색인!$E$4:$F$99,2,FALSE),"")</f>
        <v/>
      </c>
      <c r="W51" s="50">
        <f t="shared" si="2"/>
        <v>2</v>
      </c>
      <c r="X51" s="50">
        <f t="shared" si="3"/>
        <v>3</v>
      </c>
      <c r="Y51" s="50">
        <f t="shared" si="4"/>
        <v>4</v>
      </c>
      <c r="Z51" s="50">
        <f t="shared" si="5"/>
        <v>2</v>
      </c>
      <c r="AA51" s="48" t="str">
        <f t="shared" si="6"/>
        <v>T2_3옵션_보주_탱커</v>
      </c>
      <c r="AB51" s="50" t="str">
        <f t="shared" si="7"/>
        <v>2342</v>
      </c>
      <c r="AC51" s="49" t="str">
        <f t="shared" si="8"/>
        <v>T2_3옵션_보주_탱커       (Grade 4~5)</v>
      </c>
      <c r="AD51" s="48" t="str">
        <f t="shared" si="9"/>
        <v>202,902,1902</v>
      </c>
    </row>
    <row r="52" spans="3:30" x14ac:dyDescent="0.3">
      <c r="C52" s="51">
        <v>3</v>
      </c>
      <c r="D52" s="51">
        <v>1</v>
      </c>
      <c r="E52" s="51" t="s">
        <v>5400</v>
      </c>
      <c r="F52" s="51" t="s">
        <v>5397</v>
      </c>
      <c r="G52" s="50" t="str">
        <f>VLOOKUP(E52,옵션그룹계산1!$AF$4:$AH$7,3,FALSE)</f>
        <v xml:space="preserve">    </v>
      </c>
      <c r="H52" s="49" t="str">
        <f>VLOOKUP(D52,옵션그룹계산1!$AF$16:$AG$19,2,FALSE)</f>
        <v>(Grade 2)</v>
      </c>
      <c r="I52" s="50" t="str">
        <f t="shared" si="0"/>
        <v>방어구_딜러</v>
      </c>
      <c r="J52" s="49" t="str">
        <f>IF($D52&gt;=(J$2-1),VLOOKUP($I52,색인!$L$4:$R$11,J$2,FALSE)&amp;"_"&amp;$C52,"")</f>
        <v>공격력_3</v>
      </c>
      <c r="K52" s="49" t="str">
        <f>IF($D52&gt;=(K$2-1),VLOOKUP($I52,색인!$L$4:$R$11,K$2,FALSE)&amp;"_"&amp;$C52,"")</f>
        <v/>
      </c>
      <c r="L52" s="49" t="str">
        <f>IF($D52&gt;=(L$2-1),VLOOKUP($I52,색인!$L$4:$R$11,L$2,FALSE)&amp;"_"&amp;$C52,"")</f>
        <v/>
      </c>
      <c r="M52" s="49" t="str">
        <f>IF($D52&gt;=(M$2-1),VLOOKUP($I52,색인!$L$4:$R$11,M$2,FALSE)&amp;"_"&amp;$C52,"")</f>
        <v/>
      </c>
      <c r="N52" s="49" t="str">
        <f>IF(AND(C52&gt;=6,D52&gt;=4),VLOOKUP($I52,색인!$L$4:$R$11,N$2,FALSE)&amp;"_"&amp;$C52,"")</f>
        <v/>
      </c>
      <c r="O52" s="49" t="str">
        <f>IF(AND(C52&gt;=6,D52&gt;=4),VLOOKUP($I52,색인!$L$4:$R$11,O$2,FALSE)&amp;"_"&amp;$C52,"")</f>
        <v/>
      </c>
      <c r="P52" s="50" t="str">
        <f t="shared" si="1"/>
        <v>3111</v>
      </c>
      <c r="Q52" s="49">
        <f>VLOOKUP(옵션그룹계산1!J52,색인!$E$4:$F$99,2,FALSE)</f>
        <v>103</v>
      </c>
      <c r="R52" s="49" t="str">
        <f>_xlfn.IFNA(VLOOKUP(옵션그룹계산1!K52,색인!$E$4:$F$99,2,FALSE),"")</f>
        <v/>
      </c>
      <c r="S52" s="49" t="str">
        <f>_xlfn.IFNA(VLOOKUP(옵션그룹계산1!L52,색인!$E$4:$F$99,2,FALSE),"")</f>
        <v/>
      </c>
      <c r="T52" s="49" t="str">
        <f>_xlfn.IFNA(VLOOKUP(옵션그룹계산1!M52,색인!$E$4:$F$99,2,FALSE),"")</f>
        <v/>
      </c>
      <c r="U52" s="49" t="str">
        <f>_xlfn.IFNA(VLOOKUP(옵션그룹계산1!N52,색인!$E$4:$F$99,2,FALSE),"")</f>
        <v/>
      </c>
      <c r="V52" s="49" t="str">
        <f>_xlfn.IFNA(VLOOKUP(옵션그룹계산1!O52,색인!$E$4:$F$99,2,FALSE),"")</f>
        <v/>
      </c>
      <c r="W52" s="50">
        <f t="shared" si="2"/>
        <v>3</v>
      </c>
      <c r="X52" s="50">
        <f t="shared" si="3"/>
        <v>1</v>
      </c>
      <c r="Y52" s="50">
        <f t="shared" si="4"/>
        <v>1</v>
      </c>
      <c r="Z52" s="50">
        <f t="shared" si="5"/>
        <v>1</v>
      </c>
      <c r="AA52" s="48" t="str">
        <f t="shared" si="6"/>
        <v>T3_1옵션_방어구_딜러</v>
      </c>
      <c r="AB52" s="50" t="str">
        <f t="shared" si="7"/>
        <v>3111</v>
      </c>
      <c r="AC52" s="49" t="str">
        <f t="shared" si="8"/>
        <v>T3_1옵션_방어구_딜러    (Grade 2)</v>
      </c>
      <c r="AD52" s="48" t="str">
        <f t="shared" si="9"/>
        <v>103</v>
      </c>
    </row>
    <row r="53" spans="3:30" x14ac:dyDescent="0.3">
      <c r="C53" s="51">
        <v>3</v>
      </c>
      <c r="D53" s="51">
        <v>1</v>
      </c>
      <c r="E53" s="51" t="s">
        <v>5400</v>
      </c>
      <c r="F53" s="51" t="s">
        <v>5395</v>
      </c>
      <c r="G53" s="50" t="str">
        <f>VLOOKUP(E53,옵션그룹계산1!$AF$4:$AH$7,3,FALSE)</f>
        <v xml:space="preserve">    </v>
      </c>
      <c r="H53" s="49" t="str">
        <f>VLOOKUP(D53,옵션그룹계산1!$AF$16:$AG$19,2,FALSE)</f>
        <v>(Grade 2)</v>
      </c>
      <c r="I53" s="50" t="str">
        <f t="shared" si="0"/>
        <v>방어구_탱커</v>
      </c>
      <c r="J53" s="49" t="str">
        <f>IF($D53&gt;=(J$2-1),VLOOKUP($I53,색인!$L$4:$R$11,J$2,FALSE)&amp;"_"&amp;$C53,"")</f>
        <v>공격속도_3</v>
      </c>
      <c r="K53" s="49" t="str">
        <f>IF($D53&gt;=(K$2-1),VLOOKUP($I53,색인!$L$4:$R$11,K$2,FALSE)&amp;"_"&amp;$C53,"")</f>
        <v/>
      </c>
      <c r="L53" s="49" t="str">
        <f>IF($D53&gt;=(L$2-1),VLOOKUP($I53,색인!$L$4:$R$11,L$2,FALSE)&amp;"_"&amp;$C53,"")</f>
        <v/>
      </c>
      <c r="M53" s="49" t="str">
        <f>IF($D53&gt;=(M$2-1),VLOOKUP($I53,색인!$L$4:$R$11,M$2,FALSE)&amp;"_"&amp;$C53,"")</f>
        <v/>
      </c>
      <c r="N53" s="49" t="str">
        <f>IF(AND(C53&gt;=6,D53&gt;=4),VLOOKUP($I53,색인!$L$4:$R$11,N$2,FALSE)&amp;"_"&amp;$C53,"")</f>
        <v/>
      </c>
      <c r="O53" s="49" t="str">
        <f>IF(AND(C53&gt;=6,D53&gt;=4),VLOOKUP($I53,색인!$L$4:$R$11,O$2,FALSE)&amp;"_"&amp;$C53,"")</f>
        <v/>
      </c>
      <c r="P53" s="50" t="str">
        <f t="shared" si="1"/>
        <v>3112</v>
      </c>
      <c r="Q53" s="49">
        <f>VLOOKUP(옵션그룹계산1!J53,색인!$E$4:$F$99,2,FALSE)</f>
        <v>1103</v>
      </c>
      <c r="R53" s="49" t="str">
        <f>_xlfn.IFNA(VLOOKUP(옵션그룹계산1!K53,색인!$E$4:$F$99,2,FALSE),"")</f>
        <v/>
      </c>
      <c r="S53" s="49" t="str">
        <f>_xlfn.IFNA(VLOOKUP(옵션그룹계산1!L53,색인!$E$4:$F$99,2,FALSE),"")</f>
        <v/>
      </c>
      <c r="T53" s="49" t="str">
        <f>_xlfn.IFNA(VLOOKUP(옵션그룹계산1!M53,색인!$E$4:$F$99,2,FALSE),"")</f>
        <v/>
      </c>
      <c r="U53" s="49" t="str">
        <f>_xlfn.IFNA(VLOOKUP(옵션그룹계산1!N53,색인!$E$4:$F$99,2,FALSE),"")</f>
        <v/>
      </c>
      <c r="V53" s="49" t="str">
        <f>_xlfn.IFNA(VLOOKUP(옵션그룹계산1!O53,색인!$E$4:$F$99,2,FALSE),"")</f>
        <v/>
      </c>
      <c r="W53" s="50">
        <f t="shared" si="2"/>
        <v>3</v>
      </c>
      <c r="X53" s="50">
        <f t="shared" si="3"/>
        <v>1</v>
      </c>
      <c r="Y53" s="50">
        <f t="shared" si="4"/>
        <v>1</v>
      </c>
      <c r="Z53" s="50">
        <f t="shared" si="5"/>
        <v>2</v>
      </c>
      <c r="AA53" s="48" t="str">
        <f t="shared" si="6"/>
        <v>T3_1옵션_방어구_탱커</v>
      </c>
      <c r="AB53" s="50" t="str">
        <f t="shared" si="7"/>
        <v>3112</v>
      </c>
      <c r="AC53" s="49" t="str">
        <f t="shared" si="8"/>
        <v>T3_1옵션_방어구_탱커    (Grade 2)</v>
      </c>
      <c r="AD53" s="48" t="str">
        <f t="shared" si="9"/>
        <v>1103</v>
      </c>
    </row>
    <row r="54" spans="3:30" x14ac:dyDescent="0.3">
      <c r="C54" s="51">
        <v>3</v>
      </c>
      <c r="D54" s="51">
        <v>1</v>
      </c>
      <c r="E54" s="51" t="s">
        <v>5399</v>
      </c>
      <c r="F54" s="51" t="s">
        <v>5397</v>
      </c>
      <c r="G54" s="50" t="str">
        <f>VLOOKUP(E54,옵션그룹계산1!$AF$4:$AH$7,3,FALSE)</f>
        <v xml:space="preserve"> </v>
      </c>
      <c r="H54" s="49" t="str">
        <f>VLOOKUP(D54,옵션그룹계산1!$AF$16:$AG$19,2,FALSE)</f>
        <v>(Grade 2)</v>
      </c>
      <c r="I54" s="50" t="str">
        <f t="shared" si="0"/>
        <v>보조장비_딜러</v>
      </c>
      <c r="J54" s="49" t="str">
        <f>IF($D54&gt;=(J$2-1),VLOOKUP($I54,색인!$L$4:$R$11,J$2,FALSE)&amp;"_"&amp;$C54,"")</f>
        <v>공격력_3</v>
      </c>
      <c r="K54" s="49" t="str">
        <f>IF($D54&gt;=(K$2-1),VLOOKUP($I54,색인!$L$4:$R$11,K$2,FALSE)&amp;"_"&amp;$C54,"")</f>
        <v/>
      </c>
      <c r="L54" s="49" t="str">
        <f>IF($D54&gt;=(L$2-1),VLOOKUP($I54,색인!$L$4:$R$11,L$2,FALSE)&amp;"_"&amp;$C54,"")</f>
        <v/>
      </c>
      <c r="M54" s="49" t="str">
        <f>IF($D54&gt;=(M$2-1),VLOOKUP($I54,색인!$L$4:$R$11,M$2,FALSE)&amp;"_"&amp;$C54,"")</f>
        <v/>
      </c>
      <c r="N54" s="49" t="str">
        <f>IF(AND(C54&gt;=6,D54&gt;=4),VLOOKUP($I54,색인!$L$4:$R$11,N$2,FALSE)&amp;"_"&amp;$C54,"")</f>
        <v/>
      </c>
      <c r="O54" s="49" t="str">
        <f>IF(AND(C54&gt;=6,D54&gt;=4),VLOOKUP($I54,색인!$L$4:$R$11,O$2,FALSE)&amp;"_"&amp;$C54,"")</f>
        <v/>
      </c>
      <c r="P54" s="50" t="str">
        <f t="shared" si="1"/>
        <v>3121</v>
      </c>
      <c r="Q54" s="49">
        <f>VLOOKUP(옵션그룹계산1!J54,색인!$E$4:$F$99,2,FALSE)</f>
        <v>103</v>
      </c>
      <c r="R54" s="49" t="str">
        <f>_xlfn.IFNA(VLOOKUP(옵션그룹계산1!K54,색인!$E$4:$F$99,2,FALSE),"")</f>
        <v/>
      </c>
      <c r="S54" s="49" t="str">
        <f>_xlfn.IFNA(VLOOKUP(옵션그룹계산1!L54,색인!$E$4:$F$99,2,FALSE),"")</f>
        <v/>
      </c>
      <c r="T54" s="49" t="str">
        <f>_xlfn.IFNA(VLOOKUP(옵션그룹계산1!M54,색인!$E$4:$F$99,2,FALSE),"")</f>
        <v/>
      </c>
      <c r="U54" s="49" t="str">
        <f>_xlfn.IFNA(VLOOKUP(옵션그룹계산1!N54,색인!$E$4:$F$99,2,FALSE),"")</f>
        <v/>
      </c>
      <c r="V54" s="49" t="str">
        <f>_xlfn.IFNA(VLOOKUP(옵션그룹계산1!O54,색인!$E$4:$F$99,2,FALSE),"")</f>
        <v/>
      </c>
      <c r="W54" s="50">
        <f t="shared" si="2"/>
        <v>3</v>
      </c>
      <c r="X54" s="50">
        <f t="shared" si="3"/>
        <v>1</v>
      </c>
      <c r="Y54" s="50">
        <f t="shared" si="4"/>
        <v>2</v>
      </c>
      <c r="Z54" s="50">
        <f t="shared" si="5"/>
        <v>1</v>
      </c>
      <c r="AA54" s="48" t="str">
        <f t="shared" si="6"/>
        <v>T3_1옵션_보조장비_딜러</v>
      </c>
      <c r="AB54" s="50" t="str">
        <f t="shared" si="7"/>
        <v>3121</v>
      </c>
      <c r="AC54" s="49" t="str">
        <f t="shared" si="8"/>
        <v>T3_1옵션_보조장비_딜러 (Grade 2)</v>
      </c>
      <c r="AD54" s="48" t="str">
        <f t="shared" si="9"/>
        <v>103</v>
      </c>
    </row>
    <row r="55" spans="3:30" x14ac:dyDescent="0.3">
      <c r="C55" s="51">
        <v>3</v>
      </c>
      <c r="D55" s="51">
        <v>1</v>
      </c>
      <c r="E55" s="51" t="s">
        <v>5399</v>
      </c>
      <c r="F55" s="51" t="s">
        <v>5395</v>
      </c>
      <c r="G55" s="50" t="str">
        <f>VLOOKUP(E55,옵션그룹계산1!$AF$4:$AH$7,3,FALSE)</f>
        <v xml:space="preserve"> </v>
      </c>
      <c r="H55" s="49" t="str">
        <f>VLOOKUP(D55,옵션그룹계산1!$AF$16:$AG$19,2,FALSE)</f>
        <v>(Grade 2)</v>
      </c>
      <c r="I55" s="50" t="str">
        <f t="shared" si="0"/>
        <v>보조장비_탱커</v>
      </c>
      <c r="J55" s="49" t="str">
        <f>IF($D55&gt;=(J$2-1),VLOOKUP($I55,색인!$L$4:$R$11,J$2,FALSE)&amp;"_"&amp;$C55,"")</f>
        <v>공격속도_3</v>
      </c>
      <c r="K55" s="49" t="str">
        <f>IF($D55&gt;=(K$2-1),VLOOKUP($I55,색인!$L$4:$R$11,K$2,FALSE)&amp;"_"&amp;$C55,"")</f>
        <v/>
      </c>
      <c r="L55" s="49" t="str">
        <f>IF($D55&gt;=(L$2-1),VLOOKUP($I55,색인!$L$4:$R$11,L$2,FALSE)&amp;"_"&amp;$C55,"")</f>
        <v/>
      </c>
      <c r="M55" s="49" t="str">
        <f>IF($D55&gt;=(M$2-1),VLOOKUP($I55,색인!$L$4:$R$11,M$2,FALSE)&amp;"_"&amp;$C55,"")</f>
        <v/>
      </c>
      <c r="N55" s="49" t="str">
        <f>IF(AND(C55&gt;=6,D55&gt;=4),VLOOKUP($I55,색인!$L$4:$R$11,N$2,FALSE)&amp;"_"&amp;$C55,"")</f>
        <v/>
      </c>
      <c r="O55" s="49" t="str">
        <f>IF(AND(C55&gt;=6,D55&gt;=4),VLOOKUP($I55,색인!$L$4:$R$11,O$2,FALSE)&amp;"_"&amp;$C55,"")</f>
        <v/>
      </c>
      <c r="P55" s="50" t="str">
        <f t="shared" si="1"/>
        <v>3122</v>
      </c>
      <c r="Q55" s="49">
        <f>VLOOKUP(옵션그룹계산1!J55,색인!$E$4:$F$99,2,FALSE)</f>
        <v>1103</v>
      </c>
      <c r="R55" s="49" t="str">
        <f>_xlfn.IFNA(VLOOKUP(옵션그룹계산1!K55,색인!$E$4:$F$99,2,FALSE),"")</f>
        <v/>
      </c>
      <c r="S55" s="49" t="str">
        <f>_xlfn.IFNA(VLOOKUP(옵션그룹계산1!L55,색인!$E$4:$F$99,2,FALSE),"")</f>
        <v/>
      </c>
      <c r="T55" s="49" t="str">
        <f>_xlfn.IFNA(VLOOKUP(옵션그룹계산1!M55,색인!$E$4:$F$99,2,FALSE),"")</f>
        <v/>
      </c>
      <c r="U55" s="49" t="str">
        <f>_xlfn.IFNA(VLOOKUP(옵션그룹계산1!N55,색인!$E$4:$F$99,2,FALSE),"")</f>
        <v/>
      </c>
      <c r="V55" s="49" t="str">
        <f>_xlfn.IFNA(VLOOKUP(옵션그룹계산1!O55,색인!$E$4:$F$99,2,FALSE),"")</f>
        <v/>
      </c>
      <c r="W55" s="50">
        <f t="shared" si="2"/>
        <v>3</v>
      </c>
      <c r="X55" s="50">
        <f t="shared" si="3"/>
        <v>1</v>
      </c>
      <c r="Y55" s="50">
        <f t="shared" si="4"/>
        <v>2</v>
      </c>
      <c r="Z55" s="50">
        <f t="shared" si="5"/>
        <v>2</v>
      </c>
      <c r="AA55" s="48" t="str">
        <f t="shared" si="6"/>
        <v>T3_1옵션_보조장비_탱커</v>
      </c>
      <c r="AB55" s="50" t="str">
        <f t="shared" si="7"/>
        <v>3122</v>
      </c>
      <c r="AC55" s="49" t="str">
        <f t="shared" si="8"/>
        <v>T3_1옵션_보조장비_탱커 (Grade 2)</v>
      </c>
      <c r="AD55" s="48" t="str">
        <f t="shared" si="9"/>
        <v>1103</v>
      </c>
    </row>
    <row r="56" spans="3:30" x14ac:dyDescent="0.3">
      <c r="C56" s="51">
        <v>3</v>
      </c>
      <c r="D56" s="51">
        <v>1</v>
      </c>
      <c r="E56" s="51" t="s">
        <v>5398</v>
      </c>
      <c r="F56" s="51" t="s">
        <v>5397</v>
      </c>
      <c r="G56" s="50" t="str">
        <f>VLOOKUP(E56,옵션그룹계산1!$AF$4:$AH$7,3,FALSE)</f>
        <v xml:space="preserve">    </v>
      </c>
      <c r="H56" s="49" t="str">
        <f>VLOOKUP(D56,옵션그룹계산1!$AF$16:$AG$19,2,FALSE)</f>
        <v>(Grade 2)</v>
      </c>
      <c r="I56" s="50" t="str">
        <f t="shared" si="0"/>
        <v>장신구_딜러</v>
      </c>
      <c r="J56" s="49" t="str">
        <f>IF($D56&gt;=(J$2-1),VLOOKUP($I56,색인!$L$4:$R$11,J$2,FALSE)&amp;"_"&amp;$C56,"")</f>
        <v>공격력_3</v>
      </c>
      <c r="K56" s="49" t="str">
        <f>IF($D56&gt;=(K$2-1),VLOOKUP($I56,색인!$L$4:$R$11,K$2,FALSE)&amp;"_"&amp;$C56,"")</f>
        <v/>
      </c>
      <c r="L56" s="49" t="str">
        <f>IF($D56&gt;=(L$2-1),VLOOKUP($I56,색인!$L$4:$R$11,L$2,FALSE)&amp;"_"&amp;$C56,"")</f>
        <v/>
      </c>
      <c r="M56" s="49" t="str">
        <f>IF($D56&gt;=(M$2-1),VLOOKUP($I56,색인!$L$4:$R$11,M$2,FALSE)&amp;"_"&amp;$C56,"")</f>
        <v/>
      </c>
      <c r="N56" s="49" t="str">
        <f>IF(AND(C56&gt;=6,D56&gt;=4),VLOOKUP($I56,색인!$L$4:$R$11,N$2,FALSE)&amp;"_"&amp;$C56,"")</f>
        <v/>
      </c>
      <c r="O56" s="49" t="str">
        <f>IF(AND(C56&gt;=6,D56&gt;=4),VLOOKUP($I56,색인!$L$4:$R$11,O$2,FALSE)&amp;"_"&amp;$C56,"")</f>
        <v/>
      </c>
      <c r="P56" s="50" t="str">
        <f t="shared" si="1"/>
        <v>3131</v>
      </c>
      <c r="Q56" s="49">
        <f>VLOOKUP(옵션그룹계산1!J56,색인!$E$4:$F$99,2,FALSE)</f>
        <v>103</v>
      </c>
      <c r="R56" s="49" t="str">
        <f>_xlfn.IFNA(VLOOKUP(옵션그룹계산1!K56,색인!$E$4:$F$99,2,FALSE),"")</f>
        <v/>
      </c>
      <c r="S56" s="49" t="str">
        <f>_xlfn.IFNA(VLOOKUP(옵션그룹계산1!L56,색인!$E$4:$F$99,2,FALSE),"")</f>
        <v/>
      </c>
      <c r="T56" s="49" t="str">
        <f>_xlfn.IFNA(VLOOKUP(옵션그룹계산1!M56,색인!$E$4:$F$99,2,FALSE),"")</f>
        <v/>
      </c>
      <c r="U56" s="49" t="str">
        <f>_xlfn.IFNA(VLOOKUP(옵션그룹계산1!N56,색인!$E$4:$F$99,2,FALSE),"")</f>
        <v/>
      </c>
      <c r="V56" s="49" t="str">
        <f>_xlfn.IFNA(VLOOKUP(옵션그룹계산1!O56,색인!$E$4:$F$99,2,FALSE),"")</f>
        <v/>
      </c>
      <c r="W56" s="50">
        <f t="shared" si="2"/>
        <v>3</v>
      </c>
      <c r="X56" s="50">
        <f t="shared" si="3"/>
        <v>1</v>
      </c>
      <c r="Y56" s="50">
        <f t="shared" si="4"/>
        <v>3</v>
      </c>
      <c r="Z56" s="50">
        <f t="shared" si="5"/>
        <v>1</v>
      </c>
      <c r="AA56" s="48" t="str">
        <f t="shared" si="6"/>
        <v>T3_1옵션_장신구_딜러</v>
      </c>
      <c r="AB56" s="50" t="str">
        <f t="shared" si="7"/>
        <v>3131</v>
      </c>
      <c r="AC56" s="49" t="str">
        <f t="shared" si="8"/>
        <v>T3_1옵션_장신구_딜러    (Grade 2)</v>
      </c>
      <c r="AD56" s="48" t="str">
        <f t="shared" si="9"/>
        <v>103</v>
      </c>
    </row>
    <row r="57" spans="3:30" x14ac:dyDescent="0.3">
      <c r="C57" s="51">
        <v>3</v>
      </c>
      <c r="D57" s="51">
        <v>1</v>
      </c>
      <c r="E57" s="51" t="s">
        <v>5398</v>
      </c>
      <c r="F57" s="51" t="s">
        <v>5395</v>
      </c>
      <c r="G57" s="50" t="str">
        <f>VLOOKUP(E57,옵션그룹계산1!$AF$4:$AH$7,3,FALSE)</f>
        <v xml:space="preserve">    </v>
      </c>
      <c r="H57" s="49" t="str">
        <f>VLOOKUP(D57,옵션그룹계산1!$AF$16:$AG$19,2,FALSE)</f>
        <v>(Grade 2)</v>
      </c>
      <c r="I57" s="50" t="str">
        <f t="shared" si="0"/>
        <v>장신구_탱커</v>
      </c>
      <c r="J57" s="49" t="str">
        <f>IF($D57&gt;=(J$2-1),VLOOKUP($I57,색인!$L$4:$R$11,J$2,FALSE)&amp;"_"&amp;$C57,"")</f>
        <v>체력_3</v>
      </c>
      <c r="K57" s="49" t="str">
        <f>IF($D57&gt;=(K$2-1),VLOOKUP($I57,색인!$L$4:$R$11,K$2,FALSE)&amp;"_"&amp;$C57,"")</f>
        <v/>
      </c>
      <c r="L57" s="49" t="str">
        <f>IF($D57&gt;=(L$2-1),VLOOKUP($I57,색인!$L$4:$R$11,L$2,FALSE)&amp;"_"&amp;$C57,"")</f>
        <v/>
      </c>
      <c r="M57" s="49" t="str">
        <f>IF($D57&gt;=(M$2-1),VLOOKUP($I57,색인!$L$4:$R$11,M$2,FALSE)&amp;"_"&amp;$C57,"")</f>
        <v/>
      </c>
      <c r="N57" s="49" t="str">
        <f>IF(AND(C57&gt;=6,D57&gt;=4),VLOOKUP($I57,색인!$L$4:$R$11,N$2,FALSE)&amp;"_"&amp;$C57,"")</f>
        <v/>
      </c>
      <c r="O57" s="49" t="str">
        <f>IF(AND(C57&gt;=6,D57&gt;=4),VLOOKUP($I57,색인!$L$4:$R$11,O$2,FALSE)&amp;"_"&amp;$C57,"")</f>
        <v/>
      </c>
      <c r="P57" s="50" t="str">
        <f t="shared" si="1"/>
        <v>3132</v>
      </c>
      <c r="Q57" s="49">
        <f>VLOOKUP(옵션그룹계산1!J57,색인!$E$4:$F$99,2,FALSE)</f>
        <v>203</v>
      </c>
      <c r="R57" s="49" t="str">
        <f>_xlfn.IFNA(VLOOKUP(옵션그룹계산1!K57,색인!$E$4:$F$99,2,FALSE),"")</f>
        <v/>
      </c>
      <c r="S57" s="49" t="str">
        <f>_xlfn.IFNA(VLOOKUP(옵션그룹계산1!L57,색인!$E$4:$F$99,2,FALSE),"")</f>
        <v/>
      </c>
      <c r="T57" s="49" t="str">
        <f>_xlfn.IFNA(VLOOKUP(옵션그룹계산1!M57,색인!$E$4:$F$99,2,FALSE),"")</f>
        <v/>
      </c>
      <c r="U57" s="49" t="str">
        <f>_xlfn.IFNA(VLOOKUP(옵션그룹계산1!N57,색인!$E$4:$F$99,2,FALSE),"")</f>
        <v/>
      </c>
      <c r="V57" s="49" t="str">
        <f>_xlfn.IFNA(VLOOKUP(옵션그룹계산1!O57,색인!$E$4:$F$99,2,FALSE),"")</f>
        <v/>
      </c>
      <c r="W57" s="50">
        <f t="shared" si="2"/>
        <v>3</v>
      </c>
      <c r="X57" s="50">
        <f t="shared" si="3"/>
        <v>1</v>
      </c>
      <c r="Y57" s="50">
        <f t="shared" si="4"/>
        <v>3</v>
      </c>
      <c r="Z57" s="50">
        <f t="shared" si="5"/>
        <v>2</v>
      </c>
      <c r="AA57" s="48" t="str">
        <f t="shared" si="6"/>
        <v>T3_1옵션_장신구_탱커</v>
      </c>
      <c r="AB57" s="50" t="str">
        <f t="shared" si="7"/>
        <v>3132</v>
      </c>
      <c r="AC57" s="49" t="str">
        <f t="shared" si="8"/>
        <v>T3_1옵션_장신구_탱커    (Grade 2)</v>
      </c>
      <c r="AD57" s="48" t="str">
        <f t="shared" si="9"/>
        <v>203</v>
      </c>
    </row>
    <row r="58" spans="3:30" x14ac:dyDescent="0.3">
      <c r="C58" s="51">
        <v>3</v>
      </c>
      <c r="D58" s="51">
        <v>1</v>
      </c>
      <c r="E58" s="51" t="s">
        <v>5396</v>
      </c>
      <c r="F58" s="51" t="s">
        <v>5397</v>
      </c>
      <c r="G58" s="50" t="str">
        <f>VLOOKUP(E58,옵션그룹계산1!$AF$4:$AH$7,3,FALSE)</f>
        <v xml:space="preserve">       </v>
      </c>
      <c r="H58" s="49" t="str">
        <f>VLOOKUP(D58,옵션그룹계산1!$AF$16:$AG$19,2,FALSE)</f>
        <v>(Grade 2)</v>
      </c>
      <c r="I58" s="50" t="str">
        <f t="shared" si="0"/>
        <v>보주_딜러</v>
      </c>
      <c r="J58" s="49" t="str">
        <f>IF($D58&gt;=(J$2-1),VLOOKUP($I58,색인!$L$4:$R$11,J$2,FALSE)&amp;"_"&amp;$C58,"")</f>
        <v>공격력_3</v>
      </c>
      <c r="K58" s="49" t="str">
        <f>IF($D58&gt;=(K$2-1),VLOOKUP($I58,색인!$L$4:$R$11,K$2,FALSE)&amp;"_"&amp;$C58,"")</f>
        <v/>
      </c>
      <c r="L58" s="49" t="str">
        <f>IF($D58&gt;=(L$2-1),VLOOKUP($I58,색인!$L$4:$R$11,L$2,FALSE)&amp;"_"&amp;$C58,"")</f>
        <v/>
      </c>
      <c r="M58" s="49" t="str">
        <f>IF($D58&gt;=(M$2-1),VLOOKUP($I58,색인!$L$4:$R$11,M$2,FALSE)&amp;"_"&amp;$C58,"")</f>
        <v/>
      </c>
      <c r="N58" s="49" t="str">
        <f>IF(AND(C58&gt;=6,D58&gt;=4),VLOOKUP($I58,색인!$L$4:$R$11,N$2,FALSE)&amp;"_"&amp;$C58,"")</f>
        <v/>
      </c>
      <c r="O58" s="49" t="str">
        <f>IF(AND(C58&gt;=6,D58&gt;=4),VLOOKUP($I58,색인!$L$4:$R$11,O$2,FALSE)&amp;"_"&amp;$C58,"")</f>
        <v/>
      </c>
      <c r="P58" s="50" t="str">
        <f t="shared" si="1"/>
        <v>3141</v>
      </c>
      <c r="Q58" s="49">
        <f>VLOOKUP(옵션그룹계산1!J58,색인!$E$4:$F$99,2,FALSE)</f>
        <v>103</v>
      </c>
      <c r="R58" s="49" t="str">
        <f>_xlfn.IFNA(VLOOKUP(옵션그룹계산1!K58,색인!$E$4:$F$99,2,FALSE),"")</f>
        <v/>
      </c>
      <c r="S58" s="49" t="str">
        <f>_xlfn.IFNA(VLOOKUP(옵션그룹계산1!L58,색인!$E$4:$F$99,2,FALSE),"")</f>
        <v/>
      </c>
      <c r="T58" s="49" t="str">
        <f>_xlfn.IFNA(VLOOKUP(옵션그룹계산1!M58,색인!$E$4:$F$99,2,FALSE),"")</f>
        <v/>
      </c>
      <c r="U58" s="49" t="str">
        <f>_xlfn.IFNA(VLOOKUP(옵션그룹계산1!N58,색인!$E$4:$F$99,2,FALSE),"")</f>
        <v/>
      </c>
      <c r="V58" s="49" t="str">
        <f>_xlfn.IFNA(VLOOKUP(옵션그룹계산1!O58,색인!$E$4:$F$99,2,FALSE),"")</f>
        <v/>
      </c>
      <c r="W58" s="50">
        <f t="shared" si="2"/>
        <v>3</v>
      </c>
      <c r="X58" s="50">
        <f t="shared" si="3"/>
        <v>1</v>
      </c>
      <c r="Y58" s="50">
        <f t="shared" si="4"/>
        <v>4</v>
      </c>
      <c r="Z58" s="50">
        <f t="shared" si="5"/>
        <v>1</v>
      </c>
      <c r="AA58" s="48" t="str">
        <f t="shared" si="6"/>
        <v>T3_1옵션_보주_딜러</v>
      </c>
      <c r="AB58" s="50" t="str">
        <f t="shared" si="7"/>
        <v>3141</v>
      </c>
      <c r="AC58" s="49" t="str">
        <f t="shared" si="8"/>
        <v>T3_1옵션_보주_딜러       (Grade 2)</v>
      </c>
      <c r="AD58" s="48" t="str">
        <f t="shared" si="9"/>
        <v>103</v>
      </c>
    </row>
    <row r="59" spans="3:30" x14ac:dyDescent="0.3">
      <c r="C59" s="51">
        <v>3</v>
      </c>
      <c r="D59" s="51">
        <v>1</v>
      </c>
      <c r="E59" s="51" t="s">
        <v>5396</v>
      </c>
      <c r="F59" s="51" t="s">
        <v>5395</v>
      </c>
      <c r="G59" s="50" t="str">
        <f>VLOOKUP(E59,옵션그룹계산1!$AF$4:$AH$7,3,FALSE)</f>
        <v xml:space="preserve">       </v>
      </c>
      <c r="H59" s="49" t="str">
        <f>VLOOKUP(D59,옵션그룹계산1!$AF$16:$AG$19,2,FALSE)</f>
        <v>(Grade 2)</v>
      </c>
      <c r="I59" s="50" t="str">
        <f t="shared" si="0"/>
        <v>보주_탱커</v>
      </c>
      <c r="J59" s="49" t="str">
        <f>IF($D59&gt;=(J$2-1),VLOOKUP($I59,색인!$L$4:$R$11,J$2,FALSE)&amp;"_"&amp;$C59,"")</f>
        <v>체력_3</v>
      </c>
      <c r="K59" s="49" t="str">
        <f>IF($D59&gt;=(K$2-1),VLOOKUP($I59,색인!$L$4:$R$11,K$2,FALSE)&amp;"_"&amp;$C59,"")</f>
        <v/>
      </c>
      <c r="L59" s="49" t="str">
        <f>IF($D59&gt;=(L$2-1),VLOOKUP($I59,색인!$L$4:$R$11,L$2,FALSE)&amp;"_"&amp;$C59,"")</f>
        <v/>
      </c>
      <c r="M59" s="49" t="str">
        <f>IF($D59&gt;=(M$2-1),VLOOKUP($I59,색인!$L$4:$R$11,M$2,FALSE)&amp;"_"&amp;$C59,"")</f>
        <v/>
      </c>
      <c r="N59" s="49" t="str">
        <f>IF(AND(C59&gt;=6,D59&gt;=4),VLOOKUP($I59,색인!$L$4:$R$11,N$2,FALSE)&amp;"_"&amp;$C59,"")</f>
        <v/>
      </c>
      <c r="O59" s="49" t="str">
        <f>IF(AND(C59&gt;=6,D59&gt;=4),VLOOKUP($I59,색인!$L$4:$R$11,O$2,FALSE)&amp;"_"&amp;$C59,"")</f>
        <v/>
      </c>
      <c r="P59" s="50" t="str">
        <f t="shared" si="1"/>
        <v>3142</v>
      </c>
      <c r="Q59" s="49">
        <f>VLOOKUP(옵션그룹계산1!J59,색인!$E$4:$F$99,2,FALSE)</f>
        <v>203</v>
      </c>
      <c r="R59" s="49" t="str">
        <f>_xlfn.IFNA(VLOOKUP(옵션그룹계산1!K59,색인!$E$4:$F$99,2,FALSE),"")</f>
        <v/>
      </c>
      <c r="S59" s="49" t="str">
        <f>_xlfn.IFNA(VLOOKUP(옵션그룹계산1!L59,색인!$E$4:$F$99,2,FALSE),"")</f>
        <v/>
      </c>
      <c r="T59" s="49" t="str">
        <f>_xlfn.IFNA(VLOOKUP(옵션그룹계산1!M59,색인!$E$4:$F$99,2,FALSE),"")</f>
        <v/>
      </c>
      <c r="U59" s="49" t="str">
        <f>_xlfn.IFNA(VLOOKUP(옵션그룹계산1!N59,색인!$E$4:$F$99,2,FALSE),"")</f>
        <v/>
      </c>
      <c r="V59" s="49" t="str">
        <f>_xlfn.IFNA(VLOOKUP(옵션그룹계산1!O59,색인!$E$4:$F$99,2,FALSE),"")</f>
        <v/>
      </c>
      <c r="W59" s="50">
        <f t="shared" si="2"/>
        <v>3</v>
      </c>
      <c r="X59" s="50">
        <f t="shared" si="3"/>
        <v>1</v>
      </c>
      <c r="Y59" s="50">
        <f t="shared" si="4"/>
        <v>4</v>
      </c>
      <c r="Z59" s="50">
        <f t="shared" si="5"/>
        <v>2</v>
      </c>
      <c r="AA59" s="48" t="str">
        <f t="shared" si="6"/>
        <v>T3_1옵션_보주_탱커</v>
      </c>
      <c r="AB59" s="50" t="str">
        <f t="shared" si="7"/>
        <v>3142</v>
      </c>
      <c r="AC59" s="49" t="str">
        <f t="shared" si="8"/>
        <v>T3_1옵션_보주_탱커       (Grade 2)</v>
      </c>
      <c r="AD59" s="48" t="str">
        <f t="shared" si="9"/>
        <v>203</v>
      </c>
    </row>
    <row r="60" spans="3:30" x14ac:dyDescent="0.3">
      <c r="C60" s="51">
        <v>3</v>
      </c>
      <c r="D60" s="51">
        <v>2</v>
      </c>
      <c r="E60" s="51" t="s">
        <v>5400</v>
      </c>
      <c r="F60" s="51" t="s">
        <v>5397</v>
      </c>
      <c r="G60" s="50" t="str">
        <f>VLOOKUP(E60,옵션그룹계산1!$AF$4:$AH$7,3,FALSE)</f>
        <v xml:space="preserve">    </v>
      </c>
      <c r="H60" s="49" t="str">
        <f>VLOOKUP(D60,옵션그룹계산1!$AF$16:$AG$19,2,FALSE)</f>
        <v>(Grade 3)</v>
      </c>
      <c r="I60" s="50" t="str">
        <f t="shared" si="0"/>
        <v>방어구_딜러</v>
      </c>
      <c r="J60" s="49" t="str">
        <f>IF($D60&gt;=(J$2-1),VLOOKUP($I60,색인!$L$4:$R$11,J$2,FALSE)&amp;"_"&amp;$C60,"")</f>
        <v>공격력_3</v>
      </c>
      <c r="K60" s="49" t="str">
        <f>IF($D60&gt;=(K$2-1),VLOOKUP($I60,색인!$L$4:$R$11,K$2,FALSE)&amp;"_"&amp;$C60,"")</f>
        <v>공격속도_3</v>
      </c>
      <c r="L60" s="49" t="str">
        <f>IF($D60&gt;=(L$2-1),VLOOKUP($I60,색인!$L$4:$R$11,L$2,FALSE)&amp;"_"&amp;$C60,"")</f>
        <v/>
      </c>
      <c r="M60" s="49" t="str">
        <f>IF($D60&gt;=(M$2-1),VLOOKUP($I60,색인!$L$4:$R$11,M$2,FALSE)&amp;"_"&amp;$C60,"")</f>
        <v/>
      </c>
      <c r="N60" s="49" t="str">
        <f>IF(AND(C60&gt;=6,D60&gt;=4),VLOOKUP($I60,색인!$L$4:$R$11,N$2,FALSE)&amp;"_"&amp;$C60,"")</f>
        <v/>
      </c>
      <c r="O60" s="49" t="str">
        <f>IF(AND(C60&gt;=6,D60&gt;=4),VLOOKUP($I60,색인!$L$4:$R$11,O$2,FALSE)&amp;"_"&amp;$C60,"")</f>
        <v/>
      </c>
      <c r="P60" s="50" t="str">
        <f t="shared" si="1"/>
        <v>3211</v>
      </c>
      <c r="Q60" s="49">
        <f>VLOOKUP(옵션그룹계산1!J60,색인!$E$4:$F$99,2,FALSE)</f>
        <v>103</v>
      </c>
      <c r="R60" s="49">
        <f>_xlfn.IFNA(VLOOKUP(옵션그룹계산1!K60,색인!$E$4:$F$99,2,FALSE),"")</f>
        <v>1103</v>
      </c>
      <c r="S60" s="49" t="str">
        <f>_xlfn.IFNA(VLOOKUP(옵션그룹계산1!L60,색인!$E$4:$F$99,2,FALSE),"")</f>
        <v/>
      </c>
      <c r="T60" s="49" t="str">
        <f>_xlfn.IFNA(VLOOKUP(옵션그룹계산1!M60,색인!$E$4:$F$99,2,FALSE),"")</f>
        <v/>
      </c>
      <c r="U60" s="49" t="str">
        <f>_xlfn.IFNA(VLOOKUP(옵션그룹계산1!N60,색인!$E$4:$F$99,2,FALSE),"")</f>
        <v/>
      </c>
      <c r="V60" s="49" t="str">
        <f>_xlfn.IFNA(VLOOKUP(옵션그룹계산1!O60,색인!$E$4:$F$99,2,FALSE),"")</f>
        <v/>
      </c>
      <c r="W60" s="50">
        <f t="shared" si="2"/>
        <v>3</v>
      </c>
      <c r="X60" s="50">
        <f t="shared" si="3"/>
        <v>2</v>
      </c>
      <c r="Y60" s="50">
        <f t="shared" si="4"/>
        <v>1</v>
      </c>
      <c r="Z60" s="50">
        <f t="shared" si="5"/>
        <v>1</v>
      </c>
      <c r="AA60" s="48" t="str">
        <f t="shared" si="6"/>
        <v>T3_2옵션_방어구_딜러</v>
      </c>
      <c r="AB60" s="50" t="str">
        <f t="shared" si="7"/>
        <v>3211</v>
      </c>
      <c r="AC60" s="49" t="str">
        <f t="shared" si="8"/>
        <v>T3_2옵션_방어구_딜러    (Grade 3)</v>
      </c>
      <c r="AD60" s="48" t="str">
        <f t="shared" si="9"/>
        <v>103,1103</v>
      </c>
    </row>
    <row r="61" spans="3:30" x14ac:dyDescent="0.3">
      <c r="C61" s="51">
        <v>3</v>
      </c>
      <c r="D61" s="51">
        <v>2</v>
      </c>
      <c r="E61" s="51" t="s">
        <v>5400</v>
      </c>
      <c r="F61" s="51" t="s">
        <v>5395</v>
      </c>
      <c r="G61" s="50" t="str">
        <f>VLOOKUP(E61,옵션그룹계산1!$AF$4:$AH$7,3,FALSE)</f>
        <v xml:space="preserve">    </v>
      </c>
      <c r="H61" s="49" t="str">
        <f>VLOOKUP(D61,옵션그룹계산1!$AF$16:$AG$19,2,FALSE)</f>
        <v>(Grade 3)</v>
      </c>
      <c r="I61" s="50" t="str">
        <f t="shared" si="0"/>
        <v>방어구_탱커</v>
      </c>
      <c r="J61" s="49" t="str">
        <f>IF($D61&gt;=(J$2-1),VLOOKUP($I61,색인!$L$4:$R$11,J$2,FALSE)&amp;"_"&amp;$C61,"")</f>
        <v>공격속도_3</v>
      </c>
      <c r="K61" s="49" t="str">
        <f>IF($D61&gt;=(K$2-1),VLOOKUP($I61,색인!$L$4:$R$11,K$2,FALSE)&amp;"_"&amp;$C61,"")</f>
        <v>물리블록_3</v>
      </c>
      <c r="L61" s="49" t="str">
        <f>IF($D61&gt;=(L$2-1),VLOOKUP($I61,색인!$L$4:$R$11,L$2,FALSE)&amp;"_"&amp;$C61,"")</f>
        <v/>
      </c>
      <c r="M61" s="49" t="str">
        <f>IF($D61&gt;=(M$2-1),VLOOKUP($I61,색인!$L$4:$R$11,M$2,FALSE)&amp;"_"&amp;$C61,"")</f>
        <v/>
      </c>
      <c r="N61" s="49" t="str">
        <f>IF(AND(C61&gt;=6,D61&gt;=4),VLOOKUP($I61,색인!$L$4:$R$11,N$2,FALSE)&amp;"_"&amp;$C61,"")</f>
        <v/>
      </c>
      <c r="O61" s="49" t="str">
        <f>IF(AND(C61&gt;=6,D61&gt;=4),VLOOKUP($I61,색인!$L$4:$R$11,O$2,FALSE)&amp;"_"&amp;$C61,"")</f>
        <v/>
      </c>
      <c r="P61" s="50" t="str">
        <f t="shared" si="1"/>
        <v>3212</v>
      </c>
      <c r="Q61" s="49">
        <f>VLOOKUP(옵션그룹계산1!J61,색인!$E$4:$F$99,2,FALSE)</f>
        <v>1103</v>
      </c>
      <c r="R61" s="49">
        <f>_xlfn.IFNA(VLOOKUP(옵션그룹계산1!K61,색인!$E$4:$F$99,2,FALSE),"")</f>
        <v>903</v>
      </c>
      <c r="S61" s="49" t="str">
        <f>_xlfn.IFNA(VLOOKUP(옵션그룹계산1!L61,색인!$E$4:$F$99,2,FALSE),"")</f>
        <v/>
      </c>
      <c r="T61" s="49" t="str">
        <f>_xlfn.IFNA(VLOOKUP(옵션그룹계산1!M61,색인!$E$4:$F$99,2,FALSE),"")</f>
        <v/>
      </c>
      <c r="U61" s="49" t="str">
        <f>_xlfn.IFNA(VLOOKUP(옵션그룹계산1!N61,색인!$E$4:$F$99,2,FALSE),"")</f>
        <v/>
      </c>
      <c r="V61" s="49" t="str">
        <f>_xlfn.IFNA(VLOOKUP(옵션그룹계산1!O61,색인!$E$4:$F$99,2,FALSE),"")</f>
        <v/>
      </c>
      <c r="W61" s="50">
        <f t="shared" si="2"/>
        <v>3</v>
      </c>
      <c r="X61" s="50">
        <f t="shared" si="3"/>
        <v>2</v>
      </c>
      <c r="Y61" s="50">
        <f t="shared" si="4"/>
        <v>1</v>
      </c>
      <c r="Z61" s="50">
        <f t="shared" si="5"/>
        <v>2</v>
      </c>
      <c r="AA61" s="48" t="str">
        <f t="shared" si="6"/>
        <v>T3_2옵션_방어구_탱커</v>
      </c>
      <c r="AB61" s="50" t="str">
        <f t="shared" si="7"/>
        <v>3212</v>
      </c>
      <c r="AC61" s="49" t="str">
        <f t="shared" si="8"/>
        <v>T3_2옵션_방어구_탱커    (Grade 3)</v>
      </c>
      <c r="AD61" s="48" t="str">
        <f t="shared" si="9"/>
        <v>1103,903</v>
      </c>
    </row>
    <row r="62" spans="3:30" x14ac:dyDescent="0.3">
      <c r="C62" s="51">
        <v>3</v>
      </c>
      <c r="D62" s="51">
        <v>2</v>
      </c>
      <c r="E62" s="51" t="s">
        <v>5399</v>
      </c>
      <c r="F62" s="51" t="s">
        <v>5397</v>
      </c>
      <c r="G62" s="50" t="str">
        <f>VLOOKUP(E62,옵션그룹계산1!$AF$4:$AH$7,3,FALSE)</f>
        <v xml:space="preserve"> </v>
      </c>
      <c r="H62" s="49" t="str">
        <f>VLOOKUP(D62,옵션그룹계산1!$AF$16:$AG$19,2,FALSE)</f>
        <v>(Grade 3)</v>
      </c>
      <c r="I62" s="50" t="str">
        <f t="shared" si="0"/>
        <v>보조장비_딜러</v>
      </c>
      <c r="J62" s="49" t="str">
        <f>IF($D62&gt;=(J$2-1),VLOOKUP($I62,색인!$L$4:$R$11,J$2,FALSE)&amp;"_"&amp;$C62,"")</f>
        <v>공격력_3</v>
      </c>
      <c r="K62" s="49" t="str">
        <f>IF($D62&gt;=(K$2-1),VLOOKUP($I62,색인!$L$4:$R$11,K$2,FALSE)&amp;"_"&amp;$C62,"")</f>
        <v>공격속도_3</v>
      </c>
      <c r="L62" s="49" t="str">
        <f>IF($D62&gt;=(L$2-1),VLOOKUP($I62,색인!$L$4:$R$11,L$2,FALSE)&amp;"_"&amp;$C62,"")</f>
        <v/>
      </c>
      <c r="M62" s="49" t="str">
        <f>IF($D62&gt;=(M$2-1),VLOOKUP($I62,색인!$L$4:$R$11,M$2,FALSE)&amp;"_"&amp;$C62,"")</f>
        <v/>
      </c>
      <c r="N62" s="49" t="str">
        <f>IF(AND(C62&gt;=6,D62&gt;=4),VLOOKUP($I62,색인!$L$4:$R$11,N$2,FALSE)&amp;"_"&amp;$C62,"")</f>
        <v/>
      </c>
      <c r="O62" s="49" t="str">
        <f>IF(AND(C62&gt;=6,D62&gt;=4),VLOOKUP($I62,색인!$L$4:$R$11,O$2,FALSE)&amp;"_"&amp;$C62,"")</f>
        <v/>
      </c>
      <c r="P62" s="50" t="str">
        <f t="shared" si="1"/>
        <v>3221</v>
      </c>
      <c r="Q62" s="49">
        <f>VLOOKUP(옵션그룹계산1!J62,색인!$E$4:$F$99,2,FALSE)</f>
        <v>103</v>
      </c>
      <c r="R62" s="49">
        <f>_xlfn.IFNA(VLOOKUP(옵션그룹계산1!K62,색인!$E$4:$F$99,2,FALSE),"")</f>
        <v>1103</v>
      </c>
      <c r="S62" s="49" t="str">
        <f>_xlfn.IFNA(VLOOKUP(옵션그룹계산1!L62,색인!$E$4:$F$99,2,FALSE),"")</f>
        <v/>
      </c>
      <c r="T62" s="49" t="str">
        <f>_xlfn.IFNA(VLOOKUP(옵션그룹계산1!M62,색인!$E$4:$F$99,2,FALSE),"")</f>
        <v/>
      </c>
      <c r="U62" s="49" t="str">
        <f>_xlfn.IFNA(VLOOKUP(옵션그룹계산1!N62,색인!$E$4:$F$99,2,FALSE),"")</f>
        <v/>
      </c>
      <c r="V62" s="49" t="str">
        <f>_xlfn.IFNA(VLOOKUP(옵션그룹계산1!O62,색인!$E$4:$F$99,2,FALSE),"")</f>
        <v/>
      </c>
      <c r="W62" s="50">
        <f t="shared" si="2"/>
        <v>3</v>
      </c>
      <c r="X62" s="50">
        <f t="shared" si="3"/>
        <v>2</v>
      </c>
      <c r="Y62" s="50">
        <f t="shared" si="4"/>
        <v>2</v>
      </c>
      <c r="Z62" s="50">
        <f t="shared" si="5"/>
        <v>1</v>
      </c>
      <c r="AA62" s="48" t="str">
        <f t="shared" si="6"/>
        <v>T3_2옵션_보조장비_딜러</v>
      </c>
      <c r="AB62" s="50" t="str">
        <f t="shared" si="7"/>
        <v>3221</v>
      </c>
      <c r="AC62" s="49" t="str">
        <f t="shared" si="8"/>
        <v>T3_2옵션_보조장비_딜러 (Grade 3)</v>
      </c>
      <c r="AD62" s="48" t="str">
        <f t="shared" si="9"/>
        <v>103,1103</v>
      </c>
    </row>
    <row r="63" spans="3:30" x14ac:dyDescent="0.3">
      <c r="C63" s="51">
        <v>3</v>
      </c>
      <c r="D63" s="51">
        <v>2</v>
      </c>
      <c r="E63" s="51" t="s">
        <v>5399</v>
      </c>
      <c r="F63" s="51" t="s">
        <v>5395</v>
      </c>
      <c r="G63" s="50" t="str">
        <f>VLOOKUP(E63,옵션그룹계산1!$AF$4:$AH$7,3,FALSE)</f>
        <v xml:space="preserve"> </v>
      </c>
      <c r="H63" s="49" t="str">
        <f>VLOOKUP(D63,옵션그룹계산1!$AF$16:$AG$19,2,FALSE)</f>
        <v>(Grade 3)</v>
      </c>
      <c r="I63" s="50" t="str">
        <f t="shared" si="0"/>
        <v>보조장비_탱커</v>
      </c>
      <c r="J63" s="49" t="str">
        <f>IF($D63&gt;=(J$2-1),VLOOKUP($I63,색인!$L$4:$R$11,J$2,FALSE)&amp;"_"&amp;$C63,"")</f>
        <v>공격속도_3</v>
      </c>
      <c r="K63" s="49" t="str">
        <f>IF($D63&gt;=(K$2-1),VLOOKUP($I63,색인!$L$4:$R$11,K$2,FALSE)&amp;"_"&amp;$C63,"")</f>
        <v>마법블록_3</v>
      </c>
      <c r="L63" s="49" t="str">
        <f>IF($D63&gt;=(L$2-1),VLOOKUP($I63,색인!$L$4:$R$11,L$2,FALSE)&amp;"_"&amp;$C63,"")</f>
        <v/>
      </c>
      <c r="M63" s="49" t="str">
        <f>IF($D63&gt;=(M$2-1),VLOOKUP($I63,색인!$L$4:$R$11,M$2,FALSE)&amp;"_"&amp;$C63,"")</f>
        <v/>
      </c>
      <c r="N63" s="49" t="str">
        <f>IF(AND(C63&gt;=6,D63&gt;=4),VLOOKUP($I63,색인!$L$4:$R$11,N$2,FALSE)&amp;"_"&amp;$C63,"")</f>
        <v/>
      </c>
      <c r="O63" s="49" t="str">
        <f>IF(AND(C63&gt;=6,D63&gt;=4),VLOOKUP($I63,색인!$L$4:$R$11,O$2,FALSE)&amp;"_"&amp;$C63,"")</f>
        <v/>
      </c>
      <c r="P63" s="50" t="str">
        <f t="shared" si="1"/>
        <v>3222</v>
      </c>
      <c r="Q63" s="49">
        <f>VLOOKUP(옵션그룹계산1!J63,색인!$E$4:$F$99,2,FALSE)</f>
        <v>1103</v>
      </c>
      <c r="R63" s="49">
        <f>_xlfn.IFNA(VLOOKUP(옵션그룹계산1!K63,색인!$E$4:$F$99,2,FALSE),"")</f>
        <v>1903</v>
      </c>
      <c r="S63" s="49" t="str">
        <f>_xlfn.IFNA(VLOOKUP(옵션그룹계산1!L63,색인!$E$4:$F$99,2,FALSE),"")</f>
        <v/>
      </c>
      <c r="T63" s="49" t="str">
        <f>_xlfn.IFNA(VLOOKUP(옵션그룹계산1!M63,색인!$E$4:$F$99,2,FALSE),"")</f>
        <v/>
      </c>
      <c r="U63" s="49" t="str">
        <f>_xlfn.IFNA(VLOOKUP(옵션그룹계산1!N63,색인!$E$4:$F$99,2,FALSE),"")</f>
        <v/>
      </c>
      <c r="V63" s="49" t="str">
        <f>_xlfn.IFNA(VLOOKUP(옵션그룹계산1!O63,색인!$E$4:$F$99,2,FALSE),"")</f>
        <v/>
      </c>
      <c r="W63" s="50">
        <f t="shared" si="2"/>
        <v>3</v>
      </c>
      <c r="X63" s="50">
        <f t="shared" si="3"/>
        <v>2</v>
      </c>
      <c r="Y63" s="50">
        <f t="shared" si="4"/>
        <v>2</v>
      </c>
      <c r="Z63" s="50">
        <f t="shared" si="5"/>
        <v>2</v>
      </c>
      <c r="AA63" s="48" t="str">
        <f t="shared" si="6"/>
        <v>T3_2옵션_보조장비_탱커</v>
      </c>
      <c r="AB63" s="50" t="str">
        <f t="shared" si="7"/>
        <v>3222</v>
      </c>
      <c r="AC63" s="49" t="str">
        <f t="shared" si="8"/>
        <v>T3_2옵션_보조장비_탱커 (Grade 3)</v>
      </c>
      <c r="AD63" s="48" t="str">
        <f t="shared" si="9"/>
        <v>1103,1903</v>
      </c>
    </row>
    <row r="64" spans="3:30" x14ac:dyDescent="0.3">
      <c r="C64" s="51">
        <v>3</v>
      </c>
      <c r="D64" s="51">
        <v>2</v>
      </c>
      <c r="E64" s="51" t="s">
        <v>5398</v>
      </c>
      <c r="F64" s="51" t="s">
        <v>5397</v>
      </c>
      <c r="G64" s="50" t="str">
        <f>VLOOKUP(E64,옵션그룹계산1!$AF$4:$AH$7,3,FALSE)</f>
        <v xml:space="preserve">    </v>
      </c>
      <c r="H64" s="49" t="str">
        <f>VLOOKUP(D64,옵션그룹계산1!$AF$16:$AG$19,2,FALSE)</f>
        <v>(Grade 3)</v>
      </c>
      <c r="I64" s="50" t="str">
        <f t="shared" si="0"/>
        <v>장신구_딜러</v>
      </c>
      <c r="J64" s="49" t="str">
        <f>IF($D64&gt;=(J$2-1),VLOOKUP($I64,색인!$L$4:$R$11,J$2,FALSE)&amp;"_"&amp;$C64,"")</f>
        <v>공격력_3</v>
      </c>
      <c r="K64" s="49" t="str">
        <f>IF($D64&gt;=(K$2-1),VLOOKUP($I64,색인!$L$4:$R$11,K$2,FALSE)&amp;"_"&amp;$C64,"")</f>
        <v>공격속도_3</v>
      </c>
      <c r="L64" s="49" t="str">
        <f>IF($D64&gt;=(L$2-1),VLOOKUP($I64,색인!$L$4:$R$11,L$2,FALSE)&amp;"_"&amp;$C64,"")</f>
        <v/>
      </c>
      <c r="M64" s="49" t="str">
        <f>IF($D64&gt;=(M$2-1),VLOOKUP($I64,색인!$L$4:$R$11,M$2,FALSE)&amp;"_"&amp;$C64,"")</f>
        <v/>
      </c>
      <c r="N64" s="49" t="str">
        <f>IF(AND(C64&gt;=6,D64&gt;=4),VLOOKUP($I64,색인!$L$4:$R$11,N$2,FALSE)&amp;"_"&amp;$C64,"")</f>
        <v/>
      </c>
      <c r="O64" s="49" t="str">
        <f>IF(AND(C64&gt;=6,D64&gt;=4),VLOOKUP($I64,색인!$L$4:$R$11,O$2,FALSE)&amp;"_"&amp;$C64,"")</f>
        <v/>
      </c>
      <c r="P64" s="50" t="str">
        <f t="shared" si="1"/>
        <v>3231</v>
      </c>
      <c r="Q64" s="49">
        <f>VLOOKUP(옵션그룹계산1!J64,색인!$E$4:$F$99,2,FALSE)</f>
        <v>103</v>
      </c>
      <c r="R64" s="49">
        <f>_xlfn.IFNA(VLOOKUP(옵션그룹계산1!K64,색인!$E$4:$F$99,2,FALSE),"")</f>
        <v>1103</v>
      </c>
      <c r="S64" s="49" t="str">
        <f>_xlfn.IFNA(VLOOKUP(옵션그룹계산1!L64,색인!$E$4:$F$99,2,FALSE),"")</f>
        <v/>
      </c>
      <c r="T64" s="49" t="str">
        <f>_xlfn.IFNA(VLOOKUP(옵션그룹계산1!M64,색인!$E$4:$F$99,2,FALSE),"")</f>
        <v/>
      </c>
      <c r="U64" s="49" t="str">
        <f>_xlfn.IFNA(VLOOKUP(옵션그룹계산1!N64,색인!$E$4:$F$99,2,FALSE),"")</f>
        <v/>
      </c>
      <c r="V64" s="49" t="str">
        <f>_xlfn.IFNA(VLOOKUP(옵션그룹계산1!O64,색인!$E$4:$F$99,2,FALSE),"")</f>
        <v/>
      </c>
      <c r="W64" s="50">
        <f t="shared" si="2"/>
        <v>3</v>
      </c>
      <c r="X64" s="50">
        <f t="shared" si="3"/>
        <v>2</v>
      </c>
      <c r="Y64" s="50">
        <f t="shared" si="4"/>
        <v>3</v>
      </c>
      <c r="Z64" s="50">
        <f t="shared" si="5"/>
        <v>1</v>
      </c>
      <c r="AA64" s="48" t="str">
        <f t="shared" si="6"/>
        <v>T3_2옵션_장신구_딜러</v>
      </c>
      <c r="AB64" s="50" t="str">
        <f t="shared" si="7"/>
        <v>3231</v>
      </c>
      <c r="AC64" s="49" t="str">
        <f t="shared" si="8"/>
        <v>T3_2옵션_장신구_딜러    (Grade 3)</v>
      </c>
      <c r="AD64" s="48" t="str">
        <f t="shared" si="9"/>
        <v>103,1103</v>
      </c>
    </row>
    <row r="65" spans="3:30" x14ac:dyDescent="0.3">
      <c r="C65" s="51">
        <v>3</v>
      </c>
      <c r="D65" s="51">
        <v>2</v>
      </c>
      <c r="E65" s="51" t="s">
        <v>5398</v>
      </c>
      <c r="F65" s="51" t="s">
        <v>5395</v>
      </c>
      <c r="G65" s="50" t="str">
        <f>VLOOKUP(E65,옵션그룹계산1!$AF$4:$AH$7,3,FALSE)</f>
        <v xml:space="preserve">    </v>
      </c>
      <c r="H65" s="49" t="str">
        <f>VLOOKUP(D65,옵션그룹계산1!$AF$16:$AG$19,2,FALSE)</f>
        <v>(Grade 3)</v>
      </c>
      <c r="I65" s="50" t="str">
        <f t="shared" si="0"/>
        <v>장신구_탱커</v>
      </c>
      <c r="J65" s="49" t="str">
        <f>IF($D65&gt;=(J$2-1),VLOOKUP($I65,색인!$L$4:$R$11,J$2,FALSE)&amp;"_"&amp;$C65,"")</f>
        <v>체력_3</v>
      </c>
      <c r="K65" s="49" t="str">
        <f>IF($D65&gt;=(K$2-1),VLOOKUP($I65,색인!$L$4:$R$11,K$2,FALSE)&amp;"_"&amp;$C65,"")</f>
        <v>물리블록_3</v>
      </c>
      <c r="L65" s="49" t="str">
        <f>IF($D65&gt;=(L$2-1),VLOOKUP($I65,색인!$L$4:$R$11,L$2,FALSE)&amp;"_"&amp;$C65,"")</f>
        <v/>
      </c>
      <c r="M65" s="49" t="str">
        <f>IF($D65&gt;=(M$2-1),VLOOKUP($I65,색인!$L$4:$R$11,M$2,FALSE)&amp;"_"&amp;$C65,"")</f>
        <v/>
      </c>
      <c r="N65" s="49" t="str">
        <f>IF(AND(C65&gt;=6,D65&gt;=4),VLOOKUP($I65,색인!$L$4:$R$11,N$2,FALSE)&amp;"_"&amp;$C65,"")</f>
        <v/>
      </c>
      <c r="O65" s="49" t="str">
        <f>IF(AND(C65&gt;=6,D65&gt;=4),VLOOKUP($I65,색인!$L$4:$R$11,O$2,FALSE)&amp;"_"&amp;$C65,"")</f>
        <v/>
      </c>
      <c r="P65" s="50" t="str">
        <f t="shared" si="1"/>
        <v>3232</v>
      </c>
      <c r="Q65" s="49">
        <f>VLOOKUP(옵션그룹계산1!J65,색인!$E$4:$F$99,2,FALSE)</f>
        <v>203</v>
      </c>
      <c r="R65" s="49">
        <f>_xlfn.IFNA(VLOOKUP(옵션그룹계산1!K65,색인!$E$4:$F$99,2,FALSE),"")</f>
        <v>903</v>
      </c>
      <c r="S65" s="49" t="str">
        <f>_xlfn.IFNA(VLOOKUP(옵션그룹계산1!L65,색인!$E$4:$F$99,2,FALSE),"")</f>
        <v/>
      </c>
      <c r="T65" s="49" t="str">
        <f>_xlfn.IFNA(VLOOKUP(옵션그룹계산1!M65,색인!$E$4:$F$99,2,FALSE),"")</f>
        <v/>
      </c>
      <c r="U65" s="49" t="str">
        <f>_xlfn.IFNA(VLOOKUP(옵션그룹계산1!N65,색인!$E$4:$F$99,2,FALSE),"")</f>
        <v/>
      </c>
      <c r="V65" s="49" t="str">
        <f>_xlfn.IFNA(VLOOKUP(옵션그룹계산1!O65,색인!$E$4:$F$99,2,FALSE),"")</f>
        <v/>
      </c>
      <c r="W65" s="50">
        <f t="shared" si="2"/>
        <v>3</v>
      </c>
      <c r="X65" s="50">
        <f t="shared" si="3"/>
        <v>2</v>
      </c>
      <c r="Y65" s="50">
        <f t="shared" si="4"/>
        <v>3</v>
      </c>
      <c r="Z65" s="50">
        <f t="shared" si="5"/>
        <v>2</v>
      </c>
      <c r="AA65" s="48" t="str">
        <f t="shared" si="6"/>
        <v>T3_2옵션_장신구_탱커</v>
      </c>
      <c r="AB65" s="50" t="str">
        <f t="shared" si="7"/>
        <v>3232</v>
      </c>
      <c r="AC65" s="49" t="str">
        <f t="shared" si="8"/>
        <v>T3_2옵션_장신구_탱커    (Grade 3)</v>
      </c>
      <c r="AD65" s="48" t="str">
        <f t="shared" si="9"/>
        <v>203,903</v>
      </c>
    </row>
    <row r="66" spans="3:30" x14ac:dyDescent="0.3">
      <c r="C66" s="51">
        <v>3</v>
      </c>
      <c r="D66" s="51">
        <v>2</v>
      </c>
      <c r="E66" s="51" t="s">
        <v>5396</v>
      </c>
      <c r="F66" s="51" t="s">
        <v>5397</v>
      </c>
      <c r="G66" s="50" t="str">
        <f>VLOOKUP(E66,옵션그룹계산1!$AF$4:$AH$7,3,FALSE)</f>
        <v xml:space="preserve">       </v>
      </c>
      <c r="H66" s="49" t="str">
        <f>VLOOKUP(D66,옵션그룹계산1!$AF$16:$AG$19,2,FALSE)</f>
        <v>(Grade 3)</v>
      </c>
      <c r="I66" s="50" t="str">
        <f t="shared" si="0"/>
        <v>보주_딜러</v>
      </c>
      <c r="J66" s="49" t="str">
        <f>IF($D66&gt;=(J$2-1),VLOOKUP($I66,색인!$L$4:$R$11,J$2,FALSE)&amp;"_"&amp;$C66,"")</f>
        <v>공격력_3</v>
      </c>
      <c r="K66" s="49" t="str">
        <f>IF($D66&gt;=(K$2-1),VLOOKUP($I66,색인!$L$4:$R$11,K$2,FALSE)&amp;"_"&amp;$C66,"")</f>
        <v>공격속도_3</v>
      </c>
      <c r="L66" s="49" t="str">
        <f>IF($D66&gt;=(L$2-1),VLOOKUP($I66,색인!$L$4:$R$11,L$2,FALSE)&amp;"_"&amp;$C66,"")</f>
        <v/>
      </c>
      <c r="M66" s="49" t="str">
        <f>IF($D66&gt;=(M$2-1),VLOOKUP($I66,색인!$L$4:$R$11,M$2,FALSE)&amp;"_"&amp;$C66,"")</f>
        <v/>
      </c>
      <c r="N66" s="49" t="str">
        <f>IF(AND(C66&gt;=6,D66&gt;=4),VLOOKUP($I66,색인!$L$4:$R$11,N$2,FALSE)&amp;"_"&amp;$C66,"")</f>
        <v/>
      </c>
      <c r="O66" s="49" t="str">
        <f>IF(AND(C66&gt;=6,D66&gt;=4),VLOOKUP($I66,색인!$L$4:$R$11,O$2,FALSE)&amp;"_"&amp;$C66,"")</f>
        <v/>
      </c>
      <c r="P66" s="50" t="str">
        <f t="shared" si="1"/>
        <v>3241</v>
      </c>
      <c r="Q66" s="49">
        <f>VLOOKUP(옵션그룹계산1!J66,색인!$E$4:$F$99,2,FALSE)</f>
        <v>103</v>
      </c>
      <c r="R66" s="49">
        <f>_xlfn.IFNA(VLOOKUP(옵션그룹계산1!K66,색인!$E$4:$F$99,2,FALSE),"")</f>
        <v>1103</v>
      </c>
      <c r="S66" s="49" t="str">
        <f>_xlfn.IFNA(VLOOKUP(옵션그룹계산1!L66,색인!$E$4:$F$99,2,FALSE),"")</f>
        <v/>
      </c>
      <c r="T66" s="49" t="str">
        <f>_xlfn.IFNA(VLOOKUP(옵션그룹계산1!M66,색인!$E$4:$F$99,2,FALSE),"")</f>
        <v/>
      </c>
      <c r="U66" s="49" t="str">
        <f>_xlfn.IFNA(VLOOKUP(옵션그룹계산1!N66,색인!$E$4:$F$99,2,FALSE),"")</f>
        <v/>
      </c>
      <c r="V66" s="49" t="str">
        <f>_xlfn.IFNA(VLOOKUP(옵션그룹계산1!O66,색인!$E$4:$F$99,2,FALSE),"")</f>
        <v/>
      </c>
      <c r="W66" s="50">
        <f t="shared" si="2"/>
        <v>3</v>
      </c>
      <c r="X66" s="50">
        <f t="shared" si="3"/>
        <v>2</v>
      </c>
      <c r="Y66" s="50">
        <f t="shared" si="4"/>
        <v>4</v>
      </c>
      <c r="Z66" s="50">
        <f t="shared" si="5"/>
        <v>1</v>
      </c>
      <c r="AA66" s="48" t="str">
        <f t="shared" si="6"/>
        <v>T3_2옵션_보주_딜러</v>
      </c>
      <c r="AB66" s="50" t="str">
        <f t="shared" si="7"/>
        <v>3241</v>
      </c>
      <c r="AC66" s="49" t="str">
        <f t="shared" si="8"/>
        <v>T3_2옵션_보주_딜러       (Grade 3)</v>
      </c>
      <c r="AD66" s="48" t="str">
        <f t="shared" si="9"/>
        <v>103,1103</v>
      </c>
    </row>
    <row r="67" spans="3:30" x14ac:dyDescent="0.3">
      <c r="C67" s="51">
        <v>3</v>
      </c>
      <c r="D67" s="51">
        <v>2</v>
      </c>
      <c r="E67" s="51" t="s">
        <v>5396</v>
      </c>
      <c r="F67" s="51" t="s">
        <v>5395</v>
      </c>
      <c r="G67" s="50" t="str">
        <f>VLOOKUP(E67,옵션그룹계산1!$AF$4:$AH$7,3,FALSE)</f>
        <v xml:space="preserve">       </v>
      </c>
      <c r="H67" s="49" t="str">
        <f>VLOOKUP(D67,옵션그룹계산1!$AF$16:$AG$19,2,FALSE)</f>
        <v>(Grade 3)</v>
      </c>
      <c r="I67" s="50" t="str">
        <f t="shared" si="0"/>
        <v>보주_탱커</v>
      </c>
      <c r="J67" s="49" t="str">
        <f>IF($D67&gt;=(J$2-1),VLOOKUP($I67,색인!$L$4:$R$11,J$2,FALSE)&amp;"_"&amp;$C67,"")</f>
        <v>체력_3</v>
      </c>
      <c r="K67" s="49" t="str">
        <f>IF($D67&gt;=(K$2-1),VLOOKUP($I67,색인!$L$4:$R$11,K$2,FALSE)&amp;"_"&amp;$C67,"")</f>
        <v>물리블록_3</v>
      </c>
      <c r="L67" s="49" t="str">
        <f>IF($D67&gt;=(L$2-1),VLOOKUP($I67,색인!$L$4:$R$11,L$2,FALSE)&amp;"_"&amp;$C67,"")</f>
        <v/>
      </c>
      <c r="M67" s="49" t="str">
        <f>IF($D67&gt;=(M$2-1),VLOOKUP($I67,색인!$L$4:$R$11,M$2,FALSE)&amp;"_"&amp;$C67,"")</f>
        <v/>
      </c>
      <c r="N67" s="49" t="str">
        <f>IF(AND(C67&gt;=6,D67&gt;=4),VLOOKUP($I67,색인!$L$4:$R$11,N$2,FALSE)&amp;"_"&amp;$C67,"")</f>
        <v/>
      </c>
      <c r="O67" s="49" t="str">
        <f>IF(AND(C67&gt;=6,D67&gt;=4),VLOOKUP($I67,색인!$L$4:$R$11,O$2,FALSE)&amp;"_"&amp;$C67,"")</f>
        <v/>
      </c>
      <c r="P67" s="50" t="str">
        <f t="shared" si="1"/>
        <v>3242</v>
      </c>
      <c r="Q67" s="49">
        <f>VLOOKUP(옵션그룹계산1!J67,색인!$E$4:$F$99,2,FALSE)</f>
        <v>203</v>
      </c>
      <c r="R67" s="49">
        <f>_xlfn.IFNA(VLOOKUP(옵션그룹계산1!K67,색인!$E$4:$F$99,2,FALSE),"")</f>
        <v>903</v>
      </c>
      <c r="S67" s="49" t="str">
        <f>_xlfn.IFNA(VLOOKUP(옵션그룹계산1!L67,색인!$E$4:$F$99,2,FALSE),"")</f>
        <v/>
      </c>
      <c r="T67" s="49" t="str">
        <f>_xlfn.IFNA(VLOOKUP(옵션그룹계산1!M67,색인!$E$4:$F$99,2,FALSE),"")</f>
        <v/>
      </c>
      <c r="U67" s="49" t="str">
        <f>_xlfn.IFNA(VLOOKUP(옵션그룹계산1!N67,색인!$E$4:$F$99,2,FALSE),"")</f>
        <v/>
      </c>
      <c r="V67" s="49" t="str">
        <f>_xlfn.IFNA(VLOOKUP(옵션그룹계산1!O67,색인!$E$4:$F$99,2,FALSE),"")</f>
        <v/>
      </c>
      <c r="W67" s="50">
        <f t="shared" si="2"/>
        <v>3</v>
      </c>
      <c r="X67" s="50">
        <f t="shared" si="3"/>
        <v>2</v>
      </c>
      <c r="Y67" s="50">
        <f t="shared" si="4"/>
        <v>4</v>
      </c>
      <c r="Z67" s="50">
        <f t="shared" si="5"/>
        <v>2</v>
      </c>
      <c r="AA67" s="48" t="str">
        <f t="shared" si="6"/>
        <v>T3_2옵션_보주_탱커</v>
      </c>
      <c r="AB67" s="50" t="str">
        <f t="shared" si="7"/>
        <v>3242</v>
      </c>
      <c r="AC67" s="49" t="str">
        <f t="shared" si="8"/>
        <v>T3_2옵션_보주_탱커       (Grade 3)</v>
      </c>
      <c r="AD67" s="48" t="str">
        <f t="shared" si="9"/>
        <v>203,903</v>
      </c>
    </row>
    <row r="68" spans="3:30" x14ac:dyDescent="0.3">
      <c r="C68" s="51">
        <v>3</v>
      </c>
      <c r="D68" s="51">
        <v>3</v>
      </c>
      <c r="E68" s="51" t="s">
        <v>5400</v>
      </c>
      <c r="F68" s="51" t="s">
        <v>5397</v>
      </c>
      <c r="G68" s="50" t="str">
        <f>VLOOKUP(E68,옵션그룹계산1!$AF$4:$AH$7,3,FALSE)</f>
        <v xml:space="preserve">    </v>
      </c>
      <c r="H68" s="49" t="str">
        <f>VLOOKUP(D68,옵션그룹계산1!$AF$16:$AG$19,2,FALSE)</f>
        <v>(Grade 4~5)</v>
      </c>
      <c r="I68" s="50" t="str">
        <f t="shared" ref="I68:I131" si="10">E68&amp;"_"&amp;F68</f>
        <v>방어구_딜러</v>
      </c>
      <c r="J68" s="49" t="str">
        <f>IF($D68&gt;=(J$2-1),VLOOKUP($I68,색인!$L$4:$R$11,J$2,FALSE)&amp;"_"&amp;$C68,"")</f>
        <v>공격력_3</v>
      </c>
      <c r="K68" s="49" t="str">
        <f>IF($D68&gt;=(K$2-1),VLOOKUP($I68,색인!$L$4:$R$11,K$2,FALSE)&amp;"_"&amp;$C68,"")</f>
        <v>공격속도_3</v>
      </c>
      <c r="L68" s="49" t="str">
        <f>IF($D68&gt;=(L$2-1),VLOOKUP($I68,색인!$L$4:$R$11,L$2,FALSE)&amp;"_"&amp;$C68,"")</f>
        <v>치명타확률_3</v>
      </c>
      <c r="M68" s="49" t="str">
        <f>IF($D68&gt;=(M$2-1),VLOOKUP($I68,색인!$L$4:$R$11,M$2,FALSE)&amp;"_"&amp;$C68,"")</f>
        <v/>
      </c>
      <c r="N68" s="49" t="str">
        <f>IF(AND(C68&gt;=6,D68&gt;=4),VLOOKUP($I68,색인!$L$4:$R$11,N$2,FALSE)&amp;"_"&amp;$C68,"")</f>
        <v/>
      </c>
      <c r="O68" s="49" t="str">
        <f>IF(AND(C68&gt;=6,D68&gt;=4),VLOOKUP($I68,색인!$L$4:$R$11,O$2,FALSE)&amp;"_"&amp;$C68,"")</f>
        <v/>
      </c>
      <c r="P68" s="50" t="str">
        <f t="shared" ref="P68:P131" si="11">AB68</f>
        <v>3311</v>
      </c>
      <c r="Q68" s="49">
        <f>VLOOKUP(옵션그룹계산1!J68,색인!$E$4:$F$99,2,FALSE)</f>
        <v>103</v>
      </c>
      <c r="R68" s="49">
        <f>_xlfn.IFNA(VLOOKUP(옵션그룹계산1!K68,색인!$E$4:$F$99,2,FALSE),"")</f>
        <v>1103</v>
      </c>
      <c r="S68" s="49">
        <f>_xlfn.IFNA(VLOOKUP(옵션그룹계산1!L68,색인!$E$4:$F$99,2,FALSE),"")</f>
        <v>503</v>
      </c>
      <c r="T68" s="49" t="str">
        <f>_xlfn.IFNA(VLOOKUP(옵션그룹계산1!M68,색인!$E$4:$F$99,2,FALSE),"")</f>
        <v/>
      </c>
      <c r="U68" s="49" t="str">
        <f>_xlfn.IFNA(VLOOKUP(옵션그룹계산1!N68,색인!$E$4:$F$99,2,FALSE),"")</f>
        <v/>
      </c>
      <c r="V68" s="49" t="str">
        <f>_xlfn.IFNA(VLOOKUP(옵션그룹계산1!O68,색인!$E$4:$F$99,2,FALSE),"")</f>
        <v/>
      </c>
      <c r="W68" s="50">
        <f t="shared" ref="W68:W131" si="12">C68</f>
        <v>3</v>
      </c>
      <c r="X68" s="50">
        <f t="shared" ref="X68:X131" si="13">D68</f>
        <v>3</v>
      </c>
      <c r="Y68" s="50">
        <f t="shared" ref="Y68:Y131" si="14">VLOOKUP(E68,$AF$4:$AG$7,2,FALSE)</f>
        <v>1</v>
      </c>
      <c r="Z68" s="50">
        <f t="shared" ref="Z68:Z131" si="15">VLOOKUP(F68,$AF$11:$AG$12,2,FALSE)</f>
        <v>1</v>
      </c>
      <c r="AA68" s="48" t="str">
        <f t="shared" ref="AA68:AA131" si="16">"T"&amp;C68&amp;"_"&amp;D68&amp;"옵션_"&amp;E68&amp;"_"&amp;F68</f>
        <v>T3_3옵션_방어구_딜러</v>
      </c>
      <c r="AB68" s="50" t="str">
        <f t="shared" ref="AB68:AB131" si="17">W68&amp;X68&amp;Y68&amp;Z68</f>
        <v>3311</v>
      </c>
      <c r="AC68" s="49" t="str">
        <f t="shared" ref="AC68:AC131" si="18">"T"&amp;C68&amp;"_"&amp;D68&amp;"옵션_"&amp;E68&amp;"_"&amp;F68&amp;G68&amp;H68</f>
        <v>T3_3옵션_방어구_딜러    (Grade 4~5)</v>
      </c>
      <c r="AD68" s="48" t="str">
        <f t="shared" ref="AD68:AD131" si="19">Q68&amp;IF(R68="","",","&amp;R68)&amp;IF(S68="","",","&amp;S68)&amp;IF(T68="","",","&amp;T68)&amp;IF(U68="","",","&amp;U68)&amp;IF(V68="","",","&amp;V68)</f>
        <v>103,1103,503</v>
      </c>
    </row>
    <row r="69" spans="3:30" x14ac:dyDescent="0.3">
      <c r="C69" s="51">
        <v>3</v>
      </c>
      <c r="D69" s="51">
        <v>3</v>
      </c>
      <c r="E69" s="51" t="s">
        <v>5400</v>
      </c>
      <c r="F69" s="51" t="s">
        <v>5395</v>
      </c>
      <c r="G69" s="50" t="str">
        <f>VLOOKUP(E69,옵션그룹계산1!$AF$4:$AH$7,3,FALSE)</f>
        <v xml:space="preserve">    </v>
      </c>
      <c r="H69" s="49" t="str">
        <f>VLOOKUP(D69,옵션그룹계산1!$AF$16:$AG$19,2,FALSE)</f>
        <v>(Grade 4~5)</v>
      </c>
      <c r="I69" s="50" t="str">
        <f t="shared" si="10"/>
        <v>방어구_탱커</v>
      </c>
      <c r="J69" s="49" t="str">
        <f>IF($D69&gt;=(J$2-1),VLOOKUP($I69,색인!$L$4:$R$11,J$2,FALSE)&amp;"_"&amp;$C69,"")</f>
        <v>공격속도_3</v>
      </c>
      <c r="K69" s="49" t="str">
        <f>IF($D69&gt;=(K$2-1),VLOOKUP($I69,색인!$L$4:$R$11,K$2,FALSE)&amp;"_"&amp;$C69,"")</f>
        <v>물리블록_3</v>
      </c>
      <c r="L69" s="49" t="str">
        <f>IF($D69&gt;=(L$2-1),VLOOKUP($I69,색인!$L$4:$R$11,L$2,FALSE)&amp;"_"&amp;$C69,"")</f>
        <v>물리방어력_3</v>
      </c>
      <c r="M69" s="49" t="str">
        <f>IF($D69&gt;=(M$2-1),VLOOKUP($I69,색인!$L$4:$R$11,M$2,FALSE)&amp;"_"&amp;$C69,"")</f>
        <v/>
      </c>
      <c r="N69" s="49" t="str">
        <f>IF(AND(C69&gt;=6,D69&gt;=4),VLOOKUP($I69,색인!$L$4:$R$11,N$2,FALSE)&amp;"_"&amp;$C69,"")</f>
        <v/>
      </c>
      <c r="O69" s="49" t="str">
        <f>IF(AND(C69&gt;=6,D69&gt;=4),VLOOKUP($I69,색인!$L$4:$R$11,O$2,FALSE)&amp;"_"&amp;$C69,"")</f>
        <v/>
      </c>
      <c r="P69" s="50" t="str">
        <f t="shared" si="11"/>
        <v>3312</v>
      </c>
      <c r="Q69" s="49">
        <f>VLOOKUP(옵션그룹계산1!J69,색인!$E$4:$F$99,2,FALSE)</f>
        <v>1103</v>
      </c>
      <c r="R69" s="49">
        <f>_xlfn.IFNA(VLOOKUP(옵션그룹계산1!K69,색인!$E$4:$F$99,2,FALSE),"")</f>
        <v>903</v>
      </c>
      <c r="S69" s="49">
        <f>_xlfn.IFNA(VLOOKUP(옵션그룹계산1!L69,색인!$E$4:$F$99,2,FALSE),"")</f>
        <v>303</v>
      </c>
      <c r="T69" s="49" t="str">
        <f>_xlfn.IFNA(VLOOKUP(옵션그룹계산1!M69,색인!$E$4:$F$99,2,FALSE),"")</f>
        <v/>
      </c>
      <c r="U69" s="49" t="str">
        <f>_xlfn.IFNA(VLOOKUP(옵션그룹계산1!N69,색인!$E$4:$F$99,2,FALSE),"")</f>
        <v/>
      </c>
      <c r="V69" s="49" t="str">
        <f>_xlfn.IFNA(VLOOKUP(옵션그룹계산1!O69,색인!$E$4:$F$99,2,FALSE),"")</f>
        <v/>
      </c>
      <c r="W69" s="50">
        <f t="shared" si="12"/>
        <v>3</v>
      </c>
      <c r="X69" s="50">
        <f t="shared" si="13"/>
        <v>3</v>
      </c>
      <c r="Y69" s="50">
        <f t="shared" si="14"/>
        <v>1</v>
      </c>
      <c r="Z69" s="50">
        <f t="shared" si="15"/>
        <v>2</v>
      </c>
      <c r="AA69" s="48" t="str">
        <f t="shared" si="16"/>
        <v>T3_3옵션_방어구_탱커</v>
      </c>
      <c r="AB69" s="50" t="str">
        <f t="shared" si="17"/>
        <v>3312</v>
      </c>
      <c r="AC69" s="49" t="str">
        <f t="shared" si="18"/>
        <v>T3_3옵션_방어구_탱커    (Grade 4~5)</v>
      </c>
      <c r="AD69" s="48" t="str">
        <f t="shared" si="19"/>
        <v>1103,903,303</v>
      </c>
    </row>
    <row r="70" spans="3:30" x14ac:dyDescent="0.3">
      <c r="C70" s="51">
        <v>3</v>
      </c>
      <c r="D70" s="51">
        <v>3</v>
      </c>
      <c r="E70" s="51" t="s">
        <v>5399</v>
      </c>
      <c r="F70" s="51" t="s">
        <v>5397</v>
      </c>
      <c r="G70" s="50" t="str">
        <f>VLOOKUP(E70,옵션그룹계산1!$AF$4:$AH$7,3,FALSE)</f>
        <v xml:space="preserve"> </v>
      </c>
      <c r="H70" s="49" t="str">
        <f>VLOOKUP(D70,옵션그룹계산1!$AF$16:$AG$19,2,FALSE)</f>
        <v>(Grade 4~5)</v>
      </c>
      <c r="I70" s="50" t="str">
        <f t="shared" si="10"/>
        <v>보조장비_딜러</v>
      </c>
      <c r="J70" s="49" t="str">
        <f>IF($D70&gt;=(J$2-1),VLOOKUP($I70,색인!$L$4:$R$11,J$2,FALSE)&amp;"_"&amp;$C70,"")</f>
        <v>공격력_3</v>
      </c>
      <c r="K70" s="49" t="str">
        <f>IF($D70&gt;=(K$2-1),VLOOKUP($I70,색인!$L$4:$R$11,K$2,FALSE)&amp;"_"&amp;$C70,"")</f>
        <v>공격속도_3</v>
      </c>
      <c r="L70" s="49" t="str">
        <f>IF($D70&gt;=(L$2-1),VLOOKUP($I70,색인!$L$4:$R$11,L$2,FALSE)&amp;"_"&amp;$C70,"")</f>
        <v>치명타확률_3</v>
      </c>
      <c r="M70" s="49" t="str">
        <f>IF($D70&gt;=(M$2-1),VLOOKUP($I70,색인!$L$4:$R$11,M$2,FALSE)&amp;"_"&amp;$C70,"")</f>
        <v/>
      </c>
      <c r="N70" s="49" t="str">
        <f>IF(AND(C70&gt;=6,D70&gt;=4),VLOOKUP($I70,색인!$L$4:$R$11,N$2,FALSE)&amp;"_"&amp;$C70,"")</f>
        <v/>
      </c>
      <c r="O70" s="49" t="str">
        <f>IF(AND(C70&gt;=6,D70&gt;=4),VLOOKUP($I70,색인!$L$4:$R$11,O$2,FALSE)&amp;"_"&amp;$C70,"")</f>
        <v/>
      </c>
      <c r="P70" s="50" t="str">
        <f t="shared" si="11"/>
        <v>3321</v>
      </c>
      <c r="Q70" s="49">
        <f>VLOOKUP(옵션그룹계산1!J70,색인!$E$4:$F$99,2,FALSE)</f>
        <v>103</v>
      </c>
      <c r="R70" s="49">
        <f>_xlfn.IFNA(VLOOKUP(옵션그룹계산1!K70,색인!$E$4:$F$99,2,FALSE),"")</f>
        <v>1103</v>
      </c>
      <c r="S70" s="49">
        <f>_xlfn.IFNA(VLOOKUP(옵션그룹계산1!L70,색인!$E$4:$F$99,2,FALSE),"")</f>
        <v>503</v>
      </c>
      <c r="T70" s="49" t="str">
        <f>_xlfn.IFNA(VLOOKUP(옵션그룹계산1!M70,색인!$E$4:$F$99,2,FALSE),"")</f>
        <v/>
      </c>
      <c r="U70" s="49" t="str">
        <f>_xlfn.IFNA(VLOOKUP(옵션그룹계산1!N70,색인!$E$4:$F$99,2,FALSE),"")</f>
        <v/>
      </c>
      <c r="V70" s="49" t="str">
        <f>_xlfn.IFNA(VLOOKUP(옵션그룹계산1!O70,색인!$E$4:$F$99,2,FALSE),"")</f>
        <v/>
      </c>
      <c r="W70" s="50">
        <f t="shared" si="12"/>
        <v>3</v>
      </c>
      <c r="X70" s="50">
        <f t="shared" si="13"/>
        <v>3</v>
      </c>
      <c r="Y70" s="50">
        <f t="shared" si="14"/>
        <v>2</v>
      </c>
      <c r="Z70" s="50">
        <f t="shared" si="15"/>
        <v>1</v>
      </c>
      <c r="AA70" s="48" t="str">
        <f t="shared" si="16"/>
        <v>T3_3옵션_보조장비_딜러</v>
      </c>
      <c r="AB70" s="50" t="str">
        <f t="shared" si="17"/>
        <v>3321</v>
      </c>
      <c r="AC70" s="49" t="str">
        <f t="shared" si="18"/>
        <v>T3_3옵션_보조장비_딜러 (Grade 4~5)</v>
      </c>
      <c r="AD70" s="48" t="str">
        <f t="shared" si="19"/>
        <v>103,1103,503</v>
      </c>
    </row>
    <row r="71" spans="3:30" x14ac:dyDescent="0.3">
      <c r="C71" s="51">
        <v>3</v>
      </c>
      <c r="D71" s="51">
        <v>3</v>
      </c>
      <c r="E71" s="51" t="s">
        <v>5399</v>
      </c>
      <c r="F71" s="51" t="s">
        <v>5395</v>
      </c>
      <c r="G71" s="50" t="str">
        <f>VLOOKUP(E71,옵션그룹계산1!$AF$4:$AH$7,3,FALSE)</f>
        <v xml:space="preserve"> </v>
      </c>
      <c r="H71" s="49" t="str">
        <f>VLOOKUP(D71,옵션그룹계산1!$AF$16:$AG$19,2,FALSE)</f>
        <v>(Grade 4~5)</v>
      </c>
      <c r="I71" s="50" t="str">
        <f t="shared" si="10"/>
        <v>보조장비_탱커</v>
      </c>
      <c r="J71" s="49" t="str">
        <f>IF($D71&gt;=(J$2-1),VLOOKUP($I71,색인!$L$4:$R$11,J$2,FALSE)&amp;"_"&amp;$C71,"")</f>
        <v>공격속도_3</v>
      </c>
      <c r="K71" s="49" t="str">
        <f>IF($D71&gt;=(K$2-1),VLOOKUP($I71,색인!$L$4:$R$11,K$2,FALSE)&amp;"_"&amp;$C71,"")</f>
        <v>마법블록_3</v>
      </c>
      <c r="L71" s="49" t="str">
        <f>IF($D71&gt;=(L$2-1),VLOOKUP($I71,색인!$L$4:$R$11,L$2,FALSE)&amp;"_"&amp;$C71,"")</f>
        <v>마법방어력_3</v>
      </c>
      <c r="M71" s="49" t="str">
        <f>IF($D71&gt;=(M$2-1),VLOOKUP($I71,색인!$L$4:$R$11,M$2,FALSE)&amp;"_"&amp;$C71,"")</f>
        <v/>
      </c>
      <c r="N71" s="49" t="str">
        <f>IF(AND(C71&gt;=6,D71&gt;=4),VLOOKUP($I71,색인!$L$4:$R$11,N$2,FALSE)&amp;"_"&amp;$C71,"")</f>
        <v/>
      </c>
      <c r="O71" s="49" t="str">
        <f>IF(AND(C71&gt;=6,D71&gt;=4),VLOOKUP($I71,색인!$L$4:$R$11,O$2,FALSE)&amp;"_"&amp;$C71,"")</f>
        <v/>
      </c>
      <c r="P71" s="50" t="str">
        <f t="shared" si="11"/>
        <v>3322</v>
      </c>
      <c r="Q71" s="49">
        <f>VLOOKUP(옵션그룹계산1!J71,색인!$E$4:$F$99,2,FALSE)</f>
        <v>1103</v>
      </c>
      <c r="R71" s="49">
        <f>_xlfn.IFNA(VLOOKUP(옵션그룹계산1!K71,색인!$E$4:$F$99,2,FALSE),"")</f>
        <v>1903</v>
      </c>
      <c r="S71" s="49">
        <f>_xlfn.IFNA(VLOOKUP(옵션그룹계산1!L71,색인!$E$4:$F$99,2,FALSE),"")</f>
        <v>403</v>
      </c>
      <c r="T71" s="49" t="str">
        <f>_xlfn.IFNA(VLOOKUP(옵션그룹계산1!M71,색인!$E$4:$F$99,2,FALSE),"")</f>
        <v/>
      </c>
      <c r="U71" s="49" t="str">
        <f>_xlfn.IFNA(VLOOKUP(옵션그룹계산1!N71,색인!$E$4:$F$99,2,FALSE),"")</f>
        <v/>
      </c>
      <c r="V71" s="49" t="str">
        <f>_xlfn.IFNA(VLOOKUP(옵션그룹계산1!O71,색인!$E$4:$F$99,2,FALSE),"")</f>
        <v/>
      </c>
      <c r="W71" s="50">
        <f t="shared" si="12"/>
        <v>3</v>
      </c>
      <c r="X71" s="50">
        <f t="shared" si="13"/>
        <v>3</v>
      </c>
      <c r="Y71" s="50">
        <f t="shared" si="14"/>
        <v>2</v>
      </c>
      <c r="Z71" s="50">
        <f t="shared" si="15"/>
        <v>2</v>
      </c>
      <c r="AA71" s="48" t="str">
        <f t="shared" si="16"/>
        <v>T3_3옵션_보조장비_탱커</v>
      </c>
      <c r="AB71" s="50" t="str">
        <f t="shared" si="17"/>
        <v>3322</v>
      </c>
      <c r="AC71" s="49" t="str">
        <f t="shared" si="18"/>
        <v>T3_3옵션_보조장비_탱커 (Grade 4~5)</v>
      </c>
      <c r="AD71" s="48" t="str">
        <f t="shared" si="19"/>
        <v>1103,1903,403</v>
      </c>
    </row>
    <row r="72" spans="3:30" x14ac:dyDescent="0.3">
      <c r="C72" s="51">
        <v>3</v>
      </c>
      <c r="D72" s="51">
        <v>3</v>
      </c>
      <c r="E72" s="51" t="s">
        <v>5398</v>
      </c>
      <c r="F72" s="51" t="s">
        <v>5397</v>
      </c>
      <c r="G72" s="50" t="str">
        <f>VLOOKUP(E72,옵션그룹계산1!$AF$4:$AH$7,3,FALSE)</f>
        <v xml:space="preserve">    </v>
      </c>
      <c r="H72" s="49" t="str">
        <f>VLOOKUP(D72,옵션그룹계산1!$AF$16:$AG$19,2,FALSE)</f>
        <v>(Grade 4~5)</v>
      </c>
      <c r="I72" s="50" t="str">
        <f t="shared" si="10"/>
        <v>장신구_딜러</v>
      </c>
      <c r="J72" s="49" t="str">
        <f>IF($D72&gt;=(J$2-1),VLOOKUP($I72,색인!$L$4:$R$11,J$2,FALSE)&amp;"_"&amp;$C72,"")</f>
        <v>공격력_3</v>
      </c>
      <c r="K72" s="49" t="str">
        <f>IF($D72&gt;=(K$2-1),VLOOKUP($I72,색인!$L$4:$R$11,K$2,FALSE)&amp;"_"&amp;$C72,"")</f>
        <v>공격속도_3</v>
      </c>
      <c r="L72" s="49" t="str">
        <f>IF($D72&gt;=(L$2-1),VLOOKUP($I72,색인!$L$4:$R$11,L$2,FALSE)&amp;"_"&amp;$C72,"")</f>
        <v>치명타확률_3</v>
      </c>
      <c r="M72" s="49" t="str">
        <f>IF($D72&gt;=(M$2-1),VLOOKUP($I72,색인!$L$4:$R$11,M$2,FALSE)&amp;"_"&amp;$C72,"")</f>
        <v/>
      </c>
      <c r="N72" s="49" t="str">
        <f>IF(AND(C72&gt;=6,D72&gt;=4),VLOOKUP($I72,색인!$L$4:$R$11,N$2,FALSE)&amp;"_"&amp;$C72,"")</f>
        <v/>
      </c>
      <c r="O72" s="49" t="str">
        <f>IF(AND(C72&gt;=6,D72&gt;=4),VLOOKUP($I72,색인!$L$4:$R$11,O$2,FALSE)&amp;"_"&amp;$C72,"")</f>
        <v/>
      </c>
      <c r="P72" s="50" t="str">
        <f t="shared" si="11"/>
        <v>3331</v>
      </c>
      <c r="Q72" s="49">
        <f>VLOOKUP(옵션그룹계산1!J72,색인!$E$4:$F$99,2,FALSE)</f>
        <v>103</v>
      </c>
      <c r="R72" s="49">
        <f>_xlfn.IFNA(VLOOKUP(옵션그룹계산1!K72,색인!$E$4:$F$99,2,FALSE),"")</f>
        <v>1103</v>
      </c>
      <c r="S72" s="49">
        <f>_xlfn.IFNA(VLOOKUP(옵션그룹계산1!L72,색인!$E$4:$F$99,2,FALSE),"")</f>
        <v>503</v>
      </c>
      <c r="T72" s="49" t="str">
        <f>_xlfn.IFNA(VLOOKUP(옵션그룹계산1!M72,색인!$E$4:$F$99,2,FALSE),"")</f>
        <v/>
      </c>
      <c r="U72" s="49" t="str">
        <f>_xlfn.IFNA(VLOOKUP(옵션그룹계산1!N72,색인!$E$4:$F$99,2,FALSE),"")</f>
        <v/>
      </c>
      <c r="V72" s="49" t="str">
        <f>_xlfn.IFNA(VLOOKUP(옵션그룹계산1!O72,색인!$E$4:$F$99,2,FALSE),"")</f>
        <v/>
      </c>
      <c r="W72" s="50">
        <f t="shared" si="12"/>
        <v>3</v>
      </c>
      <c r="X72" s="50">
        <f t="shared" si="13"/>
        <v>3</v>
      </c>
      <c r="Y72" s="50">
        <f t="shared" si="14"/>
        <v>3</v>
      </c>
      <c r="Z72" s="50">
        <f t="shared" si="15"/>
        <v>1</v>
      </c>
      <c r="AA72" s="48" t="str">
        <f t="shared" si="16"/>
        <v>T3_3옵션_장신구_딜러</v>
      </c>
      <c r="AB72" s="50" t="str">
        <f t="shared" si="17"/>
        <v>3331</v>
      </c>
      <c r="AC72" s="49" t="str">
        <f t="shared" si="18"/>
        <v>T3_3옵션_장신구_딜러    (Grade 4~5)</v>
      </c>
      <c r="AD72" s="48" t="str">
        <f t="shared" si="19"/>
        <v>103,1103,503</v>
      </c>
    </row>
    <row r="73" spans="3:30" x14ac:dyDescent="0.3">
      <c r="C73" s="51">
        <v>3</v>
      </c>
      <c r="D73" s="51">
        <v>3</v>
      </c>
      <c r="E73" s="51" t="s">
        <v>5398</v>
      </c>
      <c r="F73" s="51" t="s">
        <v>5395</v>
      </c>
      <c r="G73" s="50" t="str">
        <f>VLOOKUP(E73,옵션그룹계산1!$AF$4:$AH$7,3,FALSE)</f>
        <v xml:space="preserve">    </v>
      </c>
      <c r="H73" s="49" t="str">
        <f>VLOOKUP(D73,옵션그룹계산1!$AF$16:$AG$19,2,FALSE)</f>
        <v>(Grade 4~5)</v>
      </c>
      <c r="I73" s="50" t="str">
        <f t="shared" si="10"/>
        <v>장신구_탱커</v>
      </c>
      <c r="J73" s="49" t="str">
        <f>IF($D73&gt;=(J$2-1),VLOOKUP($I73,색인!$L$4:$R$11,J$2,FALSE)&amp;"_"&amp;$C73,"")</f>
        <v>체력_3</v>
      </c>
      <c r="K73" s="49" t="str">
        <f>IF($D73&gt;=(K$2-1),VLOOKUP($I73,색인!$L$4:$R$11,K$2,FALSE)&amp;"_"&amp;$C73,"")</f>
        <v>물리블록_3</v>
      </c>
      <c r="L73" s="49" t="str">
        <f>IF($D73&gt;=(L$2-1),VLOOKUP($I73,색인!$L$4:$R$11,L$2,FALSE)&amp;"_"&amp;$C73,"")</f>
        <v>마법블록_3</v>
      </c>
      <c r="M73" s="49" t="str">
        <f>IF($D73&gt;=(M$2-1),VLOOKUP($I73,색인!$L$4:$R$11,M$2,FALSE)&amp;"_"&amp;$C73,"")</f>
        <v/>
      </c>
      <c r="N73" s="49" t="str">
        <f>IF(AND(C73&gt;=6,D73&gt;=4),VLOOKUP($I73,색인!$L$4:$R$11,N$2,FALSE)&amp;"_"&amp;$C73,"")</f>
        <v/>
      </c>
      <c r="O73" s="49" t="str">
        <f>IF(AND(C73&gt;=6,D73&gt;=4),VLOOKUP($I73,색인!$L$4:$R$11,O$2,FALSE)&amp;"_"&amp;$C73,"")</f>
        <v/>
      </c>
      <c r="P73" s="50" t="str">
        <f t="shared" si="11"/>
        <v>3332</v>
      </c>
      <c r="Q73" s="49">
        <f>VLOOKUP(옵션그룹계산1!J73,색인!$E$4:$F$99,2,FALSE)</f>
        <v>203</v>
      </c>
      <c r="R73" s="49">
        <f>_xlfn.IFNA(VLOOKUP(옵션그룹계산1!K73,색인!$E$4:$F$99,2,FALSE),"")</f>
        <v>903</v>
      </c>
      <c r="S73" s="49">
        <f>_xlfn.IFNA(VLOOKUP(옵션그룹계산1!L73,색인!$E$4:$F$99,2,FALSE),"")</f>
        <v>1903</v>
      </c>
      <c r="T73" s="49" t="str">
        <f>_xlfn.IFNA(VLOOKUP(옵션그룹계산1!M73,색인!$E$4:$F$99,2,FALSE),"")</f>
        <v/>
      </c>
      <c r="U73" s="49" t="str">
        <f>_xlfn.IFNA(VLOOKUP(옵션그룹계산1!N73,색인!$E$4:$F$99,2,FALSE),"")</f>
        <v/>
      </c>
      <c r="V73" s="49" t="str">
        <f>_xlfn.IFNA(VLOOKUP(옵션그룹계산1!O73,색인!$E$4:$F$99,2,FALSE),"")</f>
        <v/>
      </c>
      <c r="W73" s="50">
        <f t="shared" si="12"/>
        <v>3</v>
      </c>
      <c r="X73" s="50">
        <f t="shared" si="13"/>
        <v>3</v>
      </c>
      <c r="Y73" s="50">
        <f t="shared" si="14"/>
        <v>3</v>
      </c>
      <c r="Z73" s="50">
        <f t="shared" si="15"/>
        <v>2</v>
      </c>
      <c r="AA73" s="48" t="str">
        <f t="shared" si="16"/>
        <v>T3_3옵션_장신구_탱커</v>
      </c>
      <c r="AB73" s="50" t="str">
        <f t="shared" si="17"/>
        <v>3332</v>
      </c>
      <c r="AC73" s="49" t="str">
        <f t="shared" si="18"/>
        <v>T3_3옵션_장신구_탱커    (Grade 4~5)</v>
      </c>
      <c r="AD73" s="48" t="str">
        <f t="shared" si="19"/>
        <v>203,903,1903</v>
      </c>
    </row>
    <row r="74" spans="3:30" x14ac:dyDescent="0.3">
      <c r="C74" s="51">
        <v>3</v>
      </c>
      <c r="D74" s="51">
        <v>3</v>
      </c>
      <c r="E74" s="51" t="s">
        <v>5396</v>
      </c>
      <c r="F74" s="51" t="s">
        <v>5397</v>
      </c>
      <c r="G74" s="50" t="str">
        <f>VLOOKUP(E74,옵션그룹계산1!$AF$4:$AH$7,3,FALSE)</f>
        <v xml:space="preserve">       </v>
      </c>
      <c r="H74" s="49" t="str">
        <f>VLOOKUP(D74,옵션그룹계산1!$AF$16:$AG$19,2,FALSE)</f>
        <v>(Grade 4~5)</v>
      </c>
      <c r="I74" s="50" t="str">
        <f t="shared" si="10"/>
        <v>보주_딜러</v>
      </c>
      <c r="J74" s="49" t="str">
        <f>IF($D74&gt;=(J$2-1),VLOOKUP($I74,색인!$L$4:$R$11,J$2,FALSE)&amp;"_"&amp;$C74,"")</f>
        <v>공격력_3</v>
      </c>
      <c r="K74" s="49" t="str">
        <f>IF($D74&gt;=(K$2-1),VLOOKUP($I74,색인!$L$4:$R$11,K$2,FALSE)&amp;"_"&amp;$C74,"")</f>
        <v>공격속도_3</v>
      </c>
      <c r="L74" s="49" t="str">
        <f>IF($D74&gt;=(L$2-1),VLOOKUP($I74,색인!$L$4:$R$11,L$2,FALSE)&amp;"_"&amp;$C74,"")</f>
        <v>치명타확률_3</v>
      </c>
      <c r="M74" s="49" t="str">
        <f>IF($D74&gt;=(M$2-1),VLOOKUP($I74,색인!$L$4:$R$11,M$2,FALSE)&amp;"_"&amp;$C74,"")</f>
        <v/>
      </c>
      <c r="N74" s="49" t="str">
        <f>IF(AND(C74&gt;=6,D74&gt;=4),VLOOKUP($I74,색인!$L$4:$R$11,N$2,FALSE)&amp;"_"&amp;$C74,"")</f>
        <v/>
      </c>
      <c r="O74" s="49" t="str">
        <f>IF(AND(C74&gt;=6,D74&gt;=4),VLOOKUP($I74,색인!$L$4:$R$11,O$2,FALSE)&amp;"_"&amp;$C74,"")</f>
        <v/>
      </c>
      <c r="P74" s="50" t="str">
        <f t="shared" si="11"/>
        <v>3341</v>
      </c>
      <c r="Q74" s="49">
        <f>VLOOKUP(옵션그룹계산1!J74,색인!$E$4:$F$99,2,FALSE)</f>
        <v>103</v>
      </c>
      <c r="R74" s="49">
        <f>_xlfn.IFNA(VLOOKUP(옵션그룹계산1!K74,색인!$E$4:$F$99,2,FALSE),"")</f>
        <v>1103</v>
      </c>
      <c r="S74" s="49">
        <f>_xlfn.IFNA(VLOOKUP(옵션그룹계산1!L74,색인!$E$4:$F$99,2,FALSE),"")</f>
        <v>503</v>
      </c>
      <c r="T74" s="49" t="str">
        <f>_xlfn.IFNA(VLOOKUP(옵션그룹계산1!M74,색인!$E$4:$F$99,2,FALSE),"")</f>
        <v/>
      </c>
      <c r="U74" s="49" t="str">
        <f>_xlfn.IFNA(VLOOKUP(옵션그룹계산1!N74,색인!$E$4:$F$99,2,FALSE),"")</f>
        <v/>
      </c>
      <c r="V74" s="49" t="str">
        <f>_xlfn.IFNA(VLOOKUP(옵션그룹계산1!O74,색인!$E$4:$F$99,2,FALSE),"")</f>
        <v/>
      </c>
      <c r="W74" s="50">
        <f t="shared" si="12"/>
        <v>3</v>
      </c>
      <c r="X74" s="50">
        <f t="shared" si="13"/>
        <v>3</v>
      </c>
      <c r="Y74" s="50">
        <f t="shared" si="14"/>
        <v>4</v>
      </c>
      <c r="Z74" s="50">
        <f t="shared" si="15"/>
        <v>1</v>
      </c>
      <c r="AA74" s="48" t="str">
        <f t="shared" si="16"/>
        <v>T3_3옵션_보주_딜러</v>
      </c>
      <c r="AB74" s="50" t="str">
        <f t="shared" si="17"/>
        <v>3341</v>
      </c>
      <c r="AC74" s="49" t="str">
        <f t="shared" si="18"/>
        <v>T3_3옵션_보주_딜러       (Grade 4~5)</v>
      </c>
      <c r="AD74" s="48" t="str">
        <f t="shared" si="19"/>
        <v>103,1103,503</v>
      </c>
    </row>
    <row r="75" spans="3:30" x14ac:dyDescent="0.3">
      <c r="C75" s="51">
        <v>3</v>
      </c>
      <c r="D75" s="51">
        <v>3</v>
      </c>
      <c r="E75" s="51" t="s">
        <v>5396</v>
      </c>
      <c r="F75" s="51" t="s">
        <v>5395</v>
      </c>
      <c r="G75" s="50" t="str">
        <f>VLOOKUP(E75,옵션그룹계산1!$AF$4:$AH$7,3,FALSE)</f>
        <v xml:space="preserve">       </v>
      </c>
      <c r="H75" s="49" t="str">
        <f>VLOOKUP(D75,옵션그룹계산1!$AF$16:$AG$19,2,FALSE)</f>
        <v>(Grade 4~5)</v>
      </c>
      <c r="I75" s="50" t="str">
        <f t="shared" si="10"/>
        <v>보주_탱커</v>
      </c>
      <c r="J75" s="49" t="str">
        <f>IF($D75&gt;=(J$2-1),VLOOKUP($I75,색인!$L$4:$R$11,J$2,FALSE)&amp;"_"&amp;$C75,"")</f>
        <v>체력_3</v>
      </c>
      <c r="K75" s="49" t="str">
        <f>IF($D75&gt;=(K$2-1),VLOOKUP($I75,색인!$L$4:$R$11,K$2,FALSE)&amp;"_"&amp;$C75,"")</f>
        <v>물리블록_3</v>
      </c>
      <c r="L75" s="49" t="str">
        <f>IF($D75&gt;=(L$2-1),VLOOKUP($I75,색인!$L$4:$R$11,L$2,FALSE)&amp;"_"&amp;$C75,"")</f>
        <v>마법블록_3</v>
      </c>
      <c r="M75" s="49" t="str">
        <f>IF($D75&gt;=(M$2-1),VLOOKUP($I75,색인!$L$4:$R$11,M$2,FALSE)&amp;"_"&amp;$C75,"")</f>
        <v/>
      </c>
      <c r="N75" s="49" t="str">
        <f>IF(AND(C75&gt;=6,D75&gt;=4),VLOOKUP($I75,색인!$L$4:$R$11,N$2,FALSE)&amp;"_"&amp;$C75,"")</f>
        <v/>
      </c>
      <c r="O75" s="49" t="str">
        <f>IF(AND(C75&gt;=6,D75&gt;=4),VLOOKUP($I75,색인!$L$4:$R$11,O$2,FALSE)&amp;"_"&amp;$C75,"")</f>
        <v/>
      </c>
      <c r="P75" s="50" t="str">
        <f t="shared" si="11"/>
        <v>3342</v>
      </c>
      <c r="Q75" s="49">
        <f>VLOOKUP(옵션그룹계산1!J75,색인!$E$4:$F$99,2,FALSE)</f>
        <v>203</v>
      </c>
      <c r="R75" s="49">
        <f>_xlfn.IFNA(VLOOKUP(옵션그룹계산1!K75,색인!$E$4:$F$99,2,FALSE),"")</f>
        <v>903</v>
      </c>
      <c r="S75" s="49">
        <f>_xlfn.IFNA(VLOOKUP(옵션그룹계산1!L75,색인!$E$4:$F$99,2,FALSE),"")</f>
        <v>1903</v>
      </c>
      <c r="T75" s="49" t="str">
        <f>_xlfn.IFNA(VLOOKUP(옵션그룹계산1!M75,색인!$E$4:$F$99,2,FALSE),"")</f>
        <v/>
      </c>
      <c r="U75" s="49" t="str">
        <f>_xlfn.IFNA(VLOOKUP(옵션그룹계산1!N75,색인!$E$4:$F$99,2,FALSE),"")</f>
        <v/>
      </c>
      <c r="V75" s="49" t="str">
        <f>_xlfn.IFNA(VLOOKUP(옵션그룹계산1!O75,색인!$E$4:$F$99,2,FALSE),"")</f>
        <v/>
      </c>
      <c r="W75" s="50">
        <f t="shared" si="12"/>
        <v>3</v>
      </c>
      <c r="X75" s="50">
        <f t="shared" si="13"/>
        <v>3</v>
      </c>
      <c r="Y75" s="50">
        <f t="shared" si="14"/>
        <v>4</v>
      </c>
      <c r="Z75" s="50">
        <f t="shared" si="15"/>
        <v>2</v>
      </c>
      <c r="AA75" s="48" t="str">
        <f t="shared" si="16"/>
        <v>T3_3옵션_보주_탱커</v>
      </c>
      <c r="AB75" s="50" t="str">
        <f t="shared" si="17"/>
        <v>3342</v>
      </c>
      <c r="AC75" s="49" t="str">
        <f t="shared" si="18"/>
        <v>T3_3옵션_보주_탱커       (Grade 4~5)</v>
      </c>
      <c r="AD75" s="48" t="str">
        <f t="shared" si="19"/>
        <v>203,903,1903</v>
      </c>
    </row>
    <row r="76" spans="3:30" x14ac:dyDescent="0.3">
      <c r="C76" s="51">
        <v>4</v>
      </c>
      <c r="D76" s="51">
        <v>1</v>
      </c>
      <c r="E76" s="51" t="s">
        <v>5400</v>
      </c>
      <c r="F76" s="51" t="s">
        <v>5397</v>
      </c>
      <c r="G76" s="50" t="str">
        <f>VLOOKUP(E76,옵션그룹계산1!$AF$4:$AH$7,3,FALSE)</f>
        <v xml:space="preserve">    </v>
      </c>
      <c r="H76" s="49" t="str">
        <f>VLOOKUP(D76,옵션그룹계산1!$AF$16:$AG$19,2,FALSE)</f>
        <v>(Grade 2)</v>
      </c>
      <c r="I76" s="50" t="str">
        <f t="shared" si="10"/>
        <v>방어구_딜러</v>
      </c>
      <c r="J76" s="49" t="str">
        <f>IF($D76&gt;=(J$2-1),VLOOKUP($I76,색인!$L$4:$R$11,J$2,FALSE)&amp;"_"&amp;$C76,"")</f>
        <v>공격력_4</v>
      </c>
      <c r="K76" s="49" t="str">
        <f>IF($D76&gt;=(K$2-1),VLOOKUP($I76,색인!$L$4:$R$11,K$2,FALSE)&amp;"_"&amp;$C76,"")</f>
        <v/>
      </c>
      <c r="L76" s="49" t="str">
        <f>IF($D76&gt;=(L$2-1),VLOOKUP($I76,색인!$L$4:$R$11,L$2,FALSE)&amp;"_"&amp;$C76,"")</f>
        <v/>
      </c>
      <c r="M76" s="49" t="str">
        <f>IF($D76&gt;=(M$2-1),VLOOKUP($I76,색인!$L$4:$R$11,M$2,FALSE)&amp;"_"&amp;$C76,"")</f>
        <v/>
      </c>
      <c r="N76" s="49" t="str">
        <f>IF(AND(C76&gt;=6,D76&gt;=4),VLOOKUP($I76,색인!$L$4:$R$11,N$2,FALSE)&amp;"_"&amp;$C76,"")</f>
        <v/>
      </c>
      <c r="O76" s="49" t="str">
        <f>IF(AND(C76&gt;=6,D76&gt;=4),VLOOKUP($I76,색인!$L$4:$R$11,O$2,FALSE)&amp;"_"&amp;$C76,"")</f>
        <v/>
      </c>
      <c r="P76" s="50" t="str">
        <f t="shared" si="11"/>
        <v>4111</v>
      </c>
      <c r="Q76" s="49">
        <f>VLOOKUP(옵션그룹계산1!J76,색인!$E$4:$F$99,2,FALSE)</f>
        <v>104</v>
      </c>
      <c r="R76" s="49" t="str">
        <f>_xlfn.IFNA(VLOOKUP(옵션그룹계산1!K76,색인!$E$4:$F$99,2,FALSE),"")</f>
        <v/>
      </c>
      <c r="S76" s="49" t="str">
        <f>_xlfn.IFNA(VLOOKUP(옵션그룹계산1!L76,색인!$E$4:$F$99,2,FALSE),"")</f>
        <v/>
      </c>
      <c r="T76" s="49" t="str">
        <f>_xlfn.IFNA(VLOOKUP(옵션그룹계산1!M76,색인!$E$4:$F$99,2,FALSE),"")</f>
        <v/>
      </c>
      <c r="U76" s="49" t="str">
        <f>_xlfn.IFNA(VLOOKUP(옵션그룹계산1!N76,색인!$E$4:$F$99,2,FALSE),"")</f>
        <v/>
      </c>
      <c r="V76" s="49" t="str">
        <f>_xlfn.IFNA(VLOOKUP(옵션그룹계산1!O76,색인!$E$4:$F$99,2,FALSE),"")</f>
        <v/>
      </c>
      <c r="W76" s="50">
        <f t="shared" si="12"/>
        <v>4</v>
      </c>
      <c r="X76" s="50">
        <f t="shared" si="13"/>
        <v>1</v>
      </c>
      <c r="Y76" s="50">
        <f t="shared" si="14"/>
        <v>1</v>
      </c>
      <c r="Z76" s="50">
        <f t="shared" si="15"/>
        <v>1</v>
      </c>
      <c r="AA76" s="48" t="str">
        <f t="shared" si="16"/>
        <v>T4_1옵션_방어구_딜러</v>
      </c>
      <c r="AB76" s="50" t="str">
        <f t="shared" si="17"/>
        <v>4111</v>
      </c>
      <c r="AC76" s="49" t="str">
        <f t="shared" si="18"/>
        <v>T4_1옵션_방어구_딜러    (Grade 2)</v>
      </c>
      <c r="AD76" s="48" t="str">
        <f t="shared" si="19"/>
        <v>104</v>
      </c>
    </row>
    <row r="77" spans="3:30" x14ac:dyDescent="0.3">
      <c r="C77" s="51">
        <v>4</v>
      </c>
      <c r="D77" s="51">
        <v>1</v>
      </c>
      <c r="E77" s="51" t="s">
        <v>5400</v>
      </c>
      <c r="F77" s="51" t="s">
        <v>5395</v>
      </c>
      <c r="G77" s="50" t="str">
        <f>VLOOKUP(E77,옵션그룹계산1!$AF$4:$AH$7,3,FALSE)</f>
        <v xml:space="preserve">    </v>
      </c>
      <c r="H77" s="49" t="str">
        <f>VLOOKUP(D77,옵션그룹계산1!$AF$16:$AG$19,2,FALSE)</f>
        <v>(Grade 2)</v>
      </c>
      <c r="I77" s="50" t="str">
        <f t="shared" si="10"/>
        <v>방어구_탱커</v>
      </c>
      <c r="J77" s="49" t="str">
        <f>IF($D77&gt;=(J$2-1),VLOOKUP($I77,색인!$L$4:$R$11,J$2,FALSE)&amp;"_"&amp;$C77,"")</f>
        <v>공격속도_4</v>
      </c>
      <c r="K77" s="49" t="str">
        <f>IF($D77&gt;=(K$2-1),VLOOKUP($I77,색인!$L$4:$R$11,K$2,FALSE)&amp;"_"&amp;$C77,"")</f>
        <v/>
      </c>
      <c r="L77" s="49" t="str">
        <f>IF($D77&gt;=(L$2-1),VLOOKUP($I77,색인!$L$4:$R$11,L$2,FALSE)&amp;"_"&amp;$C77,"")</f>
        <v/>
      </c>
      <c r="M77" s="49" t="str">
        <f>IF($D77&gt;=(M$2-1),VLOOKUP($I77,색인!$L$4:$R$11,M$2,FALSE)&amp;"_"&amp;$C77,"")</f>
        <v/>
      </c>
      <c r="N77" s="49" t="str">
        <f>IF(AND(C77&gt;=6,D77&gt;=4),VLOOKUP($I77,색인!$L$4:$R$11,N$2,FALSE)&amp;"_"&amp;$C77,"")</f>
        <v/>
      </c>
      <c r="O77" s="49" t="str">
        <f>IF(AND(C77&gt;=6,D77&gt;=4),VLOOKUP($I77,색인!$L$4:$R$11,O$2,FALSE)&amp;"_"&amp;$C77,"")</f>
        <v/>
      </c>
      <c r="P77" s="50" t="str">
        <f t="shared" si="11"/>
        <v>4112</v>
      </c>
      <c r="Q77" s="49">
        <f>VLOOKUP(옵션그룹계산1!J77,색인!$E$4:$F$99,2,FALSE)</f>
        <v>1104</v>
      </c>
      <c r="R77" s="49" t="str">
        <f>_xlfn.IFNA(VLOOKUP(옵션그룹계산1!K77,색인!$E$4:$F$99,2,FALSE),"")</f>
        <v/>
      </c>
      <c r="S77" s="49" t="str">
        <f>_xlfn.IFNA(VLOOKUP(옵션그룹계산1!L77,색인!$E$4:$F$99,2,FALSE),"")</f>
        <v/>
      </c>
      <c r="T77" s="49" t="str">
        <f>_xlfn.IFNA(VLOOKUP(옵션그룹계산1!M77,색인!$E$4:$F$99,2,FALSE),"")</f>
        <v/>
      </c>
      <c r="U77" s="49" t="str">
        <f>_xlfn.IFNA(VLOOKUP(옵션그룹계산1!N77,색인!$E$4:$F$99,2,FALSE),"")</f>
        <v/>
      </c>
      <c r="V77" s="49" t="str">
        <f>_xlfn.IFNA(VLOOKUP(옵션그룹계산1!O77,색인!$E$4:$F$99,2,FALSE),"")</f>
        <v/>
      </c>
      <c r="W77" s="50">
        <f t="shared" si="12"/>
        <v>4</v>
      </c>
      <c r="X77" s="50">
        <f t="shared" si="13"/>
        <v>1</v>
      </c>
      <c r="Y77" s="50">
        <f t="shared" si="14"/>
        <v>1</v>
      </c>
      <c r="Z77" s="50">
        <f t="shared" si="15"/>
        <v>2</v>
      </c>
      <c r="AA77" s="48" t="str">
        <f t="shared" si="16"/>
        <v>T4_1옵션_방어구_탱커</v>
      </c>
      <c r="AB77" s="50" t="str">
        <f t="shared" si="17"/>
        <v>4112</v>
      </c>
      <c r="AC77" s="49" t="str">
        <f t="shared" si="18"/>
        <v>T4_1옵션_방어구_탱커    (Grade 2)</v>
      </c>
      <c r="AD77" s="48" t="str">
        <f t="shared" si="19"/>
        <v>1104</v>
      </c>
    </row>
    <row r="78" spans="3:30" x14ac:dyDescent="0.3">
      <c r="C78" s="51">
        <v>4</v>
      </c>
      <c r="D78" s="51">
        <v>1</v>
      </c>
      <c r="E78" s="51" t="s">
        <v>5399</v>
      </c>
      <c r="F78" s="51" t="s">
        <v>5397</v>
      </c>
      <c r="G78" s="50" t="str">
        <f>VLOOKUP(E78,옵션그룹계산1!$AF$4:$AH$7,3,FALSE)</f>
        <v xml:space="preserve"> </v>
      </c>
      <c r="H78" s="49" t="str">
        <f>VLOOKUP(D78,옵션그룹계산1!$AF$16:$AG$19,2,FALSE)</f>
        <v>(Grade 2)</v>
      </c>
      <c r="I78" s="50" t="str">
        <f t="shared" si="10"/>
        <v>보조장비_딜러</v>
      </c>
      <c r="J78" s="49" t="str">
        <f>IF($D78&gt;=(J$2-1),VLOOKUP($I78,색인!$L$4:$R$11,J$2,FALSE)&amp;"_"&amp;$C78,"")</f>
        <v>공격력_4</v>
      </c>
      <c r="K78" s="49" t="str">
        <f>IF($D78&gt;=(K$2-1),VLOOKUP($I78,색인!$L$4:$R$11,K$2,FALSE)&amp;"_"&amp;$C78,"")</f>
        <v/>
      </c>
      <c r="L78" s="49" t="str">
        <f>IF($D78&gt;=(L$2-1),VLOOKUP($I78,색인!$L$4:$R$11,L$2,FALSE)&amp;"_"&amp;$C78,"")</f>
        <v/>
      </c>
      <c r="M78" s="49" t="str">
        <f>IF($D78&gt;=(M$2-1),VLOOKUP($I78,색인!$L$4:$R$11,M$2,FALSE)&amp;"_"&amp;$C78,"")</f>
        <v/>
      </c>
      <c r="N78" s="49" t="str">
        <f>IF(AND(C78&gt;=6,D78&gt;=4),VLOOKUP($I78,색인!$L$4:$R$11,N$2,FALSE)&amp;"_"&amp;$C78,"")</f>
        <v/>
      </c>
      <c r="O78" s="49" t="str">
        <f>IF(AND(C78&gt;=6,D78&gt;=4),VLOOKUP($I78,색인!$L$4:$R$11,O$2,FALSE)&amp;"_"&amp;$C78,"")</f>
        <v/>
      </c>
      <c r="P78" s="50" t="str">
        <f t="shared" si="11"/>
        <v>4121</v>
      </c>
      <c r="Q78" s="49">
        <f>VLOOKUP(옵션그룹계산1!J78,색인!$E$4:$F$99,2,FALSE)</f>
        <v>104</v>
      </c>
      <c r="R78" s="49" t="str">
        <f>_xlfn.IFNA(VLOOKUP(옵션그룹계산1!K78,색인!$E$4:$F$99,2,FALSE),"")</f>
        <v/>
      </c>
      <c r="S78" s="49" t="str">
        <f>_xlfn.IFNA(VLOOKUP(옵션그룹계산1!L78,색인!$E$4:$F$99,2,FALSE),"")</f>
        <v/>
      </c>
      <c r="T78" s="49" t="str">
        <f>_xlfn.IFNA(VLOOKUP(옵션그룹계산1!M78,색인!$E$4:$F$99,2,FALSE),"")</f>
        <v/>
      </c>
      <c r="U78" s="49" t="str">
        <f>_xlfn.IFNA(VLOOKUP(옵션그룹계산1!N78,색인!$E$4:$F$99,2,FALSE),"")</f>
        <v/>
      </c>
      <c r="V78" s="49" t="str">
        <f>_xlfn.IFNA(VLOOKUP(옵션그룹계산1!O78,색인!$E$4:$F$99,2,FALSE),"")</f>
        <v/>
      </c>
      <c r="W78" s="50">
        <f t="shared" si="12"/>
        <v>4</v>
      </c>
      <c r="X78" s="50">
        <f t="shared" si="13"/>
        <v>1</v>
      </c>
      <c r="Y78" s="50">
        <f t="shared" si="14"/>
        <v>2</v>
      </c>
      <c r="Z78" s="50">
        <f t="shared" si="15"/>
        <v>1</v>
      </c>
      <c r="AA78" s="48" t="str">
        <f t="shared" si="16"/>
        <v>T4_1옵션_보조장비_딜러</v>
      </c>
      <c r="AB78" s="50" t="str">
        <f t="shared" si="17"/>
        <v>4121</v>
      </c>
      <c r="AC78" s="49" t="str">
        <f t="shared" si="18"/>
        <v>T4_1옵션_보조장비_딜러 (Grade 2)</v>
      </c>
      <c r="AD78" s="48" t="str">
        <f t="shared" si="19"/>
        <v>104</v>
      </c>
    </row>
    <row r="79" spans="3:30" x14ac:dyDescent="0.3">
      <c r="C79" s="51">
        <v>4</v>
      </c>
      <c r="D79" s="51">
        <v>1</v>
      </c>
      <c r="E79" s="51" t="s">
        <v>5399</v>
      </c>
      <c r="F79" s="51" t="s">
        <v>5395</v>
      </c>
      <c r="G79" s="50" t="str">
        <f>VLOOKUP(E79,옵션그룹계산1!$AF$4:$AH$7,3,FALSE)</f>
        <v xml:space="preserve"> </v>
      </c>
      <c r="H79" s="49" t="str">
        <f>VLOOKUP(D79,옵션그룹계산1!$AF$16:$AG$19,2,FALSE)</f>
        <v>(Grade 2)</v>
      </c>
      <c r="I79" s="50" t="str">
        <f t="shared" si="10"/>
        <v>보조장비_탱커</v>
      </c>
      <c r="J79" s="49" t="str">
        <f>IF($D79&gt;=(J$2-1),VLOOKUP($I79,색인!$L$4:$R$11,J$2,FALSE)&amp;"_"&amp;$C79,"")</f>
        <v>공격속도_4</v>
      </c>
      <c r="K79" s="49" t="str">
        <f>IF($D79&gt;=(K$2-1),VLOOKUP($I79,색인!$L$4:$R$11,K$2,FALSE)&amp;"_"&amp;$C79,"")</f>
        <v/>
      </c>
      <c r="L79" s="49" t="str">
        <f>IF($D79&gt;=(L$2-1),VLOOKUP($I79,색인!$L$4:$R$11,L$2,FALSE)&amp;"_"&amp;$C79,"")</f>
        <v/>
      </c>
      <c r="M79" s="49" t="str">
        <f>IF($D79&gt;=(M$2-1),VLOOKUP($I79,색인!$L$4:$R$11,M$2,FALSE)&amp;"_"&amp;$C79,"")</f>
        <v/>
      </c>
      <c r="N79" s="49" t="str">
        <f>IF(AND(C79&gt;=6,D79&gt;=4),VLOOKUP($I79,색인!$L$4:$R$11,N$2,FALSE)&amp;"_"&amp;$C79,"")</f>
        <v/>
      </c>
      <c r="O79" s="49" t="str">
        <f>IF(AND(C79&gt;=6,D79&gt;=4),VLOOKUP($I79,색인!$L$4:$R$11,O$2,FALSE)&amp;"_"&amp;$C79,"")</f>
        <v/>
      </c>
      <c r="P79" s="50" t="str">
        <f t="shared" si="11"/>
        <v>4122</v>
      </c>
      <c r="Q79" s="49">
        <f>VLOOKUP(옵션그룹계산1!J79,색인!$E$4:$F$99,2,FALSE)</f>
        <v>1104</v>
      </c>
      <c r="R79" s="49" t="str">
        <f>_xlfn.IFNA(VLOOKUP(옵션그룹계산1!K79,색인!$E$4:$F$99,2,FALSE),"")</f>
        <v/>
      </c>
      <c r="S79" s="49" t="str">
        <f>_xlfn.IFNA(VLOOKUP(옵션그룹계산1!L79,색인!$E$4:$F$99,2,FALSE),"")</f>
        <v/>
      </c>
      <c r="T79" s="49" t="str">
        <f>_xlfn.IFNA(VLOOKUP(옵션그룹계산1!M79,색인!$E$4:$F$99,2,FALSE),"")</f>
        <v/>
      </c>
      <c r="U79" s="49" t="str">
        <f>_xlfn.IFNA(VLOOKUP(옵션그룹계산1!N79,색인!$E$4:$F$99,2,FALSE),"")</f>
        <v/>
      </c>
      <c r="V79" s="49" t="str">
        <f>_xlfn.IFNA(VLOOKUP(옵션그룹계산1!O79,색인!$E$4:$F$99,2,FALSE),"")</f>
        <v/>
      </c>
      <c r="W79" s="50">
        <f t="shared" si="12"/>
        <v>4</v>
      </c>
      <c r="X79" s="50">
        <f t="shared" si="13"/>
        <v>1</v>
      </c>
      <c r="Y79" s="50">
        <f t="shared" si="14"/>
        <v>2</v>
      </c>
      <c r="Z79" s="50">
        <f t="shared" si="15"/>
        <v>2</v>
      </c>
      <c r="AA79" s="48" t="str">
        <f t="shared" si="16"/>
        <v>T4_1옵션_보조장비_탱커</v>
      </c>
      <c r="AB79" s="50" t="str">
        <f t="shared" si="17"/>
        <v>4122</v>
      </c>
      <c r="AC79" s="49" t="str">
        <f t="shared" si="18"/>
        <v>T4_1옵션_보조장비_탱커 (Grade 2)</v>
      </c>
      <c r="AD79" s="48" t="str">
        <f t="shared" si="19"/>
        <v>1104</v>
      </c>
    </row>
    <row r="80" spans="3:30" x14ac:dyDescent="0.3">
      <c r="C80" s="51">
        <v>4</v>
      </c>
      <c r="D80" s="51">
        <v>1</v>
      </c>
      <c r="E80" s="51" t="s">
        <v>5398</v>
      </c>
      <c r="F80" s="51" t="s">
        <v>5397</v>
      </c>
      <c r="G80" s="50" t="str">
        <f>VLOOKUP(E80,옵션그룹계산1!$AF$4:$AH$7,3,FALSE)</f>
        <v xml:space="preserve">    </v>
      </c>
      <c r="H80" s="49" t="str">
        <f>VLOOKUP(D80,옵션그룹계산1!$AF$16:$AG$19,2,FALSE)</f>
        <v>(Grade 2)</v>
      </c>
      <c r="I80" s="50" t="str">
        <f t="shared" si="10"/>
        <v>장신구_딜러</v>
      </c>
      <c r="J80" s="49" t="str">
        <f>IF($D80&gt;=(J$2-1),VLOOKUP($I80,색인!$L$4:$R$11,J$2,FALSE)&amp;"_"&amp;$C80,"")</f>
        <v>공격력_4</v>
      </c>
      <c r="K80" s="49" t="str">
        <f>IF($D80&gt;=(K$2-1),VLOOKUP($I80,색인!$L$4:$R$11,K$2,FALSE)&amp;"_"&amp;$C80,"")</f>
        <v/>
      </c>
      <c r="L80" s="49" t="str">
        <f>IF($D80&gt;=(L$2-1),VLOOKUP($I80,색인!$L$4:$R$11,L$2,FALSE)&amp;"_"&amp;$C80,"")</f>
        <v/>
      </c>
      <c r="M80" s="49" t="str">
        <f>IF($D80&gt;=(M$2-1),VLOOKUP($I80,색인!$L$4:$R$11,M$2,FALSE)&amp;"_"&amp;$C80,"")</f>
        <v/>
      </c>
      <c r="N80" s="49" t="str">
        <f>IF(AND(C80&gt;=6,D80&gt;=4),VLOOKUP($I80,색인!$L$4:$R$11,N$2,FALSE)&amp;"_"&amp;$C80,"")</f>
        <v/>
      </c>
      <c r="O80" s="49" t="str">
        <f>IF(AND(C80&gt;=6,D80&gt;=4),VLOOKUP($I80,색인!$L$4:$R$11,O$2,FALSE)&amp;"_"&amp;$C80,"")</f>
        <v/>
      </c>
      <c r="P80" s="50" t="str">
        <f t="shared" si="11"/>
        <v>4131</v>
      </c>
      <c r="Q80" s="49">
        <f>VLOOKUP(옵션그룹계산1!J80,색인!$E$4:$F$99,2,FALSE)</f>
        <v>104</v>
      </c>
      <c r="R80" s="49" t="str">
        <f>_xlfn.IFNA(VLOOKUP(옵션그룹계산1!K80,색인!$E$4:$F$99,2,FALSE),"")</f>
        <v/>
      </c>
      <c r="S80" s="49" t="str">
        <f>_xlfn.IFNA(VLOOKUP(옵션그룹계산1!L80,색인!$E$4:$F$99,2,FALSE),"")</f>
        <v/>
      </c>
      <c r="T80" s="49" t="str">
        <f>_xlfn.IFNA(VLOOKUP(옵션그룹계산1!M80,색인!$E$4:$F$99,2,FALSE),"")</f>
        <v/>
      </c>
      <c r="U80" s="49" t="str">
        <f>_xlfn.IFNA(VLOOKUP(옵션그룹계산1!N80,색인!$E$4:$F$99,2,FALSE),"")</f>
        <v/>
      </c>
      <c r="V80" s="49" t="str">
        <f>_xlfn.IFNA(VLOOKUP(옵션그룹계산1!O80,색인!$E$4:$F$99,2,FALSE),"")</f>
        <v/>
      </c>
      <c r="W80" s="50">
        <f t="shared" si="12"/>
        <v>4</v>
      </c>
      <c r="X80" s="50">
        <f t="shared" si="13"/>
        <v>1</v>
      </c>
      <c r="Y80" s="50">
        <f t="shared" si="14"/>
        <v>3</v>
      </c>
      <c r="Z80" s="50">
        <f t="shared" si="15"/>
        <v>1</v>
      </c>
      <c r="AA80" s="48" t="str">
        <f t="shared" si="16"/>
        <v>T4_1옵션_장신구_딜러</v>
      </c>
      <c r="AB80" s="50" t="str">
        <f t="shared" si="17"/>
        <v>4131</v>
      </c>
      <c r="AC80" s="49" t="str">
        <f t="shared" si="18"/>
        <v>T4_1옵션_장신구_딜러    (Grade 2)</v>
      </c>
      <c r="AD80" s="48" t="str">
        <f t="shared" si="19"/>
        <v>104</v>
      </c>
    </row>
    <row r="81" spans="3:30" x14ac:dyDescent="0.3">
      <c r="C81" s="51">
        <v>4</v>
      </c>
      <c r="D81" s="51">
        <v>1</v>
      </c>
      <c r="E81" s="51" t="s">
        <v>5398</v>
      </c>
      <c r="F81" s="51" t="s">
        <v>5395</v>
      </c>
      <c r="G81" s="50" t="str">
        <f>VLOOKUP(E81,옵션그룹계산1!$AF$4:$AH$7,3,FALSE)</f>
        <v xml:space="preserve">    </v>
      </c>
      <c r="H81" s="49" t="str">
        <f>VLOOKUP(D81,옵션그룹계산1!$AF$16:$AG$19,2,FALSE)</f>
        <v>(Grade 2)</v>
      </c>
      <c r="I81" s="50" t="str">
        <f t="shared" si="10"/>
        <v>장신구_탱커</v>
      </c>
      <c r="J81" s="49" t="str">
        <f>IF($D81&gt;=(J$2-1),VLOOKUP($I81,색인!$L$4:$R$11,J$2,FALSE)&amp;"_"&amp;$C81,"")</f>
        <v>체력_4</v>
      </c>
      <c r="K81" s="49" t="str">
        <f>IF($D81&gt;=(K$2-1),VLOOKUP($I81,색인!$L$4:$R$11,K$2,FALSE)&amp;"_"&amp;$C81,"")</f>
        <v/>
      </c>
      <c r="L81" s="49" t="str">
        <f>IF($D81&gt;=(L$2-1),VLOOKUP($I81,색인!$L$4:$R$11,L$2,FALSE)&amp;"_"&amp;$C81,"")</f>
        <v/>
      </c>
      <c r="M81" s="49" t="str">
        <f>IF($D81&gt;=(M$2-1),VLOOKUP($I81,색인!$L$4:$R$11,M$2,FALSE)&amp;"_"&amp;$C81,"")</f>
        <v/>
      </c>
      <c r="N81" s="49" t="str">
        <f>IF(AND(C81&gt;=6,D81&gt;=4),VLOOKUP($I81,색인!$L$4:$R$11,N$2,FALSE)&amp;"_"&amp;$C81,"")</f>
        <v/>
      </c>
      <c r="O81" s="49" t="str">
        <f>IF(AND(C81&gt;=6,D81&gt;=4),VLOOKUP($I81,색인!$L$4:$R$11,O$2,FALSE)&amp;"_"&amp;$C81,"")</f>
        <v/>
      </c>
      <c r="P81" s="50" t="str">
        <f t="shared" si="11"/>
        <v>4132</v>
      </c>
      <c r="Q81" s="49">
        <f>VLOOKUP(옵션그룹계산1!J81,색인!$E$4:$F$99,2,FALSE)</f>
        <v>204</v>
      </c>
      <c r="R81" s="49" t="str">
        <f>_xlfn.IFNA(VLOOKUP(옵션그룹계산1!K81,색인!$E$4:$F$99,2,FALSE),"")</f>
        <v/>
      </c>
      <c r="S81" s="49" t="str">
        <f>_xlfn.IFNA(VLOOKUP(옵션그룹계산1!L81,색인!$E$4:$F$99,2,FALSE),"")</f>
        <v/>
      </c>
      <c r="T81" s="49" t="str">
        <f>_xlfn.IFNA(VLOOKUP(옵션그룹계산1!M81,색인!$E$4:$F$99,2,FALSE),"")</f>
        <v/>
      </c>
      <c r="U81" s="49" t="str">
        <f>_xlfn.IFNA(VLOOKUP(옵션그룹계산1!N81,색인!$E$4:$F$99,2,FALSE),"")</f>
        <v/>
      </c>
      <c r="V81" s="49" t="str">
        <f>_xlfn.IFNA(VLOOKUP(옵션그룹계산1!O81,색인!$E$4:$F$99,2,FALSE),"")</f>
        <v/>
      </c>
      <c r="W81" s="50">
        <f t="shared" si="12"/>
        <v>4</v>
      </c>
      <c r="X81" s="50">
        <f t="shared" si="13"/>
        <v>1</v>
      </c>
      <c r="Y81" s="50">
        <f t="shared" si="14"/>
        <v>3</v>
      </c>
      <c r="Z81" s="50">
        <f t="shared" si="15"/>
        <v>2</v>
      </c>
      <c r="AA81" s="48" t="str">
        <f t="shared" si="16"/>
        <v>T4_1옵션_장신구_탱커</v>
      </c>
      <c r="AB81" s="50" t="str">
        <f t="shared" si="17"/>
        <v>4132</v>
      </c>
      <c r="AC81" s="49" t="str">
        <f t="shared" si="18"/>
        <v>T4_1옵션_장신구_탱커    (Grade 2)</v>
      </c>
      <c r="AD81" s="48" t="str">
        <f t="shared" si="19"/>
        <v>204</v>
      </c>
    </row>
    <row r="82" spans="3:30" x14ac:dyDescent="0.3">
      <c r="C82" s="51">
        <v>4</v>
      </c>
      <c r="D82" s="51">
        <v>1</v>
      </c>
      <c r="E82" s="51" t="s">
        <v>5396</v>
      </c>
      <c r="F82" s="51" t="s">
        <v>5397</v>
      </c>
      <c r="G82" s="50" t="str">
        <f>VLOOKUP(E82,옵션그룹계산1!$AF$4:$AH$7,3,FALSE)</f>
        <v xml:space="preserve">       </v>
      </c>
      <c r="H82" s="49" t="str">
        <f>VLOOKUP(D82,옵션그룹계산1!$AF$16:$AG$19,2,FALSE)</f>
        <v>(Grade 2)</v>
      </c>
      <c r="I82" s="50" t="str">
        <f t="shared" si="10"/>
        <v>보주_딜러</v>
      </c>
      <c r="J82" s="49" t="str">
        <f>IF($D82&gt;=(J$2-1),VLOOKUP($I82,색인!$L$4:$R$11,J$2,FALSE)&amp;"_"&amp;$C82,"")</f>
        <v>공격력_4</v>
      </c>
      <c r="K82" s="49" t="str">
        <f>IF($D82&gt;=(K$2-1),VLOOKUP($I82,색인!$L$4:$R$11,K$2,FALSE)&amp;"_"&amp;$C82,"")</f>
        <v/>
      </c>
      <c r="L82" s="49" t="str">
        <f>IF($D82&gt;=(L$2-1),VLOOKUP($I82,색인!$L$4:$R$11,L$2,FALSE)&amp;"_"&amp;$C82,"")</f>
        <v/>
      </c>
      <c r="M82" s="49" t="str">
        <f>IF($D82&gt;=(M$2-1),VLOOKUP($I82,색인!$L$4:$R$11,M$2,FALSE)&amp;"_"&amp;$C82,"")</f>
        <v/>
      </c>
      <c r="N82" s="49" t="str">
        <f>IF(AND(C82&gt;=6,D82&gt;=4),VLOOKUP($I82,색인!$L$4:$R$11,N$2,FALSE)&amp;"_"&amp;$C82,"")</f>
        <v/>
      </c>
      <c r="O82" s="49" t="str">
        <f>IF(AND(C82&gt;=6,D82&gt;=4),VLOOKUP($I82,색인!$L$4:$R$11,O$2,FALSE)&amp;"_"&amp;$C82,"")</f>
        <v/>
      </c>
      <c r="P82" s="50" t="str">
        <f t="shared" si="11"/>
        <v>4141</v>
      </c>
      <c r="Q82" s="49">
        <f>VLOOKUP(옵션그룹계산1!J82,색인!$E$4:$F$99,2,FALSE)</f>
        <v>104</v>
      </c>
      <c r="R82" s="49" t="str">
        <f>_xlfn.IFNA(VLOOKUP(옵션그룹계산1!K82,색인!$E$4:$F$99,2,FALSE),"")</f>
        <v/>
      </c>
      <c r="S82" s="49" t="str">
        <f>_xlfn.IFNA(VLOOKUP(옵션그룹계산1!L82,색인!$E$4:$F$99,2,FALSE),"")</f>
        <v/>
      </c>
      <c r="T82" s="49" t="str">
        <f>_xlfn.IFNA(VLOOKUP(옵션그룹계산1!M82,색인!$E$4:$F$99,2,FALSE),"")</f>
        <v/>
      </c>
      <c r="U82" s="49" t="str">
        <f>_xlfn.IFNA(VLOOKUP(옵션그룹계산1!N82,색인!$E$4:$F$99,2,FALSE),"")</f>
        <v/>
      </c>
      <c r="V82" s="49" t="str">
        <f>_xlfn.IFNA(VLOOKUP(옵션그룹계산1!O82,색인!$E$4:$F$99,2,FALSE),"")</f>
        <v/>
      </c>
      <c r="W82" s="50">
        <f t="shared" si="12"/>
        <v>4</v>
      </c>
      <c r="X82" s="50">
        <f t="shared" si="13"/>
        <v>1</v>
      </c>
      <c r="Y82" s="50">
        <f t="shared" si="14"/>
        <v>4</v>
      </c>
      <c r="Z82" s="50">
        <f t="shared" si="15"/>
        <v>1</v>
      </c>
      <c r="AA82" s="48" t="str">
        <f t="shared" si="16"/>
        <v>T4_1옵션_보주_딜러</v>
      </c>
      <c r="AB82" s="50" t="str">
        <f t="shared" si="17"/>
        <v>4141</v>
      </c>
      <c r="AC82" s="49" t="str">
        <f t="shared" si="18"/>
        <v>T4_1옵션_보주_딜러       (Grade 2)</v>
      </c>
      <c r="AD82" s="48" t="str">
        <f t="shared" si="19"/>
        <v>104</v>
      </c>
    </row>
    <row r="83" spans="3:30" x14ac:dyDescent="0.3">
      <c r="C83" s="51">
        <v>4</v>
      </c>
      <c r="D83" s="51">
        <v>1</v>
      </c>
      <c r="E83" s="51" t="s">
        <v>5396</v>
      </c>
      <c r="F83" s="51" t="s">
        <v>5395</v>
      </c>
      <c r="G83" s="50" t="str">
        <f>VLOOKUP(E83,옵션그룹계산1!$AF$4:$AH$7,3,FALSE)</f>
        <v xml:space="preserve">       </v>
      </c>
      <c r="H83" s="49" t="str">
        <f>VLOOKUP(D83,옵션그룹계산1!$AF$16:$AG$19,2,FALSE)</f>
        <v>(Grade 2)</v>
      </c>
      <c r="I83" s="50" t="str">
        <f t="shared" si="10"/>
        <v>보주_탱커</v>
      </c>
      <c r="J83" s="49" t="str">
        <f>IF($D83&gt;=(J$2-1),VLOOKUP($I83,색인!$L$4:$R$11,J$2,FALSE)&amp;"_"&amp;$C83,"")</f>
        <v>체력_4</v>
      </c>
      <c r="K83" s="49" t="str">
        <f>IF($D83&gt;=(K$2-1),VLOOKUP($I83,색인!$L$4:$R$11,K$2,FALSE)&amp;"_"&amp;$C83,"")</f>
        <v/>
      </c>
      <c r="L83" s="49" t="str">
        <f>IF($D83&gt;=(L$2-1),VLOOKUP($I83,색인!$L$4:$R$11,L$2,FALSE)&amp;"_"&amp;$C83,"")</f>
        <v/>
      </c>
      <c r="M83" s="49" t="str">
        <f>IF($D83&gt;=(M$2-1),VLOOKUP($I83,색인!$L$4:$R$11,M$2,FALSE)&amp;"_"&amp;$C83,"")</f>
        <v/>
      </c>
      <c r="N83" s="49" t="str">
        <f>IF(AND(C83&gt;=6,D83&gt;=4),VLOOKUP($I83,색인!$L$4:$R$11,N$2,FALSE)&amp;"_"&amp;$C83,"")</f>
        <v/>
      </c>
      <c r="O83" s="49" t="str">
        <f>IF(AND(C83&gt;=6,D83&gt;=4),VLOOKUP($I83,색인!$L$4:$R$11,O$2,FALSE)&amp;"_"&amp;$C83,"")</f>
        <v/>
      </c>
      <c r="P83" s="50" t="str">
        <f t="shared" si="11"/>
        <v>4142</v>
      </c>
      <c r="Q83" s="49">
        <f>VLOOKUP(옵션그룹계산1!J83,색인!$E$4:$F$99,2,FALSE)</f>
        <v>204</v>
      </c>
      <c r="R83" s="49" t="str">
        <f>_xlfn.IFNA(VLOOKUP(옵션그룹계산1!K83,색인!$E$4:$F$99,2,FALSE),"")</f>
        <v/>
      </c>
      <c r="S83" s="49" t="str">
        <f>_xlfn.IFNA(VLOOKUP(옵션그룹계산1!L83,색인!$E$4:$F$99,2,FALSE),"")</f>
        <v/>
      </c>
      <c r="T83" s="49" t="str">
        <f>_xlfn.IFNA(VLOOKUP(옵션그룹계산1!M83,색인!$E$4:$F$99,2,FALSE),"")</f>
        <v/>
      </c>
      <c r="U83" s="49" t="str">
        <f>_xlfn.IFNA(VLOOKUP(옵션그룹계산1!N83,색인!$E$4:$F$99,2,FALSE),"")</f>
        <v/>
      </c>
      <c r="V83" s="49" t="str">
        <f>_xlfn.IFNA(VLOOKUP(옵션그룹계산1!O83,색인!$E$4:$F$99,2,FALSE),"")</f>
        <v/>
      </c>
      <c r="W83" s="50">
        <f t="shared" si="12"/>
        <v>4</v>
      </c>
      <c r="X83" s="50">
        <f t="shared" si="13"/>
        <v>1</v>
      </c>
      <c r="Y83" s="50">
        <f t="shared" si="14"/>
        <v>4</v>
      </c>
      <c r="Z83" s="50">
        <f t="shared" si="15"/>
        <v>2</v>
      </c>
      <c r="AA83" s="48" t="str">
        <f t="shared" si="16"/>
        <v>T4_1옵션_보주_탱커</v>
      </c>
      <c r="AB83" s="50" t="str">
        <f t="shared" si="17"/>
        <v>4142</v>
      </c>
      <c r="AC83" s="49" t="str">
        <f t="shared" si="18"/>
        <v>T4_1옵션_보주_탱커       (Grade 2)</v>
      </c>
      <c r="AD83" s="48" t="str">
        <f t="shared" si="19"/>
        <v>204</v>
      </c>
    </row>
    <row r="84" spans="3:30" x14ac:dyDescent="0.3">
      <c r="C84" s="51">
        <v>4</v>
      </c>
      <c r="D84" s="51">
        <v>2</v>
      </c>
      <c r="E84" s="51" t="s">
        <v>5400</v>
      </c>
      <c r="F84" s="51" t="s">
        <v>5397</v>
      </c>
      <c r="G84" s="50" t="str">
        <f>VLOOKUP(E84,옵션그룹계산1!$AF$4:$AH$7,3,FALSE)</f>
        <v xml:space="preserve">    </v>
      </c>
      <c r="H84" s="49" t="str">
        <f>VLOOKUP(D84,옵션그룹계산1!$AF$16:$AG$19,2,FALSE)</f>
        <v>(Grade 3)</v>
      </c>
      <c r="I84" s="50" t="str">
        <f t="shared" si="10"/>
        <v>방어구_딜러</v>
      </c>
      <c r="J84" s="49" t="str">
        <f>IF($D84&gt;=(J$2-1),VLOOKUP($I84,색인!$L$4:$R$11,J$2,FALSE)&amp;"_"&amp;$C84,"")</f>
        <v>공격력_4</v>
      </c>
      <c r="K84" s="49" t="str">
        <f>IF($D84&gt;=(K$2-1),VLOOKUP($I84,색인!$L$4:$R$11,K$2,FALSE)&amp;"_"&amp;$C84,"")</f>
        <v>공격속도_4</v>
      </c>
      <c r="L84" s="49" t="str">
        <f>IF($D84&gt;=(L$2-1),VLOOKUP($I84,색인!$L$4:$R$11,L$2,FALSE)&amp;"_"&amp;$C84,"")</f>
        <v/>
      </c>
      <c r="M84" s="49" t="str">
        <f>IF($D84&gt;=(M$2-1),VLOOKUP($I84,색인!$L$4:$R$11,M$2,FALSE)&amp;"_"&amp;$C84,"")</f>
        <v/>
      </c>
      <c r="N84" s="49" t="str">
        <f>IF(AND(C84&gt;=6,D84&gt;=4),VLOOKUP($I84,색인!$L$4:$R$11,N$2,FALSE)&amp;"_"&amp;$C84,"")</f>
        <v/>
      </c>
      <c r="O84" s="49" t="str">
        <f>IF(AND(C84&gt;=6,D84&gt;=4),VLOOKUP($I84,색인!$L$4:$R$11,O$2,FALSE)&amp;"_"&amp;$C84,"")</f>
        <v/>
      </c>
      <c r="P84" s="50" t="str">
        <f t="shared" si="11"/>
        <v>4211</v>
      </c>
      <c r="Q84" s="49">
        <f>VLOOKUP(옵션그룹계산1!J84,색인!$E$4:$F$99,2,FALSE)</f>
        <v>104</v>
      </c>
      <c r="R84" s="49">
        <f>_xlfn.IFNA(VLOOKUP(옵션그룹계산1!K84,색인!$E$4:$F$99,2,FALSE),"")</f>
        <v>1104</v>
      </c>
      <c r="S84" s="49" t="str">
        <f>_xlfn.IFNA(VLOOKUP(옵션그룹계산1!L84,색인!$E$4:$F$99,2,FALSE),"")</f>
        <v/>
      </c>
      <c r="T84" s="49" t="str">
        <f>_xlfn.IFNA(VLOOKUP(옵션그룹계산1!M84,색인!$E$4:$F$99,2,FALSE),"")</f>
        <v/>
      </c>
      <c r="U84" s="49" t="str">
        <f>_xlfn.IFNA(VLOOKUP(옵션그룹계산1!N84,색인!$E$4:$F$99,2,FALSE),"")</f>
        <v/>
      </c>
      <c r="V84" s="49" t="str">
        <f>_xlfn.IFNA(VLOOKUP(옵션그룹계산1!O84,색인!$E$4:$F$99,2,FALSE),"")</f>
        <v/>
      </c>
      <c r="W84" s="50">
        <f t="shared" si="12"/>
        <v>4</v>
      </c>
      <c r="X84" s="50">
        <f t="shared" si="13"/>
        <v>2</v>
      </c>
      <c r="Y84" s="50">
        <f t="shared" si="14"/>
        <v>1</v>
      </c>
      <c r="Z84" s="50">
        <f t="shared" si="15"/>
        <v>1</v>
      </c>
      <c r="AA84" s="48" t="str">
        <f t="shared" si="16"/>
        <v>T4_2옵션_방어구_딜러</v>
      </c>
      <c r="AB84" s="50" t="str">
        <f t="shared" si="17"/>
        <v>4211</v>
      </c>
      <c r="AC84" s="49" t="str">
        <f t="shared" si="18"/>
        <v>T4_2옵션_방어구_딜러    (Grade 3)</v>
      </c>
      <c r="AD84" s="48" t="str">
        <f t="shared" si="19"/>
        <v>104,1104</v>
      </c>
    </row>
    <row r="85" spans="3:30" x14ac:dyDescent="0.3">
      <c r="C85" s="51">
        <v>4</v>
      </c>
      <c r="D85" s="51">
        <v>2</v>
      </c>
      <c r="E85" s="51" t="s">
        <v>5400</v>
      </c>
      <c r="F85" s="51" t="s">
        <v>5395</v>
      </c>
      <c r="G85" s="50" t="str">
        <f>VLOOKUP(E85,옵션그룹계산1!$AF$4:$AH$7,3,FALSE)</f>
        <v xml:space="preserve">    </v>
      </c>
      <c r="H85" s="49" t="str">
        <f>VLOOKUP(D85,옵션그룹계산1!$AF$16:$AG$19,2,FALSE)</f>
        <v>(Grade 3)</v>
      </c>
      <c r="I85" s="50" t="str">
        <f t="shared" si="10"/>
        <v>방어구_탱커</v>
      </c>
      <c r="J85" s="49" t="str">
        <f>IF($D85&gt;=(J$2-1),VLOOKUP($I85,색인!$L$4:$R$11,J$2,FALSE)&amp;"_"&amp;$C85,"")</f>
        <v>공격속도_4</v>
      </c>
      <c r="K85" s="49" t="str">
        <f>IF($D85&gt;=(K$2-1),VLOOKUP($I85,색인!$L$4:$R$11,K$2,FALSE)&amp;"_"&amp;$C85,"")</f>
        <v>물리블록_4</v>
      </c>
      <c r="L85" s="49" t="str">
        <f>IF($D85&gt;=(L$2-1),VLOOKUP($I85,색인!$L$4:$R$11,L$2,FALSE)&amp;"_"&amp;$C85,"")</f>
        <v/>
      </c>
      <c r="M85" s="49" t="str">
        <f>IF($D85&gt;=(M$2-1),VLOOKUP($I85,색인!$L$4:$R$11,M$2,FALSE)&amp;"_"&amp;$C85,"")</f>
        <v/>
      </c>
      <c r="N85" s="49" t="str">
        <f>IF(AND(C85&gt;=6,D85&gt;=4),VLOOKUP($I85,색인!$L$4:$R$11,N$2,FALSE)&amp;"_"&amp;$C85,"")</f>
        <v/>
      </c>
      <c r="O85" s="49" t="str">
        <f>IF(AND(C85&gt;=6,D85&gt;=4),VLOOKUP($I85,색인!$L$4:$R$11,O$2,FALSE)&amp;"_"&amp;$C85,"")</f>
        <v/>
      </c>
      <c r="P85" s="50" t="str">
        <f t="shared" si="11"/>
        <v>4212</v>
      </c>
      <c r="Q85" s="49">
        <f>VLOOKUP(옵션그룹계산1!J85,색인!$E$4:$F$99,2,FALSE)</f>
        <v>1104</v>
      </c>
      <c r="R85" s="49">
        <f>_xlfn.IFNA(VLOOKUP(옵션그룹계산1!K85,색인!$E$4:$F$99,2,FALSE),"")</f>
        <v>904</v>
      </c>
      <c r="S85" s="49" t="str">
        <f>_xlfn.IFNA(VLOOKUP(옵션그룹계산1!L85,색인!$E$4:$F$99,2,FALSE),"")</f>
        <v/>
      </c>
      <c r="T85" s="49" t="str">
        <f>_xlfn.IFNA(VLOOKUP(옵션그룹계산1!M85,색인!$E$4:$F$99,2,FALSE),"")</f>
        <v/>
      </c>
      <c r="U85" s="49" t="str">
        <f>_xlfn.IFNA(VLOOKUP(옵션그룹계산1!N85,색인!$E$4:$F$99,2,FALSE),"")</f>
        <v/>
      </c>
      <c r="V85" s="49" t="str">
        <f>_xlfn.IFNA(VLOOKUP(옵션그룹계산1!O85,색인!$E$4:$F$99,2,FALSE),"")</f>
        <v/>
      </c>
      <c r="W85" s="50">
        <f t="shared" si="12"/>
        <v>4</v>
      </c>
      <c r="X85" s="50">
        <f t="shared" si="13"/>
        <v>2</v>
      </c>
      <c r="Y85" s="50">
        <f t="shared" si="14"/>
        <v>1</v>
      </c>
      <c r="Z85" s="50">
        <f t="shared" si="15"/>
        <v>2</v>
      </c>
      <c r="AA85" s="48" t="str">
        <f t="shared" si="16"/>
        <v>T4_2옵션_방어구_탱커</v>
      </c>
      <c r="AB85" s="50" t="str">
        <f t="shared" si="17"/>
        <v>4212</v>
      </c>
      <c r="AC85" s="49" t="str">
        <f t="shared" si="18"/>
        <v>T4_2옵션_방어구_탱커    (Grade 3)</v>
      </c>
      <c r="AD85" s="48" t="str">
        <f t="shared" si="19"/>
        <v>1104,904</v>
      </c>
    </row>
    <row r="86" spans="3:30" x14ac:dyDescent="0.3">
      <c r="C86" s="51">
        <v>4</v>
      </c>
      <c r="D86" s="51">
        <v>2</v>
      </c>
      <c r="E86" s="51" t="s">
        <v>5399</v>
      </c>
      <c r="F86" s="51" t="s">
        <v>5397</v>
      </c>
      <c r="G86" s="50" t="str">
        <f>VLOOKUP(E86,옵션그룹계산1!$AF$4:$AH$7,3,FALSE)</f>
        <v xml:space="preserve"> </v>
      </c>
      <c r="H86" s="49" t="str">
        <f>VLOOKUP(D86,옵션그룹계산1!$AF$16:$AG$19,2,FALSE)</f>
        <v>(Grade 3)</v>
      </c>
      <c r="I86" s="50" t="str">
        <f t="shared" si="10"/>
        <v>보조장비_딜러</v>
      </c>
      <c r="J86" s="49" t="str">
        <f>IF($D86&gt;=(J$2-1),VLOOKUP($I86,색인!$L$4:$R$11,J$2,FALSE)&amp;"_"&amp;$C86,"")</f>
        <v>공격력_4</v>
      </c>
      <c r="K86" s="49" t="str">
        <f>IF($D86&gt;=(K$2-1),VLOOKUP($I86,색인!$L$4:$R$11,K$2,FALSE)&amp;"_"&amp;$C86,"")</f>
        <v>공격속도_4</v>
      </c>
      <c r="L86" s="49" t="str">
        <f>IF($D86&gt;=(L$2-1),VLOOKUP($I86,색인!$L$4:$R$11,L$2,FALSE)&amp;"_"&amp;$C86,"")</f>
        <v/>
      </c>
      <c r="M86" s="49" t="str">
        <f>IF($D86&gt;=(M$2-1),VLOOKUP($I86,색인!$L$4:$R$11,M$2,FALSE)&amp;"_"&amp;$C86,"")</f>
        <v/>
      </c>
      <c r="N86" s="49" t="str">
        <f>IF(AND(C86&gt;=6,D86&gt;=4),VLOOKUP($I86,색인!$L$4:$R$11,N$2,FALSE)&amp;"_"&amp;$C86,"")</f>
        <v/>
      </c>
      <c r="O86" s="49" t="str">
        <f>IF(AND(C86&gt;=6,D86&gt;=4),VLOOKUP($I86,색인!$L$4:$R$11,O$2,FALSE)&amp;"_"&amp;$C86,"")</f>
        <v/>
      </c>
      <c r="P86" s="50" t="str">
        <f t="shared" si="11"/>
        <v>4221</v>
      </c>
      <c r="Q86" s="49">
        <f>VLOOKUP(옵션그룹계산1!J86,색인!$E$4:$F$99,2,FALSE)</f>
        <v>104</v>
      </c>
      <c r="R86" s="49">
        <f>_xlfn.IFNA(VLOOKUP(옵션그룹계산1!K86,색인!$E$4:$F$99,2,FALSE),"")</f>
        <v>1104</v>
      </c>
      <c r="S86" s="49" t="str">
        <f>_xlfn.IFNA(VLOOKUP(옵션그룹계산1!L86,색인!$E$4:$F$99,2,FALSE),"")</f>
        <v/>
      </c>
      <c r="T86" s="49" t="str">
        <f>_xlfn.IFNA(VLOOKUP(옵션그룹계산1!M86,색인!$E$4:$F$99,2,FALSE),"")</f>
        <v/>
      </c>
      <c r="U86" s="49" t="str">
        <f>_xlfn.IFNA(VLOOKUP(옵션그룹계산1!N86,색인!$E$4:$F$99,2,FALSE),"")</f>
        <v/>
      </c>
      <c r="V86" s="49" t="str">
        <f>_xlfn.IFNA(VLOOKUP(옵션그룹계산1!O86,색인!$E$4:$F$99,2,FALSE),"")</f>
        <v/>
      </c>
      <c r="W86" s="50">
        <f t="shared" si="12"/>
        <v>4</v>
      </c>
      <c r="X86" s="50">
        <f t="shared" si="13"/>
        <v>2</v>
      </c>
      <c r="Y86" s="50">
        <f t="shared" si="14"/>
        <v>2</v>
      </c>
      <c r="Z86" s="50">
        <f t="shared" si="15"/>
        <v>1</v>
      </c>
      <c r="AA86" s="48" t="str">
        <f t="shared" si="16"/>
        <v>T4_2옵션_보조장비_딜러</v>
      </c>
      <c r="AB86" s="50" t="str">
        <f t="shared" si="17"/>
        <v>4221</v>
      </c>
      <c r="AC86" s="49" t="str">
        <f t="shared" si="18"/>
        <v>T4_2옵션_보조장비_딜러 (Grade 3)</v>
      </c>
      <c r="AD86" s="48" t="str">
        <f t="shared" si="19"/>
        <v>104,1104</v>
      </c>
    </row>
    <row r="87" spans="3:30" x14ac:dyDescent="0.3">
      <c r="C87" s="51">
        <v>4</v>
      </c>
      <c r="D87" s="51">
        <v>2</v>
      </c>
      <c r="E87" s="51" t="s">
        <v>5399</v>
      </c>
      <c r="F87" s="51" t="s">
        <v>5395</v>
      </c>
      <c r="G87" s="50" t="str">
        <f>VLOOKUP(E87,옵션그룹계산1!$AF$4:$AH$7,3,FALSE)</f>
        <v xml:space="preserve"> </v>
      </c>
      <c r="H87" s="49" t="str">
        <f>VLOOKUP(D87,옵션그룹계산1!$AF$16:$AG$19,2,FALSE)</f>
        <v>(Grade 3)</v>
      </c>
      <c r="I87" s="50" t="str">
        <f t="shared" si="10"/>
        <v>보조장비_탱커</v>
      </c>
      <c r="J87" s="49" t="str">
        <f>IF($D87&gt;=(J$2-1),VLOOKUP($I87,색인!$L$4:$R$11,J$2,FALSE)&amp;"_"&amp;$C87,"")</f>
        <v>공격속도_4</v>
      </c>
      <c r="K87" s="49" t="str">
        <f>IF($D87&gt;=(K$2-1),VLOOKUP($I87,색인!$L$4:$R$11,K$2,FALSE)&amp;"_"&amp;$C87,"")</f>
        <v>마법블록_4</v>
      </c>
      <c r="L87" s="49" t="str">
        <f>IF($D87&gt;=(L$2-1),VLOOKUP($I87,색인!$L$4:$R$11,L$2,FALSE)&amp;"_"&amp;$C87,"")</f>
        <v/>
      </c>
      <c r="M87" s="49" t="str">
        <f>IF($D87&gt;=(M$2-1),VLOOKUP($I87,색인!$L$4:$R$11,M$2,FALSE)&amp;"_"&amp;$C87,"")</f>
        <v/>
      </c>
      <c r="N87" s="49" t="str">
        <f>IF(AND(C87&gt;=6,D87&gt;=4),VLOOKUP($I87,색인!$L$4:$R$11,N$2,FALSE)&amp;"_"&amp;$C87,"")</f>
        <v/>
      </c>
      <c r="O87" s="49" t="str">
        <f>IF(AND(C87&gt;=6,D87&gt;=4),VLOOKUP($I87,색인!$L$4:$R$11,O$2,FALSE)&amp;"_"&amp;$C87,"")</f>
        <v/>
      </c>
      <c r="P87" s="50" t="str">
        <f t="shared" si="11"/>
        <v>4222</v>
      </c>
      <c r="Q87" s="49">
        <f>VLOOKUP(옵션그룹계산1!J87,색인!$E$4:$F$99,2,FALSE)</f>
        <v>1104</v>
      </c>
      <c r="R87" s="49">
        <f>_xlfn.IFNA(VLOOKUP(옵션그룹계산1!K87,색인!$E$4:$F$99,2,FALSE),"")</f>
        <v>1904</v>
      </c>
      <c r="S87" s="49" t="str">
        <f>_xlfn.IFNA(VLOOKUP(옵션그룹계산1!L87,색인!$E$4:$F$99,2,FALSE),"")</f>
        <v/>
      </c>
      <c r="T87" s="49" t="str">
        <f>_xlfn.IFNA(VLOOKUP(옵션그룹계산1!M87,색인!$E$4:$F$99,2,FALSE),"")</f>
        <v/>
      </c>
      <c r="U87" s="49" t="str">
        <f>_xlfn.IFNA(VLOOKUP(옵션그룹계산1!N87,색인!$E$4:$F$99,2,FALSE),"")</f>
        <v/>
      </c>
      <c r="V87" s="49" t="str">
        <f>_xlfn.IFNA(VLOOKUP(옵션그룹계산1!O87,색인!$E$4:$F$99,2,FALSE),"")</f>
        <v/>
      </c>
      <c r="W87" s="50">
        <f t="shared" si="12"/>
        <v>4</v>
      </c>
      <c r="X87" s="50">
        <f t="shared" si="13"/>
        <v>2</v>
      </c>
      <c r="Y87" s="50">
        <f t="shared" si="14"/>
        <v>2</v>
      </c>
      <c r="Z87" s="50">
        <f t="shared" si="15"/>
        <v>2</v>
      </c>
      <c r="AA87" s="48" t="str">
        <f t="shared" si="16"/>
        <v>T4_2옵션_보조장비_탱커</v>
      </c>
      <c r="AB87" s="50" t="str">
        <f t="shared" si="17"/>
        <v>4222</v>
      </c>
      <c r="AC87" s="49" t="str">
        <f t="shared" si="18"/>
        <v>T4_2옵션_보조장비_탱커 (Grade 3)</v>
      </c>
      <c r="AD87" s="48" t="str">
        <f t="shared" si="19"/>
        <v>1104,1904</v>
      </c>
    </row>
    <row r="88" spans="3:30" x14ac:dyDescent="0.3">
      <c r="C88" s="51">
        <v>4</v>
      </c>
      <c r="D88" s="51">
        <v>2</v>
      </c>
      <c r="E88" s="51" t="s">
        <v>5398</v>
      </c>
      <c r="F88" s="51" t="s">
        <v>5397</v>
      </c>
      <c r="G88" s="50" t="str">
        <f>VLOOKUP(E88,옵션그룹계산1!$AF$4:$AH$7,3,FALSE)</f>
        <v xml:space="preserve">    </v>
      </c>
      <c r="H88" s="49" t="str">
        <f>VLOOKUP(D88,옵션그룹계산1!$AF$16:$AG$19,2,FALSE)</f>
        <v>(Grade 3)</v>
      </c>
      <c r="I88" s="50" t="str">
        <f t="shared" si="10"/>
        <v>장신구_딜러</v>
      </c>
      <c r="J88" s="49" t="str">
        <f>IF($D88&gt;=(J$2-1),VLOOKUP($I88,색인!$L$4:$R$11,J$2,FALSE)&amp;"_"&amp;$C88,"")</f>
        <v>공격력_4</v>
      </c>
      <c r="K88" s="49" t="str">
        <f>IF($D88&gt;=(K$2-1),VLOOKUP($I88,색인!$L$4:$R$11,K$2,FALSE)&amp;"_"&amp;$C88,"")</f>
        <v>공격속도_4</v>
      </c>
      <c r="L88" s="49" t="str">
        <f>IF($D88&gt;=(L$2-1),VLOOKUP($I88,색인!$L$4:$R$11,L$2,FALSE)&amp;"_"&amp;$C88,"")</f>
        <v/>
      </c>
      <c r="M88" s="49" t="str">
        <f>IF($D88&gt;=(M$2-1),VLOOKUP($I88,색인!$L$4:$R$11,M$2,FALSE)&amp;"_"&amp;$C88,"")</f>
        <v/>
      </c>
      <c r="N88" s="49" t="str">
        <f>IF(AND(C88&gt;=6,D88&gt;=4),VLOOKUP($I88,색인!$L$4:$R$11,N$2,FALSE)&amp;"_"&amp;$C88,"")</f>
        <v/>
      </c>
      <c r="O88" s="49" t="str">
        <f>IF(AND(C88&gt;=6,D88&gt;=4),VLOOKUP($I88,색인!$L$4:$R$11,O$2,FALSE)&amp;"_"&amp;$C88,"")</f>
        <v/>
      </c>
      <c r="P88" s="50" t="str">
        <f t="shared" si="11"/>
        <v>4231</v>
      </c>
      <c r="Q88" s="49">
        <f>VLOOKUP(옵션그룹계산1!J88,색인!$E$4:$F$99,2,FALSE)</f>
        <v>104</v>
      </c>
      <c r="R88" s="49">
        <f>_xlfn.IFNA(VLOOKUP(옵션그룹계산1!K88,색인!$E$4:$F$99,2,FALSE),"")</f>
        <v>1104</v>
      </c>
      <c r="S88" s="49" t="str">
        <f>_xlfn.IFNA(VLOOKUP(옵션그룹계산1!L88,색인!$E$4:$F$99,2,FALSE),"")</f>
        <v/>
      </c>
      <c r="T88" s="49" t="str">
        <f>_xlfn.IFNA(VLOOKUP(옵션그룹계산1!M88,색인!$E$4:$F$99,2,FALSE),"")</f>
        <v/>
      </c>
      <c r="U88" s="49" t="str">
        <f>_xlfn.IFNA(VLOOKUP(옵션그룹계산1!N88,색인!$E$4:$F$99,2,FALSE),"")</f>
        <v/>
      </c>
      <c r="V88" s="49" t="str">
        <f>_xlfn.IFNA(VLOOKUP(옵션그룹계산1!O88,색인!$E$4:$F$99,2,FALSE),"")</f>
        <v/>
      </c>
      <c r="W88" s="50">
        <f t="shared" si="12"/>
        <v>4</v>
      </c>
      <c r="X88" s="50">
        <f t="shared" si="13"/>
        <v>2</v>
      </c>
      <c r="Y88" s="50">
        <f t="shared" si="14"/>
        <v>3</v>
      </c>
      <c r="Z88" s="50">
        <f t="shared" si="15"/>
        <v>1</v>
      </c>
      <c r="AA88" s="48" t="str">
        <f t="shared" si="16"/>
        <v>T4_2옵션_장신구_딜러</v>
      </c>
      <c r="AB88" s="50" t="str">
        <f t="shared" si="17"/>
        <v>4231</v>
      </c>
      <c r="AC88" s="49" t="str">
        <f t="shared" si="18"/>
        <v>T4_2옵션_장신구_딜러    (Grade 3)</v>
      </c>
      <c r="AD88" s="48" t="str">
        <f t="shared" si="19"/>
        <v>104,1104</v>
      </c>
    </row>
    <row r="89" spans="3:30" x14ac:dyDescent="0.3">
      <c r="C89" s="51">
        <v>4</v>
      </c>
      <c r="D89" s="51">
        <v>2</v>
      </c>
      <c r="E89" s="51" t="s">
        <v>5398</v>
      </c>
      <c r="F89" s="51" t="s">
        <v>5395</v>
      </c>
      <c r="G89" s="50" t="str">
        <f>VLOOKUP(E89,옵션그룹계산1!$AF$4:$AH$7,3,FALSE)</f>
        <v xml:space="preserve">    </v>
      </c>
      <c r="H89" s="49" t="str">
        <f>VLOOKUP(D89,옵션그룹계산1!$AF$16:$AG$19,2,FALSE)</f>
        <v>(Grade 3)</v>
      </c>
      <c r="I89" s="50" t="str">
        <f t="shared" si="10"/>
        <v>장신구_탱커</v>
      </c>
      <c r="J89" s="49" t="str">
        <f>IF($D89&gt;=(J$2-1),VLOOKUP($I89,색인!$L$4:$R$11,J$2,FALSE)&amp;"_"&amp;$C89,"")</f>
        <v>체력_4</v>
      </c>
      <c r="K89" s="49" t="str">
        <f>IF($D89&gt;=(K$2-1),VLOOKUP($I89,색인!$L$4:$R$11,K$2,FALSE)&amp;"_"&amp;$C89,"")</f>
        <v>물리블록_4</v>
      </c>
      <c r="L89" s="49" t="str">
        <f>IF($D89&gt;=(L$2-1),VLOOKUP($I89,색인!$L$4:$R$11,L$2,FALSE)&amp;"_"&amp;$C89,"")</f>
        <v/>
      </c>
      <c r="M89" s="49" t="str">
        <f>IF($D89&gt;=(M$2-1),VLOOKUP($I89,색인!$L$4:$R$11,M$2,FALSE)&amp;"_"&amp;$C89,"")</f>
        <v/>
      </c>
      <c r="N89" s="49" t="str">
        <f>IF(AND(C89&gt;=6,D89&gt;=4),VLOOKUP($I89,색인!$L$4:$R$11,N$2,FALSE)&amp;"_"&amp;$C89,"")</f>
        <v/>
      </c>
      <c r="O89" s="49" t="str">
        <f>IF(AND(C89&gt;=6,D89&gt;=4),VLOOKUP($I89,색인!$L$4:$R$11,O$2,FALSE)&amp;"_"&amp;$C89,"")</f>
        <v/>
      </c>
      <c r="P89" s="50" t="str">
        <f t="shared" si="11"/>
        <v>4232</v>
      </c>
      <c r="Q89" s="49">
        <f>VLOOKUP(옵션그룹계산1!J89,색인!$E$4:$F$99,2,FALSE)</f>
        <v>204</v>
      </c>
      <c r="R89" s="49">
        <f>_xlfn.IFNA(VLOOKUP(옵션그룹계산1!K89,색인!$E$4:$F$99,2,FALSE),"")</f>
        <v>904</v>
      </c>
      <c r="S89" s="49" t="str">
        <f>_xlfn.IFNA(VLOOKUP(옵션그룹계산1!L89,색인!$E$4:$F$99,2,FALSE),"")</f>
        <v/>
      </c>
      <c r="T89" s="49" t="str">
        <f>_xlfn.IFNA(VLOOKUP(옵션그룹계산1!M89,색인!$E$4:$F$99,2,FALSE),"")</f>
        <v/>
      </c>
      <c r="U89" s="49" t="str">
        <f>_xlfn.IFNA(VLOOKUP(옵션그룹계산1!N89,색인!$E$4:$F$99,2,FALSE),"")</f>
        <v/>
      </c>
      <c r="V89" s="49" t="str">
        <f>_xlfn.IFNA(VLOOKUP(옵션그룹계산1!O89,색인!$E$4:$F$99,2,FALSE),"")</f>
        <v/>
      </c>
      <c r="W89" s="50">
        <f t="shared" si="12"/>
        <v>4</v>
      </c>
      <c r="X89" s="50">
        <f t="shared" si="13"/>
        <v>2</v>
      </c>
      <c r="Y89" s="50">
        <f t="shared" si="14"/>
        <v>3</v>
      </c>
      <c r="Z89" s="50">
        <f t="shared" si="15"/>
        <v>2</v>
      </c>
      <c r="AA89" s="48" t="str">
        <f t="shared" si="16"/>
        <v>T4_2옵션_장신구_탱커</v>
      </c>
      <c r="AB89" s="50" t="str">
        <f t="shared" si="17"/>
        <v>4232</v>
      </c>
      <c r="AC89" s="49" t="str">
        <f t="shared" si="18"/>
        <v>T4_2옵션_장신구_탱커    (Grade 3)</v>
      </c>
      <c r="AD89" s="48" t="str">
        <f t="shared" si="19"/>
        <v>204,904</v>
      </c>
    </row>
    <row r="90" spans="3:30" x14ac:dyDescent="0.3">
      <c r="C90" s="51">
        <v>4</v>
      </c>
      <c r="D90" s="51">
        <v>2</v>
      </c>
      <c r="E90" s="51" t="s">
        <v>5396</v>
      </c>
      <c r="F90" s="51" t="s">
        <v>5397</v>
      </c>
      <c r="G90" s="50" t="str">
        <f>VLOOKUP(E90,옵션그룹계산1!$AF$4:$AH$7,3,FALSE)</f>
        <v xml:space="preserve">       </v>
      </c>
      <c r="H90" s="49" t="str">
        <f>VLOOKUP(D90,옵션그룹계산1!$AF$16:$AG$19,2,FALSE)</f>
        <v>(Grade 3)</v>
      </c>
      <c r="I90" s="50" t="str">
        <f t="shared" si="10"/>
        <v>보주_딜러</v>
      </c>
      <c r="J90" s="49" t="str">
        <f>IF($D90&gt;=(J$2-1),VLOOKUP($I90,색인!$L$4:$R$11,J$2,FALSE)&amp;"_"&amp;$C90,"")</f>
        <v>공격력_4</v>
      </c>
      <c r="K90" s="49" t="str">
        <f>IF($D90&gt;=(K$2-1),VLOOKUP($I90,색인!$L$4:$R$11,K$2,FALSE)&amp;"_"&amp;$C90,"")</f>
        <v>공격속도_4</v>
      </c>
      <c r="L90" s="49" t="str">
        <f>IF($D90&gt;=(L$2-1),VLOOKUP($I90,색인!$L$4:$R$11,L$2,FALSE)&amp;"_"&amp;$C90,"")</f>
        <v/>
      </c>
      <c r="M90" s="49" t="str">
        <f>IF($D90&gt;=(M$2-1),VLOOKUP($I90,색인!$L$4:$R$11,M$2,FALSE)&amp;"_"&amp;$C90,"")</f>
        <v/>
      </c>
      <c r="N90" s="49" t="str">
        <f>IF(AND(C90&gt;=6,D90&gt;=4),VLOOKUP($I90,색인!$L$4:$R$11,N$2,FALSE)&amp;"_"&amp;$C90,"")</f>
        <v/>
      </c>
      <c r="O90" s="49" t="str">
        <f>IF(AND(C90&gt;=6,D90&gt;=4),VLOOKUP($I90,색인!$L$4:$R$11,O$2,FALSE)&amp;"_"&amp;$C90,"")</f>
        <v/>
      </c>
      <c r="P90" s="50" t="str">
        <f t="shared" si="11"/>
        <v>4241</v>
      </c>
      <c r="Q90" s="49">
        <f>VLOOKUP(옵션그룹계산1!J90,색인!$E$4:$F$99,2,FALSE)</f>
        <v>104</v>
      </c>
      <c r="R90" s="49">
        <f>_xlfn.IFNA(VLOOKUP(옵션그룹계산1!K90,색인!$E$4:$F$99,2,FALSE),"")</f>
        <v>1104</v>
      </c>
      <c r="S90" s="49" t="str">
        <f>_xlfn.IFNA(VLOOKUP(옵션그룹계산1!L90,색인!$E$4:$F$99,2,FALSE),"")</f>
        <v/>
      </c>
      <c r="T90" s="49" t="str">
        <f>_xlfn.IFNA(VLOOKUP(옵션그룹계산1!M90,색인!$E$4:$F$99,2,FALSE),"")</f>
        <v/>
      </c>
      <c r="U90" s="49" t="str">
        <f>_xlfn.IFNA(VLOOKUP(옵션그룹계산1!N90,색인!$E$4:$F$99,2,FALSE),"")</f>
        <v/>
      </c>
      <c r="V90" s="49" t="str">
        <f>_xlfn.IFNA(VLOOKUP(옵션그룹계산1!O90,색인!$E$4:$F$99,2,FALSE),"")</f>
        <v/>
      </c>
      <c r="W90" s="50">
        <f t="shared" si="12"/>
        <v>4</v>
      </c>
      <c r="X90" s="50">
        <f t="shared" si="13"/>
        <v>2</v>
      </c>
      <c r="Y90" s="50">
        <f t="shared" si="14"/>
        <v>4</v>
      </c>
      <c r="Z90" s="50">
        <f t="shared" si="15"/>
        <v>1</v>
      </c>
      <c r="AA90" s="48" t="str">
        <f t="shared" si="16"/>
        <v>T4_2옵션_보주_딜러</v>
      </c>
      <c r="AB90" s="50" t="str">
        <f t="shared" si="17"/>
        <v>4241</v>
      </c>
      <c r="AC90" s="49" t="str">
        <f t="shared" si="18"/>
        <v>T4_2옵션_보주_딜러       (Grade 3)</v>
      </c>
      <c r="AD90" s="48" t="str">
        <f t="shared" si="19"/>
        <v>104,1104</v>
      </c>
    </row>
    <row r="91" spans="3:30" x14ac:dyDescent="0.3">
      <c r="C91" s="51">
        <v>4</v>
      </c>
      <c r="D91" s="51">
        <v>2</v>
      </c>
      <c r="E91" s="51" t="s">
        <v>5396</v>
      </c>
      <c r="F91" s="51" t="s">
        <v>5395</v>
      </c>
      <c r="G91" s="50" t="str">
        <f>VLOOKUP(E91,옵션그룹계산1!$AF$4:$AH$7,3,FALSE)</f>
        <v xml:space="preserve">       </v>
      </c>
      <c r="H91" s="49" t="str">
        <f>VLOOKUP(D91,옵션그룹계산1!$AF$16:$AG$19,2,FALSE)</f>
        <v>(Grade 3)</v>
      </c>
      <c r="I91" s="50" t="str">
        <f t="shared" si="10"/>
        <v>보주_탱커</v>
      </c>
      <c r="J91" s="49" t="str">
        <f>IF($D91&gt;=(J$2-1),VLOOKUP($I91,색인!$L$4:$R$11,J$2,FALSE)&amp;"_"&amp;$C91,"")</f>
        <v>체력_4</v>
      </c>
      <c r="K91" s="49" t="str">
        <f>IF($D91&gt;=(K$2-1),VLOOKUP($I91,색인!$L$4:$R$11,K$2,FALSE)&amp;"_"&amp;$C91,"")</f>
        <v>물리블록_4</v>
      </c>
      <c r="L91" s="49" t="str">
        <f>IF($D91&gt;=(L$2-1),VLOOKUP($I91,색인!$L$4:$R$11,L$2,FALSE)&amp;"_"&amp;$C91,"")</f>
        <v/>
      </c>
      <c r="M91" s="49" t="str">
        <f>IF($D91&gt;=(M$2-1),VLOOKUP($I91,색인!$L$4:$R$11,M$2,FALSE)&amp;"_"&amp;$C91,"")</f>
        <v/>
      </c>
      <c r="N91" s="49" t="str">
        <f>IF(AND(C91&gt;=6,D91&gt;=4),VLOOKUP($I91,색인!$L$4:$R$11,N$2,FALSE)&amp;"_"&amp;$C91,"")</f>
        <v/>
      </c>
      <c r="O91" s="49" t="str">
        <f>IF(AND(C91&gt;=6,D91&gt;=4),VLOOKUP($I91,색인!$L$4:$R$11,O$2,FALSE)&amp;"_"&amp;$C91,"")</f>
        <v/>
      </c>
      <c r="P91" s="50" t="str">
        <f t="shared" si="11"/>
        <v>4242</v>
      </c>
      <c r="Q91" s="49">
        <f>VLOOKUP(옵션그룹계산1!J91,색인!$E$4:$F$99,2,FALSE)</f>
        <v>204</v>
      </c>
      <c r="R91" s="49">
        <f>_xlfn.IFNA(VLOOKUP(옵션그룹계산1!K91,색인!$E$4:$F$99,2,FALSE),"")</f>
        <v>904</v>
      </c>
      <c r="S91" s="49" t="str">
        <f>_xlfn.IFNA(VLOOKUP(옵션그룹계산1!L91,색인!$E$4:$F$99,2,FALSE),"")</f>
        <v/>
      </c>
      <c r="T91" s="49" t="str">
        <f>_xlfn.IFNA(VLOOKUP(옵션그룹계산1!M91,색인!$E$4:$F$99,2,FALSE),"")</f>
        <v/>
      </c>
      <c r="U91" s="49" t="str">
        <f>_xlfn.IFNA(VLOOKUP(옵션그룹계산1!N91,색인!$E$4:$F$99,2,FALSE),"")</f>
        <v/>
      </c>
      <c r="V91" s="49" t="str">
        <f>_xlfn.IFNA(VLOOKUP(옵션그룹계산1!O91,색인!$E$4:$F$99,2,FALSE),"")</f>
        <v/>
      </c>
      <c r="W91" s="50">
        <f t="shared" si="12"/>
        <v>4</v>
      </c>
      <c r="X91" s="50">
        <f t="shared" si="13"/>
        <v>2</v>
      </c>
      <c r="Y91" s="50">
        <f t="shared" si="14"/>
        <v>4</v>
      </c>
      <c r="Z91" s="50">
        <f t="shared" si="15"/>
        <v>2</v>
      </c>
      <c r="AA91" s="48" t="str">
        <f t="shared" si="16"/>
        <v>T4_2옵션_보주_탱커</v>
      </c>
      <c r="AB91" s="50" t="str">
        <f t="shared" si="17"/>
        <v>4242</v>
      </c>
      <c r="AC91" s="49" t="str">
        <f t="shared" si="18"/>
        <v>T4_2옵션_보주_탱커       (Grade 3)</v>
      </c>
      <c r="AD91" s="48" t="str">
        <f t="shared" si="19"/>
        <v>204,904</v>
      </c>
    </row>
    <row r="92" spans="3:30" x14ac:dyDescent="0.3">
      <c r="C92" s="51">
        <v>4</v>
      </c>
      <c r="D92" s="51">
        <v>3</v>
      </c>
      <c r="E92" s="51" t="s">
        <v>5400</v>
      </c>
      <c r="F92" s="51" t="s">
        <v>5397</v>
      </c>
      <c r="G92" s="50" t="str">
        <f>VLOOKUP(E92,옵션그룹계산1!$AF$4:$AH$7,3,FALSE)</f>
        <v xml:space="preserve">    </v>
      </c>
      <c r="H92" s="49" t="str">
        <f>VLOOKUP(D92,옵션그룹계산1!$AF$16:$AG$19,2,FALSE)</f>
        <v>(Grade 4~5)</v>
      </c>
      <c r="I92" s="50" t="str">
        <f t="shared" si="10"/>
        <v>방어구_딜러</v>
      </c>
      <c r="J92" s="49" t="str">
        <f>IF($D92&gt;=(J$2-1),VLOOKUP($I92,색인!$L$4:$R$11,J$2,FALSE)&amp;"_"&amp;$C92,"")</f>
        <v>공격력_4</v>
      </c>
      <c r="K92" s="49" t="str">
        <f>IF($D92&gt;=(K$2-1),VLOOKUP($I92,색인!$L$4:$R$11,K$2,FALSE)&amp;"_"&amp;$C92,"")</f>
        <v>공격속도_4</v>
      </c>
      <c r="L92" s="49" t="str">
        <f>IF($D92&gt;=(L$2-1),VLOOKUP($I92,색인!$L$4:$R$11,L$2,FALSE)&amp;"_"&amp;$C92,"")</f>
        <v>치명타확률_4</v>
      </c>
      <c r="M92" s="49" t="str">
        <f>IF($D92&gt;=(M$2-1),VLOOKUP($I92,색인!$L$4:$R$11,M$2,FALSE)&amp;"_"&amp;$C92,"")</f>
        <v/>
      </c>
      <c r="N92" s="49" t="str">
        <f>IF(AND(C92&gt;=6,D92&gt;=4),VLOOKUP($I92,색인!$L$4:$R$11,N$2,FALSE)&amp;"_"&amp;$C92,"")</f>
        <v/>
      </c>
      <c r="O92" s="49" t="str">
        <f>IF(AND(C92&gt;=6,D92&gt;=4),VLOOKUP($I92,색인!$L$4:$R$11,O$2,FALSE)&amp;"_"&amp;$C92,"")</f>
        <v/>
      </c>
      <c r="P92" s="50" t="str">
        <f t="shared" si="11"/>
        <v>4311</v>
      </c>
      <c r="Q92" s="49">
        <f>VLOOKUP(옵션그룹계산1!J92,색인!$E$4:$F$99,2,FALSE)</f>
        <v>104</v>
      </c>
      <c r="R92" s="49">
        <f>_xlfn.IFNA(VLOOKUP(옵션그룹계산1!K92,색인!$E$4:$F$99,2,FALSE),"")</f>
        <v>1104</v>
      </c>
      <c r="S92" s="49">
        <f>_xlfn.IFNA(VLOOKUP(옵션그룹계산1!L92,색인!$E$4:$F$99,2,FALSE),"")</f>
        <v>504</v>
      </c>
      <c r="T92" s="49" t="str">
        <f>_xlfn.IFNA(VLOOKUP(옵션그룹계산1!M92,색인!$E$4:$F$99,2,FALSE),"")</f>
        <v/>
      </c>
      <c r="U92" s="49" t="str">
        <f>_xlfn.IFNA(VLOOKUP(옵션그룹계산1!N92,색인!$E$4:$F$99,2,FALSE),"")</f>
        <v/>
      </c>
      <c r="V92" s="49" t="str">
        <f>_xlfn.IFNA(VLOOKUP(옵션그룹계산1!O92,색인!$E$4:$F$99,2,FALSE),"")</f>
        <v/>
      </c>
      <c r="W92" s="50">
        <f t="shared" si="12"/>
        <v>4</v>
      </c>
      <c r="X92" s="50">
        <f t="shared" si="13"/>
        <v>3</v>
      </c>
      <c r="Y92" s="50">
        <f t="shared" si="14"/>
        <v>1</v>
      </c>
      <c r="Z92" s="50">
        <f t="shared" si="15"/>
        <v>1</v>
      </c>
      <c r="AA92" s="48" t="str">
        <f t="shared" si="16"/>
        <v>T4_3옵션_방어구_딜러</v>
      </c>
      <c r="AB92" s="50" t="str">
        <f t="shared" si="17"/>
        <v>4311</v>
      </c>
      <c r="AC92" s="49" t="str">
        <f t="shared" si="18"/>
        <v>T4_3옵션_방어구_딜러    (Grade 4~5)</v>
      </c>
      <c r="AD92" s="48" t="str">
        <f t="shared" si="19"/>
        <v>104,1104,504</v>
      </c>
    </row>
    <row r="93" spans="3:30" x14ac:dyDescent="0.3">
      <c r="C93" s="51">
        <v>4</v>
      </c>
      <c r="D93" s="51">
        <v>3</v>
      </c>
      <c r="E93" s="51" t="s">
        <v>5400</v>
      </c>
      <c r="F93" s="51" t="s">
        <v>5395</v>
      </c>
      <c r="G93" s="50" t="str">
        <f>VLOOKUP(E93,옵션그룹계산1!$AF$4:$AH$7,3,FALSE)</f>
        <v xml:space="preserve">    </v>
      </c>
      <c r="H93" s="49" t="str">
        <f>VLOOKUP(D93,옵션그룹계산1!$AF$16:$AG$19,2,FALSE)</f>
        <v>(Grade 4~5)</v>
      </c>
      <c r="I93" s="50" t="str">
        <f t="shared" si="10"/>
        <v>방어구_탱커</v>
      </c>
      <c r="J93" s="49" t="str">
        <f>IF($D93&gt;=(J$2-1),VLOOKUP($I93,색인!$L$4:$R$11,J$2,FALSE)&amp;"_"&amp;$C93,"")</f>
        <v>공격속도_4</v>
      </c>
      <c r="K93" s="49" t="str">
        <f>IF($D93&gt;=(K$2-1),VLOOKUP($I93,색인!$L$4:$R$11,K$2,FALSE)&amp;"_"&amp;$C93,"")</f>
        <v>물리블록_4</v>
      </c>
      <c r="L93" s="49" t="str">
        <f>IF($D93&gt;=(L$2-1),VLOOKUP($I93,색인!$L$4:$R$11,L$2,FALSE)&amp;"_"&amp;$C93,"")</f>
        <v>물리방어력_4</v>
      </c>
      <c r="M93" s="49" t="str">
        <f>IF($D93&gt;=(M$2-1),VLOOKUP($I93,색인!$L$4:$R$11,M$2,FALSE)&amp;"_"&amp;$C93,"")</f>
        <v/>
      </c>
      <c r="N93" s="49" t="str">
        <f>IF(AND(C93&gt;=6,D93&gt;=4),VLOOKUP($I93,색인!$L$4:$R$11,N$2,FALSE)&amp;"_"&amp;$C93,"")</f>
        <v/>
      </c>
      <c r="O93" s="49" t="str">
        <f>IF(AND(C93&gt;=6,D93&gt;=4),VLOOKUP($I93,색인!$L$4:$R$11,O$2,FALSE)&amp;"_"&amp;$C93,"")</f>
        <v/>
      </c>
      <c r="P93" s="50" t="str">
        <f t="shared" si="11"/>
        <v>4312</v>
      </c>
      <c r="Q93" s="49">
        <f>VLOOKUP(옵션그룹계산1!J93,색인!$E$4:$F$99,2,FALSE)</f>
        <v>1104</v>
      </c>
      <c r="R93" s="49">
        <f>_xlfn.IFNA(VLOOKUP(옵션그룹계산1!K93,색인!$E$4:$F$99,2,FALSE),"")</f>
        <v>904</v>
      </c>
      <c r="S93" s="49">
        <f>_xlfn.IFNA(VLOOKUP(옵션그룹계산1!L93,색인!$E$4:$F$99,2,FALSE),"")</f>
        <v>304</v>
      </c>
      <c r="T93" s="49" t="str">
        <f>_xlfn.IFNA(VLOOKUP(옵션그룹계산1!M93,색인!$E$4:$F$99,2,FALSE),"")</f>
        <v/>
      </c>
      <c r="U93" s="49" t="str">
        <f>_xlfn.IFNA(VLOOKUP(옵션그룹계산1!N93,색인!$E$4:$F$99,2,FALSE),"")</f>
        <v/>
      </c>
      <c r="V93" s="49" t="str">
        <f>_xlfn.IFNA(VLOOKUP(옵션그룹계산1!O93,색인!$E$4:$F$99,2,FALSE),"")</f>
        <v/>
      </c>
      <c r="W93" s="50">
        <f t="shared" si="12"/>
        <v>4</v>
      </c>
      <c r="X93" s="50">
        <f t="shared" si="13"/>
        <v>3</v>
      </c>
      <c r="Y93" s="50">
        <f t="shared" si="14"/>
        <v>1</v>
      </c>
      <c r="Z93" s="50">
        <f t="shared" si="15"/>
        <v>2</v>
      </c>
      <c r="AA93" s="48" t="str">
        <f t="shared" si="16"/>
        <v>T4_3옵션_방어구_탱커</v>
      </c>
      <c r="AB93" s="50" t="str">
        <f t="shared" si="17"/>
        <v>4312</v>
      </c>
      <c r="AC93" s="49" t="str">
        <f t="shared" si="18"/>
        <v>T4_3옵션_방어구_탱커    (Grade 4~5)</v>
      </c>
      <c r="AD93" s="48" t="str">
        <f t="shared" si="19"/>
        <v>1104,904,304</v>
      </c>
    </row>
    <row r="94" spans="3:30" x14ac:dyDescent="0.3">
      <c r="C94" s="51">
        <v>4</v>
      </c>
      <c r="D94" s="51">
        <v>3</v>
      </c>
      <c r="E94" s="51" t="s">
        <v>5399</v>
      </c>
      <c r="F94" s="51" t="s">
        <v>5397</v>
      </c>
      <c r="G94" s="50" t="str">
        <f>VLOOKUP(E94,옵션그룹계산1!$AF$4:$AH$7,3,FALSE)</f>
        <v xml:space="preserve"> </v>
      </c>
      <c r="H94" s="49" t="str">
        <f>VLOOKUP(D94,옵션그룹계산1!$AF$16:$AG$19,2,FALSE)</f>
        <v>(Grade 4~5)</v>
      </c>
      <c r="I94" s="50" t="str">
        <f t="shared" si="10"/>
        <v>보조장비_딜러</v>
      </c>
      <c r="J94" s="49" t="str">
        <f>IF($D94&gt;=(J$2-1),VLOOKUP($I94,색인!$L$4:$R$11,J$2,FALSE)&amp;"_"&amp;$C94,"")</f>
        <v>공격력_4</v>
      </c>
      <c r="K94" s="49" t="str">
        <f>IF($D94&gt;=(K$2-1),VLOOKUP($I94,색인!$L$4:$R$11,K$2,FALSE)&amp;"_"&amp;$C94,"")</f>
        <v>공격속도_4</v>
      </c>
      <c r="L94" s="49" t="str">
        <f>IF($D94&gt;=(L$2-1),VLOOKUP($I94,색인!$L$4:$R$11,L$2,FALSE)&amp;"_"&amp;$C94,"")</f>
        <v>치명타확률_4</v>
      </c>
      <c r="M94" s="49" t="str">
        <f>IF($D94&gt;=(M$2-1),VLOOKUP($I94,색인!$L$4:$R$11,M$2,FALSE)&amp;"_"&amp;$C94,"")</f>
        <v/>
      </c>
      <c r="N94" s="49" t="str">
        <f>IF(AND(C94&gt;=6,D94&gt;=4),VLOOKUP($I94,색인!$L$4:$R$11,N$2,FALSE)&amp;"_"&amp;$C94,"")</f>
        <v/>
      </c>
      <c r="O94" s="49" t="str">
        <f>IF(AND(C94&gt;=6,D94&gt;=4),VLOOKUP($I94,색인!$L$4:$R$11,O$2,FALSE)&amp;"_"&amp;$C94,"")</f>
        <v/>
      </c>
      <c r="P94" s="50" t="str">
        <f t="shared" si="11"/>
        <v>4321</v>
      </c>
      <c r="Q94" s="49">
        <f>VLOOKUP(옵션그룹계산1!J94,색인!$E$4:$F$99,2,FALSE)</f>
        <v>104</v>
      </c>
      <c r="R94" s="49">
        <f>_xlfn.IFNA(VLOOKUP(옵션그룹계산1!K94,색인!$E$4:$F$99,2,FALSE),"")</f>
        <v>1104</v>
      </c>
      <c r="S94" s="49">
        <f>_xlfn.IFNA(VLOOKUP(옵션그룹계산1!L94,색인!$E$4:$F$99,2,FALSE),"")</f>
        <v>504</v>
      </c>
      <c r="T94" s="49" t="str">
        <f>_xlfn.IFNA(VLOOKUP(옵션그룹계산1!M94,색인!$E$4:$F$99,2,FALSE),"")</f>
        <v/>
      </c>
      <c r="U94" s="49" t="str">
        <f>_xlfn.IFNA(VLOOKUP(옵션그룹계산1!N94,색인!$E$4:$F$99,2,FALSE),"")</f>
        <v/>
      </c>
      <c r="V94" s="49" t="str">
        <f>_xlfn.IFNA(VLOOKUP(옵션그룹계산1!O94,색인!$E$4:$F$99,2,FALSE),"")</f>
        <v/>
      </c>
      <c r="W94" s="50">
        <f t="shared" si="12"/>
        <v>4</v>
      </c>
      <c r="X94" s="50">
        <f t="shared" si="13"/>
        <v>3</v>
      </c>
      <c r="Y94" s="50">
        <f t="shared" si="14"/>
        <v>2</v>
      </c>
      <c r="Z94" s="50">
        <f t="shared" si="15"/>
        <v>1</v>
      </c>
      <c r="AA94" s="48" t="str">
        <f t="shared" si="16"/>
        <v>T4_3옵션_보조장비_딜러</v>
      </c>
      <c r="AB94" s="50" t="str">
        <f t="shared" si="17"/>
        <v>4321</v>
      </c>
      <c r="AC94" s="49" t="str">
        <f t="shared" si="18"/>
        <v>T4_3옵션_보조장비_딜러 (Grade 4~5)</v>
      </c>
      <c r="AD94" s="48" t="str">
        <f t="shared" si="19"/>
        <v>104,1104,504</v>
      </c>
    </row>
    <row r="95" spans="3:30" x14ac:dyDescent="0.3">
      <c r="C95" s="51">
        <v>4</v>
      </c>
      <c r="D95" s="51">
        <v>3</v>
      </c>
      <c r="E95" s="51" t="s">
        <v>5399</v>
      </c>
      <c r="F95" s="51" t="s">
        <v>5395</v>
      </c>
      <c r="G95" s="50" t="str">
        <f>VLOOKUP(E95,옵션그룹계산1!$AF$4:$AH$7,3,FALSE)</f>
        <v xml:space="preserve"> </v>
      </c>
      <c r="H95" s="49" t="str">
        <f>VLOOKUP(D95,옵션그룹계산1!$AF$16:$AG$19,2,FALSE)</f>
        <v>(Grade 4~5)</v>
      </c>
      <c r="I95" s="50" t="str">
        <f t="shared" si="10"/>
        <v>보조장비_탱커</v>
      </c>
      <c r="J95" s="49" t="str">
        <f>IF($D95&gt;=(J$2-1),VLOOKUP($I95,색인!$L$4:$R$11,J$2,FALSE)&amp;"_"&amp;$C95,"")</f>
        <v>공격속도_4</v>
      </c>
      <c r="K95" s="49" t="str">
        <f>IF($D95&gt;=(K$2-1),VLOOKUP($I95,색인!$L$4:$R$11,K$2,FALSE)&amp;"_"&amp;$C95,"")</f>
        <v>마법블록_4</v>
      </c>
      <c r="L95" s="49" t="str">
        <f>IF($D95&gt;=(L$2-1),VLOOKUP($I95,색인!$L$4:$R$11,L$2,FALSE)&amp;"_"&amp;$C95,"")</f>
        <v>마법방어력_4</v>
      </c>
      <c r="M95" s="49" t="str">
        <f>IF($D95&gt;=(M$2-1),VLOOKUP($I95,색인!$L$4:$R$11,M$2,FALSE)&amp;"_"&amp;$C95,"")</f>
        <v/>
      </c>
      <c r="N95" s="49" t="str">
        <f>IF(AND(C95&gt;=6,D95&gt;=4),VLOOKUP($I95,색인!$L$4:$R$11,N$2,FALSE)&amp;"_"&amp;$C95,"")</f>
        <v/>
      </c>
      <c r="O95" s="49" t="str">
        <f>IF(AND(C95&gt;=6,D95&gt;=4),VLOOKUP($I95,색인!$L$4:$R$11,O$2,FALSE)&amp;"_"&amp;$C95,"")</f>
        <v/>
      </c>
      <c r="P95" s="50" t="str">
        <f t="shared" si="11"/>
        <v>4322</v>
      </c>
      <c r="Q95" s="49">
        <f>VLOOKUP(옵션그룹계산1!J95,색인!$E$4:$F$99,2,FALSE)</f>
        <v>1104</v>
      </c>
      <c r="R95" s="49">
        <f>_xlfn.IFNA(VLOOKUP(옵션그룹계산1!K95,색인!$E$4:$F$99,2,FALSE),"")</f>
        <v>1904</v>
      </c>
      <c r="S95" s="49">
        <f>_xlfn.IFNA(VLOOKUP(옵션그룹계산1!L95,색인!$E$4:$F$99,2,FALSE),"")</f>
        <v>404</v>
      </c>
      <c r="T95" s="49" t="str">
        <f>_xlfn.IFNA(VLOOKUP(옵션그룹계산1!M95,색인!$E$4:$F$99,2,FALSE),"")</f>
        <v/>
      </c>
      <c r="U95" s="49" t="str">
        <f>_xlfn.IFNA(VLOOKUP(옵션그룹계산1!N95,색인!$E$4:$F$99,2,FALSE),"")</f>
        <v/>
      </c>
      <c r="V95" s="49" t="str">
        <f>_xlfn.IFNA(VLOOKUP(옵션그룹계산1!O95,색인!$E$4:$F$99,2,FALSE),"")</f>
        <v/>
      </c>
      <c r="W95" s="50">
        <f t="shared" si="12"/>
        <v>4</v>
      </c>
      <c r="X95" s="50">
        <f t="shared" si="13"/>
        <v>3</v>
      </c>
      <c r="Y95" s="50">
        <f t="shared" si="14"/>
        <v>2</v>
      </c>
      <c r="Z95" s="50">
        <f t="shared" si="15"/>
        <v>2</v>
      </c>
      <c r="AA95" s="48" t="str">
        <f t="shared" si="16"/>
        <v>T4_3옵션_보조장비_탱커</v>
      </c>
      <c r="AB95" s="50" t="str">
        <f t="shared" si="17"/>
        <v>4322</v>
      </c>
      <c r="AC95" s="49" t="str">
        <f t="shared" si="18"/>
        <v>T4_3옵션_보조장비_탱커 (Grade 4~5)</v>
      </c>
      <c r="AD95" s="48" t="str">
        <f t="shared" si="19"/>
        <v>1104,1904,404</v>
      </c>
    </row>
    <row r="96" spans="3:30" x14ac:dyDescent="0.3">
      <c r="C96" s="51">
        <v>4</v>
      </c>
      <c r="D96" s="51">
        <v>3</v>
      </c>
      <c r="E96" s="51" t="s">
        <v>5398</v>
      </c>
      <c r="F96" s="51" t="s">
        <v>5397</v>
      </c>
      <c r="G96" s="50" t="str">
        <f>VLOOKUP(E96,옵션그룹계산1!$AF$4:$AH$7,3,FALSE)</f>
        <v xml:space="preserve">    </v>
      </c>
      <c r="H96" s="49" t="str">
        <f>VLOOKUP(D96,옵션그룹계산1!$AF$16:$AG$19,2,FALSE)</f>
        <v>(Grade 4~5)</v>
      </c>
      <c r="I96" s="50" t="str">
        <f t="shared" si="10"/>
        <v>장신구_딜러</v>
      </c>
      <c r="J96" s="49" t="str">
        <f>IF($D96&gt;=(J$2-1),VLOOKUP($I96,색인!$L$4:$R$11,J$2,FALSE)&amp;"_"&amp;$C96,"")</f>
        <v>공격력_4</v>
      </c>
      <c r="K96" s="49" t="str">
        <f>IF($D96&gt;=(K$2-1),VLOOKUP($I96,색인!$L$4:$R$11,K$2,FALSE)&amp;"_"&amp;$C96,"")</f>
        <v>공격속도_4</v>
      </c>
      <c r="L96" s="49" t="str">
        <f>IF($D96&gt;=(L$2-1),VLOOKUP($I96,색인!$L$4:$R$11,L$2,FALSE)&amp;"_"&amp;$C96,"")</f>
        <v>치명타확률_4</v>
      </c>
      <c r="M96" s="49" t="str">
        <f>IF($D96&gt;=(M$2-1),VLOOKUP($I96,색인!$L$4:$R$11,M$2,FALSE)&amp;"_"&amp;$C96,"")</f>
        <v/>
      </c>
      <c r="N96" s="49" t="str">
        <f>IF(AND(C96&gt;=6,D96&gt;=4),VLOOKUP($I96,색인!$L$4:$R$11,N$2,FALSE)&amp;"_"&amp;$C96,"")</f>
        <v/>
      </c>
      <c r="O96" s="49" t="str">
        <f>IF(AND(C96&gt;=6,D96&gt;=4),VLOOKUP($I96,색인!$L$4:$R$11,O$2,FALSE)&amp;"_"&amp;$C96,"")</f>
        <v/>
      </c>
      <c r="P96" s="50" t="str">
        <f t="shared" si="11"/>
        <v>4331</v>
      </c>
      <c r="Q96" s="49">
        <f>VLOOKUP(옵션그룹계산1!J96,색인!$E$4:$F$99,2,FALSE)</f>
        <v>104</v>
      </c>
      <c r="R96" s="49">
        <f>_xlfn.IFNA(VLOOKUP(옵션그룹계산1!K96,색인!$E$4:$F$99,2,FALSE),"")</f>
        <v>1104</v>
      </c>
      <c r="S96" s="49">
        <f>_xlfn.IFNA(VLOOKUP(옵션그룹계산1!L96,색인!$E$4:$F$99,2,FALSE),"")</f>
        <v>504</v>
      </c>
      <c r="T96" s="49" t="str">
        <f>_xlfn.IFNA(VLOOKUP(옵션그룹계산1!M96,색인!$E$4:$F$99,2,FALSE),"")</f>
        <v/>
      </c>
      <c r="U96" s="49" t="str">
        <f>_xlfn.IFNA(VLOOKUP(옵션그룹계산1!N96,색인!$E$4:$F$99,2,FALSE),"")</f>
        <v/>
      </c>
      <c r="V96" s="49" t="str">
        <f>_xlfn.IFNA(VLOOKUP(옵션그룹계산1!O96,색인!$E$4:$F$99,2,FALSE),"")</f>
        <v/>
      </c>
      <c r="W96" s="50">
        <f t="shared" si="12"/>
        <v>4</v>
      </c>
      <c r="X96" s="50">
        <f t="shared" si="13"/>
        <v>3</v>
      </c>
      <c r="Y96" s="50">
        <f t="shared" si="14"/>
        <v>3</v>
      </c>
      <c r="Z96" s="50">
        <f t="shared" si="15"/>
        <v>1</v>
      </c>
      <c r="AA96" s="48" t="str">
        <f t="shared" si="16"/>
        <v>T4_3옵션_장신구_딜러</v>
      </c>
      <c r="AB96" s="50" t="str">
        <f t="shared" si="17"/>
        <v>4331</v>
      </c>
      <c r="AC96" s="49" t="str">
        <f t="shared" si="18"/>
        <v>T4_3옵션_장신구_딜러    (Grade 4~5)</v>
      </c>
      <c r="AD96" s="48" t="str">
        <f t="shared" si="19"/>
        <v>104,1104,504</v>
      </c>
    </row>
    <row r="97" spans="3:30" x14ac:dyDescent="0.3">
      <c r="C97" s="51">
        <v>4</v>
      </c>
      <c r="D97" s="51">
        <v>3</v>
      </c>
      <c r="E97" s="51" t="s">
        <v>5398</v>
      </c>
      <c r="F97" s="51" t="s">
        <v>5395</v>
      </c>
      <c r="G97" s="50" t="str">
        <f>VLOOKUP(E97,옵션그룹계산1!$AF$4:$AH$7,3,FALSE)</f>
        <v xml:space="preserve">    </v>
      </c>
      <c r="H97" s="49" t="str">
        <f>VLOOKUP(D97,옵션그룹계산1!$AF$16:$AG$19,2,FALSE)</f>
        <v>(Grade 4~5)</v>
      </c>
      <c r="I97" s="50" t="str">
        <f t="shared" si="10"/>
        <v>장신구_탱커</v>
      </c>
      <c r="J97" s="49" t="str">
        <f>IF($D97&gt;=(J$2-1),VLOOKUP($I97,색인!$L$4:$R$11,J$2,FALSE)&amp;"_"&amp;$C97,"")</f>
        <v>체력_4</v>
      </c>
      <c r="K97" s="49" t="str">
        <f>IF($D97&gt;=(K$2-1),VLOOKUP($I97,색인!$L$4:$R$11,K$2,FALSE)&amp;"_"&amp;$C97,"")</f>
        <v>물리블록_4</v>
      </c>
      <c r="L97" s="49" t="str">
        <f>IF($D97&gt;=(L$2-1),VLOOKUP($I97,색인!$L$4:$R$11,L$2,FALSE)&amp;"_"&amp;$C97,"")</f>
        <v>마법블록_4</v>
      </c>
      <c r="M97" s="49" t="str">
        <f>IF($D97&gt;=(M$2-1),VLOOKUP($I97,색인!$L$4:$R$11,M$2,FALSE)&amp;"_"&amp;$C97,"")</f>
        <v/>
      </c>
      <c r="N97" s="49" t="str">
        <f>IF(AND(C97&gt;=6,D97&gt;=4),VLOOKUP($I97,색인!$L$4:$R$11,N$2,FALSE)&amp;"_"&amp;$C97,"")</f>
        <v/>
      </c>
      <c r="O97" s="49" t="str">
        <f>IF(AND(C97&gt;=6,D97&gt;=4),VLOOKUP($I97,색인!$L$4:$R$11,O$2,FALSE)&amp;"_"&amp;$C97,"")</f>
        <v/>
      </c>
      <c r="P97" s="50" t="str">
        <f t="shared" si="11"/>
        <v>4332</v>
      </c>
      <c r="Q97" s="49">
        <f>VLOOKUP(옵션그룹계산1!J97,색인!$E$4:$F$99,2,FALSE)</f>
        <v>204</v>
      </c>
      <c r="R97" s="49">
        <f>_xlfn.IFNA(VLOOKUP(옵션그룹계산1!K97,색인!$E$4:$F$99,2,FALSE),"")</f>
        <v>904</v>
      </c>
      <c r="S97" s="49">
        <f>_xlfn.IFNA(VLOOKUP(옵션그룹계산1!L97,색인!$E$4:$F$99,2,FALSE),"")</f>
        <v>1904</v>
      </c>
      <c r="T97" s="49" t="str">
        <f>_xlfn.IFNA(VLOOKUP(옵션그룹계산1!M97,색인!$E$4:$F$99,2,FALSE),"")</f>
        <v/>
      </c>
      <c r="U97" s="49" t="str">
        <f>_xlfn.IFNA(VLOOKUP(옵션그룹계산1!N97,색인!$E$4:$F$99,2,FALSE),"")</f>
        <v/>
      </c>
      <c r="V97" s="49" t="str">
        <f>_xlfn.IFNA(VLOOKUP(옵션그룹계산1!O97,색인!$E$4:$F$99,2,FALSE),"")</f>
        <v/>
      </c>
      <c r="W97" s="50">
        <f t="shared" si="12"/>
        <v>4</v>
      </c>
      <c r="X97" s="50">
        <f t="shared" si="13"/>
        <v>3</v>
      </c>
      <c r="Y97" s="50">
        <f t="shared" si="14"/>
        <v>3</v>
      </c>
      <c r="Z97" s="50">
        <f t="shared" si="15"/>
        <v>2</v>
      </c>
      <c r="AA97" s="48" t="str">
        <f t="shared" si="16"/>
        <v>T4_3옵션_장신구_탱커</v>
      </c>
      <c r="AB97" s="50" t="str">
        <f t="shared" si="17"/>
        <v>4332</v>
      </c>
      <c r="AC97" s="49" t="str">
        <f t="shared" si="18"/>
        <v>T4_3옵션_장신구_탱커    (Grade 4~5)</v>
      </c>
      <c r="AD97" s="48" t="str">
        <f t="shared" si="19"/>
        <v>204,904,1904</v>
      </c>
    </row>
    <row r="98" spans="3:30" x14ac:dyDescent="0.3">
      <c r="C98" s="51">
        <v>4</v>
      </c>
      <c r="D98" s="51">
        <v>3</v>
      </c>
      <c r="E98" s="51" t="s">
        <v>5396</v>
      </c>
      <c r="F98" s="51" t="s">
        <v>5397</v>
      </c>
      <c r="G98" s="50" t="str">
        <f>VLOOKUP(E98,옵션그룹계산1!$AF$4:$AH$7,3,FALSE)</f>
        <v xml:space="preserve">       </v>
      </c>
      <c r="H98" s="49" t="str">
        <f>VLOOKUP(D98,옵션그룹계산1!$AF$16:$AG$19,2,FALSE)</f>
        <v>(Grade 4~5)</v>
      </c>
      <c r="I98" s="50" t="str">
        <f t="shared" si="10"/>
        <v>보주_딜러</v>
      </c>
      <c r="J98" s="49" t="str">
        <f>IF($D98&gt;=(J$2-1),VLOOKUP($I98,색인!$L$4:$R$11,J$2,FALSE)&amp;"_"&amp;$C98,"")</f>
        <v>공격력_4</v>
      </c>
      <c r="K98" s="49" t="str">
        <f>IF($D98&gt;=(K$2-1),VLOOKUP($I98,색인!$L$4:$R$11,K$2,FALSE)&amp;"_"&amp;$C98,"")</f>
        <v>공격속도_4</v>
      </c>
      <c r="L98" s="49" t="str">
        <f>IF($D98&gt;=(L$2-1),VLOOKUP($I98,색인!$L$4:$R$11,L$2,FALSE)&amp;"_"&amp;$C98,"")</f>
        <v>치명타확률_4</v>
      </c>
      <c r="M98" s="49" t="str">
        <f>IF($D98&gt;=(M$2-1),VLOOKUP($I98,색인!$L$4:$R$11,M$2,FALSE)&amp;"_"&amp;$C98,"")</f>
        <v/>
      </c>
      <c r="N98" s="49" t="str">
        <f>IF(AND(C98&gt;=6,D98&gt;=4),VLOOKUP($I98,색인!$L$4:$R$11,N$2,FALSE)&amp;"_"&amp;$C98,"")</f>
        <v/>
      </c>
      <c r="O98" s="49" t="str">
        <f>IF(AND(C98&gt;=6,D98&gt;=4),VLOOKUP($I98,색인!$L$4:$R$11,O$2,FALSE)&amp;"_"&amp;$C98,"")</f>
        <v/>
      </c>
      <c r="P98" s="50" t="str">
        <f t="shared" si="11"/>
        <v>4341</v>
      </c>
      <c r="Q98" s="49">
        <f>VLOOKUP(옵션그룹계산1!J98,색인!$E$4:$F$99,2,FALSE)</f>
        <v>104</v>
      </c>
      <c r="R98" s="49">
        <f>_xlfn.IFNA(VLOOKUP(옵션그룹계산1!K98,색인!$E$4:$F$99,2,FALSE),"")</f>
        <v>1104</v>
      </c>
      <c r="S98" s="49">
        <f>_xlfn.IFNA(VLOOKUP(옵션그룹계산1!L98,색인!$E$4:$F$99,2,FALSE),"")</f>
        <v>504</v>
      </c>
      <c r="T98" s="49" t="str">
        <f>_xlfn.IFNA(VLOOKUP(옵션그룹계산1!M98,색인!$E$4:$F$99,2,FALSE),"")</f>
        <v/>
      </c>
      <c r="U98" s="49" t="str">
        <f>_xlfn.IFNA(VLOOKUP(옵션그룹계산1!N98,색인!$E$4:$F$99,2,FALSE),"")</f>
        <v/>
      </c>
      <c r="V98" s="49" t="str">
        <f>_xlfn.IFNA(VLOOKUP(옵션그룹계산1!O98,색인!$E$4:$F$99,2,FALSE),"")</f>
        <v/>
      </c>
      <c r="W98" s="50">
        <f t="shared" si="12"/>
        <v>4</v>
      </c>
      <c r="X98" s="50">
        <f t="shared" si="13"/>
        <v>3</v>
      </c>
      <c r="Y98" s="50">
        <f t="shared" si="14"/>
        <v>4</v>
      </c>
      <c r="Z98" s="50">
        <f t="shared" si="15"/>
        <v>1</v>
      </c>
      <c r="AA98" s="48" t="str">
        <f t="shared" si="16"/>
        <v>T4_3옵션_보주_딜러</v>
      </c>
      <c r="AB98" s="50" t="str">
        <f t="shared" si="17"/>
        <v>4341</v>
      </c>
      <c r="AC98" s="49" t="str">
        <f t="shared" si="18"/>
        <v>T4_3옵션_보주_딜러       (Grade 4~5)</v>
      </c>
      <c r="AD98" s="48" t="str">
        <f t="shared" si="19"/>
        <v>104,1104,504</v>
      </c>
    </row>
    <row r="99" spans="3:30" x14ac:dyDescent="0.3">
      <c r="C99" s="51">
        <v>4</v>
      </c>
      <c r="D99" s="51">
        <v>3</v>
      </c>
      <c r="E99" s="51" t="s">
        <v>5396</v>
      </c>
      <c r="F99" s="51" t="s">
        <v>5395</v>
      </c>
      <c r="G99" s="50" t="str">
        <f>VLOOKUP(E99,옵션그룹계산1!$AF$4:$AH$7,3,FALSE)</f>
        <v xml:space="preserve">       </v>
      </c>
      <c r="H99" s="49" t="str">
        <f>VLOOKUP(D99,옵션그룹계산1!$AF$16:$AG$19,2,FALSE)</f>
        <v>(Grade 4~5)</v>
      </c>
      <c r="I99" s="50" t="str">
        <f t="shared" si="10"/>
        <v>보주_탱커</v>
      </c>
      <c r="J99" s="49" t="str">
        <f>IF($D99&gt;=(J$2-1),VLOOKUP($I99,색인!$L$4:$R$11,J$2,FALSE)&amp;"_"&amp;$C99,"")</f>
        <v>체력_4</v>
      </c>
      <c r="K99" s="49" t="str">
        <f>IF($D99&gt;=(K$2-1),VLOOKUP($I99,색인!$L$4:$R$11,K$2,FALSE)&amp;"_"&amp;$C99,"")</f>
        <v>물리블록_4</v>
      </c>
      <c r="L99" s="49" t="str">
        <f>IF($D99&gt;=(L$2-1),VLOOKUP($I99,색인!$L$4:$R$11,L$2,FALSE)&amp;"_"&amp;$C99,"")</f>
        <v>마법블록_4</v>
      </c>
      <c r="M99" s="49" t="str">
        <f>IF($D99&gt;=(M$2-1),VLOOKUP($I99,색인!$L$4:$R$11,M$2,FALSE)&amp;"_"&amp;$C99,"")</f>
        <v/>
      </c>
      <c r="N99" s="49" t="str">
        <f>IF(AND(C99&gt;=6,D99&gt;=4),VLOOKUP($I99,색인!$L$4:$R$11,N$2,FALSE)&amp;"_"&amp;$C99,"")</f>
        <v/>
      </c>
      <c r="O99" s="49" t="str">
        <f>IF(AND(C99&gt;=6,D99&gt;=4),VLOOKUP($I99,색인!$L$4:$R$11,O$2,FALSE)&amp;"_"&amp;$C99,"")</f>
        <v/>
      </c>
      <c r="P99" s="50" t="str">
        <f t="shared" si="11"/>
        <v>4342</v>
      </c>
      <c r="Q99" s="49">
        <f>VLOOKUP(옵션그룹계산1!J99,색인!$E$4:$F$99,2,FALSE)</f>
        <v>204</v>
      </c>
      <c r="R99" s="49">
        <f>_xlfn.IFNA(VLOOKUP(옵션그룹계산1!K99,색인!$E$4:$F$99,2,FALSE),"")</f>
        <v>904</v>
      </c>
      <c r="S99" s="49">
        <f>_xlfn.IFNA(VLOOKUP(옵션그룹계산1!L99,색인!$E$4:$F$99,2,FALSE),"")</f>
        <v>1904</v>
      </c>
      <c r="T99" s="49" t="str">
        <f>_xlfn.IFNA(VLOOKUP(옵션그룹계산1!M99,색인!$E$4:$F$99,2,FALSE),"")</f>
        <v/>
      </c>
      <c r="U99" s="49" t="str">
        <f>_xlfn.IFNA(VLOOKUP(옵션그룹계산1!N99,색인!$E$4:$F$99,2,FALSE),"")</f>
        <v/>
      </c>
      <c r="V99" s="49" t="str">
        <f>_xlfn.IFNA(VLOOKUP(옵션그룹계산1!O99,색인!$E$4:$F$99,2,FALSE),"")</f>
        <v/>
      </c>
      <c r="W99" s="50">
        <f t="shared" si="12"/>
        <v>4</v>
      </c>
      <c r="X99" s="50">
        <f t="shared" si="13"/>
        <v>3</v>
      </c>
      <c r="Y99" s="50">
        <f t="shared" si="14"/>
        <v>4</v>
      </c>
      <c r="Z99" s="50">
        <f t="shared" si="15"/>
        <v>2</v>
      </c>
      <c r="AA99" s="48" t="str">
        <f t="shared" si="16"/>
        <v>T4_3옵션_보주_탱커</v>
      </c>
      <c r="AB99" s="50" t="str">
        <f t="shared" si="17"/>
        <v>4342</v>
      </c>
      <c r="AC99" s="49" t="str">
        <f t="shared" si="18"/>
        <v>T4_3옵션_보주_탱커       (Grade 4~5)</v>
      </c>
      <c r="AD99" s="48" t="str">
        <f t="shared" si="19"/>
        <v>204,904,1904</v>
      </c>
    </row>
    <row r="100" spans="3:30" x14ac:dyDescent="0.3">
      <c r="C100" s="51">
        <v>5</v>
      </c>
      <c r="D100" s="51">
        <v>1</v>
      </c>
      <c r="E100" s="51" t="s">
        <v>5400</v>
      </c>
      <c r="F100" s="51" t="s">
        <v>5397</v>
      </c>
      <c r="G100" s="50" t="str">
        <f>VLOOKUP(E100,옵션그룹계산1!$AF$4:$AH$7,3,FALSE)</f>
        <v xml:space="preserve">    </v>
      </c>
      <c r="H100" s="49" t="str">
        <f>VLOOKUP(D100,옵션그룹계산1!$AF$16:$AG$19,2,FALSE)</f>
        <v>(Grade 2)</v>
      </c>
      <c r="I100" s="50" t="str">
        <f t="shared" si="10"/>
        <v>방어구_딜러</v>
      </c>
      <c r="J100" s="49" t="str">
        <f>IF($D100&gt;=(J$2-1),VLOOKUP($I100,색인!$L$4:$R$11,J$2,FALSE)&amp;"_"&amp;$C100,"")</f>
        <v>공격력_5</v>
      </c>
      <c r="K100" s="49" t="str">
        <f>IF($D100&gt;=(K$2-1),VLOOKUP($I100,색인!$L$4:$R$11,K$2,FALSE)&amp;"_"&amp;$C100,"")</f>
        <v/>
      </c>
      <c r="L100" s="49" t="str">
        <f>IF($D100&gt;=(L$2-1),VLOOKUP($I100,색인!$L$4:$R$11,L$2,FALSE)&amp;"_"&amp;$C100,"")</f>
        <v/>
      </c>
      <c r="M100" s="49" t="str">
        <f>IF($D100&gt;=(M$2-1),VLOOKUP($I100,색인!$L$4:$R$11,M$2,FALSE)&amp;"_"&amp;$C100,"")</f>
        <v/>
      </c>
      <c r="N100" s="49" t="str">
        <f>IF(AND(C100&gt;=6,D100&gt;=4),VLOOKUP($I100,색인!$L$4:$R$11,N$2,FALSE)&amp;"_"&amp;$C100,"")</f>
        <v/>
      </c>
      <c r="O100" s="49" t="str">
        <f>IF(AND(C100&gt;=6,D100&gt;=4),VLOOKUP($I100,색인!$L$4:$R$11,O$2,FALSE)&amp;"_"&amp;$C100,"")</f>
        <v/>
      </c>
      <c r="P100" s="50" t="str">
        <f t="shared" si="11"/>
        <v>5111</v>
      </c>
      <c r="Q100" s="49">
        <f>VLOOKUP(옵션그룹계산1!J100,색인!$E$4:$F$99,2,FALSE)</f>
        <v>105</v>
      </c>
      <c r="R100" s="49" t="str">
        <f>_xlfn.IFNA(VLOOKUP(옵션그룹계산1!K100,색인!$E$4:$F$99,2,FALSE),"")</f>
        <v/>
      </c>
      <c r="S100" s="49" t="str">
        <f>_xlfn.IFNA(VLOOKUP(옵션그룹계산1!L100,색인!$E$4:$F$99,2,FALSE),"")</f>
        <v/>
      </c>
      <c r="T100" s="49" t="str">
        <f>_xlfn.IFNA(VLOOKUP(옵션그룹계산1!M100,색인!$E$4:$F$99,2,FALSE),"")</f>
        <v/>
      </c>
      <c r="U100" s="49" t="str">
        <f>_xlfn.IFNA(VLOOKUP(옵션그룹계산1!N100,색인!$E$4:$F$99,2,FALSE),"")</f>
        <v/>
      </c>
      <c r="V100" s="49" t="str">
        <f>_xlfn.IFNA(VLOOKUP(옵션그룹계산1!O100,색인!$E$4:$F$99,2,FALSE),"")</f>
        <v/>
      </c>
      <c r="W100" s="50">
        <f t="shared" si="12"/>
        <v>5</v>
      </c>
      <c r="X100" s="50">
        <f t="shared" si="13"/>
        <v>1</v>
      </c>
      <c r="Y100" s="50">
        <f t="shared" si="14"/>
        <v>1</v>
      </c>
      <c r="Z100" s="50">
        <f t="shared" si="15"/>
        <v>1</v>
      </c>
      <c r="AA100" s="48" t="str">
        <f t="shared" si="16"/>
        <v>T5_1옵션_방어구_딜러</v>
      </c>
      <c r="AB100" s="50" t="str">
        <f t="shared" si="17"/>
        <v>5111</v>
      </c>
      <c r="AC100" s="49" t="str">
        <f t="shared" si="18"/>
        <v>T5_1옵션_방어구_딜러    (Grade 2)</v>
      </c>
      <c r="AD100" s="48" t="str">
        <f t="shared" si="19"/>
        <v>105</v>
      </c>
    </row>
    <row r="101" spans="3:30" x14ac:dyDescent="0.3">
      <c r="C101" s="51">
        <v>5</v>
      </c>
      <c r="D101" s="51">
        <v>1</v>
      </c>
      <c r="E101" s="51" t="s">
        <v>5400</v>
      </c>
      <c r="F101" s="51" t="s">
        <v>5395</v>
      </c>
      <c r="G101" s="50" t="str">
        <f>VLOOKUP(E101,옵션그룹계산1!$AF$4:$AH$7,3,FALSE)</f>
        <v xml:space="preserve">    </v>
      </c>
      <c r="H101" s="49" t="str">
        <f>VLOOKUP(D101,옵션그룹계산1!$AF$16:$AG$19,2,FALSE)</f>
        <v>(Grade 2)</v>
      </c>
      <c r="I101" s="50" t="str">
        <f t="shared" si="10"/>
        <v>방어구_탱커</v>
      </c>
      <c r="J101" s="49" t="str">
        <f>IF($D101&gt;=(J$2-1),VLOOKUP($I101,색인!$L$4:$R$11,J$2,FALSE)&amp;"_"&amp;$C101,"")</f>
        <v>공격속도_5</v>
      </c>
      <c r="K101" s="49" t="str">
        <f>IF($D101&gt;=(K$2-1),VLOOKUP($I101,색인!$L$4:$R$11,K$2,FALSE)&amp;"_"&amp;$C101,"")</f>
        <v/>
      </c>
      <c r="L101" s="49" t="str">
        <f>IF($D101&gt;=(L$2-1),VLOOKUP($I101,색인!$L$4:$R$11,L$2,FALSE)&amp;"_"&amp;$C101,"")</f>
        <v/>
      </c>
      <c r="M101" s="49" t="str">
        <f>IF($D101&gt;=(M$2-1),VLOOKUP($I101,색인!$L$4:$R$11,M$2,FALSE)&amp;"_"&amp;$C101,"")</f>
        <v/>
      </c>
      <c r="N101" s="49" t="str">
        <f>IF(AND(C101&gt;=6,D101&gt;=4),VLOOKUP($I101,색인!$L$4:$R$11,N$2,FALSE)&amp;"_"&amp;$C101,"")</f>
        <v/>
      </c>
      <c r="O101" s="49" t="str">
        <f>IF(AND(C101&gt;=6,D101&gt;=4),VLOOKUP($I101,색인!$L$4:$R$11,O$2,FALSE)&amp;"_"&amp;$C101,"")</f>
        <v/>
      </c>
      <c r="P101" s="50" t="str">
        <f t="shared" si="11"/>
        <v>5112</v>
      </c>
      <c r="Q101" s="49">
        <f>VLOOKUP(옵션그룹계산1!J101,색인!$E$4:$F$99,2,FALSE)</f>
        <v>1105</v>
      </c>
      <c r="R101" s="49" t="str">
        <f>_xlfn.IFNA(VLOOKUP(옵션그룹계산1!K101,색인!$E$4:$F$99,2,FALSE),"")</f>
        <v/>
      </c>
      <c r="S101" s="49" t="str">
        <f>_xlfn.IFNA(VLOOKUP(옵션그룹계산1!L101,색인!$E$4:$F$99,2,FALSE),"")</f>
        <v/>
      </c>
      <c r="T101" s="49" t="str">
        <f>_xlfn.IFNA(VLOOKUP(옵션그룹계산1!M101,색인!$E$4:$F$99,2,FALSE),"")</f>
        <v/>
      </c>
      <c r="U101" s="49" t="str">
        <f>_xlfn.IFNA(VLOOKUP(옵션그룹계산1!N101,색인!$E$4:$F$99,2,FALSE),"")</f>
        <v/>
      </c>
      <c r="V101" s="49" t="str">
        <f>_xlfn.IFNA(VLOOKUP(옵션그룹계산1!O101,색인!$E$4:$F$99,2,FALSE),"")</f>
        <v/>
      </c>
      <c r="W101" s="50">
        <f t="shared" si="12"/>
        <v>5</v>
      </c>
      <c r="X101" s="50">
        <f t="shared" si="13"/>
        <v>1</v>
      </c>
      <c r="Y101" s="50">
        <f t="shared" si="14"/>
        <v>1</v>
      </c>
      <c r="Z101" s="50">
        <f t="shared" si="15"/>
        <v>2</v>
      </c>
      <c r="AA101" s="48" t="str">
        <f t="shared" si="16"/>
        <v>T5_1옵션_방어구_탱커</v>
      </c>
      <c r="AB101" s="50" t="str">
        <f t="shared" si="17"/>
        <v>5112</v>
      </c>
      <c r="AC101" s="49" t="str">
        <f t="shared" si="18"/>
        <v>T5_1옵션_방어구_탱커    (Grade 2)</v>
      </c>
      <c r="AD101" s="48" t="str">
        <f t="shared" si="19"/>
        <v>1105</v>
      </c>
    </row>
    <row r="102" spans="3:30" x14ac:dyDescent="0.3">
      <c r="C102" s="51">
        <v>5</v>
      </c>
      <c r="D102" s="51">
        <v>1</v>
      </c>
      <c r="E102" s="51" t="s">
        <v>5399</v>
      </c>
      <c r="F102" s="51" t="s">
        <v>5397</v>
      </c>
      <c r="G102" s="50" t="str">
        <f>VLOOKUP(E102,옵션그룹계산1!$AF$4:$AH$7,3,FALSE)</f>
        <v xml:space="preserve"> </v>
      </c>
      <c r="H102" s="49" t="str">
        <f>VLOOKUP(D102,옵션그룹계산1!$AF$16:$AG$19,2,FALSE)</f>
        <v>(Grade 2)</v>
      </c>
      <c r="I102" s="50" t="str">
        <f t="shared" si="10"/>
        <v>보조장비_딜러</v>
      </c>
      <c r="J102" s="49" t="str">
        <f>IF($D102&gt;=(J$2-1),VLOOKUP($I102,색인!$L$4:$R$11,J$2,FALSE)&amp;"_"&amp;$C102,"")</f>
        <v>공격력_5</v>
      </c>
      <c r="K102" s="49" t="str">
        <f>IF($D102&gt;=(K$2-1),VLOOKUP($I102,색인!$L$4:$R$11,K$2,FALSE)&amp;"_"&amp;$C102,"")</f>
        <v/>
      </c>
      <c r="L102" s="49" t="str">
        <f>IF($D102&gt;=(L$2-1),VLOOKUP($I102,색인!$L$4:$R$11,L$2,FALSE)&amp;"_"&amp;$C102,"")</f>
        <v/>
      </c>
      <c r="M102" s="49" t="str">
        <f>IF($D102&gt;=(M$2-1),VLOOKUP($I102,색인!$L$4:$R$11,M$2,FALSE)&amp;"_"&amp;$C102,"")</f>
        <v/>
      </c>
      <c r="N102" s="49" t="str">
        <f>IF(AND(C102&gt;=6,D102&gt;=4),VLOOKUP($I102,색인!$L$4:$R$11,N$2,FALSE)&amp;"_"&amp;$C102,"")</f>
        <v/>
      </c>
      <c r="O102" s="49" t="str">
        <f>IF(AND(C102&gt;=6,D102&gt;=4),VLOOKUP($I102,색인!$L$4:$R$11,O$2,FALSE)&amp;"_"&amp;$C102,"")</f>
        <v/>
      </c>
      <c r="P102" s="50" t="str">
        <f t="shared" si="11"/>
        <v>5121</v>
      </c>
      <c r="Q102" s="49">
        <f>VLOOKUP(옵션그룹계산1!J102,색인!$E$4:$F$99,2,FALSE)</f>
        <v>105</v>
      </c>
      <c r="R102" s="49" t="str">
        <f>_xlfn.IFNA(VLOOKUP(옵션그룹계산1!K102,색인!$E$4:$F$99,2,FALSE),"")</f>
        <v/>
      </c>
      <c r="S102" s="49" t="str">
        <f>_xlfn.IFNA(VLOOKUP(옵션그룹계산1!L102,색인!$E$4:$F$99,2,FALSE),"")</f>
        <v/>
      </c>
      <c r="T102" s="49" t="str">
        <f>_xlfn.IFNA(VLOOKUP(옵션그룹계산1!M102,색인!$E$4:$F$99,2,FALSE),"")</f>
        <v/>
      </c>
      <c r="U102" s="49" t="str">
        <f>_xlfn.IFNA(VLOOKUP(옵션그룹계산1!N102,색인!$E$4:$F$99,2,FALSE),"")</f>
        <v/>
      </c>
      <c r="V102" s="49" t="str">
        <f>_xlfn.IFNA(VLOOKUP(옵션그룹계산1!O102,색인!$E$4:$F$99,2,FALSE),"")</f>
        <v/>
      </c>
      <c r="W102" s="50">
        <f t="shared" si="12"/>
        <v>5</v>
      </c>
      <c r="X102" s="50">
        <f t="shared" si="13"/>
        <v>1</v>
      </c>
      <c r="Y102" s="50">
        <f t="shared" si="14"/>
        <v>2</v>
      </c>
      <c r="Z102" s="50">
        <f t="shared" si="15"/>
        <v>1</v>
      </c>
      <c r="AA102" s="48" t="str">
        <f t="shared" si="16"/>
        <v>T5_1옵션_보조장비_딜러</v>
      </c>
      <c r="AB102" s="50" t="str">
        <f t="shared" si="17"/>
        <v>5121</v>
      </c>
      <c r="AC102" s="49" t="str">
        <f t="shared" si="18"/>
        <v>T5_1옵션_보조장비_딜러 (Grade 2)</v>
      </c>
      <c r="AD102" s="48" t="str">
        <f t="shared" si="19"/>
        <v>105</v>
      </c>
    </row>
    <row r="103" spans="3:30" x14ac:dyDescent="0.3">
      <c r="C103" s="51">
        <v>5</v>
      </c>
      <c r="D103" s="51">
        <v>1</v>
      </c>
      <c r="E103" s="51" t="s">
        <v>5399</v>
      </c>
      <c r="F103" s="51" t="s">
        <v>5395</v>
      </c>
      <c r="G103" s="50" t="str">
        <f>VLOOKUP(E103,옵션그룹계산1!$AF$4:$AH$7,3,FALSE)</f>
        <v xml:space="preserve"> </v>
      </c>
      <c r="H103" s="49" t="str">
        <f>VLOOKUP(D103,옵션그룹계산1!$AF$16:$AG$19,2,FALSE)</f>
        <v>(Grade 2)</v>
      </c>
      <c r="I103" s="50" t="str">
        <f t="shared" si="10"/>
        <v>보조장비_탱커</v>
      </c>
      <c r="J103" s="49" t="str">
        <f>IF($D103&gt;=(J$2-1),VLOOKUP($I103,색인!$L$4:$R$11,J$2,FALSE)&amp;"_"&amp;$C103,"")</f>
        <v>공격속도_5</v>
      </c>
      <c r="K103" s="49" t="str">
        <f>IF($D103&gt;=(K$2-1),VLOOKUP($I103,색인!$L$4:$R$11,K$2,FALSE)&amp;"_"&amp;$C103,"")</f>
        <v/>
      </c>
      <c r="L103" s="49" t="str">
        <f>IF($D103&gt;=(L$2-1),VLOOKUP($I103,색인!$L$4:$R$11,L$2,FALSE)&amp;"_"&amp;$C103,"")</f>
        <v/>
      </c>
      <c r="M103" s="49" t="str">
        <f>IF($D103&gt;=(M$2-1),VLOOKUP($I103,색인!$L$4:$R$11,M$2,FALSE)&amp;"_"&amp;$C103,"")</f>
        <v/>
      </c>
      <c r="N103" s="49" t="str">
        <f>IF(AND(C103&gt;=6,D103&gt;=4),VLOOKUP($I103,색인!$L$4:$R$11,N$2,FALSE)&amp;"_"&amp;$C103,"")</f>
        <v/>
      </c>
      <c r="O103" s="49" t="str">
        <f>IF(AND(C103&gt;=6,D103&gt;=4),VLOOKUP($I103,색인!$L$4:$R$11,O$2,FALSE)&amp;"_"&amp;$C103,"")</f>
        <v/>
      </c>
      <c r="P103" s="50" t="str">
        <f t="shared" si="11"/>
        <v>5122</v>
      </c>
      <c r="Q103" s="49">
        <f>VLOOKUP(옵션그룹계산1!J103,색인!$E$4:$F$99,2,FALSE)</f>
        <v>1105</v>
      </c>
      <c r="R103" s="49" t="str">
        <f>_xlfn.IFNA(VLOOKUP(옵션그룹계산1!K103,색인!$E$4:$F$99,2,FALSE),"")</f>
        <v/>
      </c>
      <c r="S103" s="49" t="str">
        <f>_xlfn.IFNA(VLOOKUP(옵션그룹계산1!L103,색인!$E$4:$F$99,2,FALSE),"")</f>
        <v/>
      </c>
      <c r="T103" s="49" t="str">
        <f>_xlfn.IFNA(VLOOKUP(옵션그룹계산1!M103,색인!$E$4:$F$99,2,FALSE),"")</f>
        <v/>
      </c>
      <c r="U103" s="49" t="str">
        <f>_xlfn.IFNA(VLOOKUP(옵션그룹계산1!N103,색인!$E$4:$F$99,2,FALSE),"")</f>
        <v/>
      </c>
      <c r="V103" s="49" t="str">
        <f>_xlfn.IFNA(VLOOKUP(옵션그룹계산1!O103,색인!$E$4:$F$99,2,FALSE),"")</f>
        <v/>
      </c>
      <c r="W103" s="50">
        <f t="shared" si="12"/>
        <v>5</v>
      </c>
      <c r="X103" s="50">
        <f t="shared" si="13"/>
        <v>1</v>
      </c>
      <c r="Y103" s="50">
        <f t="shared" si="14"/>
        <v>2</v>
      </c>
      <c r="Z103" s="50">
        <f t="shared" si="15"/>
        <v>2</v>
      </c>
      <c r="AA103" s="48" t="str">
        <f t="shared" si="16"/>
        <v>T5_1옵션_보조장비_탱커</v>
      </c>
      <c r="AB103" s="50" t="str">
        <f t="shared" si="17"/>
        <v>5122</v>
      </c>
      <c r="AC103" s="49" t="str">
        <f t="shared" si="18"/>
        <v>T5_1옵션_보조장비_탱커 (Grade 2)</v>
      </c>
      <c r="AD103" s="48" t="str">
        <f t="shared" si="19"/>
        <v>1105</v>
      </c>
    </row>
    <row r="104" spans="3:30" x14ac:dyDescent="0.3">
      <c r="C104" s="51">
        <v>5</v>
      </c>
      <c r="D104" s="51">
        <v>1</v>
      </c>
      <c r="E104" s="51" t="s">
        <v>5398</v>
      </c>
      <c r="F104" s="51" t="s">
        <v>5397</v>
      </c>
      <c r="G104" s="50" t="str">
        <f>VLOOKUP(E104,옵션그룹계산1!$AF$4:$AH$7,3,FALSE)</f>
        <v xml:space="preserve">    </v>
      </c>
      <c r="H104" s="49" t="str">
        <f>VLOOKUP(D104,옵션그룹계산1!$AF$16:$AG$19,2,FALSE)</f>
        <v>(Grade 2)</v>
      </c>
      <c r="I104" s="50" t="str">
        <f t="shared" si="10"/>
        <v>장신구_딜러</v>
      </c>
      <c r="J104" s="49" t="str">
        <f>IF($D104&gt;=(J$2-1),VLOOKUP($I104,색인!$L$4:$R$11,J$2,FALSE)&amp;"_"&amp;$C104,"")</f>
        <v>공격력_5</v>
      </c>
      <c r="K104" s="49" t="str">
        <f>IF($D104&gt;=(K$2-1),VLOOKUP($I104,색인!$L$4:$R$11,K$2,FALSE)&amp;"_"&amp;$C104,"")</f>
        <v/>
      </c>
      <c r="L104" s="49" t="str">
        <f>IF($D104&gt;=(L$2-1),VLOOKUP($I104,색인!$L$4:$R$11,L$2,FALSE)&amp;"_"&amp;$C104,"")</f>
        <v/>
      </c>
      <c r="M104" s="49" t="str">
        <f>IF($D104&gt;=(M$2-1),VLOOKUP($I104,색인!$L$4:$R$11,M$2,FALSE)&amp;"_"&amp;$C104,"")</f>
        <v/>
      </c>
      <c r="N104" s="49" t="str">
        <f>IF(AND(C104&gt;=6,D104&gt;=4),VLOOKUP($I104,색인!$L$4:$R$11,N$2,FALSE)&amp;"_"&amp;$C104,"")</f>
        <v/>
      </c>
      <c r="O104" s="49" t="str">
        <f>IF(AND(C104&gt;=6,D104&gt;=4),VLOOKUP($I104,색인!$L$4:$R$11,O$2,FALSE)&amp;"_"&amp;$C104,"")</f>
        <v/>
      </c>
      <c r="P104" s="50" t="str">
        <f t="shared" si="11"/>
        <v>5131</v>
      </c>
      <c r="Q104" s="49">
        <f>VLOOKUP(옵션그룹계산1!J104,색인!$E$4:$F$99,2,FALSE)</f>
        <v>105</v>
      </c>
      <c r="R104" s="49" t="str">
        <f>_xlfn.IFNA(VLOOKUP(옵션그룹계산1!K104,색인!$E$4:$F$99,2,FALSE),"")</f>
        <v/>
      </c>
      <c r="S104" s="49" t="str">
        <f>_xlfn.IFNA(VLOOKUP(옵션그룹계산1!L104,색인!$E$4:$F$99,2,FALSE),"")</f>
        <v/>
      </c>
      <c r="T104" s="49" t="str">
        <f>_xlfn.IFNA(VLOOKUP(옵션그룹계산1!M104,색인!$E$4:$F$99,2,FALSE),"")</f>
        <v/>
      </c>
      <c r="U104" s="49" t="str">
        <f>_xlfn.IFNA(VLOOKUP(옵션그룹계산1!N104,색인!$E$4:$F$99,2,FALSE),"")</f>
        <v/>
      </c>
      <c r="V104" s="49" t="str">
        <f>_xlfn.IFNA(VLOOKUP(옵션그룹계산1!O104,색인!$E$4:$F$99,2,FALSE),"")</f>
        <v/>
      </c>
      <c r="W104" s="50">
        <f t="shared" si="12"/>
        <v>5</v>
      </c>
      <c r="X104" s="50">
        <f t="shared" si="13"/>
        <v>1</v>
      </c>
      <c r="Y104" s="50">
        <f t="shared" si="14"/>
        <v>3</v>
      </c>
      <c r="Z104" s="50">
        <f t="shared" si="15"/>
        <v>1</v>
      </c>
      <c r="AA104" s="48" t="str">
        <f t="shared" si="16"/>
        <v>T5_1옵션_장신구_딜러</v>
      </c>
      <c r="AB104" s="50" t="str">
        <f t="shared" si="17"/>
        <v>5131</v>
      </c>
      <c r="AC104" s="49" t="str">
        <f t="shared" si="18"/>
        <v>T5_1옵션_장신구_딜러    (Grade 2)</v>
      </c>
      <c r="AD104" s="48" t="str">
        <f t="shared" si="19"/>
        <v>105</v>
      </c>
    </row>
    <row r="105" spans="3:30" x14ac:dyDescent="0.3">
      <c r="C105" s="51">
        <v>5</v>
      </c>
      <c r="D105" s="51">
        <v>1</v>
      </c>
      <c r="E105" s="51" t="s">
        <v>5398</v>
      </c>
      <c r="F105" s="51" t="s">
        <v>5395</v>
      </c>
      <c r="G105" s="50" t="str">
        <f>VLOOKUP(E105,옵션그룹계산1!$AF$4:$AH$7,3,FALSE)</f>
        <v xml:space="preserve">    </v>
      </c>
      <c r="H105" s="49" t="str">
        <f>VLOOKUP(D105,옵션그룹계산1!$AF$16:$AG$19,2,FALSE)</f>
        <v>(Grade 2)</v>
      </c>
      <c r="I105" s="50" t="str">
        <f t="shared" si="10"/>
        <v>장신구_탱커</v>
      </c>
      <c r="J105" s="49" t="str">
        <f>IF($D105&gt;=(J$2-1),VLOOKUP($I105,색인!$L$4:$R$11,J$2,FALSE)&amp;"_"&amp;$C105,"")</f>
        <v>체력_5</v>
      </c>
      <c r="K105" s="49" t="str">
        <f>IF($D105&gt;=(K$2-1),VLOOKUP($I105,색인!$L$4:$R$11,K$2,FALSE)&amp;"_"&amp;$C105,"")</f>
        <v/>
      </c>
      <c r="L105" s="49" t="str">
        <f>IF($D105&gt;=(L$2-1),VLOOKUP($I105,색인!$L$4:$R$11,L$2,FALSE)&amp;"_"&amp;$C105,"")</f>
        <v/>
      </c>
      <c r="M105" s="49" t="str">
        <f>IF($D105&gt;=(M$2-1),VLOOKUP($I105,색인!$L$4:$R$11,M$2,FALSE)&amp;"_"&amp;$C105,"")</f>
        <v/>
      </c>
      <c r="N105" s="49" t="str">
        <f>IF(AND(C105&gt;=6,D105&gt;=4),VLOOKUP($I105,색인!$L$4:$R$11,N$2,FALSE)&amp;"_"&amp;$C105,"")</f>
        <v/>
      </c>
      <c r="O105" s="49" t="str">
        <f>IF(AND(C105&gt;=6,D105&gt;=4),VLOOKUP($I105,색인!$L$4:$R$11,O$2,FALSE)&amp;"_"&amp;$C105,"")</f>
        <v/>
      </c>
      <c r="P105" s="50" t="str">
        <f t="shared" si="11"/>
        <v>5132</v>
      </c>
      <c r="Q105" s="49">
        <f>VLOOKUP(옵션그룹계산1!J105,색인!$E$4:$F$99,2,FALSE)</f>
        <v>205</v>
      </c>
      <c r="R105" s="49" t="str">
        <f>_xlfn.IFNA(VLOOKUP(옵션그룹계산1!K105,색인!$E$4:$F$99,2,FALSE),"")</f>
        <v/>
      </c>
      <c r="S105" s="49" t="str">
        <f>_xlfn.IFNA(VLOOKUP(옵션그룹계산1!L105,색인!$E$4:$F$99,2,FALSE),"")</f>
        <v/>
      </c>
      <c r="T105" s="49" t="str">
        <f>_xlfn.IFNA(VLOOKUP(옵션그룹계산1!M105,색인!$E$4:$F$99,2,FALSE),"")</f>
        <v/>
      </c>
      <c r="U105" s="49" t="str">
        <f>_xlfn.IFNA(VLOOKUP(옵션그룹계산1!N105,색인!$E$4:$F$99,2,FALSE),"")</f>
        <v/>
      </c>
      <c r="V105" s="49" t="str">
        <f>_xlfn.IFNA(VLOOKUP(옵션그룹계산1!O105,색인!$E$4:$F$99,2,FALSE),"")</f>
        <v/>
      </c>
      <c r="W105" s="50">
        <f t="shared" si="12"/>
        <v>5</v>
      </c>
      <c r="X105" s="50">
        <f t="shared" si="13"/>
        <v>1</v>
      </c>
      <c r="Y105" s="50">
        <f t="shared" si="14"/>
        <v>3</v>
      </c>
      <c r="Z105" s="50">
        <f t="shared" si="15"/>
        <v>2</v>
      </c>
      <c r="AA105" s="48" t="str">
        <f t="shared" si="16"/>
        <v>T5_1옵션_장신구_탱커</v>
      </c>
      <c r="AB105" s="50" t="str">
        <f t="shared" si="17"/>
        <v>5132</v>
      </c>
      <c r="AC105" s="49" t="str">
        <f t="shared" si="18"/>
        <v>T5_1옵션_장신구_탱커    (Grade 2)</v>
      </c>
      <c r="AD105" s="48" t="str">
        <f t="shared" si="19"/>
        <v>205</v>
      </c>
    </row>
    <row r="106" spans="3:30" x14ac:dyDescent="0.3">
      <c r="C106" s="51">
        <v>5</v>
      </c>
      <c r="D106" s="51">
        <v>1</v>
      </c>
      <c r="E106" s="51" t="s">
        <v>5396</v>
      </c>
      <c r="F106" s="51" t="s">
        <v>5397</v>
      </c>
      <c r="G106" s="50" t="str">
        <f>VLOOKUP(E106,옵션그룹계산1!$AF$4:$AH$7,3,FALSE)</f>
        <v xml:space="preserve">       </v>
      </c>
      <c r="H106" s="49" t="str">
        <f>VLOOKUP(D106,옵션그룹계산1!$AF$16:$AG$19,2,FALSE)</f>
        <v>(Grade 2)</v>
      </c>
      <c r="I106" s="50" t="str">
        <f t="shared" si="10"/>
        <v>보주_딜러</v>
      </c>
      <c r="J106" s="49" t="str">
        <f>IF($D106&gt;=(J$2-1),VLOOKUP($I106,색인!$L$4:$R$11,J$2,FALSE)&amp;"_"&amp;$C106,"")</f>
        <v>공격력_5</v>
      </c>
      <c r="K106" s="49" t="str">
        <f>IF($D106&gt;=(K$2-1),VLOOKUP($I106,색인!$L$4:$R$11,K$2,FALSE)&amp;"_"&amp;$C106,"")</f>
        <v/>
      </c>
      <c r="L106" s="49" t="str">
        <f>IF($D106&gt;=(L$2-1),VLOOKUP($I106,색인!$L$4:$R$11,L$2,FALSE)&amp;"_"&amp;$C106,"")</f>
        <v/>
      </c>
      <c r="M106" s="49" t="str">
        <f>IF($D106&gt;=(M$2-1),VLOOKUP($I106,색인!$L$4:$R$11,M$2,FALSE)&amp;"_"&amp;$C106,"")</f>
        <v/>
      </c>
      <c r="N106" s="49" t="str">
        <f>IF(AND(C106&gt;=6,D106&gt;=4),VLOOKUP($I106,색인!$L$4:$R$11,N$2,FALSE)&amp;"_"&amp;$C106,"")</f>
        <v/>
      </c>
      <c r="O106" s="49" t="str">
        <f>IF(AND(C106&gt;=6,D106&gt;=4),VLOOKUP($I106,색인!$L$4:$R$11,O$2,FALSE)&amp;"_"&amp;$C106,"")</f>
        <v/>
      </c>
      <c r="P106" s="50" t="str">
        <f t="shared" si="11"/>
        <v>5141</v>
      </c>
      <c r="Q106" s="49">
        <f>VLOOKUP(옵션그룹계산1!J106,색인!$E$4:$F$99,2,FALSE)</f>
        <v>105</v>
      </c>
      <c r="R106" s="49" t="str">
        <f>_xlfn.IFNA(VLOOKUP(옵션그룹계산1!K106,색인!$E$4:$F$99,2,FALSE),"")</f>
        <v/>
      </c>
      <c r="S106" s="49" t="str">
        <f>_xlfn.IFNA(VLOOKUP(옵션그룹계산1!L106,색인!$E$4:$F$99,2,FALSE),"")</f>
        <v/>
      </c>
      <c r="T106" s="49" t="str">
        <f>_xlfn.IFNA(VLOOKUP(옵션그룹계산1!M106,색인!$E$4:$F$99,2,FALSE),"")</f>
        <v/>
      </c>
      <c r="U106" s="49" t="str">
        <f>_xlfn.IFNA(VLOOKUP(옵션그룹계산1!N106,색인!$E$4:$F$99,2,FALSE),"")</f>
        <v/>
      </c>
      <c r="V106" s="49" t="str">
        <f>_xlfn.IFNA(VLOOKUP(옵션그룹계산1!O106,색인!$E$4:$F$99,2,FALSE),"")</f>
        <v/>
      </c>
      <c r="W106" s="50">
        <f t="shared" si="12"/>
        <v>5</v>
      </c>
      <c r="X106" s="50">
        <f t="shared" si="13"/>
        <v>1</v>
      </c>
      <c r="Y106" s="50">
        <f t="shared" si="14"/>
        <v>4</v>
      </c>
      <c r="Z106" s="50">
        <f t="shared" si="15"/>
        <v>1</v>
      </c>
      <c r="AA106" s="48" t="str">
        <f t="shared" si="16"/>
        <v>T5_1옵션_보주_딜러</v>
      </c>
      <c r="AB106" s="50" t="str">
        <f t="shared" si="17"/>
        <v>5141</v>
      </c>
      <c r="AC106" s="49" t="str">
        <f t="shared" si="18"/>
        <v>T5_1옵션_보주_딜러       (Grade 2)</v>
      </c>
      <c r="AD106" s="48" t="str">
        <f t="shared" si="19"/>
        <v>105</v>
      </c>
    </row>
    <row r="107" spans="3:30" x14ac:dyDescent="0.3">
      <c r="C107" s="51">
        <v>5</v>
      </c>
      <c r="D107" s="51">
        <v>1</v>
      </c>
      <c r="E107" s="51" t="s">
        <v>5396</v>
      </c>
      <c r="F107" s="51" t="s">
        <v>5395</v>
      </c>
      <c r="G107" s="50" t="str">
        <f>VLOOKUP(E107,옵션그룹계산1!$AF$4:$AH$7,3,FALSE)</f>
        <v xml:space="preserve">       </v>
      </c>
      <c r="H107" s="49" t="str">
        <f>VLOOKUP(D107,옵션그룹계산1!$AF$16:$AG$19,2,FALSE)</f>
        <v>(Grade 2)</v>
      </c>
      <c r="I107" s="50" t="str">
        <f t="shared" si="10"/>
        <v>보주_탱커</v>
      </c>
      <c r="J107" s="49" t="str">
        <f>IF($D107&gt;=(J$2-1),VLOOKUP($I107,색인!$L$4:$R$11,J$2,FALSE)&amp;"_"&amp;$C107,"")</f>
        <v>체력_5</v>
      </c>
      <c r="K107" s="49" t="str">
        <f>IF($D107&gt;=(K$2-1),VLOOKUP($I107,색인!$L$4:$R$11,K$2,FALSE)&amp;"_"&amp;$C107,"")</f>
        <v/>
      </c>
      <c r="L107" s="49" t="str">
        <f>IF($D107&gt;=(L$2-1),VLOOKUP($I107,색인!$L$4:$R$11,L$2,FALSE)&amp;"_"&amp;$C107,"")</f>
        <v/>
      </c>
      <c r="M107" s="49" t="str">
        <f>IF($D107&gt;=(M$2-1),VLOOKUP($I107,색인!$L$4:$R$11,M$2,FALSE)&amp;"_"&amp;$C107,"")</f>
        <v/>
      </c>
      <c r="N107" s="49" t="str">
        <f>IF(AND(C107&gt;=6,D107&gt;=4),VLOOKUP($I107,색인!$L$4:$R$11,N$2,FALSE)&amp;"_"&amp;$C107,"")</f>
        <v/>
      </c>
      <c r="O107" s="49" t="str">
        <f>IF(AND(C107&gt;=6,D107&gt;=4),VLOOKUP($I107,색인!$L$4:$R$11,O$2,FALSE)&amp;"_"&amp;$C107,"")</f>
        <v/>
      </c>
      <c r="P107" s="50" t="str">
        <f t="shared" si="11"/>
        <v>5142</v>
      </c>
      <c r="Q107" s="49">
        <f>VLOOKUP(옵션그룹계산1!J107,색인!$E$4:$F$99,2,FALSE)</f>
        <v>205</v>
      </c>
      <c r="R107" s="49" t="str">
        <f>_xlfn.IFNA(VLOOKUP(옵션그룹계산1!K107,색인!$E$4:$F$99,2,FALSE),"")</f>
        <v/>
      </c>
      <c r="S107" s="49" t="str">
        <f>_xlfn.IFNA(VLOOKUP(옵션그룹계산1!L107,색인!$E$4:$F$99,2,FALSE),"")</f>
        <v/>
      </c>
      <c r="T107" s="49" t="str">
        <f>_xlfn.IFNA(VLOOKUP(옵션그룹계산1!M107,색인!$E$4:$F$99,2,FALSE),"")</f>
        <v/>
      </c>
      <c r="U107" s="49" t="str">
        <f>_xlfn.IFNA(VLOOKUP(옵션그룹계산1!N107,색인!$E$4:$F$99,2,FALSE),"")</f>
        <v/>
      </c>
      <c r="V107" s="49" t="str">
        <f>_xlfn.IFNA(VLOOKUP(옵션그룹계산1!O107,색인!$E$4:$F$99,2,FALSE),"")</f>
        <v/>
      </c>
      <c r="W107" s="50">
        <f t="shared" si="12"/>
        <v>5</v>
      </c>
      <c r="X107" s="50">
        <f t="shared" si="13"/>
        <v>1</v>
      </c>
      <c r="Y107" s="50">
        <f t="shared" si="14"/>
        <v>4</v>
      </c>
      <c r="Z107" s="50">
        <f t="shared" si="15"/>
        <v>2</v>
      </c>
      <c r="AA107" s="48" t="str">
        <f t="shared" si="16"/>
        <v>T5_1옵션_보주_탱커</v>
      </c>
      <c r="AB107" s="50" t="str">
        <f t="shared" si="17"/>
        <v>5142</v>
      </c>
      <c r="AC107" s="49" t="str">
        <f t="shared" si="18"/>
        <v>T5_1옵션_보주_탱커       (Grade 2)</v>
      </c>
      <c r="AD107" s="48" t="str">
        <f t="shared" si="19"/>
        <v>205</v>
      </c>
    </row>
    <row r="108" spans="3:30" x14ac:dyDescent="0.3">
      <c r="C108" s="51">
        <v>5</v>
      </c>
      <c r="D108" s="51">
        <v>2</v>
      </c>
      <c r="E108" s="51" t="s">
        <v>5400</v>
      </c>
      <c r="F108" s="51" t="s">
        <v>5397</v>
      </c>
      <c r="G108" s="50" t="str">
        <f>VLOOKUP(E108,옵션그룹계산1!$AF$4:$AH$7,3,FALSE)</f>
        <v xml:space="preserve">    </v>
      </c>
      <c r="H108" s="49" t="str">
        <f>VLOOKUP(D108,옵션그룹계산1!$AF$16:$AG$19,2,FALSE)</f>
        <v>(Grade 3)</v>
      </c>
      <c r="I108" s="50" t="str">
        <f t="shared" si="10"/>
        <v>방어구_딜러</v>
      </c>
      <c r="J108" s="49" t="str">
        <f>IF($D108&gt;=(J$2-1),VLOOKUP($I108,색인!$L$4:$R$11,J$2,FALSE)&amp;"_"&amp;$C108,"")</f>
        <v>공격력_5</v>
      </c>
      <c r="K108" s="49" t="str">
        <f>IF($D108&gt;=(K$2-1),VLOOKUP($I108,색인!$L$4:$R$11,K$2,FALSE)&amp;"_"&amp;$C108,"")</f>
        <v>공격속도_5</v>
      </c>
      <c r="L108" s="49" t="str">
        <f>IF($D108&gt;=(L$2-1),VLOOKUP($I108,색인!$L$4:$R$11,L$2,FALSE)&amp;"_"&amp;$C108,"")</f>
        <v/>
      </c>
      <c r="M108" s="49" t="str">
        <f>IF($D108&gt;=(M$2-1),VLOOKUP($I108,색인!$L$4:$R$11,M$2,FALSE)&amp;"_"&amp;$C108,"")</f>
        <v/>
      </c>
      <c r="N108" s="49" t="str">
        <f>IF(AND(C108&gt;=6,D108&gt;=4),VLOOKUP($I108,색인!$L$4:$R$11,N$2,FALSE)&amp;"_"&amp;$C108,"")</f>
        <v/>
      </c>
      <c r="O108" s="49" t="str">
        <f>IF(AND(C108&gt;=6,D108&gt;=4),VLOOKUP($I108,색인!$L$4:$R$11,O$2,FALSE)&amp;"_"&amp;$C108,"")</f>
        <v/>
      </c>
      <c r="P108" s="50" t="str">
        <f t="shared" si="11"/>
        <v>5211</v>
      </c>
      <c r="Q108" s="49">
        <f>VLOOKUP(옵션그룹계산1!J108,색인!$E$4:$F$99,2,FALSE)</f>
        <v>105</v>
      </c>
      <c r="R108" s="49">
        <f>_xlfn.IFNA(VLOOKUP(옵션그룹계산1!K108,색인!$E$4:$F$99,2,FALSE),"")</f>
        <v>1105</v>
      </c>
      <c r="S108" s="49" t="str">
        <f>_xlfn.IFNA(VLOOKUP(옵션그룹계산1!L108,색인!$E$4:$F$99,2,FALSE),"")</f>
        <v/>
      </c>
      <c r="T108" s="49" t="str">
        <f>_xlfn.IFNA(VLOOKUP(옵션그룹계산1!M108,색인!$E$4:$F$99,2,FALSE),"")</f>
        <v/>
      </c>
      <c r="U108" s="49" t="str">
        <f>_xlfn.IFNA(VLOOKUP(옵션그룹계산1!N108,색인!$E$4:$F$99,2,FALSE),"")</f>
        <v/>
      </c>
      <c r="V108" s="49" t="str">
        <f>_xlfn.IFNA(VLOOKUP(옵션그룹계산1!O108,색인!$E$4:$F$99,2,FALSE),"")</f>
        <v/>
      </c>
      <c r="W108" s="50">
        <f t="shared" si="12"/>
        <v>5</v>
      </c>
      <c r="X108" s="50">
        <f t="shared" si="13"/>
        <v>2</v>
      </c>
      <c r="Y108" s="50">
        <f t="shared" si="14"/>
        <v>1</v>
      </c>
      <c r="Z108" s="50">
        <f t="shared" si="15"/>
        <v>1</v>
      </c>
      <c r="AA108" s="48" t="str">
        <f t="shared" si="16"/>
        <v>T5_2옵션_방어구_딜러</v>
      </c>
      <c r="AB108" s="50" t="str">
        <f t="shared" si="17"/>
        <v>5211</v>
      </c>
      <c r="AC108" s="49" t="str">
        <f t="shared" si="18"/>
        <v>T5_2옵션_방어구_딜러    (Grade 3)</v>
      </c>
      <c r="AD108" s="48" t="str">
        <f t="shared" si="19"/>
        <v>105,1105</v>
      </c>
    </row>
    <row r="109" spans="3:30" x14ac:dyDescent="0.3">
      <c r="C109" s="51">
        <v>5</v>
      </c>
      <c r="D109" s="51">
        <v>2</v>
      </c>
      <c r="E109" s="51" t="s">
        <v>5400</v>
      </c>
      <c r="F109" s="51" t="s">
        <v>5395</v>
      </c>
      <c r="G109" s="50" t="str">
        <f>VLOOKUP(E109,옵션그룹계산1!$AF$4:$AH$7,3,FALSE)</f>
        <v xml:space="preserve">    </v>
      </c>
      <c r="H109" s="49" t="str">
        <f>VLOOKUP(D109,옵션그룹계산1!$AF$16:$AG$19,2,FALSE)</f>
        <v>(Grade 3)</v>
      </c>
      <c r="I109" s="50" t="str">
        <f t="shared" si="10"/>
        <v>방어구_탱커</v>
      </c>
      <c r="J109" s="49" t="str">
        <f>IF($D109&gt;=(J$2-1),VLOOKUP($I109,색인!$L$4:$R$11,J$2,FALSE)&amp;"_"&amp;$C109,"")</f>
        <v>공격속도_5</v>
      </c>
      <c r="K109" s="49" t="str">
        <f>IF($D109&gt;=(K$2-1),VLOOKUP($I109,색인!$L$4:$R$11,K$2,FALSE)&amp;"_"&amp;$C109,"")</f>
        <v>물리블록_5</v>
      </c>
      <c r="L109" s="49" t="str">
        <f>IF($D109&gt;=(L$2-1),VLOOKUP($I109,색인!$L$4:$R$11,L$2,FALSE)&amp;"_"&amp;$C109,"")</f>
        <v/>
      </c>
      <c r="M109" s="49" t="str">
        <f>IF($D109&gt;=(M$2-1),VLOOKUP($I109,색인!$L$4:$R$11,M$2,FALSE)&amp;"_"&amp;$C109,"")</f>
        <v/>
      </c>
      <c r="N109" s="49" t="str">
        <f>IF(AND(C109&gt;=6,D109&gt;=4),VLOOKUP($I109,색인!$L$4:$R$11,N$2,FALSE)&amp;"_"&amp;$C109,"")</f>
        <v/>
      </c>
      <c r="O109" s="49" t="str">
        <f>IF(AND(C109&gt;=6,D109&gt;=4),VLOOKUP($I109,색인!$L$4:$R$11,O$2,FALSE)&amp;"_"&amp;$C109,"")</f>
        <v/>
      </c>
      <c r="P109" s="50" t="str">
        <f t="shared" si="11"/>
        <v>5212</v>
      </c>
      <c r="Q109" s="49">
        <f>VLOOKUP(옵션그룹계산1!J109,색인!$E$4:$F$99,2,FALSE)</f>
        <v>1105</v>
      </c>
      <c r="R109" s="49">
        <f>_xlfn.IFNA(VLOOKUP(옵션그룹계산1!K109,색인!$E$4:$F$99,2,FALSE),"")</f>
        <v>905</v>
      </c>
      <c r="S109" s="49" t="str">
        <f>_xlfn.IFNA(VLOOKUP(옵션그룹계산1!L109,색인!$E$4:$F$99,2,FALSE),"")</f>
        <v/>
      </c>
      <c r="T109" s="49" t="str">
        <f>_xlfn.IFNA(VLOOKUP(옵션그룹계산1!M109,색인!$E$4:$F$99,2,FALSE),"")</f>
        <v/>
      </c>
      <c r="U109" s="49" t="str">
        <f>_xlfn.IFNA(VLOOKUP(옵션그룹계산1!N109,색인!$E$4:$F$99,2,FALSE),"")</f>
        <v/>
      </c>
      <c r="V109" s="49" t="str">
        <f>_xlfn.IFNA(VLOOKUP(옵션그룹계산1!O109,색인!$E$4:$F$99,2,FALSE),"")</f>
        <v/>
      </c>
      <c r="W109" s="50">
        <f t="shared" si="12"/>
        <v>5</v>
      </c>
      <c r="X109" s="50">
        <f t="shared" si="13"/>
        <v>2</v>
      </c>
      <c r="Y109" s="50">
        <f t="shared" si="14"/>
        <v>1</v>
      </c>
      <c r="Z109" s="50">
        <f t="shared" si="15"/>
        <v>2</v>
      </c>
      <c r="AA109" s="48" t="str">
        <f t="shared" si="16"/>
        <v>T5_2옵션_방어구_탱커</v>
      </c>
      <c r="AB109" s="50" t="str">
        <f t="shared" si="17"/>
        <v>5212</v>
      </c>
      <c r="AC109" s="49" t="str">
        <f t="shared" si="18"/>
        <v>T5_2옵션_방어구_탱커    (Grade 3)</v>
      </c>
      <c r="AD109" s="48" t="str">
        <f t="shared" si="19"/>
        <v>1105,905</v>
      </c>
    </row>
    <row r="110" spans="3:30" x14ac:dyDescent="0.3">
      <c r="C110" s="51">
        <v>5</v>
      </c>
      <c r="D110" s="51">
        <v>2</v>
      </c>
      <c r="E110" s="51" t="s">
        <v>5399</v>
      </c>
      <c r="F110" s="51" t="s">
        <v>5397</v>
      </c>
      <c r="G110" s="50" t="str">
        <f>VLOOKUP(E110,옵션그룹계산1!$AF$4:$AH$7,3,FALSE)</f>
        <v xml:space="preserve"> </v>
      </c>
      <c r="H110" s="49" t="str">
        <f>VLOOKUP(D110,옵션그룹계산1!$AF$16:$AG$19,2,FALSE)</f>
        <v>(Grade 3)</v>
      </c>
      <c r="I110" s="50" t="str">
        <f t="shared" si="10"/>
        <v>보조장비_딜러</v>
      </c>
      <c r="J110" s="49" t="str">
        <f>IF($D110&gt;=(J$2-1),VLOOKUP($I110,색인!$L$4:$R$11,J$2,FALSE)&amp;"_"&amp;$C110,"")</f>
        <v>공격력_5</v>
      </c>
      <c r="K110" s="49" t="str">
        <f>IF($D110&gt;=(K$2-1),VLOOKUP($I110,색인!$L$4:$R$11,K$2,FALSE)&amp;"_"&amp;$C110,"")</f>
        <v>공격속도_5</v>
      </c>
      <c r="L110" s="49" t="str">
        <f>IF($D110&gt;=(L$2-1),VLOOKUP($I110,색인!$L$4:$R$11,L$2,FALSE)&amp;"_"&amp;$C110,"")</f>
        <v/>
      </c>
      <c r="M110" s="49" t="str">
        <f>IF($D110&gt;=(M$2-1),VLOOKUP($I110,색인!$L$4:$R$11,M$2,FALSE)&amp;"_"&amp;$C110,"")</f>
        <v/>
      </c>
      <c r="N110" s="49" t="str">
        <f>IF(AND(C110&gt;=6,D110&gt;=4),VLOOKUP($I110,색인!$L$4:$R$11,N$2,FALSE)&amp;"_"&amp;$C110,"")</f>
        <v/>
      </c>
      <c r="O110" s="49" t="str">
        <f>IF(AND(C110&gt;=6,D110&gt;=4),VLOOKUP($I110,색인!$L$4:$R$11,O$2,FALSE)&amp;"_"&amp;$C110,"")</f>
        <v/>
      </c>
      <c r="P110" s="50" t="str">
        <f t="shared" si="11"/>
        <v>5221</v>
      </c>
      <c r="Q110" s="49">
        <f>VLOOKUP(옵션그룹계산1!J110,색인!$E$4:$F$99,2,FALSE)</f>
        <v>105</v>
      </c>
      <c r="R110" s="49">
        <f>_xlfn.IFNA(VLOOKUP(옵션그룹계산1!K110,색인!$E$4:$F$99,2,FALSE),"")</f>
        <v>1105</v>
      </c>
      <c r="S110" s="49" t="str">
        <f>_xlfn.IFNA(VLOOKUP(옵션그룹계산1!L110,색인!$E$4:$F$99,2,FALSE),"")</f>
        <v/>
      </c>
      <c r="T110" s="49" t="str">
        <f>_xlfn.IFNA(VLOOKUP(옵션그룹계산1!M110,색인!$E$4:$F$99,2,FALSE),"")</f>
        <v/>
      </c>
      <c r="U110" s="49" t="str">
        <f>_xlfn.IFNA(VLOOKUP(옵션그룹계산1!N110,색인!$E$4:$F$99,2,FALSE),"")</f>
        <v/>
      </c>
      <c r="V110" s="49" t="str">
        <f>_xlfn.IFNA(VLOOKUP(옵션그룹계산1!O110,색인!$E$4:$F$99,2,FALSE),"")</f>
        <v/>
      </c>
      <c r="W110" s="50">
        <f t="shared" si="12"/>
        <v>5</v>
      </c>
      <c r="X110" s="50">
        <f t="shared" si="13"/>
        <v>2</v>
      </c>
      <c r="Y110" s="50">
        <f t="shared" si="14"/>
        <v>2</v>
      </c>
      <c r="Z110" s="50">
        <f t="shared" si="15"/>
        <v>1</v>
      </c>
      <c r="AA110" s="48" t="str">
        <f t="shared" si="16"/>
        <v>T5_2옵션_보조장비_딜러</v>
      </c>
      <c r="AB110" s="50" t="str">
        <f t="shared" si="17"/>
        <v>5221</v>
      </c>
      <c r="AC110" s="49" t="str">
        <f t="shared" si="18"/>
        <v>T5_2옵션_보조장비_딜러 (Grade 3)</v>
      </c>
      <c r="AD110" s="48" t="str">
        <f t="shared" si="19"/>
        <v>105,1105</v>
      </c>
    </row>
    <row r="111" spans="3:30" x14ac:dyDescent="0.3">
      <c r="C111" s="51">
        <v>5</v>
      </c>
      <c r="D111" s="51">
        <v>2</v>
      </c>
      <c r="E111" s="51" t="s">
        <v>5399</v>
      </c>
      <c r="F111" s="51" t="s">
        <v>5395</v>
      </c>
      <c r="G111" s="50" t="str">
        <f>VLOOKUP(E111,옵션그룹계산1!$AF$4:$AH$7,3,FALSE)</f>
        <v xml:space="preserve"> </v>
      </c>
      <c r="H111" s="49" t="str">
        <f>VLOOKUP(D111,옵션그룹계산1!$AF$16:$AG$19,2,FALSE)</f>
        <v>(Grade 3)</v>
      </c>
      <c r="I111" s="50" t="str">
        <f t="shared" si="10"/>
        <v>보조장비_탱커</v>
      </c>
      <c r="J111" s="49" t="str">
        <f>IF($D111&gt;=(J$2-1),VLOOKUP($I111,색인!$L$4:$R$11,J$2,FALSE)&amp;"_"&amp;$C111,"")</f>
        <v>공격속도_5</v>
      </c>
      <c r="K111" s="49" t="str">
        <f>IF($D111&gt;=(K$2-1),VLOOKUP($I111,색인!$L$4:$R$11,K$2,FALSE)&amp;"_"&amp;$C111,"")</f>
        <v>마법블록_5</v>
      </c>
      <c r="L111" s="49" t="str">
        <f>IF($D111&gt;=(L$2-1),VLOOKUP($I111,색인!$L$4:$R$11,L$2,FALSE)&amp;"_"&amp;$C111,"")</f>
        <v/>
      </c>
      <c r="M111" s="49" t="str">
        <f>IF($D111&gt;=(M$2-1),VLOOKUP($I111,색인!$L$4:$R$11,M$2,FALSE)&amp;"_"&amp;$C111,"")</f>
        <v/>
      </c>
      <c r="N111" s="49" t="str">
        <f>IF(AND(C111&gt;=6,D111&gt;=4),VLOOKUP($I111,색인!$L$4:$R$11,N$2,FALSE)&amp;"_"&amp;$C111,"")</f>
        <v/>
      </c>
      <c r="O111" s="49" t="str">
        <f>IF(AND(C111&gt;=6,D111&gt;=4),VLOOKUP($I111,색인!$L$4:$R$11,O$2,FALSE)&amp;"_"&amp;$C111,"")</f>
        <v/>
      </c>
      <c r="P111" s="50" t="str">
        <f t="shared" si="11"/>
        <v>5222</v>
      </c>
      <c r="Q111" s="49">
        <f>VLOOKUP(옵션그룹계산1!J111,색인!$E$4:$F$99,2,FALSE)</f>
        <v>1105</v>
      </c>
      <c r="R111" s="49">
        <f>_xlfn.IFNA(VLOOKUP(옵션그룹계산1!K111,색인!$E$4:$F$99,2,FALSE),"")</f>
        <v>1905</v>
      </c>
      <c r="S111" s="49" t="str">
        <f>_xlfn.IFNA(VLOOKUP(옵션그룹계산1!L111,색인!$E$4:$F$99,2,FALSE),"")</f>
        <v/>
      </c>
      <c r="T111" s="49" t="str">
        <f>_xlfn.IFNA(VLOOKUP(옵션그룹계산1!M111,색인!$E$4:$F$99,2,FALSE),"")</f>
        <v/>
      </c>
      <c r="U111" s="49" t="str">
        <f>_xlfn.IFNA(VLOOKUP(옵션그룹계산1!N111,색인!$E$4:$F$99,2,FALSE),"")</f>
        <v/>
      </c>
      <c r="V111" s="49" t="str">
        <f>_xlfn.IFNA(VLOOKUP(옵션그룹계산1!O111,색인!$E$4:$F$99,2,FALSE),"")</f>
        <v/>
      </c>
      <c r="W111" s="50">
        <f t="shared" si="12"/>
        <v>5</v>
      </c>
      <c r="X111" s="50">
        <f t="shared" si="13"/>
        <v>2</v>
      </c>
      <c r="Y111" s="50">
        <f t="shared" si="14"/>
        <v>2</v>
      </c>
      <c r="Z111" s="50">
        <f t="shared" si="15"/>
        <v>2</v>
      </c>
      <c r="AA111" s="48" t="str">
        <f t="shared" si="16"/>
        <v>T5_2옵션_보조장비_탱커</v>
      </c>
      <c r="AB111" s="50" t="str">
        <f t="shared" si="17"/>
        <v>5222</v>
      </c>
      <c r="AC111" s="49" t="str">
        <f t="shared" si="18"/>
        <v>T5_2옵션_보조장비_탱커 (Grade 3)</v>
      </c>
      <c r="AD111" s="48" t="str">
        <f t="shared" si="19"/>
        <v>1105,1905</v>
      </c>
    </row>
    <row r="112" spans="3:30" x14ac:dyDescent="0.3">
      <c r="C112" s="51">
        <v>5</v>
      </c>
      <c r="D112" s="51">
        <v>2</v>
      </c>
      <c r="E112" s="51" t="s">
        <v>5398</v>
      </c>
      <c r="F112" s="51" t="s">
        <v>5397</v>
      </c>
      <c r="G112" s="50" t="str">
        <f>VLOOKUP(E112,옵션그룹계산1!$AF$4:$AH$7,3,FALSE)</f>
        <v xml:space="preserve">    </v>
      </c>
      <c r="H112" s="49" t="str">
        <f>VLOOKUP(D112,옵션그룹계산1!$AF$16:$AG$19,2,FALSE)</f>
        <v>(Grade 3)</v>
      </c>
      <c r="I112" s="50" t="str">
        <f t="shared" si="10"/>
        <v>장신구_딜러</v>
      </c>
      <c r="J112" s="49" t="str">
        <f>IF($D112&gt;=(J$2-1),VLOOKUP($I112,색인!$L$4:$R$11,J$2,FALSE)&amp;"_"&amp;$C112,"")</f>
        <v>공격력_5</v>
      </c>
      <c r="K112" s="49" t="str">
        <f>IF($D112&gt;=(K$2-1),VLOOKUP($I112,색인!$L$4:$R$11,K$2,FALSE)&amp;"_"&amp;$C112,"")</f>
        <v>공격속도_5</v>
      </c>
      <c r="L112" s="49" t="str">
        <f>IF($D112&gt;=(L$2-1),VLOOKUP($I112,색인!$L$4:$R$11,L$2,FALSE)&amp;"_"&amp;$C112,"")</f>
        <v/>
      </c>
      <c r="M112" s="49" t="str">
        <f>IF($D112&gt;=(M$2-1),VLOOKUP($I112,색인!$L$4:$R$11,M$2,FALSE)&amp;"_"&amp;$C112,"")</f>
        <v/>
      </c>
      <c r="N112" s="49" t="str">
        <f>IF(AND(C112&gt;=6,D112&gt;=4),VLOOKUP($I112,색인!$L$4:$R$11,N$2,FALSE)&amp;"_"&amp;$C112,"")</f>
        <v/>
      </c>
      <c r="O112" s="49" t="str">
        <f>IF(AND(C112&gt;=6,D112&gt;=4),VLOOKUP($I112,색인!$L$4:$R$11,O$2,FALSE)&amp;"_"&amp;$C112,"")</f>
        <v/>
      </c>
      <c r="P112" s="50" t="str">
        <f t="shared" si="11"/>
        <v>5231</v>
      </c>
      <c r="Q112" s="49">
        <f>VLOOKUP(옵션그룹계산1!J112,색인!$E$4:$F$99,2,FALSE)</f>
        <v>105</v>
      </c>
      <c r="R112" s="49">
        <f>_xlfn.IFNA(VLOOKUP(옵션그룹계산1!K112,색인!$E$4:$F$99,2,FALSE),"")</f>
        <v>1105</v>
      </c>
      <c r="S112" s="49" t="str">
        <f>_xlfn.IFNA(VLOOKUP(옵션그룹계산1!L112,색인!$E$4:$F$99,2,FALSE),"")</f>
        <v/>
      </c>
      <c r="T112" s="49" t="str">
        <f>_xlfn.IFNA(VLOOKUP(옵션그룹계산1!M112,색인!$E$4:$F$99,2,FALSE),"")</f>
        <v/>
      </c>
      <c r="U112" s="49" t="str">
        <f>_xlfn.IFNA(VLOOKUP(옵션그룹계산1!N112,색인!$E$4:$F$99,2,FALSE),"")</f>
        <v/>
      </c>
      <c r="V112" s="49" t="str">
        <f>_xlfn.IFNA(VLOOKUP(옵션그룹계산1!O112,색인!$E$4:$F$99,2,FALSE),"")</f>
        <v/>
      </c>
      <c r="W112" s="50">
        <f t="shared" si="12"/>
        <v>5</v>
      </c>
      <c r="X112" s="50">
        <f t="shared" si="13"/>
        <v>2</v>
      </c>
      <c r="Y112" s="50">
        <f t="shared" si="14"/>
        <v>3</v>
      </c>
      <c r="Z112" s="50">
        <f t="shared" si="15"/>
        <v>1</v>
      </c>
      <c r="AA112" s="48" t="str">
        <f t="shared" si="16"/>
        <v>T5_2옵션_장신구_딜러</v>
      </c>
      <c r="AB112" s="50" t="str">
        <f t="shared" si="17"/>
        <v>5231</v>
      </c>
      <c r="AC112" s="49" t="str">
        <f t="shared" si="18"/>
        <v>T5_2옵션_장신구_딜러    (Grade 3)</v>
      </c>
      <c r="AD112" s="48" t="str">
        <f t="shared" si="19"/>
        <v>105,1105</v>
      </c>
    </row>
    <row r="113" spans="3:30" x14ac:dyDescent="0.3">
      <c r="C113" s="51">
        <v>5</v>
      </c>
      <c r="D113" s="51">
        <v>2</v>
      </c>
      <c r="E113" s="51" t="s">
        <v>5398</v>
      </c>
      <c r="F113" s="51" t="s">
        <v>5395</v>
      </c>
      <c r="G113" s="50" t="str">
        <f>VLOOKUP(E113,옵션그룹계산1!$AF$4:$AH$7,3,FALSE)</f>
        <v xml:space="preserve">    </v>
      </c>
      <c r="H113" s="49" t="str">
        <f>VLOOKUP(D113,옵션그룹계산1!$AF$16:$AG$19,2,FALSE)</f>
        <v>(Grade 3)</v>
      </c>
      <c r="I113" s="50" t="str">
        <f t="shared" si="10"/>
        <v>장신구_탱커</v>
      </c>
      <c r="J113" s="49" t="str">
        <f>IF($D113&gt;=(J$2-1),VLOOKUP($I113,색인!$L$4:$R$11,J$2,FALSE)&amp;"_"&amp;$C113,"")</f>
        <v>체력_5</v>
      </c>
      <c r="K113" s="49" t="str">
        <f>IF($D113&gt;=(K$2-1),VLOOKUP($I113,색인!$L$4:$R$11,K$2,FALSE)&amp;"_"&amp;$C113,"")</f>
        <v>물리블록_5</v>
      </c>
      <c r="L113" s="49" t="str">
        <f>IF($D113&gt;=(L$2-1),VLOOKUP($I113,색인!$L$4:$R$11,L$2,FALSE)&amp;"_"&amp;$C113,"")</f>
        <v/>
      </c>
      <c r="M113" s="49" t="str">
        <f>IF($D113&gt;=(M$2-1),VLOOKUP($I113,색인!$L$4:$R$11,M$2,FALSE)&amp;"_"&amp;$C113,"")</f>
        <v/>
      </c>
      <c r="N113" s="49" t="str">
        <f>IF(AND(C113&gt;=6,D113&gt;=4),VLOOKUP($I113,색인!$L$4:$R$11,N$2,FALSE)&amp;"_"&amp;$C113,"")</f>
        <v/>
      </c>
      <c r="O113" s="49" t="str">
        <f>IF(AND(C113&gt;=6,D113&gt;=4),VLOOKUP($I113,색인!$L$4:$R$11,O$2,FALSE)&amp;"_"&amp;$C113,"")</f>
        <v/>
      </c>
      <c r="P113" s="50" t="str">
        <f t="shared" si="11"/>
        <v>5232</v>
      </c>
      <c r="Q113" s="49">
        <f>VLOOKUP(옵션그룹계산1!J113,색인!$E$4:$F$99,2,FALSE)</f>
        <v>205</v>
      </c>
      <c r="R113" s="49">
        <f>_xlfn.IFNA(VLOOKUP(옵션그룹계산1!K113,색인!$E$4:$F$99,2,FALSE),"")</f>
        <v>905</v>
      </c>
      <c r="S113" s="49" t="str">
        <f>_xlfn.IFNA(VLOOKUP(옵션그룹계산1!L113,색인!$E$4:$F$99,2,FALSE),"")</f>
        <v/>
      </c>
      <c r="T113" s="49" t="str">
        <f>_xlfn.IFNA(VLOOKUP(옵션그룹계산1!M113,색인!$E$4:$F$99,2,FALSE),"")</f>
        <v/>
      </c>
      <c r="U113" s="49" t="str">
        <f>_xlfn.IFNA(VLOOKUP(옵션그룹계산1!N113,색인!$E$4:$F$99,2,FALSE),"")</f>
        <v/>
      </c>
      <c r="V113" s="49" t="str">
        <f>_xlfn.IFNA(VLOOKUP(옵션그룹계산1!O113,색인!$E$4:$F$99,2,FALSE),"")</f>
        <v/>
      </c>
      <c r="W113" s="50">
        <f t="shared" si="12"/>
        <v>5</v>
      </c>
      <c r="X113" s="50">
        <f t="shared" si="13"/>
        <v>2</v>
      </c>
      <c r="Y113" s="50">
        <f t="shared" si="14"/>
        <v>3</v>
      </c>
      <c r="Z113" s="50">
        <f t="shared" si="15"/>
        <v>2</v>
      </c>
      <c r="AA113" s="48" t="str">
        <f t="shared" si="16"/>
        <v>T5_2옵션_장신구_탱커</v>
      </c>
      <c r="AB113" s="50" t="str">
        <f t="shared" si="17"/>
        <v>5232</v>
      </c>
      <c r="AC113" s="49" t="str">
        <f t="shared" si="18"/>
        <v>T5_2옵션_장신구_탱커    (Grade 3)</v>
      </c>
      <c r="AD113" s="48" t="str">
        <f t="shared" si="19"/>
        <v>205,905</v>
      </c>
    </row>
    <row r="114" spans="3:30" x14ac:dyDescent="0.3">
      <c r="C114" s="51">
        <v>5</v>
      </c>
      <c r="D114" s="51">
        <v>2</v>
      </c>
      <c r="E114" s="51" t="s">
        <v>5396</v>
      </c>
      <c r="F114" s="51" t="s">
        <v>5397</v>
      </c>
      <c r="G114" s="50" t="str">
        <f>VLOOKUP(E114,옵션그룹계산1!$AF$4:$AH$7,3,FALSE)</f>
        <v xml:space="preserve">       </v>
      </c>
      <c r="H114" s="49" t="str">
        <f>VLOOKUP(D114,옵션그룹계산1!$AF$16:$AG$19,2,FALSE)</f>
        <v>(Grade 3)</v>
      </c>
      <c r="I114" s="50" t="str">
        <f t="shared" si="10"/>
        <v>보주_딜러</v>
      </c>
      <c r="J114" s="49" t="str">
        <f>IF($D114&gt;=(J$2-1),VLOOKUP($I114,색인!$L$4:$R$11,J$2,FALSE)&amp;"_"&amp;$C114,"")</f>
        <v>공격력_5</v>
      </c>
      <c r="K114" s="49" t="str">
        <f>IF($D114&gt;=(K$2-1),VLOOKUP($I114,색인!$L$4:$R$11,K$2,FALSE)&amp;"_"&amp;$C114,"")</f>
        <v>공격속도_5</v>
      </c>
      <c r="L114" s="49" t="str">
        <f>IF($D114&gt;=(L$2-1),VLOOKUP($I114,색인!$L$4:$R$11,L$2,FALSE)&amp;"_"&amp;$C114,"")</f>
        <v/>
      </c>
      <c r="M114" s="49" t="str">
        <f>IF($D114&gt;=(M$2-1),VLOOKUP($I114,색인!$L$4:$R$11,M$2,FALSE)&amp;"_"&amp;$C114,"")</f>
        <v/>
      </c>
      <c r="N114" s="49" t="str">
        <f>IF(AND(C114&gt;=6,D114&gt;=4),VLOOKUP($I114,색인!$L$4:$R$11,N$2,FALSE)&amp;"_"&amp;$C114,"")</f>
        <v/>
      </c>
      <c r="O114" s="49" t="str">
        <f>IF(AND(C114&gt;=6,D114&gt;=4),VLOOKUP($I114,색인!$L$4:$R$11,O$2,FALSE)&amp;"_"&amp;$C114,"")</f>
        <v/>
      </c>
      <c r="P114" s="50" t="str">
        <f t="shared" si="11"/>
        <v>5241</v>
      </c>
      <c r="Q114" s="49">
        <f>VLOOKUP(옵션그룹계산1!J114,색인!$E$4:$F$99,2,FALSE)</f>
        <v>105</v>
      </c>
      <c r="R114" s="49">
        <f>_xlfn.IFNA(VLOOKUP(옵션그룹계산1!K114,색인!$E$4:$F$99,2,FALSE),"")</f>
        <v>1105</v>
      </c>
      <c r="S114" s="49" t="str">
        <f>_xlfn.IFNA(VLOOKUP(옵션그룹계산1!L114,색인!$E$4:$F$99,2,FALSE),"")</f>
        <v/>
      </c>
      <c r="T114" s="49" t="str">
        <f>_xlfn.IFNA(VLOOKUP(옵션그룹계산1!M114,색인!$E$4:$F$99,2,FALSE),"")</f>
        <v/>
      </c>
      <c r="U114" s="49" t="str">
        <f>_xlfn.IFNA(VLOOKUP(옵션그룹계산1!N114,색인!$E$4:$F$99,2,FALSE),"")</f>
        <v/>
      </c>
      <c r="V114" s="49" t="str">
        <f>_xlfn.IFNA(VLOOKUP(옵션그룹계산1!O114,색인!$E$4:$F$99,2,FALSE),"")</f>
        <v/>
      </c>
      <c r="W114" s="50">
        <f t="shared" si="12"/>
        <v>5</v>
      </c>
      <c r="X114" s="50">
        <f t="shared" si="13"/>
        <v>2</v>
      </c>
      <c r="Y114" s="50">
        <f t="shared" si="14"/>
        <v>4</v>
      </c>
      <c r="Z114" s="50">
        <f t="shared" si="15"/>
        <v>1</v>
      </c>
      <c r="AA114" s="48" t="str">
        <f t="shared" si="16"/>
        <v>T5_2옵션_보주_딜러</v>
      </c>
      <c r="AB114" s="50" t="str">
        <f t="shared" si="17"/>
        <v>5241</v>
      </c>
      <c r="AC114" s="49" t="str">
        <f t="shared" si="18"/>
        <v>T5_2옵션_보주_딜러       (Grade 3)</v>
      </c>
      <c r="AD114" s="48" t="str">
        <f t="shared" si="19"/>
        <v>105,1105</v>
      </c>
    </row>
    <row r="115" spans="3:30" x14ac:dyDescent="0.3">
      <c r="C115" s="51">
        <v>5</v>
      </c>
      <c r="D115" s="51">
        <v>2</v>
      </c>
      <c r="E115" s="51" t="s">
        <v>5396</v>
      </c>
      <c r="F115" s="51" t="s">
        <v>5395</v>
      </c>
      <c r="G115" s="50" t="str">
        <f>VLOOKUP(E115,옵션그룹계산1!$AF$4:$AH$7,3,FALSE)</f>
        <v xml:space="preserve">       </v>
      </c>
      <c r="H115" s="49" t="str">
        <f>VLOOKUP(D115,옵션그룹계산1!$AF$16:$AG$19,2,FALSE)</f>
        <v>(Grade 3)</v>
      </c>
      <c r="I115" s="50" t="str">
        <f t="shared" si="10"/>
        <v>보주_탱커</v>
      </c>
      <c r="J115" s="49" t="str">
        <f>IF($D115&gt;=(J$2-1),VLOOKUP($I115,색인!$L$4:$R$11,J$2,FALSE)&amp;"_"&amp;$C115,"")</f>
        <v>체력_5</v>
      </c>
      <c r="K115" s="49" t="str">
        <f>IF($D115&gt;=(K$2-1),VLOOKUP($I115,색인!$L$4:$R$11,K$2,FALSE)&amp;"_"&amp;$C115,"")</f>
        <v>물리블록_5</v>
      </c>
      <c r="L115" s="49" t="str">
        <f>IF($D115&gt;=(L$2-1),VLOOKUP($I115,색인!$L$4:$R$11,L$2,FALSE)&amp;"_"&amp;$C115,"")</f>
        <v/>
      </c>
      <c r="M115" s="49" t="str">
        <f>IF($D115&gt;=(M$2-1),VLOOKUP($I115,색인!$L$4:$R$11,M$2,FALSE)&amp;"_"&amp;$C115,"")</f>
        <v/>
      </c>
      <c r="N115" s="49" t="str">
        <f>IF(AND(C115&gt;=6,D115&gt;=4),VLOOKUP($I115,색인!$L$4:$R$11,N$2,FALSE)&amp;"_"&amp;$C115,"")</f>
        <v/>
      </c>
      <c r="O115" s="49" t="str">
        <f>IF(AND(C115&gt;=6,D115&gt;=4),VLOOKUP($I115,색인!$L$4:$R$11,O$2,FALSE)&amp;"_"&amp;$C115,"")</f>
        <v/>
      </c>
      <c r="P115" s="50" t="str">
        <f t="shared" si="11"/>
        <v>5242</v>
      </c>
      <c r="Q115" s="49">
        <f>VLOOKUP(옵션그룹계산1!J115,색인!$E$4:$F$99,2,FALSE)</f>
        <v>205</v>
      </c>
      <c r="R115" s="49">
        <f>_xlfn.IFNA(VLOOKUP(옵션그룹계산1!K115,색인!$E$4:$F$99,2,FALSE),"")</f>
        <v>905</v>
      </c>
      <c r="S115" s="49" t="str">
        <f>_xlfn.IFNA(VLOOKUP(옵션그룹계산1!L115,색인!$E$4:$F$99,2,FALSE),"")</f>
        <v/>
      </c>
      <c r="T115" s="49" t="str">
        <f>_xlfn.IFNA(VLOOKUP(옵션그룹계산1!M115,색인!$E$4:$F$99,2,FALSE),"")</f>
        <v/>
      </c>
      <c r="U115" s="49" t="str">
        <f>_xlfn.IFNA(VLOOKUP(옵션그룹계산1!N115,색인!$E$4:$F$99,2,FALSE),"")</f>
        <v/>
      </c>
      <c r="V115" s="49" t="str">
        <f>_xlfn.IFNA(VLOOKUP(옵션그룹계산1!O115,색인!$E$4:$F$99,2,FALSE),"")</f>
        <v/>
      </c>
      <c r="W115" s="50">
        <f t="shared" si="12"/>
        <v>5</v>
      </c>
      <c r="X115" s="50">
        <f t="shared" si="13"/>
        <v>2</v>
      </c>
      <c r="Y115" s="50">
        <f t="shared" si="14"/>
        <v>4</v>
      </c>
      <c r="Z115" s="50">
        <f t="shared" si="15"/>
        <v>2</v>
      </c>
      <c r="AA115" s="48" t="str">
        <f t="shared" si="16"/>
        <v>T5_2옵션_보주_탱커</v>
      </c>
      <c r="AB115" s="50" t="str">
        <f t="shared" si="17"/>
        <v>5242</v>
      </c>
      <c r="AC115" s="49" t="str">
        <f t="shared" si="18"/>
        <v>T5_2옵션_보주_탱커       (Grade 3)</v>
      </c>
      <c r="AD115" s="48" t="str">
        <f t="shared" si="19"/>
        <v>205,905</v>
      </c>
    </row>
    <row r="116" spans="3:30" x14ac:dyDescent="0.3">
      <c r="C116" s="51">
        <v>5</v>
      </c>
      <c r="D116" s="51">
        <v>3</v>
      </c>
      <c r="E116" s="51" t="s">
        <v>5400</v>
      </c>
      <c r="F116" s="51" t="s">
        <v>5397</v>
      </c>
      <c r="G116" s="50" t="str">
        <f>VLOOKUP(E116,옵션그룹계산1!$AF$4:$AH$7,3,FALSE)</f>
        <v xml:space="preserve">    </v>
      </c>
      <c r="H116" s="49" t="str">
        <f>VLOOKUP(D116,옵션그룹계산1!$AF$16:$AG$19,2,FALSE)</f>
        <v>(Grade 4~5)</v>
      </c>
      <c r="I116" s="50" t="str">
        <f t="shared" si="10"/>
        <v>방어구_딜러</v>
      </c>
      <c r="J116" s="49" t="str">
        <f>IF($D116&gt;=(J$2-1),VLOOKUP($I116,색인!$L$4:$R$11,J$2,FALSE)&amp;"_"&amp;$C116,"")</f>
        <v>공격력_5</v>
      </c>
      <c r="K116" s="49" t="str">
        <f>IF($D116&gt;=(K$2-1),VLOOKUP($I116,색인!$L$4:$R$11,K$2,FALSE)&amp;"_"&amp;$C116,"")</f>
        <v>공격속도_5</v>
      </c>
      <c r="L116" s="49" t="str">
        <f>IF($D116&gt;=(L$2-1),VLOOKUP($I116,색인!$L$4:$R$11,L$2,FALSE)&amp;"_"&amp;$C116,"")</f>
        <v>치명타확률_5</v>
      </c>
      <c r="M116" s="49" t="str">
        <f>IF($D116&gt;=(M$2-1),VLOOKUP($I116,색인!$L$4:$R$11,M$2,FALSE)&amp;"_"&amp;$C116,"")</f>
        <v/>
      </c>
      <c r="N116" s="49" t="str">
        <f>IF(AND(C116&gt;=6,D116&gt;=4),VLOOKUP($I116,색인!$L$4:$R$11,N$2,FALSE)&amp;"_"&amp;$C116,"")</f>
        <v/>
      </c>
      <c r="O116" s="49" t="str">
        <f>IF(AND(C116&gt;=6,D116&gt;=4),VLOOKUP($I116,색인!$L$4:$R$11,O$2,FALSE)&amp;"_"&amp;$C116,"")</f>
        <v/>
      </c>
      <c r="P116" s="50" t="str">
        <f t="shared" si="11"/>
        <v>5311</v>
      </c>
      <c r="Q116" s="49">
        <f>VLOOKUP(옵션그룹계산1!J116,색인!$E$4:$F$99,2,FALSE)</f>
        <v>105</v>
      </c>
      <c r="R116" s="49">
        <f>_xlfn.IFNA(VLOOKUP(옵션그룹계산1!K116,색인!$E$4:$F$99,2,FALSE),"")</f>
        <v>1105</v>
      </c>
      <c r="S116" s="49">
        <f>_xlfn.IFNA(VLOOKUP(옵션그룹계산1!L116,색인!$E$4:$F$99,2,FALSE),"")</f>
        <v>505</v>
      </c>
      <c r="T116" s="49" t="str">
        <f>_xlfn.IFNA(VLOOKUP(옵션그룹계산1!M116,색인!$E$4:$F$99,2,FALSE),"")</f>
        <v/>
      </c>
      <c r="U116" s="49" t="str">
        <f>_xlfn.IFNA(VLOOKUP(옵션그룹계산1!N116,색인!$E$4:$F$99,2,FALSE),"")</f>
        <v/>
      </c>
      <c r="V116" s="49" t="str">
        <f>_xlfn.IFNA(VLOOKUP(옵션그룹계산1!O116,색인!$E$4:$F$99,2,FALSE),"")</f>
        <v/>
      </c>
      <c r="W116" s="50">
        <f t="shared" si="12"/>
        <v>5</v>
      </c>
      <c r="X116" s="50">
        <f t="shared" si="13"/>
        <v>3</v>
      </c>
      <c r="Y116" s="50">
        <f t="shared" si="14"/>
        <v>1</v>
      </c>
      <c r="Z116" s="50">
        <f t="shared" si="15"/>
        <v>1</v>
      </c>
      <c r="AA116" s="48" t="str">
        <f t="shared" si="16"/>
        <v>T5_3옵션_방어구_딜러</v>
      </c>
      <c r="AB116" s="50" t="str">
        <f t="shared" si="17"/>
        <v>5311</v>
      </c>
      <c r="AC116" s="49" t="str">
        <f t="shared" si="18"/>
        <v>T5_3옵션_방어구_딜러    (Grade 4~5)</v>
      </c>
      <c r="AD116" s="48" t="str">
        <f t="shared" si="19"/>
        <v>105,1105,505</v>
      </c>
    </row>
    <row r="117" spans="3:30" x14ac:dyDescent="0.3">
      <c r="C117" s="51">
        <v>5</v>
      </c>
      <c r="D117" s="51">
        <v>3</v>
      </c>
      <c r="E117" s="51" t="s">
        <v>5400</v>
      </c>
      <c r="F117" s="51" t="s">
        <v>5395</v>
      </c>
      <c r="G117" s="50" t="str">
        <f>VLOOKUP(E117,옵션그룹계산1!$AF$4:$AH$7,3,FALSE)</f>
        <v xml:space="preserve">    </v>
      </c>
      <c r="H117" s="49" t="str">
        <f>VLOOKUP(D117,옵션그룹계산1!$AF$16:$AG$19,2,FALSE)</f>
        <v>(Grade 4~5)</v>
      </c>
      <c r="I117" s="50" t="str">
        <f t="shared" si="10"/>
        <v>방어구_탱커</v>
      </c>
      <c r="J117" s="49" t="str">
        <f>IF($D117&gt;=(J$2-1),VLOOKUP($I117,색인!$L$4:$R$11,J$2,FALSE)&amp;"_"&amp;$C117,"")</f>
        <v>공격속도_5</v>
      </c>
      <c r="K117" s="49" t="str">
        <f>IF($D117&gt;=(K$2-1),VLOOKUP($I117,색인!$L$4:$R$11,K$2,FALSE)&amp;"_"&amp;$C117,"")</f>
        <v>물리블록_5</v>
      </c>
      <c r="L117" s="49" t="str">
        <f>IF($D117&gt;=(L$2-1),VLOOKUP($I117,색인!$L$4:$R$11,L$2,FALSE)&amp;"_"&amp;$C117,"")</f>
        <v>물리방어력_5</v>
      </c>
      <c r="M117" s="49" t="str">
        <f>IF($D117&gt;=(M$2-1),VLOOKUP($I117,색인!$L$4:$R$11,M$2,FALSE)&amp;"_"&amp;$C117,"")</f>
        <v/>
      </c>
      <c r="N117" s="49" t="str">
        <f>IF(AND(C117&gt;=6,D117&gt;=4),VLOOKUP($I117,색인!$L$4:$R$11,N$2,FALSE)&amp;"_"&amp;$C117,"")</f>
        <v/>
      </c>
      <c r="O117" s="49" t="str">
        <f>IF(AND(C117&gt;=6,D117&gt;=4),VLOOKUP($I117,색인!$L$4:$R$11,O$2,FALSE)&amp;"_"&amp;$C117,"")</f>
        <v/>
      </c>
      <c r="P117" s="50" t="str">
        <f t="shared" si="11"/>
        <v>5312</v>
      </c>
      <c r="Q117" s="49">
        <f>VLOOKUP(옵션그룹계산1!J117,색인!$E$4:$F$99,2,FALSE)</f>
        <v>1105</v>
      </c>
      <c r="R117" s="49">
        <f>_xlfn.IFNA(VLOOKUP(옵션그룹계산1!K117,색인!$E$4:$F$99,2,FALSE),"")</f>
        <v>905</v>
      </c>
      <c r="S117" s="49">
        <f>_xlfn.IFNA(VLOOKUP(옵션그룹계산1!L117,색인!$E$4:$F$99,2,FALSE),"")</f>
        <v>305</v>
      </c>
      <c r="T117" s="49" t="str">
        <f>_xlfn.IFNA(VLOOKUP(옵션그룹계산1!M117,색인!$E$4:$F$99,2,FALSE),"")</f>
        <v/>
      </c>
      <c r="U117" s="49" t="str">
        <f>_xlfn.IFNA(VLOOKUP(옵션그룹계산1!N117,색인!$E$4:$F$99,2,FALSE),"")</f>
        <v/>
      </c>
      <c r="V117" s="49" t="str">
        <f>_xlfn.IFNA(VLOOKUP(옵션그룹계산1!O117,색인!$E$4:$F$99,2,FALSE),"")</f>
        <v/>
      </c>
      <c r="W117" s="50">
        <f t="shared" si="12"/>
        <v>5</v>
      </c>
      <c r="X117" s="50">
        <f t="shared" si="13"/>
        <v>3</v>
      </c>
      <c r="Y117" s="50">
        <f t="shared" si="14"/>
        <v>1</v>
      </c>
      <c r="Z117" s="50">
        <f t="shared" si="15"/>
        <v>2</v>
      </c>
      <c r="AA117" s="48" t="str">
        <f t="shared" si="16"/>
        <v>T5_3옵션_방어구_탱커</v>
      </c>
      <c r="AB117" s="50" t="str">
        <f t="shared" si="17"/>
        <v>5312</v>
      </c>
      <c r="AC117" s="49" t="str">
        <f t="shared" si="18"/>
        <v>T5_3옵션_방어구_탱커    (Grade 4~5)</v>
      </c>
      <c r="AD117" s="48" t="str">
        <f t="shared" si="19"/>
        <v>1105,905,305</v>
      </c>
    </row>
    <row r="118" spans="3:30" x14ac:dyDescent="0.3">
      <c r="C118" s="51">
        <v>5</v>
      </c>
      <c r="D118" s="51">
        <v>3</v>
      </c>
      <c r="E118" s="51" t="s">
        <v>5399</v>
      </c>
      <c r="F118" s="51" t="s">
        <v>5397</v>
      </c>
      <c r="G118" s="50" t="str">
        <f>VLOOKUP(E118,옵션그룹계산1!$AF$4:$AH$7,3,FALSE)</f>
        <v xml:space="preserve"> </v>
      </c>
      <c r="H118" s="49" t="str">
        <f>VLOOKUP(D118,옵션그룹계산1!$AF$16:$AG$19,2,FALSE)</f>
        <v>(Grade 4~5)</v>
      </c>
      <c r="I118" s="50" t="str">
        <f t="shared" si="10"/>
        <v>보조장비_딜러</v>
      </c>
      <c r="J118" s="49" t="str">
        <f>IF($D118&gt;=(J$2-1),VLOOKUP($I118,색인!$L$4:$R$11,J$2,FALSE)&amp;"_"&amp;$C118,"")</f>
        <v>공격력_5</v>
      </c>
      <c r="K118" s="49" t="str">
        <f>IF($D118&gt;=(K$2-1),VLOOKUP($I118,색인!$L$4:$R$11,K$2,FALSE)&amp;"_"&amp;$C118,"")</f>
        <v>공격속도_5</v>
      </c>
      <c r="L118" s="49" t="str">
        <f>IF($D118&gt;=(L$2-1),VLOOKUP($I118,색인!$L$4:$R$11,L$2,FALSE)&amp;"_"&amp;$C118,"")</f>
        <v>치명타확률_5</v>
      </c>
      <c r="M118" s="49" t="str">
        <f>IF($D118&gt;=(M$2-1),VLOOKUP($I118,색인!$L$4:$R$11,M$2,FALSE)&amp;"_"&amp;$C118,"")</f>
        <v/>
      </c>
      <c r="N118" s="49" t="str">
        <f>IF(AND(C118&gt;=6,D118&gt;=4),VLOOKUP($I118,색인!$L$4:$R$11,N$2,FALSE)&amp;"_"&amp;$C118,"")</f>
        <v/>
      </c>
      <c r="O118" s="49" t="str">
        <f>IF(AND(C118&gt;=6,D118&gt;=4),VLOOKUP($I118,색인!$L$4:$R$11,O$2,FALSE)&amp;"_"&amp;$C118,"")</f>
        <v/>
      </c>
      <c r="P118" s="50" t="str">
        <f t="shared" si="11"/>
        <v>5321</v>
      </c>
      <c r="Q118" s="49">
        <f>VLOOKUP(옵션그룹계산1!J118,색인!$E$4:$F$99,2,FALSE)</f>
        <v>105</v>
      </c>
      <c r="R118" s="49">
        <f>_xlfn.IFNA(VLOOKUP(옵션그룹계산1!K118,색인!$E$4:$F$99,2,FALSE),"")</f>
        <v>1105</v>
      </c>
      <c r="S118" s="49">
        <f>_xlfn.IFNA(VLOOKUP(옵션그룹계산1!L118,색인!$E$4:$F$99,2,FALSE),"")</f>
        <v>505</v>
      </c>
      <c r="T118" s="49" t="str">
        <f>_xlfn.IFNA(VLOOKUP(옵션그룹계산1!M118,색인!$E$4:$F$99,2,FALSE),"")</f>
        <v/>
      </c>
      <c r="U118" s="49" t="str">
        <f>_xlfn.IFNA(VLOOKUP(옵션그룹계산1!N118,색인!$E$4:$F$99,2,FALSE),"")</f>
        <v/>
      </c>
      <c r="V118" s="49" t="str">
        <f>_xlfn.IFNA(VLOOKUP(옵션그룹계산1!O118,색인!$E$4:$F$99,2,FALSE),"")</f>
        <v/>
      </c>
      <c r="W118" s="50">
        <f t="shared" si="12"/>
        <v>5</v>
      </c>
      <c r="X118" s="50">
        <f t="shared" si="13"/>
        <v>3</v>
      </c>
      <c r="Y118" s="50">
        <f t="shared" si="14"/>
        <v>2</v>
      </c>
      <c r="Z118" s="50">
        <f t="shared" si="15"/>
        <v>1</v>
      </c>
      <c r="AA118" s="48" t="str">
        <f t="shared" si="16"/>
        <v>T5_3옵션_보조장비_딜러</v>
      </c>
      <c r="AB118" s="50" t="str">
        <f t="shared" si="17"/>
        <v>5321</v>
      </c>
      <c r="AC118" s="49" t="str">
        <f t="shared" si="18"/>
        <v>T5_3옵션_보조장비_딜러 (Grade 4~5)</v>
      </c>
      <c r="AD118" s="48" t="str">
        <f t="shared" si="19"/>
        <v>105,1105,505</v>
      </c>
    </row>
    <row r="119" spans="3:30" x14ac:dyDescent="0.3">
      <c r="C119" s="51">
        <v>5</v>
      </c>
      <c r="D119" s="51">
        <v>3</v>
      </c>
      <c r="E119" s="51" t="s">
        <v>5399</v>
      </c>
      <c r="F119" s="51" t="s">
        <v>5395</v>
      </c>
      <c r="G119" s="50" t="str">
        <f>VLOOKUP(E119,옵션그룹계산1!$AF$4:$AH$7,3,FALSE)</f>
        <v xml:space="preserve"> </v>
      </c>
      <c r="H119" s="49" t="str">
        <f>VLOOKUP(D119,옵션그룹계산1!$AF$16:$AG$19,2,FALSE)</f>
        <v>(Grade 4~5)</v>
      </c>
      <c r="I119" s="50" t="str">
        <f t="shared" si="10"/>
        <v>보조장비_탱커</v>
      </c>
      <c r="J119" s="49" t="str">
        <f>IF($D119&gt;=(J$2-1),VLOOKUP($I119,색인!$L$4:$R$11,J$2,FALSE)&amp;"_"&amp;$C119,"")</f>
        <v>공격속도_5</v>
      </c>
      <c r="K119" s="49" t="str">
        <f>IF($D119&gt;=(K$2-1),VLOOKUP($I119,색인!$L$4:$R$11,K$2,FALSE)&amp;"_"&amp;$C119,"")</f>
        <v>마법블록_5</v>
      </c>
      <c r="L119" s="49" t="str">
        <f>IF($D119&gt;=(L$2-1),VLOOKUP($I119,색인!$L$4:$R$11,L$2,FALSE)&amp;"_"&amp;$C119,"")</f>
        <v>마법방어력_5</v>
      </c>
      <c r="M119" s="49" t="str">
        <f>IF($D119&gt;=(M$2-1),VLOOKUP($I119,색인!$L$4:$R$11,M$2,FALSE)&amp;"_"&amp;$C119,"")</f>
        <v/>
      </c>
      <c r="N119" s="49" t="str">
        <f>IF(AND(C119&gt;=6,D119&gt;=4),VLOOKUP($I119,색인!$L$4:$R$11,N$2,FALSE)&amp;"_"&amp;$C119,"")</f>
        <v/>
      </c>
      <c r="O119" s="49" t="str">
        <f>IF(AND(C119&gt;=6,D119&gt;=4),VLOOKUP($I119,색인!$L$4:$R$11,O$2,FALSE)&amp;"_"&amp;$C119,"")</f>
        <v/>
      </c>
      <c r="P119" s="50" t="str">
        <f t="shared" si="11"/>
        <v>5322</v>
      </c>
      <c r="Q119" s="49">
        <f>VLOOKUP(옵션그룹계산1!J119,색인!$E$4:$F$99,2,FALSE)</f>
        <v>1105</v>
      </c>
      <c r="R119" s="49">
        <f>_xlfn.IFNA(VLOOKUP(옵션그룹계산1!K119,색인!$E$4:$F$99,2,FALSE),"")</f>
        <v>1905</v>
      </c>
      <c r="S119" s="49">
        <f>_xlfn.IFNA(VLOOKUP(옵션그룹계산1!L119,색인!$E$4:$F$99,2,FALSE),"")</f>
        <v>405</v>
      </c>
      <c r="T119" s="49" t="str">
        <f>_xlfn.IFNA(VLOOKUP(옵션그룹계산1!M119,색인!$E$4:$F$99,2,FALSE),"")</f>
        <v/>
      </c>
      <c r="U119" s="49" t="str">
        <f>_xlfn.IFNA(VLOOKUP(옵션그룹계산1!N119,색인!$E$4:$F$99,2,FALSE),"")</f>
        <v/>
      </c>
      <c r="V119" s="49" t="str">
        <f>_xlfn.IFNA(VLOOKUP(옵션그룹계산1!O119,색인!$E$4:$F$99,2,FALSE),"")</f>
        <v/>
      </c>
      <c r="W119" s="50">
        <f t="shared" si="12"/>
        <v>5</v>
      </c>
      <c r="X119" s="50">
        <f t="shared" si="13"/>
        <v>3</v>
      </c>
      <c r="Y119" s="50">
        <f t="shared" si="14"/>
        <v>2</v>
      </c>
      <c r="Z119" s="50">
        <f t="shared" si="15"/>
        <v>2</v>
      </c>
      <c r="AA119" s="48" t="str">
        <f t="shared" si="16"/>
        <v>T5_3옵션_보조장비_탱커</v>
      </c>
      <c r="AB119" s="50" t="str">
        <f t="shared" si="17"/>
        <v>5322</v>
      </c>
      <c r="AC119" s="49" t="str">
        <f t="shared" si="18"/>
        <v>T5_3옵션_보조장비_탱커 (Grade 4~5)</v>
      </c>
      <c r="AD119" s="48" t="str">
        <f t="shared" si="19"/>
        <v>1105,1905,405</v>
      </c>
    </row>
    <row r="120" spans="3:30" x14ac:dyDescent="0.3">
      <c r="C120" s="51">
        <v>5</v>
      </c>
      <c r="D120" s="51">
        <v>3</v>
      </c>
      <c r="E120" s="51" t="s">
        <v>5398</v>
      </c>
      <c r="F120" s="51" t="s">
        <v>5397</v>
      </c>
      <c r="G120" s="50" t="str">
        <f>VLOOKUP(E120,옵션그룹계산1!$AF$4:$AH$7,3,FALSE)</f>
        <v xml:space="preserve">    </v>
      </c>
      <c r="H120" s="49" t="str">
        <f>VLOOKUP(D120,옵션그룹계산1!$AF$16:$AG$19,2,FALSE)</f>
        <v>(Grade 4~5)</v>
      </c>
      <c r="I120" s="50" t="str">
        <f t="shared" si="10"/>
        <v>장신구_딜러</v>
      </c>
      <c r="J120" s="49" t="str">
        <f>IF($D120&gt;=(J$2-1),VLOOKUP($I120,색인!$L$4:$R$11,J$2,FALSE)&amp;"_"&amp;$C120,"")</f>
        <v>공격력_5</v>
      </c>
      <c r="K120" s="49" t="str">
        <f>IF($D120&gt;=(K$2-1),VLOOKUP($I120,색인!$L$4:$R$11,K$2,FALSE)&amp;"_"&amp;$C120,"")</f>
        <v>공격속도_5</v>
      </c>
      <c r="L120" s="49" t="str">
        <f>IF($D120&gt;=(L$2-1),VLOOKUP($I120,색인!$L$4:$R$11,L$2,FALSE)&amp;"_"&amp;$C120,"")</f>
        <v>치명타확률_5</v>
      </c>
      <c r="M120" s="49" t="str">
        <f>IF($D120&gt;=(M$2-1),VLOOKUP($I120,색인!$L$4:$R$11,M$2,FALSE)&amp;"_"&amp;$C120,"")</f>
        <v/>
      </c>
      <c r="N120" s="49" t="str">
        <f>IF(AND(C120&gt;=6,D120&gt;=4),VLOOKUP($I120,색인!$L$4:$R$11,N$2,FALSE)&amp;"_"&amp;$C120,"")</f>
        <v/>
      </c>
      <c r="O120" s="49" t="str">
        <f>IF(AND(C120&gt;=6,D120&gt;=4),VLOOKUP($I120,색인!$L$4:$R$11,O$2,FALSE)&amp;"_"&amp;$C120,"")</f>
        <v/>
      </c>
      <c r="P120" s="50" t="str">
        <f t="shared" si="11"/>
        <v>5331</v>
      </c>
      <c r="Q120" s="49">
        <f>VLOOKUP(옵션그룹계산1!J120,색인!$E$4:$F$99,2,FALSE)</f>
        <v>105</v>
      </c>
      <c r="R120" s="49">
        <f>_xlfn.IFNA(VLOOKUP(옵션그룹계산1!K120,색인!$E$4:$F$99,2,FALSE),"")</f>
        <v>1105</v>
      </c>
      <c r="S120" s="49">
        <f>_xlfn.IFNA(VLOOKUP(옵션그룹계산1!L120,색인!$E$4:$F$99,2,FALSE),"")</f>
        <v>505</v>
      </c>
      <c r="T120" s="49" t="str">
        <f>_xlfn.IFNA(VLOOKUP(옵션그룹계산1!M120,색인!$E$4:$F$99,2,FALSE),"")</f>
        <v/>
      </c>
      <c r="U120" s="49" t="str">
        <f>_xlfn.IFNA(VLOOKUP(옵션그룹계산1!N120,색인!$E$4:$F$99,2,FALSE),"")</f>
        <v/>
      </c>
      <c r="V120" s="49" t="str">
        <f>_xlfn.IFNA(VLOOKUP(옵션그룹계산1!O120,색인!$E$4:$F$99,2,FALSE),"")</f>
        <v/>
      </c>
      <c r="W120" s="50">
        <f t="shared" si="12"/>
        <v>5</v>
      </c>
      <c r="X120" s="50">
        <f t="shared" si="13"/>
        <v>3</v>
      </c>
      <c r="Y120" s="50">
        <f t="shared" si="14"/>
        <v>3</v>
      </c>
      <c r="Z120" s="50">
        <f t="shared" si="15"/>
        <v>1</v>
      </c>
      <c r="AA120" s="48" t="str">
        <f t="shared" si="16"/>
        <v>T5_3옵션_장신구_딜러</v>
      </c>
      <c r="AB120" s="50" t="str">
        <f t="shared" si="17"/>
        <v>5331</v>
      </c>
      <c r="AC120" s="49" t="str">
        <f t="shared" si="18"/>
        <v>T5_3옵션_장신구_딜러    (Grade 4~5)</v>
      </c>
      <c r="AD120" s="48" t="str">
        <f t="shared" si="19"/>
        <v>105,1105,505</v>
      </c>
    </row>
    <row r="121" spans="3:30" x14ac:dyDescent="0.3">
      <c r="C121" s="51">
        <v>5</v>
      </c>
      <c r="D121" s="51">
        <v>3</v>
      </c>
      <c r="E121" s="51" t="s">
        <v>5398</v>
      </c>
      <c r="F121" s="51" t="s">
        <v>5395</v>
      </c>
      <c r="G121" s="50" t="str">
        <f>VLOOKUP(E121,옵션그룹계산1!$AF$4:$AH$7,3,FALSE)</f>
        <v xml:space="preserve">    </v>
      </c>
      <c r="H121" s="49" t="str">
        <f>VLOOKUP(D121,옵션그룹계산1!$AF$16:$AG$19,2,FALSE)</f>
        <v>(Grade 4~5)</v>
      </c>
      <c r="I121" s="50" t="str">
        <f t="shared" si="10"/>
        <v>장신구_탱커</v>
      </c>
      <c r="J121" s="49" t="str">
        <f>IF($D121&gt;=(J$2-1),VLOOKUP($I121,색인!$L$4:$R$11,J$2,FALSE)&amp;"_"&amp;$C121,"")</f>
        <v>체력_5</v>
      </c>
      <c r="K121" s="49" t="str">
        <f>IF($D121&gt;=(K$2-1),VLOOKUP($I121,색인!$L$4:$R$11,K$2,FALSE)&amp;"_"&amp;$C121,"")</f>
        <v>물리블록_5</v>
      </c>
      <c r="L121" s="49" t="str">
        <f>IF($D121&gt;=(L$2-1),VLOOKUP($I121,색인!$L$4:$R$11,L$2,FALSE)&amp;"_"&amp;$C121,"")</f>
        <v>마법블록_5</v>
      </c>
      <c r="M121" s="49" t="str">
        <f>IF($D121&gt;=(M$2-1),VLOOKUP($I121,색인!$L$4:$R$11,M$2,FALSE)&amp;"_"&amp;$C121,"")</f>
        <v/>
      </c>
      <c r="N121" s="49" t="str">
        <f>IF(AND(C121&gt;=6,D121&gt;=4),VLOOKUP($I121,색인!$L$4:$R$11,N$2,FALSE)&amp;"_"&amp;$C121,"")</f>
        <v/>
      </c>
      <c r="O121" s="49" t="str">
        <f>IF(AND(C121&gt;=6,D121&gt;=4),VLOOKUP($I121,색인!$L$4:$R$11,O$2,FALSE)&amp;"_"&amp;$C121,"")</f>
        <v/>
      </c>
      <c r="P121" s="50" t="str">
        <f t="shared" si="11"/>
        <v>5332</v>
      </c>
      <c r="Q121" s="49">
        <f>VLOOKUP(옵션그룹계산1!J121,색인!$E$4:$F$99,2,FALSE)</f>
        <v>205</v>
      </c>
      <c r="R121" s="49">
        <f>_xlfn.IFNA(VLOOKUP(옵션그룹계산1!K121,색인!$E$4:$F$99,2,FALSE),"")</f>
        <v>905</v>
      </c>
      <c r="S121" s="49">
        <f>_xlfn.IFNA(VLOOKUP(옵션그룹계산1!L121,색인!$E$4:$F$99,2,FALSE),"")</f>
        <v>1905</v>
      </c>
      <c r="T121" s="49" t="str">
        <f>_xlfn.IFNA(VLOOKUP(옵션그룹계산1!M121,색인!$E$4:$F$99,2,FALSE),"")</f>
        <v/>
      </c>
      <c r="U121" s="49" t="str">
        <f>_xlfn.IFNA(VLOOKUP(옵션그룹계산1!N121,색인!$E$4:$F$99,2,FALSE),"")</f>
        <v/>
      </c>
      <c r="V121" s="49" t="str">
        <f>_xlfn.IFNA(VLOOKUP(옵션그룹계산1!O121,색인!$E$4:$F$99,2,FALSE),"")</f>
        <v/>
      </c>
      <c r="W121" s="50">
        <f t="shared" si="12"/>
        <v>5</v>
      </c>
      <c r="X121" s="50">
        <f t="shared" si="13"/>
        <v>3</v>
      </c>
      <c r="Y121" s="50">
        <f t="shared" si="14"/>
        <v>3</v>
      </c>
      <c r="Z121" s="50">
        <f t="shared" si="15"/>
        <v>2</v>
      </c>
      <c r="AA121" s="48" t="str">
        <f t="shared" si="16"/>
        <v>T5_3옵션_장신구_탱커</v>
      </c>
      <c r="AB121" s="50" t="str">
        <f t="shared" si="17"/>
        <v>5332</v>
      </c>
      <c r="AC121" s="49" t="str">
        <f t="shared" si="18"/>
        <v>T5_3옵션_장신구_탱커    (Grade 4~5)</v>
      </c>
      <c r="AD121" s="48" t="str">
        <f t="shared" si="19"/>
        <v>205,905,1905</v>
      </c>
    </row>
    <row r="122" spans="3:30" x14ac:dyDescent="0.3">
      <c r="C122" s="51">
        <v>5</v>
      </c>
      <c r="D122" s="51">
        <v>3</v>
      </c>
      <c r="E122" s="51" t="s">
        <v>5396</v>
      </c>
      <c r="F122" s="51" t="s">
        <v>5397</v>
      </c>
      <c r="G122" s="50" t="str">
        <f>VLOOKUP(E122,옵션그룹계산1!$AF$4:$AH$7,3,FALSE)</f>
        <v xml:space="preserve">       </v>
      </c>
      <c r="H122" s="49" t="str">
        <f>VLOOKUP(D122,옵션그룹계산1!$AF$16:$AG$19,2,FALSE)</f>
        <v>(Grade 4~5)</v>
      </c>
      <c r="I122" s="50" t="str">
        <f t="shared" si="10"/>
        <v>보주_딜러</v>
      </c>
      <c r="J122" s="49" t="str">
        <f>IF($D122&gt;=(J$2-1),VLOOKUP($I122,색인!$L$4:$R$11,J$2,FALSE)&amp;"_"&amp;$C122,"")</f>
        <v>공격력_5</v>
      </c>
      <c r="K122" s="49" t="str">
        <f>IF($D122&gt;=(K$2-1),VLOOKUP($I122,색인!$L$4:$R$11,K$2,FALSE)&amp;"_"&amp;$C122,"")</f>
        <v>공격속도_5</v>
      </c>
      <c r="L122" s="49" t="str">
        <f>IF($D122&gt;=(L$2-1),VLOOKUP($I122,색인!$L$4:$R$11,L$2,FALSE)&amp;"_"&amp;$C122,"")</f>
        <v>치명타확률_5</v>
      </c>
      <c r="M122" s="49" t="str">
        <f>IF($D122&gt;=(M$2-1),VLOOKUP($I122,색인!$L$4:$R$11,M$2,FALSE)&amp;"_"&amp;$C122,"")</f>
        <v/>
      </c>
      <c r="N122" s="49" t="str">
        <f>IF(AND(C122&gt;=6,D122&gt;=4),VLOOKUP($I122,색인!$L$4:$R$11,N$2,FALSE)&amp;"_"&amp;$C122,"")</f>
        <v/>
      </c>
      <c r="O122" s="49" t="str">
        <f>IF(AND(C122&gt;=6,D122&gt;=4),VLOOKUP($I122,색인!$L$4:$R$11,O$2,FALSE)&amp;"_"&amp;$C122,"")</f>
        <v/>
      </c>
      <c r="P122" s="50" t="str">
        <f t="shared" si="11"/>
        <v>5341</v>
      </c>
      <c r="Q122" s="49">
        <f>VLOOKUP(옵션그룹계산1!J122,색인!$E$4:$F$99,2,FALSE)</f>
        <v>105</v>
      </c>
      <c r="R122" s="49">
        <f>_xlfn.IFNA(VLOOKUP(옵션그룹계산1!K122,색인!$E$4:$F$99,2,FALSE),"")</f>
        <v>1105</v>
      </c>
      <c r="S122" s="49">
        <f>_xlfn.IFNA(VLOOKUP(옵션그룹계산1!L122,색인!$E$4:$F$99,2,FALSE),"")</f>
        <v>505</v>
      </c>
      <c r="T122" s="49" t="str">
        <f>_xlfn.IFNA(VLOOKUP(옵션그룹계산1!M122,색인!$E$4:$F$99,2,FALSE),"")</f>
        <v/>
      </c>
      <c r="U122" s="49" t="str">
        <f>_xlfn.IFNA(VLOOKUP(옵션그룹계산1!N122,색인!$E$4:$F$99,2,FALSE),"")</f>
        <v/>
      </c>
      <c r="V122" s="49" t="str">
        <f>_xlfn.IFNA(VLOOKUP(옵션그룹계산1!O122,색인!$E$4:$F$99,2,FALSE),"")</f>
        <v/>
      </c>
      <c r="W122" s="50">
        <f t="shared" si="12"/>
        <v>5</v>
      </c>
      <c r="X122" s="50">
        <f t="shared" si="13"/>
        <v>3</v>
      </c>
      <c r="Y122" s="50">
        <f t="shared" si="14"/>
        <v>4</v>
      </c>
      <c r="Z122" s="50">
        <f t="shared" si="15"/>
        <v>1</v>
      </c>
      <c r="AA122" s="48" t="str">
        <f t="shared" si="16"/>
        <v>T5_3옵션_보주_딜러</v>
      </c>
      <c r="AB122" s="50" t="str">
        <f t="shared" si="17"/>
        <v>5341</v>
      </c>
      <c r="AC122" s="49" t="str">
        <f t="shared" si="18"/>
        <v>T5_3옵션_보주_딜러       (Grade 4~5)</v>
      </c>
      <c r="AD122" s="48" t="str">
        <f t="shared" si="19"/>
        <v>105,1105,505</v>
      </c>
    </row>
    <row r="123" spans="3:30" x14ac:dyDescent="0.3">
      <c r="C123" s="51">
        <v>5</v>
      </c>
      <c r="D123" s="51">
        <v>3</v>
      </c>
      <c r="E123" s="51" t="s">
        <v>5396</v>
      </c>
      <c r="F123" s="51" t="s">
        <v>5395</v>
      </c>
      <c r="G123" s="50" t="str">
        <f>VLOOKUP(E123,옵션그룹계산1!$AF$4:$AH$7,3,FALSE)</f>
        <v xml:space="preserve">       </v>
      </c>
      <c r="H123" s="49" t="str">
        <f>VLOOKUP(D123,옵션그룹계산1!$AF$16:$AG$19,2,FALSE)</f>
        <v>(Grade 4~5)</v>
      </c>
      <c r="I123" s="50" t="str">
        <f t="shared" si="10"/>
        <v>보주_탱커</v>
      </c>
      <c r="J123" s="49" t="str">
        <f>IF($D123&gt;=(J$2-1),VLOOKUP($I123,색인!$L$4:$R$11,J$2,FALSE)&amp;"_"&amp;$C123,"")</f>
        <v>체력_5</v>
      </c>
      <c r="K123" s="49" t="str">
        <f>IF($D123&gt;=(K$2-1),VLOOKUP($I123,색인!$L$4:$R$11,K$2,FALSE)&amp;"_"&amp;$C123,"")</f>
        <v>물리블록_5</v>
      </c>
      <c r="L123" s="49" t="str">
        <f>IF($D123&gt;=(L$2-1),VLOOKUP($I123,색인!$L$4:$R$11,L$2,FALSE)&amp;"_"&amp;$C123,"")</f>
        <v>마법블록_5</v>
      </c>
      <c r="M123" s="49" t="str">
        <f>IF($D123&gt;=(M$2-1),VLOOKUP($I123,색인!$L$4:$R$11,M$2,FALSE)&amp;"_"&amp;$C123,"")</f>
        <v/>
      </c>
      <c r="N123" s="49" t="str">
        <f>IF(AND(C123&gt;=6,D123&gt;=4),VLOOKUP($I123,색인!$L$4:$R$11,N$2,FALSE)&amp;"_"&amp;$C123,"")</f>
        <v/>
      </c>
      <c r="O123" s="49" t="str">
        <f>IF(AND(C123&gt;=6,D123&gt;=4),VLOOKUP($I123,색인!$L$4:$R$11,O$2,FALSE)&amp;"_"&amp;$C123,"")</f>
        <v/>
      </c>
      <c r="P123" s="50" t="str">
        <f t="shared" si="11"/>
        <v>5342</v>
      </c>
      <c r="Q123" s="49">
        <f>VLOOKUP(옵션그룹계산1!J123,색인!$E$4:$F$99,2,FALSE)</f>
        <v>205</v>
      </c>
      <c r="R123" s="49">
        <f>_xlfn.IFNA(VLOOKUP(옵션그룹계산1!K123,색인!$E$4:$F$99,2,FALSE),"")</f>
        <v>905</v>
      </c>
      <c r="S123" s="49">
        <f>_xlfn.IFNA(VLOOKUP(옵션그룹계산1!L123,색인!$E$4:$F$99,2,FALSE),"")</f>
        <v>1905</v>
      </c>
      <c r="T123" s="49" t="str">
        <f>_xlfn.IFNA(VLOOKUP(옵션그룹계산1!M123,색인!$E$4:$F$99,2,FALSE),"")</f>
        <v/>
      </c>
      <c r="U123" s="49" t="str">
        <f>_xlfn.IFNA(VLOOKUP(옵션그룹계산1!N123,색인!$E$4:$F$99,2,FALSE),"")</f>
        <v/>
      </c>
      <c r="V123" s="49" t="str">
        <f>_xlfn.IFNA(VLOOKUP(옵션그룹계산1!O123,색인!$E$4:$F$99,2,FALSE),"")</f>
        <v/>
      </c>
      <c r="W123" s="50">
        <f t="shared" si="12"/>
        <v>5</v>
      </c>
      <c r="X123" s="50">
        <f t="shared" si="13"/>
        <v>3</v>
      </c>
      <c r="Y123" s="50">
        <f t="shared" si="14"/>
        <v>4</v>
      </c>
      <c r="Z123" s="50">
        <f t="shared" si="15"/>
        <v>2</v>
      </c>
      <c r="AA123" s="48" t="str">
        <f t="shared" si="16"/>
        <v>T5_3옵션_보주_탱커</v>
      </c>
      <c r="AB123" s="50" t="str">
        <f t="shared" si="17"/>
        <v>5342</v>
      </c>
      <c r="AC123" s="49" t="str">
        <f t="shared" si="18"/>
        <v>T5_3옵션_보주_탱커       (Grade 4~5)</v>
      </c>
      <c r="AD123" s="48" t="str">
        <f t="shared" si="19"/>
        <v>205,905,1905</v>
      </c>
    </row>
    <row r="124" spans="3:30" x14ac:dyDescent="0.3">
      <c r="C124" s="51">
        <v>6</v>
      </c>
      <c r="D124" s="51">
        <v>1</v>
      </c>
      <c r="E124" s="51" t="s">
        <v>5400</v>
      </c>
      <c r="F124" s="51" t="s">
        <v>5397</v>
      </c>
      <c r="G124" s="50" t="str">
        <f>VLOOKUP(E124,옵션그룹계산1!$AF$4:$AH$7,3,FALSE)</f>
        <v xml:space="preserve">    </v>
      </c>
      <c r="H124" s="49" t="str">
        <f>VLOOKUP(D124,옵션그룹계산1!$AF$16:$AG$19,2,FALSE)</f>
        <v>(Grade 2)</v>
      </c>
      <c r="I124" s="50" t="str">
        <f t="shared" si="10"/>
        <v>방어구_딜러</v>
      </c>
      <c r="J124" s="49" t="str">
        <f>IF($D124&gt;=(J$2-1),VLOOKUP($I124,색인!$L$4:$R$11,J$2,FALSE)&amp;"_"&amp;$C124,"")</f>
        <v>공격력_6</v>
      </c>
      <c r="K124" s="49" t="str">
        <f>IF($D124&gt;=(K$2-1),VLOOKUP($I124,색인!$L$4:$R$11,K$2,FALSE)&amp;"_"&amp;$C124,"")</f>
        <v/>
      </c>
      <c r="L124" s="49" t="str">
        <f>IF($D124&gt;=(L$2-1),VLOOKUP($I124,색인!$L$4:$R$11,L$2,FALSE)&amp;"_"&amp;$C124,"")</f>
        <v/>
      </c>
      <c r="M124" s="49" t="str">
        <f>IF($D124&gt;=(M$2-1),VLOOKUP($I124,색인!$L$4:$R$11,M$2,FALSE)&amp;"_"&amp;$C124,"")</f>
        <v/>
      </c>
      <c r="N124" s="49" t="str">
        <f>IF(AND(C124&gt;=6,D124&gt;=4),VLOOKUP($I124,색인!$L$4:$R$11,N$2,FALSE)&amp;"_"&amp;$C124,"")</f>
        <v/>
      </c>
      <c r="O124" s="49" t="str">
        <f>IF(AND(C124&gt;=6,D124&gt;=4),VLOOKUP($I124,색인!$L$4:$R$11,O$2,FALSE)&amp;"_"&amp;$C124,"")</f>
        <v/>
      </c>
      <c r="P124" s="50" t="str">
        <f t="shared" si="11"/>
        <v>6111</v>
      </c>
      <c r="Q124" s="49">
        <f>VLOOKUP(옵션그룹계산1!J124,색인!$E$4:$F$99,2,FALSE)</f>
        <v>105</v>
      </c>
      <c r="R124" s="49" t="str">
        <f>_xlfn.IFNA(VLOOKUP(옵션그룹계산1!K124,색인!$E$4:$F$99,2,FALSE),"")</f>
        <v/>
      </c>
      <c r="S124" s="49" t="str">
        <f>_xlfn.IFNA(VLOOKUP(옵션그룹계산1!L124,색인!$E$4:$F$99,2,FALSE),"")</f>
        <v/>
      </c>
      <c r="T124" s="49" t="str">
        <f>_xlfn.IFNA(VLOOKUP(옵션그룹계산1!M124,색인!$E$4:$F$99,2,FALSE),"")</f>
        <v/>
      </c>
      <c r="U124" s="49" t="str">
        <f>_xlfn.IFNA(VLOOKUP(옵션그룹계산1!N124,색인!$E$4:$F$99,2,FALSE),"")</f>
        <v/>
      </c>
      <c r="V124" s="49" t="str">
        <f>_xlfn.IFNA(VLOOKUP(옵션그룹계산1!O124,색인!$E$4:$F$99,2,FALSE),"")</f>
        <v/>
      </c>
      <c r="W124" s="50">
        <f t="shared" si="12"/>
        <v>6</v>
      </c>
      <c r="X124" s="50">
        <f t="shared" si="13"/>
        <v>1</v>
      </c>
      <c r="Y124" s="50">
        <f t="shared" si="14"/>
        <v>1</v>
      </c>
      <c r="Z124" s="50">
        <f t="shared" si="15"/>
        <v>1</v>
      </c>
      <c r="AA124" s="48" t="str">
        <f t="shared" si="16"/>
        <v>T6_1옵션_방어구_딜러</v>
      </c>
      <c r="AB124" s="50" t="str">
        <f t="shared" si="17"/>
        <v>6111</v>
      </c>
      <c r="AC124" s="49" t="str">
        <f t="shared" si="18"/>
        <v>T6_1옵션_방어구_딜러    (Grade 2)</v>
      </c>
      <c r="AD124" s="48" t="str">
        <f t="shared" si="19"/>
        <v>105</v>
      </c>
    </row>
    <row r="125" spans="3:30" x14ac:dyDescent="0.3">
      <c r="C125" s="51">
        <v>6</v>
      </c>
      <c r="D125" s="51">
        <v>1</v>
      </c>
      <c r="E125" s="51" t="s">
        <v>5400</v>
      </c>
      <c r="F125" s="51" t="s">
        <v>5395</v>
      </c>
      <c r="G125" s="50" t="str">
        <f>VLOOKUP(E125,옵션그룹계산1!$AF$4:$AH$7,3,FALSE)</f>
        <v xml:space="preserve">    </v>
      </c>
      <c r="H125" s="49" t="str">
        <f>VLOOKUP(D125,옵션그룹계산1!$AF$16:$AG$19,2,FALSE)</f>
        <v>(Grade 2)</v>
      </c>
      <c r="I125" s="50" t="str">
        <f t="shared" si="10"/>
        <v>방어구_탱커</v>
      </c>
      <c r="J125" s="49" t="str">
        <f>IF($D125&gt;=(J$2-1),VLOOKUP($I125,색인!$L$4:$R$11,J$2,FALSE)&amp;"_"&amp;$C125,"")</f>
        <v>공격속도_6</v>
      </c>
      <c r="K125" s="49" t="str">
        <f>IF($D125&gt;=(K$2-1),VLOOKUP($I125,색인!$L$4:$R$11,K$2,FALSE)&amp;"_"&amp;$C125,"")</f>
        <v/>
      </c>
      <c r="L125" s="49" t="str">
        <f>IF($D125&gt;=(L$2-1),VLOOKUP($I125,색인!$L$4:$R$11,L$2,FALSE)&amp;"_"&amp;$C125,"")</f>
        <v/>
      </c>
      <c r="M125" s="49" t="str">
        <f>IF($D125&gt;=(M$2-1),VLOOKUP($I125,색인!$L$4:$R$11,M$2,FALSE)&amp;"_"&amp;$C125,"")</f>
        <v/>
      </c>
      <c r="N125" s="49" t="str">
        <f>IF(AND(C125&gt;=6,D125&gt;=4),VLOOKUP($I125,색인!$L$4:$R$11,N$2,FALSE)&amp;"_"&amp;$C125,"")</f>
        <v/>
      </c>
      <c r="O125" s="49" t="str">
        <f>IF(AND(C125&gt;=6,D125&gt;=4),VLOOKUP($I125,색인!$L$4:$R$11,O$2,FALSE)&amp;"_"&amp;$C125,"")</f>
        <v/>
      </c>
      <c r="P125" s="50" t="str">
        <f t="shared" si="11"/>
        <v>6112</v>
      </c>
      <c r="Q125" s="49">
        <f>VLOOKUP(옵션그룹계산1!J125,색인!$E$4:$F$99,2,FALSE)</f>
        <v>1105</v>
      </c>
      <c r="R125" s="49" t="str">
        <f>_xlfn.IFNA(VLOOKUP(옵션그룹계산1!K125,색인!$E$4:$F$99,2,FALSE),"")</f>
        <v/>
      </c>
      <c r="S125" s="49" t="str">
        <f>_xlfn.IFNA(VLOOKUP(옵션그룹계산1!L125,색인!$E$4:$F$99,2,FALSE),"")</f>
        <v/>
      </c>
      <c r="T125" s="49" t="str">
        <f>_xlfn.IFNA(VLOOKUP(옵션그룹계산1!M125,색인!$E$4:$F$99,2,FALSE),"")</f>
        <v/>
      </c>
      <c r="U125" s="49" t="str">
        <f>_xlfn.IFNA(VLOOKUP(옵션그룹계산1!N125,색인!$E$4:$F$99,2,FALSE),"")</f>
        <v/>
      </c>
      <c r="V125" s="49" t="str">
        <f>_xlfn.IFNA(VLOOKUP(옵션그룹계산1!O125,색인!$E$4:$F$99,2,FALSE),"")</f>
        <v/>
      </c>
      <c r="W125" s="50">
        <f t="shared" si="12"/>
        <v>6</v>
      </c>
      <c r="X125" s="50">
        <f t="shared" si="13"/>
        <v>1</v>
      </c>
      <c r="Y125" s="50">
        <f t="shared" si="14"/>
        <v>1</v>
      </c>
      <c r="Z125" s="50">
        <f t="shared" si="15"/>
        <v>2</v>
      </c>
      <c r="AA125" s="48" t="str">
        <f t="shared" si="16"/>
        <v>T6_1옵션_방어구_탱커</v>
      </c>
      <c r="AB125" s="50" t="str">
        <f t="shared" si="17"/>
        <v>6112</v>
      </c>
      <c r="AC125" s="49" t="str">
        <f t="shared" si="18"/>
        <v>T6_1옵션_방어구_탱커    (Grade 2)</v>
      </c>
      <c r="AD125" s="48" t="str">
        <f t="shared" si="19"/>
        <v>1105</v>
      </c>
    </row>
    <row r="126" spans="3:30" x14ac:dyDescent="0.3">
      <c r="C126" s="51">
        <v>6</v>
      </c>
      <c r="D126" s="51">
        <v>1</v>
      </c>
      <c r="E126" s="51" t="s">
        <v>5399</v>
      </c>
      <c r="F126" s="51" t="s">
        <v>5397</v>
      </c>
      <c r="G126" s="50" t="str">
        <f>VLOOKUP(E126,옵션그룹계산1!$AF$4:$AH$7,3,FALSE)</f>
        <v xml:space="preserve"> </v>
      </c>
      <c r="H126" s="49" t="str">
        <f>VLOOKUP(D126,옵션그룹계산1!$AF$16:$AG$19,2,FALSE)</f>
        <v>(Grade 2)</v>
      </c>
      <c r="I126" s="50" t="str">
        <f t="shared" si="10"/>
        <v>보조장비_딜러</v>
      </c>
      <c r="J126" s="49" t="str">
        <f>IF($D126&gt;=(J$2-1),VLOOKUP($I126,색인!$L$4:$R$11,J$2,FALSE)&amp;"_"&amp;$C126,"")</f>
        <v>공격력_6</v>
      </c>
      <c r="K126" s="49" t="str">
        <f>IF($D126&gt;=(K$2-1),VLOOKUP($I126,색인!$L$4:$R$11,K$2,FALSE)&amp;"_"&amp;$C126,"")</f>
        <v/>
      </c>
      <c r="L126" s="49" t="str">
        <f>IF($D126&gt;=(L$2-1),VLOOKUP($I126,색인!$L$4:$R$11,L$2,FALSE)&amp;"_"&amp;$C126,"")</f>
        <v/>
      </c>
      <c r="M126" s="49" t="str">
        <f>IF($D126&gt;=(M$2-1),VLOOKUP($I126,색인!$L$4:$R$11,M$2,FALSE)&amp;"_"&amp;$C126,"")</f>
        <v/>
      </c>
      <c r="N126" s="49" t="str">
        <f>IF(AND(C126&gt;=6,D126&gt;=4),VLOOKUP($I126,색인!$L$4:$R$11,N$2,FALSE)&amp;"_"&amp;$C126,"")</f>
        <v/>
      </c>
      <c r="O126" s="49" t="str">
        <f>IF(AND(C126&gt;=6,D126&gt;=4),VLOOKUP($I126,색인!$L$4:$R$11,O$2,FALSE)&amp;"_"&amp;$C126,"")</f>
        <v/>
      </c>
      <c r="P126" s="50" t="str">
        <f t="shared" si="11"/>
        <v>6121</v>
      </c>
      <c r="Q126" s="49">
        <f>VLOOKUP(옵션그룹계산1!J126,색인!$E$4:$F$99,2,FALSE)</f>
        <v>105</v>
      </c>
      <c r="R126" s="49" t="str">
        <f>_xlfn.IFNA(VLOOKUP(옵션그룹계산1!K126,색인!$E$4:$F$99,2,FALSE),"")</f>
        <v/>
      </c>
      <c r="S126" s="49" t="str">
        <f>_xlfn.IFNA(VLOOKUP(옵션그룹계산1!L126,색인!$E$4:$F$99,2,FALSE),"")</f>
        <v/>
      </c>
      <c r="T126" s="49" t="str">
        <f>_xlfn.IFNA(VLOOKUP(옵션그룹계산1!M126,색인!$E$4:$F$99,2,FALSE),"")</f>
        <v/>
      </c>
      <c r="U126" s="49" t="str">
        <f>_xlfn.IFNA(VLOOKUP(옵션그룹계산1!N126,색인!$E$4:$F$99,2,FALSE),"")</f>
        <v/>
      </c>
      <c r="V126" s="49" t="str">
        <f>_xlfn.IFNA(VLOOKUP(옵션그룹계산1!O126,색인!$E$4:$F$99,2,FALSE),"")</f>
        <v/>
      </c>
      <c r="W126" s="50">
        <f t="shared" si="12"/>
        <v>6</v>
      </c>
      <c r="X126" s="50">
        <f t="shared" si="13"/>
        <v>1</v>
      </c>
      <c r="Y126" s="50">
        <f t="shared" si="14"/>
        <v>2</v>
      </c>
      <c r="Z126" s="50">
        <f t="shared" si="15"/>
        <v>1</v>
      </c>
      <c r="AA126" s="48" t="str">
        <f t="shared" si="16"/>
        <v>T6_1옵션_보조장비_딜러</v>
      </c>
      <c r="AB126" s="50" t="str">
        <f t="shared" si="17"/>
        <v>6121</v>
      </c>
      <c r="AC126" s="49" t="str">
        <f t="shared" si="18"/>
        <v>T6_1옵션_보조장비_딜러 (Grade 2)</v>
      </c>
      <c r="AD126" s="48" t="str">
        <f t="shared" si="19"/>
        <v>105</v>
      </c>
    </row>
    <row r="127" spans="3:30" x14ac:dyDescent="0.3">
      <c r="C127" s="51">
        <v>6</v>
      </c>
      <c r="D127" s="51">
        <v>1</v>
      </c>
      <c r="E127" s="51" t="s">
        <v>5399</v>
      </c>
      <c r="F127" s="51" t="s">
        <v>5395</v>
      </c>
      <c r="G127" s="50" t="str">
        <f>VLOOKUP(E127,옵션그룹계산1!$AF$4:$AH$7,3,FALSE)</f>
        <v xml:space="preserve"> </v>
      </c>
      <c r="H127" s="49" t="str">
        <f>VLOOKUP(D127,옵션그룹계산1!$AF$16:$AG$19,2,FALSE)</f>
        <v>(Grade 2)</v>
      </c>
      <c r="I127" s="50" t="str">
        <f t="shared" si="10"/>
        <v>보조장비_탱커</v>
      </c>
      <c r="J127" s="49" t="str">
        <f>IF($D127&gt;=(J$2-1),VLOOKUP($I127,색인!$L$4:$R$11,J$2,FALSE)&amp;"_"&amp;$C127,"")</f>
        <v>공격속도_6</v>
      </c>
      <c r="K127" s="49" t="str">
        <f>IF($D127&gt;=(K$2-1),VLOOKUP($I127,색인!$L$4:$R$11,K$2,FALSE)&amp;"_"&amp;$C127,"")</f>
        <v/>
      </c>
      <c r="L127" s="49" t="str">
        <f>IF($D127&gt;=(L$2-1),VLOOKUP($I127,색인!$L$4:$R$11,L$2,FALSE)&amp;"_"&amp;$C127,"")</f>
        <v/>
      </c>
      <c r="M127" s="49" t="str">
        <f>IF($D127&gt;=(M$2-1),VLOOKUP($I127,색인!$L$4:$R$11,M$2,FALSE)&amp;"_"&amp;$C127,"")</f>
        <v/>
      </c>
      <c r="N127" s="49" t="str">
        <f>IF(AND(C127&gt;=6,D127&gt;=4),VLOOKUP($I127,색인!$L$4:$R$11,N$2,FALSE)&amp;"_"&amp;$C127,"")</f>
        <v/>
      </c>
      <c r="O127" s="49" t="str">
        <f>IF(AND(C127&gt;=6,D127&gt;=4),VLOOKUP($I127,색인!$L$4:$R$11,O$2,FALSE)&amp;"_"&amp;$C127,"")</f>
        <v/>
      </c>
      <c r="P127" s="50" t="str">
        <f t="shared" si="11"/>
        <v>6122</v>
      </c>
      <c r="Q127" s="49">
        <f>VLOOKUP(옵션그룹계산1!J127,색인!$E$4:$F$99,2,FALSE)</f>
        <v>1105</v>
      </c>
      <c r="R127" s="49" t="str">
        <f>_xlfn.IFNA(VLOOKUP(옵션그룹계산1!K127,색인!$E$4:$F$99,2,FALSE),"")</f>
        <v/>
      </c>
      <c r="S127" s="49" t="str">
        <f>_xlfn.IFNA(VLOOKUP(옵션그룹계산1!L127,색인!$E$4:$F$99,2,FALSE),"")</f>
        <v/>
      </c>
      <c r="T127" s="49" t="str">
        <f>_xlfn.IFNA(VLOOKUP(옵션그룹계산1!M127,색인!$E$4:$F$99,2,FALSE),"")</f>
        <v/>
      </c>
      <c r="U127" s="49" t="str">
        <f>_xlfn.IFNA(VLOOKUP(옵션그룹계산1!N127,색인!$E$4:$F$99,2,FALSE),"")</f>
        <v/>
      </c>
      <c r="V127" s="49" t="str">
        <f>_xlfn.IFNA(VLOOKUP(옵션그룹계산1!O127,색인!$E$4:$F$99,2,FALSE),"")</f>
        <v/>
      </c>
      <c r="W127" s="50">
        <f t="shared" si="12"/>
        <v>6</v>
      </c>
      <c r="X127" s="50">
        <f t="shared" si="13"/>
        <v>1</v>
      </c>
      <c r="Y127" s="50">
        <f t="shared" si="14"/>
        <v>2</v>
      </c>
      <c r="Z127" s="50">
        <f t="shared" si="15"/>
        <v>2</v>
      </c>
      <c r="AA127" s="48" t="str">
        <f t="shared" si="16"/>
        <v>T6_1옵션_보조장비_탱커</v>
      </c>
      <c r="AB127" s="50" t="str">
        <f t="shared" si="17"/>
        <v>6122</v>
      </c>
      <c r="AC127" s="49" t="str">
        <f t="shared" si="18"/>
        <v>T6_1옵션_보조장비_탱커 (Grade 2)</v>
      </c>
      <c r="AD127" s="48" t="str">
        <f t="shared" si="19"/>
        <v>1105</v>
      </c>
    </row>
    <row r="128" spans="3:30" x14ac:dyDescent="0.3">
      <c r="C128" s="51">
        <v>6</v>
      </c>
      <c r="D128" s="51">
        <v>1</v>
      </c>
      <c r="E128" s="51" t="s">
        <v>5398</v>
      </c>
      <c r="F128" s="51" t="s">
        <v>5397</v>
      </c>
      <c r="G128" s="50" t="str">
        <f>VLOOKUP(E128,옵션그룹계산1!$AF$4:$AH$7,3,FALSE)</f>
        <v xml:space="preserve">    </v>
      </c>
      <c r="H128" s="49" t="str">
        <f>VLOOKUP(D128,옵션그룹계산1!$AF$16:$AG$19,2,FALSE)</f>
        <v>(Grade 2)</v>
      </c>
      <c r="I128" s="50" t="str">
        <f t="shared" si="10"/>
        <v>장신구_딜러</v>
      </c>
      <c r="J128" s="49" t="str">
        <f>IF($D128&gt;=(J$2-1),VLOOKUP($I128,색인!$L$4:$R$11,J$2,FALSE)&amp;"_"&amp;$C128,"")</f>
        <v>공격력_6</v>
      </c>
      <c r="K128" s="49" t="str">
        <f>IF($D128&gt;=(K$2-1),VLOOKUP($I128,색인!$L$4:$R$11,K$2,FALSE)&amp;"_"&amp;$C128,"")</f>
        <v/>
      </c>
      <c r="L128" s="49" t="str">
        <f>IF($D128&gt;=(L$2-1),VLOOKUP($I128,색인!$L$4:$R$11,L$2,FALSE)&amp;"_"&amp;$C128,"")</f>
        <v/>
      </c>
      <c r="M128" s="49" t="str">
        <f>IF($D128&gt;=(M$2-1),VLOOKUP($I128,색인!$L$4:$R$11,M$2,FALSE)&amp;"_"&amp;$C128,"")</f>
        <v/>
      </c>
      <c r="N128" s="49" t="str">
        <f>IF(AND(C128&gt;=6,D128&gt;=4),VLOOKUP($I128,색인!$L$4:$R$11,N$2,FALSE)&amp;"_"&amp;$C128,"")</f>
        <v/>
      </c>
      <c r="O128" s="49" t="str">
        <f>IF(AND(C128&gt;=6,D128&gt;=4),VLOOKUP($I128,색인!$L$4:$R$11,O$2,FALSE)&amp;"_"&amp;$C128,"")</f>
        <v/>
      </c>
      <c r="P128" s="50" t="str">
        <f t="shared" si="11"/>
        <v>6131</v>
      </c>
      <c r="Q128" s="49">
        <f>VLOOKUP(옵션그룹계산1!J128,색인!$E$4:$F$99,2,FALSE)</f>
        <v>105</v>
      </c>
      <c r="R128" s="49" t="str">
        <f>_xlfn.IFNA(VLOOKUP(옵션그룹계산1!K128,색인!$E$4:$F$99,2,FALSE),"")</f>
        <v/>
      </c>
      <c r="S128" s="49" t="str">
        <f>_xlfn.IFNA(VLOOKUP(옵션그룹계산1!L128,색인!$E$4:$F$99,2,FALSE),"")</f>
        <v/>
      </c>
      <c r="T128" s="49" t="str">
        <f>_xlfn.IFNA(VLOOKUP(옵션그룹계산1!M128,색인!$E$4:$F$99,2,FALSE),"")</f>
        <v/>
      </c>
      <c r="U128" s="49" t="str">
        <f>_xlfn.IFNA(VLOOKUP(옵션그룹계산1!N128,색인!$E$4:$F$99,2,FALSE),"")</f>
        <v/>
      </c>
      <c r="V128" s="49" t="str">
        <f>_xlfn.IFNA(VLOOKUP(옵션그룹계산1!O128,색인!$E$4:$F$99,2,FALSE),"")</f>
        <v/>
      </c>
      <c r="W128" s="50">
        <f t="shared" si="12"/>
        <v>6</v>
      </c>
      <c r="X128" s="50">
        <f t="shared" si="13"/>
        <v>1</v>
      </c>
      <c r="Y128" s="50">
        <f t="shared" si="14"/>
        <v>3</v>
      </c>
      <c r="Z128" s="50">
        <f t="shared" si="15"/>
        <v>1</v>
      </c>
      <c r="AA128" s="48" t="str">
        <f t="shared" si="16"/>
        <v>T6_1옵션_장신구_딜러</v>
      </c>
      <c r="AB128" s="50" t="str">
        <f t="shared" si="17"/>
        <v>6131</v>
      </c>
      <c r="AC128" s="49" t="str">
        <f t="shared" si="18"/>
        <v>T6_1옵션_장신구_딜러    (Grade 2)</v>
      </c>
      <c r="AD128" s="48" t="str">
        <f t="shared" si="19"/>
        <v>105</v>
      </c>
    </row>
    <row r="129" spans="3:30" x14ac:dyDescent="0.3">
      <c r="C129" s="51">
        <v>6</v>
      </c>
      <c r="D129" s="51">
        <v>1</v>
      </c>
      <c r="E129" s="51" t="s">
        <v>5398</v>
      </c>
      <c r="F129" s="51" t="s">
        <v>5395</v>
      </c>
      <c r="G129" s="50" t="str">
        <f>VLOOKUP(E129,옵션그룹계산1!$AF$4:$AH$7,3,FALSE)</f>
        <v xml:space="preserve">    </v>
      </c>
      <c r="H129" s="49" t="str">
        <f>VLOOKUP(D129,옵션그룹계산1!$AF$16:$AG$19,2,FALSE)</f>
        <v>(Grade 2)</v>
      </c>
      <c r="I129" s="50" t="str">
        <f t="shared" si="10"/>
        <v>장신구_탱커</v>
      </c>
      <c r="J129" s="49" t="str">
        <f>IF($D129&gt;=(J$2-1),VLOOKUP($I129,색인!$L$4:$R$11,J$2,FALSE)&amp;"_"&amp;$C129,"")</f>
        <v>체력_6</v>
      </c>
      <c r="K129" s="49" t="str">
        <f>IF($D129&gt;=(K$2-1),VLOOKUP($I129,색인!$L$4:$R$11,K$2,FALSE)&amp;"_"&amp;$C129,"")</f>
        <v/>
      </c>
      <c r="L129" s="49" t="str">
        <f>IF($D129&gt;=(L$2-1),VLOOKUP($I129,색인!$L$4:$R$11,L$2,FALSE)&amp;"_"&amp;$C129,"")</f>
        <v/>
      </c>
      <c r="M129" s="49" t="str">
        <f>IF($D129&gt;=(M$2-1),VLOOKUP($I129,색인!$L$4:$R$11,M$2,FALSE)&amp;"_"&amp;$C129,"")</f>
        <v/>
      </c>
      <c r="N129" s="49" t="str">
        <f>IF(AND(C129&gt;=6,D129&gt;=4),VLOOKUP($I129,색인!$L$4:$R$11,N$2,FALSE)&amp;"_"&amp;$C129,"")</f>
        <v/>
      </c>
      <c r="O129" s="49" t="str">
        <f>IF(AND(C129&gt;=6,D129&gt;=4),VLOOKUP($I129,색인!$L$4:$R$11,O$2,FALSE)&amp;"_"&amp;$C129,"")</f>
        <v/>
      </c>
      <c r="P129" s="50" t="str">
        <f t="shared" si="11"/>
        <v>6132</v>
      </c>
      <c r="Q129" s="49">
        <f>VLOOKUP(옵션그룹계산1!J129,색인!$E$4:$F$99,2,FALSE)</f>
        <v>205</v>
      </c>
      <c r="R129" s="49" t="str">
        <f>_xlfn.IFNA(VLOOKUP(옵션그룹계산1!K129,색인!$E$4:$F$99,2,FALSE),"")</f>
        <v/>
      </c>
      <c r="S129" s="49" t="str">
        <f>_xlfn.IFNA(VLOOKUP(옵션그룹계산1!L129,색인!$E$4:$F$99,2,FALSE),"")</f>
        <v/>
      </c>
      <c r="T129" s="49" t="str">
        <f>_xlfn.IFNA(VLOOKUP(옵션그룹계산1!M129,색인!$E$4:$F$99,2,FALSE),"")</f>
        <v/>
      </c>
      <c r="U129" s="49" t="str">
        <f>_xlfn.IFNA(VLOOKUP(옵션그룹계산1!N129,색인!$E$4:$F$99,2,FALSE),"")</f>
        <v/>
      </c>
      <c r="V129" s="49" t="str">
        <f>_xlfn.IFNA(VLOOKUP(옵션그룹계산1!O129,색인!$E$4:$F$99,2,FALSE),"")</f>
        <v/>
      </c>
      <c r="W129" s="50">
        <f t="shared" si="12"/>
        <v>6</v>
      </c>
      <c r="X129" s="50">
        <f t="shared" si="13"/>
        <v>1</v>
      </c>
      <c r="Y129" s="50">
        <f t="shared" si="14"/>
        <v>3</v>
      </c>
      <c r="Z129" s="50">
        <f t="shared" si="15"/>
        <v>2</v>
      </c>
      <c r="AA129" s="48" t="str">
        <f t="shared" si="16"/>
        <v>T6_1옵션_장신구_탱커</v>
      </c>
      <c r="AB129" s="50" t="str">
        <f t="shared" si="17"/>
        <v>6132</v>
      </c>
      <c r="AC129" s="49" t="str">
        <f t="shared" si="18"/>
        <v>T6_1옵션_장신구_탱커    (Grade 2)</v>
      </c>
      <c r="AD129" s="48" t="str">
        <f t="shared" si="19"/>
        <v>205</v>
      </c>
    </row>
    <row r="130" spans="3:30" x14ac:dyDescent="0.3">
      <c r="C130" s="51">
        <v>6</v>
      </c>
      <c r="D130" s="51">
        <v>1</v>
      </c>
      <c r="E130" s="51" t="s">
        <v>5396</v>
      </c>
      <c r="F130" s="51" t="s">
        <v>5397</v>
      </c>
      <c r="G130" s="50" t="str">
        <f>VLOOKUP(E130,옵션그룹계산1!$AF$4:$AH$7,3,FALSE)</f>
        <v xml:space="preserve">       </v>
      </c>
      <c r="H130" s="49" t="str">
        <f>VLOOKUP(D130,옵션그룹계산1!$AF$16:$AG$19,2,FALSE)</f>
        <v>(Grade 2)</v>
      </c>
      <c r="I130" s="50" t="str">
        <f t="shared" si="10"/>
        <v>보주_딜러</v>
      </c>
      <c r="J130" s="49" t="str">
        <f>IF($D130&gt;=(J$2-1),VLOOKUP($I130,색인!$L$4:$R$11,J$2,FALSE)&amp;"_"&amp;$C130,"")</f>
        <v>공격력_6</v>
      </c>
      <c r="K130" s="49" t="str">
        <f>IF($D130&gt;=(K$2-1),VLOOKUP($I130,색인!$L$4:$R$11,K$2,FALSE)&amp;"_"&amp;$C130,"")</f>
        <v/>
      </c>
      <c r="L130" s="49" t="str">
        <f>IF($D130&gt;=(L$2-1),VLOOKUP($I130,색인!$L$4:$R$11,L$2,FALSE)&amp;"_"&amp;$C130,"")</f>
        <v/>
      </c>
      <c r="M130" s="49" t="str">
        <f>IF($D130&gt;=(M$2-1),VLOOKUP($I130,색인!$L$4:$R$11,M$2,FALSE)&amp;"_"&amp;$C130,"")</f>
        <v/>
      </c>
      <c r="N130" s="49" t="str">
        <f>IF(AND(C130&gt;=6,D130&gt;=4),VLOOKUP($I130,색인!$L$4:$R$11,N$2,FALSE)&amp;"_"&amp;$C130,"")</f>
        <v/>
      </c>
      <c r="O130" s="49" t="str">
        <f>IF(AND(C130&gt;=6,D130&gt;=4),VLOOKUP($I130,색인!$L$4:$R$11,O$2,FALSE)&amp;"_"&amp;$C130,"")</f>
        <v/>
      </c>
      <c r="P130" s="50" t="str">
        <f t="shared" si="11"/>
        <v>6141</v>
      </c>
      <c r="Q130" s="49">
        <f>VLOOKUP(옵션그룹계산1!J130,색인!$E$4:$F$99,2,FALSE)</f>
        <v>105</v>
      </c>
      <c r="R130" s="49" t="str">
        <f>_xlfn.IFNA(VLOOKUP(옵션그룹계산1!K130,색인!$E$4:$F$99,2,FALSE),"")</f>
        <v/>
      </c>
      <c r="S130" s="49" t="str">
        <f>_xlfn.IFNA(VLOOKUP(옵션그룹계산1!L130,색인!$E$4:$F$99,2,FALSE),"")</f>
        <v/>
      </c>
      <c r="T130" s="49" t="str">
        <f>_xlfn.IFNA(VLOOKUP(옵션그룹계산1!M130,색인!$E$4:$F$99,2,FALSE),"")</f>
        <v/>
      </c>
      <c r="U130" s="49" t="str">
        <f>_xlfn.IFNA(VLOOKUP(옵션그룹계산1!N130,색인!$E$4:$F$99,2,FALSE),"")</f>
        <v/>
      </c>
      <c r="V130" s="49" t="str">
        <f>_xlfn.IFNA(VLOOKUP(옵션그룹계산1!O130,색인!$E$4:$F$99,2,FALSE),"")</f>
        <v/>
      </c>
      <c r="W130" s="50">
        <f t="shared" si="12"/>
        <v>6</v>
      </c>
      <c r="X130" s="50">
        <f t="shared" si="13"/>
        <v>1</v>
      </c>
      <c r="Y130" s="50">
        <f t="shared" si="14"/>
        <v>4</v>
      </c>
      <c r="Z130" s="50">
        <f t="shared" si="15"/>
        <v>1</v>
      </c>
      <c r="AA130" s="48" t="str">
        <f t="shared" si="16"/>
        <v>T6_1옵션_보주_딜러</v>
      </c>
      <c r="AB130" s="50" t="str">
        <f t="shared" si="17"/>
        <v>6141</v>
      </c>
      <c r="AC130" s="49" t="str">
        <f t="shared" si="18"/>
        <v>T6_1옵션_보주_딜러       (Grade 2)</v>
      </c>
      <c r="AD130" s="48" t="str">
        <f t="shared" si="19"/>
        <v>105</v>
      </c>
    </row>
    <row r="131" spans="3:30" x14ac:dyDescent="0.3">
      <c r="C131" s="51">
        <v>6</v>
      </c>
      <c r="D131" s="51">
        <v>1</v>
      </c>
      <c r="E131" s="51" t="s">
        <v>5396</v>
      </c>
      <c r="F131" s="51" t="s">
        <v>5395</v>
      </c>
      <c r="G131" s="50" t="str">
        <f>VLOOKUP(E131,옵션그룹계산1!$AF$4:$AH$7,3,FALSE)</f>
        <v xml:space="preserve">       </v>
      </c>
      <c r="H131" s="49" t="str">
        <f>VLOOKUP(D131,옵션그룹계산1!$AF$16:$AG$19,2,FALSE)</f>
        <v>(Grade 2)</v>
      </c>
      <c r="I131" s="50" t="str">
        <f t="shared" si="10"/>
        <v>보주_탱커</v>
      </c>
      <c r="J131" s="49" t="str">
        <f>IF($D131&gt;=(J$2-1),VLOOKUP($I131,색인!$L$4:$R$11,J$2,FALSE)&amp;"_"&amp;$C131,"")</f>
        <v>체력_6</v>
      </c>
      <c r="K131" s="49" t="str">
        <f>IF($D131&gt;=(K$2-1),VLOOKUP($I131,색인!$L$4:$R$11,K$2,FALSE)&amp;"_"&amp;$C131,"")</f>
        <v/>
      </c>
      <c r="L131" s="49" t="str">
        <f>IF($D131&gt;=(L$2-1),VLOOKUP($I131,색인!$L$4:$R$11,L$2,FALSE)&amp;"_"&amp;$C131,"")</f>
        <v/>
      </c>
      <c r="M131" s="49" t="str">
        <f>IF($D131&gt;=(M$2-1),VLOOKUP($I131,색인!$L$4:$R$11,M$2,FALSE)&amp;"_"&amp;$C131,"")</f>
        <v/>
      </c>
      <c r="N131" s="49" t="str">
        <f>IF(AND(C131&gt;=6,D131&gt;=4),VLOOKUP($I131,색인!$L$4:$R$11,N$2,FALSE)&amp;"_"&amp;$C131,"")</f>
        <v/>
      </c>
      <c r="O131" s="49" t="str">
        <f>IF(AND(C131&gt;=6,D131&gt;=4),VLOOKUP($I131,색인!$L$4:$R$11,O$2,FALSE)&amp;"_"&amp;$C131,"")</f>
        <v/>
      </c>
      <c r="P131" s="50" t="str">
        <f t="shared" si="11"/>
        <v>6142</v>
      </c>
      <c r="Q131" s="49">
        <f>VLOOKUP(옵션그룹계산1!J131,색인!$E$4:$F$99,2,FALSE)</f>
        <v>205</v>
      </c>
      <c r="R131" s="49" t="str">
        <f>_xlfn.IFNA(VLOOKUP(옵션그룹계산1!K131,색인!$E$4:$F$99,2,FALSE),"")</f>
        <v/>
      </c>
      <c r="S131" s="49" t="str">
        <f>_xlfn.IFNA(VLOOKUP(옵션그룹계산1!L131,색인!$E$4:$F$99,2,FALSE),"")</f>
        <v/>
      </c>
      <c r="T131" s="49" t="str">
        <f>_xlfn.IFNA(VLOOKUP(옵션그룹계산1!M131,색인!$E$4:$F$99,2,FALSE),"")</f>
        <v/>
      </c>
      <c r="U131" s="49" t="str">
        <f>_xlfn.IFNA(VLOOKUP(옵션그룹계산1!N131,색인!$E$4:$F$99,2,FALSE),"")</f>
        <v/>
      </c>
      <c r="V131" s="49" t="str">
        <f>_xlfn.IFNA(VLOOKUP(옵션그룹계산1!O131,색인!$E$4:$F$99,2,FALSE),"")</f>
        <v/>
      </c>
      <c r="W131" s="50">
        <f t="shared" si="12"/>
        <v>6</v>
      </c>
      <c r="X131" s="50">
        <f t="shared" si="13"/>
        <v>1</v>
      </c>
      <c r="Y131" s="50">
        <f t="shared" si="14"/>
        <v>4</v>
      </c>
      <c r="Z131" s="50">
        <f t="shared" si="15"/>
        <v>2</v>
      </c>
      <c r="AA131" s="48" t="str">
        <f t="shared" si="16"/>
        <v>T6_1옵션_보주_탱커</v>
      </c>
      <c r="AB131" s="50" t="str">
        <f t="shared" si="17"/>
        <v>6142</v>
      </c>
      <c r="AC131" s="49" t="str">
        <f t="shared" si="18"/>
        <v>T6_1옵션_보주_탱커       (Grade 2)</v>
      </c>
      <c r="AD131" s="48" t="str">
        <f t="shared" si="19"/>
        <v>205</v>
      </c>
    </row>
    <row r="132" spans="3:30" x14ac:dyDescent="0.3">
      <c r="C132" s="51">
        <v>6</v>
      </c>
      <c r="D132" s="51">
        <v>2</v>
      </c>
      <c r="E132" s="51" t="s">
        <v>5400</v>
      </c>
      <c r="F132" s="51" t="s">
        <v>5397</v>
      </c>
      <c r="G132" s="50" t="str">
        <f>VLOOKUP(E132,옵션그룹계산1!$AF$4:$AH$7,3,FALSE)</f>
        <v xml:space="preserve">    </v>
      </c>
      <c r="H132" s="49" t="str">
        <f>VLOOKUP(D132,옵션그룹계산1!$AF$16:$AG$19,2,FALSE)</f>
        <v>(Grade 3)</v>
      </c>
      <c r="I132" s="50" t="str">
        <f t="shared" ref="I132:I195" si="20">E132&amp;"_"&amp;F132</f>
        <v>방어구_딜러</v>
      </c>
      <c r="J132" s="49" t="str">
        <f>IF($D132&gt;=(J$2-1),VLOOKUP($I132,색인!$L$4:$R$11,J$2,FALSE)&amp;"_"&amp;$C132,"")</f>
        <v>공격력_6</v>
      </c>
      <c r="K132" s="49" t="str">
        <f>IF($D132&gt;=(K$2-1),VLOOKUP($I132,색인!$L$4:$R$11,K$2,FALSE)&amp;"_"&amp;$C132,"")</f>
        <v>공격속도_6</v>
      </c>
      <c r="L132" s="49" t="str">
        <f>IF($D132&gt;=(L$2-1),VLOOKUP($I132,색인!$L$4:$R$11,L$2,FALSE)&amp;"_"&amp;$C132,"")</f>
        <v/>
      </c>
      <c r="M132" s="49" t="str">
        <f>IF($D132&gt;=(M$2-1),VLOOKUP($I132,색인!$L$4:$R$11,M$2,FALSE)&amp;"_"&amp;$C132,"")</f>
        <v/>
      </c>
      <c r="N132" s="49" t="str">
        <f>IF(AND(C132&gt;=6,D132&gt;=4),VLOOKUP($I132,색인!$L$4:$R$11,N$2,FALSE)&amp;"_"&amp;$C132,"")</f>
        <v/>
      </c>
      <c r="O132" s="49" t="str">
        <f>IF(AND(C132&gt;=6,D132&gt;=4),VLOOKUP($I132,색인!$L$4:$R$11,O$2,FALSE)&amp;"_"&amp;$C132,"")</f>
        <v/>
      </c>
      <c r="P132" s="50" t="str">
        <f t="shared" ref="P132:P195" si="21">AB132</f>
        <v>6211</v>
      </c>
      <c r="Q132" s="49">
        <f>VLOOKUP(옵션그룹계산1!J132,색인!$E$4:$F$99,2,FALSE)</f>
        <v>105</v>
      </c>
      <c r="R132" s="49">
        <f>_xlfn.IFNA(VLOOKUP(옵션그룹계산1!K132,색인!$E$4:$F$99,2,FALSE),"")</f>
        <v>1105</v>
      </c>
      <c r="S132" s="49" t="str">
        <f>_xlfn.IFNA(VLOOKUP(옵션그룹계산1!L132,색인!$E$4:$F$99,2,FALSE),"")</f>
        <v/>
      </c>
      <c r="T132" s="49" t="str">
        <f>_xlfn.IFNA(VLOOKUP(옵션그룹계산1!M132,색인!$E$4:$F$99,2,FALSE),"")</f>
        <v/>
      </c>
      <c r="U132" s="49" t="str">
        <f>_xlfn.IFNA(VLOOKUP(옵션그룹계산1!N132,색인!$E$4:$F$99,2,FALSE),"")</f>
        <v/>
      </c>
      <c r="V132" s="49" t="str">
        <f>_xlfn.IFNA(VLOOKUP(옵션그룹계산1!O132,색인!$E$4:$F$99,2,FALSE),"")</f>
        <v/>
      </c>
      <c r="W132" s="50">
        <f t="shared" ref="W132:W195" si="22">C132</f>
        <v>6</v>
      </c>
      <c r="X132" s="50">
        <f t="shared" ref="X132:X195" si="23">D132</f>
        <v>2</v>
      </c>
      <c r="Y132" s="50">
        <f t="shared" ref="Y132:Y195" si="24">VLOOKUP(E132,$AF$4:$AG$7,2,FALSE)</f>
        <v>1</v>
      </c>
      <c r="Z132" s="50">
        <f t="shared" ref="Z132:Z195" si="25">VLOOKUP(F132,$AF$11:$AG$12,2,FALSE)</f>
        <v>1</v>
      </c>
      <c r="AA132" s="48" t="str">
        <f t="shared" ref="AA132:AA195" si="26">"T"&amp;C132&amp;"_"&amp;D132&amp;"옵션_"&amp;E132&amp;"_"&amp;F132</f>
        <v>T6_2옵션_방어구_딜러</v>
      </c>
      <c r="AB132" s="50" t="str">
        <f t="shared" ref="AB132:AB195" si="27">W132&amp;X132&amp;Y132&amp;Z132</f>
        <v>6211</v>
      </c>
      <c r="AC132" s="49" t="str">
        <f t="shared" ref="AC132:AC195" si="28">"T"&amp;C132&amp;"_"&amp;D132&amp;"옵션_"&amp;E132&amp;"_"&amp;F132&amp;G132&amp;H132</f>
        <v>T6_2옵션_방어구_딜러    (Grade 3)</v>
      </c>
      <c r="AD132" s="48" t="str">
        <f t="shared" ref="AD132:AD195" si="29">Q132&amp;IF(R132="","",","&amp;R132)&amp;IF(S132="","",","&amp;S132)&amp;IF(T132="","",","&amp;T132)&amp;IF(U132="","",","&amp;U132)&amp;IF(V132="","",","&amp;V132)</f>
        <v>105,1105</v>
      </c>
    </row>
    <row r="133" spans="3:30" x14ac:dyDescent="0.3">
      <c r="C133" s="51">
        <v>6</v>
      </c>
      <c r="D133" s="51">
        <v>2</v>
      </c>
      <c r="E133" s="51" t="s">
        <v>5400</v>
      </c>
      <c r="F133" s="51" t="s">
        <v>5395</v>
      </c>
      <c r="G133" s="50" t="str">
        <f>VLOOKUP(E133,옵션그룹계산1!$AF$4:$AH$7,3,FALSE)</f>
        <v xml:space="preserve">    </v>
      </c>
      <c r="H133" s="49" t="str">
        <f>VLOOKUP(D133,옵션그룹계산1!$AF$16:$AG$19,2,FALSE)</f>
        <v>(Grade 3)</v>
      </c>
      <c r="I133" s="50" t="str">
        <f t="shared" si="20"/>
        <v>방어구_탱커</v>
      </c>
      <c r="J133" s="49" t="str">
        <f>IF($D133&gt;=(J$2-1),VLOOKUP($I133,색인!$L$4:$R$11,J$2,FALSE)&amp;"_"&amp;$C133,"")</f>
        <v>공격속도_6</v>
      </c>
      <c r="K133" s="49" t="str">
        <f>IF($D133&gt;=(K$2-1),VLOOKUP($I133,색인!$L$4:$R$11,K$2,FALSE)&amp;"_"&amp;$C133,"")</f>
        <v>물리블록_6</v>
      </c>
      <c r="L133" s="49" t="str">
        <f>IF($D133&gt;=(L$2-1),VLOOKUP($I133,색인!$L$4:$R$11,L$2,FALSE)&amp;"_"&amp;$C133,"")</f>
        <v/>
      </c>
      <c r="M133" s="49" t="str">
        <f>IF($D133&gt;=(M$2-1),VLOOKUP($I133,색인!$L$4:$R$11,M$2,FALSE)&amp;"_"&amp;$C133,"")</f>
        <v/>
      </c>
      <c r="N133" s="49" t="str">
        <f>IF(AND(C133&gt;=6,D133&gt;=4),VLOOKUP($I133,색인!$L$4:$R$11,N$2,FALSE)&amp;"_"&amp;$C133,"")</f>
        <v/>
      </c>
      <c r="O133" s="49" t="str">
        <f>IF(AND(C133&gt;=6,D133&gt;=4),VLOOKUP($I133,색인!$L$4:$R$11,O$2,FALSE)&amp;"_"&amp;$C133,"")</f>
        <v/>
      </c>
      <c r="P133" s="50" t="str">
        <f t="shared" si="21"/>
        <v>6212</v>
      </c>
      <c r="Q133" s="49">
        <f>VLOOKUP(옵션그룹계산1!J133,색인!$E$4:$F$99,2,FALSE)</f>
        <v>1105</v>
      </c>
      <c r="R133" s="49">
        <f>_xlfn.IFNA(VLOOKUP(옵션그룹계산1!K133,색인!$E$4:$F$99,2,FALSE),"")</f>
        <v>905</v>
      </c>
      <c r="S133" s="49" t="str">
        <f>_xlfn.IFNA(VLOOKUP(옵션그룹계산1!L133,색인!$E$4:$F$99,2,FALSE),"")</f>
        <v/>
      </c>
      <c r="T133" s="49" t="str">
        <f>_xlfn.IFNA(VLOOKUP(옵션그룹계산1!M133,색인!$E$4:$F$99,2,FALSE),"")</f>
        <v/>
      </c>
      <c r="U133" s="49" t="str">
        <f>_xlfn.IFNA(VLOOKUP(옵션그룹계산1!N133,색인!$E$4:$F$99,2,FALSE),"")</f>
        <v/>
      </c>
      <c r="V133" s="49" t="str">
        <f>_xlfn.IFNA(VLOOKUP(옵션그룹계산1!O133,색인!$E$4:$F$99,2,FALSE),"")</f>
        <v/>
      </c>
      <c r="W133" s="50">
        <f t="shared" si="22"/>
        <v>6</v>
      </c>
      <c r="X133" s="50">
        <f t="shared" si="23"/>
        <v>2</v>
      </c>
      <c r="Y133" s="50">
        <f t="shared" si="24"/>
        <v>1</v>
      </c>
      <c r="Z133" s="50">
        <f t="shared" si="25"/>
        <v>2</v>
      </c>
      <c r="AA133" s="48" t="str">
        <f t="shared" si="26"/>
        <v>T6_2옵션_방어구_탱커</v>
      </c>
      <c r="AB133" s="50" t="str">
        <f t="shared" si="27"/>
        <v>6212</v>
      </c>
      <c r="AC133" s="49" t="str">
        <f t="shared" si="28"/>
        <v>T6_2옵션_방어구_탱커    (Grade 3)</v>
      </c>
      <c r="AD133" s="48" t="str">
        <f t="shared" si="29"/>
        <v>1105,905</v>
      </c>
    </row>
    <row r="134" spans="3:30" x14ac:dyDescent="0.3">
      <c r="C134" s="51">
        <v>6</v>
      </c>
      <c r="D134" s="51">
        <v>2</v>
      </c>
      <c r="E134" s="51" t="s">
        <v>5399</v>
      </c>
      <c r="F134" s="51" t="s">
        <v>5397</v>
      </c>
      <c r="G134" s="50" t="str">
        <f>VLOOKUP(E134,옵션그룹계산1!$AF$4:$AH$7,3,FALSE)</f>
        <v xml:space="preserve"> </v>
      </c>
      <c r="H134" s="49" t="str">
        <f>VLOOKUP(D134,옵션그룹계산1!$AF$16:$AG$19,2,FALSE)</f>
        <v>(Grade 3)</v>
      </c>
      <c r="I134" s="50" t="str">
        <f t="shared" si="20"/>
        <v>보조장비_딜러</v>
      </c>
      <c r="J134" s="49" t="str">
        <f>IF($D134&gt;=(J$2-1),VLOOKUP($I134,색인!$L$4:$R$11,J$2,FALSE)&amp;"_"&amp;$C134,"")</f>
        <v>공격력_6</v>
      </c>
      <c r="K134" s="49" t="str">
        <f>IF($D134&gt;=(K$2-1),VLOOKUP($I134,색인!$L$4:$R$11,K$2,FALSE)&amp;"_"&amp;$C134,"")</f>
        <v>공격속도_6</v>
      </c>
      <c r="L134" s="49" t="str">
        <f>IF($D134&gt;=(L$2-1),VLOOKUP($I134,색인!$L$4:$R$11,L$2,FALSE)&amp;"_"&amp;$C134,"")</f>
        <v/>
      </c>
      <c r="M134" s="49" t="str">
        <f>IF($D134&gt;=(M$2-1),VLOOKUP($I134,색인!$L$4:$R$11,M$2,FALSE)&amp;"_"&amp;$C134,"")</f>
        <v/>
      </c>
      <c r="N134" s="49" t="str">
        <f>IF(AND(C134&gt;=6,D134&gt;=4),VLOOKUP($I134,색인!$L$4:$R$11,N$2,FALSE)&amp;"_"&amp;$C134,"")</f>
        <v/>
      </c>
      <c r="O134" s="49" t="str">
        <f>IF(AND(C134&gt;=6,D134&gt;=4),VLOOKUP($I134,색인!$L$4:$R$11,O$2,FALSE)&amp;"_"&amp;$C134,"")</f>
        <v/>
      </c>
      <c r="P134" s="50" t="str">
        <f t="shared" si="21"/>
        <v>6221</v>
      </c>
      <c r="Q134" s="49">
        <f>VLOOKUP(옵션그룹계산1!J134,색인!$E$4:$F$99,2,FALSE)</f>
        <v>105</v>
      </c>
      <c r="R134" s="49">
        <f>_xlfn.IFNA(VLOOKUP(옵션그룹계산1!K134,색인!$E$4:$F$99,2,FALSE),"")</f>
        <v>1105</v>
      </c>
      <c r="S134" s="49" t="str">
        <f>_xlfn.IFNA(VLOOKUP(옵션그룹계산1!L134,색인!$E$4:$F$99,2,FALSE),"")</f>
        <v/>
      </c>
      <c r="T134" s="49" t="str">
        <f>_xlfn.IFNA(VLOOKUP(옵션그룹계산1!M134,색인!$E$4:$F$99,2,FALSE),"")</f>
        <v/>
      </c>
      <c r="U134" s="49" t="str">
        <f>_xlfn.IFNA(VLOOKUP(옵션그룹계산1!N134,색인!$E$4:$F$99,2,FALSE),"")</f>
        <v/>
      </c>
      <c r="V134" s="49" t="str">
        <f>_xlfn.IFNA(VLOOKUP(옵션그룹계산1!O134,색인!$E$4:$F$99,2,FALSE),"")</f>
        <v/>
      </c>
      <c r="W134" s="50">
        <f t="shared" si="22"/>
        <v>6</v>
      </c>
      <c r="X134" s="50">
        <f t="shared" si="23"/>
        <v>2</v>
      </c>
      <c r="Y134" s="50">
        <f t="shared" si="24"/>
        <v>2</v>
      </c>
      <c r="Z134" s="50">
        <f t="shared" si="25"/>
        <v>1</v>
      </c>
      <c r="AA134" s="48" t="str">
        <f t="shared" si="26"/>
        <v>T6_2옵션_보조장비_딜러</v>
      </c>
      <c r="AB134" s="50" t="str">
        <f t="shared" si="27"/>
        <v>6221</v>
      </c>
      <c r="AC134" s="49" t="str">
        <f t="shared" si="28"/>
        <v>T6_2옵션_보조장비_딜러 (Grade 3)</v>
      </c>
      <c r="AD134" s="48" t="str">
        <f t="shared" si="29"/>
        <v>105,1105</v>
      </c>
    </row>
    <row r="135" spans="3:30" x14ac:dyDescent="0.3">
      <c r="C135" s="51">
        <v>6</v>
      </c>
      <c r="D135" s="51">
        <v>2</v>
      </c>
      <c r="E135" s="51" t="s">
        <v>5399</v>
      </c>
      <c r="F135" s="51" t="s">
        <v>5395</v>
      </c>
      <c r="G135" s="50" t="str">
        <f>VLOOKUP(E135,옵션그룹계산1!$AF$4:$AH$7,3,FALSE)</f>
        <v xml:space="preserve"> </v>
      </c>
      <c r="H135" s="49" t="str">
        <f>VLOOKUP(D135,옵션그룹계산1!$AF$16:$AG$19,2,FALSE)</f>
        <v>(Grade 3)</v>
      </c>
      <c r="I135" s="50" t="str">
        <f t="shared" si="20"/>
        <v>보조장비_탱커</v>
      </c>
      <c r="J135" s="49" t="str">
        <f>IF($D135&gt;=(J$2-1),VLOOKUP($I135,색인!$L$4:$R$11,J$2,FALSE)&amp;"_"&amp;$C135,"")</f>
        <v>공격속도_6</v>
      </c>
      <c r="K135" s="49" t="str">
        <f>IF($D135&gt;=(K$2-1),VLOOKUP($I135,색인!$L$4:$R$11,K$2,FALSE)&amp;"_"&amp;$C135,"")</f>
        <v>마법블록_6</v>
      </c>
      <c r="L135" s="49" t="str">
        <f>IF($D135&gt;=(L$2-1),VLOOKUP($I135,색인!$L$4:$R$11,L$2,FALSE)&amp;"_"&amp;$C135,"")</f>
        <v/>
      </c>
      <c r="M135" s="49" t="str">
        <f>IF($D135&gt;=(M$2-1),VLOOKUP($I135,색인!$L$4:$R$11,M$2,FALSE)&amp;"_"&amp;$C135,"")</f>
        <v/>
      </c>
      <c r="N135" s="49" t="str">
        <f>IF(AND(C135&gt;=6,D135&gt;=4),VLOOKUP($I135,색인!$L$4:$R$11,N$2,FALSE)&amp;"_"&amp;$C135,"")</f>
        <v/>
      </c>
      <c r="O135" s="49" t="str">
        <f>IF(AND(C135&gt;=6,D135&gt;=4),VLOOKUP($I135,색인!$L$4:$R$11,O$2,FALSE)&amp;"_"&amp;$C135,"")</f>
        <v/>
      </c>
      <c r="P135" s="50" t="str">
        <f t="shared" si="21"/>
        <v>6222</v>
      </c>
      <c r="Q135" s="49">
        <f>VLOOKUP(옵션그룹계산1!J135,색인!$E$4:$F$99,2,FALSE)</f>
        <v>1105</v>
      </c>
      <c r="R135" s="49">
        <f>_xlfn.IFNA(VLOOKUP(옵션그룹계산1!K135,색인!$E$4:$F$99,2,FALSE),"")</f>
        <v>1905</v>
      </c>
      <c r="S135" s="49" t="str">
        <f>_xlfn.IFNA(VLOOKUP(옵션그룹계산1!L135,색인!$E$4:$F$99,2,FALSE),"")</f>
        <v/>
      </c>
      <c r="T135" s="49" t="str">
        <f>_xlfn.IFNA(VLOOKUP(옵션그룹계산1!M135,색인!$E$4:$F$99,2,FALSE),"")</f>
        <v/>
      </c>
      <c r="U135" s="49" t="str">
        <f>_xlfn.IFNA(VLOOKUP(옵션그룹계산1!N135,색인!$E$4:$F$99,2,FALSE),"")</f>
        <v/>
      </c>
      <c r="V135" s="49" t="str">
        <f>_xlfn.IFNA(VLOOKUP(옵션그룹계산1!O135,색인!$E$4:$F$99,2,FALSE),"")</f>
        <v/>
      </c>
      <c r="W135" s="50">
        <f t="shared" si="22"/>
        <v>6</v>
      </c>
      <c r="X135" s="50">
        <f t="shared" si="23"/>
        <v>2</v>
      </c>
      <c r="Y135" s="50">
        <f t="shared" si="24"/>
        <v>2</v>
      </c>
      <c r="Z135" s="50">
        <f t="shared" si="25"/>
        <v>2</v>
      </c>
      <c r="AA135" s="48" t="str">
        <f t="shared" si="26"/>
        <v>T6_2옵션_보조장비_탱커</v>
      </c>
      <c r="AB135" s="50" t="str">
        <f t="shared" si="27"/>
        <v>6222</v>
      </c>
      <c r="AC135" s="49" t="str">
        <f t="shared" si="28"/>
        <v>T6_2옵션_보조장비_탱커 (Grade 3)</v>
      </c>
      <c r="AD135" s="48" t="str">
        <f t="shared" si="29"/>
        <v>1105,1905</v>
      </c>
    </row>
    <row r="136" spans="3:30" x14ac:dyDescent="0.3">
      <c r="C136" s="51">
        <v>6</v>
      </c>
      <c r="D136" s="51">
        <v>2</v>
      </c>
      <c r="E136" s="51" t="s">
        <v>5398</v>
      </c>
      <c r="F136" s="51" t="s">
        <v>5397</v>
      </c>
      <c r="G136" s="50" t="str">
        <f>VLOOKUP(E136,옵션그룹계산1!$AF$4:$AH$7,3,FALSE)</f>
        <v xml:space="preserve">    </v>
      </c>
      <c r="H136" s="49" t="str">
        <f>VLOOKUP(D136,옵션그룹계산1!$AF$16:$AG$19,2,FALSE)</f>
        <v>(Grade 3)</v>
      </c>
      <c r="I136" s="50" t="str">
        <f t="shared" si="20"/>
        <v>장신구_딜러</v>
      </c>
      <c r="J136" s="49" t="str">
        <f>IF($D136&gt;=(J$2-1),VLOOKUP($I136,색인!$L$4:$R$11,J$2,FALSE)&amp;"_"&amp;$C136,"")</f>
        <v>공격력_6</v>
      </c>
      <c r="K136" s="49" t="str">
        <f>IF($D136&gt;=(K$2-1),VLOOKUP($I136,색인!$L$4:$R$11,K$2,FALSE)&amp;"_"&amp;$C136,"")</f>
        <v>공격속도_6</v>
      </c>
      <c r="L136" s="49" t="str">
        <f>IF($D136&gt;=(L$2-1),VLOOKUP($I136,색인!$L$4:$R$11,L$2,FALSE)&amp;"_"&amp;$C136,"")</f>
        <v/>
      </c>
      <c r="M136" s="49" t="str">
        <f>IF($D136&gt;=(M$2-1),VLOOKUP($I136,색인!$L$4:$R$11,M$2,FALSE)&amp;"_"&amp;$C136,"")</f>
        <v/>
      </c>
      <c r="N136" s="49" t="str">
        <f>IF(AND(C136&gt;=6,D136&gt;=4),VLOOKUP($I136,색인!$L$4:$R$11,N$2,FALSE)&amp;"_"&amp;$C136,"")</f>
        <v/>
      </c>
      <c r="O136" s="49" t="str">
        <f>IF(AND(C136&gt;=6,D136&gt;=4),VLOOKUP($I136,색인!$L$4:$R$11,O$2,FALSE)&amp;"_"&amp;$C136,"")</f>
        <v/>
      </c>
      <c r="P136" s="50" t="str">
        <f t="shared" si="21"/>
        <v>6231</v>
      </c>
      <c r="Q136" s="49">
        <f>VLOOKUP(옵션그룹계산1!J136,색인!$E$4:$F$99,2,FALSE)</f>
        <v>105</v>
      </c>
      <c r="R136" s="49">
        <f>_xlfn.IFNA(VLOOKUP(옵션그룹계산1!K136,색인!$E$4:$F$99,2,FALSE),"")</f>
        <v>1105</v>
      </c>
      <c r="S136" s="49" t="str">
        <f>_xlfn.IFNA(VLOOKUP(옵션그룹계산1!L136,색인!$E$4:$F$99,2,FALSE),"")</f>
        <v/>
      </c>
      <c r="T136" s="49" t="str">
        <f>_xlfn.IFNA(VLOOKUP(옵션그룹계산1!M136,색인!$E$4:$F$99,2,FALSE),"")</f>
        <v/>
      </c>
      <c r="U136" s="49" t="str">
        <f>_xlfn.IFNA(VLOOKUP(옵션그룹계산1!N136,색인!$E$4:$F$99,2,FALSE),"")</f>
        <v/>
      </c>
      <c r="V136" s="49" t="str">
        <f>_xlfn.IFNA(VLOOKUP(옵션그룹계산1!O136,색인!$E$4:$F$99,2,FALSE),"")</f>
        <v/>
      </c>
      <c r="W136" s="50">
        <f t="shared" si="22"/>
        <v>6</v>
      </c>
      <c r="X136" s="50">
        <f t="shared" si="23"/>
        <v>2</v>
      </c>
      <c r="Y136" s="50">
        <f t="shared" si="24"/>
        <v>3</v>
      </c>
      <c r="Z136" s="50">
        <f t="shared" si="25"/>
        <v>1</v>
      </c>
      <c r="AA136" s="48" t="str">
        <f t="shared" si="26"/>
        <v>T6_2옵션_장신구_딜러</v>
      </c>
      <c r="AB136" s="50" t="str">
        <f t="shared" si="27"/>
        <v>6231</v>
      </c>
      <c r="AC136" s="49" t="str">
        <f t="shared" si="28"/>
        <v>T6_2옵션_장신구_딜러    (Grade 3)</v>
      </c>
      <c r="AD136" s="48" t="str">
        <f t="shared" si="29"/>
        <v>105,1105</v>
      </c>
    </row>
    <row r="137" spans="3:30" x14ac:dyDescent="0.3">
      <c r="C137" s="51">
        <v>6</v>
      </c>
      <c r="D137" s="51">
        <v>2</v>
      </c>
      <c r="E137" s="51" t="s">
        <v>5398</v>
      </c>
      <c r="F137" s="51" t="s">
        <v>5395</v>
      </c>
      <c r="G137" s="50" t="str">
        <f>VLOOKUP(E137,옵션그룹계산1!$AF$4:$AH$7,3,FALSE)</f>
        <v xml:space="preserve">    </v>
      </c>
      <c r="H137" s="49" t="str">
        <f>VLOOKUP(D137,옵션그룹계산1!$AF$16:$AG$19,2,FALSE)</f>
        <v>(Grade 3)</v>
      </c>
      <c r="I137" s="50" t="str">
        <f t="shared" si="20"/>
        <v>장신구_탱커</v>
      </c>
      <c r="J137" s="49" t="str">
        <f>IF($D137&gt;=(J$2-1),VLOOKUP($I137,색인!$L$4:$R$11,J$2,FALSE)&amp;"_"&amp;$C137,"")</f>
        <v>체력_6</v>
      </c>
      <c r="K137" s="49" t="str">
        <f>IF($D137&gt;=(K$2-1),VLOOKUP($I137,색인!$L$4:$R$11,K$2,FALSE)&amp;"_"&amp;$C137,"")</f>
        <v>물리블록_6</v>
      </c>
      <c r="L137" s="49" t="str">
        <f>IF($D137&gt;=(L$2-1),VLOOKUP($I137,색인!$L$4:$R$11,L$2,FALSE)&amp;"_"&amp;$C137,"")</f>
        <v/>
      </c>
      <c r="M137" s="49" t="str">
        <f>IF($D137&gt;=(M$2-1),VLOOKUP($I137,색인!$L$4:$R$11,M$2,FALSE)&amp;"_"&amp;$C137,"")</f>
        <v/>
      </c>
      <c r="N137" s="49" t="str">
        <f>IF(AND(C137&gt;=6,D137&gt;=4),VLOOKUP($I137,색인!$L$4:$R$11,N$2,FALSE)&amp;"_"&amp;$C137,"")</f>
        <v/>
      </c>
      <c r="O137" s="49" t="str">
        <f>IF(AND(C137&gt;=6,D137&gt;=4),VLOOKUP($I137,색인!$L$4:$R$11,O$2,FALSE)&amp;"_"&amp;$C137,"")</f>
        <v/>
      </c>
      <c r="P137" s="50" t="str">
        <f t="shared" si="21"/>
        <v>6232</v>
      </c>
      <c r="Q137" s="49">
        <f>VLOOKUP(옵션그룹계산1!J137,색인!$E$4:$F$99,2,FALSE)</f>
        <v>205</v>
      </c>
      <c r="R137" s="49">
        <f>_xlfn.IFNA(VLOOKUP(옵션그룹계산1!K137,색인!$E$4:$F$99,2,FALSE),"")</f>
        <v>905</v>
      </c>
      <c r="S137" s="49" t="str">
        <f>_xlfn.IFNA(VLOOKUP(옵션그룹계산1!L137,색인!$E$4:$F$99,2,FALSE),"")</f>
        <v/>
      </c>
      <c r="T137" s="49" t="str">
        <f>_xlfn.IFNA(VLOOKUP(옵션그룹계산1!M137,색인!$E$4:$F$99,2,FALSE),"")</f>
        <v/>
      </c>
      <c r="U137" s="49" t="str">
        <f>_xlfn.IFNA(VLOOKUP(옵션그룹계산1!N137,색인!$E$4:$F$99,2,FALSE),"")</f>
        <v/>
      </c>
      <c r="V137" s="49" t="str">
        <f>_xlfn.IFNA(VLOOKUP(옵션그룹계산1!O137,색인!$E$4:$F$99,2,FALSE),"")</f>
        <v/>
      </c>
      <c r="W137" s="50">
        <f t="shared" si="22"/>
        <v>6</v>
      </c>
      <c r="X137" s="50">
        <f t="shared" si="23"/>
        <v>2</v>
      </c>
      <c r="Y137" s="50">
        <f t="shared" si="24"/>
        <v>3</v>
      </c>
      <c r="Z137" s="50">
        <f t="shared" si="25"/>
        <v>2</v>
      </c>
      <c r="AA137" s="48" t="str">
        <f t="shared" si="26"/>
        <v>T6_2옵션_장신구_탱커</v>
      </c>
      <c r="AB137" s="50" t="str">
        <f t="shared" si="27"/>
        <v>6232</v>
      </c>
      <c r="AC137" s="49" t="str">
        <f t="shared" si="28"/>
        <v>T6_2옵션_장신구_탱커    (Grade 3)</v>
      </c>
      <c r="AD137" s="48" t="str">
        <f t="shared" si="29"/>
        <v>205,905</v>
      </c>
    </row>
    <row r="138" spans="3:30" x14ac:dyDescent="0.3">
      <c r="C138" s="51">
        <v>6</v>
      </c>
      <c r="D138" s="51">
        <v>2</v>
      </c>
      <c r="E138" s="51" t="s">
        <v>5396</v>
      </c>
      <c r="F138" s="51" t="s">
        <v>5397</v>
      </c>
      <c r="G138" s="50" t="str">
        <f>VLOOKUP(E138,옵션그룹계산1!$AF$4:$AH$7,3,FALSE)</f>
        <v xml:space="preserve">       </v>
      </c>
      <c r="H138" s="49" t="str">
        <f>VLOOKUP(D138,옵션그룹계산1!$AF$16:$AG$19,2,FALSE)</f>
        <v>(Grade 3)</v>
      </c>
      <c r="I138" s="50" t="str">
        <f t="shared" si="20"/>
        <v>보주_딜러</v>
      </c>
      <c r="J138" s="49" t="str">
        <f>IF($D138&gt;=(J$2-1),VLOOKUP($I138,색인!$L$4:$R$11,J$2,FALSE)&amp;"_"&amp;$C138,"")</f>
        <v>공격력_6</v>
      </c>
      <c r="K138" s="49" t="str">
        <f>IF($D138&gt;=(K$2-1),VLOOKUP($I138,색인!$L$4:$R$11,K$2,FALSE)&amp;"_"&amp;$C138,"")</f>
        <v>공격속도_6</v>
      </c>
      <c r="L138" s="49" t="str">
        <f>IF($D138&gt;=(L$2-1),VLOOKUP($I138,색인!$L$4:$R$11,L$2,FALSE)&amp;"_"&amp;$C138,"")</f>
        <v/>
      </c>
      <c r="M138" s="49" t="str">
        <f>IF($D138&gt;=(M$2-1),VLOOKUP($I138,색인!$L$4:$R$11,M$2,FALSE)&amp;"_"&amp;$C138,"")</f>
        <v/>
      </c>
      <c r="N138" s="49" t="str">
        <f>IF(AND(C138&gt;=6,D138&gt;=4),VLOOKUP($I138,색인!$L$4:$R$11,N$2,FALSE)&amp;"_"&amp;$C138,"")</f>
        <v/>
      </c>
      <c r="O138" s="49" t="str">
        <f>IF(AND(C138&gt;=6,D138&gt;=4),VLOOKUP($I138,색인!$L$4:$R$11,O$2,FALSE)&amp;"_"&amp;$C138,"")</f>
        <v/>
      </c>
      <c r="P138" s="50" t="str">
        <f t="shared" si="21"/>
        <v>6241</v>
      </c>
      <c r="Q138" s="49">
        <f>VLOOKUP(옵션그룹계산1!J138,색인!$E$4:$F$99,2,FALSE)</f>
        <v>105</v>
      </c>
      <c r="R138" s="49">
        <f>_xlfn.IFNA(VLOOKUP(옵션그룹계산1!K138,색인!$E$4:$F$99,2,FALSE),"")</f>
        <v>1105</v>
      </c>
      <c r="S138" s="49" t="str">
        <f>_xlfn.IFNA(VLOOKUP(옵션그룹계산1!L138,색인!$E$4:$F$99,2,FALSE),"")</f>
        <v/>
      </c>
      <c r="T138" s="49" t="str">
        <f>_xlfn.IFNA(VLOOKUP(옵션그룹계산1!M138,색인!$E$4:$F$99,2,FALSE),"")</f>
        <v/>
      </c>
      <c r="U138" s="49" t="str">
        <f>_xlfn.IFNA(VLOOKUP(옵션그룹계산1!N138,색인!$E$4:$F$99,2,FALSE),"")</f>
        <v/>
      </c>
      <c r="V138" s="49" t="str">
        <f>_xlfn.IFNA(VLOOKUP(옵션그룹계산1!O138,색인!$E$4:$F$99,2,FALSE),"")</f>
        <v/>
      </c>
      <c r="W138" s="50">
        <f t="shared" si="22"/>
        <v>6</v>
      </c>
      <c r="X138" s="50">
        <f t="shared" si="23"/>
        <v>2</v>
      </c>
      <c r="Y138" s="50">
        <f t="shared" si="24"/>
        <v>4</v>
      </c>
      <c r="Z138" s="50">
        <f t="shared" si="25"/>
        <v>1</v>
      </c>
      <c r="AA138" s="48" t="str">
        <f t="shared" si="26"/>
        <v>T6_2옵션_보주_딜러</v>
      </c>
      <c r="AB138" s="50" t="str">
        <f t="shared" si="27"/>
        <v>6241</v>
      </c>
      <c r="AC138" s="49" t="str">
        <f t="shared" si="28"/>
        <v>T6_2옵션_보주_딜러       (Grade 3)</v>
      </c>
      <c r="AD138" s="48" t="str">
        <f t="shared" si="29"/>
        <v>105,1105</v>
      </c>
    </row>
    <row r="139" spans="3:30" x14ac:dyDescent="0.3">
      <c r="C139" s="51">
        <v>6</v>
      </c>
      <c r="D139" s="51">
        <v>2</v>
      </c>
      <c r="E139" s="51" t="s">
        <v>5396</v>
      </c>
      <c r="F139" s="51" t="s">
        <v>5395</v>
      </c>
      <c r="G139" s="50" t="str">
        <f>VLOOKUP(E139,옵션그룹계산1!$AF$4:$AH$7,3,FALSE)</f>
        <v xml:space="preserve">       </v>
      </c>
      <c r="H139" s="49" t="str">
        <f>VLOOKUP(D139,옵션그룹계산1!$AF$16:$AG$19,2,FALSE)</f>
        <v>(Grade 3)</v>
      </c>
      <c r="I139" s="50" t="str">
        <f t="shared" si="20"/>
        <v>보주_탱커</v>
      </c>
      <c r="J139" s="49" t="str">
        <f>IF($D139&gt;=(J$2-1),VLOOKUP($I139,색인!$L$4:$R$11,J$2,FALSE)&amp;"_"&amp;$C139,"")</f>
        <v>체력_6</v>
      </c>
      <c r="K139" s="49" t="str">
        <f>IF($D139&gt;=(K$2-1),VLOOKUP($I139,색인!$L$4:$R$11,K$2,FALSE)&amp;"_"&amp;$C139,"")</f>
        <v>물리블록_6</v>
      </c>
      <c r="L139" s="49" t="str">
        <f>IF($D139&gt;=(L$2-1),VLOOKUP($I139,색인!$L$4:$R$11,L$2,FALSE)&amp;"_"&amp;$C139,"")</f>
        <v/>
      </c>
      <c r="M139" s="49" t="str">
        <f>IF($D139&gt;=(M$2-1),VLOOKUP($I139,색인!$L$4:$R$11,M$2,FALSE)&amp;"_"&amp;$C139,"")</f>
        <v/>
      </c>
      <c r="N139" s="49" t="str">
        <f>IF(AND(C139&gt;=6,D139&gt;=4),VLOOKUP($I139,색인!$L$4:$R$11,N$2,FALSE)&amp;"_"&amp;$C139,"")</f>
        <v/>
      </c>
      <c r="O139" s="49" t="str">
        <f>IF(AND(C139&gt;=6,D139&gt;=4),VLOOKUP($I139,색인!$L$4:$R$11,O$2,FALSE)&amp;"_"&amp;$C139,"")</f>
        <v/>
      </c>
      <c r="P139" s="50" t="str">
        <f t="shared" si="21"/>
        <v>6242</v>
      </c>
      <c r="Q139" s="49">
        <f>VLOOKUP(옵션그룹계산1!J139,색인!$E$4:$F$99,2,FALSE)</f>
        <v>205</v>
      </c>
      <c r="R139" s="49">
        <f>_xlfn.IFNA(VLOOKUP(옵션그룹계산1!K139,색인!$E$4:$F$99,2,FALSE),"")</f>
        <v>905</v>
      </c>
      <c r="S139" s="49" t="str">
        <f>_xlfn.IFNA(VLOOKUP(옵션그룹계산1!L139,색인!$E$4:$F$99,2,FALSE),"")</f>
        <v/>
      </c>
      <c r="T139" s="49" t="str">
        <f>_xlfn.IFNA(VLOOKUP(옵션그룹계산1!M139,색인!$E$4:$F$99,2,FALSE),"")</f>
        <v/>
      </c>
      <c r="U139" s="49" t="str">
        <f>_xlfn.IFNA(VLOOKUP(옵션그룹계산1!N139,색인!$E$4:$F$99,2,FALSE),"")</f>
        <v/>
      </c>
      <c r="V139" s="49" t="str">
        <f>_xlfn.IFNA(VLOOKUP(옵션그룹계산1!O139,색인!$E$4:$F$99,2,FALSE),"")</f>
        <v/>
      </c>
      <c r="W139" s="50">
        <f t="shared" si="22"/>
        <v>6</v>
      </c>
      <c r="X139" s="50">
        <f t="shared" si="23"/>
        <v>2</v>
      </c>
      <c r="Y139" s="50">
        <f t="shared" si="24"/>
        <v>4</v>
      </c>
      <c r="Z139" s="50">
        <f t="shared" si="25"/>
        <v>2</v>
      </c>
      <c r="AA139" s="48" t="str">
        <f t="shared" si="26"/>
        <v>T6_2옵션_보주_탱커</v>
      </c>
      <c r="AB139" s="50" t="str">
        <f t="shared" si="27"/>
        <v>6242</v>
      </c>
      <c r="AC139" s="49" t="str">
        <f t="shared" si="28"/>
        <v>T6_2옵션_보주_탱커       (Grade 3)</v>
      </c>
      <c r="AD139" s="48" t="str">
        <f t="shared" si="29"/>
        <v>205,905</v>
      </c>
    </row>
    <row r="140" spans="3:30" x14ac:dyDescent="0.3">
      <c r="C140" s="51">
        <v>6</v>
      </c>
      <c r="D140" s="51">
        <v>3</v>
      </c>
      <c r="E140" s="51" t="s">
        <v>5400</v>
      </c>
      <c r="F140" s="51" t="s">
        <v>5397</v>
      </c>
      <c r="G140" s="50" t="str">
        <f>VLOOKUP(E140,옵션그룹계산1!$AF$4:$AH$7,3,FALSE)</f>
        <v xml:space="preserve">    </v>
      </c>
      <c r="H140" s="49" t="str">
        <f>VLOOKUP(D140,옵션그룹계산1!$AF$16:$AG$19,2,FALSE)</f>
        <v>(Grade 4~5)</v>
      </c>
      <c r="I140" s="50" t="str">
        <f t="shared" si="20"/>
        <v>방어구_딜러</v>
      </c>
      <c r="J140" s="49" t="str">
        <f>IF($D140&gt;=(J$2-1),VLOOKUP($I140,색인!$L$4:$R$11,J$2,FALSE)&amp;"_"&amp;$C140,"")</f>
        <v>공격력_6</v>
      </c>
      <c r="K140" s="49" t="str">
        <f>IF($D140&gt;=(K$2-1),VLOOKUP($I140,색인!$L$4:$R$11,K$2,FALSE)&amp;"_"&amp;$C140,"")</f>
        <v>공격속도_6</v>
      </c>
      <c r="L140" s="49" t="str">
        <f>IF($D140&gt;=(L$2-1),VLOOKUP($I140,색인!$L$4:$R$11,L$2,FALSE)&amp;"_"&amp;$C140,"")</f>
        <v>치명타확률_6</v>
      </c>
      <c r="M140" s="49" t="str">
        <f>IF($D140&gt;=(M$2-1),VLOOKUP($I140,색인!$L$4:$R$11,M$2,FALSE)&amp;"_"&amp;$C140,"")</f>
        <v/>
      </c>
      <c r="N140" s="49" t="str">
        <f>IF(AND(C140&gt;=6,D140&gt;=4),VLOOKUP($I140,색인!$L$4:$R$11,N$2,FALSE)&amp;"_"&amp;$C140,"")</f>
        <v/>
      </c>
      <c r="O140" s="49" t="str">
        <f>IF(AND(C140&gt;=6,D140&gt;=4),VLOOKUP($I140,색인!$L$4:$R$11,O$2,FALSE)&amp;"_"&amp;$C140,"")</f>
        <v/>
      </c>
      <c r="P140" s="50" t="str">
        <f t="shared" si="21"/>
        <v>6311</v>
      </c>
      <c r="Q140" s="49">
        <f>VLOOKUP(옵션그룹계산1!J140,색인!$E$4:$F$99,2,FALSE)</f>
        <v>105</v>
      </c>
      <c r="R140" s="49">
        <f>_xlfn.IFNA(VLOOKUP(옵션그룹계산1!K140,색인!$E$4:$F$99,2,FALSE),"")</f>
        <v>1105</v>
      </c>
      <c r="S140" s="49">
        <f>_xlfn.IFNA(VLOOKUP(옵션그룹계산1!L140,색인!$E$4:$F$99,2,FALSE),"")</f>
        <v>505</v>
      </c>
      <c r="T140" s="49" t="str">
        <f>_xlfn.IFNA(VLOOKUP(옵션그룹계산1!M140,색인!$E$4:$F$99,2,FALSE),"")</f>
        <v/>
      </c>
      <c r="U140" s="49" t="str">
        <f>_xlfn.IFNA(VLOOKUP(옵션그룹계산1!N140,색인!$E$4:$F$99,2,FALSE),"")</f>
        <v/>
      </c>
      <c r="V140" s="49" t="str">
        <f>_xlfn.IFNA(VLOOKUP(옵션그룹계산1!O140,색인!$E$4:$F$99,2,FALSE),"")</f>
        <v/>
      </c>
      <c r="W140" s="50">
        <f t="shared" si="22"/>
        <v>6</v>
      </c>
      <c r="X140" s="50">
        <f t="shared" si="23"/>
        <v>3</v>
      </c>
      <c r="Y140" s="50">
        <f t="shared" si="24"/>
        <v>1</v>
      </c>
      <c r="Z140" s="50">
        <f t="shared" si="25"/>
        <v>1</v>
      </c>
      <c r="AA140" s="48" t="str">
        <f t="shared" si="26"/>
        <v>T6_3옵션_방어구_딜러</v>
      </c>
      <c r="AB140" s="50" t="str">
        <f t="shared" si="27"/>
        <v>6311</v>
      </c>
      <c r="AC140" s="49" t="str">
        <f t="shared" si="28"/>
        <v>T6_3옵션_방어구_딜러    (Grade 4~5)</v>
      </c>
      <c r="AD140" s="48" t="str">
        <f t="shared" si="29"/>
        <v>105,1105,505</v>
      </c>
    </row>
    <row r="141" spans="3:30" x14ac:dyDescent="0.3">
      <c r="C141" s="51">
        <v>6</v>
      </c>
      <c r="D141" s="51">
        <v>3</v>
      </c>
      <c r="E141" s="51" t="s">
        <v>5400</v>
      </c>
      <c r="F141" s="51" t="s">
        <v>5395</v>
      </c>
      <c r="G141" s="50" t="str">
        <f>VLOOKUP(E141,옵션그룹계산1!$AF$4:$AH$7,3,FALSE)</f>
        <v xml:space="preserve">    </v>
      </c>
      <c r="H141" s="49" t="str">
        <f>VLOOKUP(D141,옵션그룹계산1!$AF$16:$AG$19,2,FALSE)</f>
        <v>(Grade 4~5)</v>
      </c>
      <c r="I141" s="50" t="str">
        <f t="shared" si="20"/>
        <v>방어구_탱커</v>
      </c>
      <c r="J141" s="49" t="str">
        <f>IF($D141&gt;=(J$2-1),VLOOKUP($I141,색인!$L$4:$R$11,J$2,FALSE)&amp;"_"&amp;$C141,"")</f>
        <v>공격속도_6</v>
      </c>
      <c r="K141" s="49" t="str">
        <f>IF($D141&gt;=(K$2-1),VLOOKUP($I141,색인!$L$4:$R$11,K$2,FALSE)&amp;"_"&amp;$C141,"")</f>
        <v>물리블록_6</v>
      </c>
      <c r="L141" s="49" t="str">
        <f>IF($D141&gt;=(L$2-1),VLOOKUP($I141,색인!$L$4:$R$11,L$2,FALSE)&amp;"_"&amp;$C141,"")</f>
        <v>물리방어력_6</v>
      </c>
      <c r="M141" s="49" t="str">
        <f>IF($D141&gt;=(M$2-1),VLOOKUP($I141,색인!$L$4:$R$11,M$2,FALSE)&amp;"_"&amp;$C141,"")</f>
        <v/>
      </c>
      <c r="N141" s="49" t="str">
        <f>IF(AND(C141&gt;=6,D141&gt;=4),VLOOKUP($I141,색인!$L$4:$R$11,N$2,FALSE)&amp;"_"&amp;$C141,"")</f>
        <v/>
      </c>
      <c r="O141" s="49" t="str">
        <f>IF(AND(C141&gt;=6,D141&gt;=4),VLOOKUP($I141,색인!$L$4:$R$11,O$2,FALSE)&amp;"_"&amp;$C141,"")</f>
        <v/>
      </c>
      <c r="P141" s="50" t="str">
        <f t="shared" si="21"/>
        <v>6312</v>
      </c>
      <c r="Q141" s="49">
        <f>VLOOKUP(옵션그룹계산1!J141,색인!$E$4:$F$99,2,FALSE)</f>
        <v>1105</v>
      </c>
      <c r="R141" s="49">
        <f>_xlfn.IFNA(VLOOKUP(옵션그룹계산1!K141,색인!$E$4:$F$99,2,FALSE),"")</f>
        <v>905</v>
      </c>
      <c r="S141" s="49">
        <f>_xlfn.IFNA(VLOOKUP(옵션그룹계산1!L141,색인!$E$4:$F$99,2,FALSE),"")</f>
        <v>305</v>
      </c>
      <c r="T141" s="49" t="str">
        <f>_xlfn.IFNA(VLOOKUP(옵션그룹계산1!M141,색인!$E$4:$F$99,2,FALSE),"")</f>
        <v/>
      </c>
      <c r="U141" s="49" t="str">
        <f>_xlfn.IFNA(VLOOKUP(옵션그룹계산1!N141,색인!$E$4:$F$99,2,FALSE),"")</f>
        <v/>
      </c>
      <c r="V141" s="49" t="str">
        <f>_xlfn.IFNA(VLOOKUP(옵션그룹계산1!O141,색인!$E$4:$F$99,2,FALSE),"")</f>
        <v/>
      </c>
      <c r="W141" s="50">
        <f t="shared" si="22"/>
        <v>6</v>
      </c>
      <c r="X141" s="50">
        <f t="shared" si="23"/>
        <v>3</v>
      </c>
      <c r="Y141" s="50">
        <f t="shared" si="24"/>
        <v>1</v>
      </c>
      <c r="Z141" s="50">
        <f t="shared" si="25"/>
        <v>2</v>
      </c>
      <c r="AA141" s="48" t="str">
        <f t="shared" si="26"/>
        <v>T6_3옵션_방어구_탱커</v>
      </c>
      <c r="AB141" s="50" t="str">
        <f t="shared" si="27"/>
        <v>6312</v>
      </c>
      <c r="AC141" s="49" t="str">
        <f t="shared" si="28"/>
        <v>T6_3옵션_방어구_탱커    (Grade 4~5)</v>
      </c>
      <c r="AD141" s="48" t="str">
        <f t="shared" si="29"/>
        <v>1105,905,305</v>
      </c>
    </row>
    <row r="142" spans="3:30" x14ac:dyDescent="0.3">
      <c r="C142" s="51">
        <v>6</v>
      </c>
      <c r="D142" s="51">
        <v>3</v>
      </c>
      <c r="E142" s="51" t="s">
        <v>5399</v>
      </c>
      <c r="F142" s="51" t="s">
        <v>5397</v>
      </c>
      <c r="G142" s="50" t="str">
        <f>VLOOKUP(E142,옵션그룹계산1!$AF$4:$AH$7,3,FALSE)</f>
        <v xml:space="preserve"> </v>
      </c>
      <c r="H142" s="49" t="str">
        <f>VLOOKUP(D142,옵션그룹계산1!$AF$16:$AG$19,2,FALSE)</f>
        <v>(Grade 4~5)</v>
      </c>
      <c r="I142" s="50" t="str">
        <f t="shared" si="20"/>
        <v>보조장비_딜러</v>
      </c>
      <c r="J142" s="49" t="str">
        <f>IF($D142&gt;=(J$2-1),VLOOKUP($I142,색인!$L$4:$R$11,J$2,FALSE)&amp;"_"&amp;$C142,"")</f>
        <v>공격력_6</v>
      </c>
      <c r="K142" s="49" t="str">
        <f>IF($D142&gt;=(K$2-1),VLOOKUP($I142,색인!$L$4:$R$11,K$2,FALSE)&amp;"_"&amp;$C142,"")</f>
        <v>공격속도_6</v>
      </c>
      <c r="L142" s="49" t="str">
        <f>IF($D142&gt;=(L$2-1),VLOOKUP($I142,색인!$L$4:$R$11,L$2,FALSE)&amp;"_"&amp;$C142,"")</f>
        <v>치명타확률_6</v>
      </c>
      <c r="M142" s="49" t="str">
        <f>IF($D142&gt;=(M$2-1),VLOOKUP($I142,색인!$L$4:$R$11,M$2,FALSE)&amp;"_"&amp;$C142,"")</f>
        <v/>
      </c>
      <c r="N142" s="49" t="str">
        <f>IF(AND(C142&gt;=6,D142&gt;=4),VLOOKUP($I142,색인!$L$4:$R$11,N$2,FALSE)&amp;"_"&amp;$C142,"")</f>
        <v/>
      </c>
      <c r="O142" s="49" t="str">
        <f>IF(AND(C142&gt;=6,D142&gt;=4),VLOOKUP($I142,색인!$L$4:$R$11,O$2,FALSE)&amp;"_"&amp;$C142,"")</f>
        <v/>
      </c>
      <c r="P142" s="50" t="str">
        <f t="shared" si="21"/>
        <v>6321</v>
      </c>
      <c r="Q142" s="49">
        <f>VLOOKUP(옵션그룹계산1!J142,색인!$E$4:$F$99,2,FALSE)</f>
        <v>105</v>
      </c>
      <c r="R142" s="49">
        <f>_xlfn.IFNA(VLOOKUP(옵션그룹계산1!K142,색인!$E$4:$F$99,2,FALSE),"")</f>
        <v>1105</v>
      </c>
      <c r="S142" s="49">
        <f>_xlfn.IFNA(VLOOKUP(옵션그룹계산1!L142,색인!$E$4:$F$99,2,FALSE),"")</f>
        <v>505</v>
      </c>
      <c r="T142" s="49" t="str">
        <f>_xlfn.IFNA(VLOOKUP(옵션그룹계산1!M142,색인!$E$4:$F$99,2,FALSE),"")</f>
        <v/>
      </c>
      <c r="U142" s="49" t="str">
        <f>_xlfn.IFNA(VLOOKUP(옵션그룹계산1!N142,색인!$E$4:$F$99,2,FALSE),"")</f>
        <v/>
      </c>
      <c r="V142" s="49" t="str">
        <f>_xlfn.IFNA(VLOOKUP(옵션그룹계산1!O142,색인!$E$4:$F$99,2,FALSE),"")</f>
        <v/>
      </c>
      <c r="W142" s="50">
        <f t="shared" si="22"/>
        <v>6</v>
      </c>
      <c r="X142" s="50">
        <f t="shared" si="23"/>
        <v>3</v>
      </c>
      <c r="Y142" s="50">
        <f t="shared" si="24"/>
        <v>2</v>
      </c>
      <c r="Z142" s="50">
        <f t="shared" si="25"/>
        <v>1</v>
      </c>
      <c r="AA142" s="48" t="str">
        <f t="shared" si="26"/>
        <v>T6_3옵션_보조장비_딜러</v>
      </c>
      <c r="AB142" s="50" t="str">
        <f t="shared" si="27"/>
        <v>6321</v>
      </c>
      <c r="AC142" s="49" t="str">
        <f t="shared" si="28"/>
        <v>T6_3옵션_보조장비_딜러 (Grade 4~5)</v>
      </c>
      <c r="AD142" s="48" t="str">
        <f t="shared" si="29"/>
        <v>105,1105,505</v>
      </c>
    </row>
    <row r="143" spans="3:30" x14ac:dyDescent="0.3">
      <c r="C143" s="51">
        <v>6</v>
      </c>
      <c r="D143" s="51">
        <v>3</v>
      </c>
      <c r="E143" s="51" t="s">
        <v>5399</v>
      </c>
      <c r="F143" s="51" t="s">
        <v>5395</v>
      </c>
      <c r="G143" s="50" t="str">
        <f>VLOOKUP(E143,옵션그룹계산1!$AF$4:$AH$7,3,FALSE)</f>
        <v xml:space="preserve"> </v>
      </c>
      <c r="H143" s="49" t="str">
        <f>VLOOKUP(D143,옵션그룹계산1!$AF$16:$AG$19,2,FALSE)</f>
        <v>(Grade 4~5)</v>
      </c>
      <c r="I143" s="50" t="str">
        <f t="shared" si="20"/>
        <v>보조장비_탱커</v>
      </c>
      <c r="J143" s="49" t="str">
        <f>IF($D143&gt;=(J$2-1),VLOOKUP($I143,색인!$L$4:$R$11,J$2,FALSE)&amp;"_"&amp;$C143,"")</f>
        <v>공격속도_6</v>
      </c>
      <c r="K143" s="49" t="str">
        <f>IF($D143&gt;=(K$2-1),VLOOKUP($I143,색인!$L$4:$R$11,K$2,FALSE)&amp;"_"&amp;$C143,"")</f>
        <v>마법블록_6</v>
      </c>
      <c r="L143" s="49" t="str">
        <f>IF($D143&gt;=(L$2-1),VLOOKUP($I143,색인!$L$4:$R$11,L$2,FALSE)&amp;"_"&amp;$C143,"")</f>
        <v>마법방어력_6</v>
      </c>
      <c r="M143" s="49" t="str">
        <f>IF($D143&gt;=(M$2-1),VLOOKUP($I143,색인!$L$4:$R$11,M$2,FALSE)&amp;"_"&amp;$C143,"")</f>
        <v/>
      </c>
      <c r="N143" s="49" t="str">
        <f>IF(AND(C143&gt;=6,D143&gt;=4),VLOOKUP($I143,색인!$L$4:$R$11,N$2,FALSE)&amp;"_"&amp;$C143,"")</f>
        <v/>
      </c>
      <c r="O143" s="49" t="str">
        <f>IF(AND(C143&gt;=6,D143&gt;=4),VLOOKUP($I143,색인!$L$4:$R$11,O$2,FALSE)&amp;"_"&amp;$C143,"")</f>
        <v/>
      </c>
      <c r="P143" s="50" t="str">
        <f t="shared" si="21"/>
        <v>6322</v>
      </c>
      <c r="Q143" s="49">
        <f>VLOOKUP(옵션그룹계산1!J143,색인!$E$4:$F$99,2,FALSE)</f>
        <v>1105</v>
      </c>
      <c r="R143" s="49">
        <f>_xlfn.IFNA(VLOOKUP(옵션그룹계산1!K143,색인!$E$4:$F$99,2,FALSE),"")</f>
        <v>1905</v>
      </c>
      <c r="S143" s="49">
        <f>_xlfn.IFNA(VLOOKUP(옵션그룹계산1!L143,색인!$E$4:$F$99,2,FALSE),"")</f>
        <v>405</v>
      </c>
      <c r="T143" s="49" t="str">
        <f>_xlfn.IFNA(VLOOKUP(옵션그룹계산1!M143,색인!$E$4:$F$99,2,FALSE),"")</f>
        <v/>
      </c>
      <c r="U143" s="49" t="str">
        <f>_xlfn.IFNA(VLOOKUP(옵션그룹계산1!N143,색인!$E$4:$F$99,2,FALSE),"")</f>
        <v/>
      </c>
      <c r="V143" s="49" t="str">
        <f>_xlfn.IFNA(VLOOKUP(옵션그룹계산1!O143,색인!$E$4:$F$99,2,FALSE),"")</f>
        <v/>
      </c>
      <c r="W143" s="50">
        <f t="shared" si="22"/>
        <v>6</v>
      </c>
      <c r="X143" s="50">
        <f t="shared" si="23"/>
        <v>3</v>
      </c>
      <c r="Y143" s="50">
        <f t="shared" si="24"/>
        <v>2</v>
      </c>
      <c r="Z143" s="50">
        <f t="shared" si="25"/>
        <v>2</v>
      </c>
      <c r="AA143" s="48" t="str">
        <f t="shared" si="26"/>
        <v>T6_3옵션_보조장비_탱커</v>
      </c>
      <c r="AB143" s="50" t="str">
        <f t="shared" si="27"/>
        <v>6322</v>
      </c>
      <c r="AC143" s="49" t="str">
        <f t="shared" si="28"/>
        <v>T6_3옵션_보조장비_탱커 (Grade 4~5)</v>
      </c>
      <c r="AD143" s="48" t="str">
        <f t="shared" si="29"/>
        <v>1105,1905,405</v>
      </c>
    </row>
    <row r="144" spans="3:30" x14ac:dyDescent="0.3">
      <c r="C144" s="51">
        <v>6</v>
      </c>
      <c r="D144" s="51">
        <v>3</v>
      </c>
      <c r="E144" s="51" t="s">
        <v>5398</v>
      </c>
      <c r="F144" s="51" t="s">
        <v>5397</v>
      </c>
      <c r="G144" s="50" t="str">
        <f>VLOOKUP(E144,옵션그룹계산1!$AF$4:$AH$7,3,FALSE)</f>
        <v xml:space="preserve">    </v>
      </c>
      <c r="H144" s="49" t="str">
        <f>VLOOKUP(D144,옵션그룹계산1!$AF$16:$AG$19,2,FALSE)</f>
        <v>(Grade 4~5)</v>
      </c>
      <c r="I144" s="50" t="str">
        <f t="shared" si="20"/>
        <v>장신구_딜러</v>
      </c>
      <c r="J144" s="49" t="str">
        <f>IF($D144&gt;=(J$2-1),VLOOKUP($I144,색인!$L$4:$R$11,J$2,FALSE)&amp;"_"&amp;$C144,"")</f>
        <v>공격력_6</v>
      </c>
      <c r="K144" s="49" t="str">
        <f>IF($D144&gt;=(K$2-1),VLOOKUP($I144,색인!$L$4:$R$11,K$2,FALSE)&amp;"_"&amp;$C144,"")</f>
        <v>공격속도_6</v>
      </c>
      <c r="L144" s="49" t="str">
        <f>IF($D144&gt;=(L$2-1),VLOOKUP($I144,색인!$L$4:$R$11,L$2,FALSE)&amp;"_"&amp;$C144,"")</f>
        <v>치명타확률_6</v>
      </c>
      <c r="M144" s="49" t="str">
        <f>IF($D144&gt;=(M$2-1),VLOOKUP($I144,색인!$L$4:$R$11,M$2,FALSE)&amp;"_"&amp;$C144,"")</f>
        <v/>
      </c>
      <c r="N144" s="49" t="str">
        <f>IF(AND(C144&gt;=6,D144&gt;=4),VLOOKUP($I144,색인!$L$4:$R$11,N$2,FALSE)&amp;"_"&amp;$C144,"")</f>
        <v/>
      </c>
      <c r="O144" s="49" t="str">
        <f>IF(AND(C144&gt;=6,D144&gt;=4),VLOOKUP($I144,색인!$L$4:$R$11,O$2,FALSE)&amp;"_"&amp;$C144,"")</f>
        <v/>
      </c>
      <c r="P144" s="50" t="str">
        <f t="shared" si="21"/>
        <v>6331</v>
      </c>
      <c r="Q144" s="49">
        <f>VLOOKUP(옵션그룹계산1!J144,색인!$E$4:$F$99,2,FALSE)</f>
        <v>105</v>
      </c>
      <c r="R144" s="49">
        <f>_xlfn.IFNA(VLOOKUP(옵션그룹계산1!K144,색인!$E$4:$F$99,2,FALSE),"")</f>
        <v>1105</v>
      </c>
      <c r="S144" s="49">
        <f>_xlfn.IFNA(VLOOKUP(옵션그룹계산1!L144,색인!$E$4:$F$99,2,FALSE),"")</f>
        <v>505</v>
      </c>
      <c r="T144" s="49" t="str">
        <f>_xlfn.IFNA(VLOOKUP(옵션그룹계산1!M144,색인!$E$4:$F$99,2,FALSE),"")</f>
        <v/>
      </c>
      <c r="U144" s="49" t="str">
        <f>_xlfn.IFNA(VLOOKUP(옵션그룹계산1!N144,색인!$E$4:$F$99,2,FALSE),"")</f>
        <v/>
      </c>
      <c r="V144" s="49" t="str">
        <f>_xlfn.IFNA(VLOOKUP(옵션그룹계산1!O144,색인!$E$4:$F$99,2,FALSE),"")</f>
        <v/>
      </c>
      <c r="W144" s="50">
        <f t="shared" si="22"/>
        <v>6</v>
      </c>
      <c r="X144" s="50">
        <f t="shared" si="23"/>
        <v>3</v>
      </c>
      <c r="Y144" s="50">
        <f t="shared" si="24"/>
        <v>3</v>
      </c>
      <c r="Z144" s="50">
        <f t="shared" si="25"/>
        <v>1</v>
      </c>
      <c r="AA144" s="48" t="str">
        <f t="shared" si="26"/>
        <v>T6_3옵션_장신구_딜러</v>
      </c>
      <c r="AB144" s="50" t="str">
        <f t="shared" si="27"/>
        <v>6331</v>
      </c>
      <c r="AC144" s="49" t="str">
        <f t="shared" si="28"/>
        <v>T6_3옵션_장신구_딜러    (Grade 4~5)</v>
      </c>
      <c r="AD144" s="48" t="str">
        <f t="shared" si="29"/>
        <v>105,1105,505</v>
      </c>
    </row>
    <row r="145" spans="3:30" x14ac:dyDescent="0.3">
      <c r="C145" s="51">
        <v>6</v>
      </c>
      <c r="D145" s="51">
        <v>3</v>
      </c>
      <c r="E145" s="51" t="s">
        <v>5398</v>
      </c>
      <c r="F145" s="51" t="s">
        <v>5395</v>
      </c>
      <c r="G145" s="50" t="str">
        <f>VLOOKUP(E145,옵션그룹계산1!$AF$4:$AH$7,3,FALSE)</f>
        <v xml:space="preserve">    </v>
      </c>
      <c r="H145" s="49" t="str">
        <f>VLOOKUP(D145,옵션그룹계산1!$AF$16:$AG$19,2,FALSE)</f>
        <v>(Grade 4~5)</v>
      </c>
      <c r="I145" s="50" t="str">
        <f t="shared" si="20"/>
        <v>장신구_탱커</v>
      </c>
      <c r="J145" s="49" t="str">
        <f>IF($D145&gt;=(J$2-1),VLOOKUP($I145,색인!$L$4:$R$11,J$2,FALSE)&amp;"_"&amp;$C145,"")</f>
        <v>체력_6</v>
      </c>
      <c r="K145" s="49" t="str">
        <f>IF($D145&gt;=(K$2-1),VLOOKUP($I145,색인!$L$4:$R$11,K$2,FALSE)&amp;"_"&amp;$C145,"")</f>
        <v>물리블록_6</v>
      </c>
      <c r="L145" s="49" t="str">
        <f>IF($D145&gt;=(L$2-1),VLOOKUP($I145,색인!$L$4:$R$11,L$2,FALSE)&amp;"_"&amp;$C145,"")</f>
        <v>마법블록_6</v>
      </c>
      <c r="M145" s="49" t="str">
        <f>IF($D145&gt;=(M$2-1),VLOOKUP($I145,색인!$L$4:$R$11,M$2,FALSE)&amp;"_"&amp;$C145,"")</f>
        <v/>
      </c>
      <c r="N145" s="49" t="str">
        <f>IF(AND(C145&gt;=6,D145&gt;=4),VLOOKUP($I145,색인!$L$4:$R$11,N$2,FALSE)&amp;"_"&amp;$C145,"")</f>
        <v/>
      </c>
      <c r="O145" s="49" t="str">
        <f>IF(AND(C145&gt;=6,D145&gt;=4),VLOOKUP($I145,색인!$L$4:$R$11,O$2,FALSE)&amp;"_"&amp;$C145,"")</f>
        <v/>
      </c>
      <c r="P145" s="50" t="str">
        <f t="shared" si="21"/>
        <v>6332</v>
      </c>
      <c r="Q145" s="49">
        <f>VLOOKUP(옵션그룹계산1!J145,색인!$E$4:$F$99,2,FALSE)</f>
        <v>205</v>
      </c>
      <c r="R145" s="49">
        <f>_xlfn.IFNA(VLOOKUP(옵션그룹계산1!K145,색인!$E$4:$F$99,2,FALSE),"")</f>
        <v>905</v>
      </c>
      <c r="S145" s="49">
        <f>_xlfn.IFNA(VLOOKUP(옵션그룹계산1!L145,색인!$E$4:$F$99,2,FALSE),"")</f>
        <v>1905</v>
      </c>
      <c r="T145" s="49" t="str">
        <f>_xlfn.IFNA(VLOOKUP(옵션그룹계산1!M145,색인!$E$4:$F$99,2,FALSE),"")</f>
        <v/>
      </c>
      <c r="U145" s="49" t="str">
        <f>_xlfn.IFNA(VLOOKUP(옵션그룹계산1!N145,색인!$E$4:$F$99,2,FALSE),"")</f>
        <v/>
      </c>
      <c r="V145" s="49" t="str">
        <f>_xlfn.IFNA(VLOOKUP(옵션그룹계산1!O145,색인!$E$4:$F$99,2,FALSE),"")</f>
        <v/>
      </c>
      <c r="W145" s="50">
        <f t="shared" si="22"/>
        <v>6</v>
      </c>
      <c r="X145" s="50">
        <f t="shared" si="23"/>
        <v>3</v>
      </c>
      <c r="Y145" s="50">
        <f t="shared" si="24"/>
        <v>3</v>
      </c>
      <c r="Z145" s="50">
        <f t="shared" si="25"/>
        <v>2</v>
      </c>
      <c r="AA145" s="48" t="str">
        <f t="shared" si="26"/>
        <v>T6_3옵션_장신구_탱커</v>
      </c>
      <c r="AB145" s="50" t="str">
        <f t="shared" si="27"/>
        <v>6332</v>
      </c>
      <c r="AC145" s="49" t="str">
        <f t="shared" si="28"/>
        <v>T6_3옵션_장신구_탱커    (Grade 4~5)</v>
      </c>
      <c r="AD145" s="48" t="str">
        <f t="shared" si="29"/>
        <v>205,905,1905</v>
      </c>
    </row>
    <row r="146" spans="3:30" x14ac:dyDescent="0.3">
      <c r="C146" s="51">
        <v>6</v>
      </c>
      <c r="D146" s="51">
        <v>3</v>
      </c>
      <c r="E146" s="51" t="s">
        <v>5396</v>
      </c>
      <c r="F146" s="51" t="s">
        <v>5397</v>
      </c>
      <c r="G146" s="50" t="str">
        <f>VLOOKUP(E146,옵션그룹계산1!$AF$4:$AH$7,3,FALSE)</f>
        <v xml:space="preserve">       </v>
      </c>
      <c r="H146" s="49" t="str">
        <f>VLOOKUP(D146,옵션그룹계산1!$AF$16:$AG$19,2,FALSE)</f>
        <v>(Grade 4~5)</v>
      </c>
      <c r="I146" s="50" t="str">
        <f t="shared" si="20"/>
        <v>보주_딜러</v>
      </c>
      <c r="J146" s="49" t="str">
        <f>IF($D146&gt;=(J$2-1),VLOOKUP($I146,색인!$L$4:$R$11,J$2,FALSE)&amp;"_"&amp;$C146,"")</f>
        <v>공격력_6</v>
      </c>
      <c r="K146" s="49" t="str">
        <f>IF($D146&gt;=(K$2-1),VLOOKUP($I146,색인!$L$4:$R$11,K$2,FALSE)&amp;"_"&amp;$C146,"")</f>
        <v>공격속도_6</v>
      </c>
      <c r="L146" s="49" t="str">
        <f>IF($D146&gt;=(L$2-1),VLOOKUP($I146,색인!$L$4:$R$11,L$2,FALSE)&amp;"_"&amp;$C146,"")</f>
        <v>치명타확률_6</v>
      </c>
      <c r="M146" s="49" t="str">
        <f>IF($D146&gt;=(M$2-1),VLOOKUP($I146,색인!$L$4:$R$11,M$2,FALSE)&amp;"_"&amp;$C146,"")</f>
        <v/>
      </c>
      <c r="N146" s="49" t="str">
        <f>IF(AND(C146&gt;=6,D146&gt;=4),VLOOKUP($I146,색인!$L$4:$R$11,N$2,FALSE)&amp;"_"&amp;$C146,"")</f>
        <v/>
      </c>
      <c r="O146" s="49" t="str">
        <f>IF(AND(C146&gt;=6,D146&gt;=4),VLOOKUP($I146,색인!$L$4:$R$11,O$2,FALSE)&amp;"_"&amp;$C146,"")</f>
        <v/>
      </c>
      <c r="P146" s="50" t="str">
        <f t="shared" si="21"/>
        <v>6341</v>
      </c>
      <c r="Q146" s="49">
        <f>VLOOKUP(옵션그룹계산1!J146,색인!$E$4:$F$99,2,FALSE)</f>
        <v>105</v>
      </c>
      <c r="R146" s="49">
        <f>_xlfn.IFNA(VLOOKUP(옵션그룹계산1!K146,색인!$E$4:$F$99,2,FALSE),"")</f>
        <v>1105</v>
      </c>
      <c r="S146" s="49">
        <f>_xlfn.IFNA(VLOOKUP(옵션그룹계산1!L146,색인!$E$4:$F$99,2,FALSE),"")</f>
        <v>505</v>
      </c>
      <c r="T146" s="49" t="str">
        <f>_xlfn.IFNA(VLOOKUP(옵션그룹계산1!M146,색인!$E$4:$F$99,2,FALSE),"")</f>
        <v/>
      </c>
      <c r="U146" s="49" t="str">
        <f>_xlfn.IFNA(VLOOKUP(옵션그룹계산1!N146,색인!$E$4:$F$99,2,FALSE),"")</f>
        <v/>
      </c>
      <c r="V146" s="49" t="str">
        <f>_xlfn.IFNA(VLOOKUP(옵션그룹계산1!O146,색인!$E$4:$F$99,2,FALSE),"")</f>
        <v/>
      </c>
      <c r="W146" s="50">
        <f t="shared" si="22"/>
        <v>6</v>
      </c>
      <c r="X146" s="50">
        <f t="shared" si="23"/>
        <v>3</v>
      </c>
      <c r="Y146" s="50">
        <f t="shared" si="24"/>
        <v>4</v>
      </c>
      <c r="Z146" s="50">
        <f t="shared" si="25"/>
        <v>1</v>
      </c>
      <c r="AA146" s="48" t="str">
        <f t="shared" si="26"/>
        <v>T6_3옵션_보주_딜러</v>
      </c>
      <c r="AB146" s="50" t="str">
        <f t="shared" si="27"/>
        <v>6341</v>
      </c>
      <c r="AC146" s="49" t="str">
        <f t="shared" si="28"/>
        <v>T6_3옵션_보주_딜러       (Grade 4~5)</v>
      </c>
      <c r="AD146" s="48" t="str">
        <f t="shared" si="29"/>
        <v>105,1105,505</v>
      </c>
    </row>
    <row r="147" spans="3:30" x14ac:dyDescent="0.3">
      <c r="C147" s="51">
        <v>6</v>
      </c>
      <c r="D147" s="51">
        <v>3</v>
      </c>
      <c r="E147" s="51" t="s">
        <v>5396</v>
      </c>
      <c r="F147" s="51" t="s">
        <v>5395</v>
      </c>
      <c r="G147" s="50" t="str">
        <f>VLOOKUP(E147,옵션그룹계산1!$AF$4:$AH$7,3,FALSE)</f>
        <v xml:space="preserve">       </v>
      </c>
      <c r="H147" s="49" t="str">
        <f>VLOOKUP(D147,옵션그룹계산1!$AF$16:$AG$19,2,FALSE)</f>
        <v>(Grade 4~5)</v>
      </c>
      <c r="I147" s="50" t="str">
        <f t="shared" si="20"/>
        <v>보주_탱커</v>
      </c>
      <c r="J147" s="49" t="str">
        <f>IF($D147&gt;=(J$2-1),VLOOKUP($I147,색인!$L$4:$R$11,J$2,FALSE)&amp;"_"&amp;$C147,"")</f>
        <v>체력_6</v>
      </c>
      <c r="K147" s="49" t="str">
        <f>IF($D147&gt;=(K$2-1),VLOOKUP($I147,색인!$L$4:$R$11,K$2,FALSE)&amp;"_"&amp;$C147,"")</f>
        <v>물리블록_6</v>
      </c>
      <c r="L147" s="49" t="str">
        <f>IF($D147&gt;=(L$2-1),VLOOKUP($I147,색인!$L$4:$R$11,L$2,FALSE)&amp;"_"&amp;$C147,"")</f>
        <v>마법블록_6</v>
      </c>
      <c r="M147" s="49" t="str">
        <f>IF($D147&gt;=(M$2-1),VLOOKUP($I147,색인!$L$4:$R$11,M$2,FALSE)&amp;"_"&amp;$C147,"")</f>
        <v/>
      </c>
      <c r="N147" s="49" t="str">
        <f>IF(AND(C147&gt;=6,D147&gt;=4),VLOOKUP($I147,색인!$L$4:$R$11,N$2,FALSE)&amp;"_"&amp;$C147,"")</f>
        <v/>
      </c>
      <c r="O147" s="49" t="str">
        <f>IF(AND(C147&gt;=6,D147&gt;=4),VLOOKUP($I147,색인!$L$4:$R$11,O$2,FALSE)&amp;"_"&amp;$C147,"")</f>
        <v/>
      </c>
      <c r="P147" s="50" t="str">
        <f t="shared" si="21"/>
        <v>6342</v>
      </c>
      <c r="Q147" s="49">
        <f>VLOOKUP(옵션그룹계산1!J147,색인!$E$4:$F$99,2,FALSE)</f>
        <v>205</v>
      </c>
      <c r="R147" s="49">
        <f>_xlfn.IFNA(VLOOKUP(옵션그룹계산1!K147,색인!$E$4:$F$99,2,FALSE),"")</f>
        <v>905</v>
      </c>
      <c r="S147" s="49">
        <f>_xlfn.IFNA(VLOOKUP(옵션그룹계산1!L147,색인!$E$4:$F$99,2,FALSE),"")</f>
        <v>1905</v>
      </c>
      <c r="T147" s="49" t="str">
        <f>_xlfn.IFNA(VLOOKUP(옵션그룹계산1!M147,색인!$E$4:$F$99,2,FALSE),"")</f>
        <v/>
      </c>
      <c r="U147" s="49" t="str">
        <f>_xlfn.IFNA(VLOOKUP(옵션그룹계산1!N147,색인!$E$4:$F$99,2,FALSE),"")</f>
        <v/>
      </c>
      <c r="V147" s="49" t="str">
        <f>_xlfn.IFNA(VLOOKUP(옵션그룹계산1!O147,색인!$E$4:$F$99,2,FALSE),"")</f>
        <v/>
      </c>
      <c r="W147" s="50">
        <f t="shared" si="22"/>
        <v>6</v>
      </c>
      <c r="X147" s="50">
        <f t="shared" si="23"/>
        <v>3</v>
      </c>
      <c r="Y147" s="50">
        <f t="shared" si="24"/>
        <v>4</v>
      </c>
      <c r="Z147" s="50">
        <f t="shared" si="25"/>
        <v>2</v>
      </c>
      <c r="AA147" s="48" t="str">
        <f t="shared" si="26"/>
        <v>T6_3옵션_보주_탱커</v>
      </c>
      <c r="AB147" s="50" t="str">
        <f t="shared" si="27"/>
        <v>6342</v>
      </c>
      <c r="AC147" s="49" t="str">
        <f t="shared" si="28"/>
        <v>T6_3옵션_보주_탱커       (Grade 4~5)</v>
      </c>
      <c r="AD147" s="48" t="str">
        <f t="shared" si="29"/>
        <v>205,905,1905</v>
      </c>
    </row>
    <row r="148" spans="3:30" x14ac:dyDescent="0.3">
      <c r="C148" s="51">
        <v>7</v>
      </c>
      <c r="D148" s="51">
        <v>1</v>
      </c>
      <c r="E148" s="51" t="s">
        <v>5400</v>
      </c>
      <c r="F148" s="51" t="s">
        <v>5397</v>
      </c>
      <c r="G148" s="50" t="str">
        <f>VLOOKUP(E148,옵션그룹계산1!$AF$4:$AH$7,3,FALSE)</f>
        <v xml:space="preserve">    </v>
      </c>
      <c r="H148" s="49" t="str">
        <f>VLOOKUP(D148,옵션그룹계산1!$AF$16:$AG$19,2,FALSE)</f>
        <v>(Grade 2)</v>
      </c>
      <c r="I148" s="50" t="str">
        <f t="shared" si="20"/>
        <v>방어구_딜러</v>
      </c>
      <c r="J148" s="49" t="str">
        <f>IF($D148&gt;=(J$2-1),VLOOKUP($I148,색인!$L$4:$R$11,J$2,FALSE)&amp;"_"&amp;$C148,"")</f>
        <v>공격력_7</v>
      </c>
      <c r="K148" s="49" t="str">
        <f>IF($D148&gt;=(K$2-1),VLOOKUP($I148,색인!$L$4:$R$11,K$2,FALSE)&amp;"_"&amp;$C148,"")</f>
        <v/>
      </c>
      <c r="L148" s="49" t="str">
        <f>IF($D148&gt;=(L$2-1),VLOOKUP($I148,색인!$L$4:$R$11,L$2,FALSE)&amp;"_"&amp;$C148,"")</f>
        <v/>
      </c>
      <c r="M148" s="49" t="str">
        <f>IF($D148&gt;=(M$2-1),VLOOKUP($I148,색인!$L$4:$R$11,M$2,FALSE)&amp;"_"&amp;$C148,"")</f>
        <v/>
      </c>
      <c r="N148" s="49" t="str">
        <f>IF(AND(C148&gt;=6,D148&gt;=4),VLOOKUP($I148,색인!$L$4:$R$11,N$2,FALSE)&amp;"_"&amp;$C148,"")</f>
        <v/>
      </c>
      <c r="O148" s="49" t="str">
        <f>IF(AND(C148&gt;=6,D148&gt;=4),VLOOKUP($I148,색인!$L$4:$R$11,O$2,FALSE)&amp;"_"&amp;$C148,"")</f>
        <v/>
      </c>
      <c r="P148" s="50" t="str">
        <f t="shared" si="21"/>
        <v>7111</v>
      </c>
      <c r="Q148" s="49">
        <f>VLOOKUP(옵션그룹계산1!J148,색인!$E$4:$F$99,2,FALSE)</f>
        <v>106</v>
      </c>
      <c r="R148" s="49" t="str">
        <f>_xlfn.IFNA(VLOOKUP(옵션그룹계산1!K148,색인!$E$4:$F$99,2,FALSE),"")</f>
        <v/>
      </c>
      <c r="S148" s="49" t="str">
        <f>_xlfn.IFNA(VLOOKUP(옵션그룹계산1!L148,색인!$E$4:$F$99,2,FALSE),"")</f>
        <v/>
      </c>
      <c r="T148" s="49" t="str">
        <f>_xlfn.IFNA(VLOOKUP(옵션그룹계산1!M148,색인!$E$4:$F$99,2,FALSE),"")</f>
        <v/>
      </c>
      <c r="U148" s="49" t="str">
        <f>_xlfn.IFNA(VLOOKUP(옵션그룹계산1!N148,색인!$E$4:$F$99,2,FALSE),"")</f>
        <v/>
      </c>
      <c r="V148" s="49" t="str">
        <f>_xlfn.IFNA(VLOOKUP(옵션그룹계산1!O148,색인!$E$4:$F$99,2,FALSE),"")</f>
        <v/>
      </c>
      <c r="W148" s="50">
        <f t="shared" si="22"/>
        <v>7</v>
      </c>
      <c r="X148" s="50">
        <f t="shared" si="23"/>
        <v>1</v>
      </c>
      <c r="Y148" s="50">
        <f t="shared" si="24"/>
        <v>1</v>
      </c>
      <c r="Z148" s="50">
        <f t="shared" si="25"/>
        <v>1</v>
      </c>
      <c r="AA148" s="48" t="str">
        <f t="shared" si="26"/>
        <v>T7_1옵션_방어구_딜러</v>
      </c>
      <c r="AB148" s="50" t="str">
        <f t="shared" si="27"/>
        <v>7111</v>
      </c>
      <c r="AC148" s="49" t="str">
        <f t="shared" si="28"/>
        <v>T7_1옵션_방어구_딜러    (Grade 2)</v>
      </c>
      <c r="AD148" s="48" t="str">
        <f t="shared" si="29"/>
        <v>106</v>
      </c>
    </row>
    <row r="149" spans="3:30" x14ac:dyDescent="0.3">
      <c r="C149" s="51">
        <v>7</v>
      </c>
      <c r="D149" s="51">
        <v>1</v>
      </c>
      <c r="E149" s="51" t="s">
        <v>5400</v>
      </c>
      <c r="F149" s="51" t="s">
        <v>5395</v>
      </c>
      <c r="G149" s="50" t="str">
        <f>VLOOKUP(E149,옵션그룹계산1!$AF$4:$AH$7,3,FALSE)</f>
        <v xml:space="preserve">    </v>
      </c>
      <c r="H149" s="49" t="str">
        <f>VLOOKUP(D149,옵션그룹계산1!$AF$16:$AG$19,2,FALSE)</f>
        <v>(Grade 2)</v>
      </c>
      <c r="I149" s="50" t="str">
        <f t="shared" si="20"/>
        <v>방어구_탱커</v>
      </c>
      <c r="J149" s="49" t="str">
        <f>IF($D149&gt;=(J$2-1),VLOOKUP($I149,색인!$L$4:$R$11,J$2,FALSE)&amp;"_"&amp;$C149,"")</f>
        <v>공격속도_7</v>
      </c>
      <c r="K149" s="49" t="str">
        <f>IF($D149&gt;=(K$2-1),VLOOKUP($I149,색인!$L$4:$R$11,K$2,FALSE)&amp;"_"&amp;$C149,"")</f>
        <v/>
      </c>
      <c r="L149" s="49" t="str">
        <f>IF($D149&gt;=(L$2-1),VLOOKUP($I149,색인!$L$4:$R$11,L$2,FALSE)&amp;"_"&amp;$C149,"")</f>
        <v/>
      </c>
      <c r="M149" s="49" t="str">
        <f>IF($D149&gt;=(M$2-1),VLOOKUP($I149,색인!$L$4:$R$11,M$2,FALSE)&amp;"_"&amp;$C149,"")</f>
        <v/>
      </c>
      <c r="N149" s="49" t="str">
        <f>IF(AND(C149&gt;=6,D149&gt;=4),VLOOKUP($I149,색인!$L$4:$R$11,N$2,FALSE)&amp;"_"&amp;$C149,"")</f>
        <v/>
      </c>
      <c r="O149" s="49" t="str">
        <f>IF(AND(C149&gt;=6,D149&gt;=4),VLOOKUP($I149,색인!$L$4:$R$11,O$2,FALSE)&amp;"_"&amp;$C149,"")</f>
        <v/>
      </c>
      <c r="P149" s="50" t="str">
        <f t="shared" si="21"/>
        <v>7112</v>
      </c>
      <c r="Q149" s="49">
        <f>VLOOKUP(옵션그룹계산1!J149,색인!$E$4:$F$99,2,FALSE)</f>
        <v>1106</v>
      </c>
      <c r="R149" s="49" t="str">
        <f>_xlfn.IFNA(VLOOKUP(옵션그룹계산1!K149,색인!$E$4:$F$99,2,FALSE),"")</f>
        <v/>
      </c>
      <c r="S149" s="49" t="str">
        <f>_xlfn.IFNA(VLOOKUP(옵션그룹계산1!L149,색인!$E$4:$F$99,2,FALSE),"")</f>
        <v/>
      </c>
      <c r="T149" s="49" t="str">
        <f>_xlfn.IFNA(VLOOKUP(옵션그룹계산1!M149,색인!$E$4:$F$99,2,FALSE),"")</f>
        <v/>
      </c>
      <c r="U149" s="49" t="str">
        <f>_xlfn.IFNA(VLOOKUP(옵션그룹계산1!N149,색인!$E$4:$F$99,2,FALSE),"")</f>
        <v/>
      </c>
      <c r="V149" s="49" t="str">
        <f>_xlfn.IFNA(VLOOKUP(옵션그룹계산1!O149,색인!$E$4:$F$99,2,FALSE),"")</f>
        <v/>
      </c>
      <c r="W149" s="50">
        <f t="shared" si="22"/>
        <v>7</v>
      </c>
      <c r="X149" s="50">
        <f t="shared" si="23"/>
        <v>1</v>
      </c>
      <c r="Y149" s="50">
        <f t="shared" si="24"/>
        <v>1</v>
      </c>
      <c r="Z149" s="50">
        <f t="shared" si="25"/>
        <v>2</v>
      </c>
      <c r="AA149" s="48" t="str">
        <f t="shared" si="26"/>
        <v>T7_1옵션_방어구_탱커</v>
      </c>
      <c r="AB149" s="50" t="str">
        <f t="shared" si="27"/>
        <v>7112</v>
      </c>
      <c r="AC149" s="49" t="str">
        <f t="shared" si="28"/>
        <v>T7_1옵션_방어구_탱커    (Grade 2)</v>
      </c>
      <c r="AD149" s="48" t="str">
        <f t="shared" si="29"/>
        <v>1106</v>
      </c>
    </row>
    <row r="150" spans="3:30" x14ac:dyDescent="0.3">
      <c r="C150" s="51">
        <v>7</v>
      </c>
      <c r="D150" s="51">
        <v>1</v>
      </c>
      <c r="E150" s="51" t="s">
        <v>5399</v>
      </c>
      <c r="F150" s="51" t="s">
        <v>5397</v>
      </c>
      <c r="G150" s="50" t="str">
        <f>VLOOKUP(E150,옵션그룹계산1!$AF$4:$AH$7,3,FALSE)</f>
        <v xml:space="preserve"> </v>
      </c>
      <c r="H150" s="49" t="str">
        <f>VLOOKUP(D150,옵션그룹계산1!$AF$16:$AG$19,2,FALSE)</f>
        <v>(Grade 2)</v>
      </c>
      <c r="I150" s="50" t="str">
        <f t="shared" si="20"/>
        <v>보조장비_딜러</v>
      </c>
      <c r="J150" s="49" t="str">
        <f>IF($D150&gt;=(J$2-1),VLOOKUP($I150,색인!$L$4:$R$11,J$2,FALSE)&amp;"_"&amp;$C150,"")</f>
        <v>공격력_7</v>
      </c>
      <c r="K150" s="49" t="str">
        <f>IF($D150&gt;=(K$2-1),VLOOKUP($I150,색인!$L$4:$R$11,K$2,FALSE)&amp;"_"&amp;$C150,"")</f>
        <v/>
      </c>
      <c r="L150" s="49" t="str">
        <f>IF($D150&gt;=(L$2-1),VLOOKUP($I150,색인!$L$4:$R$11,L$2,FALSE)&amp;"_"&amp;$C150,"")</f>
        <v/>
      </c>
      <c r="M150" s="49" t="str">
        <f>IF($D150&gt;=(M$2-1),VLOOKUP($I150,색인!$L$4:$R$11,M$2,FALSE)&amp;"_"&amp;$C150,"")</f>
        <v/>
      </c>
      <c r="N150" s="49" t="str">
        <f>IF(AND(C150&gt;=6,D150&gt;=4),VLOOKUP($I150,색인!$L$4:$R$11,N$2,FALSE)&amp;"_"&amp;$C150,"")</f>
        <v/>
      </c>
      <c r="O150" s="49" t="str">
        <f>IF(AND(C150&gt;=6,D150&gt;=4),VLOOKUP($I150,색인!$L$4:$R$11,O$2,FALSE)&amp;"_"&amp;$C150,"")</f>
        <v/>
      </c>
      <c r="P150" s="50" t="str">
        <f t="shared" si="21"/>
        <v>7121</v>
      </c>
      <c r="Q150" s="49">
        <f>VLOOKUP(옵션그룹계산1!J150,색인!$E$4:$F$99,2,FALSE)</f>
        <v>106</v>
      </c>
      <c r="R150" s="49" t="str">
        <f>_xlfn.IFNA(VLOOKUP(옵션그룹계산1!K150,색인!$E$4:$F$99,2,FALSE),"")</f>
        <v/>
      </c>
      <c r="S150" s="49" t="str">
        <f>_xlfn.IFNA(VLOOKUP(옵션그룹계산1!L150,색인!$E$4:$F$99,2,FALSE),"")</f>
        <v/>
      </c>
      <c r="T150" s="49" t="str">
        <f>_xlfn.IFNA(VLOOKUP(옵션그룹계산1!M150,색인!$E$4:$F$99,2,FALSE),"")</f>
        <v/>
      </c>
      <c r="U150" s="49" t="str">
        <f>_xlfn.IFNA(VLOOKUP(옵션그룹계산1!N150,색인!$E$4:$F$99,2,FALSE),"")</f>
        <v/>
      </c>
      <c r="V150" s="49" t="str">
        <f>_xlfn.IFNA(VLOOKUP(옵션그룹계산1!O150,색인!$E$4:$F$99,2,FALSE),"")</f>
        <v/>
      </c>
      <c r="W150" s="50">
        <f t="shared" si="22"/>
        <v>7</v>
      </c>
      <c r="X150" s="50">
        <f t="shared" si="23"/>
        <v>1</v>
      </c>
      <c r="Y150" s="50">
        <f t="shared" si="24"/>
        <v>2</v>
      </c>
      <c r="Z150" s="50">
        <f t="shared" si="25"/>
        <v>1</v>
      </c>
      <c r="AA150" s="48" t="str">
        <f t="shared" si="26"/>
        <v>T7_1옵션_보조장비_딜러</v>
      </c>
      <c r="AB150" s="50" t="str">
        <f t="shared" si="27"/>
        <v>7121</v>
      </c>
      <c r="AC150" s="49" t="str">
        <f t="shared" si="28"/>
        <v>T7_1옵션_보조장비_딜러 (Grade 2)</v>
      </c>
      <c r="AD150" s="48" t="str">
        <f t="shared" si="29"/>
        <v>106</v>
      </c>
    </row>
    <row r="151" spans="3:30" x14ac:dyDescent="0.3">
      <c r="C151" s="51">
        <v>7</v>
      </c>
      <c r="D151" s="51">
        <v>1</v>
      </c>
      <c r="E151" s="51" t="s">
        <v>5399</v>
      </c>
      <c r="F151" s="51" t="s">
        <v>5395</v>
      </c>
      <c r="G151" s="50" t="str">
        <f>VLOOKUP(E151,옵션그룹계산1!$AF$4:$AH$7,3,FALSE)</f>
        <v xml:space="preserve"> </v>
      </c>
      <c r="H151" s="49" t="str">
        <f>VLOOKUP(D151,옵션그룹계산1!$AF$16:$AG$19,2,FALSE)</f>
        <v>(Grade 2)</v>
      </c>
      <c r="I151" s="50" t="str">
        <f t="shared" si="20"/>
        <v>보조장비_탱커</v>
      </c>
      <c r="J151" s="49" t="str">
        <f>IF($D151&gt;=(J$2-1),VLOOKUP($I151,색인!$L$4:$R$11,J$2,FALSE)&amp;"_"&amp;$C151,"")</f>
        <v>공격속도_7</v>
      </c>
      <c r="K151" s="49" t="str">
        <f>IF($D151&gt;=(K$2-1),VLOOKUP($I151,색인!$L$4:$R$11,K$2,FALSE)&amp;"_"&amp;$C151,"")</f>
        <v/>
      </c>
      <c r="L151" s="49" t="str">
        <f>IF($D151&gt;=(L$2-1),VLOOKUP($I151,색인!$L$4:$R$11,L$2,FALSE)&amp;"_"&amp;$C151,"")</f>
        <v/>
      </c>
      <c r="M151" s="49" t="str">
        <f>IF($D151&gt;=(M$2-1),VLOOKUP($I151,색인!$L$4:$R$11,M$2,FALSE)&amp;"_"&amp;$C151,"")</f>
        <v/>
      </c>
      <c r="N151" s="49" t="str">
        <f>IF(AND(C151&gt;=6,D151&gt;=4),VLOOKUP($I151,색인!$L$4:$R$11,N$2,FALSE)&amp;"_"&amp;$C151,"")</f>
        <v/>
      </c>
      <c r="O151" s="49" t="str">
        <f>IF(AND(C151&gt;=6,D151&gt;=4),VLOOKUP($I151,색인!$L$4:$R$11,O$2,FALSE)&amp;"_"&amp;$C151,"")</f>
        <v/>
      </c>
      <c r="P151" s="50" t="str">
        <f t="shared" si="21"/>
        <v>7122</v>
      </c>
      <c r="Q151" s="49">
        <f>VLOOKUP(옵션그룹계산1!J151,색인!$E$4:$F$99,2,FALSE)</f>
        <v>1106</v>
      </c>
      <c r="R151" s="49" t="str">
        <f>_xlfn.IFNA(VLOOKUP(옵션그룹계산1!K151,색인!$E$4:$F$99,2,FALSE),"")</f>
        <v/>
      </c>
      <c r="S151" s="49" t="str">
        <f>_xlfn.IFNA(VLOOKUP(옵션그룹계산1!L151,색인!$E$4:$F$99,2,FALSE),"")</f>
        <v/>
      </c>
      <c r="T151" s="49" t="str">
        <f>_xlfn.IFNA(VLOOKUP(옵션그룹계산1!M151,색인!$E$4:$F$99,2,FALSE),"")</f>
        <v/>
      </c>
      <c r="U151" s="49" t="str">
        <f>_xlfn.IFNA(VLOOKUP(옵션그룹계산1!N151,색인!$E$4:$F$99,2,FALSE),"")</f>
        <v/>
      </c>
      <c r="V151" s="49" t="str">
        <f>_xlfn.IFNA(VLOOKUP(옵션그룹계산1!O151,색인!$E$4:$F$99,2,FALSE),"")</f>
        <v/>
      </c>
      <c r="W151" s="50">
        <f t="shared" si="22"/>
        <v>7</v>
      </c>
      <c r="X151" s="50">
        <f t="shared" si="23"/>
        <v>1</v>
      </c>
      <c r="Y151" s="50">
        <f t="shared" si="24"/>
        <v>2</v>
      </c>
      <c r="Z151" s="50">
        <f t="shared" si="25"/>
        <v>2</v>
      </c>
      <c r="AA151" s="48" t="str">
        <f t="shared" si="26"/>
        <v>T7_1옵션_보조장비_탱커</v>
      </c>
      <c r="AB151" s="50" t="str">
        <f t="shared" si="27"/>
        <v>7122</v>
      </c>
      <c r="AC151" s="49" t="str">
        <f t="shared" si="28"/>
        <v>T7_1옵션_보조장비_탱커 (Grade 2)</v>
      </c>
      <c r="AD151" s="48" t="str">
        <f t="shared" si="29"/>
        <v>1106</v>
      </c>
    </row>
    <row r="152" spans="3:30" x14ac:dyDescent="0.3">
      <c r="C152" s="51">
        <v>7</v>
      </c>
      <c r="D152" s="51">
        <v>1</v>
      </c>
      <c r="E152" s="51" t="s">
        <v>5398</v>
      </c>
      <c r="F152" s="51" t="s">
        <v>5397</v>
      </c>
      <c r="G152" s="50" t="str">
        <f>VLOOKUP(E152,옵션그룹계산1!$AF$4:$AH$7,3,FALSE)</f>
        <v xml:space="preserve">    </v>
      </c>
      <c r="H152" s="49" t="str">
        <f>VLOOKUP(D152,옵션그룹계산1!$AF$16:$AG$19,2,FALSE)</f>
        <v>(Grade 2)</v>
      </c>
      <c r="I152" s="50" t="str">
        <f t="shared" si="20"/>
        <v>장신구_딜러</v>
      </c>
      <c r="J152" s="49" t="str">
        <f>IF($D152&gt;=(J$2-1),VLOOKUP($I152,색인!$L$4:$R$11,J$2,FALSE)&amp;"_"&amp;$C152,"")</f>
        <v>공격력_7</v>
      </c>
      <c r="K152" s="49" t="str">
        <f>IF($D152&gt;=(K$2-1),VLOOKUP($I152,색인!$L$4:$R$11,K$2,FALSE)&amp;"_"&amp;$C152,"")</f>
        <v/>
      </c>
      <c r="L152" s="49" t="str">
        <f>IF($D152&gt;=(L$2-1),VLOOKUP($I152,색인!$L$4:$R$11,L$2,FALSE)&amp;"_"&amp;$C152,"")</f>
        <v/>
      </c>
      <c r="M152" s="49" t="str">
        <f>IF($D152&gt;=(M$2-1),VLOOKUP($I152,색인!$L$4:$R$11,M$2,FALSE)&amp;"_"&amp;$C152,"")</f>
        <v/>
      </c>
      <c r="N152" s="49" t="str">
        <f>IF(AND(C152&gt;=6,D152&gt;=4),VLOOKUP($I152,색인!$L$4:$R$11,N$2,FALSE)&amp;"_"&amp;$C152,"")</f>
        <v/>
      </c>
      <c r="O152" s="49" t="str">
        <f>IF(AND(C152&gt;=6,D152&gt;=4),VLOOKUP($I152,색인!$L$4:$R$11,O$2,FALSE)&amp;"_"&amp;$C152,"")</f>
        <v/>
      </c>
      <c r="P152" s="50" t="str">
        <f t="shared" si="21"/>
        <v>7131</v>
      </c>
      <c r="Q152" s="49">
        <f>VLOOKUP(옵션그룹계산1!J152,색인!$E$4:$F$99,2,FALSE)</f>
        <v>106</v>
      </c>
      <c r="R152" s="49" t="str">
        <f>_xlfn.IFNA(VLOOKUP(옵션그룹계산1!K152,색인!$E$4:$F$99,2,FALSE),"")</f>
        <v/>
      </c>
      <c r="S152" s="49" t="str">
        <f>_xlfn.IFNA(VLOOKUP(옵션그룹계산1!L152,색인!$E$4:$F$99,2,FALSE),"")</f>
        <v/>
      </c>
      <c r="T152" s="49" t="str">
        <f>_xlfn.IFNA(VLOOKUP(옵션그룹계산1!M152,색인!$E$4:$F$99,2,FALSE),"")</f>
        <v/>
      </c>
      <c r="U152" s="49" t="str">
        <f>_xlfn.IFNA(VLOOKUP(옵션그룹계산1!N152,색인!$E$4:$F$99,2,FALSE),"")</f>
        <v/>
      </c>
      <c r="V152" s="49" t="str">
        <f>_xlfn.IFNA(VLOOKUP(옵션그룹계산1!O152,색인!$E$4:$F$99,2,FALSE),"")</f>
        <v/>
      </c>
      <c r="W152" s="50">
        <f t="shared" si="22"/>
        <v>7</v>
      </c>
      <c r="X152" s="50">
        <f t="shared" si="23"/>
        <v>1</v>
      </c>
      <c r="Y152" s="50">
        <f t="shared" si="24"/>
        <v>3</v>
      </c>
      <c r="Z152" s="50">
        <f t="shared" si="25"/>
        <v>1</v>
      </c>
      <c r="AA152" s="48" t="str">
        <f t="shared" si="26"/>
        <v>T7_1옵션_장신구_딜러</v>
      </c>
      <c r="AB152" s="50" t="str">
        <f t="shared" si="27"/>
        <v>7131</v>
      </c>
      <c r="AC152" s="49" t="str">
        <f t="shared" si="28"/>
        <v>T7_1옵션_장신구_딜러    (Grade 2)</v>
      </c>
      <c r="AD152" s="48" t="str">
        <f t="shared" si="29"/>
        <v>106</v>
      </c>
    </row>
    <row r="153" spans="3:30" x14ac:dyDescent="0.3">
      <c r="C153" s="51">
        <v>7</v>
      </c>
      <c r="D153" s="51">
        <v>1</v>
      </c>
      <c r="E153" s="51" t="s">
        <v>5398</v>
      </c>
      <c r="F153" s="51" t="s">
        <v>5395</v>
      </c>
      <c r="G153" s="50" t="str">
        <f>VLOOKUP(E153,옵션그룹계산1!$AF$4:$AH$7,3,FALSE)</f>
        <v xml:space="preserve">    </v>
      </c>
      <c r="H153" s="49" t="str">
        <f>VLOOKUP(D153,옵션그룹계산1!$AF$16:$AG$19,2,FALSE)</f>
        <v>(Grade 2)</v>
      </c>
      <c r="I153" s="50" t="str">
        <f t="shared" si="20"/>
        <v>장신구_탱커</v>
      </c>
      <c r="J153" s="49" t="str">
        <f>IF($D153&gt;=(J$2-1),VLOOKUP($I153,색인!$L$4:$R$11,J$2,FALSE)&amp;"_"&amp;$C153,"")</f>
        <v>체력_7</v>
      </c>
      <c r="K153" s="49" t="str">
        <f>IF($D153&gt;=(K$2-1),VLOOKUP($I153,색인!$L$4:$R$11,K$2,FALSE)&amp;"_"&amp;$C153,"")</f>
        <v/>
      </c>
      <c r="L153" s="49" t="str">
        <f>IF($D153&gt;=(L$2-1),VLOOKUP($I153,색인!$L$4:$R$11,L$2,FALSE)&amp;"_"&amp;$C153,"")</f>
        <v/>
      </c>
      <c r="M153" s="49" t="str">
        <f>IF($D153&gt;=(M$2-1),VLOOKUP($I153,색인!$L$4:$R$11,M$2,FALSE)&amp;"_"&amp;$C153,"")</f>
        <v/>
      </c>
      <c r="N153" s="49" t="str">
        <f>IF(AND(C153&gt;=6,D153&gt;=4),VLOOKUP($I153,색인!$L$4:$R$11,N$2,FALSE)&amp;"_"&amp;$C153,"")</f>
        <v/>
      </c>
      <c r="O153" s="49" t="str">
        <f>IF(AND(C153&gt;=6,D153&gt;=4),VLOOKUP($I153,색인!$L$4:$R$11,O$2,FALSE)&amp;"_"&amp;$C153,"")</f>
        <v/>
      </c>
      <c r="P153" s="50" t="str">
        <f t="shared" si="21"/>
        <v>7132</v>
      </c>
      <c r="Q153" s="49">
        <f>VLOOKUP(옵션그룹계산1!J153,색인!$E$4:$F$99,2,FALSE)</f>
        <v>206</v>
      </c>
      <c r="R153" s="49" t="str">
        <f>_xlfn.IFNA(VLOOKUP(옵션그룹계산1!K153,색인!$E$4:$F$99,2,FALSE),"")</f>
        <v/>
      </c>
      <c r="S153" s="49" t="str">
        <f>_xlfn.IFNA(VLOOKUP(옵션그룹계산1!L153,색인!$E$4:$F$99,2,FALSE),"")</f>
        <v/>
      </c>
      <c r="T153" s="49" t="str">
        <f>_xlfn.IFNA(VLOOKUP(옵션그룹계산1!M153,색인!$E$4:$F$99,2,FALSE),"")</f>
        <v/>
      </c>
      <c r="U153" s="49" t="str">
        <f>_xlfn.IFNA(VLOOKUP(옵션그룹계산1!N153,색인!$E$4:$F$99,2,FALSE),"")</f>
        <v/>
      </c>
      <c r="V153" s="49" t="str">
        <f>_xlfn.IFNA(VLOOKUP(옵션그룹계산1!O153,색인!$E$4:$F$99,2,FALSE),"")</f>
        <v/>
      </c>
      <c r="W153" s="50">
        <f t="shared" si="22"/>
        <v>7</v>
      </c>
      <c r="X153" s="50">
        <f t="shared" si="23"/>
        <v>1</v>
      </c>
      <c r="Y153" s="50">
        <f t="shared" si="24"/>
        <v>3</v>
      </c>
      <c r="Z153" s="50">
        <f t="shared" si="25"/>
        <v>2</v>
      </c>
      <c r="AA153" s="48" t="str">
        <f t="shared" si="26"/>
        <v>T7_1옵션_장신구_탱커</v>
      </c>
      <c r="AB153" s="50" t="str">
        <f t="shared" si="27"/>
        <v>7132</v>
      </c>
      <c r="AC153" s="49" t="str">
        <f t="shared" si="28"/>
        <v>T7_1옵션_장신구_탱커    (Grade 2)</v>
      </c>
      <c r="AD153" s="48" t="str">
        <f t="shared" si="29"/>
        <v>206</v>
      </c>
    </row>
    <row r="154" spans="3:30" x14ac:dyDescent="0.3">
      <c r="C154" s="51">
        <v>7</v>
      </c>
      <c r="D154" s="51">
        <v>1</v>
      </c>
      <c r="E154" s="51" t="s">
        <v>5396</v>
      </c>
      <c r="F154" s="51" t="s">
        <v>5397</v>
      </c>
      <c r="G154" s="50" t="str">
        <f>VLOOKUP(E154,옵션그룹계산1!$AF$4:$AH$7,3,FALSE)</f>
        <v xml:space="preserve">       </v>
      </c>
      <c r="H154" s="49" t="str">
        <f>VLOOKUP(D154,옵션그룹계산1!$AF$16:$AG$19,2,FALSE)</f>
        <v>(Grade 2)</v>
      </c>
      <c r="I154" s="50" t="str">
        <f t="shared" si="20"/>
        <v>보주_딜러</v>
      </c>
      <c r="J154" s="49" t="str">
        <f>IF($D154&gt;=(J$2-1),VLOOKUP($I154,색인!$L$4:$R$11,J$2,FALSE)&amp;"_"&amp;$C154,"")</f>
        <v>공격력_7</v>
      </c>
      <c r="K154" s="49" t="str">
        <f>IF($D154&gt;=(K$2-1),VLOOKUP($I154,색인!$L$4:$R$11,K$2,FALSE)&amp;"_"&amp;$C154,"")</f>
        <v/>
      </c>
      <c r="L154" s="49" t="str">
        <f>IF($D154&gt;=(L$2-1),VLOOKUP($I154,색인!$L$4:$R$11,L$2,FALSE)&amp;"_"&amp;$C154,"")</f>
        <v/>
      </c>
      <c r="M154" s="49" t="str">
        <f>IF($D154&gt;=(M$2-1),VLOOKUP($I154,색인!$L$4:$R$11,M$2,FALSE)&amp;"_"&amp;$C154,"")</f>
        <v/>
      </c>
      <c r="N154" s="49" t="str">
        <f>IF(AND(C154&gt;=6,D154&gt;=4),VLOOKUP($I154,색인!$L$4:$R$11,N$2,FALSE)&amp;"_"&amp;$C154,"")</f>
        <v/>
      </c>
      <c r="O154" s="49" t="str">
        <f>IF(AND(C154&gt;=6,D154&gt;=4),VLOOKUP($I154,색인!$L$4:$R$11,O$2,FALSE)&amp;"_"&amp;$C154,"")</f>
        <v/>
      </c>
      <c r="P154" s="50" t="str">
        <f t="shared" si="21"/>
        <v>7141</v>
      </c>
      <c r="Q154" s="49">
        <f>VLOOKUP(옵션그룹계산1!J154,색인!$E$4:$F$99,2,FALSE)</f>
        <v>106</v>
      </c>
      <c r="R154" s="49" t="str">
        <f>_xlfn.IFNA(VLOOKUP(옵션그룹계산1!K154,색인!$E$4:$F$99,2,FALSE),"")</f>
        <v/>
      </c>
      <c r="S154" s="49" t="str">
        <f>_xlfn.IFNA(VLOOKUP(옵션그룹계산1!L154,색인!$E$4:$F$99,2,FALSE),"")</f>
        <v/>
      </c>
      <c r="T154" s="49" t="str">
        <f>_xlfn.IFNA(VLOOKUP(옵션그룹계산1!M154,색인!$E$4:$F$99,2,FALSE),"")</f>
        <v/>
      </c>
      <c r="U154" s="49" t="str">
        <f>_xlfn.IFNA(VLOOKUP(옵션그룹계산1!N154,색인!$E$4:$F$99,2,FALSE),"")</f>
        <v/>
      </c>
      <c r="V154" s="49" t="str">
        <f>_xlfn.IFNA(VLOOKUP(옵션그룹계산1!O154,색인!$E$4:$F$99,2,FALSE),"")</f>
        <v/>
      </c>
      <c r="W154" s="50">
        <f t="shared" si="22"/>
        <v>7</v>
      </c>
      <c r="X154" s="50">
        <f t="shared" si="23"/>
        <v>1</v>
      </c>
      <c r="Y154" s="50">
        <f t="shared" si="24"/>
        <v>4</v>
      </c>
      <c r="Z154" s="50">
        <f t="shared" si="25"/>
        <v>1</v>
      </c>
      <c r="AA154" s="48" t="str">
        <f t="shared" si="26"/>
        <v>T7_1옵션_보주_딜러</v>
      </c>
      <c r="AB154" s="50" t="str">
        <f t="shared" si="27"/>
        <v>7141</v>
      </c>
      <c r="AC154" s="49" t="str">
        <f t="shared" si="28"/>
        <v>T7_1옵션_보주_딜러       (Grade 2)</v>
      </c>
      <c r="AD154" s="48" t="str">
        <f t="shared" si="29"/>
        <v>106</v>
      </c>
    </row>
    <row r="155" spans="3:30" x14ac:dyDescent="0.3">
      <c r="C155" s="51">
        <v>7</v>
      </c>
      <c r="D155" s="51">
        <v>1</v>
      </c>
      <c r="E155" s="51" t="s">
        <v>5396</v>
      </c>
      <c r="F155" s="51" t="s">
        <v>5395</v>
      </c>
      <c r="G155" s="50" t="str">
        <f>VLOOKUP(E155,옵션그룹계산1!$AF$4:$AH$7,3,FALSE)</f>
        <v xml:space="preserve">       </v>
      </c>
      <c r="H155" s="49" t="str">
        <f>VLOOKUP(D155,옵션그룹계산1!$AF$16:$AG$19,2,FALSE)</f>
        <v>(Grade 2)</v>
      </c>
      <c r="I155" s="50" t="str">
        <f t="shared" si="20"/>
        <v>보주_탱커</v>
      </c>
      <c r="J155" s="49" t="str">
        <f>IF($D155&gt;=(J$2-1),VLOOKUP($I155,색인!$L$4:$R$11,J$2,FALSE)&amp;"_"&amp;$C155,"")</f>
        <v>체력_7</v>
      </c>
      <c r="K155" s="49" t="str">
        <f>IF($D155&gt;=(K$2-1),VLOOKUP($I155,색인!$L$4:$R$11,K$2,FALSE)&amp;"_"&amp;$C155,"")</f>
        <v/>
      </c>
      <c r="L155" s="49" t="str">
        <f>IF($D155&gt;=(L$2-1),VLOOKUP($I155,색인!$L$4:$R$11,L$2,FALSE)&amp;"_"&amp;$C155,"")</f>
        <v/>
      </c>
      <c r="M155" s="49" t="str">
        <f>IF($D155&gt;=(M$2-1),VLOOKUP($I155,색인!$L$4:$R$11,M$2,FALSE)&amp;"_"&amp;$C155,"")</f>
        <v/>
      </c>
      <c r="N155" s="49" t="str">
        <f>IF(AND(C155&gt;=6,D155&gt;=4),VLOOKUP($I155,색인!$L$4:$R$11,N$2,FALSE)&amp;"_"&amp;$C155,"")</f>
        <v/>
      </c>
      <c r="O155" s="49" t="str">
        <f>IF(AND(C155&gt;=6,D155&gt;=4),VLOOKUP($I155,색인!$L$4:$R$11,O$2,FALSE)&amp;"_"&amp;$C155,"")</f>
        <v/>
      </c>
      <c r="P155" s="50" t="str">
        <f t="shared" si="21"/>
        <v>7142</v>
      </c>
      <c r="Q155" s="49">
        <f>VLOOKUP(옵션그룹계산1!J155,색인!$E$4:$F$99,2,FALSE)</f>
        <v>206</v>
      </c>
      <c r="R155" s="49" t="str">
        <f>_xlfn.IFNA(VLOOKUP(옵션그룹계산1!K155,색인!$E$4:$F$99,2,FALSE),"")</f>
        <v/>
      </c>
      <c r="S155" s="49" t="str">
        <f>_xlfn.IFNA(VLOOKUP(옵션그룹계산1!L155,색인!$E$4:$F$99,2,FALSE),"")</f>
        <v/>
      </c>
      <c r="T155" s="49" t="str">
        <f>_xlfn.IFNA(VLOOKUP(옵션그룹계산1!M155,색인!$E$4:$F$99,2,FALSE),"")</f>
        <v/>
      </c>
      <c r="U155" s="49" t="str">
        <f>_xlfn.IFNA(VLOOKUP(옵션그룹계산1!N155,색인!$E$4:$F$99,2,FALSE),"")</f>
        <v/>
      </c>
      <c r="V155" s="49" t="str">
        <f>_xlfn.IFNA(VLOOKUP(옵션그룹계산1!O155,색인!$E$4:$F$99,2,FALSE),"")</f>
        <v/>
      </c>
      <c r="W155" s="50">
        <f t="shared" si="22"/>
        <v>7</v>
      </c>
      <c r="X155" s="50">
        <f t="shared" si="23"/>
        <v>1</v>
      </c>
      <c r="Y155" s="50">
        <f t="shared" si="24"/>
        <v>4</v>
      </c>
      <c r="Z155" s="50">
        <f t="shared" si="25"/>
        <v>2</v>
      </c>
      <c r="AA155" s="48" t="str">
        <f t="shared" si="26"/>
        <v>T7_1옵션_보주_탱커</v>
      </c>
      <c r="AB155" s="50" t="str">
        <f t="shared" si="27"/>
        <v>7142</v>
      </c>
      <c r="AC155" s="49" t="str">
        <f t="shared" si="28"/>
        <v>T7_1옵션_보주_탱커       (Grade 2)</v>
      </c>
      <c r="AD155" s="48" t="str">
        <f t="shared" si="29"/>
        <v>206</v>
      </c>
    </row>
    <row r="156" spans="3:30" x14ac:dyDescent="0.3">
      <c r="C156" s="51">
        <v>7</v>
      </c>
      <c r="D156" s="51">
        <v>2</v>
      </c>
      <c r="E156" s="51" t="s">
        <v>5400</v>
      </c>
      <c r="F156" s="51" t="s">
        <v>5397</v>
      </c>
      <c r="G156" s="50" t="str">
        <f>VLOOKUP(E156,옵션그룹계산1!$AF$4:$AH$7,3,FALSE)</f>
        <v xml:space="preserve">    </v>
      </c>
      <c r="H156" s="49" t="str">
        <f>VLOOKUP(D156,옵션그룹계산1!$AF$16:$AG$19,2,FALSE)</f>
        <v>(Grade 3)</v>
      </c>
      <c r="I156" s="50" t="str">
        <f t="shared" si="20"/>
        <v>방어구_딜러</v>
      </c>
      <c r="J156" s="49" t="str">
        <f>IF($D156&gt;=(J$2-1),VLOOKUP($I156,색인!$L$4:$R$11,J$2,FALSE)&amp;"_"&amp;$C156,"")</f>
        <v>공격력_7</v>
      </c>
      <c r="K156" s="49" t="str">
        <f>IF($D156&gt;=(K$2-1),VLOOKUP($I156,색인!$L$4:$R$11,K$2,FALSE)&amp;"_"&amp;$C156,"")</f>
        <v>공격속도_7</v>
      </c>
      <c r="L156" s="49" t="str">
        <f>IF($D156&gt;=(L$2-1),VLOOKUP($I156,색인!$L$4:$R$11,L$2,FALSE)&amp;"_"&amp;$C156,"")</f>
        <v/>
      </c>
      <c r="M156" s="49" t="str">
        <f>IF($D156&gt;=(M$2-1),VLOOKUP($I156,색인!$L$4:$R$11,M$2,FALSE)&amp;"_"&amp;$C156,"")</f>
        <v/>
      </c>
      <c r="N156" s="49" t="str">
        <f>IF(AND(C156&gt;=6,D156&gt;=4),VLOOKUP($I156,색인!$L$4:$R$11,N$2,FALSE)&amp;"_"&amp;$C156,"")</f>
        <v/>
      </c>
      <c r="O156" s="49" t="str">
        <f>IF(AND(C156&gt;=6,D156&gt;=4),VLOOKUP($I156,색인!$L$4:$R$11,O$2,FALSE)&amp;"_"&amp;$C156,"")</f>
        <v/>
      </c>
      <c r="P156" s="50" t="str">
        <f t="shared" si="21"/>
        <v>7211</v>
      </c>
      <c r="Q156" s="49">
        <f>VLOOKUP(옵션그룹계산1!J156,색인!$E$4:$F$99,2,FALSE)</f>
        <v>106</v>
      </c>
      <c r="R156" s="49">
        <f>_xlfn.IFNA(VLOOKUP(옵션그룹계산1!K156,색인!$E$4:$F$99,2,FALSE),"")</f>
        <v>1106</v>
      </c>
      <c r="S156" s="49" t="str">
        <f>_xlfn.IFNA(VLOOKUP(옵션그룹계산1!L156,색인!$E$4:$F$99,2,FALSE),"")</f>
        <v/>
      </c>
      <c r="T156" s="49" t="str">
        <f>_xlfn.IFNA(VLOOKUP(옵션그룹계산1!M156,색인!$E$4:$F$99,2,FALSE),"")</f>
        <v/>
      </c>
      <c r="U156" s="49" t="str">
        <f>_xlfn.IFNA(VLOOKUP(옵션그룹계산1!N156,색인!$E$4:$F$99,2,FALSE),"")</f>
        <v/>
      </c>
      <c r="V156" s="49" t="str">
        <f>_xlfn.IFNA(VLOOKUP(옵션그룹계산1!O156,색인!$E$4:$F$99,2,FALSE),"")</f>
        <v/>
      </c>
      <c r="W156" s="50">
        <f t="shared" si="22"/>
        <v>7</v>
      </c>
      <c r="X156" s="50">
        <f t="shared" si="23"/>
        <v>2</v>
      </c>
      <c r="Y156" s="50">
        <f t="shared" si="24"/>
        <v>1</v>
      </c>
      <c r="Z156" s="50">
        <f t="shared" si="25"/>
        <v>1</v>
      </c>
      <c r="AA156" s="48" t="str">
        <f t="shared" si="26"/>
        <v>T7_2옵션_방어구_딜러</v>
      </c>
      <c r="AB156" s="50" t="str">
        <f t="shared" si="27"/>
        <v>7211</v>
      </c>
      <c r="AC156" s="49" t="str">
        <f t="shared" si="28"/>
        <v>T7_2옵션_방어구_딜러    (Grade 3)</v>
      </c>
      <c r="AD156" s="48" t="str">
        <f t="shared" si="29"/>
        <v>106,1106</v>
      </c>
    </row>
    <row r="157" spans="3:30" x14ac:dyDescent="0.3">
      <c r="C157" s="51">
        <v>7</v>
      </c>
      <c r="D157" s="51">
        <v>2</v>
      </c>
      <c r="E157" s="51" t="s">
        <v>5400</v>
      </c>
      <c r="F157" s="51" t="s">
        <v>5395</v>
      </c>
      <c r="G157" s="50" t="str">
        <f>VLOOKUP(E157,옵션그룹계산1!$AF$4:$AH$7,3,FALSE)</f>
        <v xml:space="preserve">    </v>
      </c>
      <c r="H157" s="49" t="str">
        <f>VLOOKUP(D157,옵션그룹계산1!$AF$16:$AG$19,2,FALSE)</f>
        <v>(Grade 3)</v>
      </c>
      <c r="I157" s="50" t="str">
        <f t="shared" si="20"/>
        <v>방어구_탱커</v>
      </c>
      <c r="J157" s="49" t="str">
        <f>IF($D157&gt;=(J$2-1),VLOOKUP($I157,색인!$L$4:$R$11,J$2,FALSE)&amp;"_"&amp;$C157,"")</f>
        <v>공격속도_7</v>
      </c>
      <c r="K157" s="49" t="str">
        <f>IF($D157&gt;=(K$2-1),VLOOKUP($I157,색인!$L$4:$R$11,K$2,FALSE)&amp;"_"&amp;$C157,"")</f>
        <v>물리블록_7</v>
      </c>
      <c r="L157" s="49" t="str">
        <f>IF($D157&gt;=(L$2-1),VLOOKUP($I157,색인!$L$4:$R$11,L$2,FALSE)&amp;"_"&amp;$C157,"")</f>
        <v/>
      </c>
      <c r="M157" s="49" t="str">
        <f>IF($D157&gt;=(M$2-1),VLOOKUP($I157,색인!$L$4:$R$11,M$2,FALSE)&amp;"_"&amp;$C157,"")</f>
        <v/>
      </c>
      <c r="N157" s="49" t="str">
        <f>IF(AND(C157&gt;=6,D157&gt;=4),VLOOKUP($I157,색인!$L$4:$R$11,N$2,FALSE)&amp;"_"&amp;$C157,"")</f>
        <v/>
      </c>
      <c r="O157" s="49" t="str">
        <f>IF(AND(C157&gt;=6,D157&gt;=4),VLOOKUP($I157,색인!$L$4:$R$11,O$2,FALSE)&amp;"_"&amp;$C157,"")</f>
        <v/>
      </c>
      <c r="P157" s="50" t="str">
        <f t="shared" si="21"/>
        <v>7212</v>
      </c>
      <c r="Q157" s="49">
        <f>VLOOKUP(옵션그룹계산1!J157,색인!$E$4:$F$99,2,FALSE)</f>
        <v>1106</v>
      </c>
      <c r="R157" s="49">
        <f>_xlfn.IFNA(VLOOKUP(옵션그룹계산1!K157,색인!$E$4:$F$99,2,FALSE),"")</f>
        <v>906</v>
      </c>
      <c r="S157" s="49" t="str">
        <f>_xlfn.IFNA(VLOOKUP(옵션그룹계산1!L157,색인!$E$4:$F$99,2,FALSE),"")</f>
        <v/>
      </c>
      <c r="T157" s="49" t="str">
        <f>_xlfn.IFNA(VLOOKUP(옵션그룹계산1!M157,색인!$E$4:$F$99,2,FALSE),"")</f>
        <v/>
      </c>
      <c r="U157" s="49" t="str">
        <f>_xlfn.IFNA(VLOOKUP(옵션그룹계산1!N157,색인!$E$4:$F$99,2,FALSE),"")</f>
        <v/>
      </c>
      <c r="V157" s="49" t="str">
        <f>_xlfn.IFNA(VLOOKUP(옵션그룹계산1!O157,색인!$E$4:$F$99,2,FALSE),"")</f>
        <v/>
      </c>
      <c r="W157" s="50">
        <f t="shared" si="22"/>
        <v>7</v>
      </c>
      <c r="X157" s="50">
        <f t="shared" si="23"/>
        <v>2</v>
      </c>
      <c r="Y157" s="50">
        <f t="shared" si="24"/>
        <v>1</v>
      </c>
      <c r="Z157" s="50">
        <f t="shared" si="25"/>
        <v>2</v>
      </c>
      <c r="AA157" s="48" t="str">
        <f t="shared" si="26"/>
        <v>T7_2옵션_방어구_탱커</v>
      </c>
      <c r="AB157" s="50" t="str">
        <f t="shared" si="27"/>
        <v>7212</v>
      </c>
      <c r="AC157" s="49" t="str">
        <f t="shared" si="28"/>
        <v>T7_2옵션_방어구_탱커    (Grade 3)</v>
      </c>
      <c r="AD157" s="48" t="str">
        <f t="shared" si="29"/>
        <v>1106,906</v>
      </c>
    </row>
    <row r="158" spans="3:30" x14ac:dyDescent="0.3">
      <c r="C158" s="51">
        <v>7</v>
      </c>
      <c r="D158" s="51">
        <v>2</v>
      </c>
      <c r="E158" s="51" t="s">
        <v>5399</v>
      </c>
      <c r="F158" s="51" t="s">
        <v>5397</v>
      </c>
      <c r="G158" s="50" t="str">
        <f>VLOOKUP(E158,옵션그룹계산1!$AF$4:$AH$7,3,FALSE)</f>
        <v xml:space="preserve"> </v>
      </c>
      <c r="H158" s="49" t="str">
        <f>VLOOKUP(D158,옵션그룹계산1!$AF$16:$AG$19,2,FALSE)</f>
        <v>(Grade 3)</v>
      </c>
      <c r="I158" s="50" t="str">
        <f t="shared" si="20"/>
        <v>보조장비_딜러</v>
      </c>
      <c r="J158" s="49" t="str">
        <f>IF($D158&gt;=(J$2-1),VLOOKUP($I158,색인!$L$4:$R$11,J$2,FALSE)&amp;"_"&amp;$C158,"")</f>
        <v>공격력_7</v>
      </c>
      <c r="K158" s="49" t="str">
        <f>IF($D158&gt;=(K$2-1),VLOOKUP($I158,색인!$L$4:$R$11,K$2,FALSE)&amp;"_"&amp;$C158,"")</f>
        <v>공격속도_7</v>
      </c>
      <c r="L158" s="49" t="str">
        <f>IF($D158&gt;=(L$2-1),VLOOKUP($I158,색인!$L$4:$R$11,L$2,FALSE)&amp;"_"&amp;$C158,"")</f>
        <v/>
      </c>
      <c r="M158" s="49" t="str">
        <f>IF($D158&gt;=(M$2-1),VLOOKUP($I158,색인!$L$4:$R$11,M$2,FALSE)&amp;"_"&amp;$C158,"")</f>
        <v/>
      </c>
      <c r="N158" s="49" t="str">
        <f>IF(AND(C158&gt;=6,D158&gt;=4),VLOOKUP($I158,색인!$L$4:$R$11,N$2,FALSE)&amp;"_"&amp;$C158,"")</f>
        <v/>
      </c>
      <c r="O158" s="49" t="str">
        <f>IF(AND(C158&gt;=6,D158&gt;=4),VLOOKUP($I158,색인!$L$4:$R$11,O$2,FALSE)&amp;"_"&amp;$C158,"")</f>
        <v/>
      </c>
      <c r="P158" s="50" t="str">
        <f t="shared" si="21"/>
        <v>7221</v>
      </c>
      <c r="Q158" s="49">
        <f>VLOOKUP(옵션그룹계산1!J158,색인!$E$4:$F$99,2,FALSE)</f>
        <v>106</v>
      </c>
      <c r="R158" s="49">
        <f>_xlfn.IFNA(VLOOKUP(옵션그룹계산1!K158,색인!$E$4:$F$99,2,FALSE),"")</f>
        <v>1106</v>
      </c>
      <c r="S158" s="49" t="str">
        <f>_xlfn.IFNA(VLOOKUP(옵션그룹계산1!L158,색인!$E$4:$F$99,2,FALSE),"")</f>
        <v/>
      </c>
      <c r="T158" s="49" t="str">
        <f>_xlfn.IFNA(VLOOKUP(옵션그룹계산1!M158,색인!$E$4:$F$99,2,FALSE),"")</f>
        <v/>
      </c>
      <c r="U158" s="49" t="str">
        <f>_xlfn.IFNA(VLOOKUP(옵션그룹계산1!N158,색인!$E$4:$F$99,2,FALSE),"")</f>
        <v/>
      </c>
      <c r="V158" s="49" t="str">
        <f>_xlfn.IFNA(VLOOKUP(옵션그룹계산1!O158,색인!$E$4:$F$99,2,FALSE),"")</f>
        <v/>
      </c>
      <c r="W158" s="50">
        <f t="shared" si="22"/>
        <v>7</v>
      </c>
      <c r="X158" s="50">
        <f t="shared" si="23"/>
        <v>2</v>
      </c>
      <c r="Y158" s="50">
        <f t="shared" si="24"/>
        <v>2</v>
      </c>
      <c r="Z158" s="50">
        <f t="shared" si="25"/>
        <v>1</v>
      </c>
      <c r="AA158" s="48" t="str">
        <f t="shared" si="26"/>
        <v>T7_2옵션_보조장비_딜러</v>
      </c>
      <c r="AB158" s="50" t="str">
        <f t="shared" si="27"/>
        <v>7221</v>
      </c>
      <c r="AC158" s="49" t="str">
        <f t="shared" si="28"/>
        <v>T7_2옵션_보조장비_딜러 (Grade 3)</v>
      </c>
      <c r="AD158" s="48" t="str">
        <f t="shared" si="29"/>
        <v>106,1106</v>
      </c>
    </row>
    <row r="159" spans="3:30" x14ac:dyDescent="0.3">
      <c r="C159" s="51">
        <v>7</v>
      </c>
      <c r="D159" s="51">
        <v>2</v>
      </c>
      <c r="E159" s="51" t="s">
        <v>5399</v>
      </c>
      <c r="F159" s="51" t="s">
        <v>5395</v>
      </c>
      <c r="G159" s="50" t="str">
        <f>VLOOKUP(E159,옵션그룹계산1!$AF$4:$AH$7,3,FALSE)</f>
        <v xml:space="preserve"> </v>
      </c>
      <c r="H159" s="49" t="str">
        <f>VLOOKUP(D159,옵션그룹계산1!$AF$16:$AG$19,2,FALSE)</f>
        <v>(Grade 3)</v>
      </c>
      <c r="I159" s="50" t="str">
        <f t="shared" si="20"/>
        <v>보조장비_탱커</v>
      </c>
      <c r="J159" s="49" t="str">
        <f>IF($D159&gt;=(J$2-1),VLOOKUP($I159,색인!$L$4:$R$11,J$2,FALSE)&amp;"_"&amp;$C159,"")</f>
        <v>공격속도_7</v>
      </c>
      <c r="K159" s="49" t="str">
        <f>IF($D159&gt;=(K$2-1),VLOOKUP($I159,색인!$L$4:$R$11,K$2,FALSE)&amp;"_"&amp;$C159,"")</f>
        <v>마법블록_7</v>
      </c>
      <c r="L159" s="49" t="str">
        <f>IF($D159&gt;=(L$2-1),VLOOKUP($I159,색인!$L$4:$R$11,L$2,FALSE)&amp;"_"&amp;$C159,"")</f>
        <v/>
      </c>
      <c r="M159" s="49" t="str">
        <f>IF($D159&gt;=(M$2-1),VLOOKUP($I159,색인!$L$4:$R$11,M$2,FALSE)&amp;"_"&amp;$C159,"")</f>
        <v/>
      </c>
      <c r="N159" s="49" t="str">
        <f>IF(AND(C159&gt;=6,D159&gt;=4),VLOOKUP($I159,색인!$L$4:$R$11,N$2,FALSE)&amp;"_"&amp;$C159,"")</f>
        <v/>
      </c>
      <c r="O159" s="49" t="str">
        <f>IF(AND(C159&gt;=6,D159&gt;=4),VLOOKUP($I159,색인!$L$4:$R$11,O$2,FALSE)&amp;"_"&amp;$C159,"")</f>
        <v/>
      </c>
      <c r="P159" s="50" t="str">
        <f t="shared" si="21"/>
        <v>7222</v>
      </c>
      <c r="Q159" s="49">
        <f>VLOOKUP(옵션그룹계산1!J159,색인!$E$4:$F$99,2,FALSE)</f>
        <v>1106</v>
      </c>
      <c r="R159" s="49">
        <f>_xlfn.IFNA(VLOOKUP(옵션그룹계산1!K159,색인!$E$4:$F$99,2,FALSE),"")</f>
        <v>1906</v>
      </c>
      <c r="S159" s="49" t="str">
        <f>_xlfn.IFNA(VLOOKUP(옵션그룹계산1!L159,색인!$E$4:$F$99,2,FALSE),"")</f>
        <v/>
      </c>
      <c r="T159" s="49" t="str">
        <f>_xlfn.IFNA(VLOOKUP(옵션그룹계산1!M159,색인!$E$4:$F$99,2,FALSE),"")</f>
        <v/>
      </c>
      <c r="U159" s="49" t="str">
        <f>_xlfn.IFNA(VLOOKUP(옵션그룹계산1!N159,색인!$E$4:$F$99,2,FALSE),"")</f>
        <v/>
      </c>
      <c r="V159" s="49" t="str">
        <f>_xlfn.IFNA(VLOOKUP(옵션그룹계산1!O159,색인!$E$4:$F$99,2,FALSE),"")</f>
        <v/>
      </c>
      <c r="W159" s="50">
        <f t="shared" si="22"/>
        <v>7</v>
      </c>
      <c r="X159" s="50">
        <f t="shared" si="23"/>
        <v>2</v>
      </c>
      <c r="Y159" s="50">
        <f t="shared" si="24"/>
        <v>2</v>
      </c>
      <c r="Z159" s="50">
        <f t="shared" si="25"/>
        <v>2</v>
      </c>
      <c r="AA159" s="48" t="str">
        <f t="shared" si="26"/>
        <v>T7_2옵션_보조장비_탱커</v>
      </c>
      <c r="AB159" s="50" t="str">
        <f t="shared" si="27"/>
        <v>7222</v>
      </c>
      <c r="AC159" s="49" t="str">
        <f t="shared" si="28"/>
        <v>T7_2옵션_보조장비_탱커 (Grade 3)</v>
      </c>
      <c r="AD159" s="48" t="str">
        <f t="shared" si="29"/>
        <v>1106,1906</v>
      </c>
    </row>
    <row r="160" spans="3:30" x14ac:dyDescent="0.3">
      <c r="C160" s="51">
        <v>7</v>
      </c>
      <c r="D160" s="51">
        <v>2</v>
      </c>
      <c r="E160" s="51" t="s">
        <v>5398</v>
      </c>
      <c r="F160" s="51" t="s">
        <v>5397</v>
      </c>
      <c r="G160" s="50" t="str">
        <f>VLOOKUP(E160,옵션그룹계산1!$AF$4:$AH$7,3,FALSE)</f>
        <v xml:space="preserve">    </v>
      </c>
      <c r="H160" s="49" t="str">
        <f>VLOOKUP(D160,옵션그룹계산1!$AF$16:$AG$19,2,FALSE)</f>
        <v>(Grade 3)</v>
      </c>
      <c r="I160" s="50" t="str">
        <f t="shared" si="20"/>
        <v>장신구_딜러</v>
      </c>
      <c r="J160" s="49" t="str">
        <f>IF($D160&gt;=(J$2-1),VLOOKUP($I160,색인!$L$4:$R$11,J$2,FALSE)&amp;"_"&amp;$C160,"")</f>
        <v>공격력_7</v>
      </c>
      <c r="K160" s="49" t="str">
        <f>IF($D160&gt;=(K$2-1),VLOOKUP($I160,색인!$L$4:$R$11,K$2,FALSE)&amp;"_"&amp;$C160,"")</f>
        <v>공격속도_7</v>
      </c>
      <c r="L160" s="49" t="str">
        <f>IF($D160&gt;=(L$2-1),VLOOKUP($I160,색인!$L$4:$R$11,L$2,FALSE)&amp;"_"&amp;$C160,"")</f>
        <v/>
      </c>
      <c r="M160" s="49" t="str">
        <f>IF($D160&gt;=(M$2-1),VLOOKUP($I160,색인!$L$4:$R$11,M$2,FALSE)&amp;"_"&amp;$C160,"")</f>
        <v/>
      </c>
      <c r="N160" s="49" t="str">
        <f>IF(AND(C160&gt;=6,D160&gt;=4),VLOOKUP($I160,색인!$L$4:$R$11,N$2,FALSE)&amp;"_"&amp;$C160,"")</f>
        <v/>
      </c>
      <c r="O160" s="49" t="str">
        <f>IF(AND(C160&gt;=6,D160&gt;=4),VLOOKUP($I160,색인!$L$4:$R$11,O$2,FALSE)&amp;"_"&amp;$C160,"")</f>
        <v/>
      </c>
      <c r="P160" s="50" t="str">
        <f t="shared" si="21"/>
        <v>7231</v>
      </c>
      <c r="Q160" s="49">
        <f>VLOOKUP(옵션그룹계산1!J160,색인!$E$4:$F$99,2,FALSE)</f>
        <v>106</v>
      </c>
      <c r="R160" s="49">
        <f>_xlfn.IFNA(VLOOKUP(옵션그룹계산1!K160,색인!$E$4:$F$99,2,FALSE),"")</f>
        <v>1106</v>
      </c>
      <c r="S160" s="49" t="str">
        <f>_xlfn.IFNA(VLOOKUP(옵션그룹계산1!L160,색인!$E$4:$F$99,2,FALSE),"")</f>
        <v/>
      </c>
      <c r="T160" s="49" t="str">
        <f>_xlfn.IFNA(VLOOKUP(옵션그룹계산1!M160,색인!$E$4:$F$99,2,FALSE),"")</f>
        <v/>
      </c>
      <c r="U160" s="49" t="str">
        <f>_xlfn.IFNA(VLOOKUP(옵션그룹계산1!N160,색인!$E$4:$F$99,2,FALSE),"")</f>
        <v/>
      </c>
      <c r="V160" s="49" t="str">
        <f>_xlfn.IFNA(VLOOKUP(옵션그룹계산1!O160,색인!$E$4:$F$99,2,FALSE),"")</f>
        <v/>
      </c>
      <c r="W160" s="50">
        <f t="shared" si="22"/>
        <v>7</v>
      </c>
      <c r="X160" s="50">
        <f t="shared" si="23"/>
        <v>2</v>
      </c>
      <c r="Y160" s="50">
        <f t="shared" si="24"/>
        <v>3</v>
      </c>
      <c r="Z160" s="50">
        <f t="shared" si="25"/>
        <v>1</v>
      </c>
      <c r="AA160" s="48" t="str">
        <f t="shared" si="26"/>
        <v>T7_2옵션_장신구_딜러</v>
      </c>
      <c r="AB160" s="50" t="str">
        <f t="shared" si="27"/>
        <v>7231</v>
      </c>
      <c r="AC160" s="49" t="str">
        <f t="shared" si="28"/>
        <v>T7_2옵션_장신구_딜러    (Grade 3)</v>
      </c>
      <c r="AD160" s="48" t="str">
        <f t="shared" si="29"/>
        <v>106,1106</v>
      </c>
    </row>
    <row r="161" spans="3:30" x14ac:dyDescent="0.3">
      <c r="C161" s="51">
        <v>7</v>
      </c>
      <c r="D161" s="51">
        <v>2</v>
      </c>
      <c r="E161" s="51" t="s">
        <v>5398</v>
      </c>
      <c r="F161" s="51" t="s">
        <v>5395</v>
      </c>
      <c r="G161" s="50" t="str">
        <f>VLOOKUP(E161,옵션그룹계산1!$AF$4:$AH$7,3,FALSE)</f>
        <v xml:space="preserve">    </v>
      </c>
      <c r="H161" s="49" t="str">
        <f>VLOOKUP(D161,옵션그룹계산1!$AF$16:$AG$19,2,FALSE)</f>
        <v>(Grade 3)</v>
      </c>
      <c r="I161" s="50" t="str">
        <f t="shared" si="20"/>
        <v>장신구_탱커</v>
      </c>
      <c r="J161" s="49" t="str">
        <f>IF($D161&gt;=(J$2-1),VLOOKUP($I161,색인!$L$4:$R$11,J$2,FALSE)&amp;"_"&amp;$C161,"")</f>
        <v>체력_7</v>
      </c>
      <c r="K161" s="49" t="str">
        <f>IF($D161&gt;=(K$2-1),VLOOKUP($I161,색인!$L$4:$R$11,K$2,FALSE)&amp;"_"&amp;$C161,"")</f>
        <v>물리블록_7</v>
      </c>
      <c r="L161" s="49" t="str">
        <f>IF($D161&gt;=(L$2-1),VLOOKUP($I161,색인!$L$4:$R$11,L$2,FALSE)&amp;"_"&amp;$C161,"")</f>
        <v/>
      </c>
      <c r="M161" s="49" t="str">
        <f>IF($D161&gt;=(M$2-1),VLOOKUP($I161,색인!$L$4:$R$11,M$2,FALSE)&amp;"_"&amp;$C161,"")</f>
        <v/>
      </c>
      <c r="N161" s="49" t="str">
        <f>IF(AND(C161&gt;=6,D161&gt;=4),VLOOKUP($I161,색인!$L$4:$R$11,N$2,FALSE)&amp;"_"&amp;$C161,"")</f>
        <v/>
      </c>
      <c r="O161" s="49" t="str">
        <f>IF(AND(C161&gt;=6,D161&gt;=4),VLOOKUP($I161,색인!$L$4:$R$11,O$2,FALSE)&amp;"_"&amp;$C161,"")</f>
        <v/>
      </c>
      <c r="P161" s="50" t="str">
        <f t="shared" si="21"/>
        <v>7232</v>
      </c>
      <c r="Q161" s="49">
        <f>VLOOKUP(옵션그룹계산1!J161,색인!$E$4:$F$99,2,FALSE)</f>
        <v>206</v>
      </c>
      <c r="R161" s="49">
        <f>_xlfn.IFNA(VLOOKUP(옵션그룹계산1!K161,색인!$E$4:$F$99,2,FALSE),"")</f>
        <v>906</v>
      </c>
      <c r="S161" s="49" t="str">
        <f>_xlfn.IFNA(VLOOKUP(옵션그룹계산1!L161,색인!$E$4:$F$99,2,FALSE),"")</f>
        <v/>
      </c>
      <c r="T161" s="49" t="str">
        <f>_xlfn.IFNA(VLOOKUP(옵션그룹계산1!M161,색인!$E$4:$F$99,2,FALSE),"")</f>
        <v/>
      </c>
      <c r="U161" s="49" t="str">
        <f>_xlfn.IFNA(VLOOKUP(옵션그룹계산1!N161,색인!$E$4:$F$99,2,FALSE),"")</f>
        <v/>
      </c>
      <c r="V161" s="49" t="str">
        <f>_xlfn.IFNA(VLOOKUP(옵션그룹계산1!O161,색인!$E$4:$F$99,2,FALSE),"")</f>
        <v/>
      </c>
      <c r="W161" s="50">
        <f t="shared" si="22"/>
        <v>7</v>
      </c>
      <c r="X161" s="50">
        <f t="shared" si="23"/>
        <v>2</v>
      </c>
      <c r="Y161" s="50">
        <f t="shared" si="24"/>
        <v>3</v>
      </c>
      <c r="Z161" s="50">
        <f t="shared" si="25"/>
        <v>2</v>
      </c>
      <c r="AA161" s="48" t="str">
        <f t="shared" si="26"/>
        <v>T7_2옵션_장신구_탱커</v>
      </c>
      <c r="AB161" s="50" t="str">
        <f t="shared" si="27"/>
        <v>7232</v>
      </c>
      <c r="AC161" s="49" t="str">
        <f t="shared" si="28"/>
        <v>T7_2옵션_장신구_탱커    (Grade 3)</v>
      </c>
      <c r="AD161" s="48" t="str">
        <f t="shared" si="29"/>
        <v>206,906</v>
      </c>
    </row>
    <row r="162" spans="3:30" x14ac:dyDescent="0.3">
      <c r="C162" s="51">
        <v>7</v>
      </c>
      <c r="D162" s="51">
        <v>2</v>
      </c>
      <c r="E162" s="51" t="s">
        <v>5396</v>
      </c>
      <c r="F162" s="51" t="s">
        <v>5397</v>
      </c>
      <c r="G162" s="50" t="str">
        <f>VLOOKUP(E162,옵션그룹계산1!$AF$4:$AH$7,3,FALSE)</f>
        <v xml:space="preserve">       </v>
      </c>
      <c r="H162" s="49" t="str">
        <f>VLOOKUP(D162,옵션그룹계산1!$AF$16:$AG$19,2,FALSE)</f>
        <v>(Grade 3)</v>
      </c>
      <c r="I162" s="50" t="str">
        <f t="shared" si="20"/>
        <v>보주_딜러</v>
      </c>
      <c r="J162" s="49" t="str">
        <f>IF($D162&gt;=(J$2-1),VLOOKUP($I162,색인!$L$4:$R$11,J$2,FALSE)&amp;"_"&amp;$C162,"")</f>
        <v>공격력_7</v>
      </c>
      <c r="K162" s="49" t="str">
        <f>IF($D162&gt;=(K$2-1),VLOOKUP($I162,색인!$L$4:$R$11,K$2,FALSE)&amp;"_"&amp;$C162,"")</f>
        <v>공격속도_7</v>
      </c>
      <c r="L162" s="49" t="str">
        <f>IF($D162&gt;=(L$2-1),VLOOKUP($I162,색인!$L$4:$R$11,L$2,FALSE)&amp;"_"&amp;$C162,"")</f>
        <v/>
      </c>
      <c r="M162" s="49" t="str">
        <f>IF($D162&gt;=(M$2-1),VLOOKUP($I162,색인!$L$4:$R$11,M$2,FALSE)&amp;"_"&amp;$C162,"")</f>
        <v/>
      </c>
      <c r="N162" s="49" t="str">
        <f>IF(AND(C162&gt;=6,D162&gt;=4),VLOOKUP($I162,색인!$L$4:$R$11,N$2,FALSE)&amp;"_"&amp;$C162,"")</f>
        <v/>
      </c>
      <c r="O162" s="49" t="str">
        <f>IF(AND(C162&gt;=6,D162&gt;=4),VLOOKUP($I162,색인!$L$4:$R$11,O$2,FALSE)&amp;"_"&amp;$C162,"")</f>
        <v/>
      </c>
      <c r="P162" s="50" t="str">
        <f t="shared" si="21"/>
        <v>7241</v>
      </c>
      <c r="Q162" s="49">
        <f>VLOOKUP(옵션그룹계산1!J162,색인!$E$4:$F$99,2,FALSE)</f>
        <v>106</v>
      </c>
      <c r="R162" s="49">
        <f>_xlfn.IFNA(VLOOKUP(옵션그룹계산1!K162,색인!$E$4:$F$99,2,FALSE),"")</f>
        <v>1106</v>
      </c>
      <c r="S162" s="49" t="str">
        <f>_xlfn.IFNA(VLOOKUP(옵션그룹계산1!L162,색인!$E$4:$F$99,2,FALSE),"")</f>
        <v/>
      </c>
      <c r="T162" s="49" t="str">
        <f>_xlfn.IFNA(VLOOKUP(옵션그룹계산1!M162,색인!$E$4:$F$99,2,FALSE),"")</f>
        <v/>
      </c>
      <c r="U162" s="49" t="str">
        <f>_xlfn.IFNA(VLOOKUP(옵션그룹계산1!N162,색인!$E$4:$F$99,2,FALSE),"")</f>
        <v/>
      </c>
      <c r="V162" s="49" t="str">
        <f>_xlfn.IFNA(VLOOKUP(옵션그룹계산1!O162,색인!$E$4:$F$99,2,FALSE),"")</f>
        <v/>
      </c>
      <c r="W162" s="50">
        <f t="shared" si="22"/>
        <v>7</v>
      </c>
      <c r="X162" s="50">
        <f t="shared" si="23"/>
        <v>2</v>
      </c>
      <c r="Y162" s="50">
        <f t="shared" si="24"/>
        <v>4</v>
      </c>
      <c r="Z162" s="50">
        <f t="shared" si="25"/>
        <v>1</v>
      </c>
      <c r="AA162" s="48" t="str">
        <f t="shared" si="26"/>
        <v>T7_2옵션_보주_딜러</v>
      </c>
      <c r="AB162" s="50" t="str">
        <f t="shared" si="27"/>
        <v>7241</v>
      </c>
      <c r="AC162" s="49" t="str">
        <f t="shared" si="28"/>
        <v>T7_2옵션_보주_딜러       (Grade 3)</v>
      </c>
      <c r="AD162" s="48" t="str">
        <f t="shared" si="29"/>
        <v>106,1106</v>
      </c>
    </row>
    <row r="163" spans="3:30" x14ac:dyDescent="0.3">
      <c r="C163" s="51">
        <v>7</v>
      </c>
      <c r="D163" s="51">
        <v>2</v>
      </c>
      <c r="E163" s="51" t="s">
        <v>5396</v>
      </c>
      <c r="F163" s="51" t="s">
        <v>5395</v>
      </c>
      <c r="G163" s="50" t="str">
        <f>VLOOKUP(E163,옵션그룹계산1!$AF$4:$AH$7,3,FALSE)</f>
        <v xml:space="preserve">       </v>
      </c>
      <c r="H163" s="49" t="str">
        <f>VLOOKUP(D163,옵션그룹계산1!$AF$16:$AG$19,2,FALSE)</f>
        <v>(Grade 3)</v>
      </c>
      <c r="I163" s="50" t="str">
        <f t="shared" si="20"/>
        <v>보주_탱커</v>
      </c>
      <c r="J163" s="49" t="str">
        <f>IF($D163&gt;=(J$2-1),VLOOKUP($I163,색인!$L$4:$R$11,J$2,FALSE)&amp;"_"&amp;$C163,"")</f>
        <v>체력_7</v>
      </c>
      <c r="K163" s="49" t="str">
        <f>IF($D163&gt;=(K$2-1),VLOOKUP($I163,색인!$L$4:$R$11,K$2,FALSE)&amp;"_"&amp;$C163,"")</f>
        <v>물리블록_7</v>
      </c>
      <c r="L163" s="49" t="str">
        <f>IF($D163&gt;=(L$2-1),VLOOKUP($I163,색인!$L$4:$R$11,L$2,FALSE)&amp;"_"&amp;$C163,"")</f>
        <v/>
      </c>
      <c r="M163" s="49" t="str">
        <f>IF($D163&gt;=(M$2-1),VLOOKUP($I163,색인!$L$4:$R$11,M$2,FALSE)&amp;"_"&amp;$C163,"")</f>
        <v/>
      </c>
      <c r="N163" s="49" t="str">
        <f>IF(AND(C163&gt;=6,D163&gt;=4),VLOOKUP($I163,색인!$L$4:$R$11,N$2,FALSE)&amp;"_"&amp;$C163,"")</f>
        <v/>
      </c>
      <c r="O163" s="49" t="str">
        <f>IF(AND(C163&gt;=6,D163&gt;=4),VLOOKUP($I163,색인!$L$4:$R$11,O$2,FALSE)&amp;"_"&amp;$C163,"")</f>
        <v/>
      </c>
      <c r="P163" s="50" t="str">
        <f t="shared" si="21"/>
        <v>7242</v>
      </c>
      <c r="Q163" s="49">
        <f>VLOOKUP(옵션그룹계산1!J163,색인!$E$4:$F$99,2,FALSE)</f>
        <v>206</v>
      </c>
      <c r="R163" s="49">
        <f>_xlfn.IFNA(VLOOKUP(옵션그룹계산1!K163,색인!$E$4:$F$99,2,FALSE),"")</f>
        <v>906</v>
      </c>
      <c r="S163" s="49" t="str">
        <f>_xlfn.IFNA(VLOOKUP(옵션그룹계산1!L163,색인!$E$4:$F$99,2,FALSE),"")</f>
        <v/>
      </c>
      <c r="T163" s="49" t="str">
        <f>_xlfn.IFNA(VLOOKUP(옵션그룹계산1!M163,색인!$E$4:$F$99,2,FALSE),"")</f>
        <v/>
      </c>
      <c r="U163" s="49" t="str">
        <f>_xlfn.IFNA(VLOOKUP(옵션그룹계산1!N163,색인!$E$4:$F$99,2,FALSE),"")</f>
        <v/>
      </c>
      <c r="V163" s="49" t="str">
        <f>_xlfn.IFNA(VLOOKUP(옵션그룹계산1!O163,색인!$E$4:$F$99,2,FALSE),"")</f>
        <v/>
      </c>
      <c r="W163" s="50">
        <f t="shared" si="22"/>
        <v>7</v>
      </c>
      <c r="X163" s="50">
        <f t="shared" si="23"/>
        <v>2</v>
      </c>
      <c r="Y163" s="50">
        <f t="shared" si="24"/>
        <v>4</v>
      </c>
      <c r="Z163" s="50">
        <f t="shared" si="25"/>
        <v>2</v>
      </c>
      <c r="AA163" s="48" t="str">
        <f t="shared" si="26"/>
        <v>T7_2옵션_보주_탱커</v>
      </c>
      <c r="AB163" s="50" t="str">
        <f t="shared" si="27"/>
        <v>7242</v>
      </c>
      <c r="AC163" s="49" t="str">
        <f t="shared" si="28"/>
        <v>T7_2옵션_보주_탱커       (Grade 3)</v>
      </c>
      <c r="AD163" s="48" t="str">
        <f t="shared" si="29"/>
        <v>206,906</v>
      </c>
    </row>
    <row r="164" spans="3:30" x14ac:dyDescent="0.3">
      <c r="C164" s="51">
        <v>7</v>
      </c>
      <c r="D164" s="51">
        <v>3</v>
      </c>
      <c r="E164" s="51" t="s">
        <v>5400</v>
      </c>
      <c r="F164" s="51" t="s">
        <v>5397</v>
      </c>
      <c r="G164" s="50" t="str">
        <f>VLOOKUP(E164,옵션그룹계산1!$AF$4:$AH$7,3,FALSE)</f>
        <v xml:space="preserve">    </v>
      </c>
      <c r="H164" s="49" t="str">
        <f>VLOOKUP(D164,옵션그룹계산1!$AF$16:$AG$19,2,FALSE)</f>
        <v>(Grade 4~5)</v>
      </c>
      <c r="I164" s="50" t="str">
        <f t="shared" si="20"/>
        <v>방어구_딜러</v>
      </c>
      <c r="J164" s="49" t="str">
        <f>IF($D164&gt;=(J$2-1),VLOOKUP($I164,색인!$L$4:$R$11,J$2,FALSE)&amp;"_"&amp;$C164,"")</f>
        <v>공격력_7</v>
      </c>
      <c r="K164" s="49" t="str">
        <f>IF($D164&gt;=(K$2-1),VLOOKUP($I164,색인!$L$4:$R$11,K$2,FALSE)&amp;"_"&amp;$C164,"")</f>
        <v>공격속도_7</v>
      </c>
      <c r="L164" s="49" t="str">
        <f>IF($D164&gt;=(L$2-1),VLOOKUP($I164,색인!$L$4:$R$11,L$2,FALSE)&amp;"_"&amp;$C164,"")</f>
        <v>치명타확률_7</v>
      </c>
      <c r="M164" s="49" t="str">
        <f>IF($D164&gt;=(M$2-1),VLOOKUP($I164,색인!$L$4:$R$11,M$2,FALSE)&amp;"_"&amp;$C164,"")</f>
        <v/>
      </c>
      <c r="N164" s="49" t="str">
        <f>IF(AND(C164&gt;=6,D164&gt;=4),VLOOKUP($I164,색인!$L$4:$R$11,N$2,FALSE)&amp;"_"&amp;$C164,"")</f>
        <v/>
      </c>
      <c r="O164" s="49" t="str">
        <f>IF(AND(C164&gt;=6,D164&gt;=4),VLOOKUP($I164,색인!$L$4:$R$11,O$2,FALSE)&amp;"_"&amp;$C164,"")</f>
        <v/>
      </c>
      <c r="P164" s="50" t="str">
        <f t="shared" si="21"/>
        <v>7311</v>
      </c>
      <c r="Q164" s="49">
        <f>VLOOKUP(옵션그룹계산1!J164,색인!$E$4:$F$99,2,FALSE)</f>
        <v>106</v>
      </c>
      <c r="R164" s="49">
        <f>_xlfn.IFNA(VLOOKUP(옵션그룹계산1!K164,색인!$E$4:$F$99,2,FALSE),"")</f>
        <v>1106</v>
      </c>
      <c r="S164" s="49">
        <f>_xlfn.IFNA(VLOOKUP(옵션그룹계산1!L164,색인!$E$4:$F$99,2,FALSE),"")</f>
        <v>506</v>
      </c>
      <c r="T164" s="49" t="str">
        <f>_xlfn.IFNA(VLOOKUP(옵션그룹계산1!M164,색인!$E$4:$F$99,2,FALSE),"")</f>
        <v/>
      </c>
      <c r="U164" s="49" t="str">
        <f>_xlfn.IFNA(VLOOKUP(옵션그룹계산1!N164,색인!$E$4:$F$99,2,FALSE),"")</f>
        <v/>
      </c>
      <c r="V164" s="49" t="str">
        <f>_xlfn.IFNA(VLOOKUP(옵션그룹계산1!O164,색인!$E$4:$F$99,2,FALSE),"")</f>
        <v/>
      </c>
      <c r="W164" s="50">
        <f t="shared" si="22"/>
        <v>7</v>
      </c>
      <c r="X164" s="50">
        <f t="shared" si="23"/>
        <v>3</v>
      </c>
      <c r="Y164" s="50">
        <f t="shared" si="24"/>
        <v>1</v>
      </c>
      <c r="Z164" s="50">
        <f t="shared" si="25"/>
        <v>1</v>
      </c>
      <c r="AA164" s="48" t="str">
        <f t="shared" si="26"/>
        <v>T7_3옵션_방어구_딜러</v>
      </c>
      <c r="AB164" s="50" t="str">
        <f t="shared" si="27"/>
        <v>7311</v>
      </c>
      <c r="AC164" s="49" t="str">
        <f t="shared" si="28"/>
        <v>T7_3옵션_방어구_딜러    (Grade 4~5)</v>
      </c>
      <c r="AD164" s="48" t="str">
        <f t="shared" si="29"/>
        <v>106,1106,506</v>
      </c>
    </row>
    <row r="165" spans="3:30" x14ac:dyDescent="0.3">
      <c r="C165" s="51">
        <v>7</v>
      </c>
      <c r="D165" s="51">
        <v>3</v>
      </c>
      <c r="E165" s="51" t="s">
        <v>5400</v>
      </c>
      <c r="F165" s="51" t="s">
        <v>5395</v>
      </c>
      <c r="G165" s="50" t="str">
        <f>VLOOKUP(E165,옵션그룹계산1!$AF$4:$AH$7,3,FALSE)</f>
        <v xml:space="preserve">    </v>
      </c>
      <c r="H165" s="49" t="str">
        <f>VLOOKUP(D165,옵션그룹계산1!$AF$16:$AG$19,2,FALSE)</f>
        <v>(Grade 4~5)</v>
      </c>
      <c r="I165" s="50" t="str">
        <f t="shared" si="20"/>
        <v>방어구_탱커</v>
      </c>
      <c r="J165" s="49" t="str">
        <f>IF($D165&gt;=(J$2-1),VLOOKUP($I165,색인!$L$4:$R$11,J$2,FALSE)&amp;"_"&amp;$C165,"")</f>
        <v>공격속도_7</v>
      </c>
      <c r="K165" s="49" t="str">
        <f>IF($D165&gt;=(K$2-1),VLOOKUP($I165,색인!$L$4:$R$11,K$2,FALSE)&amp;"_"&amp;$C165,"")</f>
        <v>물리블록_7</v>
      </c>
      <c r="L165" s="49" t="str">
        <f>IF($D165&gt;=(L$2-1),VLOOKUP($I165,색인!$L$4:$R$11,L$2,FALSE)&amp;"_"&amp;$C165,"")</f>
        <v>물리방어력_7</v>
      </c>
      <c r="M165" s="49" t="str">
        <f>IF($D165&gt;=(M$2-1),VLOOKUP($I165,색인!$L$4:$R$11,M$2,FALSE)&amp;"_"&amp;$C165,"")</f>
        <v/>
      </c>
      <c r="N165" s="49" t="str">
        <f>IF(AND(C165&gt;=6,D165&gt;=4),VLOOKUP($I165,색인!$L$4:$R$11,N$2,FALSE)&amp;"_"&amp;$C165,"")</f>
        <v/>
      </c>
      <c r="O165" s="49" t="str">
        <f>IF(AND(C165&gt;=6,D165&gt;=4),VLOOKUP($I165,색인!$L$4:$R$11,O$2,FALSE)&amp;"_"&amp;$C165,"")</f>
        <v/>
      </c>
      <c r="P165" s="50" t="str">
        <f t="shared" si="21"/>
        <v>7312</v>
      </c>
      <c r="Q165" s="49">
        <f>VLOOKUP(옵션그룹계산1!J165,색인!$E$4:$F$99,2,FALSE)</f>
        <v>1106</v>
      </c>
      <c r="R165" s="49">
        <f>_xlfn.IFNA(VLOOKUP(옵션그룹계산1!K165,색인!$E$4:$F$99,2,FALSE),"")</f>
        <v>906</v>
      </c>
      <c r="S165" s="49">
        <f>_xlfn.IFNA(VLOOKUP(옵션그룹계산1!L165,색인!$E$4:$F$99,2,FALSE),"")</f>
        <v>306</v>
      </c>
      <c r="T165" s="49" t="str">
        <f>_xlfn.IFNA(VLOOKUP(옵션그룹계산1!M165,색인!$E$4:$F$99,2,FALSE),"")</f>
        <v/>
      </c>
      <c r="U165" s="49" t="str">
        <f>_xlfn.IFNA(VLOOKUP(옵션그룹계산1!N165,색인!$E$4:$F$99,2,FALSE),"")</f>
        <v/>
      </c>
      <c r="V165" s="49" t="str">
        <f>_xlfn.IFNA(VLOOKUP(옵션그룹계산1!O165,색인!$E$4:$F$99,2,FALSE),"")</f>
        <v/>
      </c>
      <c r="W165" s="50">
        <f t="shared" si="22"/>
        <v>7</v>
      </c>
      <c r="X165" s="50">
        <f t="shared" si="23"/>
        <v>3</v>
      </c>
      <c r="Y165" s="50">
        <f t="shared" si="24"/>
        <v>1</v>
      </c>
      <c r="Z165" s="50">
        <f t="shared" si="25"/>
        <v>2</v>
      </c>
      <c r="AA165" s="48" t="str">
        <f t="shared" si="26"/>
        <v>T7_3옵션_방어구_탱커</v>
      </c>
      <c r="AB165" s="50" t="str">
        <f t="shared" si="27"/>
        <v>7312</v>
      </c>
      <c r="AC165" s="49" t="str">
        <f t="shared" si="28"/>
        <v>T7_3옵션_방어구_탱커    (Grade 4~5)</v>
      </c>
      <c r="AD165" s="48" t="str">
        <f t="shared" si="29"/>
        <v>1106,906,306</v>
      </c>
    </row>
    <row r="166" spans="3:30" x14ac:dyDescent="0.3">
      <c r="C166" s="51">
        <v>7</v>
      </c>
      <c r="D166" s="51">
        <v>3</v>
      </c>
      <c r="E166" s="51" t="s">
        <v>5399</v>
      </c>
      <c r="F166" s="51" t="s">
        <v>5397</v>
      </c>
      <c r="G166" s="50" t="str">
        <f>VLOOKUP(E166,옵션그룹계산1!$AF$4:$AH$7,3,FALSE)</f>
        <v xml:space="preserve"> </v>
      </c>
      <c r="H166" s="49" t="str">
        <f>VLOOKUP(D166,옵션그룹계산1!$AF$16:$AG$19,2,FALSE)</f>
        <v>(Grade 4~5)</v>
      </c>
      <c r="I166" s="50" t="str">
        <f t="shared" si="20"/>
        <v>보조장비_딜러</v>
      </c>
      <c r="J166" s="49" t="str">
        <f>IF($D166&gt;=(J$2-1),VLOOKUP($I166,색인!$L$4:$R$11,J$2,FALSE)&amp;"_"&amp;$C166,"")</f>
        <v>공격력_7</v>
      </c>
      <c r="K166" s="49" t="str">
        <f>IF($D166&gt;=(K$2-1),VLOOKUP($I166,색인!$L$4:$R$11,K$2,FALSE)&amp;"_"&amp;$C166,"")</f>
        <v>공격속도_7</v>
      </c>
      <c r="L166" s="49" t="str">
        <f>IF($D166&gt;=(L$2-1),VLOOKUP($I166,색인!$L$4:$R$11,L$2,FALSE)&amp;"_"&amp;$C166,"")</f>
        <v>치명타확률_7</v>
      </c>
      <c r="M166" s="49" t="str">
        <f>IF($D166&gt;=(M$2-1),VLOOKUP($I166,색인!$L$4:$R$11,M$2,FALSE)&amp;"_"&amp;$C166,"")</f>
        <v/>
      </c>
      <c r="N166" s="49" t="str">
        <f>IF(AND(C166&gt;=6,D166&gt;=4),VLOOKUP($I166,색인!$L$4:$R$11,N$2,FALSE)&amp;"_"&amp;$C166,"")</f>
        <v/>
      </c>
      <c r="O166" s="49" t="str">
        <f>IF(AND(C166&gt;=6,D166&gt;=4),VLOOKUP($I166,색인!$L$4:$R$11,O$2,FALSE)&amp;"_"&amp;$C166,"")</f>
        <v/>
      </c>
      <c r="P166" s="50" t="str">
        <f t="shared" si="21"/>
        <v>7321</v>
      </c>
      <c r="Q166" s="49">
        <f>VLOOKUP(옵션그룹계산1!J166,색인!$E$4:$F$99,2,FALSE)</f>
        <v>106</v>
      </c>
      <c r="R166" s="49">
        <f>_xlfn.IFNA(VLOOKUP(옵션그룹계산1!K166,색인!$E$4:$F$99,2,FALSE),"")</f>
        <v>1106</v>
      </c>
      <c r="S166" s="49">
        <f>_xlfn.IFNA(VLOOKUP(옵션그룹계산1!L166,색인!$E$4:$F$99,2,FALSE),"")</f>
        <v>506</v>
      </c>
      <c r="T166" s="49" t="str">
        <f>_xlfn.IFNA(VLOOKUP(옵션그룹계산1!M166,색인!$E$4:$F$99,2,FALSE),"")</f>
        <v/>
      </c>
      <c r="U166" s="49" t="str">
        <f>_xlfn.IFNA(VLOOKUP(옵션그룹계산1!N166,색인!$E$4:$F$99,2,FALSE),"")</f>
        <v/>
      </c>
      <c r="V166" s="49" t="str">
        <f>_xlfn.IFNA(VLOOKUP(옵션그룹계산1!O166,색인!$E$4:$F$99,2,FALSE),"")</f>
        <v/>
      </c>
      <c r="W166" s="50">
        <f t="shared" si="22"/>
        <v>7</v>
      </c>
      <c r="X166" s="50">
        <f t="shared" si="23"/>
        <v>3</v>
      </c>
      <c r="Y166" s="50">
        <f t="shared" si="24"/>
        <v>2</v>
      </c>
      <c r="Z166" s="50">
        <f t="shared" si="25"/>
        <v>1</v>
      </c>
      <c r="AA166" s="48" t="str">
        <f t="shared" si="26"/>
        <v>T7_3옵션_보조장비_딜러</v>
      </c>
      <c r="AB166" s="50" t="str">
        <f t="shared" si="27"/>
        <v>7321</v>
      </c>
      <c r="AC166" s="49" t="str">
        <f t="shared" si="28"/>
        <v>T7_3옵션_보조장비_딜러 (Grade 4~5)</v>
      </c>
      <c r="AD166" s="48" t="str">
        <f t="shared" si="29"/>
        <v>106,1106,506</v>
      </c>
    </row>
    <row r="167" spans="3:30" x14ac:dyDescent="0.3">
      <c r="C167" s="51">
        <v>7</v>
      </c>
      <c r="D167" s="51">
        <v>3</v>
      </c>
      <c r="E167" s="51" t="s">
        <v>5399</v>
      </c>
      <c r="F167" s="51" t="s">
        <v>5395</v>
      </c>
      <c r="G167" s="50" t="str">
        <f>VLOOKUP(E167,옵션그룹계산1!$AF$4:$AH$7,3,FALSE)</f>
        <v xml:space="preserve"> </v>
      </c>
      <c r="H167" s="49" t="str">
        <f>VLOOKUP(D167,옵션그룹계산1!$AF$16:$AG$19,2,FALSE)</f>
        <v>(Grade 4~5)</v>
      </c>
      <c r="I167" s="50" t="str">
        <f t="shared" si="20"/>
        <v>보조장비_탱커</v>
      </c>
      <c r="J167" s="49" t="str">
        <f>IF($D167&gt;=(J$2-1),VLOOKUP($I167,색인!$L$4:$R$11,J$2,FALSE)&amp;"_"&amp;$C167,"")</f>
        <v>공격속도_7</v>
      </c>
      <c r="K167" s="49" t="str">
        <f>IF($D167&gt;=(K$2-1),VLOOKUP($I167,색인!$L$4:$R$11,K$2,FALSE)&amp;"_"&amp;$C167,"")</f>
        <v>마법블록_7</v>
      </c>
      <c r="L167" s="49" t="str">
        <f>IF($D167&gt;=(L$2-1),VLOOKUP($I167,색인!$L$4:$R$11,L$2,FALSE)&amp;"_"&amp;$C167,"")</f>
        <v>마법방어력_7</v>
      </c>
      <c r="M167" s="49" t="str">
        <f>IF($D167&gt;=(M$2-1),VLOOKUP($I167,색인!$L$4:$R$11,M$2,FALSE)&amp;"_"&amp;$C167,"")</f>
        <v/>
      </c>
      <c r="N167" s="49" t="str">
        <f>IF(AND(C167&gt;=6,D167&gt;=4),VLOOKUP($I167,색인!$L$4:$R$11,N$2,FALSE)&amp;"_"&amp;$C167,"")</f>
        <v/>
      </c>
      <c r="O167" s="49" t="str">
        <f>IF(AND(C167&gt;=6,D167&gt;=4),VLOOKUP($I167,색인!$L$4:$R$11,O$2,FALSE)&amp;"_"&amp;$C167,"")</f>
        <v/>
      </c>
      <c r="P167" s="50" t="str">
        <f t="shared" si="21"/>
        <v>7322</v>
      </c>
      <c r="Q167" s="49">
        <f>VLOOKUP(옵션그룹계산1!J167,색인!$E$4:$F$99,2,FALSE)</f>
        <v>1106</v>
      </c>
      <c r="R167" s="49">
        <f>_xlfn.IFNA(VLOOKUP(옵션그룹계산1!K167,색인!$E$4:$F$99,2,FALSE),"")</f>
        <v>1906</v>
      </c>
      <c r="S167" s="49">
        <f>_xlfn.IFNA(VLOOKUP(옵션그룹계산1!L167,색인!$E$4:$F$99,2,FALSE),"")</f>
        <v>406</v>
      </c>
      <c r="T167" s="49" t="str">
        <f>_xlfn.IFNA(VLOOKUP(옵션그룹계산1!M167,색인!$E$4:$F$99,2,FALSE),"")</f>
        <v/>
      </c>
      <c r="U167" s="49" t="str">
        <f>_xlfn.IFNA(VLOOKUP(옵션그룹계산1!N167,색인!$E$4:$F$99,2,FALSE),"")</f>
        <v/>
      </c>
      <c r="V167" s="49" t="str">
        <f>_xlfn.IFNA(VLOOKUP(옵션그룹계산1!O167,색인!$E$4:$F$99,2,FALSE),"")</f>
        <v/>
      </c>
      <c r="W167" s="50">
        <f t="shared" si="22"/>
        <v>7</v>
      </c>
      <c r="X167" s="50">
        <f t="shared" si="23"/>
        <v>3</v>
      </c>
      <c r="Y167" s="50">
        <f t="shared" si="24"/>
        <v>2</v>
      </c>
      <c r="Z167" s="50">
        <f t="shared" si="25"/>
        <v>2</v>
      </c>
      <c r="AA167" s="48" t="str">
        <f t="shared" si="26"/>
        <v>T7_3옵션_보조장비_탱커</v>
      </c>
      <c r="AB167" s="50" t="str">
        <f t="shared" si="27"/>
        <v>7322</v>
      </c>
      <c r="AC167" s="49" t="str">
        <f t="shared" si="28"/>
        <v>T7_3옵션_보조장비_탱커 (Grade 4~5)</v>
      </c>
      <c r="AD167" s="48" t="str">
        <f t="shared" si="29"/>
        <v>1106,1906,406</v>
      </c>
    </row>
    <row r="168" spans="3:30" x14ac:dyDescent="0.3">
      <c r="C168" s="51">
        <v>7</v>
      </c>
      <c r="D168" s="51">
        <v>3</v>
      </c>
      <c r="E168" s="51" t="s">
        <v>5398</v>
      </c>
      <c r="F168" s="51" t="s">
        <v>5397</v>
      </c>
      <c r="G168" s="50" t="str">
        <f>VLOOKUP(E168,옵션그룹계산1!$AF$4:$AH$7,3,FALSE)</f>
        <v xml:space="preserve">    </v>
      </c>
      <c r="H168" s="49" t="str">
        <f>VLOOKUP(D168,옵션그룹계산1!$AF$16:$AG$19,2,FALSE)</f>
        <v>(Grade 4~5)</v>
      </c>
      <c r="I168" s="50" t="str">
        <f t="shared" si="20"/>
        <v>장신구_딜러</v>
      </c>
      <c r="J168" s="49" t="str">
        <f>IF($D168&gt;=(J$2-1),VLOOKUP($I168,색인!$L$4:$R$11,J$2,FALSE)&amp;"_"&amp;$C168,"")</f>
        <v>공격력_7</v>
      </c>
      <c r="K168" s="49" t="str">
        <f>IF($D168&gt;=(K$2-1),VLOOKUP($I168,색인!$L$4:$R$11,K$2,FALSE)&amp;"_"&amp;$C168,"")</f>
        <v>공격속도_7</v>
      </c>
      <c r="L168" s="49" t="str">
        <f>IF($D168&gt;=(L$2-1),VLOOKUP($I168,색인!$L$4:$R$11,L$2,FALSE)&amp;"_"&amp;$C168,"")</f>
        <v>치명타확률_7</v>
      </c>
      <c r="M168" s="49" t="str">
        <f>IF($D168&gt;=(M$2-1),VLOOKUP($I168,색인!$L$4:$R$11,M$2,FALSE)&amp;"_"&amp;$C168,"")</f>
        <v/>
      </c>
      <c r="N168" s="49" t="str">
        <f>IF(AND(C168&gt;=6,D168&gt;=4),VLOOKUP($I168,색인!$L$4:$R$11,N$2,FALSE)&amp;"_"&amp;$C168,"")</f>
        <v/>
      </c>
      <c r="O168" s="49" t="str">
        <f>IF(AND(C168&gt;=6,D168&gt;=4),VLOOKUP($I168,색인!$L$4:$R$11,O$2,FALSE)&amp;"_"&amp;$C168,"")</f>
        <v/>
      </c>
      <c r="P168" s="50" t="str">
        <f t="shared" si="21"/>
        <v>7331</v>
      </c>
      <c r="Q168" s="49">
        <f>VLOOKUP(옵션그룹계산1!J168,색인!$E$4:$F$99,2,FALSE)</f>
        <v>106</v>
      </c>
      <c r="R168" s="49">
        <f>_xlfn.IFNA(VLOOKUP(옵션그룹계산1!K168,색인!$E$4:$F$99,2,FALSE),"")</f>
        <v>1106</v>
      </c>
      <c r="S168" s="49">
        <f>_xlfn.IFNA(VLOOKUP(옵션그룹계산1!L168,색인!$E$4:$F$99,2,FALSE),"")</f>
        <v>506</v>
      </c>
      <c r="T168" s="49" t="str">
        <f>_xlfn.IFNA(VLOOKUP(옵션그룹계산1!M168,색인!$E$4:$F$99,2,FALSE),"")</f>
        <v/>
      </c>
      <c r="U168" s="49" t="str">
        <f>_xlfn.IFNA(VLOOKUP(옵션그룹계산1!N168,색인!$E$4:$F$99,2,FALSE),"")</f>
        <v/>
      </c>
      <c r="V168" s="49" t="str">
        <f>_xlfn.IFNA(VLOOKUP(옵션그룹계산1!O168,색인!$E$4:$F$99,2,FALSE),"")</f>
        <v/>
      </c>
      <c r="W168" s="50">
        <f t="shared" si="22"/>
        <v>7</v>
      </c>
      <c r="X168" s="50">
        <f t="shared" si="23"/>
        <v>3</v>
      </c>
      <c r="Y168" s="50">
        <f t="shared" si="24"/>
        <v>3</v>
      </c>
      <c r="Z168" s="50">
        <f t="shared" si="25"/>
        <v>1</v>
      </c>
      <c r="AA168" s="48" t="str">
        <f t="shared" si="26"/>
        <v>T7_3옵션_장신구_딜러</v>
      </c>
      <c r="AB168" s="50" t="str">
        <f t="shared" si="27"/>
        <v>7331</v>
      </c>
      <c r="AC168" s="49" t="str">
        <f t="shared" si="28"/>
        <v>T7_3옵션_장신구_딜러    (Grade 4~5)</v>
      </c>
      <c r="AD168" s="48" t="str">
        <f t="shared" si="29"/>
        <v>106,1106,506</v>
      </c>
    </row>
    <row r="169" spans="3:30" x14ac:dyDescent="0.3">
      <c r="C169" s="51">
        <v>7</v>
      </c>
      <c r="D169" s="51">
        <v>3</v>
      </c>
      <c r="E169" s="51" t="s">
        <v>5398</v>
      </c>
      <c r="F169" s="51" t="s">
        <v>5395</v>
      </c>
      <c r="G169" s="50" t="str">
        <f>VLOOKUP(E169,옵션그룹계산1!$AF$4:$AH$7,3,FALSE)</f>
        <v xml:space="preserve">    </v>
      </c>
      <c r="H169" s="49" t="str">
        <f>VLOOKUP(D169,옵션그룹계산1!$AF$16:$AG$19,2,FALSE)</f>
        <v>(Grade 4~5)</v>
      </c>
      <c r="I169" s="50" t="str">
        <f t="shared" si="20"/>
        <v>장신구_탱커</v>
      </c>
      <c r="J169" s="49" t="str">
        <f>IF($D169&gt;=(J$2-1),VLOOKUP($I169,색인!$L$4:$R$11,J$2,FALSE)&amp;"_"&amp;$C169,"")</f>
        <v>체력_7</v>
      </c>
      <c r="K169" s="49" t="str">
        <f>IF($D169&gt;=(K$2-1),VLOOKUP($I169,색인!$L$4:$R$11,K$2,FALSE)&amp;"_"&amp;$C169,"")</f>
        <v>물리블록_7</v>
      </c>
      <c r="L169" s="49" t="str">
        <f>IF($D169&gt;=(L$2-1),VLOOKUP($I169,색인!$L$4:$R$11,L$2,FALSE)&amp;"_"&amp;$C169,"")</f>
        <v>마법블록_7</v>
      </c>
      <c r="M169" s="49" t="str">
        <f>IF($D169&gt;=(M$2-1),VLOOKUP($I169,색인!$L$4:$R$11,M$2,FALSE)&amp;"_"&amp;$C169,"")</f>
        <v/>
      </c>
      <c r="N169" s="49" t="str">
        <f>IF(AND(C169&gt;=6,D169&gt;=4),VLOOKUP($I169,색인!$L$4:$R$11,N$2,FALSE)&amp;"_"&amp;$C169,"")</f>
        <v/>
      </c>
      <c r="O169" s="49" t="str">
        <f>IF(AND(C169&gt;=6,D169&gt;=4),VLOOKUP($I169,색인!$L$4:$R$11,O$2,FALSE)&amp;"_"&amp;$C169,"")</f>
        <v/>
      </c>
      <c r="P169" s="50" t="str">
        <f t="shared" si="21"/>
        <v>7332</v>
      </c>
      <c r="Q169" s="49">
        <f>VLOOKUP(옵션그룹계산1!J169,색인!$E$4:$F$99,2,FALSE)</f>
        <v>206</v>
      </c>
      <c r="R169" s="49">
        <f>_xlfn.IFNA(VLOOKUP(옵션그룹계산1!K169,색인!$E$4:$F$99,2,FALSE),"")</f>
        <v>906</v>
      </c>
      <c r="S169" s="49">
        <f>_xlfn.IFNA(VLOOKUP(옵션그룹계산1!L169,색인!$E$4:$F$99,2,FALSE),"")</f>
        <v>1906</v>
      </c>
      <c r="T169" s="49" t="str">
        <f>_xlfn.IFNA(VLOOKUP(옵션그룹계산1!M169,색인!$E$4:$F$99,2,FALSE),"")</f>
        <v/>
      </c>
      <c r="U169" s="49" t="str">
        <f>_xlfn.IFNA(VLOOKUP(옵션그룹계산1!N169,색인!$E$4:$F$99,2,FALSE),"")</f>
        <v/>
      </c>
      <c r="V169" s="49" t="str">
        <f>_xlfn.IFNA(VLOOKUP(옵션그룹계산1!O169,색인!$E$4:$F$99,2,FALSE),"")</f>
        <v/>
      </c>
      <c r="W169" s="50">
        <f t="shared" si="22"/>
        <v>7</v>
      </c>
      <c r="X169" s="50">
        <f t="shared" si="23"/>
        <v>3</v>
      </c>
      <c r="Y169" s="50">
        <f t="shared" si="24"/>
        <v>3</v>
      </c>
      <c r="Z169" s="50">
        <f t="shared" si="25"/>
        <v>2</v>
      </c>
      <c r="AA169" s="48" t="str">
        <f t="shared" si="26"/>
        <v>T7_3옵션_장신구_탱커</v>
      </c>
      <c r="AB169" s="50" t="str">
        <f t="shared" si="27"/>
        <v>7332</v>
      </c>
      <c r="AC169" s="49" t="str">
        <f t="shared" si="28"/>
        <v>T7_3옵션_장신구_탱커    (Grade 4~5)</v>
      </c>
      <c r="AD169" s="48" t="str">
        <f t="shared" si="29"/>
        <v>206,906,1906</v>
      </c>
    </row>
    <row r="170" spans="3:30" x14ac:dyDescent="0.3">
      <c r="C170" s="51">
        <v>7</v>
      </c>
      <c r="D170" s="51">
        <v>3</v>
      </c>
      <c r="E170" s="51" t="s">
        <v>5396</v>
      </c>
      <c r="F170" s="51" t="s">
        <v>5397</v>
      </c>
      <c r="G170" s="50" t="str">
        <f>VLOOKUP(E170,옵션그룹계산1!$AF$4:$AH$7,3,FALSE)</f>
        <v xml:space="preserve">       </v>
      </c>
      <c r="H170" s="49" t="str">
        <f>VLOOKUP(D170,옵션그룹계산1!$AF$16:$AG$19,2,FALSE)</f>
        <v>(Grade 4~5)</v>
      </c>
      <c r="I170" s="50" t="str">
        <f t="shared" si="20"/>
        <v>보주_딜러</v>
      </c>
      <c r="J170" s="49" t="str">
        <f>IF($D170&gt;=(J$2-1),VLOOKUP($I170,색인!$L$4:$R$11,J$2,FALSE)&amp;"_"&amp;$C170,"")</f>
        <v>공격력_7</v>
      </c>
      <c r="K170" s="49" t="str">
        <f>IF($D170&gt;=(K$2-1),VLOOKUP($I170,색인!$L$4:$R$11,K$2,FALSE)&amp;"_"&amp;$C170,"")</f>
        <v>공격속도_7</v>
      </c>
      <c r="L170" s="49" t="str">
        <f>IF($D170&gt;=(L$2-1),VLOOKUP($I170,색인!$L$4:$R$11,L$2,FALSE)&amp;"_"&amp;$C170,"")</f>
        <v>치명타확률_7</v>
      </c>
      <c r="M170" s="49" t="str">
        <f>IF($D170&gt;=(M$2-1),VLOOKUP($I170,색인!$L$4:$R$11,M$2,FALSE)&amp;"_"&amp;$C170,"")</f>
        <v/>
      </c>
      <c r="N170" s="49" t="str">
        <f>IF(AND(C170&gt;=6,D170&gt;=4),VLOOKUP($I170,색인!$L$4:$R$11,N$2,FALSE)&amp;"_"&amp;$C170,"")</f>
        <v/>
      </c>
      <c r="O170" s="49" t="str">
        <f>IF(AND(C170&gt;=6,D170&gt;=4),VLOOKUP($I170,색인!$L$4:$R$11,O$2,FALSE)&amp;"_"&amp;$C170,"")</f>
        <v/>
      </c>
      <c r="P170" s="50" t="str">
        <f t="shared" si="21"/>
        <v>7341</v>
      </c>
      <c r="Q170" s="49">
        <f>VLOOKUP(옵션그룹계산1!J170,색인!$E$4:$F$99,2,FALSE)</f>
        <v>106</v>
      </c>
      <c r="R170" s="49">
        <f>_xlfn.IFNA(VLOOKUP(옵션그룹계산1!K170,색인!$E$4:$F$99,2,FALSE),"")</f>
        <v>1106</v>
      </c>
      <c r="S170" s="49">
        <f>_xlfn.IFNA(VLOOKUP(옵션그룹계산1!L170,색인!$E$4:$F$99,2,FALSE),"")</f>
        <v>506</v>
      </c>
      <c r="T170" s="49" t="str">
        <f>_xlfn.IFNA(VLOOKUP(옵션그룹계산1!M170,색인!$E$4:$F$99,2,FALSE),"")</f>
        <v/>
      </c>
      <c r="U170" s="49" t="str">
        <f>_xlfn.IFNA(VLOOKUP(옵션그룹계산1!N170,색인!$E$4:$F$99,2,FALSE),"")</f>
        <v/>
      </c>
      <c r="V170" s="49" t="str">
        <f>_xlfn.IFNA(VLOOKUP(옵션그룹계산1!O170,색인!$E$4:$F$99,2,FALSE),"")</f>
        <v/>
      </c>
      <c r="W170" s="50">
        <f t="shared" si="22"/>
        <v>7</v>
      </c>
      <c r="X170" s="50">
        <f t="shared" si="23"/>
        <v>3</v>
      </c>
      <c r="Y170" s="50">
        <f t="shared" si="24"/>
        <v>4</v>
      </c>
      <c r="Z170" s="50">
        <f t="shared" si="25"/>
        <v>1</v>
      </c>
      <c r="AA170" s="48" t="str">
        <f t="shared" si="26"/>
        <v>T7_3옵션_보주_딜러</v>
      </c>
      <c r="AB170" s="50" t="str">
        <f t="shared" si="27"/>
        <v>7341</v>
      </c>
      <c r="AC170" s="49" t="str">
        <f t="shared" si="28"/>
        <v>T7_3옵션_보주_딜러       (Grade 4~5)</v>
      </c>
      <c r="AD170" s="48" t="str">
        <f t="shared" si="29"/>
        <v>106,1106,506</v>
      </c>
    </row>
    <row r="171" spans="3:30" x14ac:dyDescent="0.3">
      <c r="C171" s="51">
        <v>7</v>
      </c>
      <c r="D171" s="51">
        <v>3</v>
      </c>
      <c r="E171" s="51" t="s">
        <v>5396</v>
      </c>
      <c r="F171" s="51" t="s">
        <v>5395</v>
      </c>
      <c r="G171" s="50" t="str">
        <f>VLOOKUP(E171,옵션그룹계산1!$AF$4:$AH$7,3,FALSE)</f>
        <v xml:space="preserve">       </v>
      </c>
      <c r="H171" s="49" t="str">
        <f>VLOOKUP(D171,옵션그룹계산1!$AF$16:$AG$19,2,FALSE)</f>
        <v>(Grade 4~5)</v>
      </c>
      <c r="I171" s="50" t="str">
        <f t="shared" si="20"/>
        <v>보주_탱커</v>
      </c>
      <c r="J171" s="49" t="str">
        <f>IF($D171&gt;=(J$2-1),VLOOKUP($I171,색인!$L$4:$R$11,J$2,FALSE)&amp;"_"&amp;$C171,"")</f>
        <v>체력_7</v>
      </c>
      <c r="K171" s="49" t="str">
        <f>IF($D171&gt;=(K$2-1),VLOOKUP($I171,색인!$L$4:$R$11,K$2,FALSE)&amp;"_"&amp;$C171,"")</f>
        <v>물리블록_7</v>
      </c>
      <c r="L171" s="49" t="str">
        <f>IF($D171&gt;=(L$2-1),VLOOKUP($I171,색인!$L$4:$R$11,L$2,FALSE)&amp;"_"&amp;$C171,"")</f>
        <v>마법블록_7</v>
      </c>
      <c r="M171" s="49" t="str">
        <f>IF($D171&gt;=(M$2-1),VLOOKUP($I171,색인!$L$4:$R$11,M$2,FALSE)&amp;"_"&amp;$C171,"")</f>
        <v/>
      </c>
      <c r="N171" s="49" t="str">
        <f>IF(AND(C171&gt;=6,D171&gt;=4),VLOOKUP($I171,색인!$L$4:$R$11,N$2,FALSE)&amp;"_"&amp;$C171,"")</f>
        <v/>
      </c>
      <c r="O171" s="49" t="str">
        <f>IF(AND(C171&gt;=6,D171&gt;=4),VLOOKUP($I171,색인!$L$4:$R$11,O$2,FALSE)&amp;"_"&amp;$C171,"")</f>
        <v/>
      </c>
      <c r="P171" s="50" t="str">
        <f t="shared" si="21"/>
        <v>7342</v>
      </c>
      <c r="Q171" s="49">
        <f>VLOOKUP(옵션그룹계산1!J171,색인!$E$4:$F$99,2,FALSE)</f>
        <v>206</v>
      </c>
      <c r="R171" s="49">
        <f>_xlfn.IFNA(VLOOKUP(옵션그룹계산1!K171,색인!$E$4:$F$99,2,FALSE),"")</f>
        <v>906</v>
      </c>
      <c r="S171" s="49">
        <f>_xlfn.IFNA(VLOOKUP(옵션그룹계산1!L171,색인!$E$4:$F$99,2,FALSE),"")</f>
        <v>1906</v>
      </c>
      <c r="T171" s="49" t="str">
        <f>_xlfn.IFNA(VLOOKUP(옵션그룹계산1!M171,색인!$E$4:$F$99,2,FALSE),"")</f>
        <v/>
      </c>
      <c r="U171" s="49" t="str">
        <f>_xlfn.IFNA(VLOOKUP(옵션그룹계산1!N171,색인!$E$4:$F$99,2,FALSE),"")</f>
        <v/>
      </c>
      <c r="V171" s="49" t="str">
        <f>_xlfn.IFNA(VLOOKUP(옵션그룹계산1!O171,색인!$E$4:$F$99,2,FALSE),"")</f>
        <v/>
      </c>
      <c r="W171" s="50">
        <f t="shared" si="22"/>
        <v>7</v>
      </c>
      <c r="X171" s="50">
        <f t="shared" si="23"/>
        <v>3</v>
      </c>
      <c r="Y171" s="50">
        <f t="shared" si="24"/>
        <v>4</v>
      </c>
      <c r="Z171" s="50">
        <f t="shared" si="25"/>
        <v>2</v>
      </c>
      <c r="AA171" s="48" t="str">
        <f t="shared" si="26"/>
        <v>T7_3옵션_보주_탱커</v>
      </c>
      <c r="AB171" s="50" t="str">
        <f t="shared" si="27"/>
        <v>7342</v>
      </c>
      <c r="AC171" s="49" t="str">
        <f t="shared" si="28"/>
        <v>T7_3옵션_보주_탱커       (Grade 4~5)</v>
      </c>
      <c r="AD171" s="48" t="str">
        <f t="shared" si="29"/>
        <v>206,906,1906</v>
      </c>
    </row>
    <row r="172" spans="3:30" x14ac:dyDescent="0.3">
      <c r="C172" s="51">
        <v>8</v>
      </c>
      <c r="D172" s="51">
        <v>1</v>
      </c>
      <c r="E172" s="51" t="s">
        <v>5400</v>
      </c>
      <c r="F172" s="51" t="s">
        <v>5397</v>
      </c>
      <c r="G172" s="50" t="str">
        <f>VLOOKUP(E172,옵션그룹계산1!$AF$4:$AH$7,3,FALSE)</f>
        <v xml:space="preserve">    </v>
      </c>
      <c r="H172" s="49" t="str">
        <f>VLOOKUP(D172,옵션그룹계산1!$AF$16:$AG$19,2,FALSE)</f>
        <v>(Grade 2)</v>
      </c>
      <c r="I172" s="50" t="str">
        <f t="shared" si="20"/>
        <v>방어구_딜러</v>
      </c>
      <c r="J172" s="49" t="str">
        <f>IF($D172&gt;=(J$2-1),VLOOKUP($I172,색인!$L$4:$R$11,J$2,FALSE)&amp;"_"&amp;$C172,"")</f>
        <v>공격력_8</v>
      </c>
      <c r="K172" s="49" t="str">
        <f>IF($D172&gt;=(K$2-1),VLOOKUP($I172,색인!$L$4:$R$11,K$2,FALSE)&amp;"_"&amp;$C172,"")</f>
        <v/>
      </c>
      <c r="L172" s="49" t="str">
        <f>IF($D172&gt;=(L$2-1),VLOOKUP($I172,색인!$L$4:$R$11,L$2,FALSE)&amp;"_"&amp;$C172,"")</f>
        <v/>
      </c>
      <c r="M172" s="49" t="str">
        <f>IF($D172&gt;=(M$2-1),VLOOKUP($I172,색인!$L$4:$R$11,M$2,FALSE)&amp;"_"&amp;$C172,"")</f>
        <v/>
      </c>
      <c r="N172" s="49" t="str">
        <f>IF(AND(C172&gt;=6,D172&gt;=4),VLOOKUP($I172,색인!$L$4:$R$11,N$2,FALSE)&amp;"_"&amp;$C172,"")</f>
        <v/>
      </c>
      <c r="O172" s="49" t="str">
        <f>IF(AND(C172&gt;=6,D172&gt;=4),VLOOKUP($I172,색인!$L$4:$R$11,O$2,FALSE)&amp;"_"&amp;$C172,"")</f>
        <v/>
      </c>
      <c r="P172" s="50" t="str">
        <f t="shared" si="21"/>
        <v>8111</v>
      </c>
      <c r="Q172" s="49">
        <f>VLOOKUP(옵션그룹계산1!J172,색인!$E$4:$F$99,2,FALSE)</f>
        <v>107</v>
      </c>
      <c r="R172" s="49" t="str">
        <f>_xlfn.IFNA(VLOOKUP(옵션그룹계산1!K172,색인!$E$4:$F$99,2,FALSE),"")</f>
        <v/>
      </c>
      <c r="S172" s="49" t="str">
        <f>_xlfn.IFNA(VLOOKUP(옵션그룹계산1!L172,색인!$E$4:$F$99,2,FALSE),"")</f>
        <v/>
      </c>
      <c r="T172" s="49" t="str">
        <f>_xlfn.IFNA(VLOOKUP(옵션그룹계산1!M172,색인!$E$4:$F$99,2,FALSE),"")</f>
        <v/>
      </c>
      <c r="U172" s="49" t="str">
        <f>_xlfn.IFNA(VLOOKUP(옵션그룹계산1!N172,색인!$E$4:$F$99,2,FALSE),"")</f>
        <v/>
      </c>
      <c r="V172" s="49" t="str">
        <f>_xlfn.IFNA(VLOOKUP(옵션그룹계산1!O172,색인!$E$4:$F$99,2,FALSE),"")</f>
        <v/>
      </c>
      <c r="W172" s="50">
        <f t="shared" si="22"/>
        <v>8</v>
      </c>
      <c r="X172" s="50">
        <f t="shared" si="23"/>
        <v>1</v>
      </c>
      <c r="Y172" s="50">
        <f t="shared" si="24"/>
        <v>1</v>
      </c>
      <c r="Z172" s="50">
        <f t="shared" si="25"/>
        <v>1</v>
      </c>
      <c r="AA172" s="48" t="str">
        <f t="shared" si="26"/>
        <v>T8_1옵션_방어구_딜러</v>
      </c>
      <c r="AB172" s="50" t="str">
        <f t="shared" si="27"/>
        <v>8111</v>
      </c>
      <c r="AC172" s="49" t="str">
        <f t="shared" si="28"/>
        <v>T8_1옵션_방어구_딜러    (Grade 2)</v>
      </c>
      <c r="AD172" s="48" t="str">
        <f t="shared" si="29"/>
        <v>107</v>
      </c>
    </row>
    <row r="173" spans="3:30" x14ac:dyDescent="0.3">
      <c r="C173" s="51">
        <v>8</v>
      </c>
      <c r="D173" s="51">
        <v>1</v>
      </c>
      <c r="E173" s="51" t="s">
        <v>5400</v>
      </c>
      <c r="F173" s="51" t="s">
        <v>5395</v>
      </c>
      <c r="G173" s="50" t="str">
        <f>VLOOKUP(E173,옵션그룹계산1!$AF$4:$AH$7,3,FALSE)</f>
        <v xml:space="preserve">    </v>
      </c>
      <c r="H173" s="49" t="str">
        <f>VLOOKUP(D173,옵션그룹계산1!$AF$16:$AG$19,2,FALSE)</f>
        <v>(Grade 2)</v>
      </c>
      <c r="I173" s="50" t="str">
        <f t="shared" si="20"/>
        <v>방어구_탱커</v>
      </c>
      <c r="J173" s="49" t="str">
        <f>IF($D173&gt;=(J$2-1),VLOOKUP($I173,색인!$L$4:$R$11,J$2,FALSE)&amp;"_"&amp;$C173,"")</f>
        <v>공격속도_8</v>
      </c>
      <c r="K173" s="49" t="str">
        <f>IF($D173&gt;=(K$2-1),VLOOKUP($I173,색인!$L$4:$R$11,K$2,FALSE)&amp;"_"&amp;$C173,"")</f>
        <v/>
      </c>
      <c r="L173" s="49" t="str">
        <f>IF($D173&gt;=(L$2-1),VLOOKUP($I173,색인!$L$4:$R$11,L$2,FALSE)&amp;"_"&amp;$C173,"")</f>
        <v/>
      </c>
      <c r="M173" s="49" t="str">
        <f>IF($D173&gt;=(M$2-1),VLOOKUP($I173,색인!$L$4:$R$11,M$2,FALSE)&amp;"_"&amp;$C173,"")</f>
        <v/>
      </c>
      <c r="N173" s="49" t="str">
        <f>IF(AND(C173&gt;=6,D173&gt;=4),VLOOKUP($I173,색인!$L$4:$R$11,N$2,FALSE)&amp;"_"&amp;$C173,"")</f>
        <v/>
      </c>
      <c r="O173" s="49" t="str">
        <f>IF(AND(C173&gt;=6,D173&gt;=4),VLOOKUP($I173,색인!$L$4:$R$11,O$2,FALSE)&amp;"_"&amp;$C173,"")</f>
        <v/>
      </c>
      <c r="P173" s="50" t="str">
        <f t="shared" si="21"/>
        <v>8112</v>
      </c>
      <c r="Q173" s="49">
        <f>VLOOKUP(옵션그룹계산1!J173,색인!$E$4:$F$99,2,FALSE)</f>
        <v>1107</v>
      </c>
      <c r="R173" s="49" t="str">
        <f>_xlfn.IFNA(VLOOKUP(옵션그룹계산1!K173,색인!$E$4:$F$99,2,FALSE),"")</f>
        <v/>
      </c>
      <c r="S173" s="49" t="str">
        <f>_xlfn.IFNA(VLOOKUP(옵션그룹계산1!L173,색인!$E$4:$F$99,2,FALSE),"")</f>
        <v/>
      </c>
      <c r="T173" s="49" t="str">
        <f>_xlfn.IFNA(VLOOKUP(옵션그룹계산1!M173,색인!$E$4:$F$99,2,FALSE),"")</f>
        <v/>
      </c>
      <c r="U173" s="49" t="str">
        <f>_xlfn.IFNA(VLOOKUP(옵션그룹계산1!N173,색인!$E$4:$F$99,2,FALSE),"")</f>
        <v/>
      </c>
      <c r="V173" s="49" t="str">
        <f>_xlfn.IFNA(VLOOKUP(옵션그룹계산1!O173,색인!$E$4:$F$99,2,FALSE),"")</f>
        <v/>
      </c>
      <c r="W173" s="50">
        <f t="shared" si="22"/>
        <v>8</v>
      </c>
      <c r="X173" s="50">
        <f t="shared" si="23"/>
        <v>1</v>
      </c>
      <c r="Y173" s="50">
        <f t="shared" si="24"/>
        <v>1</v>
      </c>
      <c r="Z173" s="50">
        <f t="shared" si="25"/>
        <v>2</v>
      </c>
      <c r="AA173" s="48" t="str">
        <f t="shared" si="26"/>
        <v>T8_1옵션_방어구_탱커</v>
      </c>
      <c r="AB173" s="50" t="str">
        <f t="shared" si="27"/>
        <v>8112</v>
      </c>
      <c r="AC173" s="49" t="str">
        <f t="shared" si="28"/>
        <v>T8_1옵션_방어구_탱커    (Grade 2)</v>
      </c>
      <c r="AD173" s="48" t="str">
        <f t="shared" si="29"/>
        <v>1107</v>
      </c>
    </row>
    <row r="174" spans="3:30" x14ac:dyDescent="0.3">
      <c r="C174" s="51">
        <v>8</v>
      </c>
      <c r="D174" s="51">
        <v>1</v>
      </c>
      <c r="E174" s="51" t="s">
        <v>5399</v>
      </c>
      <c r="F174" s="51" t="s">
        <v>5397</v>
      </c>
      <c r="G174" s="50" t="str">
        <f>VLOOKUP(E174,옵션그룹계산1!$AF$4:$AH$7,3,FALSE)</f>
        <v xml:space="preserve"> </v>
      </c>
      <c r="H174" s="49" t="str">
        <f>VLOOKUP(D174,옵션그룹계산1!$AF$16:$AG$19,2,FALSE)</f>
        <v>(Grade 2)</v>
      </c>
      <c r="I174" s="50" t="str">
        <f t="shared" si="20"/>
        <v>보조장비_딜러</v>
      </c>
      <c r="J174" s="49" t="str">
        <f>IF($D174&gt;=(J$2-1),VLOOKUP($I174,색인!$L$4:$R$11,J$2,FALSE)&amp;"_"&amp;$C174,"")</f>
        <v>공격력_8</v>
      </c>
      <c r="K174" s="49" t="str">
        <f>IF($D174&gt;=(K$2-1),VLOOKUP($I174,색인!$L$4:$R$11,K$2,FALSE)&amp;"_"&amp;$C174,"")</f>
        <v/>
      </c>
      <c r="L174" s="49" t="str">
        <f>IF($D174&gt;=(L$2-1),VLOOKUP($I174,색인!$L$4:$R$11,L$2,FALSE)&amp;"_"&amp;$C174,"")</f>
        <v/>
      </c>
      <c r="M174" s="49" t="str">
        <f>IF($D174&gt;=(M$2-1),VLOOKUP($I174,색인!$L$4:$R$11,M$2,FALSE)&amp;"_"&amp;$C174,"")</f>
        <v/>
      </c>
      <c r="N174" s="49" t="str">
        <f>IF(AND(C174&gt;=6,D174&gt;=4),VLOOKUP($I174,색인!$L$4:$R$11,N$2,FALSE)&amp;"_"&amp;$C174,"")</f>
        <v/>
      </c>
      <c r="O174" s="49" t="str">
        <f>IF(AND(C174&gt;=6,D174&gt;=4),VLOOKUP($I174,색인!$L$4:$R$11,O$2,FALSE)&amp;"_"&amp;$C174,"")</f>
        <v/>
      </c>
      <c r="P174" s="50" t="str">
        <f t="shared" si="21"/>
        <v>8121</v>
      </c>
      <c r="Q174" s="49">
        <f>VLOOKUP(옵션그룹계산1!J174,색인!$E$4:$F$99,2,FALSE)</f>
        <v>107</v>
      </c>
      <c r="R174" s="49" t="str">
        <f>_xlfn.IFNA(VLOOKUP(옵션그룹계산1!K174,색인!$E$4:$F$99,2,FALSE),"")</f>
        <v/>
      </c>
      <c r="S174" s="49" t="str">
        <f>_xlfn.IFNA(VLOOKUP(옵션그룹계산1!L174,색인!$E$4:$F$99,2,FALSE),"")</f>
        <v/>
      </c>
      <c r="T174" s="49" t="str">
        <f>_xlfn.IFNA(VLOOKUP(옵션그룹계산1!M174,색인!$E$4:$F$99,2,FALSE),"")</f>
        <v/>
      </c>
      <c r="U174" s="49" t="str">
        <f>_xlfn.IFNA(VLOOKUP(옵션그룹계산1!N174,색인!$E$4:$F$99,2,FALSE),"")</f>
        <v/>
      </c>
      <c r="V174" s="49" t="str">
        <f>_xlfn.IFNA(VLOOKUP(옵션그룹계산1!O174,색인!$E$4:$F$99,2,FALSE),"")</f>
        <v/>
      </c>
      <c r="W174" s="50">
        <f t="shared" si="22"/>
        <v>8</v>
      </c>
      <c r="X174" s="50">
        <f t="shared" si="23"/>
        <v>1</v>
      </c>
      <c r="Y174" s="50">
        <f t="shared" si="24"/>
        <v>2</v>
      </c>
      <c r="Z174" s="50">
        <f t="shared" si="25"/>
        <v>1</v>
      </c>
      <c r="AA174" s="48" t="str">
        <f t="shared" si="26"/>
        <v>T8_1옵션_보조장비_딜러</v>
      </c>
      <c r="AB174" s="50" t="str">
        <f t="shared" si="27"/>
        <v>8121</v>
      </c>
      <c r="AC174" s="49" t="str">
        <f t="shared" si="28"/>
        <v>T8_1옵션_보조장비_딜러 (Grade 2)</v>
      </c>
      <c r="AD174" s="48" t="str">
        <f t="shared" si="29"/>
        <v>107</v>
      </c>
    </row>
    <row r="175" spans="3:30" x14ac:dyDescent="0.3">
      <c r="C175" s="51">
        <v>8</v>
      </c>
      <c r="D175" s="51">
        <v>1</v>
      </c>
      <c r="E175" s="51" t="s">
        <v>5399</v>
      </c>
      <c r="F175" s="51" t="s">
        <v>5395</v>
      </c>
      <c r="G175" s="50" t="str">
        <f>VLOOKUP(E175,옵션그룹계산1!$AF$4:$AH$7,3,FALSE)</f>
        <v xml:space="preserve"> </v>
      </c>
      <c r="H175" s="49" t="str">
        <f>VLOOKUP(D175,옵션그룹계산1!$AF$16:$AG$19,2,FALSE)</f>
        <v>(Grade 2)</v>
      </c>
      <c r="I175" s="50" t="str">
        <f t="shared" si="20"/>
        <v>보조장비_탱커</v>
      </c>
      <c r="J175" s="49" t="str">
        <f>IF($D175&gt;=(J$2-1),VLOOKUP($I175,색인!$L$4:$R$11,J$2,FALSE)&amp;"_"&amp;$C175,"")</f>
        <v>공격속도_8</v>
      </c>
      <c r="K175" s="49" t="str">
        <f>IF($D175&gt;=(K$2-1),VLOOKUP($I175,색인!$L$4:$R$11,K$2,FALSE)&amp;"_"&amp;$C175,"")</f>
        <v/>
      </c>
      <c r="L175" s="49" t="str">
        <f>IF($D175&gt;=(L$2-1),VLOOKUP($I175,색인!$L$4:$R$11,L$2,FALSE)&amp;"_"&amp;$C175,"")</f>
        <v/>
      </c>
      <c r="M175" s="49" t="str">
        <f>IF($D175&gt;=(M$2-1),VLOOKUP($I175,색인!$L$4:$R$11,M$2,FALSE)&amp;"_"&amp;$C175,"")</f>
        <v/>
      </c>
      <c r="N175" s="49" t="str">
        <f>IF(AND(C175&gt;=6,D175&gt;=4),VLOOKUP($I175,색인!$L$4:$R$11,N$2,FALSE)&amp;"_"&amp;$C175,"")</f>
        <v/>
      </c>
      <c r="O175" s="49" t="str">
        <f>IF(AND(C175&gt;=6,D175&gt;=4),VLOOKUP($I175,색인!$L$4:$R$11,O$2,FALSE)&amp;"_"&amp;$C175,"")</f>
        <v/>
      </c>
      <c r="P175" s="50" t="str">
        <f t="shared" si="21"/>
        <v>8122</v>
      </c>
      <c r="Q175" s="49">
        <f>VLOOKUP(옵션그룹계산1!J175,색인!$E$4:$F$99,2,FALSE)</f>
        <v>1107</v>
      </c>
      <c r="R175" s="49" t="str">
        <f>_xlfn.IFNA(VLOOKUP(옵션그룹계산1!K175,색인!$E$4:$F$99,2,FALSE),"")</f>
        <v/>
      </c>
      <c r="S175" s="49" t="str">
        <f>_xlfn.IFNA(VLOOKUP(옵션그룹계산1!L175,색인!$E$4:$F$99,2,FALSE),"")</f>
        <v/>
      </c>
      <c r="T175" s="49" t="str">
        <f>_xlfn.IFNA(VLOOKUP(옵션그룹계산1!M175,색인!$E$4:$F$99,2,FALSE),"")</f>
        <v/>
      </c>
      <c r="U175" s="49" t="str">
        <f>_xlfn.IFNA(VLOOKUP(옵션그룹계산1!N175,색인!$E$4:$F$99,2,FALSE),"")</f>
        <v/>
      </c>
      <c r="V175" s="49" t="str">
        <f>_xlfn.IFNA(VLOOKUP(옵션그룹계산1!O175,색인!$E$4:$F$99,2,FALSE),"")</f>
        <v/>
      </c>
      <c r="W175" s="50">
        <f t="shared" si="22"/>
        <v>8</v>
      </c>
      <c r="X175" s="50">
        <f t="shared" si="23"/>
        <v>1</v>
      </c>
      <c r="Y175" s="50">
        <f t="shared" si="24"/>
        <v>2</v>
      </c>
      <c r="Z175" s="50">
        <f t="shared" si="25"/>
        <v>2</v>
      </c>
      <c r="AA175" s="48" t="str">
        <f t="shared" si="26"/>
        <v>T8_1옵션_보조장비_탱커</v>
      </c>
      <c r="AB175" s="50" t="str">
        <f t="shared" si="27"/>
        <v>8122</v>
      </c>
      <c r="AC175" s="49" t="str">
        <f t="shared" si="28"/>
        <v>T8_1옵션_보조장비_탱커 (Grade 2)</v>
      </c>
      <c r="AD175" s="48" t="str">
        <f t="shared" si="29"/>
        <v>1107</v>
      </c>
    </row>
    <row r="176" spans="3:30" x14ac:dyDescent="0.3">
      <c r="C176" s="51">
        <v>8</v>
      </c>
      <c r="D176" s="51">
        <v>1</v>
      </c>
      <c r="E176" s="51" t="s">
        <v>5398</v>
      </c>
      <c r="F176" s="51" t="s">
        <v>5397</v>
      </c>
      <c r="G176" s="50" t="str">
        <f>VLOOKUP(E176,옵션그룹계산1!$AF$4:$AH$7,3,FALSE)</f>
        <v xml:space="preserve">    </v>
      </c>
      <c r="H176" s="49" t="str">
        <f>VLOOKUP(D176,옵션그룹계산1!$AF$16:$AG$19,2,FALSE)</f>
        <v>(Grade 2)</v>
      </c>
      <c r="I176" s="50" t="str">
        <f t="shared" si="20"/>
        <v>장신구_딜러</v>
      </c>
      <c r="J176" s="49" t="str">
        <f>IF($D176&gt;=(J$2-1),VLOOKUP($I176,색인!$L$4:$R$11,J$2,FALSE)&amp;"_"&amp;$C176,"")</f>
        <v>공격력_8</v>
      </c>
      <c r="K176" s="49" t="str">
        <f>IF($D176&gt;=(K$2-1),VLOOKUP($I176,색인!$L$4:$R$11,K$2,FALSE)&amp;"_"&amp;$C176,"")</f>
        <v/>
      </c>
      <c r="L176" s="49" t="str">
        <f>IF($D176&gt;=(L$2-1),VLOOKUP($I176,색인!$L$4:$R$11,L$2,FALSE)&amp;"_"&amp;$C176,"")</f>
        <v/>
      </c>
      <c r="M176" s="49" t="str">
        <f>IF($D176&gt;=(M$2-1),VLOOKUP($I176,색인!$L$4:$R$11,M$2,FALSE)&amp;"_"&amp;$C176,"")</f>
        <v/>
      </c>
      <c r="N176" s="49" t="str">
        <f>IF(AND(C176&gt;=6,D176&gt;=4),VLOOKUP($I176,색인!$L$4:$R$11,N$2,FALSE)&amp;"_"&amp;$C176,"")</f>
        <v/>
      </c>
      <c r="O176" s="49" t="str">
        <f>IF(AND(C176&gt;=6,D176&gt;=4),VLOOKUP($I176,색인!$L$4:$R$11,O$2,FALSE)&amp;"_"&amp;$C176,"")</f>
        <v/>
      </c>
      <c r="P176" s="50" t="str">
        <f t="shared" si="21"/>
        <v>8131</v>
      </c>
      <c r="Q176" s="49">
        <f>VLOOKUP(옵션그룹계산1!J176,색인!$E$4:$F$99,2,FALSE)</f>
        <v>107</v>
      </c>
      <c r="R176" s="49" t="str">
        <f>_xlfn.IFNA(VLOOKUP(옵션그룹계산1!K176,색인!$E$4:$F$99,2,FALSE),"")</f>
        <v/>
      </c>
      <c r="S176" s="49" t="str">
        <f>_xlfn.IFNA(VLOOKUP(옵션그룹계산1!L176,색인!$E$4:$F$99,2,FALSE),"")</f>
        <v/>
      </c>
      <c r="T176" s="49" t="str">
        <f>_xlfn.IFNA(VLOOKUP(옵션그룹계산1!M176,색인!$E$4:$F$99,2,FALSE),"")</f>
        <v/>
      </c>
      <c r="U176" s="49" t="str">
        <f>_xlfn.IFNA(VLOOKUP(옵션그룹계산1!N176,색인!$E$4:$F$99,2,FALSE),"")</f>
        <v/>
      </c>
      <c r="V176" s="49" t="str">
        <f>_xlfn.IFNA(VLOOKUP(옵션그룹계산1!O176,색인!$E$4:$F$99,2,FALSE),"")</f>
        <v/>
      </c>
      <c r="W176" s="50">
        <f t="shared" si="22"/>
        <v>8</v>
      </c>
      <c r="X176" s="50">
        <f t="shared" si="23"/>
        <v>1</v>
      </c>
      <c r="Y176" s="50">
        <f t="shared" si="24"/>
        <v>3</v>
      </c>
      <c r="Z176" s="50">
        <f t="shared" si="25"/>
        <v>1</v>
      </c>
      <c r="AA176" s="48" t="str">
        <f t="shared" si="26"/>
        <v>T8_1옵션_장신구_딜러</v>
      </c>
      <c r="AB176" s="50" t="str">
        <f t="shared" si="27"/>
        <v>8131</v>
      </c>
      <c r="AC176" s="49" t="str">
        <f t="shared" si="28"/>
        <v>T8_1옵션_장신구_딜러    (Grade 2)</v>
      </c>
      <c r="AD176" s="48" t="str">
        <f t="shared" si="29"/>
        <v>107</v>
      </c>
    </row>
    <row r="177" spans="3:30" x14ac:dyDescent="0.3">
      <c r="C177" s="51">
        <v>8</v>
      </c>
      <c r="D177" s="51">
        <v>1</v>
      </c>
      <c r="E177" s="51" t="s">
        <v>5398</v>
      </c>
      <c r="F177" s="51" t="s">
        <v>5395</v>
      </c>
      <c r="G177" s="50" t="str">
        <f>VLOOKUP(E177,옵션그룹계산1!$AF$4:$AH$7,3,FALSE)</f>
        <v xml:space="preserve">    </v>
      </c>
      <c r="H177" s="49" t="str">
        <f>VLOOKUP(D177,옵션그룹계산1!$AF$16:$AG$19,2,FALSE)</f>
        <v>(Grade 2)</v>
      </c>
      <c r="I177" s="50" t="str">
        <f t="shared" si="20"/>
        <v>장신구_탱커</v>
      </c>
      <c r="J177" s="49" t="str">
        <f>IF($D177&gt;=(J$2-1),VLOOKUP($I177,색인!$L$4:$R$11,J$2,FALSE)&amp;"_"&amp;$C177,"")</f>
        <v>체력_8</v>
      </c>
      <c r="K177" s="49" t="str">
        <f>IF($D177&gt;=(K$2-1),VLOOKUP($I177,색인!$L$4:$R$11,K$2,FALSE)&amp;"_"&amp;$C177,"")</f>
        <v/>
      </c>
      <c r="L177" s="49" t="str">
        <f>IF($D177&gt;=(L$2-1),VLOOKUP($I177,색인!$L$4:$R$11,L$2,FALSE)&amp;"_"&amp;$C177,"")</f>
        <v/>
      </c>
      <c r="M177" s="49" t="str">
        <f>IF($D177&gt;=(M$2-1),VLOOKUP($I177,색인!$L$4:$R$11,M$2,FALSE)&amp;"_"&amp;$C177,"")</f>
        <v/>
      </c>
      <c r="N177" s="49" t="str">
        <f>IF(AND(C177&gt;=6,D177&gt;=4),VLOOKUP($I177,색인!$L$4:$R$11,N$2,FALSE)&amp;"_"&amp;$C177,"")</f>
        <v/>
      </c>
      <c r="O177" s="49" t="str">
        <f>IF(AND(C177&gt;=6,D177&gt;=4),VLOOKUP($I177,색인!$L$4:$R$11,O$2,FALSE)&amp;"_"&amp;$C177,"")</f>
        <v/>
      </c>
      <c r="P177" s="50" t="str">
        <f t="shared" si="21"/>
        <v>8132</v>
      </c>
      <c r="Q177" s="49">
        <f>VLOOKUP(옵션그룹계산1!J177,색인!$E$4:$F$99,2,FALSE)</f>
        <v>207</v>
      </c>
      <c r="R177" s="49" t="str">
        <f>_xlfn.IFNA(VLOOKUP(옵션그룹계산1!K177,색인!$E$4:$F$99,2,FALSE),"")</f>
        <v/>
      </c>
      <c r="S177" s="49" t="str">
        <f>_xlfn.IFNA(VLOOKUP(옵션그룹계산1!L177,색인!$E$4:$F$99,2,FALSE),"")</f>
        <v/>
      </c>
      <c r="T177" s="49" t="str">
        <f>_xlfn.IFNA(VLOOKUP(옵션그룹계산1!M177,색인!$E$4:$F$99,2,FALSE),"")</f>
        <v/>
      </c>
      <c r="U177" s="49" t="str">
        <f>_xlfn.IFNA(VLOOKUP(옵션그룹계산1!N177,색인!$E$4:$F$99,2,FALSE),"")</f>
        <v/>
      </c>
      <c r="V177" s="49" t="str">
        <f>_xlfn.IFNA(VLOOKUP(옵션그룹계산1!O177,색인!$E$4:$F$99,2,FALSE),"")</f>
        <v/>
      </c>
      <c r="W177" s="50">
        <f t="shared" si="22"/>
        <v>8</v>
      </c>
      <c r="X177" s="50">
        <f t="shared" si="23"/>
        <v>1</v>
      </c>
      <c r="Y177" s="50">
        <f t="shared" si="24"/>
        <v>3</v>
      </c>
      <c r="Z177" s="50">
        <f t="shared" si="25"/>
        <v>2</v>
      </c>
      <c r="AA177" s="48" t="str">
        <f t="shared" si="26"/>
        <v>T8_1옵션_장신구_탱커</v>
      </c>
      <c r="AB177" s="50" t="str">
        <f t="shared" si="27"/>
        <v>8132</v>
      </c>
      <c r="AC177" s="49" t="str">
        <f t="shared" si="28"/>
        <v>T8_1옵션_장신구_탱커    (Grade 2)</v>
      </c>
      <c r="AD177" s="48" t="str">
        <f t="shared" si="29"/>
        <v>207</v>
      </c>
    </row>
    <row r="178" spans="3:30" x14ac:dyDescent="0.3">
      <c r="C178" s="51">
        <v>8</v>
      </c>
      <c r="D178" s="51">
        <v>1</v>
      </c>
      <c r="E178" s="51" t="s">
        <v>5396</v>
      </c>
      <c r="F178" s="51" t="s">
        <v>5397</v>
      </c>
      <c r="G178" s="50" t="str">
        <f>VLOOKUP(E178,옵션그룹계산1!$AF$4:$AH$7,3,FALSE)</f>
        <v xml:space="preserve">       </v>
      </c>
      <c r="H178" s="49" t="str">
        <f>VLOOKUP(D178,옵션그룹계산1!$AF$16:$AG$19,2,FALSE)</f>
        <v>(Grade 2)</v>
      </c>
      <c r="I178" s="50" t="str">
        <f t="shared" si="20"/>
        <v>보주_딜러</v>
      </c>
      <c r="J178" s="49" t="str">
        <f>IF($D178&gt;=(J$2-1),VLOOKUP($I178,색인!$L$4:$R$11,J$2,FALSE)&amp;"_"&amp;$C178,"")</f>
        <v>공격력_8</v>
      </c>
      <c r="K178" s="49" t="str">
        <f>IF($D178&gt;=(K$2-1),VLOOKUP($I178,색인!$L$4:$R$11,K$2,FALSE)&amp;"_"&amp;$C178,"")</f>
        <v/>
      </c>
      <c r="L178" s="49" t="str">
        <f>IF($D178&gt;=(L$2-1),VLOOKUP($I178,색인!$L$4:$R$11,L$2,FALSE)&amp;"_"&amp;$C178,"")</f>
        <v/>
      </c>
      <c r="M178" s="49" t="str">
        <f>IF($D178&gt;=(M$2-1),VLOOKUP($I178,색인!$L$4:$R$11,M$2,FALSE)&amp;"_"&amp;$C178,"")</f>
        <v/>
      </c>
      <c r="N178" s="49" t="str">
        <f>IF(AND(C178&gt;=6,D178&gt;=4),VLOOKUP($I178,색인!$L$4:$R$11,N$2,FALSE)&amp;"_"&amp;$C178,"")</f>
        <v/>
      </c>
      <c r="O178" s="49" t="str">
        <f>IF(AND(C178&gt;=6,D178&gt;=4),VLOOKUP($I178,색인!$L$4:$R$11,O$2,FALSE)&amp;"_"&amp;$C178,"")</f>
        <v/>
      </c>
      <c r="P178" s="50" t="str">
        <f t="shared" si="21"/>
        <v>8141</v>
      </c>
      <c r="Q178" s="49">
        <f>VLOOKUP(옵션그룹계산1!J178,색인!$E$4:$F$99,2,FALSE)</f>
        <v>107</v>
      </c>
      <c r="R178" s="49" t="str">
        <f>_xlfn.IFNA(VLOOKUP(옵션그룹계산1!K178,색인!$E$4:$F$99,2,FALSE),"")</f>
        <v/>
      </c>
      <c r="S178" s="49" t="str">
        <f>_xlfn.IFNA(VLOOKUP(옵션그룹계산1!L178,색인!$E$4:$F$99,2,FALSE),"")</f>
        <v/>
      </c>
      <c r="T178" s="49" t="str">
        <f>_xlfn.IFNA(VLOOKUP(옵션그룹계산1!M178,색인!$E$4:$F$99,2,FALSE),"")</f>
        <v/>
      </c>
      <c r="U178" s="49" t="str">
        <f>_xlfn.IFNA(VLOOKUP(옵션그룹계산1!N178,색인!$E$4:$F$99,2,FALSE),"")</f>
        <v/>
      </c>
      <c r="V178" s="49" t="str">
        <f>_xlfn.IFNA(VLOOKUP(옵션그룹계산1!O178,색인!$E$4:$F$99,2,FALSE),"")</f>
        <v/>
      </c>
      <c r="W178" s="50">
        <f t="shared" si="22"/>
        <v>8</v>
      </c>
      <c r="X178" s="50">
        <f t="shared" si="23"/>
        <v>1</v>
      </c>
      <c r="Y178" s="50">
        <f t="shared" si="24"/>
        <v>4</v>
      </c>
      <c r="Z178" s="50">
        <f t="shared" si="25"/>
        <v>1</v>
      </c>
      <c r="AA178" s="48" t="str">
        <f t="shared" si="26"/>
        <v>T8_1옵션_보주_딜러</v>
      </c>
      <c r="AB178" s="50" t="str">
        <f t="shared" si="27"/>
        <v>8141</v>
      </c>
      <c r="AC178" s="49" t="str">
        <f t="shared" si="28"/>
        <v>T8_1옵션_보주_딜러       (Grade 2)</v>
      </c>
      <c r="AD178" s="48" t="str">
        <f t="shared" si="29"/>
        <v>107</v>
      </c>
    </row>
    <row r="179" spans="3:30" x14ac:dyDescent="0.3">
      <c r="C179" s="51">
        <v>8</v>
      </c>
      <c r="D179" s="51">
        <v>1</v>
      </c>
      <c r="E179" s="51" t="s">
        <v>5396</v>
      </c>
      <c r="F179" s="51" t="s">
        <v>5395</v>
      </c>
      <c r="G179" s="50" t="str">
        <f>VLOOKUP(E179,옵션그룹계산1!$AF$4:$AH$7,3,FALSE)</f>
        <v xml:space="preserve">       </v>
      </c>
      <c r="H179" s="49" t="str">
        <f>VLOOKUP(D179,옵션그룹계산1!$AF$16:$AG$19,2,FALSE)</f>
        <v>(Grade 2)</v>
      </c>
      <c r="I179" s="50" t="str">
        <f t="shared" si="20"/>
        <v>보주_탱커</v>
      </c>
      <c r="J179" s="49" t="str">
        <f>IF($D179&gt;=(J$2-1),VLOOKUP($I179,색인!$L$4:$R$11,J$2,FALSE)&amp;"_"&amp;$C179,"")</f>
        <v>체력_8</v>
      </c>
      <c r="K179" s="49" t="str">
        <f>IF($D179&gt;=(K$2-1),VLOOKUP($I179,색인!$L$4:$R$11,K$2,FALSE)&amp;"_"&amp;$C179,"")</f>
        <v/>
      </c>
      <c r="L179" s="49" t="str">
        <f>IF($D179&gt;=(L$2-1),VLOOKUP($I179,색인!$L$4:$R$11,L$2,FALSE)&amp;"_"&amp;$C179,"")</f>
        <v/>
      </c>
      <c r="M179" s="49" t="str">
        <f>IF($D179&gt;=(M$2-1),VLOOKUP($I179,색인!$L$4:$R$11,M$2,FALSE)&amp;"_"&amp;$C179,"")</f>
        <v/>
      </c>
      <c r="N179" s="49" t="str">
        <f>IF(AND(C179&gt;=6,D179&gt;=4),VLOOKUP($I179,색인!$L$4:$R$11,N$2,FALSE)&amp;"_"&amp;$C179,"")</f>
        <v/>
      </c>
      <c r="O179" s="49" t="str">
        <f>IF(AND(C179&gt;=6,D179&gt;=4),VLOOKUP($I179,색인!$L$4:$R$11,O$2,FALSE)&amp;"_"&amp;$C179,"")</f>
        <v/>
      </c>
      <c r="P179" s="50" t="str">
        <f t="shared" si="21"/>
        <v>8142</v>
      </c>
      <c r="Q179" s="49">
        <f>VLOOKUP(옵션그룹계산1!J179,색인!$E$4:$F$99,2,FALSE)</f>
        <v>207</v>
      </c>
      <c r="R179" s="49" t="str">
        <f>_xlfn.IFNA(VLOOKUP(옵션그룹계산1!K179,색인!$E$4:$F$99,2,FALSE),"")</f>
        <v/>
      </c>
      <c r="S179" s="49" t="str">
        <f>_xlfn.IFNA(VLOOKUP(옵션그룹계산1!L179,색인!$E$4:$F$99,2,FALSE),"")</f>
        <v/>
      </c>
      <c r="T179" s="49" t="str">
        <f>_xlfn.IFNA(VLOOKUP(옵션그룹계산1!M179,색인!$E$4:$F$99,2,FALSE),"")</f>
        <v/>
      </c>
      <c r="U179" s="49" t="str">
        <f>_xlfn.IFNA(VLOOKUP(옵션그룹계산1!N179,색인!$E$4:$F$99,2,FALSE),"")</f>
        <v/>
      </c>
      <c r="V179" s="49" t="str">
        <f>_xlfn.IFNA(VLOOKUP(옵션그룹계산1!O179,색인!$E$4:$F$99,2,FALSE),"")</f>
        <v/>
      </c>
      <c r="W179" s="50">
        <f t="shared" si="22"/>
        <v>8</v>
      </c>
      <c r="X179" s="50">
        <f t="shared" si="23"/>
        <v>1</v>
      </c>
      <c r="Y179" s="50">
        <f t="shared" si="24"/>
        <v>4</v>
      </c>
      <c r="Z179" s="50">
        <f t="shared" si="25"/>
        <v>2</v>
      </c>
      <c r="AA179" s="48" t="str">
        <f t="shared" si="26"/>
        <v>T8_1옵션_보주_탱커</v>
      </c>
      <c r="AB179" s="50" t="str">
        <f t="shared" si="27"/>
        <v>8142</v>
      </c>
      <c r="AC179" s="49" t="str">
        <f t="shared" si="28"/>
        <v>T8_1옵션_보주_탱커       (Grade 2)</v>
      </c>
      <c r="AD179" s="48" t="str">
        <f t="shared" si="29"/>
        <v>207</v>
      </c>
    </row>
    <row r="180" spans="3:30" x14ac:dyDescent="0.3">
      <c r="C180" s="51">
        <v>8</v>
      </c>
      <c r="D180" s="51">
        <v>2</v>
      </c>
      <c r="E180" s="51" t="s">
        <v>5400</v>
      </c>
      <c r="F180" s="51" t="s">
        <v>5397</v>
      </c>
      <c r="G180" s="50" t="str">
        <f>VLOOKUP(E180,옵션그룹계산1!$AF$4:$AH$7,3,FALSE)</f>
        <v xml:space="preserve">    </v>
      </c>
      <c r="H180" s="49" t="str">
        <f>VLOOKUP(D180,옵션그룹계산1!$AF$16:$AG$19,2,FALSE)</f>
        <v>(Grade 3)</v>
      </c>
      <c r="I180" s="50" t="str">
        <f t="shared" si="20"/>
        <v>방어구_딜러</v>
      </c>
      <c r="J180" s="49" t="str">
        <f>IF($D180&gt;=(J$2-1),VLOOKUP($I180,색인!$L$4:$R$11,J$2,FALSE)&amp;"_"&amp;$C180,"")</f>
        <v>공격력_8</v>
      </c>
      <c r="K180" s="49" t="str">
        <f>IF($D180&gt;=(K$2-1),VLOOKUP($I180,색인!$L$4:$R$11,K$2,FALSE)&amp;"_"&amp;$C180,"")</f>
        <v>공격속도_8</v>
      </c>
      <c r="L180" s="49" t="str">
        <f>IF($D180&gt;=(L$2-1),VLOOKUP($I180,색인!$L$4:$R$11,L$2,FALSE)&amp;"_"&amp;$C180,"")</f>
        <v/>
      </c>
      <c r="M180" s="49" t="str">
        <f>IF($D180&gt;=(M$2-1),VLOOKUP($I180,색인!$L$4:$R$11,M$2,FALSE)&amp;"_"&amp;$C180,"")</f>
        <v/>
      </c>
      <c r="N180" s="49" t="str">
        <f>IF(AND(C180&gt;=6,D180&gt;=4),VLOOKUP($I180,색인!$L$4:$R$11,N$2,FALSE)&amp;"_"&amp;$C180,"")</f>
        <v/>
      </c>
      <c r="O180" s="49" t="str">
        <f>IF(AND(C180&gt;=6,D180&gt;=4),VLOOKUP($I180,색인!$L$4:$R$11,O$2,FALSE)&amp;"_"&amp;$C180,"")</f>
        <v/>
      </c>
      <c r="P180" s="50" t="str">
        <f t="shared" si="21"/>
        <v>8211</v>
      </c>
      <c r="Q180" s="49">
        <f>VLOOKUP(옵션그룹계산1!J180,색인!$E$4:$F$99,2,FALSE)</f>
        <v>107</v>
      </c>
      <c r="R180" s="49">
        <f>_xlfn.IFNA(VLOOKUP(옵션그룹계산1!K180,색인!$E$4:$F$99,2,FALSE),"")</f>
        <v>1107</v>
      </c>
      <c r="S180" s="49" t="str">
        <f>_xlfn.IFNA(VLOOKUP(옵션그룹계산1!L180,색인!$E$4:$F$99,2,FALSE),"")</f>
        <v/>
      </c>
      <c r="T180" s="49" t="str">
        <f>_xlfn.IFNA(VLOOKUP(옵션그룹계산1!M180,색인!$E$4:$F$99,2,FALSE),"")</f>
        <v/>
      </c>
      <c r="U180" s="49" t="str">
        <f>_xlfn.IFNA(VLOOKUP(옵션그룹계산1!N180,색인!$E$4:$F$99,2,FALSE),"")</f>
        <v/>
      </c>
      <c r="V180" s="49" t="str">
        <f>_xlfn.IFNA(VLOOKUP(옵션그룹계산1!O180,색인!$E$4:$F$99,2,FALSE),"")</f>
        <v/>
      </c>
      <c r="W180" s="50">
        <f t="shared" si="22"/>
        <v>8</v>
      </c>
      <c r="X180" s="50">
        <f t="shared" si="23"/>
        <v>2</v>
      </c>
      <c r="Y180" s="50">
        <f t="shared" si="24"/>
        <v>1</v>
      </c>
      <c r="Z180" s="50">
        <f t="shared" si="25"/>
        <v>1</v>
      </c>
      <c r="AA180" s="48" t="str">
        <f t="shared" si="26"/>
        <v>T8_2옵션_방어구_딜러</v>
      </c>
      <c r="AB180" s="50" t="str">
        <f t="shared" si="27"/>
        <v>8211</v>
      </c>
      <c r="AC180" s="49" t="str">
        <f t="shared" si="28"/>
        <v>T8_2옵션_방어구_딜러    (Grade 3)</v>
      </c>
      <c r="AD180" s="48" t="str">
        <f t="shared" si="29"/>
        <v>107,1107</v>
      </c>
    </row>
    <row r="181" spans="3:30" x14ac:dyDescent="0.3">
      <c r="C181" s="51">
        <v>8</v>
      </c>
      <c r="D181" s="51">
        <v>2</v>
      </c>
      <c r="E181" s="51" t="s">
        <v>5400</v>
      </c>
      <c r="F181" s="51" t="s">
        <v>5395</v>
      </c>
      <c r="G181" s="50" t="str">
        <f>VLOOKUP(E181,옵션그룹계산1!$AF$4:$AH$7,3,FALSE)</f>
        <v xml:space="preserve">    </v>
      </c>
      <c r="H181" s="49" t="str">
        <f>VLOOKUP(D181,옵션그룹계산1!$AF$16:$AG$19,2,FALSE)</f>
        <v>(Grade 3)</v>
      </c>
      <c r="I181" s="50" t="str">
        <f t="shared" si="20"/>
        <v>방어구_탱커</v>
      </c>
      <c r="J181" s="49" t="str">
        <f>IF($D181&gt;=(J$2-1),VLOOKUP($I181,색인!$L$4:$R$11,J$2,FALSE)&amp;"_"&amp;$C181,"")</f>
        <v>공격속도_8</v>
      </c>
      <c r="K181" s="49" t="str">
        <f>IF($D181&gt;=(K$2-1),VLOOKUP($I181,색인!$L$4:$R$11,K$2,FALSE)&amp;"_"&amp;$C181,"")</f>
        <v>물리블록_8</v>
      </c>
      <c r="L181" s="49" t="str">
        <f>IF($D181&gt;=(L$2-1),VLOOKUP($I181,색인!$L$4:$R$11,L$2,FALSE)&amp;"_"&amp;$C181,"")</f>
        <v/>
      </c>
      <c r="M181" s="49" t="str">
        <f>IF($D181&gt;=(M$2-1),VLOOKUP($I181,색인!$L$4:$R$11,M$2,FALSE)&amp;"_"&amp;$C181,"")</f>
        <v/>
      </c>
      <c r="N181" s="49" t="str">
        <f>IF(AND(C181&gt;=6,D181&gt;=4),VLOOKUP($I181,색인!$L$4:$R$11,N$2,FALSE)&amp;"_"&amp;$C181,"")</f>
        <v/>
      </c>
      <c r="O181" s="49" t="str">
        <f>IF(AND(C181&gt;=6,D181&gt;=4),VLOOKUP($I181,색인!$L$4:$R$11,O$2,FALSE)&amp;"_"&amp;$C181,"")</f>
        <v/>
      </c>
      <c r="P181" s="50" t="str">
        <f t="shared" si="21"/>
        <v>8212</v>
      </c>
      <c r="Q181" s="49">
        <f>VLOOKUP(옵션그룹계산1!J181,색인!$E$4:$F$99,2,FALSE)</f>
        <v>1107</v>
      </c>
      <c r="R181" s="49">
        <f>_xlfn.IFNA(VLOOKUP(옵션그룹계산1!K181,색인!$E$4:$F$99,2,FALSE),"")</f>
        <v>907</v>
      </c>
      <c r="S181" s="49" t="str">
        <f>_xlfn.IFNA(VLOOKUP(옵션그룹계산1!L181,색인!$E$4:$F$99,2,FALSE),"")</f>
        <v/>
      </c>
      <c r="T181" s="49" t="str">
        <f>_xlfn.IFNA(VLOOKUP(옵션그룹계산1!M181,색인!$E$4:$F$99,2,FALSE),"")</f>
        <v/>
      </c>
      <c r="U181" s="49" t="str">
        <f>_xlfn.IFNA(VLOOKUP(옵션그룹계산1!N181,색인!$E$4:$F$99,2,FALSE),"")</f>
        <v/>
      </c>
      <c r="V181" s="49" t="str">
        <f>_xlfn.IFNA(VLOOKUP(옵션그룹계산1!O181,색인!$E$4:$F$99,2,FALSE),"")</f>
        <v/>
      </c>
      <c r="W181" s="50">
        <f t="shared" si="22"/>
        <v>8</v>
      </c>
      <c r="X181" s="50">
        <f t="shared" si="23"/>
        <v>2</v>
      </c>
      <c r="Y181" s="50">
        <f t="shared" si="24"/>
        <v>1</v>
      </c>
      <c r="Z181" s="50">
        <f t="shared" si="25"/>
        <v>2</v>
      </c>
      <c r="AA181" s="48" t="str">
        <f t="shared" si="26"/>
        <v>T8_2옵션_방어구_탱커</v>
      </c>
      <c r="AB181" s="50" t="str">
        <f t="shared" si="27"/>
        <v>8212</v>
      </c>
      <c r="AC181" s="49" t="str">
        <f t="shared" si="28"/>
        <v>T8_2옵션_방어구_탱커    (Grade 3)</v>
      </c>
      <c r="AD181" s="48" t="str">
        <f t="shared" si="29"/>
        <v>1107,907</v>
      </c>
    </row>
    <row r="182" spans="3:30" x14ac:dyDescent="0.3">
      <c r="C182" s="51">
        <v>8</v>
      </c>
      <c r="D182" s="51">
        <v>2</v>
      </c>
      <c r="E182" s="51" t="s">
        <v>5399</v>
      </c>
      <c r="F182" s="51" t="s">
        <v>5397</v>
      </c>
      <c r="G182" s="50" t="str">
        <f>VLOOKUP(E182,옵션그룹계산1!$AF$4:$AH$7,3,FALSE)</f>
        <v xml:space="preserve"> </v>
      </c>
      <c r="H182" s="49" t="str">
        <f>VLOOKUP(D182,옵션그룹계산1!$AF$16:$AG$19,2,FALSE)</f>
        <v>(Grade 3)</v>
      </c>
      <c r="I182" s="50" t="str">
        <f t="shared" si="20"/>
        <v>보조장비_딜러</v>
      </c>
      <c r="J182" s="49" t="str">
        <f>IF($D182&gt;=(J$2-1),VLOOKUP($I182,색인!$L$4:$R$11,J$2,FALSE)&amp;"_"&amp;$C182,"")</f>
        <v>공격력_8</v>
      </c>
      <c r="K182" s="49" t="str">
        <f>IF($D182&gt;=(K$2-1),VLOOKUP($I182,색인!$L$4:$R$11,K$2,FALSE)&amp;"_"&amp;$C182,"")</f>
        <v>공격속도_8</v>
      </c>
      <c r="L182" s="49" t="str">
        <f>IF($D182&gt;=(L$2-1),VLOOKUP($I182,색인!$L$4:$R$11,L$2,FALSE)&amp;"_"&amp;$C182,"")</f>
        <v/>
      </c>
      <c r="M182" s="49" t="str">
        <f>IF($D182&gt;=(M$2-1),VLOOKUP($I182,색인!$L$4:$R$11,M$2,FALSE)&amp;"_"&amp;$C182,"")</f>
        <v/>
      </c>
      <c r="N182" s="49" t="str">
        <f>IF(AND(C182&gt;=6,D182&gt;=4),VLOOKUP($I182,색인!$L$4:$R$11,N$2,FALSE)&amp;"_"&amp;$C182,"")</f>
        <v/>
      </c>
      <c r="O182" s="49" t="str">
        <f>IF(AND(C182&gt;=6,D182&gt;=4),VLOOKUP($I182,색인!$L$4:$R$11,O$2,FALSE)&amp;"_"&amp;$C182,"")</f>
        <v/>
      </c>
      <c r="P182" s="50" t="str">
        <f t="shared" si="21"/>
        <v>8221</v>
      </c>
      <c r="Q182" s="49">
        <f>VLOOKUP(옵션그룹계산1!J182,색인!$E$4:$F$99,2,FALSE)</f>
        <v>107</v>
      </c>
      <c r="R182" s="49">
        <f>_xlfn.IFNA(VLOOKUP(옵션그룹계산1!K182,색인!$E$4:$F$99,2,FALSE),"")</f>
        <v>1107</v>
      </c>
      <c r="S182" s="49" t="str">
        <f>_xlfn.IFNA(VLOOKUP(옵션그룹계산1!L182,색인!$E$4:$F$99,2,FALSE),"")</f>
        <v/>
      </c>
      <c r="T182" s="49" t="str">
        <f>_xlfn.IFNA(VLOOKUP(옵션그룹계산1!M182,색인!$E$4:$F$99,2,FALSE),"")</f>
        <v/>
      </c>
      <c r="U182" s="49" t="str">
        <f>_xlfn.IFNA(VLOOKUP(옵션그룹계산1!N182,색인!$E$4:$F$99,2,FALSE),"")</f>
        <v/>
      </c>
      <c r="V182" s="49" t="str">
        <f>_xlfn.IFNA(VLOOKUP(옵션그룹계산1!O182,색인!$E$4:$F$99,2,FALSE),"")</f>
        <v/>
      </c>
      <c r="W182" s="50">
        <f t="shared" si="22"/>
        <v>8</v>
      </c>
      <c r="X182" s="50">
        <f t="shared" si="23"/>
        <v>2</v>
      </c>
      <c r="Y182" s="50">
        <f t="shared" si="24"/>
        <v>2</v>
      </c>
      <c r="Z182" s="50">
        <f t="shared" si="25"/>
        <v>1</v>
      </c>
      <c r="AA182" s="48" t="str">
        <f t="shared" si="26"/>
        <v>T8_2옵션_보조장비_딜러</v>
      </c>
      <c r="AB182" s="50" t="str">
        <f t="shared" si="27"/>
        <v>8221</v>
      </c>
      <c r="AC182" s="49" t="str">
        <f t="shared" si="28"/>
        <v>T8_2옵션_보조장비_딜러 (Grade 3)</v>
      </c>
      <c r="AD182" s="48" t="str">
        <f t="shared" si="29"/>
        <v>107,1107</v>
      </c>
    </row>
    <row r="183" spans="3:30" x14ac:dyDescent="0.3">
      <c r="C183" s="51">
        <v>8</v>
      </c>
      <c r="D183" s="51">
        <v>2</v>
      </c>
      <c r="E183" s="51" t="s">
        <v>5399</v>
      </c>
      <c r="F183" s="51" t="s">
        <v>5395</v>
      </c>
      <c r="G183" s="50" t="str">
        <f>VLOOKUP(E183,옵션그룹계산1!$AF$4:$AH$7,3,FALSE)</f>
        <v xml:space="preserve"> </v>
      </c>
      <c r="H183" s="49" t="str">
        <f>VLOOKUP(D183,옵션그룹계산1!$AF$16:$AG$19,2,FALSE)</f>
        <v>(Grade 3)</v>
      </c>
      <c r="I183" s="50" t="str">
        <f t="shared" si="20"/>
        <v>보조장비_탱커</v>
      </c>
      <c r="J183" s="49" t="str">
        <f>IF($D183&gt;=(J$2-1),VLOOKUP($I183,색인!$L$4:$R$11,J$2,FALSE)&amp;"_"&amp;$C183,"")</f>
        <v>공격속도_8</v>
      </c>
      <c r="K183" s="49" t="str">
        <f>IF($D183&gt;=(K$2-1),VLOOKUP($I183,색인!$L$4:$R$11,K$2,FALSE)&amp;"_"&amp;$C183,"")</f>
        <v>마법블록_8</v>
      </c>
      <c r="L183" s="49" t="str">
        <f>IF($D183&gt;=(L$2-1),VLOOKUP($I183,색인!$L$4:$R$11,L$2,FALSE)&amp;"_"&amp;$C183,"")</f>
        <v/>
      </c>
      <c r="M183" s="49" t="str">
        <f>IF($D183&gt;=(M$2-1),VLOOKUP($I183,색인!$L$4:$R$11,M$2,FALSE)&amp;"_"&amp;$C183,"")</f>
        <v/>
      </c>
      <c r="N183" s="49" t="str">
        <f>IF(AND(C183&gt;=6,D183&gt;=4),VLOOKUP($I183,색인!$L$4:$R$11,N$2,FALSE)&amp;"_"&amp;$C183,"")</f>
        <v/>
      </c>
      <c r="O183" s="49" t="str">
        <f>IF(AND(C183&gt;=6,D183&gt;=4),VLOOKUP($I183,색인!$L$4:$R$11,O$2,FALSE)&amp;"_"&amp;$C183,"")</f>
        <v/>
      </c>
      <c r="P183" s="50" t="str">
        <f t="shared" si="21"/>
        <v>8222</v>
      </c>
      <c r="Q183" s="49">
        <f>VLOOKUP(옵션그룹계산1!J183,색인!$E$4:$F$99,2,FALSE)</f>
        <v>1107</v>
      </c>
      <c r="R183" s="49">
        <f>_xlfn.IFNA(VLOOKUP(옵션그룹계산1!K183,색인!$E$4:$F$99,2,FALSE),"")</f>
        <v>1907</v>
      </c>
      <c r="S183" s="49" t="str">
        <f>_xlfn.IFNA(VLOOKUP(옵션그룹계산1!L183,색인!$E$4:$F$99,2,FALSE),"")</f>
        <v/>
      </c>
      <c r="T183" s="49" t="str">
        <f>_xlfn.IFNA(VLOOKUP(옵션그룹계산1!M183,색인!$E$4:$F$99,2,FALSE),"")</f>
        <v/>
      </c>
      <c r="U183" s="49" t="str">
        <f>_xlfn.IFNA(VLOOKUP(옵션그룹계산1!N183,색인!$E$4:$F$99,2,FALSE),"")</f>
        <v/>
      </c>
      <c r="V183" s="49" t="str">
        <f>_xlfn.IFNA(VLOOKUP(옵션그룹계산1!O183,색인!$E$4:$F$99,2,FALSE),"")</f>
        <v/>
      </c>
      <c r="W183" s="50">
        <f t="shared" si="22"/>
        <v>8</v>
      </c>
      <c r="X183" s="50">
        <f t="shared" si="23"/>
        <v>2</v>
      </c>
      <c r="Y183" s="50">
        <f t="shared" si="24"/>
        <v>2</v>
      </c>
      <c r="Z183" s="50">
        <f t="shared" si="25"/>
        <v>2</v>
      </c>
      <c r="AA183" s="48" t="str">
        <f t="shared" si="26"/>
        <v>T8_2옵션_보조장비_탱커</v>
      </c>
      <c r="AB183" s="50" t="str">
        <f t="shared" si="27"/>
        <v>8222</v>
      </c>
      <c r="AC183" s="49" t="str">
        <f t="shared" si="28"/>
        <v>T8_2옵션_보조장비_탱커 (Grade 3)</v>
      </c>
      <c r="AD183" s="48" t="str">
        <f t="shared" si="29"/>
        <v>1107,1907</v>
      </c>
    </row>
    <row r="184" spans="3:30" x14ac:dyDescent="0.3">
      <c r="C184" s="51">
        <v>8</v>
      </c>
      <c r="D184" s="51">
        <v>2</v>
      </c>
      <c r="E184" s="51" t="s">
        <v>5398</v>
      </c>
      <c r="F184" s="51" t="s">
        <v>5397</v>
      </c>
      <c r="G184" s="50" t="str">
        <f>VLOOKUP(E184,옵션그룹계산1!$AF$4:$AH$7,3,FALSE)</f>
        <v xml:space="preserve">    </v>
      </c>
      <c r="H184" s="49" t="str">
        <f>VLOOKUP(D184,옵션그룹계산1!$AF$16:$AG$19,2,FALSE)</f>
        <v>(Grade 3)</v>
      </c>
      <c r="I184" s="50" t="str">
        <f t="shared" si="20"/>
        <v>장신구_딜러</v>
      </c>
      <c r="J184" s="49" t="str">
        <f>IF($D184&gt;=(J$2-1),VLOOKUP($I184,색인!$L$4:$R$11,J$2,FALSE)&amp;"_"&amp;$C184,"")</f>
        <v>공격력_8</v>
      </c>
      <c r="K184" s="49" t="str">
        <f>IF($D184&gt;=(K$2-1),VLOOKUP($I184,색인!$L$4:$R$11,K$2,FALSE)&amp;"_"&amp;$C184,"")</f>
        <v>공격속도_8</v>
      </c>
      <c r="L184" s="49" t="str">
        <f>IF($D184&gt;=(L$2-1),VLOOKUP($I184,색인!$L$4:$R$11,L$2,FALSE)&amp;"_"&amp;$C184,"")</f>
        <v/>
      </c>
      <c r="M184" s="49" t="str">
        <f>IF($D184&gt;=(M$2-1),VLOOKUP($I184,색인!$L$4:$R$11,M$2,FALSE)&amp;"_"&amp;$C184,"")</f>
        <v/>
      </c>
      <c r="N184" s="49" t="str">
        <f>IF(AND(C184&gt;=6,D184&gt;=4),VLOOKUP($I184,색인!$L$4:$R$11,N$2,FALSE)&amp;"_"&amp;$C184,"")</f>
        <v/>
      </c>
      <c r="O184" s="49" t="str">
        <f>IF(AND(C184&gt;=6,D184&gt;=4),VLOOKUP($I184,색인!$L$4:$R$11,O$2,FALSE)&amp;"_"&amp;$C184,"")</f>
        <v/>
      </c>
      <c r="P184" s="50" t="str">
        <f t="shared" si="21"/>
        <v>8231</v>
      </c>
      <c r="Q184" s="49">
        <f>VLOOKUP(옵션그룹계산1!J184,색인!$E$4:$F$99,2,FALSE)</f>
        <v>107</v>
      </c>
      <c r="R184" s="49">
        <f>_xlfn.IFNA(VLOOKUP(옵션그룹계산1!K184,색인!$E$4:$F$99,2,FALSE),"")</f>
        <v>1107</v>
      </c>
      <c r="S184" s="49" t="str">
        <f>_xlfn.IFNA(VLOOKUP(옵션그룹계산1!L184,색인!$E$4:$F$99,2,FALSE),"")</f>
        <v/>
      </c>
      <c r="T184" s="49" t="str">
        <f>_xlfn.IFNA(VLOOKUP(옵션그룹계산1!M184,색인!$E$4:$F$99,2,FALSE),"")</f>
        <v/>
      </c>
      <c r="U184" s="49" t="str">
        <f>_xlfn.IFNA(VLOOKUP(옵션그룹계산1!N184,색인!$E$4:$F$99,2,FALSE),"")</f>
        <v/>
      </c>
      <c r="V184" s="49" t="str">
        <f>_xlfn.IFNA(VLOOKUP(옵션그룹계산1!O184,색인!$E$4:$F$99,2,FALSE),"")</f>
        <v/>
      </c>
      <c r="W184" s="50">
        <f t="shared" si="22"/>
        <v>8</v>
      </c>
      <c r="X184" s="50">
        <f t="shared" si="23"/>
        <v>2</v>
      </c>
      <c r="Y184" s="50">
        <f t="shared" si="24"/>
        <v>3</v>
      </c>
      <c r="Z184" s="50">
        <f t="shared" si="25"/>
        <v>1</v>
      </c>
      <c r="AA184" s="48" t="str">
        <f t="shared" si="26"/>
        <v>T8_2옵션_장신구_딜러</v>
      </c>
      <c r="AB184" s="50" t="str">
        <f t="shared" si="27"/>
        <v>8231</v>
      </c>
      <c r="AC184" s="49" t="str">
        <f t="shared" si="28"/>
        <v>T8_2옵션_장신구_딜러    (Grade 3)</v>
      </c>
      <c r="AD184" s="48" t="str">
        <f t="shared" si="29"/>
        <v>107,1107</v>
      </c>
    </row>
    <row r="185" spans="3:30" x14ac:dyDescent="0.3">
      <c r="C185" s="51">
        <v>8</v>
      </c>
      <c r="D185" s="51">
        <v>2</v>
      </c>
      <c r="E185" s="51" t="s">
        <v>5398</v>
      </c>
      <c r="F185" s="51" t="s">
        <v>5395</v>
      </c>
      <c r="G185" s="50" t="str">
        <f>VLOOKUP(E185,옵션그룹계산1!$AF$4:$AH$7,3,FALSE)</f>
        <v xml:space="preserve">    </v>
      </c>
      <c r="H185" s="49" t="str">
        <f>VLOOKUP(D185,옵션그룹계산1!$AF$16:$AG$19,2,FALSE)</f>
        <v>(Grade 3)</v>
      </c>
      <c r="I185" s="50" t="str">
        <f t="shared" si="20"/>
        <v>장신구_탱커</v>
      </c>
      <c r="J185" s="49" t="str">
        <f>IF($D185&gt;=(J$2-1),VLOOKUP($I185,색인!$L$4:$R$11,J$2,FALSE)&amp;"_"&amp;$C185,"")</f>
        <v>체력_8</v>
      </c>
      <c r="K185" s="49" t="str">
        <f>IF($D185&gt;=(K$2-1),VLOOKUP($I185,색인!$L$4:$R$11,K$2,FALSE)&amp;"_"&amp;$C185,"")</f>
        <v>물리블록_8</v>
      </c>
      <c r="L185" s="49" t="str">
        <f>IF($D185&gt;=(L$2-1),VLOOKUP($I185,색인!$L$4:$R$11,L$2,FALSE)&amp;"_"&amp;$C185,"")</f>
        <v/>
      </c>
      <c r="M185" s="49" t="str">
        <f>IF($D185&gt;=(M$2-1),VLOOKUP($I185,색인!$L$4:$R$11,M$2,FALSE)&amp;"_"&amp;$C185,"")</f>
        <v/>
      </c>
      <c r="N185" s="49" t="str">
        <f>IF(AND(C185&gt;=6,D185&gt;=4),VLOOKUP($I185,색인!$L$4:$R$11,N$2,FALSE)&amp;"_"&amp;$C185,"")</f>
        <v/>
      </c>
      <c r="O185" s="49" t="str">
        <f>IF(AND(C185&gt;=6,D185&gt;=4),VLOOKUP($I185,색인!$L$4:$R$11,O$2,FALSE)&amp;"_"&amp;$C185,"")</f>
        <v/>
      </c>
      <c r="P185" s="50" t="str">
        <f t="shared" si="21"/>
        <v>8232</v>
      </c>
      <c r="Q185" s="49">
        <f>VLOOKUP(옵션그룹계산1!J185,색인!$E$4:$F$99,2,FALSE)</f>
        <v>207</v>
      </c>
      <c r="R185" s="49">
        <f>_xlfn.IFNA(VLOOKUP(옵션그룹계산1!K185,색인!$E$4:$F$99,2,FALSE),"")</f>
        <v>907</v>
      </c>
      <c r="S185" s="49" t="str">
        <f>_xlfn.IFNA(VLOOKUP(옵션그룹계산1!L185,색인!$E$4:$F$99,2,FALSE),"")</f>
        <v/>
      </c>
      <c r="T185" s="49" t="str">
        <f>_xlfn.IFNA(VLOOKUP(옵션그룹계산1!M185,색인!$E$4:$F$99,2,FALSE),"")</f>
        <v/>
      </c>
      <c r="U185" s="49" t="str">
        <f>_xlfn.IFNA(VLOOKUP(옵션그룹계산1!N185,색인!$E$4:$F$99,2,FALSE),"")</f>
        <v/>
      </c>
      <c r="V185" s="49" t="str">
        <f>_xlfn.IFNA(VLOOKUP(옵션그룹계산1!O185,색인!$E$4:$F$99,2,FALSE),"")</f>
        <v/>
      </c>
      <c r="W185" s="50">
        <f t="shared" si="22"/>
        <v>8</v>
      </c>
      <c r="X185" s="50">
        <f t="shared" si="23"/>
        <v>2</v>
      </c>
      <c r="Y185" s="50">
        <f t="shared" si="24"/>
        <v>3</v>
      </c>
      <c r="Z185" s="50">
        <f t="shared" si="25"/>
        <v>2</v>
      </c>
      <c r="AA185" s="48" t="str">
        <f t="shared" si="26"/>
        <v>T8_2옵션_장신구_탱커</v>
      </c>
      <c r="AB185" s="50" t="str">
        <f t="shared" si="27"/>
        <v>8232</v>
      </c>
      <c r="AC185" s="49" t="str">
        <f t="shared" si="28"/>
        <v>T8_2옵션_장신구_탱커    (Grade 3)</v>
      </c>
      <c r="AD185" s="48" t="str">
        <f t="shared" si="29"/>
        <v>207,907</v>
      </c>
    </row>
    <row r="186" spans="3:30" x14ac:dyDescent="0.3">
      <c r="C186" s="51">
        <v>8</v>
      </c>
      <c r="D186" s="51">
        <v>2</v>
      </c>
      <c r="E186" s="51" t="s">
        <v>5396</v>
      </c>
      <c r="F186" s="51" t="s">
        <v>5397</v>
      </c>
      <c r="G186" s="50" t="str">
        <f>VLOOKUP(E186,옵션그룹계산1!$AF$4:$AH$7,3,FALSE)</f>
        <v xml:space="preserve">       </v>
      </c>
      <c r="H186" s="49" t="str">
        <f>VLOOKUP(D186,옵션그룹계산1!$AF$16:$AG$19,2,FALSE)</f>
        <v>(Grade 3)</v>
      </c>
      <c r="I186" s="50" t="str">
        <f t="shared" si="20"/>
        <v>보주_딜러</v>
      </c>
      <c r="J186" s="49" t="str">
        <f>IF($D186&gt;=(J$2-1),VLOOKUP($I186,색인!$L$4:$R$11,J$2,FALSE)&amp;"_"&amp;$C186,"")</f>
        <v>공격력_8</v>
      </c>
      <c r="K186" s="49" t="str">
        <f>IF($D186&gt;=(K$2-1),VLOOKUP($I186,색인!$L$4:$R$11,K$2,FALSE)&amp;"_"&amp;$C186,"")</f>
        <v>공격속도_8</v>
      </c>
      <c r="L186" s="49" t="str">
        <f>IF($D186&gt;=(L$2-1),VLOOKUP($I186,색인!$L$4:$R$11,L$2,FALSE)&amp;"_"&amp;$C186,"")</f>
        <v/>
      </c>
      <c r="M186" s="49" t="str">
        <f>IF($D186&gt;=(M$2-1),VLOOKUP($I186,색인!$L$4:$R$11,M$2,FALSE)&amp;"_"&amp;$C186,"")</f>
        <v/>
      </c>
      <c r="N186" s="49" t="str">
        <f>IF(AND(C186&gt;=6,D186&gt;=4),VLOOKUP($I186,색인!$L$4:$R$11,N$2,FALSE)&amp;"_"&amp;$C186,"")</f>
        <v/>
      </c>
      <c r="O186" s="49" t="str">
        <f>IF(AND(C186&gt;=6,D186&gt;=4),VLOOKUP($I186,색인!$L$4:$R$11,O$2,FALSE)&amp;"_"&amp;$C186,"")</f>
        <v/>
      </c>
      <c r="P186" s="50" t="str">
        <f t="shared" si="21"/>
        <v>8241</v>
      </c>
      <c r="Q186" s="49">
        <f>VLOOKUP(옵션그룹계산1!J186,색인!$E$4:$F$99,2,FALSE)</f>
        <v>107</v>
      </c>
      <c r="R186" s="49">
        <f>_xlfn.IFNA(VLOOKUP(옵션그룹계산1!K186,색인!$E$4:$F$99,2,FALSE),"")</f>
        <v>1107</v>
      </c>
      <c r="S186" s="49" t="str">
        <f>_xlfn.IFNA(VLOOKUP(옵션그룹계산1!L186,색인!$E$4:$F$99,2,FALSE),"")</f>
        <v/>
      </c>
      <c r="T186" s="49" t="str">
        <f>_xlfn.IFNA(VLOOKUP(옵션그룹계산1!M186,색인!$E$4:$F$99,2,FALSE),"")</f>
        <v/>
      </c>
      <c r="U186" s="49" t="str">
        <f>_xlfn.IFNA(VLOOKUP(옵션그룹계산1!N186,색인!$E$4:$F$99,2,FALSE),"")</f>
        <v/>
      </c>
      <c r="V186" s="49" t="str">
        <f>_xlfn.IFNA(VLOOKUP(옵션그룹계산1!O186,색인!$E$4:$F$99,2,FALSE),"")</f>
        <v/>
      </c>
      <c r="W186" s="50">
        <f t="shared" si="22"/>
        <v>8</v>
      </c>
      <c r="X186" s="50">
        <f t="shared" si="23"/>
        <v>2</v>
      </c>
      <c r="Y186" s="50">
        <f t="shared" si="24"/>
        <v>4</v>
      </c>
      <c r="Z186" s="50">
        <f t="shared" si="25"/>
        <v>1</v>
      </c>
      <c r="AA186" s="48" t="str">
        <f t="shared" si="26"/>
        <v>T8_2옵션_보주_딜러</v>
      </c>
      <c r="AB186" s="50" t="str">
        <f t="shared" si="27"/>
        <v>8241</v>
      </c>
      <c r="AC186" s="49" t="str">
        <f t="shared" si="28"/>
        <v>T8_2옵션_보주_딜러       (Grade 3)</v>
      </c>
      <c r="AD186" s="48" t="str">
        <f t="shared" si="29"/>
        <v>107,1107</v>
      </c>
    </row>
    <row r="187" spans="3:30" x14ac:dyDescent="0.3">
      <c r="C187" s="51">
        <v>8</v>
      </c>
      <c r="D187" s="51">
        <v>2</v>
      </c>
      <c r="E187" s="51" t="s">
        <v>5396</v>
      </c>
      <c r="F187" s="51" t="s">
        <v>5395</v>
      </c>
      <c r="G187" s="50" t="str">
        <f>VLOOKUP(E187,옵션그룹계산1!$AF$4:$AH$7,3,FALSE)</f>
        <v xml:space="preserve">       </v>
      </c>
      <c r="H187" s="49" t="str">
        <f>VLOOKUP(D187,옵션그룹계산1!$AF$16:$AG$19,2,FALSE)</f>
        <v>(Grade 3)</v>
      </c>
      <c r="I187" s="50" t="str">
        <f t="shared" si="20"/>
        <v>보주_탱커</v>
      </c>
      <c r="J187" s="49" t="str">
        <f>IF($D187&gt;=(J$2-1),VLOOKUP($I187,색인!$L$4:$R$11,J$2,FALSE)&amp;"_"&amp;$C187,"")</f>
        <v>체력_8</v>
      </c>
      <c r="K187" s="49" t="str">
        <f>IF($D187&gt;=(K$2-1),VLOOKUP($I187,색인!$L$4:$R$11,K$2,FALSE)&amp;"_"&amp;$C187,"")</f>
        <v>물리블록_8</v>
      </c>
      <c r="L187" s="49" t="str">
        <f>IF($D187&gt;=(L$2-1),VLOOKUP($I187,색인!$L$4:$R$11,L$2,FALSE)&amp;"_"&amp;$C187,"")</f>
        <v/>
      </c>
      <c r="M187" s="49" t="str">
        <f>IF($D187&gt;=(M$2-1),VLOOKUP($I187,색인!$L$4:$R$11,M$2,FALSE)&amp;"_"&amp;$C187,"")</f>
        <v/>
      </c>
      <c r="N187" s="49" t="str">
        <f>IF(AND(C187&gt;=6,D187&gt;=4),VLOOKUP($I187,색인!$L$4:$R$11,N$2,FALSE)&amp;"_"&amp;$C187,"")</f>
        <v/>
      </c>
      <c r="O187" s="49" t="str">
        <f>IF(AND(C187&gt;=6,D187&gt;=4),VLOOKUP($I187,색인!$L$4:$R$11,O$2,FALSE)&amp;"_"&amp;$C187,"")</f>
        <v/>
      </c>
      <c r="P187" s="50" t="str">
        <f t="shared" si="21"/>
        <v>8242</v>
      </c>
      <c r="Q187" s="49">
        <f>VLOOKUP(옵션그룹계산1!J187,색인!$E$4:$F$99,2,FALSE)</f>
        <v>207</v>
      </c>
      <c r="R187" s="49">
        <f>_xlfn.IFNA(VLOOKUP(옵션그룹계산1!K187,색인!$E$4:$F$99,2,FALSE),"")</f>
        <v>907</v>
      </c>
      <c r="S187" s="49" t="str">
        <f>_xlfn.IFNA(VLOOKUP(옵션그룹계산1!L187,색인!$E$4:$F$99,2,FALSE),"")</f>
        <v/>
      </c>
      <c r="T187" s="49" t="str">
        <f>_xlfn.IFNA(VLOOKUP(옵션그룹계산1!M187,색인!$E$4:$F$99,2,FALSE),"")</f>
        <v/>
      </c>
      <c r="U187" s="49" t="str">
        <f>_xlfn.IFNA(VLOOKUP(옵션그룹계산1!N187,색인!$E$4:$F$99,2,FALSE),"")</f>
        <v/>
      </c>
      <c r="V187" s="49" t="str">
        <f>_xlfn.IFNA(VLOOKUP(옵션그룹계산1!O187,색인!$E$4:$F$99,2,FALSE),"")</f>
        <v/>
      </c>
      <c r="W187" s="50">
        <f t="shared" si="22"/>
        <v>8</v>
      </c>
      <c r="X187" s="50">
        <f t="shared" si="23"/>
        <v>2</v>
      </c>
      <c r="Y187" s="50">
        <f t="shared" si="24"/>
        <v>4</v>
      </c>
      <c r="Z187" s="50">
        <f t="shared" si="25"/>
        <v>2</v>
      </c>
      <c r="AA187" s="48" t="str">
        <f t="shared" si="26"/>
        <v>T8_2옵션_보주_탱커</v>
      </c>
      <c r="AB187" s="50" t="str">
        <f t="shared" si="27"/>
        <v>8242</v>
      </c>
      <c r="AC187" s="49" t="str">
        <f t="shared" si="28"/>
        <v>T8_2옵션_보주_탱커       (Grade 3)</v>
      </c>
      <c r="AD187" s="48" t="str">
        <f t="shared" si="29"/>
        <v>207,907</v>
      </c>
    </row>
    <row r="188" spans="3:30" x14ac:dyDescent="0.3">
      <c r="C188" s="51">
        <v>8</v>
      </c>
      <c r="D188" s="51">
        <v>3</v>
      </c>
      <c r="E188" s="51" t="s">
        <v>5400</v>
      </c>
      <c r="F188" s="51" t="s">
        <v>5397</v>
      </c>
      <c r="G188" s="50" t="str">
        <f>VLOOKUP(E188,옵션그룹계산1!$AF$4:$AH$7,3,FALSE)</f>
        <v xml:space="preserve">    </v>
      </c>
      <c r="H188" s="49" t="str">
        <f>VLOOKUP(D188,옵션그룹계산1!$AF$16:$AG$19,2,FALSE)</f>
        <v>(Grade 4~5)</v>
      </c>
      <c r="I188" s="50" t="str">
        <f t="shared" si="20"/>
        <v>방어구_딜러</v>
      </c>
      <c r="J188" s="49" t="str">
        <f>IF($D188&gt;=(J$2-1),VLOOKUP($I188,색인!$L$4:$R$11,J$2,FALSE)&amp;"_"&amp;$C188,"")</f>
        <v>공격력_8</v>
      </c>
      <c r="K188" s="49" t="str">
        <f>IF($D188&gt;=(K$2-1),VLOOKUP($I188,색인!$L$4:$R$11,K$2,FALSE)&amp;"_"&amp;$C188,"")</f>
        <v>공격속도_8</v>
      </c>
      <c r="L188" s="49" t="str">
        <f>IF($D188&gt;=(L$2-1),VLOOKUP($I188,색인!$L$4:$R$11,L$2,FALSE)&amp;"_"&amp;$C188,"")</f>
        <v>치명타확률_8</v>
      </c>
      <c r="M188" s="49" t="str">
        <f>IF($D188&gt;=(M$2-1),VLOOKUP($I188,색인!$L$4:$R$11,M$2,FALSE)&amp;"_"&amp;$C188,"")</f>
        <v/>
      </c>
      <c r="N188" s="49" t="str">
        <f>IF(AND(C188&gt;=6,D188&gt;=4),VLOOKUP($I188,색인!$L$4:$R$11,N$2,FALSE)&amp;"_"&amp;$C188,"")</f>
        <v/>
      </c>
      <c r="O188" s="49" t="str">
        <f>IF(AND(C188&gt;=6,D188&gt;=4),VLOOKUP($I188,색인!$L$4:$R$11,O$2,FALSE)&amp;"_"&amp;$C188,"")</f>
        <v/>
      </c>
      <c r="P188" s="50" t="str">
        <f t="shared" si="21"/>
        <v>8311</v>
      </c>
      <c r="Q188" s="49">
        <f>VLOOKUP(옵션그룹계산1!J188,색인!$E$4:$F$99,2,FALSE)</f>
        <v>107</v>
      </c>
      <c r="R188" s="49">
        <f>_xlfn.IFNA(VLOOKUP(옵션그룹계산1!K188,색인!$E$4:$F$99,2,FALSE),"")</f>
        <v>1107</v>
      </c>
      <c r="S188" s="49">
        <f>_xlfn.IFNA(VLOOKUP(옵션그룹계산1!L188,색인!$E$4:$F$99,2,FALSE),"")</f>
        <v>507</v>
      </c>
      <c r="T188" s="49" t="str">
        <f>_xlfn.IFNA(VLOOKUP(옵션그룹계산1!M188,색인!$E$4:$F$99,2,FALSE),"")</f>
        <v/>
      </c>
      <c r="U188" s="49" t="str">
        <f>_xlfn.IFNA(VLOOKUP(옵션그룹계산1!N188,색인!$E$4:$F$99,2,FALSE),"")</f>
        <v/>
      </c>
      <c r="V188" s="49" t="str">
        <f>_xlfn.IFNA(VLOOKUP(옵션그룹계산1!O188,색인!$E$4:$F$99,2,FALSE),"")</f>
        <v/>
      </c>
      <c r="W188" s="50">
        <f t="shared" si="22"/>
        <v>8</v>
      </c>
      <c r="X188" s="50">
        <f t="shared" si="23"/>
        <v>3</v>
      </c>
      <c r="Y188" s="50">
        <f t="shared" si="24"/>
        <v>1</v>
      </c>
      <c r="Z188" s="50">
        <f t="shared" si="25"/>
        <v>1</v>
      </c>
      <c r="AA188" s="48" t="str">
        <f t="shared" si="26"/>
        <v>T8_3옵션_방어구_딜러</v>
      </c>
      <c r="AB188" s="50" t="str">
        <f t="shared" si="27"/>
        <v>8311</v>
      </c>
      <c r="AC188" s="49" t="str">
        <f t="shared" si="28"/>
        <v>T8_3옵션_방어구_딜러    (Grade 4~5)</v>
      </c>
      <c r="AD188" s="48" t="str">
        <f t="shared" si="29"/>
        <v>107,1107,507</v>
      </c>
    </row>
    <row r="189" spans="3:30" x14ac:dyDescent="0.3">
      <c r="C189" s="51">
        <v>8</v>
      </c>
      <c r="D189" s="51">
        <v>3</v>
      </c>
      <c r="E189" s="51" t="s">
        <v>5400</v>
      </c>
      <c r="F189" s="51" t="s">
        <v>5395</v>
      </c>
      <c r="G189" s="50" t="str">
        <f>VLOOKUP(E189,옵션그룹계산1!$AF$4:$AH$7,3,FALSE)</f>
        <v xml:space="preserve">    </v>
      </c>
      <c r="H189" s="49" t="str">
        <f>VLOOKUP(D189,옵션그룹계산1!$AF$16:$AG$19,2,FALSE)</f>
        <v>(Grade 4~5)</v>
      </c>
      <c r="I189" s="50" t="str">
        <f t="shared" si="20"/>
        <v>방어구_탱커</v>
      </c>
      <c r="J189" s="49" t="str">
        <f>IF($D189&gt;=(J$2-1),VLOOKUP($I189,색인!$L$4:$R$11,J$2,FALSE)&amp;"_"&amp;$C189,"")</f>
        <v>공격속도_8</v>
      </c>
      <c r="K189" s="49" t="str">
        <f>IF($D189&gt;=(K$2-1),VLOOKUP($I189,색인!$L$4:$R$11,K$2,FALSE)&amp;"_"&amp;$C189,"")</f>
        <v>물리블록_8</v>
      </c>
      <c r="L189" s="49" t="str">
        <f>IF($D189&gt;=(L$2-1),VLOOKUP($I189,색인!$L$4:$R$11,L$2,FALSE)&amp;"_"&amp;$C189,"")</f>
        <v>물리방어력_8</v>
      </c>
      <c r="M189" s="49" t="str">
        <f>IF($D189&gt;=(M$2-1),VLOOKUP($I189,색인!$L$4:$R$11,M$2,FALSE)&amp;"_"&amp;$C189,"")</f>
        <v/>
      </c>
      <c r="N189" s="49" t="str">
        <f>IF(AND(C189&gt;=6,D189&gt;=4),VLOOKUP($I189,색인!$L$4:$R$11,N$2,FALSE)&amp;"_"&amp;$C189,"")</f>
        <v/>
      </c>
      <c r="O189" s="49" t="str">
        <f>IF(AND(C189&gt;=6,D189&gt;=4),VLOOKUP($I189,색인!$L$4:$R$11,O$2,FALSE)&amp;"_"&amp;$C189,"")</f>
        <v/>
      </c>
      <c r="P189" s="50" t="str">
        <f t="shared" si="21"/>
        <v>8312</v>
      </c>
      <c r="Q189" s="49">
        <f>VLOOKUP(옵션그룹계산1!J189,색인!$E$4:$F$99,2,FALSE)</f>
        <v>1107</v>
      </c>
      <c r="R189" s="49">
        <f>_xlfn.IFNA(VLOOKUP(옵션그룹계산1!K189,색인!$E$4:$F$99,2,FALSE),"")</f>
        <v>907</v>
      </c>
      <c r="S189" s="49">
        <f>_xlfn.IFNA(VLOOKUP(옵션그룹계산1!L189,색인!$E$4:$F$99,2,FALSE),"")</f>
        <v>307</v>
      </c>
      <c r="T189" s="49" t="str">
        <f>_xlfn.IFNA(VLOOKUP(옵션그룹계산1!M189,색인!$E$4:$F$99,2,FALSE),"")</f>
        <v/>
      </c>
      <c r="U189" s="49" t="str">
        <f>_xlfn.IFNA(VLOOKUP(옵션그룹계산1!N189,색인!$E$4:$F$99,2,FALSE),"")</f>
        <v/>
      </c>
      <c r="V189" s="49" t="str">
        <f>_xlfn.IFNA(VLOOKUP(옵션그룹계산1!O189,색인!$E$4:$F$99,2,FALSE),"")</f>
        <v/>
      </c>
      <c r="W189" s="50">
        <f t="shared" si="22"/>
        <v>8</v>
      </c>
      <c r="X189" s="50">
        <f t="shared" si="23"/>
        <v>3</v>
      </c>
      <c r="Y189" s="50">
        <f t="shared" si="24"/>
        <v>1</v>
      </c>
      <c r="Z189" s="50">
        <f t="shared" si="25"/>
        <v>2</v>
      </c>
      <c r="AA189" s="48" t="str">
        <f t="shared" si="26"/>
        <v>T8_3옵션_방어구_탱커</v>
      </c>
      <c r="AB189" s="50" t="str">
        <f t="shared" si="27"/>
        <v>8312</v>
      </c>
      <c r="AC189" s="49" t="str">
        <f t="shared" si="28"/>
        <v>T8_3옵션_방어구_탱커    (Grade 4~5)</v>
      </c>
      <c r="AD189" s="48" t="str">
        <f t="shared" si="29"/>
        <v>1107,907,307</v>
      </c>
    </row>
    <row r="190" spans="3:30" x14ac:dyDescent="0.3">
      <c r="C190" s="51">
        <v>8</v>
      </c>
      <c r="D190" s="51">
        <v>3</v>
      </c>
      <c r="E190" s="51" t="s">
        <v>5399</v>
      </c>
      <c r="F190" s="51" t="s">
        <v>5397</v>
      </c>
      <c r="G190" s="50" t="str">
        <f>VLOOKUP(E190,옵션그룹계산1!$AF$4:$AH$7,3,FALSE)</f>
        <v xml:space="preserve"> </v>
      </c>
      <c r="H190" s="49" t="str">
        <f>VLOOKUP(D190,옵션그룹계산1!$AF$16:$AG$19,2,FALSE)</f>
        <v>(Grade 4~5)</v>
      </c>
      <c r="I190" s="50" t="str">
        <f t="shared" si="20"/>
        <v>보조장비_딜러</v>
      </c>
      <c r="J190" s="49" t="str">
        <f>IF($D190&gt;=(J$2-1),VLOOKUP($I190,색인!$L$4:$R$11,J$2,FALSE)&amp;"_"&amp;$C190,"")</f>
        <v>공격력_8</v>
      </c>
      <c r="K190" s="49" t="str">
        <f>IF($D190&gt;=(K$2-1),VLOOKUP($I190,색인!$L$4:$R$11,K$2,FALSE)&amp;"_"&amp;$C190,"")</f>
        <v>공격속도_8</v>
      </c>
      <c r="L190" s="49" t="str">
        <f>IF($D190&gt;=(L$2-1),VLOOKUP($I190,색인!$L$4:$R$11,L$2,FALSE)&amp;"_"&amp;$C190,"")</f>
        <v>치명타확률_8</v>
      </c>
      <c r="M190" s="49" t="str">
        <f>IF($D190&gt;=(M$2-1),VLOOKUP($I190,색인!$L$4:$R$11,M$2,FALSE)&amp;"_"&amp;$C190,"")</f>
        <v/>
      </c>
      <c r="N190" s="49" t="str">
        <f>IF(AND(C190&gt;=6,D190&gt;=4),VLOOKUP($I190,색인!$L$4:$R$11,N$2,FALSE)&amp;"_"&amp;$C190,"")</f>
        <v/>
      </c>
      <c r="O190" s="49" t="str">
        <f>IF(AND(C190&gt;=6,D190&gt;=4),VLOOKUP($I190,색인!$L$4:$R$11,O$2,FALSE)&amp;"_"&amp;$C190,"")</f>
        <v/>
      </c>
      <c r="P190" s="50" t="str">
        <f t="shared" si="21"/>
        <v>8321</v>
      </c>
      <c r="Q190" s="49">
        <f>VLOOKUP(옵션그룹계산1!J190,색인!$E$4:$F$99,2,FALSE)</f>
        <v>107</v>
      </c>
      <c r="R190" s="49">
        <f>_xlfn.IFNA(VLOOKUP(옵션그룹계산1!K190,색인!$E$4:$F$99,2,FALSE),"")</f>
        <v>1107</v>
      </c>
      <c r="S190" s="49">
        <f>_xlfn.IFNA(VLOOKUP(옵션그룹계산1!L190,색인!$E$4:$F$99,2,FALSE),"")</f>
        <v>507</v>
      </c>
      <c r="T190" s="49" t="str">
        <f>_xlfn.IFNA(VLOOKUP(옵션그룹계산1!M190,색인!$E$4:$F$99,2,FALSE),"")</f>
        <v/>
      </c>
      <c r="U190" s="49" t="str">
        <f>_xlfn.IFNA(VLOOKUP(옵션그룹계산1!N190,색인!$E$4:$F$99,2,FALSE),"")</f>
        <v/>
      </c>
      <c r="V190" s="49" t="str">
        <f>_xlfn.IFNA(VLOOKUP(옵션그룹계산1!O190,색인!$E$4:$F$99,2,FALSE),"")</f>
        <v/>
      </c>
      <c r="W190" s="50">
        <f t="shared" si="22"/>
        <v>8</v>
      </c>
      <c r="X190" s="50">
        <f t="shared" si="23"/>
        <v>3</v>
      </c>
      <c r="Y190" s="50">
        <f t="shared" si="24"/>
        <v>2</v>
      </c>
      <c r="Z190" s="50">
        <f t="shared" si="25"/>
        <v>1</v>
      </c>
      <c r="AA190" s="48" t="str">
        <f t="shared" si="26"/>
        <v>T8_3옵션_보조장비_딜러</v>
      </c>
      <c r="AB190" s="50" t="str">
        <f t="shared" si="27"/>
        <v>8321</v>
      </c>
      <c r="AC190" s="49" t="str">
        <f t="shared" si="28"/>
        <v>T8_3옵션_보조장비_딜러 (Grade 4~5)</v>
      </c>
      <c r="AD190" s="48" t="str">
        <f t="shared" si="29"/>
        <v>107,1107,507</v>
      </c>
    </row>
    <row r="191" spans="3:30" x14ac:dyDescent="0.3">
      <c r="C191" s="51">
        <v>8</v>
      </c>
      <c r="D191" s="51">
        <v>3</v>
      </c>
      <c r="E191" s="51" t="s">
        <v>5399</v>
      </c>
      <c r="F191" s="51" t="s">
        <v>5395</v>
      </c>
      <c r="G191" s="50" t="str">
        <f>VLOOKUP(E191,옵션그룹계산1!$AF$4:$AH$7,3,FALSE)</f>
        <v xml:space="preserve"> </v>
      </c>
      <c r="H191" s="49" t="str">
        <f>VLOOKUP(D191,옵션그룹계산1!$AF$16:$AG$19,2,FALSE)</f>
        <v>(Grade 4~5)</v>
      </c>
      <c r="I191" s="50" t="str">
        <f t="shared" si="20"/>
        <v>보조장비_탱커</v>
      </c>
      <c r="J191" s="49" t="str">
        <f>IF($D191&gt;=(J$2-1),VLOOKUP($I191,색인!$L$4:$R$11,J$2,FALSE)&amp;"_"&amp;$C191,"")</f>
        <v>공격속도_8</v>
      </c>
      <c r="K191" s="49" t="str">
        <f>IF($D191&gt;=(K$2-1),VLOOKUP($I191,색인!$L$4:$R$11,K$2,FALSE)&amp;"_"&amp;$C191,"")</f>
        <v>마법블록_8</v>
      </c>
      <c r="L191" s="49" t="str">
        <f>IF($D191&gt;=(L$2-1),VLOOKUP($I191,색인!$L$4:$R$11,L$2,FALSE)&amp;"_"&amp;$C191,"")</f>
        <v>마법방어력_8</v>
      </c>
      <c r="M191" s="49" t="str">
        <f>IF($D191&gt;=(M$2-1),VLOOKUP($I191,색인!$L$4:$R$11,M$2,FALSE)&amp;"_"&amp;$C191,"")</f>
        <v/>
      </c>
      <c r="N191" s="49" t="str">
        <f>IF(AND(C191&gt;=6,D191&gt;=4),VLOOKUP($I191,색인!$L$4:$R$11,N$2,FALSE)&amp;"_"&amp;$C191,"")</f>
        <v/>
      </c>
      <c r="O191" s="49" t="str">
        <f>IF(AND(C191&gt;=6,D191&gt;=4),VLOOKUP($I191,색인!$L$4:$R$11,O$2,FALSE)&amp;"_"&amp;$C191,"")</f>
        <v/>
      </c>
      <c r="P191" s="50" t="str">
        <f t="shared" si="21"/>
        <v>8322</v>
      </c>
      <c r="Q191" s="49">
        <f>VLOOKUP(옵션그룹계산1!J191,색인!$E$4:$F$99,2,FALSE)</f>
        <v>1107</v>
      </c>
      <c r="R191" s="49">
        <f>_xlfn.IFNA(VLOOKUP(옵션그룹계산1!K191,색인!$E$4:$F$99,2,FALSE),"")</f>
        <v>1907</v>
      </c>
      <c r="S191" s="49">
        <f>_xlfn.IFNA(VLOOKUP(옵션그룹계산1!L191,색인!$E$4:$F$99,2,FALSE),"")</f>
        <v>407</v>
      </c>
      <c r="T191" s="49" t="str">
        <f>_xlfn.IFNA(VLOOKUP(옵션그룹계산1!M191,색인!$E$4:$F$99,2,FALSE),"")</f>
        <v/>
      </c>
      <c r="U191" s="49" t="str">
        <f>_xlfn.IFNA(VLOOKUP(옵션그룹계산1!N191,색인!$E$4:$F$99,2,FALSE),"")</f>
        <v/>
      </c>
      <c r="V191" s="49" t="str">
        <f>_xlfn.IFNA(VLOOKUP(옵션그룹계산1!O191,색인!$E$4:$F$99,2,FALSE),"")</f>
        <v/>
      </c>
      <c r="W191" s="50">
        <f t="shared" si="22"/>
        <v>8</v>
      </c>
      <c r="X191" s="50">
        <f t="shared" si="23"/>
        <v>3</v>
      </c>
      <c r="Y191" s="50">
        <f t="shared" si="24"/>
        <v>2</v>
      </c>
      <c r="Z191" s="50">
        <f t="shared" si="25"/>
        <v>2</v>
      </c>
      <c r="AA191" s="48" t="str">
        <f t="shared" si="26"/>
        <v>T8_3옵션_보조장비_탱커</v>
      </c>
      <c r="AB191" s="50" t="str">
        <f t="shared" si="27"/>
        <v>8322</v>
      </c>
      <c r="AC191" s="49" t="str">
        <f t="shared" si="28"/>
        <v>T8_3옵션_보조장비_탱커 (Grade 4~5)</v>
      </c>
      <c r="AD191" s="48" t="str">
        <f t="shared" si="29"/>
        <v>1107,1907,407</v>
      </c>
    </row>
    <row r="192" spans="3:30" x14ac:dyDescent="0.3">
      <c r="C192" s="51">
        <v>8</v>
      </c>
      <c r="D192" s="51">
        <v>3</v>
      </c>
      <c r="E192" s="51" t="s">
        <v>5398</v>
      </c>
      <c r="F192" s="51" t="s">
        <v>5397</v>
      </c>
      <c r="G192" s="50" t="str">
        <f>VLOOKUP(E192,옵션그룹계산1!$AF$4:$AH$7,3,FALSE)</f>
        <v xml:space="preserve">    </v>
      </c>
      <c r="H192" s="49" t="str">
        <f>VLOOKUP(D192,옵션그룹계산1!$AF$16:$AG$19,2,FALSE)</f>
        <v>(Grade 4~5)</v>
      </c>
      <c r="I192" s="50" t="str">
        <f t="shared" si="20"/>
        <v>장신구_딜러</v>
      </c>
      <c r="J192" s="49" t="str">
        <f>IF($D192&gt;=(J$2-1),VLOOKUP($I192,색인!$L$4:$R$11,J$2,FALSE)&amp;"_"&amp;$C192,"")</f>
        <v>공격력_8</v>
      </c>
      <c r="K192" s="49" t="str">
        <f>IF($D192&gt;=(K$2-1),VLOOKUP($I192,색인!$L$4:$R$11,K$2,FALSE)&amp;"_"&amp;$C192,"")</f>
        <v>공격속도_8</v>
      </c>
      <c r="L192" s="49" t="str">
        <f>IF($D192&gt;=(L$2-1),VLOOKUP($I192,색인!$L$4:$R$11,L$2,FALSE)&amp;"_"&amp;$C192,"")</f>
        <v>치명타확률_8</v>
      </c>
      <c r="M192" s="49" t="str">
        <f>IF($D192&gt;=(M$2-1),VLOOKUP($I192,색인!$L$4:$R$11,M$2,FALSE)&amp;"_"&amp;$C192,"")</f>
        <v/>
      </c>
      <c r="N192" s="49" t="str">
        <f>IF(AND(C192&gt;=6,D192&gt;=4),VLOOKUP($I192,색인!$L$4:$R$11,N$2,FALSE)&amp;"_"&amp;$C192,"")</f>
        <v/>
      </c>
      <c r="O192" s="49" t="str">
        <f>IF(AND(C192&gt;=6,D192&gt;=4),VLOOKUP($I192,색인!$L$4:$R$11,O$2,FALSE)&amp;"_"&amp;$C192,"")</f>
        <v/>
      </c>
      <c r="P192" s="50" t="str">
        <f t="shared" si="21"/>
        <v>8331</v>
      </c>
      <c r="Q192" s="49">
        <f>VLOOKUP(옵션그룹계산1!J192,색인!$E$4:$F$99,2,FALSE)</f>
        <v>107</v>
      </c>
      <c r="R192" s="49">
        <f>_xlfn.IFNA(VLOOKUP(옵션그룹계산1!K192,색인!$E$4:$F$99,2,FALSE),"")</f>
        <v>1107</v>
      </c>
      <c r="S192" s="49">
        <f>_xlfn.IFNA(VLOOKUP(옵션그룹계산1!L192,색인!$E$4:$F$99,2,FALSE),"")</f>
        <v>507</v>
      </c>
      <c r="T192" s="49" t="str">
        <f>_xlfn.IFNA(VLOOKUP(옵션그룹계산1!M192,색인!$E$4:$F$99,2,FALSE),"")</f>
        <v/>
      </c>
      <c r="U192" s="49" t="str">
        <f>_xlfn.IFNA(VLOOKUP(옵션그룹계산1!N192,색인!$E$4:$F$99,2,FALSE),"")</f>
        <v/>
      </c>
      <c r="V192" s="49" t="str">
        <f>_xlfn.IFNA(VLOOKUP(옵션그룹계산1!O192,색인!$E$4:$F$99,2,FALSE),"")</f>
        <v/>
      </c>
      <c r="W192" s="50">
        <f t="shared" si="22"/>
        <v>8</v>
      </c>
      <c r="X192" s="50">
        <f t="shared" si="23"/>
        <v>3</v>
      </c>
      <c r="Y192" s="50">
        <f t="shared" si="24"/>
        <v>3</v>
      </c>
      <c r="Z192" s="50">
        <f t="shared" si="25"/>
        <v>1</v>
      </c>
      <c r="AA192" s="48" t="str">
        <f t="shared" si="26"/>
        <v>T8_3옵션_장신구_딜러</v>
      </c>
      <c r="AB192" s="50" t="str">
        <f t="shared" si="27"/>
        <v>8331</v>
      </c>
      <c r="AC192" s="49" t="str">
        <f t="shared" si="28"/>
        <v>T8_3옵션_장신구_딜러    (Grade 4~5)</v>
      </c>
      <c r="AD192" s="48" t="str">
        <f t="shared" si="29"/>
        <v>107,1107,507</v>
      </c>
    </row>
    <row r="193" spans="3:30" x14ac:dyDescent="0.3">
      <c r="C193" s="51">
        <v>8</v>
      </c>
      <c r="D193" s="51">
        <v>3</v>
      </c>
      <c r="E193" s="51" t="s">
        <v>5398</v>
      </c>
      <c r="F193" s="51" t="s">
        <v>5395</v>
      </c>
      <c r="G193" s="50" t="str">
        <f>VLOOKUP(E193,옵션그룹계산1!$AF$4:$AH$7,3,FALSE)</f>
        <v xml:space="preserve">    </v>
      </c>
      <c r="H193" s="49" t="str">
        <f>VLOOKUP(D193,옵션그룹계산1!$AF$16:$AG$19,2,FALSE)</f>
        <v>(Grade 4~5)</v>
      </c>
      <c r="I193" s="50" t="str">
        <f t="shared" si="20"/>
        <v>장신구_탱커</v>
      </c>
      <c r="J193" s="49" t="str">
        <f>IF($D193&gt;=(J$2-1),VLOOKUP($I193,색인!$L$4:$R$11,J$2,FALSE)&amp;"_"&amp;$C193,"")</f>
        <v>체력_8</v>
      </c>
      <c r="K193" s="49" t="str">
        <f>IF($D193&gt;=(K$2-1),VLOOKUP($I193,색인!$L$4:$R$11,K$2,FALSE)&amp;"_"&amp;$C193,"")</f>
        <v>물리블록_8</v>
      </c>
      <c r="L193" s="49" t="str">
        <f>IF($D193&gt;=(L$2-1),VLOOKUP($I193,색인!$L$4:$R$11,L$2,FALSE)&amp;"_"&amp;$C193,"")</f>
        <v>마법블록_8</v>
      </c>
      <c r="M193" s="49" t="str">
        <f>IF($D193&gt;=(M$2-1),VLOOKUP($I193,색인!$L$4:$R$11,M$2,FALSE)&amp;"_"&amp;$C193,"")</f>
        <v/>
      </c>
      <c r="N193" s="49" t="str">
        <f>IF(AND(C193&gt;=6,D193&gt;=4),VLOOKUP($I193,색인!$L$4:$R$11,N$2,FALSE)&amp;"_"&amp;$C193,"")</f>
        <v/>
      </c>
      <c r="O193" s="49" t="str">
        <f>IF(AND(C193&gt;=6,D193&gt;=4),VLOOKUP($I193,색인!$L$4:$R$11,O$2,FALSE)&amp;"_"&amp;$C193,"")</f>
        <v/>
      </c>
      <c r="P193" s="50" t="str">
        <f t="shared" si="21"/>
        <v>8332</v>
      </c>
      <c r="Q193" s="49">
        <f>VLOOKUP(옵션그룹계산1!J193,색인!$E$4:$F$99,2,FALSE)</f>
        <v>207</v>
      </c>
      <c r="R193" s="49">
        <f>_xlfn.IFNA(VLOOKUP(옵션그룹계산1!K193,색인!$E$4:$F$99,2,FALSE),"")</f>
        <v>907</v>
      </c>
      <c r="S193" s="49">
        <f>_xlfn.IFNA(VLOOKUP(옵션그룹계산1!L193,색인!$E$4:$F$99,2,FALSE),"")</f>
        <v>1907</v>
      </c>
      <c r="T193" s="49" t="str">
        <f>_xlfn.IFNA(VLOOKUP(옵션그룹계산1!M193,색인!$E$4:$F$99,2,FALSE),"")</f>
        <v/>
      </c>
      <c r="U193" s="49" t="str">
        <f>_xlfn.IFNA(VLOOKUP(옵션그룹계산1!N193,색인!$E$4:$F$99,2,FALSE),"")</f>
        <v/>
      </c>
      <c r="V193" s="49" t="str">
        <f>_xlfn.IFNA(VLOOKUP(옵션그룹계산1!O193,색인!$E$4:$F$99,2,FALSE),"")</f>
        <v/>
      </c>
      <c r="W193" s="50">
        <f t="shared" si="22"/>
        <v>8</v>
      </c>
      <c r="X193" s="50">
        <f t="shared" si="23"/>
        <v>3</v>
      </c>
      <c r="Y193" s="50">
        <f t="shared" si="24"/>
        <v>3</v>
      </c>
      <c r="Z193" s="50">
        <f t="shared" si="25"/>
        <v>2</v>
      </c>
      <c r="AA193" s="48" t="str">
        <f t="shared" si="26"/>
        <v>T8_3옵션_장신구_탱커</v>
      </c>
      <c r="AB193" s="50" t="str">
        <f t="shared" si="27"/>
        <v>8332</v>
      </c>
      <c r="AC193" s="49" t="str">
        <f t="shared" si="28"/>
        <v>T8_3옵션_장신구_탱커    (Grade 4~5)</v>
      </c>
      <c r="AD193" s="48" t="str">
        <f t="shared" si="29"/>
        <v>207,907,1907</v>
      </c>
    </row>
    <row r="194" spans="3:30" x14ac:dyDescent="0.3">
      <c r="C194" s="51">
        <v>8</v>
      </c>
      <c r="D194" s="51">
        <v>3</v>
      </c>
      <c r="E194" s="51" t="s">
        <v>5396</v>
      </c>
      <c r="F194" s="51" t="s">
        <v>5397</v>
      </c>
      <c r="G194" s="50" t="str">
        <f>VLOOKUP(E194,옵션그룹계산1!$AF$4:$AH$7,3,FALSE)</f>
        <v xml:space="preserve">       </v>
      </c>
      <c r="H194" s="49" t="str">
        <f>VLOOKUP(D194,옵션그룹계산1!$AF$16:$AG$19,2,FALSE)</f>
        <v>(Grade 4~5)</v>
      </c>
      <c r="I194" s="50" t="str">
        <f t="shared" si="20"/>
        <v>보주_딜러</v>
      </c>
      <c r="J194" s="49" t="str">
        <f>IF($D194&gt;=(J$2-1),VLOOKUP($I194,색인!$L$4:$R$11,J$2,FALSE)&amp;"_"&amp;$C194,"")</f>
        <v>공격력_8</v>
      </c>
      <c r="K194" s="49" t="str">
        <f>IF($D194&gt;=(K$2-1),VLOOKUP($I194,색인!$L$4:$R$11,K$2,FALSE)&amp;"_"&amp;$C194,"")</f>
        <v>공격속도_8</v>
      </c>
      <c r="L194" s="49" t="str">
        <f>IF($D194&gt;=(L$2-1),VLOOKUP($I194,색인!$L$4:$R$11,L$2,FALSE)&amp;"_"&amp;$C194,"")</f>
        <v>치명타확률_8</v>
      </c>
      <c r="M194" s="49" t="str">
        <f>IF($D194&gt;=(M$2-1),VLOOKUP($I194,색인!$L$4:$R$11,M$2,FALSE)&amp;"_"&amp;$C194,"")</f>
        <v/>
      </c>
      <c r="N194" s="49" t="str">
        <f>IF(AND(C194&gt;=6,D194&gt;=4),VLOOKUP($I194,색인!$L$4:$R$11,N$2,FALSE)&amp;"_"&amp;$C194,"")</f>
        <v/>
      </c>
      <c r="O194" s="49" t="str">
        <f>IF(AND(C194&gt;=6,D194&gt;=4),VLOOKUP($I194,색인!$L$4:$R$11,O$2,FALSE)&amp;"_"&amp;$C194,"")</f>
        <v/>
      </c>
      <c r="P194" s="50" t="str">
        <f t="shared" si="21"/>
        <v>8341</v>
      </c>
      <c r="Q194" s="49">
        <f>VLOOKUP(옵션그룹계산1!J194,색인!$E$4:$F$99,2,FALSE)</f>
        <v>107</v>
      </c>
      <c r="R194" s="49">
        <f>_xlfn.IFNA(VLOOKUP(옵션그룹계산1!K194,색인!$E$4:$F$99,2,FALSE),"")</f>
        <v>1107</v>
      </c>
      <c r="S194" s="49">
        <f>_xlfn.IFNA(VLOOKUP(옵션그룹계산1!L194,색인!$E$4:$F$99,2,FALSE),"")</f>
        <v>507</v>
      </c>
      <c r="T194" s="49" t="str">
        <f>_xlfn.IFNA(VLOOKUP(옵션그룹계산1!M194,색인!$E$4:$F$99,2,FALSE),"")</f>
        <v/>
      </c>
      <c r="U194" s="49" t="str">
        <f>_xlfn.IFNA(VLOOKUP(옵션그룹계산1!N194,색인!$E$4:$F$99,2,FALSE),"")</f>
        <v/>
      </c>
      <c r="V194" s="49" t="str">
        <f>_xlfn.IFNA(VLOOKUP(옵션그룹계산1!O194,색인!$E$4:$F$99,2,FALSE),"")</f>
        <v/>
      </c>
      <c r="W194" s="50">
        <f t="shared" si="22"/>
        <v>8</v>
      </c>
      <c r="X194" s="50">
        <f t="shared" si="23"/>
        <v>3</v>
      </c>
      <c r="Y194" s="50">
        <f t="shared" si="24"/>
        <v>4</v>
      </c>
      <c r="Z194" s="50">
        <f t="shared" si="25"/>
        <v>1</v>
      </c>
      <c r="AA194" s="48" t="str">
        <f t="shared" si="26"/>
        <v>T8_3옵션_보주_딜러</v>
      </c>
      <c r="AB194" s="50" t="str">
        <f t="shared" si="27"/>
        <v>8341</v>
      </c>
      <c r="AC194" s="49" t="str">
        <f t="shared" si="28"/>
        <v>T8_3옵션_보주_딜러       (Grade 4~5)</v>
      </c>
      <c r="AD194" s="48" t="str">
        <f t="shared" si="29"/>
        <v>107,1107,507</v>
      </c>
    </row>
    <row r="195" spans="3:30" x14ac:dyDescent="0.3">
      <c r="C195" s="51">
        <v>8</v>
      </c>
      <c r="D195" s="51">
        <v>3</v>
      </c>
      <c r="E195" s="51" t="s">
        <v>5396</v>
      </c>
      <c r="F195" s="51" t="s">
        <v>5395</v>
      </c>
      <c r="G195" s="50" t="str">
        <f>VLOOKUP(E195,옵션그룹계산1!$AF$4:$AH$7,3,FALSE)</f>
        <v xml:space="preserve">       </v>
      </c>
      <c r="H195" s="49" t="str">
        <f>VLOOKUP(D195,옵션그룹계산1!$AF$16:$AG$19,2,FALSE)</f>
        <v>(Grade 4~5)</v>
      </c>
      <c r="I195" s="50" t="str">
        <f t="shared" si="20"/>
        <v>보주_탱커</v>
      </c>
      <c r="J195" s="49" t="str">
        <f>IF($D195&gt;=(J$2-1),VLOOKUP($I195,색인!$L$4:$R$11,J$2,FALSE)&amp;"_"&amp;$C195,"")</f>
        <v>체력_8</v>
      </c>
      <c r="K195" s="49" t="str">
        <f>IF($D195&gt;=(K$2-1),VLOOKUP($I195,색인!$L$4:$R$11,K$2,FALSE)&amp;"_"&amp;$C195,"")</f>
        <v>물리블록_8</v>
      </c>
      <c r="L195" s="49" t="str">
        <f>IF($D195&gt;=(L$2-1),VLOOKUP($I195,색인!$L$4:$R$11,L$2,FALSE)&amp;"_"&amp;$C195,"")</f>
        <v>마법블록_8</v>
      </c>
      <c r="M195" s="49" t="str">
        <f>IF($D195&gt;=(M$2-1),VLOOKUP($I195,색인!$L$4:$R$11,M$2,FALSE)&amp;"_"&amp;$C195,"")</f>
        <v/>
      </c>
      <c r="N195" s="49" t="str">
        <f>IF(AND(C195&gt;=6,D195&gt;=4),VLOOKUP($I195,색인!$L$4:$R$11,N$2,FALSE)&amp;"_"&amp;$C195,"")</f>
        <v/>
      </c>
      <c r="O195" s="49" t="str">
        <f>IF(AND(C195&gt;=6,D195&gt;=4),VLOOKUP($I195,색인!$L$4:$R$11,O$2,FALSE)&amp;"_"&amp;$C195,"")</f>
        <v/>
      </c>
      <c r="P195" s="50" t="str">
        <f t="shared" si="21"/>
        <v>8342</v>
      </c>
      <c r="Q195" s="49">
        <f>VLOOKUP(옵션그룹계산1!J195,색인!$E$4:$F$99,2,FALSE)</f>
        <v>207</v>
      </c>
      <c r="R195" s="49">
        <f>_xlfn.IFNA(VLOOKUP(옵션그룹계산1!K195,색인!$E$4:$F$99,2,FALSE),"")</f>
        <v>907</v>
      </c>
      <c r="S195" s="49">
        <f>_xlfn.IFNA(VLOOKUP(옵션그룹계산1!L195,색인!$E$4:$F$99,2,FALSE),"")</f>
        <v>1907</v>
      </c>
      <c r="T195" s="49" t="str">
        <f>_xlfn.IFNA(VLOOKUP(옵션그룹계산1!M195,색인!$E$4:$F$99,2,FALSE),"")</f>
        <v/>
      </c>
      <c r="U195" s="49" t="str">
        <f>_xlfn.IFNA(VLOOKUP(옵션그룹계산1!N195,색인!$E$4:$F$99,2,FALSE),"")</f>
        <v/>
      </c>
      <c r="V195" s="49" t="str">
        <f>_xlfn.IFNA(VLOOKUP(옵션그룹계산1!O195,색인!$E$4:$F$99,2,FALSE),"")</f>
        <v/>
      </c>
      <c r="W195" s="50">
        <f t="shared" si="22"/>
        <v>8</v>
      </c>
      <c r="X195" s="50">
        <f t="shared" si="23"/>
        <v>3</v>
      </c>
      <c r="Y195" s="50">
        <f t="shared" si="24"/>
        <v>4</v>
      </c>
      <c r="Z195" s="50">
        <f t="shared" si="25"/>
        <v>2</v>
      </c>
      <c r="AA195" s="48" t="str">
        <f t="shared" si="26"/>
        <v>T8_3옵션_보주_탱커</v>
      </c>
      <c r="AB195" s="50" t="str">
        <f t="shared" si="27"/>
        <v>8342</v>
      </c>
      <c r="AC195" s="49" t="str">
        <f t="shared" si="28"/>
        <v>T8_3옵션_보주_탱커       (Grade 4~5)</v>
      </c>
      <c r="AD195" s="48" t="str">
        <f t="shared" si="29"/>
        <v>207,907,1907</v>
      </c>
    </row>
    <row r="196" spans="3:30" x14ac:dyDescent="0.3">
      <c r="C196" s="51">
        <v>6</v>
      </c>
      <c r="D196" s="51">
        <v>4</v>
      </c>
      <c r="E196" s="51" t="s">
        <v>5400</v>
      </c>
      <c r="F196" s="51" t="s">
        <v>5397</v>
      </c>
      <c r="G196" s="50" t="str">
        <f>VLOOKUP(E196,옵션그룹계산1!$AF$4:$AH$7,3,FALSE)</f>
        <v xml:space="preserve">    </v>
      </c>
      <c r="H196" s="49" t="str">
        <f>VLOOKUP(D196,옵션그룹계산1!$AF$16:$AG$19,2,FALSE)</f>
        <v>(Grade 6)</v>
      </c>
      <c r="I196" s="50" t="str">
        <f t="shared" ref="I196:I219" si="30">E196&amp;"_"&amp;F196</f>
        <v>방어구_딜러</v>
      </c>
      <c r="J196" s="49" t="str">
        <f>IF($D196&gt;=(J$2-1),VLOOKUP($I196,색인!$L$4:$R$11,J$2,FALSE)&amp;"_"&amp;$C196,"")</f>
        <v>공격력_6</v>
      </c>
      <c r="K196" s="49" t="str">
        <f>IF($D196&gt;=(K$2-1),VLOOKUP($I196,색인!$L$4:$R$11,K$2,FALSE)&amp;"_"&amp;$C196,"")</f>
        <v>공격속도_6</v>
      </c>
      <c r="L196" s="49" t="str">
        <f>IF($D196&gt;=(L$2-1),VLOOKUP($I196,색인!$L$4:$R$11,L$2,FALSE)&amp;"_"&amp;$C196,"")</f>
        <v>치명타확률_6</v>
      </c>
      <c r="M196" s="49" t="str">
        <f>IF($D196&gt;=(M$2-1),VLOOKUP($I196,색인!$L$4:$R$11,M$2,FALSE)&amp;"_"&amp;$C196,"")</f>
        <v>치명타피해_6</v>
      </c>
      <c r="N196" s="49" t="str">
        <f>IF(AND(C196&gt;=6,D196&gt;=4),VLOOKUP($I196,색인!$L$4:$R$11,N$2,FALSE)&amp;"_"&amp;$C196,"")</f>
        <v>흡혈_6</v>
      </c>
      <c r="O196" s="49" t="str">
        <f>IF(AND(C196&gt;=6,D196&gt;=4),VLOOKUP($I196,색인!$L$4:$R$11,O$2,FALSE)&amp;"_"&amp;$C196,"")</f>
        <v>관통력_6</v>
      </c>
      <c r="P196" s="50" t="str">
        <f t="shared" ref="P196:P219" si="31">AB196</f>
        <v>6411</v>
      </c>
      <c r="Q196" s="49">
        <f>VLOOKUP(옵션그룹계산1!J196,색인!$E$4:$F$99,2,FALSE)</f>
        <v>105</v>
      </c>
      <c r="R196" s="49">
        <f>_xlfn.IFNA(VLOOKUP(옵션그룹계산1!K196,색인!$E$4:$F$99,2,FALSE),"")</f>
        <v>1105</v>
      </c>
      <c r="S196" s="49">
        <f>_xlfn.IFNA(VLOOKUP(옵션그룹계산1!L196,색인!$E$4:$F$99,2,FALSE),"")</f>
        <v>505</v>
      </c>
      <c r="T196" s="49">
        <f>_xlfn.IFNA(VLOOKUP(옵션그룹계산1!M196,색인!$E$4:$F$99,2,FALSE),"")</f>
        <v>805</v>
      </c>
      <c r="U196" s="49">
        <f>_xlfn.IFNA(VLOOKUP(옵션그룹계산1!N196,색인!$E$4:$F$99,2,FALSE),"")</f>
        <v>1205</v>
      </c>
      <c r="V196" s="49">
        <f>_xlfn.IFNA(VLOOKUP(옵션그룹계산1!O196,색인!$E$4:$F$99,2,FALSE),"")</f>
        <v>705</v>
      </c>
      <c r="W196" s="50">
        <f t="shared" ref="W196:W219" si="32">C196</f>
        <v>6</v>
      </c>
      <c r="X196" s="50">
        <f t="shared" ref="X196:X219" si="33">D196</f>
        <v>4</v>
      </c>
      <c r="Y196" s="50">
        <f t="shared" ref="Y196:Y219" si="34">VLOOKUP(E196,$AF$4:$AG$7,2,FALSE)</f>
        <v>1</v>
      </c>
      <c r="Z196" s="50">
        <f t="shared" ref="Z196:Z219" si="35">VLOOKUP(F196,$AF$11:$AG$12,2,FALSE)</f>
        <v>1</v>
      </c>
      <c r="AA196" s="48" t="str">
        <f t="shared" ref="AA196:AA219" si="36">"T"&amp;C196&amp;"_"&amp;D196&amp;"옵션_"&amp;E196&amp;"_"&amp;F196</f>
        <v>T6_4옵션_방어구_딜러</v>
      </c>
      <c r="AB196" s="50" t="str">
        <f t="shared" ref="AB196:AB219" si="37">W196&amp;X196&amp;Y196&amp;Z196</f>
        <v>6411</v>
      </c>
      <c r="AC196" s="49" t="str">
        <f t="shared" ref="AC196:AC219" si="38">"T"&amp;C196&amp;"_"&amp;D196&amp;"옵션_"&amp;E196&amp;"_"&amp;F196&amp;G196&amp;H196</f>
        <v>T6_4옵션_방어구_딜러    (Grade 6)</v>
      </c>
      <c r="AD196" s="48" t="str">
        <f t="shared" ref="AD196:AD203" si="39">Q196&amp;IF(R196="","",","&amp;R196)&amp;IF(S196="","",","&amp;S196)&amp;IF(T196="","",","&amp;T196)&amp;IF(U196="","",","&amp;U196)&amp;IF(V196="","",","&amp;V196)</f>
        <v>105,1105,505,805,1205,705</v>
      </c>
    </row>
    <row r="197" spans="3:30" x14ac:dyDescent="0.3">
      <c r="C197" s="51">
        <v>6</v>
      </c>
      <c r="D197" s="51">
        <v>4</v>
      </c>
      <c r="E197" s="51" t="s">
        <v>5400</v>
      </c>
      <c r="F197" s="51" t="s">
        <v>5395</v>
      </c>
      <c r="G197" s="50" t="str">
        <f>VLOOKUP(E197,옵션그룹계산1!$AF$4:$AH$7,3,FALSE)</f>
        <v xml:space="preserve">    </v>
      </c>
      <c r="H197" s="49" t="str">
        <f>VLOOKUP(D197,옵션그룹계산1!$AF$16:$AG$19,2,FALSE)</f>
        <v>(Grade 6)</v>
      </c>
      <c r="I197" s="50" t="str">
        <f t="shared" si="30"/>
        <v>방어구_탱커</v>
      </c>
      <c r="J197" s="49" t="str">
        <f>IF($D197&gt;=(J$2-1),VLOOKUP($I197,색인!$L$4:$R$11,J$2,FALSE)&amp;"_"&amp;$C197,"")</f>
        <v>공격속도_6</v>
      </c>
      <c r="K197" s="49" t="str">
        <f>IF($D197&gt;=(K$2-1),VLOOKUP($I197,색인!$L$4:$R$11,K$2,FALSE)&amp;"_"&amp;$C197,"")</f>
        <v>물리블록_6</v>
      </c>
      <c r="L197" s="49" t="str">
        <f>IF($D197&gt;=(L$2-1),VLOOKUP($I197,색인!$L$4:$R$11,L$2,FALSE)&amp;"_"&amp;$C197,"")</f>
        <v>물리방어력_6</v>
      </c>
      <c r="M197" s="49" t="str">
        <f>IF($D197&gt;=(M$2-1),VLOOKUP($I197,색인!$L$4:$R$11,M$2,FALSE)&amp;"_"&amp;$C197,"")</f>
        <v>체력_6</v>
      </c>
      <c r="N197" s="49" t="str">
        <f>IF(AND(C197&gt;=6,D197&gt;=4),VLOOKUP($I197,색인!$L$4:$R$11,N$2,FALSE)&amp;"_"&amp;$C197,"")</f>
        <v>마법방어력_6</v>
      </c>
      <c r="O197" s="49" t="str">
        <f>IF(AND(C197&gt;=6,D197&gt;=4),VLOOKUP($I197,색인!$L$4:$R$11,O$2,FALSE)&amp;"_"&amp;$C197,"")</f>
        <v>마법블록_6</v>
      </c>
      <c r="P197" s="50" t="str">
        <f t="shared" si="31"/>
        <v>6412</v>
      </c>
      <c r="Q197" s="49">
        <f>VLOOKUP(옵션그룹계산1!J197,색인!$E$4:$F$99,2,FALSE)</f>
        <v>1105</v>
      </c>
      <c r="R197" s="49">
        <f>_xlfn.IFNA(VLOOKUP(옵션그룹계산1!K197,색인!$E$4:$F$99,2,FALSE),"")</f>
        <v>905</v>
      </c>
      <c r="S197" s="49">
        <f>_xlfn.IFNA(VLOOKUP(옵션그룹계산1!L197,색인!$E$4:$F$99,2,FALSE),"")</f>
        <v>305</v>
      </c>
      <c r="T197" s="49">
        <f>_xlfn.IFNA(VLOOKUP(옵션그룹계산1!M197,색인!$E$4:$F$99,2,FALSE),"")</f>
        <v>205</v>
      </c>
      <c r="U197" s="49">
        <f>_xlfn.IFNA(VLOOKUP(옵션그룹계산1!N197,색인!$E$4:$F$99,2,FALSE),"")</f>
        <v>405</v>
      </c>
      <c r="V197" s="49">
        <f>_xlfn.IFNA(VLOOKUP(옵션그룹계산1!O197,색인!$E$4:$F$99,2,FALSE),"")</f>
        <v>1905</v>
      </c>
      <c r="W197" s="50">
        <f t="shared" si="32"/>
        <v>6</v>
      </c>
      <c r="X197" s="50">
        <f t="shared" si="33"/>
        <v>4</v>
      </c>
      <c r="Y197" s="50">
        <f t="shared" si="34"/>
        <v>1</v>
      </c>
      <c r="Z197" s="50">
        <f t="shared" si="35"/>
        <v>2</v>
      </c>
      <c r="AA197" s="48" t="str">
        <f t="shared" si="36"/>
        <v>T6_4옵션_방어구_탱커</v>
      </c>
      <c r="AB197" s="50" t="str">
        <f t="shared" si="37"/>
        <v>6412</v>
      </c>
      <c r="AC197" s="49" t="str">
        <f t="shared" si="38"/>
        <v>T6_4옵션_방어구_탱커    (Grade 6)</v>
      </c>
      <c r="AD197" s="48" t="str">
        <f t="shared" si="39"/>
        <v>1105,905,305,205,405,1905</v>
      </c>
    </row>
    <row r="198" spans="3:30" x14ac:dyDescent="0.3">
      <c r="C198" s="51">
        <v>6</v>
      </c>
      <c r="D198" s="51">
        <v>4</v>
      </c>
      <c r="E198" s="51" t="s">
        <v>5399</v>
      </c>
      <c r="F198" s="51" t="s">
        <v>5397</v>
      </c>
      <c r="G198" s="50" t="str">
        <f>VLOOKUP(E198,옵션그룹계산1!$AF$4:$AH$7,3,FALSE)</f>
        <v xml:space="preserve"> </v>
      </c>
      <c r="H198" s="49" t="str">
        <f>VLOOKUP(D198,옵션그룹계산1!$AF$16:$AG$19,2,FALSE)</f>
        <v>(Grade 6)</v>
      </c>
      <c r="I198" s="50" t="str">
        <f t="shared" si="30"/>
        <v>보조장비_딜러</v>
      </c>
      <c r="J198" s="49" t="str">
        <f>IF($D198&gt;=(J$2-1),VLOOKUP($I198,색인!$L$4:$R$11,J$2,FALSE)&amp;"_"&amp;$C198,"")</f>
        <v>공격력_6</v>
      </c>
      <c r="K198" s="49" t="str">
        <f>IF($D198&gt;=(K$2-1),VLOOKUP($I198,색인!$L$4:$R$11,K$2,FALSE)&amp;"_"&amp;$C198,"")</f>
        <v>공격속도_6</v>
      </c>
      <c r="L198" s="49" t="str">
        <f>IF($D198&gt;=(L$2-1),VLOOKUP($I198,색인!$L$4:$R$11,L$2,FALSE)&amp;"_"&amp;$C198,"")</f>
        <v>치명타확률_6</v>
      </c>
      <c r="M198" s="49" t="str">
        <f>IF($D198&gt;=(M$2-1),VLOOKUP($I198,색인!$L$4:$R$11,M$2,FALSE)&amp;"_"&amp;$C198,"")</f>
        <v>치명타피해_6</v>
      </c>
      <c r="N198" s="49" t="str">
        <f>IF(AND(C198&gt;=6,D198&gt;=4),VLOOKUP($I198,색인!$L$4:$R$11,N$2,FALSE)&amp;"_"&amp;$C198,"")</f>
        <v>흡혈_6</v>
      </c>
      <c r="O198" s="49" t="str">
        <f>IF(AND(C198&gt;=6,D198&gt;=4),VLOOKUP($I198,색인!$L$4:$R$11,O$2,FALSE)&amp;"_"&amp;$C198,"")</f>
        <v>관통력_6</v>
      </c>
      <c r="P198" s="50" t="str">
        <f t="shared" si="31"/>
        <v>6421</v>
      </c>
      <c r="Q198" s="49">
        <f>VLOOKUP(옵션그룹계산1!J198,색인!$E$4:$F$99,2,FALSE)</f>
        <v>105</v>
      </c>
      <c r="R198" s="49">
        <f>_xlfn.IFNA(VLOOKUP(옵션그룹계산1!K198,색인!$E$4:$F$99,2,FALSE),"")</f>
        <v>1105</v>
      </c>
      <c r="S198" s="49">
        <f>_xlfn.IFNA(VLOOKUP(옵션그룹계산1!L198,색인!$E$4:$F$99,2,FALSE),"")</f>
        <v>505</v>
      </c>
      <c r="T198" s="49">
        <f>_xlfn.IFNA(VLOOKUP(옵션그룹계산1!M198,색인!$E$4:$F$99,2,FALSE),"")</f>
        <v>805</v>
      </c>
      <c r="U198" s="49">
        <f>_xlfn.IFNA(VLOOKUP(옵션그룹계산1!N198,색인!$E$4:$F$99,2,FALSE),"")</f>
        <v>1205</v>
      </c>
      <c r="V198" s="49">
        <f>_xlfn.IFNA(VLOOKUP(옵션그룹계산1!O198,색인!$E$4:$F$99,2,FALSE),"")</f>
        <v>705</v>
      </c>
      <c r="W198" s="50">
        <f t="shared" si="32"/>
        <v>6</v>
      </c>
      <c r="X198" s="50">
        <f t="shared" si="33"/>
        <v>4</v>
      </c>
      <c r="Y198" s="50">
        <f t="shared" si="34"/>
        <v>2</v>
      </c>
      <c r="Z198" s="50">
        <f t="shared" si="35"/>
        <v>1</v>
      </c>
      <c r="AA198" s="48" t="str">
        <f t="shared" si="36"/>
        <v>T6_4옵션_보조장비_딜러</v>
      </c>
      <c r="AB198" s="50" t="str">
        <f t="shared" si="37"/>
        <v>6421</v>
      </c>
      <c r="AC198" s="49" t="str">
        <f t="shared" si="38"/>
        <v>T6_4옵션_보조장비_딜러 (Grade 6)</v>
      </c>
      <c r="AD198" s="48" t="str">
        <f t="shared" si="39"/>
        <v>105,1105,505,805,1205,705</v>
      </c>
    </row>
    <row r="199" spans="3:30" x14ac:dyDescent="0.3">
      <c r="C199" s="51">
        <v>6</v>
      </c>
      <c r="D199" s="51">
        <v>4</v>
      </c>
      <c r="E199" s="51" t="s">
        <v>5399</v>
      </c>
      <c r="F199" s="51" t="s">
        <v>5395</v>
      </c>
      <c r="G199" s="50" t="str">
        <f>VLOOKUP(E199,옵션그룹계산1!$AF$4:$AH$7,3,FALSE)</f>
        <v xml:space="preserve"> </v>
      </c>
      <c r="H199" s="49" t="str">
        <f>VLOOKUP(D199,옵션그룹계산1!$AF$16:$AG$19,2,FALSE)</f>
        <v>(Grade 6)</v>
      </c>
      <c r="I199" s="50" t="str">
        <f t="shared" si="30"/>
        <v>보조장비_탱커</v>
      </c>
      <c r="J199" s="49" t="str">
        <f>IF($D199&gt;=(J$2-1),VLOOKUP($I199,색인!$L$4:$R$11,J$2,FALSE)&amp;"_"&amp;$C199,"")</f>
        <v>공격속도_6</v>
      </c>
      <c r="K199" s="49" t="str">
        <f>IF($D199&gt;=(K$2-1),VLOOKUP($I199,색인!$L$4:$R$11,K$2,FALSE)&amp;"_"&amp;$C199,"")</f>
        <v>마법블록_6</v>
      </c>
      <c r="L199" s="49" t="str">
        <f>IF($D199&gt;=(L$2-1),VLOOKUP($I199,색인!$L$4:$R$11,L$2,FALSE)&amp;"_"&amp;$C199,"")</f>
        <v>마법방어력_6</v>
      </c>
      <c r="M199" s="49" t="str">
        <f>IF($D199&gt;=(M$2-1),VLOOKUP($I199,색인!$L$4:$R$11,M$2,FALSE)&amp;"_"&amp;$C199,"")</f>
        <v>체력_6</v>
      </c>
      <c r="N199" s="49" t="str">
        <f>IF(AND(C199&gt;=6,D199&gt;=4),VLOOKUP($I199,색인!$L$4:$R$11,N$2,FALSE)&amp;"_"&amp;$C199,"")</f>
        <v>물리방어력_6</v>
      </c>
      <c r="O199" s="49" t="str">
        <f>IF(AND(C199&gt;=6,D199&gt;=4),VLOOKUP($I199,색인!$L$4:$R$11,O$2,FALSE)&amp;"_"&amp;$C199,"")</f>
        <v>물리블록_6</v>
      </c>
      <c r="P199" s="50" t="str">
        <f t="shared" si="31"/>
        <v>6422</v>
      </c>
      <c r="Q199" s="49">
        <f>VLOOKUP(옵션그룹계산1!J199,색인!$E$4:$F$99,2,FALSE)</f>
        <v>1105</v>
      </c>
      <c r="R199" s="49">
        <f>_xlfn.IFNA(VLOOKUP(옵션그룹계산1!K199,색인!$E$4:$F$99,2,FALSE),"")</f>
        <v>1905</v>
      </c>
      <c r="S199" s="49">
        <f>_xlfn.IFNA(VLOOKUP(옵션그룹계산1!L199,색인!$E$4:$F$99,2,FALSE),"")</f>
        <v>405</v>
      </c>
      <c r="T199" s="49">
        <f>_xlfn.IFNA(VLOOKUP(옵션그룹계산1!M199,색인!$E$4:$F$99,2,FALSE),"")</f>
        <v>205</v>
      </c>
      <c r="U199" s="49">
        <f>_xlfn.IFNA(VLOOKUP(옵션그룹계산1!N199,색인!$E$4:$F$99,2,FALSE),"")</f>
        <v>305</v>
      </c>
      <c r="V199" s="49">
        <f>_xlfn.IFNA(VLOOKUP(옵션그룹계산1!O199,색인!$E$4:$F$99,2,FALSE),"")</f>
        <v>905</v>
      </c>
      <c r="W199" s="50">
        <f t="shared" si="32"/>
        <v>6</v>
      </c>
      <c r="X199" s="50">
        <f t="shared" si="33"/>
        <v>4</v>
      </c>
      <c r="Y199" s="50">
        <f t="shared" si="34"/>
        <v>2</v>
      </c>
      <c r="Z199" s="50">
        <f t="shared" si="35"/>
        <v>2</v>
      </c>
      <c r="AA199" s="48" t="str">
        <f t="shared" si="36"/>
        <v>T6_4옵션_보조장비_탱커</v>
      </c>
      <c r="AB199" s="50" t="str">
        <f t="shared" si="37"/>
        <v>6422</v>
      </c>
      <c r="AC199" s="49" t="str">
        <f t="shared" si="38"/>
        <v>T6_4옵션_보조장비_탱커 (Grade 6)</v>
      </c>
      <c r="AD199" s="48" t="str">
        <f t="shared" si="39"/>
        <v>1105,1905,405,205,305,905</v>
      </c>
    </row>
    <row r="200" spans="3:30" x14ac:dyDescent="0.3">
      <c r="C200" s="51">
        <v>6</v>
      </c>
      <c r="D200" s="51">
        <v>4</v>
      </c>
      <c r="E200" s="51" t="s">
        <v>5398</v>
      </c>
      <c r="F200" s="51" t="s">
        <v>5397</v>
      </c>
      <c r="G200" s="50" t="str">
        <f>VLOOKUP(E200,옵션그룹계산1!$AF$4:$AH$7,3,FALSE)</f>
        <v xml:space="preserve">    </v>
      </c>
      <c r="H200" s="49" t="str">
        <f>VLOOKUP(D200,옵션그룹계산1!$AF$16:$AG$19,2,FALSE)</f>
        <v>(Grade 6)</v>
      </c>
      <c r="I200" s="50" t="str">
        <f t="shared" si="30"/>
        <v>장신구_딜러</v>
      </c>
      <c r="J200" s="49" t="str">
        <f>IF($D200&gt;=(J$2-1),VLOOKUP($I200,색인!$L$4:$R$11,J$2,FALSE)&amp;"_"&amp;$C200,"")</f>
        <v>공격력_6</v>
      </c>
      <c r="K200" s="49" t="str">
        <f>IF($D200&gt;=(K$2-1),VLOOKUP($I200,색인!$L$4:$R$11,K$2,FALSE)&amp;"_"&amp;$C200,"")</f>
        <v>공격속도_6</v>
      </c>
      <c r="L200" s="49" t="str">
        <f>IF($D200&gt;=(L$2-1),VLOOKUP($I200,색인!$L$4:$R$11,L$2,FALSE)&amp;"_"&amp;$C200,"")</f>
        <v>치명타확률_6</v>
      </c>
      <c r="M200" s="49" t="str">
        <f>IF($D200&gt;=(M$2-1),VLOOKUP($I200,색인!$L$4:$R$11,M$2,FALSE)&amp;"_"&amp;$C200,"")</f>
        <v>치명타피해_6</v>
      </c>
      <c r="N200" s="49" t="str">
        <f>IF(AND(C200&gt;=6,D200&gt;=4),VLOOKUP($I200,색인!$L$4:$R$11,N$2,FALSE)&amp;"_"&amp;$C200,"")</f>
        <v>흡혈_6</v>
      </c>
      <c r="O200" s="49" t="str">
        <f>IF(AND(C200&gt;=6,D200&gt;=4),VLOOKUP($I200,색인!$L$4:$R$11,O$2,FALSE)&amp;"_"&amp;$C200,"")</f>
        <v>관통력_6</v>
      </c>
      <c r="P200" s="50" t="str">
        <f t="shared" si="31"/>
        <v>6431</v>
      </c>
      <c r="Q200" s="49">
        <f>VLOOKUP(옵션그룹계산1!J200,색인!$E$4:$F$99,2,FALSE)</f>
        <v>105</v>
      </c>
      <c r="R200" s="49">
        <f>_xlfn.IFNA(VLOOKUP(옵션그룹계산1!K200,색인!$E$4:$F$99,2,FALSE),"")</f>
        <v>1105</v>
      </c>
      <c r="S200" s="49">
        <f>_xlfn.IFNA(VLOOKUP(옵션그룹계산1!L200,색인!$E$4:$F$99,2,FALSE),"")</f>
        <v>505</v>
      </c>
      <c r="T200" s="49">
        <f>_xlfn.IFNA(VLOOKUP(옵션그룹계산1!M200,색인!$E$4:$F$99,2,FALSE),"")</f>
        <v>805</v>
      </c>
      <c r="U200" s="49">
        <f>_xlfn.IFNA(VLOOKUP(옵션그룹계산1!N200,색인!$E$4:$F$99,2,FALSE),"")</f>
        <v>1205</v>
      </c>
      <c r="V200" s="49">
        <f>_xlfn.IFNA(VLOOKUP(옵션그룹계산1!O200,색인!$E$4:$F$99,2,FALSE),"")</f>
        <v>705</v>
      </c>
      <c r="W200" s="50">
        <f t="shared" si="32"/>
        <v>6</v>
      </c>
      <c r="X200" s="50">
        <f t="shared" si="33"/>
        <v>4</v>
      </c>
      <c r="Y200" s="50">
        <f t="shared" si="34"/>
        <v>3</v>
      </c>
      <c r="Z200" s="50">
        <f t="shared" si="35"/>
        <v>1</v>
      </c>
      <c r="AA200" s="48" t="str">
        <f t="shared" si="36"/>
        <v>T6_4옵션_장신구_딜러</v>
      </c>
      <c r="AB200" s="50" t="str">
        <f t="shared" si="37"/>
        <v>6431</v>
      </c>
      <c r="AC200" s="49" t="str">
        <f t="shared" si="38"/>
        <v>T6_4옵션_장신구_딜러    (Grade 6)</v>
      </c>
      <c r="AD200" s="48" t="str">
        <f t="shared" si="39"/>
        <v>105,1105,505,805,1205,705</v>
      </c>
    </row>
    <row r="201" spans="3:30" x14ac:dyDescent="0.3">
      <c r="C201" s="51">
        <v>6</v>
      </c>
      <c r="D201" s="51">
        <v>4</v>
      </c>
      <c r="E201" s="51" t="s">
        <v>5398</v>
      </c>
      <c r="F201" s="51" t="s">
        <v>5395</v>
      </c>
      <c r="G201" s="50" t="str">
        <f>VLOOKUP(E201,옵션그룹계산1!$AF$4:$AH$7,3,FALSE)</f>
        <v xml:space="preserve">    </v>
      </c>
      <c r="H201" s="49" t="str">
        <f>VLOOKUP(D201,옵션그룹계산1!$AF$16:$AG$19,2,FALSE)</f>
        <v>(Grade 6)</v>
      </c>
      <c r="I201" s="50" t="str">
        <f t="shared" si="30"/>
        <v>장신구_탱커</v>
      </c>
      <c r="J201" s="49" t="str">
        <f>IF($D201&gt;=(J$2-1),VLOOKUP($I201,색인!$L$4:$R$11,J$2,FALSE)&amp;"_"&amp;$C201,"")</f>
        <v>체력_6</v>
      </c>
      <c r="K201" s="49" t="str">
        <f>IF($D201&gt;=(K$2-1),VLOOKUP($I201,색인!$L$4:$R$11,K$2,FALSE)&amp;"_"&amp;$C201,"")</f>
        <v>물리블록_6</v>
      </c>
      <c r="L201" s="49" t="str">
        <f>IF($D201&gt;=(L$2-1),VLOOKUP($I201,색인!$L$4:$R$11,L$2,FALSE)&amp;"_"&amp;$C201,"")</f>
        <v>마법블록_6</v>
      </c>
      <c r="M201" s="49" t="str">
        <f>IF($D201&gt;=(M$2-1),VLOOKUP($I201,색인!$L$4:$R$11,M$2,FALSE)&amp;"_"&amp;$C201,"")</f>
        <v>공마회_6</v>
      </c>
      <c r="N201" s="49" t="str">
        <f>IF(AND(C201&gt;=6,D201&gt;=4),VLOOKUP($I201,색인!$L$4:$R$11,N$2,FALSE)&amp;"_"&amp;$C201,"")</f>
        <v>물리방어력_6</v>
      </c>
      <c r="O201" s="49" t="str">
        <f>IF(AND(C201&gt;=6,D201&gt;=4),VLOOKUP($I201,색인!$L$4:$R$11,O$2,FALSE)&amp;"_"&amp;$C201,"")</f>
        <v>마법방어력_6</v>
      </c>
      <c r="P201" s="50" t="str">
        <f t="shared" si="31"/>
        <v>6432</v>
      </c>
      <c r="Q201" s="49">
        <f>VLOOKUP(옵션그룹계산1!J201,색인!$E$4:$F$99,2,FALSE)</f>
        <v>205</v>
      </c>
      <c r="R201" s="49">
        <f>_xlfn.IFNA(VLOOKUP(옵션그룹계산1!K201,색인!$E$4:$F$99,2,FALSE),"")</f>
        <v>905</v>
      </c>
      <c r="S201" s="49">
        <f>_xlfn.IFNA(VLOOKUP(옵션그룹계산1!L201,색인!$E$4:$F$99,2,FALSE),"")</f>
        <v>1905</v>
      </c>
      <c r="T201" s="49">
        <f>_xlfn.IFNA(VLOOKUP(옵션그룹계산1!M201,색인!$E$4:$F$99,2,FALSE),"")</f>
        <v>2305</v>
      </c>
      <c r="U201" s="49">
        <f>_xlfn.IFNA(VLOOKUP(옵션그룹계산1!N201,색인!$E$4:$F$99,2,FALSE),"")</f>
        <v>305</v>
      </c>
      <c r="V201" s="49">
        <f>_xlfn.IFNA(VLOOKUP(옵션그룹계산1!O201,색인!$E$4:$F$99,2,FALSE),"")</f>
        <v>405</v>
      </c>
      <c r="W201" s="50">
        <f t="shared" si="32"/>
        <v>6</v>
      </c>
      <c r="X201" s="50">
        <f t="shared" si="33"/>
        <v>4</v>
      </c>
      <c r="Y201" s="50">
        <f t="shared" si="34"/>
        <v>3</v>
      </c>
      <c r="Z201" s="50">
        <f t="shared" si="35"/>
        <v>2</v>
      </c>
      <c r="AA201" s="48" t="str">
        <f t="shared" si="36"/>
        <v>T6_4옵션_장신구_탱커</v>
      </c>
      <c r="AB201" s="50" t="str">
        <f t="shared" si="37"/>
        <v>6432</v>
      </c>
      <c r="AC201" s="49" t="str">
        <f t="shared" si="38"/>
        <v>T6_4옵션_장신구_탱커    (Grade 6)</v>
      </c>
      <c r="AD201" s="48" t="str">
        <f t="shared" si="39"/>
        <v>205,905,1905,2305,305,405</v>
      </c>
    </row>
    <row r="202" spans="3:30" x14ac:dyDescent="0.3">
      <c r="C202" s="51">
        <v>6</v>
      </c>
      <c r="D202" s="51">
        <v>4</v>
      </c>
      <c r="E202" s="51" t="s">
        <v>5396</v>
      </c>
      <c r="F202" s="51" t="s">
        <v>5397</v>
      </c>
      <c r="G202" s="50" t="str">
        <f>VLOOKUP(E202,옵션그룹계산1!$AF$4:$AH$7,3,FALSE)</f>
        <v xml:space="preserve">       </v>
      </c>
      <c r="H202" s="49" t="str">
        <f>VLOOKUP(D202,옵션그룹계산1!$AF$16:$AG$19,2,FALSE)</f>
        <v>(Grade 6)</v>
      </c>
      <c r="I202" s="50" t="str">
        <f t="shared" si="30"/>
        <v>보주_딜러</v>
      </c>
      <c r="J202" s="49" t="str">
        <f>IF($D202&gt;=(J$2-1),VLOOKUP($I202,색인!$L$4:$R$11,J$2,FALSE)&amp;"_"&amp;$C202,"")</f>
        <v>공격력_6</v>
      </c>
      <c r="K202" s="49" t="str">
        <f>IF($D202&gt;=(K$2-1),VLOOKUP($I202,색인!$L$4:$R$11,K$2,FALSE)&amp;"_"&amp;$C202,"")</f>
        <v>공격속도_6</v>
      </c>
      <c r="L202" s="49" t="str">
        <f>IF($D202&gt;=(L$2-1),VLOOKUP($I202,색인!$L$4:$R$11,L$2,FALSE)&amp;"_"&amp;$C202,"")</f>
        <v>치명타확률_6</v>
      </c>
      <c r="M202" s="49" t="str">
        <f>IF($D202&gt;=(M$2-1),VLOOKUP($I202,색인!$L$4:$R$11,M$2,FALSE)&amp;"_"&amp;$C202,"")</f>
        <v>치명타피해_6</v>
      </c>
      <c r="N202" s="49" t="str">
        <f>IF(AND(C202&gt;=6,D202&gt;=4),VLOOKUP($I202,색인!$L$4:$R$11,N$2,FALSE)&amp;"_"&amp;$C202,"")</f>
        <v>흡혈_6</v>
      </c>
      <c r="O202" s="49" t="str">
        <f>IF(AND(C202&gt;=6,D202&gt;=4),VLOOKUP($I202,색인!$L$4:$R$11,O$2,FALSE)&amp;"_"&amp;$C202,"")</f>
        <v>관통력_6</v>
      </c>
      <c r="P202" s="50" t="str">
        <f t="shared" si="31"/>
        <v>6441</v>
      </c>
      <c r="Q202" s="49">
        <f>VLOOKUP(옵션그룹계산1!J202,색인!$E$4:$F$99,2,FALSE)</f>
        <v>105</v>
      </c>
      <c r="R202" s="49">
        <f>_xlfn.IFNA(VLOOKUP(옵션그룹계산1!K202,색인!$E$4:$F$99,2,FALSE),"")</f>
        <v>1105</v>
      </c>
      <c r="S202" s="49">
        <f>_xlfn.IFNA(VLOOKUP(옵션그룹계산1!L202,색인!$E$4:$F$99,2,FALSE),"")</f>
        <v>505</v>
      </c>
      <c r="T202" s="49">
        <f>_xlfn.IFNA(VLOOKUP(옵션그룹계산1!M202,색인!$E$4:$F$99,2,FALSE),"")</f>
        <v>805</v>
      </c>
      <c r="U202" s="49">
        <f>_xlfn.IFNA(VLOOKUP(옵션그룹계산1!N202,색인!$E$4:$F$99,2,FALSE),"")</f>
        <v>1205</v>
      </c>
      <c r="V202" s="49">
        <f>_xlfn.IFNA(VLOOKUP(옵션그룹계산1!O202,색인!$E$4:$F$99,2,FALSE),"")</f>
        <v>705</v>
      </c>
      <c r="W202" s="50">
        <f t="shared" si="32"/>
        <v>6</v>
      </c>
      <c r="X202" s="50">
        <f t="shared" si="33"/>
        <v>4</v>
      </c>
      <c r="Y202" s="50">
        <f t="shared" si="34"/>
        <v>4</v>
      </c>
      <c r="Z202" s="50">
        <f t="shared" si="35"/>
        <v>1</v>
      </c>
      <c r="AA202" s="48" t="str">
        <f t="shared" si="36"/>
        <v>T6_4옵션_보주_딜러</v>
      </c>
      <c r="AB202" s="50" t="str">
        <f t="shared" si="37"/>
        <v>6441</v>
      </c>
      <c r="AC202" s="49" t="str">
        <f t="shared" si="38"/>
        <v>T6_4옵션_보주_딜러       (Grade 6)</v>
      </c>
      <c r="AD202" s="48" t="str">
        <f t="shared" si="39"/>
        <v>105,1105,505,805,1205,705</v>
      </c>
    </row>
    <row r="203" spans="3:30" x14ac:dyDescent="0.3">
      <c r="C203" s="51">
        <v>6</v>
      </c>
      <c r="D203" s="51">
        <v>4</v>
      </c>
      <c r="E203" s="51" t="s">
        <v>5396</v>
      </c>
      <c r="F203" s="51" t="s">
        <v>5395</v>
      </c>
      <c r="G203" s="50" t="str">
        <f>VLOOKUP(E203,옵션그룹계산1!$AF$4:$AH$7,3,FALSE)</f>
        <v xml:space="preserve">       </v>
      </c>
      <c r="H203" s="49" t="str">
        <f>VLOOKUP(D203,옵션그룹계산1!$AF$16:$AG$19,2,FALSE)</f>
        <v>(Grade 6)</v>
      </c>
      <c r="I203" s="50" t="str">
        <f t="shared" si="30"/>
        <v>보주_탱커</v>
      </c>
      <c r="J203" s="49" t="str">
        <f>IF($D203&gt;=(J$2-1),VLOOKUP($I203,색인!$L$4:$R$11,J$2,FALSE)&amp;"_"&amp;$C203,"")</f>
        <v>체력_6</v>
      </c>
      <c r="K203" s="49" t="str">
        <f>IF($D203&gt;=(K$2-1),VLOOKUP($I203,색인!$L$4:$R$11,K$2,FALSE)&amp;"_"&amp;$C203,"")</f>
        <v>물리블록_6</v>
      </c>
      <c r="L203" s="49" t="str">
        <f>IF($D203&gt;=(L$2-1),VLOOKUP($I203,색인!$L$4:$R$11,L$2,FALSE)&amp;"_"&amp;$C203,"")</f>
        <v>마법블록_6</v>
      </c>
      <c r="M203" s="49" t="str">
        <f>IF($D203&gt;=(M$2-1),VLOOKUP($I203,색인!$L$4:$R$11,M$2,FALSE)&amp;"_"&amp;$C203,"")</f>
        <v>공마회_6</v>
      </c>
      <c r="N203" s="49" t="str">
        <f>IF(AND(C203&gt;=6,D203&gt;=4),VLOOKUP($I203,색인!$L$4:$R$11,N$2,FALSE)&amp;"_"&amp;$C203,"")</f>
        <v>물리방어력_6</v>
      </c>
      <c r="O203" s="49" t="str">
        <f>IF(AND(C203&gt;=6,D203&gt;=4),VLOOKUP($I203,색인!$L$4:$R$11,O$2,FALSE)&amp;"_"&amp;$C203,"")</f>
        <v>마법방어력_6</v>
      </c>
      <c r="P203" s="50" t="str">
        <f t="shared" si="31"/>
        <v>6442</v>
      </c>
      <c r="Q203" s="49">
        <f>VLOOKUP(옵션그룹계산1!J203,색인!$E$4:$F$99,2,FALSE)</f>
        <v>205</v>
      </c>
      <c r="R203" s="49">
        <f>_xlfn.IFNA(VLOOKUP(옵션그룹계산1!K203,색인!$E$4:$F$99,2,FALSE),"")</f>
        <v>905</v>
      </c>
      <c r="S203" s="49">
        <f>_xlfn.IFNA(VLOOKUP(옵션그룹계산1!L203,색인!$E$4:$F$99,2,FALSE),"")</f>
        <v>1905</v>
      </c>
      <c r="T203" s="49">
        <f>_xlfn.IFNA(VLOOKUP(옵션그룹계산1!M203,색인!$E$4:$F$99,2,FALSE),"")</f>
        <v>2305</v>
      </c>
      <c r="U203" s="49">
        <f>_xlfn.IFNA(VLOOKUP(옵션그룹계산1!N203,색인!$E$4:$F$99,2,FALSE),"")</f>
        <v>305</v>
      </c>
      <c r="V203" s="49">
        <f>_xlfn.IFNA(VLOOKUP(옵션그룹계산1!O203,색인!$E$4:$F$99,2,FALSE),"")</f>
        <v>405</v>
      </c>
      <c r="W203" s="50">
        <f t="shared" si="32"/>
        <v>6</v>
      </c>
      <c r="X203" s="50">
        <f t="shared" si="33"/>
        <v>4</v>
      </c>
      <c r="Y203" s="50">
        <f t="shared" si="34"/>
        <v>4</v>
      </c>
      <c r="Z203" s="50">
        <f t="shared" si="35"/>
        <v>2</v>
      </c>
      <c r="AA203" s="48" t="str">
        <f t="shared" si="36"/>
        <v>T6_4옵션_보주_탱커</v>
      </c>
      <c r="AB203" s="50" t="str">
        <f t="shared" si="37"/>
        <v>6442</v>
      </c>
      <c r="AC203" s="49" t="str">
        <f t="shared" si="38"/>
        <v>T6_4옵션_보주_탱커       (Grade 6)</v>
      </c>
      <c r="AD203" s="48" t="str">
        <f t="shared" si="39"/>
        <v>205,905,1905,2305,305,405</v>
      </c>
    </row>
    <row r="204" spans="3:30" x14ac:dyDescent="0.3">
      <c r="C204" s="51">
        <v>7</v>
      </c>
      <c r="D204" s="51">
        <v>4</v>
      </c>
      <c r="E204" s="51" t="s">
        <v>5400</v>
      </c>
      <c r="F204" s="51" t="s">
        <v>5397</v>
      </c>
      <c r="G204" s="50" t="str">
        <f>VLOOKUP(E204,옵션그룹계산1!$AF$4:$AH$7,3,FALSE)</f>
        <v xml:space="preserve">    </v>
      </c>
      <c r="H204" s="49" t="str">
        <f>VLOOKUP(D204,옵션그룹계산1!$AF$16:$AG$19,2,FALSE)</f>
        <v>(Grade 6)</v>
      </c>
      <c r="I204" s="50" t="str">
        <f t="shared" si="30"/>
        <v>방어구_딜러</v>
      </c>
      <c r="J204" s="49" t="str">
        <f>IF($D204&gt;=(J$2-1),VLOOKUP($I204,색인!$L$4:$R$11,J$2,FALSE)&amp;"_"&amp;$C204,"")</f>
        <v>공격력_7</v>
      </c>
      <c r="K204" s="49" t="str">
        <f>IF($D204&gt;=(K$2-1),VLOOKUP($I204,색인!$L$4:$R$11,K$2,FALSE)&amp;"_"&amp;$C204,"")</f>
        <v>공격속도_7</v>
      </c>
      <c r="L204" s="49" t="str">
        <f>IF($D204&gt;=(L$2-1),VLOOKUP($I204,색인!$L$4:$R$11,L$2,FALSE)&amp;"_"&amp;$C204,"")</f>
        <v>치명타확률_7</v>
      </c>
      <c r="M204" s="49" t="str">
        <f>IF($D204&gt;=(M$2-1),VLOOKUP($I204,색인!$L$4:$R$11,M$2,FALSE)&amp;"_"&amp;$C204,"")</f>
        <v>치명타피해_7</v>
      </c>
      <c r="N204" s="49" t="str">
        <f>IF(AND(C204&gt;=6,D204&gt;=4),VLOOKUP($I204,색인!$L$4:$R$11,N$2,FALSE)&amp;"_"&amp;$C204,"")</f>
        <v>흡혈_7</v>
      </c>
      <c r="O204" s="49" t="str">
        <f>IF(AND(C204&gt;=6,D204&gt;=4),VLOOKUP($I204,색인!$L$4:$R$11,O$2,FALSE)&amp;"_"&amp;$C204,"")</f>
        <v>관통력_7</v>
      </c>
      <c r="P204" s="50" t="str">
        <f t="shared" si="31"/>
        <v>7411</v>
      </c>
      <c r="Q204" s="49">
        <f>VLOOKUP(옵션그룹계산1!J204,색인!$E$4:$F$99,2,FALSE)</f>
        <v>106</v>
      </c>
      <c r="R204" s="49">
        <f>_xlfn.IFNA(VLOOKUP(옵션그룹계산1!K204,색인!$E$4:$F$99,2,FALSE),"")</f>
        <v>1106</v>
      </c>
      <c r="S204" s="49">
        <f>_xlfn.IFNA(VLOOKUP(옵션그룹계산1!L204,색인!$E$4:$F$99,2,FALSE),"")</f>
        <v>506</v>
      </c>
      <c r="T204" s="49">
        <f>_xlfn.IFNA(VLOOKUP(옵션그룹계산1!M204,색인!$E$4:$F$99,2,FALSE),"")</f>
        <v>806</v>
      </c>
      <c r="U204" s="49">
        <f>_xlfn.IFNA(VLOOKUP(옵션그룹계산1!N204,색인!$E$4:$F$99,2,FALSE),"")</f>
        <v>1206</v>
      </c>
      <c r="V204" s="49">
        <f>_xlfn.IFNA(VLOOKUP(옵션그룹계산1!O204,색인!$E$4:$F$99,2,FALSE),"")</f>
        <v>706</v>
      </c>
      <c r="W204" s="50">
        <f t="shared" si="32"/>
        <v>7</v>
      </c>
      <c r="X204" s="50">
        <f t="shared" si="33"/>
        <v>4</v>
      </c>
      <c r="Y204" s="50">
        <f t="shared" si="34"/>
        <v>1</v>
      </c>
      <c r="Z204" s="50">
        <f t="shared" si="35"/>
        <v>1</v>
      </c>
      <c r="AA204" s="48" t="str">
        <f t="shared" si="36"/>
        <v>T7_4옵션_방어구_딜러</v>
      </c>
      <c r="AB204" s="50" t="str">
        <f t="shared" si="37"/>
        <v>7411</v>
      </c>
      <c r="AC204" s="49" t="str">
        <f t="shared" si="38"/>
        <v>T7_4옵션_방어구_딜러    (Grade 6)</v>
      </c>
      <c r="AD204" s="48" t="str">
        <f>Q204&amp;IF(R204="","",","&amp;R204)&amp;IF(S204="","",","&amp;S204)&amp;IF(T204="","",","&amp;T204)&amp;IF(U204="","",","&amp;U204)&amp;IF(V204="","",","&amp;V204)</f>
        <v>106,1106,506,806,1206,706</v>
      </c>
    </row>
    <row r="205" spans="3:30" x14ac:dyDescent="0.3">
      <c r="C205" s="51">
        <v>7</v>
      </c>
      <c r="D205" s="51">
        <v>4</v>
      </c>
      <c r="E205" s="51" t="s">
        <v>5400</v>
      </c>
      <c r="F205" s="51" t="s">
        <v>5395</v>
      </c>
      <c r="G205" s="50" t="str">
        <f>VLOOKUP(E205,옵션그룹계산1!$AF$4:$AH$7,3,FALSE)</f>
        <v xml:space="preserve">    </v>
      </c>
      <c r="H205" s="49" t="str">
        <f>VLOOKUP(D205,옵션그룹계산1!$AF$16:$AG$19,2,FALSE)</f>
        <v>(Grade 6)</v>
      </c>
      <c r="I205" s="50" t="str">
        <f t="shared" si="30"/>
        <v>방어구_탱커</v>
      </c>
      <c r="J205" s="49" t="str">
        <f>IF($D205&gt;=(J$2-1),VLOOKUP($I205,색인!$L$4:$R$11,J$2,FALSE)&amp;"_"&amp;$C205,"")</f>
        <v>공격속도_7</v>
      </c>
      <c r="K205" s="49" t="str">
        <f>IF($D205&gt;=(K$2-1),VLOOKUP($I205,색인!$L$4:$R$11,K$2,FALSE)&amp;"_"&amp;$C205,"")</f>
        <v>물리블록_7</v>
      </c>
      <c r="L205" s="49" t="str">
        <f>IF($D205&gt;=(L$2-1),VLOOKUP($I205,색인!$L$4:$R$11,L$2,FALSE)&amp;"_"&amp;$C205,"")</f>
        <v>물리방어력_7</v>
      </c>
      <c r="M205" s="49" t="str">
        <f>IF($D205&gt;=(M$2-1),VLOOKUP($I205,색인!$L$4:$R$11,M$2,FALSE)&amp;"_"&amp;$C205,"")</f>
        <v>체력_7</v>
      </c>
      <c r="N205" s="49" t="str">
        <f>IF(AND(C205&gt;=6,D205&gt;=4),VLOOKUP($I205,색인!$L$4:$R$11,N$2,FALSE)&amp;"_"&amp;$C205,"")</f>
        <v>마법방어력_7</v>
      </c>
      <c r="O205" s="49" t="str">
        <f>IF(AND(C205&gt;=6,D205&gt;=4),VLOOKUP($I205,색인!$L$4:$R$11,O$2,FALSE)&amp;"_"&amp;$C205,"")</f>
        <v>마법블록_7</v>
      </c>
      <c r="P205" s="50" t="str">
        <f t="shared" si="31"/>
        <v>7412</v>
      </c>
      <c r="Q205" s="49">
        <f>VLOOKUP(옵션그룹계산1!J205,색인!$E$4:$F$99,2,FALSE)</f>
        <v>1106</v>
      </c>
      <c r="R205" s="49">
        <f>_xlfn.IFNA(VLOOKUP(옵션그룹계산1!K205,색인!$E$4:$F$99,2,FALSE),"")</f>
        <v>906</v>
      </c>
      <c r="S205" s="49">
        <f>_xlfn.IFNA(VLOOKUP(옵션그룹계산1!L205,색인!$E$4:$F$99,2,FALSE),"")</f>
        <v>306</v>
      </c>
      <c r="T205" s="49">
        <f>_xlfn.IFNA(VLOOKUP(옵션그룹계산1!M205,색인!$E$4:$F$99,2,FALSE),"")</f>
        <v>206</v>
      </c>
      <c r="U205" s="49">
        <f>_xlfn.IFNA(VLOOKUP(옵션그룹계산1!N205,색인!$E$4:$F$99,2,FALSE),"")</f>
        <v>406</v>
      </c>
      <c r="V205" s="49">
        <f>_xlfn.IFNA(VLOOKUP(옵션그룹계산1!O205,색인!$E$4:$F$99,2,FALSE),"")</f>
        <v>1906</v>
      </c>
      <c r="W205" s="50">
        <f t="shared" si="32"/>
        <v>7</v>
      </c>
      <c r="X205" s="50">
        <f t="shared" si="33"/>
        <v>4</v>
      </c>
      <c r="Y205" s="50">
        <f t="shared" si="34"/>
        <v>1</v>
      </c>
      <c r="Z205" s="50">
        <f t="shared" si="35"/>
        <v>2</v>
      </c>
      <c r="AA205" s="48" t="str">
        <f t="shared" si="36"/>
        <v>T7_4옵션_방어구_탱커</v>
      </c>
      <c r="AB205" s="50" t="str">
        <f t="shared" si="37"/>
        <v>7412</v>
      </c>
      <c r="AC205" s="49" t="str">
        <f t="shared" si="38"/>
        <v>T7_4옵션_방어구_탱커    (Grade 6)</v>
      </c>
      <c r="AD205" s="48" t="str">
        <f t="shared" ref="AD205:AD219" si="40">Q205&amp;IF(R205="","",","&amp;R205)&amp;IF(S205="","",","&amp;S205)&amp;IF(T205="","",","&amp;T205)&amp;IF(U205="","",","&amp;U205)&amp;IF(V205="","",","&amp;V205)</f>
        <v>1106,906,306,206,406,1906</v>
      </c>
    </row>
    <row r="206" spans="3:30" x14ac:dyDescent="0.3">
      <c r="C206" s="51">
        <v>7</v>
      </c>
      <c r="D206" s="51">
        <v>4</v>
      </c>
      <c r="E206" s="51" t="s">
        <v>5399</v>
      </c>
      <c r="F206" s="51" t="s">
        <v>5397</v>
      </c>
      <c r="G206" s="50" t="str">
        <f>VLOOKUP(E206,옵션그룹계산1!$AF$4:$AH$7,3,FALSE)</f>
        <v xml:space="preserve"> </v>
      </c>
      <c r="H206" s="49" t="str">
        <f>VLOOKUP(D206,옵션그룹계산1!$AF$16:$AG$19,2,FALSE)</f>
        <v>(Grade 6)</v>
      </c>
      <c r="I206" s="50" t="str">
        <f t="shared" si="30"/>
        <v>보조장비_딜러</v>
      </c>
      <c r="J206" s="49" t="str">
        <f>IF($D206&gt;=(J$2-1),VLOOKUP($I206,색인!$L$4:$R$11,J$2,FALSE)&amp;"_"&amp;$C206,"")</f>
        <v>공격력_7</v>
      </c>
      <c r="K206" s="49" t="str">
        <f>IF($D206&gt;=(K$2-1),VLOOKUP($I206,색인!$L$4:$R$11,K$2,FALSE)&amp;"_"&amp;$C206,"")</f>
        <v>공격속도_7</v>
      </c>
      <c r="L206" s="49" t="str">
        <f>IF($D206&gt;=(L$2-1),VLOOKUP($I206,색인!$L$4:$R$11,L$2,FALSE)&amp;"_"&amp;$C206,"")</f>
        <v>치명타확률_7</v>
      </c>
      <c r="M206" s="49" t="str">
        <f>IF($D206&gt;=(M$2-1),VLOOKUP($I206,색인!$L$4:$R$11,M$2,FALSE)&amp;"_"&amp;$C206,"")</f>
        <v>치명타피해_7</v>
      </c>
      <c r="N206" s="49" t="str">
        <f>IF(AND(C206&gt;=6,D206&gt;=4),VLOOKUP($I206,색인!$L$4:$R$11,N$2,FALSE)&amp;"_"&amp;$C206,"")</f>
        <v>흡혈_7</v>
      </c>
      <c r="O206" s="49" t="str">
        <f>IF(AND(C206&gt;=6,D206&gt;=4),VLOOKUP($I206,색인!$L$4:$R$11,O$2,FALSE)&amp;"_"&amp;$C206,"")</f>
        <v>관통력_7</v>
      </c>
      <c r="P206" s="50" t="str">
        <f t="shared" si="31"/>
        <v>7421</v>
      </c>
      <c r="Q206" s="49">
        <f>VLOOKUP(옵션그룹계산1!J206,색인!$E$4:$F$99,2,FALSE)</f>
        <v>106</v>
      </c>
      <c r="R206" s="49">
        <f>_xlfn.IFNA(VLOOKUP(옵션그룹계산1!K206,색인!$E$4:$F$99,2,FALSE),"")</f>
        <v>1106</v>
      </c>
      <c r="S206" s="49">
        <f>_xlfn.IFNA(VLOOKUP(옵션그룹계산1!L206,색인!$E$4:$F$99,2,FALSE),"")</f>
        <v>506</v>
      </c>
      <c r="T206" s="49">
        <f>_xlfn.IFNA(VLOOKUP(옵션그룹계산1!M206,색인!$E$4:$F$99,2,FALSE),"")</f>
        <v>806</v>
      </c>
      <c r="U206" s="49">
        <f>_xlfn.IFNA(VLOOKUP(옵션그룹계산1!N206,색인!$E$4:$F$99,2,FALSE),"")</f>
        <v>1206</v>
      </c>
      <c r="V206" s="49">
        <f>_xlfn.IFNA(VLOOKUP(옵션그룹계산1!O206,색인!$E$4:$F$99,2,FALSE),"")</f>
        <v>706</v>
      </c>
      <c r="W206" s="50">
        <f t="shared" si="32"/>
        <v>7</v>
      </c>
      <c r="X206" s="50">
        <f t="shared" si="33"/>
        <v>4</v>
      </c>
      <c r="Y206" s="50">
        <f t="shared" si="34"/>
        <v>2</v>
      </c>
      <c r="Z206" s="50">
        <f t="shared" si="35"/>
        <v>1</v>
      </c>
      <c r="AA206" s="48" t="str">
        <f t="shared" si="36"/>
        <v>T7_4옵션_보조장비_딜러</v>
      </c>
      <c r="AB206" s="50" t="str">
        <f t="shared" si="37"/>
        <v>7421</v>
      </c>
      <c r="AC206" s="49" t="str">
        <f t="shared" si="38"/>
        <v>T7_4옵션_보조장비_딜러 (Grade 6)</v>
      </c>
      <c r="AD206" s="48" t="str">
        <f t="shared" si="40"/>
        <v>106,1106,506,806,1206,706</v>
      </c>
    </row>
    <row r="207" spans="3:30" x14ac:dyDescent="0.3">
      <c r="C207" s="51">
        <v>7</v>
      </c>
      <c r="D207" s="51">
        <v>4</v>
      </c>
      <c r="E207" s="51" t="s">
        <v>5399</v>
      </c>
      <c r="F207" s="51" t="s">
        <v>5395</v>
      </c>
      <c r="G207" s="50" t="str">
        <f>VLOOKUP(E207,옵션그룹계산1!$AF$4:$AH$7,3,FALSE)</f>
        <v xml:space="preserve"> </v>
      </c>
      <c r="H207" s="49" t="str">
        <f>VLOOKUP(D207,옵션그룹계산1!$AF$16:$AG$19,2,FALSE)</f>
        <v>(Grade 6)</v>
      </c>
      <c r="I207" s="50" t="str">
        <f t="shared" si="30"/>
        <v>보조장비_탱커</v>
      </c>
      <c r="J207" s="49" t="str">
        <f>IF($D207&gt;=(J$2-1),VLOOKUP($I207,색인!$L$4:$R$11,J$2,FALSE)&amp;"_"&amp;$C207,"")</f>
        <v>공격속도_7</v>
      </c>
      <c r="K207" s="49" t="str">
        <f>IF($D207&gt;=(K$2-1),VLOOKUP($I207,색인!$L$4:$R$11,K$2,FALSE)&amp;"_"&amp;$C207,"")</f>
        <v>마법블록_7</v>
      </c>
      <c r="L207" s="49" t="str">
        <f>IF($D207&gt;=(L$2-1),VLOOKUP($I207,색인!$L$4:$R$11,L$2,FALSE)&amp;"_"&amp;$C207,"")</f>
        <v>마법방어력_7</v>
      </c>
      <c r="M207" s="49" t="str">
        <f>IF($D207&gt;=(M$2-1),VLOOKUP($I207,색인!$L$4:$R$11,M$2,FALSE)&amp;"_"&amp;$C207,"")</f>
        <v>체력_7</v>
      </c>
      <c r="N207" s="49" t="str">
        <f>IF(AND(C207&gt;=6,D207&gt;=4),VLOOKUP($I207,색인!$L$4:$R$11,N$2,FALSE)&amp;"_"&amp;$C207,"")</f>
        <v>물리방어력_7</v>
      </c>
      <c r="O207" s="49" t="str">
        <f>IF(AND(C207&gt;=6,D207&gt;=4),VLOOKUP($I207,색인!$L$4:$R$11,O$2,FALSE)&amp;"_"&amp;$C207,"")</f>
        <v>물리블록_7</v>
      </c>
      <c r="P207" s="50" t="str">
        <f t="shared" si="31"/>
        <v>7422</v>
      </c>
      <c r="Q207" s="49">
        <f>VLOOKUP(옵션그룹계산1!J207,색인!$E$4:$F$99,2,FALSE)</f>
        <v>1106</v>
      </c>
      <c r="R207" s="49">
        <f>_xlfn.IFNA(VLOOKUP(옵션그룹계산1!K207,색인!$E$4:$F$99,2,FALSE),"")</f>
        <v>1906</v>
      </c>
      <c r="S207" s="49">
        <f>_xlfn.IFNA(VLOOKUP(옵션그룹계산1!L207,색인!$E$4:$F$99,2,FALSE),"")</f>
        <v>406</v>
      </c>
      <c r="T207" s="49">
        <f>_xlfn.IFNA(VLOOKUP(옵션그룹계산1!M207,색인!$E$4:$F$99,2,FALSE),"")</f>
        <v>206</v>
      </c>
      <c r="U207" s="49">
        <f>_xlfn.IFNA(VLOOKUP(옵션그룹계산1!N207,색인!$E$4:$F$99,2,FALSE),"")</f>
        <v>306</v>
      </c>
      <c r="V207" s="49">
        <f>_xlfn.IFNA(VLOOKUP(옵션그룹계산1!O207,색인!$E$4:$F$99,2,FALSE),"")</f>
        <v>906</v>
      </c>
      <c r="W207" s="50">
        <f t="shared" si="32"/>
        <v>7</v>
      </c>
      <c r="X207" s="50">
        <f t="shared" si="33"/>
        <v>4</v>
      </c>
      <c r="Y207" s="50">
        <f t="shared" si="34"/>
        <v>2</v>
      </c>
      <c r="Z207" s="50">
        <f t="shared" si="35"/>
        <v>2</v>
      </c>
      <c r="AA207" s="48" t="str">
        <f t="shared" si="36"/>
        <v>T7_4옵션_보조장비_탱커</v>
      </c>
      <c r="AB207" s="50" t="str">
        <f t="shared" si="37"/>
        <v>7422</v>
      </c>
      <c r="AC207" s="49" t="str">
        <f t="shared" si="38"/>
        <v>T7_4옵션_보조장비_탱커 (Grade 6)</v>
      </c>
      <c r="AD207" s="48" t="str">
        <f t="shared" si="40"/>
        <v>1106,1906,406,206,306,906</v>
      </c>
    </row>
    <row r="208" spans="3:30" x14ac:dyDescent="0.3">
      <c r="C208" s="51">
        <v>7</v>
      </c>
      <c r="D208" s="51">
        <v>4</v>
      </c>
      <c r="E208" s="51" t="s">
        <v>5398</v>
      </c>
      <c r="F208" s="51" t="s">
        <v>5397</v>
      </c>
      <c r="G208" s="50" t="str">
        <f>VLOOKUP(E208,옵션그룹계산1!$AF$4:$AH$7,3,FALSE)</f>
        <v xml:space="preserve">    </v>
      </c>
      <c r="H208" s="49" t="str">
        <f>VLOOKUP(D208,옵션그룹계산1!$AF$16:$AG$19,2,FALSE)</f>
        <v>(Grade 6)</v>
      </c>
      <c r="I208" s="50" t="str">
        <f t="shared" si="30"/>
        <v>장신구_딜러</v>
      </c>
      <c r="J208" s="49" t="str">
        <f>IF($D208&gt;=(J$2-1),VLOOKUP($I208,색인!$L$4:$R$11,J$2,FALSE)&amp;"_"&amp;$C208,"")</f>
        <v>공격력_7</v>
      </c>
      <c r="K208" s="49" t="str">
        <f>IF($D208&gt;=(K$2-1),VLOOKUP($I208,색인!$L$4:$R$11,K$2,FALSE)&amp;"_"&amp;$C208,"")</f>
        <v>공격속도_7</v>
      </c>
      <c r="L208" s="49" t="str">
        <f>IF($D208&gt;=(L$2-1),VLOOKUP($I208,색인!$L$4:$R$11,L$2,FALSE)&amp;"_"&amp;$C208,"")</f>
        <v>치명타확률_7</v>
      </c>
      <c r="M208" s="49" t="str">
        <f>IF($D208&gt;=(M$2-1),VLOOKUP($I208,색인!$L$4:$R$11,M$2,FALSE)&amp;"_"&amp;$C208,"")</f>
        <v>치명타피해_7</v>
      </c>
      <c r="N208" s="49" t="str">
        <f>IF(AND(C208&gt;=6,D208&gt;=4),VLOOKUP($I208,색인!$L$4:$R$11,N$2,FALSE)&amp;"_"&amp;$C208,"")</f>
        <v>흡혈_7</v>
      </c>
      <c r="O208" s="49" t="str">
        <f>IF(AND(C208&gt;=6,D208&gt;=4),VLOOKUP($I208,색인!$L$4:$R$11,O$2,FALSE)&amp;"_"&amp;$C208,"")</f>
        <v>관통력_7</v>
      </c>
      <c r="P208" s="50" t="str">
        <f t="shared" si="31"/>
        <v>7431</v>
      </c>
      <c r="Q208" s="49">
        <f>VLOOKUP(옵션그룹계산1!J208,색인!$E$4:$F$99,2,FALSE)</f>
        <v>106</v>
      </c>
      <c r="R208" s="49">
        <f>_xlfn.IFNA(VLOOKUP(옵션그룹계산1!K208,색인!$E$4:$F$99,2,FALSE),"")</f>
        <v>1106</v>
      </c>
      <c r="S208" s="49">
        <f>_xlfn.IFNA(VLOOKUP(옵션그룹계산1!L208,색인!$E$4:$F$99,2,FALSE),"")</f>
        <v>506</v>
      </c>
      <c r="T208" s="49">
        <f>_xlfn.IFNA(VLOOKUP(옵션그룹계산1!M208,색인!$E$4:$F$99,2,FALSE),"")</f>
        <v>806</v>
      </c>
      <c r="U208" s="49">
        <f>_xlfn.IFNA(VLOOKUP(옵션그룹계산1!N208,색인!$E$4:$F$99,2,FALSE),"")</f>
        <v>1206</v>
      </c>
      <c r="V208" s="49">
        <f>_xlfn.IFNA(VLOOKUP(옵션그룹계산1!O208,색인!$E$4:$F$99,2,FALSE),"")</f>
        <v>706</v>
      </c>
      <c r="W208" s="50">
        <f t="shared" si="32"/>
        <v>7</v>
      </c>
      <c r="X208" s="50">
        <f t="shared" si="33"/>
        <v>4</v>
      </c>
      <c r="Y208" s="50">
        <f t="shared" si="34"/>
        <v>3</v>
      </c>
      <c r="Z208" s="50">
        <f t="shared" si="35"/>
        <v>1</v>
      </c>
      <c r="AA208" s="48" t="str">
        <f t="shared" si="36"/>
        <v>T7_4옵션_장신구_딜러</v>
      </c>
      <c r="AB208" s="50" t="str">
        <f t="shared" si="37"/>
        <v>7431</v>
      </c>
      <c r="AC208" s="49" t="str">
        <f t="shared" si="38"/>
        <v>T7_4옵션_장신구_딜러    (Grade 6)</v>
      </c>
      <c r="AD208" s="48" t="str">
        <f t="shared" si="40"/>
        <v>106,1106,506,806,1206,706</v>
      </c>
    </row>
    <row r="209" spans="3:30" x14ac:dyDescent="0.3">
      <c r="C209" s="51">
        <v>7</v>
      </c>
      <c r="D209" s="51">
        <v>4</v>
      </c>
      <c r="E209" s="51" t="s">
        <v>5398</v>
      </c>
      <c r="F209" s="51" t="s">
        <v>5395</v>
      </c>
      <c r="G209" s="50" t="str">
        <f>VLOOKUP(E209,옵션그룹계산1!$AF$4:$AH$7,3,FALSE)</f>
        <v xml:space="preserve">    </v>
      </c>
      <c r="H209" s="49" t="str">
        <f>VLOOKUP(D209,옵션그룹계산1!$AF$16:$AG$19,2,FALSE)</f>
        <v>(Grade 6)</v>
      </c>
      <c r="I209" s="50" t="str">
        <f t="shared" si="30"/>
        <v>장신구_탱커</v>
      </c>
      <c r="J209" s="49" t="str">
        <f>IF($D209&gt;=(J$2-1),VLOOKUP($I209,색인!$L$4:$R$11,J$2,FALSE)&amp;"_"&amp;$C209,"")</f>
        <v>체력_7</v>
      </c>
      <c r="K209" s="49" t="str">
        <f>IF($D209&gt;=(K$2-1),VLOOKUP($I209,색인!$L$4:$R$11,K$2,FALSE)&amp;"_"&amp;$C209,"")</f>
        <v>물리블록_7</v>
      </c>
      <c r="L209" s="49" t="str">
        <f>IF($D209&gt;=(L$2-1),VLOOKUP($I209,색인!$L$4:$R$11,L$2,FALSE)&amp;"_"&amp;$C209,"")</f>
        <v>마법블록_7</v>
      </c>
      <c r="M209" s="49" t="str">
        <f>IF($D209&gt;=(M$2-1),VLOOKUP($I209,색인!$L$4:$R$11,M$2,FALSE)&amp;"_"&amp;$C209,"")</f>
        <v>공마회_7</v>
      </c>
      <c r="N209" s="49" t="str">
        <f>IF(AND(C209&gt;=6,D209&gt;=4),VLOOKUP($I209,색인!$L$4:$R$11,N$2,FALSE)&amp;"_"&amp;$C209,"")</f>
        <v>물리방어력_7</v>
      </c>
      <c r="O209" s="49" t="str">
        <f>IF(AND(C209&gt;=6,D209&gt;=4),VLOOKUP($I209,색인!$L$4:$R$11,O$2,FALSE)&amp;"_"&amp;$C209,"")</f>
        <v>마법방어력_7</v>
      </c>
      <c r="P209" s="50" t="str">
        <f t="shared" si="31"/>
        <v>7432</v>
      </c>
      <c r="Q209" s="49">
        <f>VLOOKUP(옵션그룹계산1!J209,색인!$E$4:$F$99,2,FALSE)</f>
        <v>206</v>
      </c>
      <c r="R209" s="49">
        <f>_xlfn.IFNA(VLOOKUP(옵션그룹계산1!K209,색인!$E$4:$F$99,2,FALSE),"")</f>
        <v>906</v>
      </c>
      <c r="S209" s="49">
        <f>_xlfn.IFNA(VLOOKUP(옵션그룹계산1!L209,색인!$E$4:$F$99,2,FALSE),"")</f>
        <v>1906</v>
      </c>
      <c r="T209" s="49">
        <f>_xlfn.IFNA(VLOOKUP(옵션그룹계산1!M209,색인!$E$4:$F$99,2,FALSE),"")</f>
        <v>2306</v>
      </c>
      <c r="U209" s="49">
        <f>_xlfn.IFNA(VLOOKUP(옵션그룹계산1!N209,색인!$E$4:$F$99,2,FALSE),"")</f>
        <v>306</v>
      </c>
      <c r="V209" s="49">
        <f>_xlfn.IFNA(VLOOKUP(옵션그룹계산1!O209,색인!$E$4:$F$99,2,FALSE),"")</f>
        <v>406</v>
      </c>
      <c r="W209" s="50">
        <f t="shared" si="32"/>
        <v>7</v>
      </c>
      <c r="X209" s="50">
        <f t="shared" si="33"/>
        <v>4</v>
      </c>
      <c r="Y209" s="50">
        <f t="shared" si="34"/>
        <v>3</v>
      </c>
      <c r="Z209" s="50">
        <f t="shared" si="35"/>
        <v>2</v>
      </c>
      <c r="AA209" s="48" t="str">
        <f t="shared" si="36"/>
        <v>T7_4옵션_장신구_탱커</v>
      </c>
      <c r="AB209" s="50" t="str">
        <f t="shared" si="37"/>
        <v>7432</v>
      </c>
      <c r="AC209" s="49" t="str">
        <f t="shared" si="38"/>
        <v>T7_4옵션_장신구_탱커    (Grade 6)</v>
      </c>
      <c r="AD209" s="48" t="str">
        <f t="shared" si="40"/>
        <v>206,906,1906,2306,306,406</v>
      </c>
    </row>
    <row r="210" spans="3:30" x14ac:dyDescent="0.3">
      <c r="C210" s="51">
        <v>7</v>
      </c>
      <c r="D210" s="51">
        <v>4</v>
      </c>
      <c r="E210" s="51" t="s">
        <v>5396</v>
      </c>
      <c r="F210" s="51" t="s">
        <v>5397</v>
      </c>
      <c r="G210" s="50" t="str">
        <f>VLOOKUP(E210,옵션그룹계산1!$AF$4:$AH$7,3,FALSE)</f>
        <v xml:space="preserve">       </v>
      </c>
      <c r="H210" s="49" t="str">
        <f>VLOOKUP(D210,옵션그룹계산1!$AF$16:$AG$19,2,FALSE)</f>
        <v>(Grade 6)</v>
      </c>
      <c r="I210" s="50" t="str">
        <f t="shared" si="30"/>
        <v>보주_딜러</v>
      </c>
      <c r="J210" s="49" t="str">
        <f>IF($D210&gt;=(J$2-1),VLOOKUP($I210,색인!$L$4:$R$11,J$2,FALSE)&amp;"_"&amp;$C210,"")</f>
        <v>공격력_7</v>
      </c>
      <c r="K210" s="49" t="str">
        <f>IF($D210&gt;=(K$2-1),VLOOKUP($I210,색인!$L$4:$R$11,K$2,FALSE)&amp;"_"&amp;$C210,"")</f>
        <v>공격속도_7</v>
      </c>
      <c r="L210" s="49" t="str">
        <f>IF($D210&gt;=(L$2-1),VLOOKUP($I210,색인!$L$4:$R$11,L$2,FALSE)&amp;"_"&amp;$C210,"")</f>
        <v>치명타확률_7</v>
      </c>
      <c r="M210" s="49" t="str">
        <f>IF($D210&gt;=(M$2-1),VLOOKUP($I210,색인!$L$4:$R$11,M$2,FALSE)&amp;"_"&amp;$C210,"")</f>
        <v>치명타피해_7</v>
      </c>
      <c r="N210" s="49" t="str">
        <f>IF(AND(C210&gt;=6,D210&gt;=4),VLOOKUP($I210,색인!$L$4:$R$11,N$2,FALSE)&amp;"_"&amp;$C210,"")</f>
        <v>흡혈_7</v>
      </c>
      <c r="O210" s="49" t="str">
        <f>IF(AND(C210&gt;=6,D210&gt;=4),VLOOKUP($I210,색인!$L$4:$R$11,O$2,FALSE)&amp;"_"&amp;$C210,"")</f>
        <v>관통력_7</v>
      </c>
      <c r="P210" s="50" t="str">
        <f t="shared" si="31"/>
        <v>7441</v>
      </c>
      <c r="Q210" s="49">
        <f>VLOOKUP(옵션그룹계산1!J210,색인!$E$4:$F$99,2,FALSE)</f>
        <v>106</v>
      </c>
      <c r="R210" s="49">
        <f>_xlfn.IFNA(VLOOKUP(옵션그룹계산1!K210,색인!$E$4:$F$99,2,FALSE),"")</f>
        <v>1106</v>
      </c>
      <c r="S210" s="49">
        <f>_xlfn.IFNA(VLOOKUP(옵션그룹계산1!L210,색인!$E$4:$F$99,2,FALSE),"")</f>
        <v>506</v>
      </c>
      <c r="T210" s="49">
        <f>_xlfn.IFNA(VLOOKUP(옵션그룹계산1!M210,색인!$E$4:$F$99,2,FALSE),"")</f>
        <v>806</v>
      </c>
      <c r="U210" s="49">
        <f>_xlfn.IFNA(VLOOKUP(옵션그룹계산1!N210,색인!$E$4:$F$99,2,FALSE),"")</f>
        <v>1206</v>
      </c>
      <c r="V210" s="49">
        <f>_xlfn.IFNA(VLOOKUP(옵션그룹계산1!O210,색인!$E$4:$F$99,2,FALSE),"")</f>
        <v>706</v>
      </c>
      <c r="W210" s="50">
        <f t="shared" si="32"/>
        <v>7</v>
      </c>
      <c r="X210" s="50">
        <f t="shared" si="33"/>
        <v>4</v>
      </c>
      <c r="Y210" s="50">
        <f t="shared" si="34"/>
        <v>4</v>
      </c>
      <c r="Z210" s="50">
        <f t="shared" si="35"/>
        <v>1</v>
      </c>
      <c r="AA210" s="48" t="str">
        <f t="shared" si="36"/>
        <v>T7_4옵션_보주_딜러</v>
      </c>
      <c r="AB210" s="50" t="str">
        <f t="shared" si="37"/>
        <v>7441</v>
      </c>
      <c r="AC210" s="49" t="str">
        <f t="shared" si="38"/>
        <v>T7_4옵션_보주_딜러       (Grade 6)</v>
      </c>
      <c r="AD210" s="48" t="str">
        <f t="shared" si="40"/>
        <v>106,1106,506,806,1206,706</v>
      </c>
    </row>
    <row r="211" spans="3:30" x14ac:dyDescent="0.3">
      <c r="C211" s="51">
        <v>7</v>
      </c>
      <c r="D211" s="51">
        <v>4</v>
      </c>
      <c r="E211" s="51" t="s">
        <v>5396</v>
      </c>
      <c r="F211" s="51" t="s">
        <v>5395</v>
      </c>
      <c r="G211" s="50" t="str">
        <f>VLOOKUP(E211,옵션그룹계산1!$AF$4:$AH$7,3,FALSE)</f>
        <v xml:space="preserve">       </v>
      </c>
      <c r="H211" s="49" t="str">
        <f>VLOOKUP(D211,옵션그룹계산1!$AF$16:$AG$19,2,FALSE)</f>
        <v>(Grade 6)</v>
      </c>
      <c r="I211" s="50" t="str">
        <f t="shared" si="30"/>
        <v>보주_탱커</v>
      </c>
      <c r="J211" s="49" t="str">
        <f>IF($D211&gt;=(J$2-1),VLOOKUP($I211,색인!$L$4:$R$11,J$2,FALSE)&amp;"_"&amp;$C211,"")</f>
        <v>체력_7</v>
      </c>
      <c r="K211" s="49" t="str">
        <f>IF($D211&gt;=(K$2-1),VLOOKUP($I211,색인!$L$4:$R$11,K$2,FALSE)&amp;"_"&amp;$C211,"")</f>
        <v>물리블록_7</v>
      </c>
      <c r="L211" s="49" t="str">
        <f>IF($D211&gt;=(L$2-1),VLOOKUP($I211,색인!$L$4:$R$11,L$2,FALSE)&amp;"_"&amp;$C211,"")</f>
        <v>마법블록_7</v>
      </c>
      <c r="M211" s="49" t="str">
        <f>IF($D211&gt;=(M$2-1),VLOOKUP($I211,색인!$L$4:$R$11,M$2,FALSE)&amp;"_"&amp;$C211,"")</f>
        <v>공마회_7</v>
      </c>
      <c r="N211" s="49" t="str">
        <f>IF(AND(C211&gt;=6,D211&gt;=4),VLOOKUP($I211,색인!$L$4:$R$11,N$2,FALSE)&amp;"_"&amp;$C211,"")</f>
        <v>물리방어력_7</v>
      </c>
      <c r="O211" s="49" t="str">
        <f>IF(AND(C211&gt;=6,D211&gt;=4),VLOOKUP($I211,색인!$L$4:$R$11,O$2,FALSE)&amp;"_"&amp;$C211,"")</f>
        <v>마법방어력_7</v>
      </c>
      <c r="P211" s="50" t="str">
        <f t="shared" si="31"/>
        <v>7442</v>
      </c>
      <c r="Q211" s="49">
        <f>VLOOKUP(옵션그룹계산1!J211,색인!$E$4:$F$99,2,FALSE)</f>
        <v>206</v>
      </c>
      <c r="R211" s="49">
        <f>_xlfn.IFNA(VLOOKUP(옵션그룹계산1!K211,색인!$E$4:$F$99,2,FALSE),"")</f>
        <v>906</v>
      </c>
      <c r="S211" s="49">
        <f>_xlfn.IFNA(VLOOKUP(옵션그룹계산1!L211,색인!$E$4:$F$99,2,FALSE),"")</f>
        <v>1906</v>
      </c>
      <c r="T211" s="49">
        <f>_xlfn.IFNA(VLOOKUP(옵션그룹계산1!M211,색인!$E$4:$F$99,2,FALSE),"")</f>
        <v>2306</v>
      </c>
      <c r="U211" s="49">
        <f>_xlfn.IFNA(VLOOKUP(옵션그룹계산1!N211,색인!$E$4:$F$99,2,FALSE),"")</f>
        <v>306</v>
      </c>
      <c r="V211" s="49">
        <f>_xlfn.IFNA(VLOOKUP(옵션그룹계산1!O211,색인!$E$4:$F$99,2,FALSE),"")</f>
        <v>406</v>
      </c>
      <c r="W211" s="50">
        <f t="shared" si="32"/>
        <v>7</v>
      </c>
      <c r="X211" s="50">
        <f t="shared" si="33"/>
        <v>4</v>
      </c>
      <c r="Y211" s="50">
        <f t="shared" si="34"/>
        <v>4</v>
      </c>
      <c r="Z211" s="50">
        <f t="shared" si="35"/>
        <v>2</v>
      </c>
      <c r="AA211" s="48" t="str">
        <f t="shared" si="36"/>
        <v>T7_4옵션_보주_탱커</v>
      </c>
      <c r="AB211" s="50" t="str">
        <f t="shared" si="37"/>
        <v>7442</v>
      </c>
      <c r="AC211" s="49" t="str">
        <f t="shared" si="38"/>
        <v>T7_4옵션_보주_탱커       (Grade 6)</v>
      </c>
      <c r="AD211" s="48" t="str">
        <f t="shared" si="40"/>
        <v>206,906,1906,2306,306,406</v>
      </c>
    </row>
    <row r="212" spans="3:30" x14ac:dyDescent="0.3">
      <c r="C212" s="51">
        <v>8</v>
      </c>
      <c r="D212" s="51">
        <v>4</v>
      </c>
      <c r="E212" s="51" t="s">
        <v>5400</v>
      </c>
      <c r="F212" s="51" t="s">
        <v>5397</v>
      </c>
      <c r="G212" s="50" t="str">
        <f>VLOOKUP(E212,옵션그룹계산1!$AF$4:$AH$7,3,FALSE)</f>
        <v xml:space="preserve">    </v>
      </c>
      <c r="H212" s="49" t="str">
        <f>VLOOKUP(D212,옵션그룹계산1!$AF$16:$AG$19,2,FALSE)</f>
        <v>(Grade 6)</v>
      </c>
      <c r="I212" s="50" t="str">
        <f t="shared" si="30"/>
        <v>방어구_딜러</v>
      </c>
      <c r="J212" s="49" t="str">
        <f>IF($D212&gt;=(J$2-1),VLOOKUP($I212,색인!$L$4:$R$11,J$2,FALSE)&amp;"_"&amp;$C212,"")</f>
        <v>공격력_8</v>
      </c>
      <c r="K212" s="49" t="str">
        <f>IF($D212&gt;=(K$2-1),VLOOKUP($I212,색인!$L$4:$R$11,K$2,FALSE)&amp;"_"&amp;$C212,"")</f>
        <v>공격속도_8</v>
      </c>
      <c r="L212" s="49" t="str">
        <f>IF($D212&gt;=(L$2-1),VLOOKUP($I212,색인!$L$4:$R$11,L$2,FALSE)&amp;"_"&amp;$C212,"")</f>
        <v>치명타확률_8</v>
      </c>
      <c r="M212" s="49" t="str">
        <f>IF($D212&gt;=(M$2-1),VLOOKUP($I212,색인!$L$4:$R$11,M$2,FALSE)&amp;"_"&amp;$C212,"")</f>
        <v>치명타피해_8</v>
      </c>
      <c r="N212" s="49" t="str">
        <f>IF(AND(C212&gt;=6,D212&gt;=4),VLOOKUP($I212,색인!$L$4:$R$11,N$2,FALSE)&amp;"_"&amp;$C212,"")</f>
        <v>흡혈_8</v>
      </c>
      <c r="O212" s="49" t="str">
        <f>IF(AND(C212&gt;=6,D212&gt;=4),VLOOKUP($I212,색인!$L$4:$R$11,O$2,FALSE)&amp;"_"&amp;$C212,"")</f>
        <v>관통력_8</v>
      </c>
      <c r="P212" s="50" t="str">
        <f t="shared" si="31"/>
        <v>8411</v>
      </c>
      <c r="Q212" s="49">
        <f>VLOOKUP(옵션그룹계산1!J212,색인!$E$4:$F$99,2,FALSE)</f>
        <v>107</v>
      </c>
      <c r="R212" s="49">
        <f>_xlfn.IFNA(VLOOKUP(옵션그룹계산1!K212,색인!$E$4:$F$99,2,FALSE),"")</f>
        <v>1107</v>
      </c>
      <c r="S212" s="49">
        <f>_xlfn.IFNA(VLOOKUP(옵션그룹계산1!L212,색인!$E$4:$F$99,2,FALSE),"")</f>
        <v>507</v>
      </c>
      <c r="T212" s="49">
        <f>_xlfn.IFNA(VLOOKUP(옵션그룹계산1!M212,색인!$E$4:$F$99,2,FALSE),"")</f>
        <v>807</v>
      </c>
      <c r="U212" s="49">
        <f>_xlfn.IFNA(VLOOKUP(옵션그룹계산1!N212,색인!$E$4:$F$99,2,FALSE),"")</f>
        <v>1207</v>
      </c>
      <c r="V212" s="49">
        <f>_xlfn.IFNA(VLOOKUP(옵션그룹계산1!O212,색인!$E$4:$F$99,2,FALSE),"")</f>
        <v>707</v>
      </c>
      <c r="W212" s="50">
        <f t="shared" si="32"/>
        <v>8</v>
      </c>
      <c r="X212" s="50">
        <f t="shared" si="33"/>
        <v>4</v>
      </c>
      <c r="Y212" s="50">
        <f t="shared" si="34"/>
        <v>1</v>
      </c>
      <c r="Z212" s="50">
        <f t="shared" si="35"/>
        <v>1</v>
      </c>
      <c r="AA212" s="48" t="str">
        <f t="shared" si="36"/>
        <v>T8_4옵션_방어구_딜러</v>
      </c>
      <c r="AB212" s="50" t="str">
        <f t="shared" si="37"/>
        <v>8411</v>
      </c>
      <c r="AC212" s="49" t="str">
        <f t="shared" si="38"/>
        <v>T8_4옵션_방어구_딜러    (Grade 6)</v>
      </c>
      <c r="AD212" s="48" t="str">
        <f t="shared" si="40"/>
        <v>107,1107,507,807,1207,707</v>
      </c>
    </row>
    <row r="213" spans="3:30" x14ac:dyDescent="0.3">
      <c r="C213" s="51">
        <v>8</v>
      </c>
      <c r="D213" s="51">
        <v>4</v>
      </c>
      <c r="E213" s="51" t="s">
        <v>5400</v>
      </c>
      <c r="F213" s="51" t="s">
        <v>5395</v>
      </c>
      <c r="G213" s="50" t="str">
        <f>VLOOKUP(E213,옵션그룹계산1!$AF$4:$AH$7,3,FALSE)</f>
        <v xml:space="preserve">    </v>
      </c>
      <c r="H213" s="49" t="str">
        <f>VLOOKUP(D213,옵션그룹계산1!$AF$16:$AG$19,2,FALSE)</f>
        <v>(Grade 6)</v>
      </c>
      <c r="I213" s="50" t="str">
        <f t="shared" si="30"/>
        <v>방어구_탱커</v>
      </c>
      <c r="J213" s="49" t="str">
        <f>IF($D213&gt;=(J$2-1),VLOOKUP($I213,색인!$L$4:$R$11,J$2,FALSE)&amp;"_"&amp;$C213,"")</f>
        <v>공격속도_8</v>
      </c>
      <c r="K213" s="49" t="str">
        <f>IF($D213&gt;=(K$2-1),VLOOKUP($I213,색인!$L$4:$R$11,K$2,FALSE)&amp;"_"&amp;$C213,"")</f>
        <v>물리블록_8</v>
      </c>
      <c r="L213" s="49" t="str">
        <f>IF($D213&gt;=(L$2-1),VLOOKUP($I213,색인!$L$4:$R$11,L$2,FALSE)&amp;"_"&amp;$C213,"")</f>
        <v>물리방어력_8</v>
      </c>
      <c r="M213" s="49" t="str">
        <f>IF($D213&gt;=(M$2-1),VLOOKUP($I213,색인!$L$4:$R$11,M$2,FALSE)&amp;"_"&amp;$C213,"")</f>
        <v>체력_8</v>
      </c>
      <c r="N213" s="49" t="str">
        <f>IF(AND(C213&gt;=6,D213&gt;=4),VLOOKUP($I213,색인!$L$4:$R$11,N$2,FALSE)&amp;"_"&amp;$C213,"")</f>
        <v>마법방어력_8</v>
      </c>
      <c r="O213" s="49" t="str">
        <f>IF(AND(C213&gt;=6,D213&gt;=4),VLOOKUP($I213,색인!$L$4:$R$11,O$2,FALSE)&amp;"_"&amp;$C213,"")</f>
        <v>마법블록_8</v>
      </c>
      <c r="P213" s="50" t="str">
        <f t="shared" si="31"/>
        <v>8412</v>
      </c>
      <c r="Q213" s="49">
        <f>VLOOKUP(옵션그룹계산1!J213,색인!$E$4:$F$99,2,FALSE)</f>
        <v>1107</v>
      </c>
      <c r="R213" s="49">
        <f>_xlfn.IFNA(VLOOKUP(옵션그룹계산1!K213,색인!$E$4:$F$99,2,FALSE),"")</f>
        <v>907</v>
      </c>
      <c r="S213" s="49">
        <f>_xlfn.IFNA(VLOOKUP(옵션그룹계산1!L213,색인!$E$4:$F$99,2,FALSE),"")</f>
        <v>307</v>
      </c>
      <c r="T213" s="49">
        <f>_xlfn.IFNA(VLOOKUP(옵션그룹계산1!M213,색인!$E$4:$F$99,2,FALSE),"")</f>
        <v>207</v>
      </c>
      <c r="U213" s="49">
        <f>_xlfn.IFNA(VLOOKUP(옵션그룹계산1!N213,색인!$E$4:$F$99,2,FALSE),"")</f>
        <v>407</v>
      </c>
      <c r="V213" s="49">
        <f>_xlfn.IFNA(VLOOKUP(옵션그룹계산1!O213,색인!$E$4:$F$99,2,FALSE),"")</f>
        <v>1907</v>
      </c>
      <c r="W213" s="50">
        <f t="shared" si="32"/>
        <v>8</v>
      </c>
      <c r="X213" s="50">
        <f t="shared" si="33"/>
        <v>4</v>
      </c>
      <c r="Y213" s="50">
        <f t="shared" si="34"/>
        <v>1</v>
      </c>
      <c r="Z213" s="50">
        <f t="shared" si="35"/>
        <v>2</v>
      </c>
      <c r="AA213" s="48" t="str">
        <f t="shared" si="36"/>
        <v>T8_4옵션_방어구_탱커</v>
      </c>
      <c r="AB213" s="50" t="str">
        <f t="shared" si="37"/>
        <v>8412</v>
      </c>
      <c r="AC213" s="49" t="str">
        <f t="shared" si="38"/>
        <v>T8_4옵션_방어구_탱커    (Grade 6)</v>
      </c>
      <c r="AD213" s="48" t="str">
        <f t="shared" si="40"/>
        <v>1107,907,307,207,407,1907</v>
      </c>
    </row>
    <row r="214" spans="3:30" x14ac:dyDescent="0.3">
      <c r="C214" s="51">
        <v>8</v>
      </c>
      <c r="D214" s="51">
        <v>4</v>
      </c>
      <c r="E214" s="51" t="s">
        <v>5399</v>
      </c>
      <c r="F214" s="51" t="s">
        <v>5397</v>
      </c>
      <c r="G214" s="50" t="str">
        <f>VLOOKUP(E214,옵션그룹계산1!$AF$4:$AH$7,3,FALSE)</f>
        <v xml:space="preserve"> </v>
      </c>
      <c r="H214" s="49" t="str">
        <f>VLOOKUP(D214,옵션그룹계산1!$AF$16:$AG$19,2,FALSE)</f>
        <v>(Grade 6)</v>
      </c>
      <c r="I214" s="50" t="str">
        <f t="shared" si="30"/>
        <v>보조장비_딜러</v>
      </c>
      <c r="J214" s="49" t="str">
        <f>IF($D214&gt;=(J$2-1),VLOOKUP($I214,색인!$L$4:$R$11,J$2,FALSE)&amp;"_"&amp;$C214,"")</f>
        <v>공격력_8</v>
      </c>
      <c r="K214" s="49" t="str">
        <f>IF($D214&gt;=(K$2-1),VLOOKUP($I214,색인!$L$4:$R$11,K$2,FALSE)&amp;"_"&amp;$C214,"")</f>
        <v>공격속도_8</v>
      </c>
      <c r="L214" s="49" t="str">
        <f>IF($D214&gt;=(L$2-1),VLOOKUP($I214,색인!$L$4:$R$11,L$2,FALSE)&amp;"_"&amp;$C214,"")</f>
        <v>치명타확률_8</v>
      </c>
      <c r="M214" s="49" t="str">
        <f>IF($D214&gt;=(M$2-1),VLOOKUP($I214,색인!$L$4:$R$11,M$2,FALSE)&amp;"_"&amp;$C214,"")</f>
        <v>치명타피해_8</v>
      </c>
      <c r="N214" s="49" t="str">
        <f>IF(AND(C214&gt;=6,D214&gt;=4),VLOOKUP($I214,색인!$L$4:$R$11,N$2,FALSE)&amp;"_"&amp;$C214,"")</f>
        <v>흡혈_8</v>
      </c>
      <c r="O214" s="49" t="str">
        <f>IF(AND(C214&gt;=6,D214&gt;=4),VLOOKUP($I214,색인!$L$4:$R$11,O$2,FALSE)&amp;"_"&amp;$C214,"")</f>
        <v>관통력_8</v>
      </c>
      <c r="P214" s="50" t="str">
        <f t="shared" si="31"/>
        <v>8421</v>
      </c>
      <c r="Q214" s="49">
        <f>VLOOKUP(옵션그룹계산1!J214,색인!$E$4:$F$99,2,FALSE)</f>
        <v>107</v>
      </c>
      <c r="R214" s="49">
        <f>_xlfn.IFNA(VLOOKUP(옵션그룹계산1!K214,색인!$E$4:$F$99,2,FALSE),"")</f>
        <v>1107</v>
      </c>
      <c r="S214" s="49">
        <f>_xlfn.IFNA(VLOOKUP(옵션그룹계산1!L214,색인!$E$4:$F$99,2,FALSE),"")</f>
        <v>507</v>
      </c>
      <c r="T214" s="49">
        <f>_xlfn.IFNA(VLOOKUP(옵션그룹계산1!M214,색인!$E$4:$F$99,2,FALSE),"")</f>
        <v>807</v>
      </c>
      <c r="U214" s="49">
        <f>_xlfn.IFNA(VLOOKUP(옵션그룹계산1!N214,색인!$E$4:$F$99,2,FALSE),"")</f>
        <v>1207</v>
      </c>
      <c r="V214" s="49">
        <f>_xlfn.IFNA(VLOOKUP(옵션그룹계산1!O214,색인!$E$4:$F$99,2,FALSE),"")</f>
        <v>707</v>
      </c>
      <c r="W214" s="50">
        <f t="shared" si="32"/>
        <v>8</v>
      </c>
      <c r="X214" s="50">
        <f t="shared" si="33"/>
        <v>4</v>
      </c>
      <c r="Y214" s="50">
        <f t="shared" si="34"/>
        <v>2</v>
      </c>
      <c r="Z214" s="50">
        <f t="shared" si="35"/>
        <v>1</v>
      </c>
      <c r="AA214" s="48" t="str">
        <f t="shared" si="36"/>
        <v>T8_4옵션_보조장비_딜러</v>
      </c>
      <c r="AB214" s="50" t="str">
        <f t="shared" si="37"/>
        <v>8421</v>
      </c>
      <c r="AC214" s="49" t="str">
        <f t="shared" si="38"/>
        <v>T8_4옵션_보조장비_딜러 (Grade 6)</v>
      </c>
      <c r="AD214" s="48" t="str">
        <f t="shared" si="40"/>
        <v>107,1107,507,807,1207,707</v>
      </c>
    </row>
    <row r="215" spans="3:30" x14ac:dyDescent="0.3">
      <c r="C215" s="51">
        <v>8</v>
      </c>
      <c r="D215" s="51">
        <v>4</v>
      </c>
      <c r="E215" s="51" t="s">
        <v>5399</v>
      </c>
      <c r="F215" s="51" t="s">
        <v>5395</v>
      </c>
      <c r="G215" s="50" t="str">
        <f>VLOOKUP(E215,옵션그룹계산1!$AF$4:$AH$7,3,FALSE)</f>
        <v xml:space="preserve"> </v>
      </c>
      <c r="H215" s="49" t="str">
        <f>VLOOKUP(D215,옵션그룹계산1!$AF$16:$AG$19,2,FALSE)</f>
        <v>(Grade 6)</v>
      </c>
      <c r="I215" s="50" t="str">
        <f t="shared" si="30"/>
        <v>보조장비_탱커</v>
      </c>
      <c r="J215" s="49" t="str">
        <f>IF($D215&gt;=(J$2-1),VLOOKUP($I215,색인!$L$4:$R$11,J$2,FALSE)&amp;"_"&amp;$C215,"")</f>
        <v>공격속도_8</v>
      </c>
      <c r="K215" s="49" t="str">
        <f>IF($D215&gt;=(K$2-1),VLOOKUP($I215,색인!$L$4:$R$11,K$2,FALSE)&amp;"_"&amp;$C215,"")</f>
        <v>마법블록_8</v>
      </c>
      <c r="L215" s="49" t="str">
        <f>IF($D215&gt;=(L$2-1),VLOOKUP($I215,색인!$L$4:$R$11,L$2,FALSE)&amp;"_"&amp;$C215,"")</f>
        <v>마법방어력_8</v>
      </c>
      <c r="M215" s="49" t="str">
        <f>IF($D215&gt;=(M$2-1),VLOOKUP($I215,색인!$L$4:$R$11,M$2,FALSE)&amp;"_"&amp;$C215,"")</f>
        <v>체력_8</v>
      </c>
      <c r="N215" s="49" t="str">
        <f>IF(AND(C215&gt;=6,D215&gt;=4),VLOOKUP($I215,색인!$L$4:$R$11,N$2,FALSE)&amp;"_"&amp;$C215,"")</f>
        <v>물리방어력_8</v>
      </c>
      <c r="O215" s="49" t="str">
        <f>IF(AND(C215&gt;=6,D215&gt;=4),VLOOKUP($I215,색인!$L$4:$R$11,O$2,FALSE)&amp;"_"&amp;$C215,"")</f>
        <v>물리블록_8</v>
      </c>
      <c r="P215" s="50" t="str">
        <f t="shared" si="31"/>
        <v>8422</v>
      </c>
      <c r="Q215" s="49">
        <f>VLOOKUP(옵션그룹계산1!J215,색인!$E$4:$F$99,2,FALSE)</f>
        <v>1107</v>
      </c>
      <c r="R215" s="49">
        <f>_xlfn.IFNA(VLOOKUP(옵션그룹계산1!K215,색인!$E$4:$F$99,2,FALSE),"")</f>
        <v>1907</v>
      </c>
      <c r="S215" s="49">
        <f>_xlfn.IFNA(VLOOKUP(옵션그룹계산1!L215,색인!$E$4:$F$99,2,FALSE),"")</f>
        <v>407</v>
      </c>
      <c r="T215" s="49">
        <f>_xlfn.IFNA(VLOOKUP(옵션그룹계산1!M215,색인!$E$4:$F$99,2,FALSE),"")</f>
        <v>207</v>
      </c>
      <c r="U215" s="49">
        <f>_xlfn.IFNA(VLOOKUP(옵션그룹계산1!N215,색인!$E$4:$F$99,2,FALSE),"")</f>
        <v>307</v>
      </c>
      <c r="V215" s="49">
        <f>_xlfn.IFNA(VLOOKUP(옵션그룹계산1!O215,색인!$E$4:$F$99,2,FALSE),"")</f>
        <v>907</v>
      </c>
      <c r="W215" s="50">
        <f t="shared" si="32"/>
        <v>8</v>
      </c>
      <c r="X215" s="50">
        <f t="shared" si="33"/>
        <v>4</v>
      </c>
      <c r="Y215" s="50">
        <f t="shared" si="34"/>
        <v>2</v>
      </c>
      <c r="Z215" s="50">
        <f t="shared" si="35"/>
        <v>2</v>
      </c>
      <c r="AA215" s="48" t="str">
        <f t="shared" si="36"/>
        <v>T8_4옵션_보조장비_탱커</v>
      </c>
      <c r="AB215" s="50" t="str">
        <f t="shared" si="37"/>
        <v>8422</v>
      </c>
      <c r="AC215" s="49" t="str">
        <f t="shared" si="38"/>
        <v>T8_4옵션_보조장비_탱커 (Grade 6)</v>
      </c>
      <c r="AD215" s="48" t="str">
        <f t="shared" si="40"/>
        <v>1107,1907,407,207,307,907</v>
      </c>
    </row>
    <row r="216" spans="3:30" x14ac:dyDescent="0.3">
      <c r="C216" s="51">
        <v>8</v>
      </c>
      <c r="D216" s="51">
        <v>4</v>
      </c>
      <c r="E216" s="51" t="s">
        <v>5398</v>
      </c>
      <c r="F216" s="51" t="s">
        <v>5397</v>
      </c>
      <c r="G216" s="50" t="str">
        <f>VLOOKUP(E216,옵션그룹계산1!$AF$4:$AH$7,3,FALSE)</f>
        <v xml:space="preserve">    </v>
      </c>
      <c r="H216" s="49" t="str">
        <f>VLOOKUP(D216,옵션그룹계산1!$AF$16:$AG$19,2,FALSE)</f>
        <v>(Grade 6)</v>
      </c>
      <c r="I216" s="50" t="str">
        <f t="shared" si="30"/>
        <v>장신구_딜러</v>
      </c>
      <c r="J216" s="49" t="str">
        <f>IF($D216&gt;=(J$2-1),VLOOKUP($I216,색인!$L$4:$R$11,J$2,FALSE)&amp;"_"&amp;$C216,"")</f>
        <v>공격력_8</v>
      </c>
      <c r="K216" s="49" t="str">
        <f>IF($D216&gt;=(K$2-1),VLOOKUP($I216,색인!$L$4:$R$11,K$2,FALSE)&amp;"_"&amp;$C216,"")</f>
        <v>공격속도_8</v>
      </c>
      <c r="L216" s="49" t="str">
        <f>IF($D216&gt;=(L$2-1),VLOOKUP($I216,색인!$L$4:$R$11,L$2,FALSE)&amp;"_"&amp;$C216,"")</f>
        <v>치명타확률_8</v>
      </c>
      <c r="M216" s="49" t="str">
        <f>IF($D216&gt;=(M$2-1),VLOOKUP($I216,색인!$L$4:$R$11,M$2,FALSE)&amp;"_"&amp;$C216,"")</f>
        <v>치명타피해_8</v>
      </c>
      <c r="N216" s="49" t="str">
        <f>IF(AND(C216&gt;=6,D216&gt;=4),VLOOKUP($I216,색인!$L$4:$R$11,N$2,FALSE)&amp;"_"&amp;$C216,"")</f>
        <v>흡혈_8</v>
      </c>
      <c r="O216" s="49" t="str">
        <f>IF(AND(C216&gt;=6,D216&gt;=4),VLOOKUP($I216,색인!$L$4:$R$11,O$2,FALSE)&amp;"_"&amp;$C216,"")</f>
        <v>관통력_8</v>
      </c>
      <c r="P216" s="50" t="str">
        <f t="shared" si="31"/>
        <v>8431</v>
      </c>
      <c r="Q216" s="49">
        <f>VLOOKUP(옵션그룹계산1!J216,색인!$E$4:$F$99,2,FALSE)</f>
        <v>107</v>
      </c>
      <c r="R216" s="49">
        <f>_xlfn.IFNA(VLOOKUP(옵션그룹계산1!K216,색인!$E$4:$F$99,2,FALSE),"")</f>
        <v>1107</v>
      </c>
      <c r="S216" s="49">
        <f>_xlfn.IFNA(VLOOKUP(옵션그룹계산1!L216,색인!$E$4:$F$99,2,FALSE),"")</f>
        <v>507</v>
      </c>
      <c r="T216" s="49">
        <f>_xlfn.IFNA(VLOOKUP(옵션그룹계산1!M216,색인!$E$4:$F$99,2,FALSE),"")</f>
        <v>807</v>
      </c>
      <c r="U216" s="49">
        <f>_xlfn.IFNA(VLOOKUP(옵션그룹계산1!N216,색인!$E$4:$F$99,2,FALSE),"")</f>
        <v>1207</v>
      </c>
      <c r="V216" s="49">
        <f>_xlfn.IFNA(VLOOKUP(옵션그룹계산1!O216,색인!$E$4:$F$99,2,FALSE),"")</f>
        <v>707</v>
      </c>
      <c r="W216" s="50">
        <f t="shared" si="32"/>
        <v>8</v>
      </c>
      <c r="X216" s="50">
        <f t="shared" si="33"/>
        <v>4</v>
      </c>
      <c r="Y216" s="50">
        <f t="shared" si="34"/>
        <v>3</v>
      </c>
      <c r="Z216" s="50">
        <f t="shared" si="35"/>
        <v>1</v>
      </c>
      <c r="AA216" s="48" t="str">
        <f t="shared" si="36"/>
        <v>T8_4옵션_장신구_딜러</v>
      </c>
      <c r="AB216" s="50" t="str">
        <f t="shared" si="37"/>
        <v>8431</v>
      </c>
      <c r="AC216" s="49" t="str">
        <f t="shared" si="38"/>
        <v>T8_4옵션_장신구_딜러    (Grade 6)</v>
      </c>
      <c r="AD216" s="48" t="str">
        <f t="shared" si="40"/>
        <v>107,1107,507,807,1207,707</v>
      </c>
    </row>
    <row r="217" spans="3:30" x14ac:dyDescent="0.3">
      <c r="C217" s="51">
        <v>8</v>
      </c>
      <c r="D217" s="51">
        <v>4</v>
      </c>
      <c r="E217" s="51" t="s">
        <v>5398</v>
      </c>
      <c r="F217" s="51" t="s">
        <v>5395</v>
      </c>
      <c r="G217" s="50" t="str">
        <f>VLOOKUP(E217,옵션그룹계산1!$AF$4:$AH$7,3,FALSE)</f>
        <v xml:space="preserve">    </v>
      </c>
      <c r="H217" s="49" t="str">
        <f>VLOOKUP(D217,옵션그룹계산1!$AF$16:$AG$19,2,FALSE)</f>
        <v>(Grade 6)</v>
      </c>
      <c r="I217" s="50" t="str">
        <f t="shared" si="30"/>
        <v>장신구_탱커</v>
      </c>
      <c r="J217" s="49" t="str">
        <f>IF($D217&gt;=(J$2-1),VLOOKUP($I217,색인!$L$4:$R$11,J$2,FALSE)&amp;"_"&amp;$C217,"")</f>
        <v>체력_8</v>
      </c>
      <c r="K217" s="49" t="str">
        <f>IF($D217&gt;=(K$2-1),VLOOKUP($I217,색인!$L$4:$R$11,K$2,FALSE)&amp;"_"&amp;$C217,"")</f>
        <v>물리블록_8</v>
      </c>
      <c r="L217" s="49" t="str">
        <f>IF($D217&gt;=(L$2-1),VLOOKUP($I217,색인!$L$4:$R$11,L$2,FALSE)&amp;"_"&amp;$C217,"")</f>
        <v>마법블록_8</v>
      </c>
      <c r="M217" s="49" t="str">
        <f>IF($D217&gt;=(M$2-1),VLOOKUP($I217,색인!$L$4:$R$11,M$2,FALSE)&amp;"_"&amp;$C217,"")</f>
        <v>공마회_8</v>
      </c>
      <c r="N217" s="49" t="str">
        <f>IF(AND(C217&gt;=6,D217&gt;=4),VLOOKUP($I217,색인!$L$4:$R$11,N$2,FALSE)&amp;"_"&amp;$C217,"")</f>
        <v>물리방어력_8</v>
      </c>
      <c r="O217" s="49" t="str">
        <f>IF(AND(C217&gt;=6,D217&gt;=4),VLOOKUP($I217,색인!$L$4:$R$11,O$2,FALSE)&amp;"_"&amp;$C217,"")</f>
        <v>마법방어력_8</v>
      </c>
      <c r="P217" s="50" t="str">
        <f t="shared" si="31"/>
        <v>8432</v>
      </c>
      <c r="Q217" s="49">
        <f>VLOOKUP(옵션그룹계산1!J217,색인!$E$4:$F$99,2,FALSE)</f>
        <v>207</v>
      </c>
      <c r="R217" s="49">
        <f>_xlfn.IFNA(VLOOKUP(옵션그룹계산1!K217,색인!$E$4:$F$99,2,FALSE),"")</f>
        <v>907</v>
      </c>
      <c r="S217" s="49">
        <f>_xlfn.IFNA(VLOOKUP(옵션그룹계산1!L217,색인!$E$4:$F$99,2,FALSE),"")</f>
        <v>1907</v>
      </c>
      <c r="T217" s="49">
        <f>_xlfn.IFNA(VLOOKUP(옵션그룹계산1!M217,색인!$E$4:$F$99,2,FALSE),"")</f>
        <v>2307</v>
      </c>
      <c r="U217" s="49">
        <f>_xlfn.IFNA(VLOOKUP(옵션그룹계산1!N217,색인!$E$4:$F$99,2,FALSE),"")</f>
        <v>307</v>
      </c>
      <c r="V217" s="49">
        <f>_xlfn.IFNA(VLOOKUP(옵션그룹계산1!O217,색인!$E$4:$F$99,2,FALSE),"")</f>
        <v>407</v>
      </c>
      <c r="W217" s="50">
        <f t="shared" si="32"/>
        <v>8</v>
      </c>
      <c r="X217" s="50">
        <f t="shared" si="33"/>
        <v>4</v>
      </c>
      <c r="Y217" s="50">
        <f t="shared" si="34"/>
        <v>3</v>
      </c>
      <c r="Z217" s="50">
        <f t="shared" si="35"/>
        <v>2</v>
      </c>
      <c r="AA217" s="48" t="str">
        <f t="shared" si="36"/>
        <v>T8_4옵션_장신구_탱커</v>
      </c>
      <c r="AB217" s="50" t="str">
        <f t="shared" si="37"/>
        <v>8432</v>
      </c>
      <c r="AC217" s="49" t="str">
        <f t="shared" si="38"/>
        <v>T8_4옵션_장신구_탱커    (Grade 6)</v>
      </c>
      <c r="AD217" s="48" t="str">
        <f t="shared" si="40"/>
        <v>207,907,1907,2307,307,407</v>
      </c>
    </row>
    <row r="218" spans="3:30" x14ac:dyDescent="0.3">
      <c r="C218" s="51">
        <v>8</v>
      </c>
      <c r="D218" s="51">
        <v>4</v>
      </c>
      <c r="E218" s="51" t="s">
        <v>5396</v>
      </c>
      <c r="F218" s="51" t="s">
        <v>5397</v>
      </c>
      <c r="G218" s="50" t="str">
        <f>VLOOKUP(E218,옵션그룹계산1!$AF$4:$AH$7,3,FALSE)</f>
        <v xml:space="preserve">       </v>
      </c>
      <c r="H218" s="49" t="str">
        <f>VLOOKUP(D218,옵션그룹계산1!$AF$16:$AG$19,2,FALSE)</f>
        <v>(Grade 6)</v>
      </c>
      <c r="I218" s="50" t="str">
        <f t="shared" si="30"/>
        <v>보주_딜러</v>
      </c>
      <c r="J218" s="49" t="str">
        <f>IF($D218&gt;=(J$2-1),VLOOKUP($I218,색인!$L$4:$R$11,J$2,FALSE)&amp;"_"&amp;$C218,"")</f>
        <v>공격력_8</v>
      </c>
      <c r="K218" s="49" t="str">
        <f>IF($D218&gt;=(K$2-1),VLOOKUP($I218,색인!$L$4:$R$11,K$2,FALSE)&amp;"_"&amp;$C218,"")</f>
        <v>공격속도_8</v>
      </c>
      <c r="L218" s="49" t="str">
        <f>IF($D218&gt;=(L$2-1),VLOOKUP($I218,색인!$L$4:$R$11,L$2,FALSE)&amp;"_"&amp;$C218,"")</f>
        <v>치명타확률_8</v>
      </c>
      <c r="M218" s="49" t="str">
        <f>IF($D218&gt;=(M$2-1),VLOOKUP($I218,색인!$L$4:$R$11,M$2,FALSE)&amp;"_"&amp;$C218,"")</f>
        <v>치명타피해_8</v>
      </c>
      <c r="N218" s="49" t="str">
        <f>IF(AND(C218&gt;=6,D218&gt;=4),VLOOKUP($I218,색인!$L$4:$R$11,N$2,FALSE)&amp;"_"&amp;$C218,"")</f>
        <v>흡혈_8</v>
      </c>
      <c r="O218" s="49" t="str">
        <f>IF(AND(C218&gt;=6,D218&gt;=4),VLOOKUP($I218,색인!$L$4:$R$11,O$2,FALSE)&amp;"_"&amp;$C218,"")</f>
        <v>관통력_8</v>
      </c>
      <c r="P218" s="50" t="str">
        <f t="shared" si="31"/>
        <v>8441</v>
      </c>
      <c r="Q218" s="49">
        <f>VLOOKUP(옵션그룹계산1!J218,색인!$E$4:$F$99,2,FALSE)</f>
        <v>107</v>
      </c>
      <c r="R218" s="49">
        <f>_xlfn.IFNA(VLOOKUP(옵션그룹계산1!K218,색인!$E$4:$F$99,2,FALSE),"")</f>
        <v>1107</v>
      </c>
      <c r="S218" s="49">
        <f>_xlfn.IFNA(VLOOKUP(옵션그룹계산1!L218,색인!$E$4:$F$99,2,FALSE),"")</f>
        <v>507</v>
      </c>
      <c r="T218" s="49">
        <f>_xlfn.IFNA(VLOOKUP(옵션그룹계산1!M218,색인!$E$4:$F$99,2,FALSE),"")</f>
        <v>807</v>
      </c>
      <c r="U218" s="49">
        <f>_xlfn.IFNA(VLOOKUP(옵션그룹계산1!N218,색인!$E$4:$F$99,2,FALSE),"")</f>
        <v>1207</v>
      </c>
      <c r="V218" s="49">
        <f>_xlfn.IFNA(VLOOKUP(옵션그룹계산1!O218,색인!$E$4:$F$99,2,FALSE),"")</f>
        <v>707</v>
      </c>
      <c r="W218" s="50">
        <f t="shared" si="32"/>
        <v>8</v>
      </c>
      <c r="X218" s="50">
        <f t="shared" si="33"/>
        <v>4</v>
      </c>
      <c r="Y218" s="50">
        <f t="shared" si="34"/>
        <v>4</v>
      </c>
      <c r="Z218" s="50">
        <f t="shared" si="35"/>
        <v>1</v>
      </c>
      <c r="AA218" s="48" t="str">
        <f t="shared" si="36"/>
        <v>T8_4옵션_보주_딜러</v>
      </c>
      <c r="AB218" s="50" t="str">
        <f t="shared" si="37"/>
        <v>8441</v>
      </c>
      <c r="AC218" s="49" t="str">
        <f t="shared" si="38"/>
        <v>T8_4옵션_보주_딜러       (Grade 6)</v>
      </c>
      <c r="AD218" s="48" t="str">
        <f t="shared" si="40"/>
        <v>107,1107,507,807,1207,707</v>
      </c>
    </row>
    <row r="219" spans="3:30" x14ac:dyDescent="0.3">
      <c r="C219" s="51">
        <v>8</v>
      </c>
      <c r="D219" s="51">
        <v>4</v>
      </c>
      <c r="E219" s="51" t="s">
        <v>5396</v>
      </c>
      <c r="F219" s="51" t="s">
        <v>5395</v>
      </c>
      <c r="G219" s="50" t="str">
        <f>VLOOKUP(E219,옵션그룹계산1!$AF$4:$AH$7,3,FALSE)</f>
        <v xml:space="preserve">       </v>
      </c>
      <c r="H219" s="49" t="str">
        <f>VLOOKUP(D219,옵션그룹계산1!$AF$16:$AG$19,2,FALSE)</f>
        <v>(Grade 6)</v>
      </c>
      <c r="I219" s="50" t="str">
        <f t="shared" si="30"/>
        <v>보주_탱커</v>
      </c>
      <c r="J219" s="49" t="str">
        <f>IF($D219&gt;=(J$2-1),VLOOKUP($I219,색인!$L$4:$R$11,J$2,FALSE)&amp;"_"&amp;$C219,"")</f>
        <v>체력_8</v>
      </c>
      <c r="K219" s="49" t="str">
        <f>IF($D219&gt;=(K$2-1),VLOOKUP($I219,색인!$L$4:$R$11,K$2,FALSE)&amp;"_"&amp;$C219,"")</f>
        <v>물리블록_8</v>
      </c>
      <c r="L219" s="49" t="str">
        <f>IF($D219&gt;=(L$2-1),VLOOKUP($I219,색인!$L$4:$R$11,L$2,FALSE)&amp;"_"&amp;$C219,"")</f>
        <v>마법블록_8</v>
      </c>
      <c r="M219" s="49" t="str">
        <f>IF($D219&gt;=(M$2-1),VLOOKUP($I219,색인!$L$4:$R$11,M$2,FALSE)&amp;"_"&amp;$C219,"")</f>
        <v>공마회_8</v>
      </c>
      <c r="N219" s="49" t="str">
        <f>IF(AND(C219&gt;=6,D219&gt;=4),VLOOKUP($I219,색인!$L$4:$R$11,N$2,FALSE)&amp;"_"&amp;$C219,"")</f>
        <v>물리방어력_8</v>
      </c>
      <c r="O219" s="49" t="str">
        <f>IF(AND(C219&gt;=6,D219&gt;=4),VLOOKUP($I219,색인!$L$4:$R$11,O$2,FALSE)&amp;"_"&amp;$C219,"")</f>
        <v>마법방어력_8</v>
      </c>
      <c r="P219" s="50" t="str">
        <f t="shared" si="31"/>
        <v>8442</v>
      </c>
      <c r="Q219" s="49">
        <f>VLOOKUP(옵션그룹계산1!J219,색인!$E$4:$F$99,2,FALSE)</f>
        <v>207</v>
      </c>
      <c r="R219" s="49">
        <f>_xlfn.IFNA(VLOOKUP(옵션그룹계산1!K219,색인!$E$4:$F$99,2,FALSE),"")</f>
        <v>907</v>
      </c>
      <c r="S219" s="49">
        <f>_xlfn.IFNA(VLOOKUP(옵션그룹계산1!L219,색인!$E$4:$F$99,2,FALSE),"")</f>
        <v>1907</v>
      </c>
      <c r="T219" s="49">
        <f>_xlfn.IFNA(VLOOKUP(옵션그룹계산1!M219,색인!$E$4:$F$99,2,FALSE),"")</f>
        <v>2307</v>
      </c>
      <c r="U219" s="49">
        <f>_xlfn.IFNA(VLOOKUP(옵션그룹계산1!N219,색인!$E$4:$F$99,2,FALSE),"")</f>
        <v>307</v>
      </c>
      <c r="V219" s="49">
        <f>_xlfn.IFNA(VLOOKUP(옵션그룹계산1!O219,색인!$E$4:$F$99,2,FALSE),"")</f>
        <v>407</v>
      </c>
      <c r="W219" s="50">
        <f t="shared" si="32"/>
        <v>8</v>
      </c>
      <c r="X219" s="50">
        <f t="shared" si="33"/>
        <v>4</v>
      </c>
      <c r="Y219" s="50">
        <f t="shared" si="34"/>
        <v>4</v>
      </c>
      <c r="Z219" s="50">
        <f t="shared" si="35"/>
        <v>2</v>
      </c>
      <c r="AA219" s="48" t="str">
        <f t="shared" si="36"/>
        <v>T8_4옵션_보주_탱커</v>
      </c>
      <c r="AB219" s="50" t="str">
        <f t="shared" si="37"/>
        <v>8442</v>
      </c>
      <c r="AC219" s="49" t="str">
        <f t="shared" si="38"/>
        <v>T8_4옵션_보주_탱커       (Grade 6)</v>
      </c>
      <c r="AD219" s="48" t="str">
        <f t="shared" si="40"/>
        <v>207,907,1907,2307,307,407</v>
      </c>
    </row>
  </sheetData>
  <mergeCells count="1">
    <mergeCell ref="W3:Z3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3C31-E8EA-4BBB-9826-B593539C5BE8}">
  <dimension ref="B1:Q110"/>
  <sheetViews>
    <sheetView showGridLines="0" workbookViewId="0">
      <selection activeCell="F3" sqref="F3"/>
    </sheetView>
  </sheetViews>
  <sheetFormatPr defaultColWidth="9" defaultRowHeight="16.5" x14ac:dyDescent="0.3"/>
  <cols>
    <col min="1" max="1" width="2.125" style="47" customWidth="1"/>
    <col min="2" max="2" width="9" style="62"/>
    <col min="3" max="5" width="10.25" style="62" customWidth="1"/>
    <col min="6" max="8" width="9.5" style="55" customWidth="1"/>
    <col min="9" max="9" width="18" style="55" bestFit="1" customWidth="1"/>
    <col min="10" max="12" width="20.5" style="62" customWidth="1"/>
    <col min="13" max="14" width="9" style="47"/>
    <col min="15" max="17" width="9" style="55"/>
    <col min="18" max="16384" width="9" style="47"/>
  </cols>
  <sheetData>
    <row r="1" spans="2:12" x14ac:dyDescent="0.3">
      <c r="J1" s="62" t="s">
        <v>5515</v>
      </c>
      <c r="K1" s="62" t="s">
        <v>5516</v>
      </c>
      <c r="L1" s="62" t="s">
        <v>5511</v>
      </c>
    </row>
    <row r="2" spans="2:12" x14ac:dyDescent="0.3">
      <c r="B2" s="67" t="s">
        <v>5445</v>
      </c>
      <c r="C2" s="68" t="s">
        <v>5444</v>
      </c>
      <c r="D2" s="68" t="s">
        <v>5443</v>
      </c>
      <c r="E2" s="68" t="s">
        <v>5517</v>
      </c>
      <c r="F2" s="68" t="s">
        <v>5442</v>
      </c>
      <c r="G2" s="68" t="s">
        <v>5518</v>
      </c>
      <c r="H2" s="68" t="s">
        <v>5513</v>
      </c>
      <c r="I2" s="68" t="s">
        <v>5424</v>
      </c>
      <c r="J2" s="69" t="s">
        <v>5441</v>
      </c>
      <c r="K2" s="69" t="s">
        <v>5512</v>
      </c>
      <c r="L2" s="69" t="s">
        <v>5514</v>
      </c>
    </row>
    <row r="3" spans="2:12" x14ac:dyDescent="0.3">
      <c r="B3" s="66">
        <v>1</v>
      </c>
      <c r="C3" s="53">
        <v>1</v>
      </c>
      <c r="D3" s="53" t="s">
        <v>5400</v>
      </c>
      <c r="E3" s="53" t="s">
        <v>5408</v>
      </c>
      <c r="F3" s="63" t="str">
        <f>VLOOKUP($I3&amp;"_"&amp;$E3,옵션그룹계산1!$AA$4:$AB$219,2,FALSE)</f>
        <v>1111</v>
      </c>
      <c r="G3" s="53" t="s">
        <v>5407</v>
      </c>
      <c r="H3" s="63" t="str">
        <f>VLOOKUP($I3&amp;"_"&amp;$G3,옵션그룹계산1!$AA$4:$AB$219,2,FALSE)</f>
        <v>1112</v>
      </c>
      <c r="I3" s="63" t="str">
        <f t="shared" ref="I3:I34" si="0">"T"&amp;B3&amp;"_"&amp;C3&amp;"옵션_"&amp;D3</f>
        <v>T1_1옵션_방어구</v>
      </c>
      <c r="J3" s="101" t="str">
        <f>표1[[#This Row],[1차검색]]</f>
        <v>1111</v>
      </c>
      <c r="K3" s="101" t="str">
        <f>표1[[#This Row],[3차검색]]</f>
        <v>1112</v>
      </c>
      <c r="L3" s="101" t="str">
        <f>표1[[#This Row],[OptionGroupIndex'[']]]&amp;","&amp;표1[[#This Row],[OptionGroupIndex'[']2]]</f>
        <v>1111,1112</v>
      </c>
    </row>
    <row r="4" spans="2:12" x14ac:dyDescent="0.3">
      <c r="B4" s="66">
        <v>1</v>
      </c>
      <c r="C4" s="53">
        <v>1</v>
      </c>
      <c r="D4" s="53" t="s">
        <v>5399</v>
      </c>
      <c r="E4" s="53" t="s">
        <v>5397</v>
      </c>
      <c r="F4" s="63" t="str">
        <f>VLOOKUP($I4&amp;"_"&amp;$E4,옵션그룹계산1!$AA$4:$AB$219,2,FALSE)</f>
        <v>1121</v>
      </c>
      <c r="G4" s="53" t="s">
        <v>5407</v>
      </c>
      <c r="H4" s="63" t="str">
        <f>VLOOKUP($I4&amp;"_"&amp;$G4,옵션그룹계산1!$AA$4:$AB$219,2,FALSE)</f>
        <v>1122</v>
      </c>
      <c r="I4" s="63" t="str">
        <f t="shared" si="0"/>
        <v>T1_1옵션_보조장비</v>
      </c>
      <c r="J4" s="101" t="str">
        <f>표1[[#This Row],[1차검색]]</f>
        <v>1121</v>
      </c>
      <c r="K4" s="101" t="str">
        <f>표1[[#This Row],[3차검색]]</f>
        <v>1122</v>
      </c>
      <c r="L4" s="101" t="str">
        <f>표1[[#This Row],[OptionGroupIndex'[']]]&amp;","&amp;표1[[#This Row],[OptionGroupIndex'[']2]]</f>
        <v>1121,1122</v>
      </c>
    </row>
    <row r="5" spans="2:12" x14ac:dyDescent="0.3">
      <c r="B5" s="66">
        <v>1</v>
      </c>
      <c r="C5" s="53">
        <v>1</v>
      </c>
      <c r="D5" s="53" t="s">
        <v>5398</v>
      </c>
      <c r="E5" s="53" t="s">
        <v>5397</v>
      </c>
      <c r="F5" s="63" t="str">
        <f>VLOOKUP($I5&amp;"_"&amp;$E5,옵션그룹계산1!$AA$4:$AB$219,2,FALSE)</f>
        <v>1131</v>
      </c>
      <c r="G5" s="53" t="s">
        <v>5407</v>
      </c>
      <c r="H5" s="63" t="str">
        <f>VLOOKUP($I5&amp;"_"&amp;$G5,옵션그룹계산1!$AA$4:$AB$219,2,FALSE)</f>
        <v>1132</v>
      </c>
      <c r="I5" s="63" t="str">
        <f t="shared" si="0"/>
        <v>T1_1옵션_장신구</v>
      </c>
      <c r="J5" s="101" t="str">
        <f>표1[[#This Row],[1차검색]]</f>
        <v>1131</v>
      </c>
      <c r="K5" s="101" t="str">
        <f>표1[[#This Row],[3차검색]]</f>
        <v>1132</v>
      </c>
      <c r="L5" s="101" t="str">
        <f>표1[[#This Row],[OptionGroupIndex'[']]]&amp;","&amp;표1[[#This Row],[OptionGroupIndex'[']2]]</f>
        <v>1131,1132</v>
      </c>
    </row>
    <row r="6" spans="2:12" x14ac:dyDescent="0.3">
      <c r="B6" s="66">
        <v>1</v>
      </c>
      <c r="C6" s="53">
        <v>1</v>
      </c>
      <c r="D6" s="53" t="s">
        <v>5396</v>
      </c>
      <c r="E6" s="53" t="s">
        <v>5397</v>
      </c>
      <c r="F6" s="63" t="str">
        <f>VLOOKUP($I6&amp;"_"&amp;$E6,옵션그룹계산1!$AA$4:$AB$219,2,FALSE)</f>
        <v>1141</v>
      </c>
      <c r="G6" s="53" t="s">
        <v>5407</v>
      </c>
      <c r="H6" s="63" t="str">
        <f>VLOOKUP($I6&amp;"_"&amp;$G6,옵션그룹계산1!$AA$4:$AB$219,2,FALSE)</f>
        <v>1142</v>
      </c>
      <c r="I6" s="63" t="str">
        <f t="shared" si="0"/>
        <v>T1_1옵션_보주</v>
      </c>
      <c r="J6" s="101" t="str">
        <f>표1[[#This Row],[1차검색]]</f>
        <v>1141</v>
      </c>
      <c r="K6" s="101" t="str">
        <f>표1[[#This Row],[3차검색]]</f>
        <v>1142</v>
      </c>
      <c r="L6" s="101" t="str">
        <f>표1[[#This Row],[OptionGroupIndex'[']]]&amp;","&amp;표1[[#This Row],[OptionGroupIndex'[']2]]</f>
        <v>1141,1142</v>
      </c>
    </row>
    <row r="7" spans="2:12" x14ac:dyDescent="0.3">
      <c r="B7" s="66">
        <v>1</v>
      </c>
      <c r="C7" s="53">
        <v>2</v>
      </c>
      <c r="D7" s="53" t="s">
        <v>5400</v>
      </c>
      <c r="E7" s="53" t="s">
        <v>5397</v>
      </c>
      <c r="F7" s="63" t="str">
        <f>VLOOKUP($I7&amp;"_"&amp;$E7,옵션그룹계산1!$AA$4:$AB$219,2,FALSE)</f>
        <v>1211</v>
      </c>
      <c r="G7" s="53" t="s">
        <v>5407</v>
      </c>
      <c r="H7" s="63" t="str">
        <f>VLOOKUP($I7&amp;"_"&amp;$G7,옵션그룹계산1!$AA$4:$AB$219,2,FALSE)</f>
        <v>1212</v>
      </c>
      <c r="I7" s="63" t="str">
        <f t="shared" si="0"/>
        <v>T1_2옵션_방어구</v>
      </c>
      <c r="J7" s="101" t="str">
        <f>표1[[#This Row],[1차검색]]</f>
        <v>1211</v>
      </c>
      <c r="K7" s="101" t="str">
        <f>표1[[#This Row],[3차검색]]</f>
        <v>1212</v>
      </c>
      <c r="L7" s="101" t="str">
        <f>표1[[#This Row],[OptionGroupIndex'[']]]&amp;","&amp;표1[[#This Row],[OptionGroupIndex'[']2]]</f>
        <v>1211,1212</v>
      </c>
    </row>
    <row r="8" spans="2:12" x14ac:dyDescent="0.3">
      <c r="B8" s="66">
        <v>1</v>
      </c>
      <c r="C8" s="53">
        <v>2</v>
      </c>
      <c r="D8" s="53" t="s">
        <v>5399</v>
      </c>
      <c r="E8" s="53" t="s">
        <v>5397</v>
      </c>
      <c r="F8" s="63" t="str">
        <f>VLOOKUP($I8&amp;"_"&amp;$E8,옵션그룹계산1!$AA$4:$AB$219,2,FALSE)</f>
        <v>1221</v>
      </c>
      <c r="G8" s="53" t="s">
        <v>5407</v>
      </c>
      <c r="H8" s="63" t="str">
        <f>VLOOKUP($I8&amp;"_"&amp;$G8,옵션그룹계산1!$AA$4:$AB$219,2,FALSE)</f>
        <v>1222</v>
      </c>
      <c r="I8" s="63" t="str">
        <f t="shared" si="0"/>
        <v>T1_2옵션_보조장비</v>
      </c>
      <c r="J8" s="101" t="str">
        <f>표1[[#This Row],[1차검색]]</f>
        <v>1221</v>
      </c>
      <c r="K8" s="101" t="str">
        <f>표1[[#This Row],[3차검색]]</f>
        <v>1222</v>
      </c>
      <c r="L8" s="101" t="str">
        <f>표1[[#This Row],[OptionGroupIndex'[']]]&amp;","&amp;표1[[#This Row],[OptionGroupIndex'[']2]]</f>
        <v>1221,1222</v>
      </c>
    </row>
    <row r="9" spans="2:12" x14ac:dyDescent="0.3">
      <c r="B9" s="66">
        <v>1</v>
      </c>
      <c r="C9" s="53">
        <v>2</v>
      </c>
      <c r="D9" s="53" t="s">
        <v>5398</v>
      </c>
      <c r="E9" s="53" t="s">
        <v>5397</v>
      </c>
      <c r="F9" s="63" t="str">
        <f>VLOOKUP($I9&amp;"_"&amp;$E9,옵션그룹계산1!$AA$4:$AB$219,2,FALSE)</f>
        <v>1231</v>
      </c>
      <c r="G9" s="53" t="s">
        <v>5407</v>
      </c>
      <c r="H9" s="63" t="str">
        <f>VLOOKUP($I9&amp;"_"&amp;$G9,옵션그룹계산1!$AA$4:$AB$219,2,FALSE)</f>
        <v>1232</v>
      </c>
      <c r="I9" s="63" t="str">
        <f t="shared" si="0"/>
        <v>T1_2옵션_장신구</v>
      </c>
      <c r="J9" s="101" t="str">
        <f>표1[[#This Row],[1차검색]]</f>
        <v>1231</v>
      </c>
      <c r="K9" s="101" t="str">
        <f>표1[[#This Row],[3차검색]]</f>
        <v>1232</v>
      </c>
      <c r="L9" s="101" t="str">
        <f>표1[[#This Row],[OptionGroupIndex'[']]]&amp;","&amp;표1[[#This Row],[OptionGroupIndex'[']2]]</f>
        <v>1231,1232</v>
      </c>
    </row>
    <row r="10" spans="2:12" x14ac:dyDescent="0.3">
      <c r="B10" s="66">
        <v>1</v>
      </c>
      <c r="C10" s="53">
        <v>2</v>
      </c>
      <c r="D10" s="53" t="s">
        <v>5396</v>
      </c>
      <c r="E10" s="53" t="s">
        <v>5397</v>
      </c>
      <c r="F10" s="63" t="str">
        <f>VLOOKUP($I10&amp;"_"&amp;$E10,옵션그룹계산1!$AA$4:$AB$219,2,FALSE)</f>
        <v>1241</v>
      </c>
      <c r="G10" s="53" t="s">
        <v>5407</v>
      </c>
      <c r="H10" s="63" t="str">
        <f>VLOOKUP($I10&amp;"_"&amp;$G10,옵션그룹계산1!$AA$4:$AB$219,2,FALSE)</f>
        <v>1242</v>
      </c>
      <c r="I10" s="63" t="str">
        <f t="shared" si="0"/>
        <v>T1_2옵션_보주</v>
      </c>
      <c r="J10" s="101" t="str">
        <f>표1[[#This Row],[1차검색]]</f>
        <v>1241</v>
      </c>
      <c r="K10" s="101" t="str">
        <f>표1[[#This Row],[3차검색]]</f>
        <v>1242</v>
      </c>
      <c r="L10" s="101" t="str">
        <f>표1[[#This Row],[OptionGroupIndex'[']]]&amp;","&amp;표1[[#This Row],[OptionGroupIndex'[']2]]</f>
        <v>1241,1242</v>
      </c>
    </row>
    <row r="11" spans="2:12" x14ac:dyDescent="0.3">
      <c r="B11" s="66">
        <v>1</v>
      </c>
      <c r="C11" s="53">
        <v>3</v>
      </c>
      <c r="D11" s="53" t="s">
        <v>5400</v>
      </c>
      <c r="E11" s="53" t="s">
        <v>5397</v>
      </c>
      <c r="F11" s="63" t="str">
        <f>VLOOKUP($I11&amp;"_"&amp;$E11,옵션그룹계산1!$AA$4:$AB$219,2,FALSE)</f>
        <v>1311</v>
      </c>
      <c r="G11" s="53" t="s">
        <v>5407</v>
      </c>
      <c r="H11" s="63" t="str">
        <f>VLOOKUP($I11&amp;"_"&amp;$G11,옵션그룹계산1!$AA$4:$AB$219,2,FALSE)</f>
        <v>1312</v>
      </c>
      <c r="I11" s="63" t="str">
        <f t="shared" si="0"/>
        <v>T1_3옵션_방어구</v>
      </c>
      <c r="J11" s="101" t="str">
        <f>표1[[#This Row],[1차검색]]</f>
        <v>1311</v>
      </c>
      <c r="K11" s="101" t="str">
        <f>표1[[#This Row],[3차검색]]</f>
        <v>1312</v>
      </c>
      <c r="L11" s="101" t="str">
        <f>표1[[#This Row],[OptionGroupIndex'[']]]&amp;","&amp;표1[[#This Row],[OptionGroupIndex'[']2]]</f>
        <v>1311,1312</v>
      </c>
    </row>
    <row r="12" spans="2:12" x14ac:dyDescent="0.3">
      <c r="B12" s="66">
        <v>1</v>
      </c>
      <c r="C12" s="53">
        <v>3</v>
      </c>
      <c r="D12" s="53" t="s">
        <v>5399</v>
      </c>
      <c r="E12" s="53" t="s">
        <v>5397</v>
      </c>
      <c r="F12" s="63" t="str">
        <f>VLOOKUP($I12&amp;"_"&amp;$E12,옵션그룹계산1!$AA$4:$AB$219,2,FALSE)</f>
        <v>1321</v>
      </c>
      <c r="G12" s="53" t="s">
        <v>5407</v>
      </c>
      <c r="H12" s="63" t="str">
        <f>VLOOKUP($I12&amp;"_"&amp;$G12,옵션그룹계산1!$AA$4:$AB$219,2,FALSE)</f>
        <v>1322</v>
      </c>
      <c r="I12" s="63" t="str">
        <f t="shared" si="0"/>
        <v>T1_3옵션_보조장비</v>
      </c>
      <c r="J12" s="101" t="str">
        <f>표1[[#This Row],[1차검색]]</f>
        <v>1321</v>
      </c>
      <c r="K12" s="101" t="str">
        <f>표1[[#This Row],[3차검색]]</f>
        <v>1322</v>
      </c>
      <c r="L12" s="101" t="str">
        <f>표1[[#This Row],[OptionGroupIndex'[']]]&amp;","&amp;표1[[#This Row],[OptionGroupIndex'[']2]]</f>
        <v>1321,1322</v>
      </c>
    </row>
    <row r="13" spans="2:12" x14ac:dyDescent="0.3">
      <c r="B13" s="66">
        <v>1</v>
      </c>
      <c r="C13" s="53">
        <v>3</v>
      </c>
      <c r="D13" s="53" t="s">
        <v>5398</v>
      </c>
      <c r="E13" s="53" t="s">
        <v>5397</v>
      </c>
      <c r="F13" s="63" t="str">
        <f>VLOOKUP($I13&amp;"_"&amp;$E13,옵션그룹계산1!$AA$4:$AB$219,2,FALSE)</f>
        <v>1331</v>
      </c>
      <c r="G13" s="53" t="s">
        <v>5407</v>
      </c>
      <c r="H13" s="63" t="str">
        <f>VLOOKUP($I13&amp;"_"&amp;$G13,옵션그룹계산1!$AA$4:$AB$219,2,FALSE)</f>
        <v>1332</v>
      </c>
      <c r="I13" s="63" t="str">
        <f t="shared" si="0"/>
        <v>T1_3옵션_장신구</v>
      </c>
      <c r="J13" s="101" t="str">
        <f>표1[[#This Row],[1차검색]]</f>
        <v>1331</v>
      </c>
      <c r="K13" s="101" t="str">
        <f>표1[[#This Row],[3차검색]]</f>
        <v>1332</v>
      </c>
      <c r="L13" s="101" t="str">
        <f>표1[[#This Row],[OptionGroupIndex'[']]]&amp;","&amp;표1[[#This Row],[OptionGroupIndex'[']2]]</f>
        <v>1331,1332</v>
      </c>
    </row>
    <row r="14" spans="2:12" x14ac:dyDescent="0.3">
      <c r="B14" s="66">
        <v>1</v>
      </c>
      <c r="C14" s="53">
        <v>3</v>
      </c>
      <c r="D14" s="53" t="s">
        <v>5396</v>
      </c>
      <c r="E14" s="53" t="s">
        <v>5397</v>
      </c>
      <c r="F14" s="63" t="str">
        <f>VLOOKUP($I14&amp;"_"&amp;$E14,옵션그룹계산1!$AA$4:$AB$219,2,FALSE)</f>
        <v>1341</v>
      </c>
      <c r="G14" s="53" t="s">
        <v>5407</v>
      </c>
      <c r="H14" s="63" t="str">
        <f>VLOOKUP($I14&amp;"_"&amp;$G14,옵션그룹계산1!$AA$4:$AB$219,2,FALSE)</f>
        <v>1342</v>
      </c>
      <c r="I14" s="63" t="str">
        <f t="shared" si="0"/>
        <v>T1_3옵션_보주</v>
      </c>
      <c r="J14" s="101" t="str">
        <f>표1[[#This Row],[1차검색]]</f>
        <v>1341</v>
      </c>
      <c r="K14" s="101" t="str">
        <f>표1[[#This Row],[3차검색]]</f>
        <v>1342</v>
      </c>
      <c r="L14" s="101" t="str">
        <f>표1[[#This Row],[OptionGroupIndex'[']]]&amp;","&amp;표1[[#This Row],[OptionGroupIndex'[']2]]</f>
        <v>1341,1342</v>
      </c>
    </row>
    <row r="15" spans="2:12" x14ac:dyDescent="0.3">
      <c r="B15" s="66">
        <v>2</v>
      </c>
      <c r="C15" s="53">
        <v>1</v>
      </c>
      <c r="D15" s="53" t="s">
        <v>5400</v>
      </c>
      <c r="E15" s="53" t="s">
        <v>5397</v>
      </c>
      <c r="F15" s="63" t="str">
        <f>VLOOKUP($I15&amp;"_"&amp;$E15,옵션그룹계산1!$AA$4:$AB$219,2,FALSE)</f>
        <v>2111</v>
      </c>
      <c r="G15" s="53" t="s">
        <v>5407</v>
      </c>
      <c r="H15" s="63" t="str">
        <f>VLOOKUP($I15&amp;"_"&amp;$G15,옵션그룹계산1!$AA$4:$AB$219,2,FALSE)</f>
        <v>2112</v>
      </c>
      <c r="I15" s="63" t="str">
        <f t="shared" si="0"/>
        <v>T2_1옵션_방어구</v>
      </c>
      <c r="J15" s="101" t="str">
        <f>표1[[#This Row],[1차검색]]</f>
        <v>2111</v>
      </c>
      <c r="K15" s="101" t="str">
        <f>표1[[#This Row],[3차검색]]</f>
        <v>2112</v>
      </c>
      <c r="L15" s="101" t="str">
        <f>표1[[#This Row],[OptionGroupIndex'[']]]&amp;","&amp;표1[[#This Row],[OptionGroupIndex'[']2]]</f>
        <v>2111,2112</v>
      </c>
    </row>
    <row r="16" spans="2:12" x14ac:dyDescent="0.3">
      <c r="B16" s="66">
        <v>2</v>
      </c>
      <c r="C16" s="53">
        <v>1</v>
      </c>
      <c r="D16" s="53" t="s">
        <v>5399</v>
      </c>
      <c r="E16" s="53" t="s">
        <v>5397</v>
      </c>
      <c r="F16" s="63" t="str">
        <f>VLOOKUP($I16&amp;"_"&amp;$E16,옵션그룹계산1!$AA$4:$AB$219,2,FALSE)</f>
        <v>2121</v>
      </c>
      <c r="G16" s="53" t="s">
        <v>5407</v>
      </c>
      <c r="H16" s="63" t="str">
        <f>VLOOKUP($I16&amp;"_"&amp;$G16,옵션그룹계산1!$AA$4:$AB$219,2,FALSE)</f>
        <v>2122</v>
      </c>
      <c r="I16" s="63" t="str">
        <f t="shared" si="0"/>
        <v>T2_1옵션_보조장비</v>
      </c>
      <c r="J16" s="101" t="str">
        <f>표1[[#This Row],[1차검색]]</f>
        <v>2121</v>
      </c>
      <c r="K16" s="101" t="str">
        <f>표1[[#This Row],[3차검색]]</f>
        <v>2122</v>
      </c>
      <c r="L16" s="101" t="str">
        <f>표1[[#This Row],[OptionGroupIndex'[']]]&amp;","&amp;표1[[#This Row],[OptionGroupIndex'[']2]]</f>
        <v>2121,2122</v>
      </c>
    </row>
    <row r="17" spans="2:12" x14ac:dyDescent="0.3">
      <c r="B17" s="66">
        <v>2</v>
      </c>
      <c r="C17" s="53">
        <v>1</v>
      </c>
      <c r="D17" s="53" t="s">
        <v>5398</v>
      </c>
      <c r="E17" s="53" t="s">
        <v>5397</v>
      </c>
      <c r="F17" s="63" t="str">
        <f>VLOOKUP($I17&amp;"_"&amp;$E17,옵션그룹계산1!$AA$4:$AB$219,2,FALSE)</f>
        <v>2131</v>
      </c>
      <c r="G17" s="53" t="s">
        <v>5407</v>
      </c>
      <c r="H17" s="63" t="str">
        <f>VLOOKUP($I17&amp;"_"&amp;$G17,옵션그룹계산1!$AA$4:$AB$219,2,FALSE)</f>
        <v>2132</v>
      </c>
      <c r="I17" s="63" t="str">
        <f t="shared" si="0"/>
        <v>T2_1옵션_장신구</v>
      </c>
      <c r="J17" s="101" t="str">
        <f>표1[[#This Row],[1차검색]]</f>
        <v>2131</v>
      </c>
      <c r="K17" s="101" t="str">
        <f>표1[[#This Row],[3차검색]]</f>
        <v>2132</v>
      </c>
      <c r="L17" s="101" t="str">
        <f>표1[[#This Row],[OptionGroupIndex'[']]]&amp;","&amp;표1[[#This Row],[OptionGroupIndex'[']2]]</f>
        <v>2131,2132</v>
      </c>
    </row>
    <row r="18" spans="2:12" x14ac:dyDescent="0.3">
      <c r="B18" s="66">
        <v>2</v>
      </c>
      <c r="C18" s="53">
        <v>1</v>
      </c>
      <c r="D18" s="53" t="s">
        <v>5396</v>
      </c>
      <c r="E18" s="53" t="s">
        <v>5397</v>
      </c>
      <c r="F18" s="63" t="str">
        <f>VLOOKUP($I18&amp;"_"&amp;$E18,옵션그룹계산1!$AA$4:$AB$219,2,FALSE)</f>
        <v>2141</v>
      </c>
      <c r="G18" s="53" t="s">
        <v>5407</v>
      </c>
      <c r="H18" s="63" t="str">
        <f>VLOOKUP($I18&amp;"_"&amp;$G18,옵션그룹계산1!$AA$4:$AB$219,2,FALSE)</f>
        <v>2142</v>
      </c>
      <c r="I18" s="63" t="str">
        <f t="shared" si="0"/>
        <v>T2_1옵션_보주</v>
      </c>
      <c r="J18" s="101" t="str">
        <f>표1[[#This Row],[1차검색]]</f>
        <v>2141</v>
      </c>
      <c r="K18" s="101" t="str">
        <f>표1[[#This Row],[3차검색]]</f>
        <v>2142</v>
      </c>
      <c r="L18" s="101" t="str">
        <f>표1[[#This Row],[OptionGroupIndex'[']]]&amp;","&amp;표1[[#This Row],[OptionGroupIndex'[']2]]</f>
        <v>2141,2142</v>
      </c>
    </row>
    <row r="19" spans="2:12" x14ac:dyDescent="0.3">
      <c r="B19" s="66">
        <v>2</v>
      </c>
      <c r="C19" s="53">
        <v>2</v>
      </c>
      <c r="D19" s="53" t="s">
        <v>5400</v>
      </c>
      <c r="E19" s="53" t="s">
        <v>5397</v>
      </c>
      <c r="F19" s="63" t="str">
        <f>VLOOKUP($I19&amp;"_"&amp;$E19,옵션그룹계산1!$AA$4:$AB$219,2,FALSE)</f>
        <v>2211</v>
      </c>
      <c r="G19" s="53" t="s">
        <v>5407</v>
      </c>
      <c r="H19" s="63" t="str">
        <f>VLOOKUP($I19&amp;"_"&amp;$G19,옵션그룹계산1!$AA$4:$AB$219,2,FALSE)</f>
        <v>2212</v>
      </c>
      <c r="I19" s="63" t="str">
        <f t="shared" si="0"/>
        <v>T2_2옵션_방어구</v>
      </c>
      <c r="J19" s="101" t="str">
        <f>표1[[#This Row],[1차검색]]</f>
        <v>2211</v>
      </c>
      <c r="K19" s="101" t="str">
        <f>표1[[#This Row],[3차검색]]</f>
        <v>2212</v>
      </c>
      <c r="L19" s="101" t="str">
        <f>표1[[#This Row],[OptionGroupIndex'[']]]&amp;","&amp;표1[[#This Row],[OptionGroupIndex'[']2]]</f>
        <v>2211,2212</v>
      </c>
    </row>
    <row r="20" spans="2:12" x14ac:dyDescent="0.3">
      <c r="B20" s="66">
        <v>2</v>
      </c>
      <c r="C20" s="53">
        <v>2</v>
      </c>
      <c r="D20" s="53" t="s">
        <v>5399</v>
      </c>
      <c r="E20" s="53" t="s">
        <v>5397</v>
      </c>
      <c r="F20" s="63" t="str">
        <f>VLOOKUP($I20&amp;"_"&amp;$E20,옵션그룹계산1!$AA$4:$AB$219,2,FALSE)</f>
        <v>2221</v>
      </c>
      <c r="G20" s="53" t="s">
        <v>5407</v>
      </c>
      <c r="H20" s="63" t="str">
        <f>VLOOKUP($I20&amp;"_"&amp;$G20,옵션그룹계산1!$AA$4:$AB$219,2,FALSE)</f>
        <v>2222</v>
      </c>
      <c r="I20" s="63" t="str">
        <f t="shared" si="0"/>
        <v>T2_2옵션_보조장비</v>
      </c>
      <c r="J20" s="101" t="str">
        <f>표1[[#This Row],[1차검색]]</f>
        <v>2221</v>
      </c>
      <c r="K20" s="101" t="str">
        <f>표1[[#This Row],[3차검색]]</f>
        <v>2222</v>
      </c>
      <c r="L20" s="101" t="str">
        <f>표1[[#This Row],[OptionGroupIndex'[']]]&amp;","&amp;표1[[#This Row],[OptionGroupIndex'[']2]]</f>
        <v>2221,2222</v>
      </c>
    </row>
    <row r="21" spans="2:12" x14ac:dyDescent="0.3">
      <c r="B21" s="66">
        <v>2</v>
      </c>
      <c r="C21" s="53">
        <v>2</v>
      </c>
      <c r="D21" s="53" t="s">
        <v>5398</v>
      </c>
      <c r="E21" s="53" t="s">
        <v>5397</v>
      </c>
      <c r="F21" s="63" t="str">
        <f>VLOOKUP($I21&amp;"_"&amp;$E21,옵션그룹계산1!$AA$4:$AB$219,2,FALSE)</f>
        <v>2231</v>
      </c>
      <c r="G21" s="53" t="s">
        <v>5407</v>
      </c>
      <c r="H21" s="63" t="str">
        <f>VLOOKUP($I21&amp;"_"&amp;$G21,옵션그룹계산1!$AA$4:$AB$219,2,FALSE)</f>
        <v>2232</v>
      </c>
      <c r="I21" s="63" t="str">
        <f t="shared" si="0"/>
        <v>T2_2옵션_장신구</v>
      </c>
      <c r="J21" s="101" t="str">
        <f>표1[[#This Row],[1차검색]]</f>
        <v>2231</v>
      </c>
      <c r="K21" s="101" t="str">
        <f>표1[[#This Row],[3차검색]]</f>
        <v>2232</v>
      </c>
      <c r="L21" s="101" t="str">
        <f>표1[[#This Row],[OptionGroupIndex'[']]]&amp;","&amp;표1[[#This Row],[OptionGroupIndex'[']2]]</f>
        <v>2231,2232</v>
      </c>
    </row>
    <row r="22" spans="2:12" x14ac:dyDescent="0.3">
      <c r="B22" s="66">
        <v>2</v>
      </c>
      <c r="C22" s="53">
        <v>2</v>
      </c>
      <c r="D22" s="53" t="s">
        <v>5396</v>
      </c>
      <c r="E22" s="53" t="s">
        <v>5397</v>
      </c>
      <c r="F22" s="63" t="str">
        <f>VLOOKUP($I22&amp;"_"&amp;$E22,옵션그룹계산1!$AA$4:$AB$219,2,FALSE)</f>
        <v>2241</v>
      </c>
      <c r="G22" s="53" t="s">
        <v>5407</v>
      </c>
      <c r="H22" s="63" t="str">
        <f>VLOOKUP($I22&amp;"_"&amp;$G22,옵션그룹계산1!$AA$4:$AB$219,2,FALSE)</f>
        <v>2242</v>
      </c>
      <c r="I22" s="63" t="str">
        <f t="shared" si="0"/>
        <v>T2_2옵션_보주</v>
      </c>
      <c r="J22" s="101" t="str">
        <f>표1[[#This Row],[1차검색]]</f>
        <v>2241</v>
      </c>
      <c r="K22" s="101" t="str">
        <f>표1[[#This Row],[3차검색]]</f>
        <v>2242</v>
      </c>
      <c r="L22" s="101" t="str">
        <f>표1[[#This Row],[OptionGroupIndex'[']]]&amp;","&amp;표1[[#This Row],[OptionGroupIndex'[']2]]</f>
        <v>2241,2242</v>
      </c>
    </row>
    <row r="23" spans="2:12" x14ac:dyDescent="0.3">
      <c r="B23" s="66">
        <v>2</v>
      </c>
      <c r="C23" s="53">
        <v>3</v>
      </c>
      <c r="D23" s="53" t="s">
        <v>5400</v>
      </c>
      <c r="E23" s="53" t="s">
        <v>5397</v>
      </c>
      <c r="F23" s="63" t="str">
        <f>VLOOKUP($I23&amp;"_"&amp;$E23,옵션그룹계산1!$AA$4:$AB$219,2,FALSE)</f>
        <v>2311</v>
      </c>
      <c r="G23" s="53" t="s">
        <v>5407</v>
      </c>
      <c r="H23" s="63" t="str">
        <f>VLOOKUP($I23&amp;"_"&amp;$G23,옵션그룹계산1!$AA$4:$AB$219,2,FALSE)</f>
        <v>2312</v>
      </c>
      <c r="I23" s="63" t="str">
        <f t="shared" si="0"/>
        <v>T2_3옵션_방어구</v>
      </c>
      <c r="J23" s="101" t="str">
        <f>표1[[#This Row],[1차검색]]</f>
        <v>2311</v>
      </c>
      <c r="K23" s="101" t="str">
        <f>표1[[#This Row],[3차검색]]</f>
        <v>2312</v>
      </c>
      <c r="L23" s="101" t="str">
        <f>표1[[#This Row],[OptionGroupIndex'[']]]&amp;","&amp;표1[[#This Row],[OptionGroupIndex'[']2]]</f>
        <v>2311,2312</v>
      </c>
    </row>
    <row r="24" spans="2:12" x14ac:dyDescent="0.3">
      <c r="B24" s="66">
        <v>2</v>
      </c>
      <c r="C24" s="53">
        <v>3</v>
      </c>
      <c r="D24" s="53" t="s">
        <v>5399</v>
      </c>
      <c r="E24" s="53" t="s">
        <v>5397</v>
      </c>
      <c r="F24" s="63" t="str">
        <f>VLOOKUP($I24&amp;"_"&amp;$E24,옵션그룹계산1!$AA$4:$AB$219,2,FALSE)</f>
        <v>2321</v>
      </c>
      <c r="G24" s="53" t="s">
        <v>5407</v>
      </c>
      <c r="H24" s="63" t="str">
        <f>VLOOKUP($I24&amp;"_"&amp;$G24,옵션그룹계산1!$AA$4:$AB$219,2,FALSE)</f>
        <v>2322</v>
      </c>
      <c r="I24" s="63" t="str">
        <f t="shared" si="0"/>
        <v>T2_3옵션_보조장비</v>
      </c>
      <c r="J24" s="101" t="str">
        <f>표1[[#This Row],[1차검색]]</f>
        <v>2321</v>
      </c>
      <c r="K24" s="101" t="str">
        <f>표1[[#This Row],[3차검색]]</f>
        <v>2322</v>
      </c>
      <c r="L24" s="101" t="str">
        <f>표1[[#This Row],[OptionGroupIndex'[']]]&amp;","&amp;표1[[#This Row],[OptionGroupIndex'[']2]]</f>
        <v>2321,2322</v>
      </c>
    </row>
    <row r="25" spans="2:12" x14ac:dyDescent="0.3">
      <c r="B25" s="66">
        <v>2</v>
      </c>
      <c r="C25" s="53">
        <v>3</v>
      </c>
      <c r="D25" s="53" t="s">
        <v>5398</v>
      </c>
      <c r="E25" s="53" t="s">
        <v>5397</v>
      </c>
      <c r="F25" s="63" t="str">
        <f>VLOOKUP($I25&amp;"_"&amp;$E25,옵션그룹계산1!$AA$4:$AB$219,2,FALSE)</f>
        <v>2331</v>
      </c>
      <c r="G25" s="53" t="s">
        <v>5407</v>
      </c>
      <c r="H25" s="63" t="str">
        <f>VLOOKUP($I25&amp;"_"&amp;$G25,옵션그룹계산1!$AA$4:$AB$219,2,FALSE)</f>
        <v>2332</v>
      </c>
      <c r="I25" s="63" t="str">
        <f t="shared" si="0"/>
        <v>T2_3옵션_장신구</v>
      </c>
      <c r="J25" s="101" t="str">
        <f>표1[[#This Row],[1차검색]]</f>
        <v>2331</v>
      </c>
      <c r="K25" s="101" t="str">
        <f>표1[[#This Row],[3차검색]]</f>
        <v>2332</v>
      </c>
      <c r="L25" s="101" t="str">
        <f>표1[[#This Row],[OptionGroupIndex'[']]]&amp;","&amp;표1[[#This Row],[OptionGroupIndex'[']2]]</f>
        <v>2331,2332</v>
      </c>
    </row>
    <row r="26" spans="2:12" x14ac:dyDescent="0.3">
      <c r="B26" s="66">
        <v>2</v>
      </c>
      <c r="C26" s="53">
        <v>3</v>
      </c>
      <c r="D26" s="53" t="s">
        <v>5396</v>
      </c>
      <c r="E26" s="53" t="s">
        <v>5397</v>
      </c>
      <c r="F26" s="63" t="str">
        <f>VLOOKUP($I26&amp;"_"&amp;$E26,옵션그룹계산1!$AA$4:$AB$219,2,FALSE)</f>
        <v>2341</v>
      </c>
      <c r="G26" s="53" t="s">
        <v>5407</v>
      </c>
      <c r="H26" s="63" t="str">
        <f>VLOOKUP($I26&amp;"_"&amp;$G26,옵션그룹계산1!$AA$4:$AB$219,2,FALSE)</f>
        <v>2342</v>
      </c>
      <c r="I26" s="63" t="str">
        <f t="shared" si="0"/>
        <v>T2_3옵션_보주</v>
      </c>
      <c r="J26" s="101" t="str">
        <f>표1[[#This Row],[1차검색]]</f>
        <v>2341</v>
      </c>
      <c r="K26" s="101" t="str">
        <f>표1[[#This Row],[3차검색]]</f>
        <v>2342</v>
      </c>
      <c r="L26" s="101" t="str">
        <f>표1[[#This Row],[OptionGroupIndex'[']]]&amp;","&amp;표1[[#This Row],[OptionGroupIndex'[']2]]</f>
        <v>2341,2342</v>
      </c>
    </row>
    <row r="27" spans="2:12" x14ac:dyDescent="0.3">
      <c r="B27" s="66">
        <v>3</v>
      </c>
      <c r="C27" s="53">
        <v>1</v>
      </c>
      <c r="D27" s="53" t="s">
        <v>5400</v>
      </c>
      <c r="E27" s="53" t="s">
        <v>5397</v>
      </c>
      <c r="F27" s="63" t="str">
        <f>VLOOKUP($I27&amp;"_"&amp;$E27,옵션그룹계산1!$AA$4:$AB$219,2,FALSE)</f>
        <v>3111</v>
      </c>
      <c r="G27" s="53" t="s">
        <v>5407</v>
      </c>
      <c r="H27" s="63" t="str">
        <f>VLOOKUP($I27&amp;"_"&amp;$G27,옵션그룹계산1!$AA$4:$AB$219,2,FALSE)</f>
        <v>3112</v>
      </c>
      <c r="I27" s="63" t="str">
        <f t="shared" si="0"/>
        <v>T3_1옵션_방어구</v>
      </c>
      <c r="J27" s="101" t="str">
        <f>표1[[#This Row],[1차검색]]</f>
        <v>3111</v>
      </c>
      <c r="K27" s="101" t="str">
        <f>표1[[#This Row],[3차검색]]</f>
        <v>3112</v>
      </c>
      <c r="L27" s="101" t="str">
        <f>표1[[#This Row],[OptionGroupIndex'[']]]&amp;","&amp;표1[[#This Row],[OptionGroupIndex'[']2]]</f>
        <v>3111,3112</v>
      </c>
    </row>
    <row r="28" spans="2:12" x14ac:dyDescent="0.3">
      <c r="B28" s="66">
        <v>3</v>
      </c>
      <c r="C28" s="53">
        <v>1</v>
      </c>
      <c r="D28" s="53" t="s">
        <v>5399</v>
      </c>
      <c r="E28" s="53" t="s">
        <v>5397</v>
      </c>
      <c r="F28" s="63" t="str">
        <f>VLOOKUP($I28&amp;"_"&amp;$E28,옵션그룹계산1!$AA$4:$AB$219,2,FALSE)</f>
        <v>3121</v>
      </c>
      <c r="G28" s="53" t="s">
        <v>5407</v>
      </c>
      <c r="H28" s="63" t="str">
        <f>VLOOKUP($I28&amp;"_"&amp;$G28,옵션그룹계산1!$AA$4:$AB$219,2,FALSE)</f>
        <v>3122</v>
      </c>
      <c r="I28" s="63" t="str">
        <f t="shared" si="0"/>
        <v>T3_1옵션_보조장비</v>
      </c>
      <c r="J28" s="101" t="str">
        <f>표1[[#This Row],[1차검색]]</f>
        <v>3121</v>
      </c>
      <c r="K28" s="101" t="str">
        <f>표1[[#This Row],[3차검색]]</f>
        <v>3122</v>
      </c>
      <c r="L28" s="101" t="str">
        <f>표1[[#This Row],[OptionGroupIndex'[']]]&amp;","&amp;표1[[#This Row],[OptionGroupIndex'[']2]]</f>
        <v>3121,3122</v>
      </c>
    </row>
    <row r="29" spans="2:12" x14ac:dyDescent="0.3">
      <c r="B29" s="66">
        <v>3</v>
      </c>
      <c r="C29" s="53">
        <v>1</v>
      </c>
      <c r="D29" s="53" t="s">
        <v>5398</v>
      </c>
      <c r="E29" s="53" t="s">
        <v>5397</v>
      </c>
      <c r="F29" s="63" t="str">
        <f>VLOOKUP($I29&amp;"_"&amp;$E29,옵션그룹계산1!$AA$4:$AB$219,2,FALSE)</f>
        <v>3131</v>
      </c>
      <c r="G29" s="53" t="s">
        <v>5407</v>
      </c>
      <c r="H29" s="63" t="str">
        <f>VLOOKUP($I29&amp;"_"&amp;$G29,옵션그룹계산1!$AA$4:$AB$219,2,FALSE)</f>
        <v>3132</v>
      </c>
      <c r="I29" s="63" t="str">
        <f t="shared" si="0"/>
        <v>T3_1옵션_장신구</v>
      </c>
      <c r="J29" s="101" t="str">
        <f>표1[[#This Row],[1차검색]]</f>
        <v>3131</v>
      </c>
      <c r="K29" s="101" t="str">
        <f>표1[[#This Row],[3차검색]]</f>
        <v>3132</v>
      </c>
      <c r="L29" s="101" t="str">
        <f>표1[[#This Row],[OptionGroupIndex'[']]]&amp;","&amp;표1[[#This Row],[OptionGroupIndex'[']2]]</f>
        <v>3131,3132</v>
      </c>
    </row>
    <row r="30" spans="2:12" x14ac:dyDescent="0.3">
      <c r="B30" s="66">
        <v>3</v>
      </c>
      <c r="C30" s="53">
        <v>1</v>
      </c>
      <c r="D30" s="53" t="s">
        <v>5396</v>
      </c>
      <c r="E30" s="53" t="s">
        <v>5397</v>
      </c>
      <c r="F30" s="63" t="str">
        <f>VLOOKUP($I30&amp;"_"&amp;$E30,옵션그룹계산1!$AA$4:$AB$219,2,FALSE)</f>
        <v>3141</v>
      </c>
      <c r="G30" s="53" t="s">
        <v>5407</v>
      </c>
      <c r="H30" s="63" t="str">
        <f>VLOOKUP($I30&amp;"_"&amp;$G30,옵션그룹계산1!$AA$4:$AB$219,2,FALSE)</f>
        <v>3142</v>
      </c>
      <c r="I30" s="63" t="str">
        <f t="shared" si="0"/>
        <v>T3_1옵션_보주</v>
      </c>
      <c r="J30" s="101" t="str">
        <f>표1[[#This Row],[1차검색]]</f>
        <v>3141</v>
      </c>
      <c r="K30" s="101" t="str">
        <f>표1[[#This Row],[3차검색]]</f>
        <v>3142</v>
      </c>
      <c r="L30" s="101" t="str">
        <f>표1[[#This Row],[OptionGroupIndex'[']]]&amp;","&amp;표1[[#This Row],[OptionGroupIndex'[']2]]</f>
        <v>3141,3142</v>
      </c>
    </row>
    <row r="31" spans="2:12" x14ac:dyDescent="0.3">
      <c r="B31" s="66">
        <v>3</v>
      </c>
      <c r="C31" s="53">
        <v>2</v>
      </c>
      <c r="D31" s="53" t="s">
        <v>5400</v>
      </c>
      <c r="E31" s="53" t="s">
        <v>5397</v>
      </c>
      <c r="F31" s="63" t="str">
        <f>VLOOKUP($I31&amp;"_"&amp;$E31,옵션그룹계산1!$AA$4:$AB$219,2,FALSE)</f>
        <v>3211</v>
      </c>
      <c r="G31" s="53" t="s">
        <v>5407</v>
      </c>
      <c r="H31" s="63" t="str">
        <f>VLOOKUP($I31&amp;"_"&amp;$G31,옵션그룹계산1!$AA$4:$AB$219,2,FALSE)</f>
        <v>3212</v>
      </c>
      <c r="I31" s="63" t="str">
        <f t="shared" si="0"/>
        <v>T3_2옵션_방어구</v>
      </c>
      <c r="J31" s="101" t="str">
        <f>표1[[#This Row],[1차검색]]</f>
        <v>3211</v>
      </c>
      <c r="K31" s="101" t="str">
        <f>표1[[#This Row],[3차검색]]</f>
        <v>3212</v>
      </c>
      <c r="L31" s="101" t="str">
        <f>표1[[#This Row],[OptionGroupIndex'[']]]&amp;","&amp;표1[[#This Row],[OptionGroupIndex'[']2]]</f>
        <v>3211,3212</v>
      </c>
    </row>
    <row r="32" spans="2:12" x14ac:dyDescent="0.3">
      <c r="B32" s="66">
        <v>3</v>
      </c>
      <c r="C32" s="53">
        <v>2</v>
      </c>
      <c r="D32" s="53" t="s">
        <v>5399</v>
      </c>
      <c r="E32" s="53" t="s">
        <v>5397</v>
      </c>
      <c r="F32" s="63" t="str">
        <f>VLOOKUP($I32&amp;"_"&amp;$E32,옵션그룹계산1!$AA$4:$AB$219,2,FALSE)</f>
        <v>3221</v>
      </c>
      <c r="G32" s="53" t="s">
        <v>5407</v>
      </c>
      <c r="H32" s="63" t="str">
        <f>VLOOKUP($I32&amp;"_"&amp;$G32,옵션그룹계산1!$AA$4:$AB$219,2,FALSE)</f>
        <v>3222</v>
      </c>
      <c r="I32" s="63" t="str">
        <f t="shared" si="0"/>
        <v>T3_2옵션_보조장비</v>
      </c>
      <c r="J32" s="101" t="str">
        <f>표1[[#This Row],[1차검색]]</f>
        <v>3221</v>
      </c>
      <c r="K32" s="101" t="str">
        <f>표1[[#This Row],[3차검색]]</f>
        <v>3222</v>
      </c>
      <c r="L32" s="101" t="str">
        <f>표1[[#This Row],[OptionGroupIndex'[']]]&amp;","&amp;표1[[#This Row],[OptionGroupIndex'[']2]]</f>
        <v>3221,3222</v>
      </c>
    </row>
    <row r="33" spans="2:12" x14ac:dyDescent="0.3">
      <c r="B33" s="66">
        <v>3</v>
      </c>
      <c r="C33" s="53">
        <v>2</v>
      </c>
      <c r="D33" s="53" t="s">
        <v>5398</v>
      </c>
      <c r="E33" s="53" t="s">
        <v>5397</v>
      </c>
      <c r="F33" s="63" t="str">
        <f>VLOOKUP($I33&amp;"_"&amp;$E33,옵션그룹계산1!$AA$4:$AB$219,2,FALSE)</f>
        <v>3231</v>
      </c>
      <c r="G33" s="53" t="s">
        <v>5407</v>
      </c>
      <c r="H33" s="63" t="str">
        <f>VLOOKUP($I33&amp;"_"&amp;$G33,옵션그룹계산1!$AA$4:$AB$219,2,FALSE)</f>
        <v>3232</v>
      </c>
      <c r="I33" s="63" t="str">
        <f t="shared" si="0"/>
        <v>T3_2옵션_장신구</v>
      </c>
      <c r="J33" s="101" t="str">
        <f>표1[[#This Row],[1차검색]]</f>
        <v>3231</v>
      </c>
      <c r="K33" s="101" t="str">
        <f>표1[[#This Row],[3차검색]]</f>
        <v>3232</v>
      </c>
      <c r="L33" s="101" t="str">
        <f>표1[[#This Row],[OptionGroupIndex'[']]]&amp;","&amp;표1[[#This Row],[OptionGroupIndex'[']2]]</f>
        <v>3231,3232</v>
      </c>
    </row>
    <row r="34" spans="2:12" x14ac:dyDescent="0.3">
      <c r="B34" s="66">
        <v>3</v>
      </c>
      <c r="C34" s="53">
        <v>2</v>
      </c>
      <c r="D34" s="53" t="s">
        <v>5396</v>
      </c>
      <c r="E34" s="53" t="s">
        <v>5397</v>
      </c>
      <c r="F34" s="63" t="str">
        <f>VLOOKUP($I34&amp;"_"&amp;$E34,옵션그룹계산1!$AA$4:$AB$219,2,FALSE)</f>
        <v>3241</v>
      </c>
      <c r="G34" s="53" t="s">
        <v>5407</v>
      </c>
      <c r="H34" s="63" t="str">
        <f>VLOOKUP($I34&amp;"_"&amp;$G34,옵션그룹계산1!$AA$4:$AB$219,2,FALSE)</f>
        <v>3242</v>
      </c>
      <c r="I34" s="63" t="str">
        <f t="shared" si="0"/>
        <v>T3_2옵션_보주</v>
      </c>
      <c r="J34" s="101" t="str">
        <f>표1[[#This Row],[1차검색]]</f>
        <v>3241</v>
      </c>
      <c r="K34" s="101" t="str">
        <f>표1[[#This Row],[3차검색]]</f>
        <v>3242</v>
      </c>
      <c r="L34" s="101" t="str">
        <f>표1[[#This Row],[OptionGroupIndex'[']]]&amp;","&amp;표1[[#This Row],[OptionGroupIndex'[']2]]</f>
        <v>3241,3242</v>
      </c>
    </row>
    <row r="35" spans="2:12" x14ac:dyDescent="0.3">
      <c r="B35" s="66">
        <v>3</v>
      </c>
      <c r="C35" s="53">
        <v>3</v>
      </c>
      <c r="D35" s="53" t="s">
        <v>5400</v>
      </c>
      <c r="E35" s="53" t="s">
        <v>5397</v>
      </c>
      <c r="F35" s="63" t="str">
        <f>VLOOKUP($I35&amp;"_"&amp;$E35,옵션그룹계산1!$AA$4:$AB$219,2,FALSE)</f>
        <v>3311</v>
      </c>
      <c r="G35" s="53" t="s">
        <v>5407</v>
      </c>
      <c r="H35" s="63" t="str">
        <f>VLOOKUP($I35&amp;"_"&amp;$G35,옵션그룹계산1!$AA$4:$AB$219,2,FALSE)</f>
        <v>3312</v>
      </c>
      <c r="I35" s="63" t="str">
        <f t="shared" ref="I35:I66" si="1">"T"&amp;B35&amp;"_"&amp;C35&amp;"옵션_"&amp;D35</f>
        <v>T3_3옵션_방어구</v>
      </c>
      <c r="J35" s="101" t="str">
        <f>표1[[#This Row],[1차검색]]</f>
        <v>3311</v>
      </c>
      <c r="K35" s="101" t="str">
        <f>표1[[#This Row],[3차검색]]</f>
        <v>3312</v>
      </c>
      <c r="L35" s="101" t="str">
        <f>표1[[#This Row],[OptionGroupIndex'[']]]&amp;","&amp;표1[[#This Row],[OptionGroupIndex'[']2]]</f>
        <v>3311,3312</v>
      </c>
    </row>
    <row r="36" spans="2:12" x14ac:dyDescent="0.3">
      <c r="B36" s="66">
        <v>3</v>
      </c>
      <c r="C36" s="53">
        <v>3</v>
      </c>
      <c r="D36" s="53" t="s">
        <v>5399</v>
      </c>
      <c r="E36" s="53" t="s">
        <v>5397</v>
      </c>
      <c r="F36" s="63" t="str">
        <f>VLOOKUP($I36&amp;"_"&amp;$E36,옵션그룹계산1!$AA$4:$AB$219,2,FALSE)</f>
        <v>3321</v>
      </c>
      <c r="G36" s="53" t="s">
        <v>5407</v>
      </c>
      <c r="H36" s="63" t="str">
        <f>VLOOKUP($I36&amp;"_"&amp;$G36,옵션그룹계산1!$AA$4:$AB$219,2,FALSE)</f>
        <v>3322</v>
      </c>
      <c r="I36" s="63" t="str">
        <f t="shared" si="1"/>
        <v>T3_3옵션_보조장비</v>
      </c>
      <c r="J36" s="101" t="str">
        <f>표1[[#This Row],[1차검색]]</f>
        <v>3321</v>
      </c>
      <c r="K36" s="101" t="str">
        <f>표1[[#This Row],[3차검색]]</f>
        <v>3322</v>
      </c>
      <c r="L36" s="101" t="str">
        <f>표1[[#This Row],[OptionGroupIndex'[']]]&amp;","&amp;표1[[#This Row],[OptionGroupIndex'[']2]]</f>
        <v>3321,3322</v>
      </c>
    </row>
    <row r="37" spans="2:12" x14ac:dyDescent="0.3">
      <c r="B37" s="66">
        <v>3</v>
      </c>
      <c r="C37" s="53">
        <v>3</v>
      </c>
      <c r="D37" s="53" t="s">
        <v>5398</v>
      </c>
      <c r="E37" s="53" t="s">
        <v>5397</v>
      </c>
      <c r="F37" s="63" t="str">
        <f>VLOOKUP($I37&amp;"_"&amp;$E37,옵션그룹계산1!$AA$4:$AB$219,2,FALSE)</f>
        <v>3331</v>
      </c>
      <c r="G37" s="53" t="s">
        <v>5407</v>
      </c>
      <c r="H37" s="63" t="str">
        <f>VLOOKUP($I37&amp;"_"&amp;$G37,옵션그룹계산1!$AA$4:$AB$219,2,FALSE)</f>
        <v>3332</v>
      </c>
      <c r="I37" s="63" t="str">
        <f t="shared" si="1"/>
        <v>T3_3옵션_장신구</v>
      </c>
      <c r="J37" s="101" t="str">
        <f>표1[[#This Row],[1차검색]]</f>
        <v>3331</v>
      </c>
      <c r="K37" s="101" t="str">
        <f>표1[[#This Row],[3차검색]]</f>
        <v>3332</v>
      </c>
      <c r="L37" s="101" t="str">
        <f>표1[[#This Row],[OptionGroupIndex'[']]]&amp;","&amp;표1[[#This Row],[OptionGroupIndex'[']2]]</f>
        <v>3331,3332</v>
      </c>
    </row>
    <row r="38" spans="2:12" x14ac:dyDescent="0.3">
      <c r="B38" s="66">
        <v>3</v>
      </c>
      <c r="C38" s="53">
        <v>3</v>
      </c>
      <c r="D38" s="53" t="s">
        <v>5396</v>
      </c>
      <c r="E38" s="53" t="s">
        <v>5397</v>
      </c>
      <c r="F38" s="63" t="str">
        <f>VLOOKUP($I38&amp;"_"&amp;$E38,옵션그룹계산1!$AA$4:$AB$219,2,FALSE)</f>
        <v>3341</v>
      </c>
      <c r="G38" s="53" t="s">
        <v>5407</v>
      </c>
      <c r="H38" s="63" t="str">
        <f>VLOOKUP($I38&amp;"_"&amp;$G38,옵션그룹계산1!$AA$4:$AB$219,2,FALSE)</f>
        <v>3342</v>
      </c>
      <c r="I38" s="63" t="str">
        <f t="shared" si="1"/>
        <v>T3_3옵션_보주</v>
      </c>
      <c r="J38" s="101" t="str">
        <f>표1[[#This Row],[1차검색]]</f>
        <v>3341</v>
      </c>
      <c r="K38" s="101" t="str">
        <f>표1[[#This Row],[3차검색]]</f>
        <v>3342</v>
      </c>
      <c r="L38" s="101" t="str">
        <f>표1[[#This Row],[OptionGroupIndex'[']]]&amp;","&amp;표1[[#This Row],[OptionGroupIndex'[']2]]</f>
        <v>3341,3342</v>
      </c>
    </row>
    <row r="39" spans="2:12" x14ac:dyDescent="0.3">
      <c r="B39" s="66">
        <v>4</v>
      </c>
      <c r="C39" s="53">
        <v>1</v>
      </c>
      <c r="D39" s="53" t="s">
        <v>5400</v>
      </c>
      <c r="E39" s="53" t="s">
        <v>5397</v>
      </c>
      <c r="F39" s="63" t="str">
        <f>VLOOKUP($I39&amp;"_"&amp;$E39,옵션그룹계산1!$AA$4:$AB$219,2,FALSE)</f>
        <v>4111</v>
      </c>
      <c r="G39" s="53" t="s">
        <v>5407</v>
      </c>
      <c r="H39" s="63" t="str">
        <f>VLOOKUP($I39&amp;"_"&amp;$G39,옵션그룹계산1!$AA$4:$AB$219,2,FALSE)</f>
        <v>4112</v>
      </c>
      <c r="I39" s="63" t="str">
        <f t="shared" si="1"/>
        <v>T4_1옵션_방어구</v>
      </c>
      <c r="J39" s="101" t="str">
        <f>표1[[#This Row],[1차검색]]</f>
        <v>4111</v>
      </c>
      <c r="K39" s="101" t="str">
        <f>표1[[#This Row],[3차검색]]</f>
        <v>4112</v>
      </c>
      <c r="L39" s="101" t="str">
        <f>표1[[#This Row],[OptionGroupIndex'[']]]&amp;","&amp;표1[[#This Row],[OptionGroupIndex'[']2]]</f>
        <v>4111,4112</v>
      </c>
    </row>
    <row r="40" spans="2:12" x14ac:dyDescent="0.3">
      <c r="B40" s="66">
        <v>4</v>
      </c>
      <c r="C40" s="53">
        <v>1</v>
      </c>
      <c r="D40" s="53" t="s">
        <v>5399</v>
      </c>
      <c r="E40" s="53" t="s">
        <v>5397</v>
      </c>
      <c r="F40" s="63" t="str">
        <f>VLOOKUP($I40&amp;"_"&amp;$E40,옵션그룹계산1!$AA$4:$AB$219,2,FALSE)</f>
        <v>4121</v>
      </c>
      <c r="G40" s="53" t="s">
        <v>5407</v>
      </c>
      <c r="H40" s="63" t="str">
        <f>VLOOKUP($I40&amp;"_"&amp;$G40,옵션그룹계산1!$AA$4:$AB$219,2,FALSE)</f>
        <v>4122</v>
      </c>
      <c r="I40" s="63" t="str">
        <f t="shared" si="1"/>
        <v>T4_1옵션_보조장비</v>
      </c>
      <c r="J40" s="101" t="str">
        <f>표1[[#This Row],[1차검색]]</f>
        <v>4121</v>
      </c>
      <c r="K40" s="101" t="str">
        <f>표1[[#This Row],[3차검색]]</f>
        <v>4122</v>
      </c>
      <c r="L40" s="101" t="str">
        <f>표1[[#This Row],[OptionGroupIndex'[']]]&amp;","&amp;표1[[#This Row],[OptionGroupIndex'[']2]]</f>
        <v>4121,4122</v>
      </c>
    </row>
    <row r="41" spans="2:12" x14ac:dyDescent="0.3">
      <c r="B41" s="66">
        <v>4</v>
      </c>
      <c r="C41" s="53">
        <v>1</v>
      </c>
      <c r="D41" s="53" t="s">
        <v>5398</v>
      </c>
      <c r="E41" s="53" t="s">
        <v>5397</v>
      </c>
      <c r="F41" s="63" t="str">
        <f>VLOOKUP($I41&amp;"_"&amp;$E41,옵션그룹계산1!$AA$4:$AB$219,2,FALSE)</f>
        <v>4131</v>
      </c>
      <c r="G41" s="53" t="s">
        <v>5407</v>
      </c>
      <c r="H41" s="63" t="str">
        <f>VLOOKUP($I41&amp;"_"&amp;$G41,옵션그룹계산1!$AA$4:$AB$219,2,FALSE)</f>
        <v>4132</v>
      </c>
      <c r="I41" s="63" t="str">
        <f t="shared" si="1"/>
        <v>T4_1옵션_장신구</v>
      </c>
      <c r="J41" s="101" t="str">
        <f>표1[[#This Row],[1차검색]]</f>
        <v>4131</v>
      </c>
      <c r="K41" s="101" t="str">
        <f>표1[[#This Row],[3차검색]]</f>
        <v>4132</v>
      </c>
      <c r="L41" s="101" t="str">
        <f>표1[[#This Row],[OptionGroupIndex'[']]]&amp;","&amp;표1[[#This Row],[OptionGroupIndex'[']2]]</f>
        <v>4131,4132</v>
      </c>
    </row>
    <row r="42" spans="2:12" x14ac:dyDescent="0.3">
      <c r="B42" s="66">
        <v>4</v>
      </c>
      <c r="C42" s="53">
        <v>1</v>
      </c>
      <c r="D42" s="53" t="s">
        <v>5396</v>
      </c>
      <c r="E42" s="53" t="s">
        <v>5397</v>
      </c>
      <c r="F42" s="63" t="str">
        <f>VLOOKUP($I42&amp;"_"&amp;$E42,옵션그룹계산1!$AA$4:$AB$219,2,FALSE)</f>
        <v>4141</v>
      </c>
      <c r="G42" s="53" t="s">
        <v>5407</v>
      </c>
      <c r="H42" s="63" t="str">
        <f>VLOOKUP($I42&amp;"_"&amp;$G42,옵션그룹계산1!$AA$4:$AB$219,2,FALSE)</f>
        <v>4142</v>
      </c>
      <c r="I42" s="63" t="str">
        <f t="shared" si="1"/>
        <v>T4_1옵션_보주</v>
      </c>
      <c r="J42" s="101" t="str">
        <f>표1[[#This Row],[1차검색]]</f>
        <v>4141</v>
      </c>
      <c r="K42" s="101" t="str">
        <f>표1[[#This Row],[3차검색]]</f>
        <v>4142</v>
      </c>
      <c r="L42" s="101" t="str">
        <f>표1[[#This Row],[OptionGroupIndex'[']]]&amp;","&amp;표1[[#This Row],[OptionGroupIndex'[']2]]</f>
        <v>4141,4142</v>
      </c>
    </row>
    <row r="43" spans="2:12" x14ac:dyDescent="0.3">
      <c r="B43" s="66">
        <v>4</v>
      </c>
      <c r="C43" s="53">
        <v>2</v>
      </c>
      <c r="D43" s="53" t="s">
        <v>5400</v>
      </c>
      <c r="E43" s="53" t="s">
        <v>5397</v>
      </c>
      <c r="F43" s="63" t="str">
        <f>VLOOKUP($I43&amp;"_"&amp;$E43,옵션그룹계산1!$AA$4:$AB$219,2,FALSE)</f>
        <v>4211</v>
      </c>
      <c r="G43" s="53" t="s">
        <v>5407</v>
      </c>
      <c r="H43" s="63" t="str">
        <f>VLOOKUP($I43&amp;"_"&amp;$G43,옵션그룹계산1!$AA$4:$AB$219,2,FALSE)</f>
        <v>4212</v>
      </c>
      <c r="I43" s="63" t="str">
        <f t="shared" si="1"/>
        <v>T4_2옵션_방어구</v>
      </c>
      <c r="J43" s="101" t="str">
        <f>표1[[#This Row],[1차검색]]</f>
        <v>4211</v>
      </c>
      <c r="K43" s="101" t="str">
        <f>표1[[#This Row],[3차검색]]</f>
        <v>4212</v>
      </c>
      <c r="L43" s="101" t="str">
        <f>표1[[#This Row],[OptionGroupIndex'[']]]&amp;","&amp;표1[[#This Row],[OptionGroupIndex'[']2]]</f>
        <v>4211,4212</v>
      </c>
    </row>
    <row r="44" spans="2:12" x14ac:dyDescent="0.3">
      <c r="B44" s="66">
        <v>4</v>
      </c>
      <c r="C44" s="53">
        <v>2</v>
      </c>
      <c r="D44" s="53" t="s">
        <v>5399</v>
      </c>
      <c r="E44" s="53" t="s">
        <v>5397</v>
      </c>
      <c r="F44" s="63" t="str">
        <f>VLOOKUP($I44&amp;"_"&amp;$E44,옵션그룹계산1!$AA$4:$AB$219,2,FALSE)</f>
        <v>4221</v>
      </c>
      <c r="G44" s="53" t="s">
        <v>5407</v>
      </c>
      <c r="H44" s="63" t="str">
        <f>VLOOKUP($I44&amp;"_"&amp;$G44,옵션그룹계산1!$AA$4:$AB$219,2,FALSE)</f>
        <v>4222</v>
      </c>
      <c r="I44" s="63" t="str">
        <f t="shared" si="1"/>
        <v>T4_2옵션_보조장비</v>
      </c>
      <c r="J44" s="101" t="str">
        <f>표1[[#This Row],[1차검색]]</f>
        <v>4221</v>
      </c>
      <c r="K44" s="101" t="str">
        <f>표1[[#This Row],[3차검색]]</f>
        <v>4222</v>
      </c>
      <c r="L44" s="101" t="str">
        <f>표1[[#This Row],[OptionGroupIndex'[']]]&amp;","&amp;표1[[#This Row],[OptionGroupIndex'[']2]]</f>
        <v>4221,4222</v>
      </c>
    </row>
    <row r="45" spans="2:12" x14ac:dyDescent="0.3">
      <c r="B45" s="66">
        <v>4</v>
      </c>
      <c r="C45" s="53">
        <v>2</v>
      </c>
      <c r="D45" s="53" t="s">
        <v>5398</v>
      </c>
      <c r="E45" s="53" t="s">
        <v>5397</v>
      </c>
      <c r="F45" s="63" t="str">
        <f>VLOOKUP($I45&amp;"_"&amp;$E45,옵션그룹계산1!$AA$4:$AB$219,2,FALSE)</f>
        <v>4231</v>
      </c>
      <c r="G45" s="53" t="s">
        <v>5407</v>
      </c>
      <c r="H45" s="63" t="str">
        <f>VLOOKUP($I45&amp;"_"&amp;$G45,옵션그룹계산1!$AA$4:$AB$219,2,FALSE)</f>
        <v>4232</v>
      </c>
      <c r="I45" s="63" t="str">
        <f t="shared" si="1"/>
        <v>T4_2옵션_장신구</v>
      </c>
      <c r="J45" s="101" t="str">
        <f>표1[[#This Row],[1차검색]]</f>
        <v>4231</v>
      </c>
      <c r="K45" s="101" t="str">
        <f>표1[[#This Row],[3차검색]]</f>
        <v>4232</v>
      </c>
      <c r="L45" s="101" t="str">
        <f>표1[[#This Row],[OptionGroupIndex'[']]]&amp;","&amp;표1[[#This Row],[OptionGroupIndex'[']2]]</f>
        <v>4231,4232</v>
      </c>
    </row>
    <row r="46" spans="2:12" x14ac:dyDescent="0.3">
      <c r="B46" s="66">
        <v>4</v>
      </c>
      <c r="C46" s="53">
        <v>2</v>
      </c>
      <c r="D46" s="53" t="s">
        <v>5396</v>
      </c>
      <c r="E46" s="53" t="s">
        <v>5397</v>
      </c>
      <c r="F46" s="63" t="str">
        <f>VLOOKUP($I46&amp;"_"&amp;$E46,옵션그룹계산1!$AA$4:$AB$219,2,FALSE)</f>
        <v>4241</v>
      </c>
      <c r="G46" s="53" t="s">
        <v>5407</v>
      </c>
      <c r="H46" s="63" t="str">
        <f>VLOOKUP($I46&amp;"_"&amp;$G46,옵션그룹계산1!$AA$4:$AB$219,2,FALSE)</f>
        <v>4242</v>
      </c>
      <c r="I46" s="63" t="str">
        <f t="shared" si="1"/>
        <v>T4_2옵션_보주</v>
      </c>
      <c r="J46" s="101" t="str">
        <f>표1[[#This Row],[1차검색]]</f>
        <v>4241</v>
      </c>
      <c r="K46" s="101" t="str">
        <f>표1[[#This Row],[3차검색]]</f>
        <v>4242</v>
      </c>
      <c r="L46" s="101" t="str">
        <f>표1[[#This Row],[OptionGroupIndex'[']]]&amp;","&amp;표1[[#This Row],[OptionGroupIndex'[']2]]</f>
        <v>4241,4242</v>
      </c>
    </row>
    <row r="47" spans="2:12" x14ac:dyDescent="0.3">
      <c r="B47" s="66">
        <v>4</v>
      </c>
      <c r="C47" s="53">
        <v>3</v>
      </c>
      <c r="D47" s="53" t="s">
        <v>5400</v>
      </c>
      <c r="E47" s="53" t="s">
        <v>5397</v>
      </c>
      <c r="F47" s="63" t="str">
        <f>VLOOKUP($I47&amp;"_"&amp;$E47,옵션그룹계산1!$AA$4:$AB$219,2,FALSE)</f>
        <v>4311</v>
      </c>
      <c r="G47" s="53" t="s">
        <v>5407</v>
      </c>
      <c r="H47" s="63" t="str">
        <f>VLOOKUP($I47&amp;"_"&amp;$G47,옵션그룹계산1!$AA$4:$AB$219,2,FALSE)</f>
        <v>4312</v>
      </c>
      <c r="I47" s="63" t="str">
        <f t="shared" si="1"/>
        <v>T4_3옵션_방어구</v>
      </c>
      <c r="J47" s="101" t="str">
        <f>표1[[#This Row],[1차검색]]</f>
        <v>4311</v>
      </c>
      <c r="K47" s="101" t="str">
        <f>표1[[#This Row],[3차검색]]</f>
        <v>4312</v>
      </c>
      <c r="L47" s="101" t="str">
        <f>표1[[#This Row],[OptionGroupIndex'[']]]&amp;","&amp;표1[[#This Row],[OptionGroupIndex'[']2]]</f>
        <v>4311,4312</v>
      </c>
    </row>
    <row r="48" spans="2:12" x14ac:dyDescent="0.3">
      <c r="B48" s="66">
        <v>4</v>
      </c>
      <c r="C48" s="53">
        <v>3</v>
      </c>
      <c r="D48" s="53" t="s">
        <v>5399</v>
      </c>
      <c r="E48" s="53" t="s">
        <v>5397</v>
      </c>
      <c r="F48" s="63" t="str">
        <f>VLOOKUP($I48&amp;"_"&amp;$E48,옵션그룹계산1!$AA$4:$AB$219,2,FALSE)</f>
        <v>4321</v>
      </c>
      <c r="G48" s="53" t="s">
        <v>5407</v>
      </c>
      <c r="H48" s="63" t="str">
        <f>VLOOKUP($I48&amp;"_"&amp;$G48,옵션그룹계산1!$AA$4:$AB$219,2,FALSE)</f>
        <v>4322</v>
      </c>
      <c r="I48" s="63" t="str">
        <f t="shared" si="1"/>
        <v>T4_3옵션_보조장비</v>
      </c>
      <c r="J48" s="101" t="str">
        <f>표1[[#This Row],[1차검색]]</f>
        <v>4321</v>
      </c>
      <c r="K48" s="101" t="str">
        <f>표1[[#This Row],[3차검색]]</f>
        <v>4322</v>
      </c>
      <c r="L48" s="101" t="str">
        <f>표1[[#This Row],[OptionGroupIndex'[']]]&amp;","&amp;표1[[#This Row],[OptionGroupIndex'[']2]]</f>
        <v>4321,4322</v>
      </c>
    </row>
    <row r="49" spans="2:12" x14ac:dyDescent="0.3">
      <c r="B49" s="66">
        <v>4</v>
      </c>
      <c r="C49" s="53">
        <v>3</v>
      </c>
      <c r="D49" s="53" t="s">
        <v>5398</v>
      </c>
      <c r="E49" s="53" t="s">
        <v>5397</v>
      </c>
      <c r="F49" s="63" t="str">
        <f>VLOOKUP($I49&amp;"_"&amp;$E49,옵션그룹계산1!$AA$4:$AB$219,2,FALSE)</f>
        <v>4331</v>
      </c>
      <c r="G49" s="53" t="s">
        <v>5407</v>
      </c>
      <c r="H49" s="63" t="str">
        <f>VLOOKUP($I49&amp;"_"&amp;$G49,옵션그룹계산1!$AA$4:$AB$219,2,FALSE)</f>
        <v>4332</v>
      </c>
      <c r="I49" s="63" t="str">
        <f t="shared" si="1"/>
        <v>T4_3옵션_장신구</v>
      </c>
      <c r="J49" s="101" t="str">
        <f>표1[[#This Row],[1차검색]]</f>
        <v>4331</v>
      </c>
      <c r="K49" s="101" t="str">
        <f>표1[[#This Row],[3차검색]]</f>
        <v>4332</v>
      </c>
      <c r="L49" s="101" t="str">
        <f>표1[[#This Row],[OptionGroupIndex'[']]]&amp;","&amp;표1[[#This Row],[OptionGroupIndex'[']2]]</f>
        <v>4331,4332</v>
      </c>
    </row>
    <row r="50" spans="2:12" x14ac:dyDescent="0.3">
      <c r="B50" s="66">
        <v>4</v>
      </c>
      <c r="C50" s="53">
        <v>3</v>
      </c>
      <c r="D50" s="53" t="s">
        <v>5396</v>
      </c>
      <c r="E50" s="53" t="s">
        <v>5397</v>
      </c>
      <c r="F50" s="63" t="str">
        <f>VLOOKUP($I50&amp;"_"&amp;$E50,옵션그룹계산1!$AA$4:$AB$219,2,FALSE)</f>
        <v>4341</v>
      </c>
      <c r="G50" s="53" t="s">
        <v>5407</v>
      </c>
      <c r="H50" s="63" t="str">
        <f>VLOOKUP($I50&amp;"_"&amp;$G50,옵션그룹계산1!$AA$4:$AB$219,2,FALSE)</f>
        <v>4342</v>
      </c>
      <c r="I50" s="63" t="str">
        <f t="shared" si="1"/>
        <v>T4_3옵션_보주</v>
      </c>
      <c r="J50" s="101" t="str">
        <f>표1[[#This Row],[1차검색]]</f>
        <v>4341</v>
      </c>
      <c r="K50" s="101" t="str">
        <f>표1[[#This Row],[3차검색]]</f>
        <v>4342</v>
      </c>
      <c r="L50" s="101" t="str">
        <f>표1[[#This Row],[OptionGroupIndex'[']]]&amp;","&amp;표1[[#This Row],[OptionGroupIndex'[']2]]</f>
        <v>4341,4342</v>
      </c>
    </row>
    <row r="51" spans="2:12" x14ac:dyDescent="0.3">
      <c r="B51" s="66">
        <v>5</v>
      </c>
      <c r="C51" s="53">
        <v>1</v>
      </c>
      <c r="D51" s="53" t="s">
        <v>5400</v>
      </c>
      <c r="E51" s="53" t="s">
        <v>5397</v>
      </c>
      <c r="F51" s="63" t="str">
        <f>VLOOKUP($I51&amp;"_"&amp;$E51,옵션그룹계산1!$AA$4:$AB$219,2,FALSE)</f>
        <v>5111</v>
      </c>
      <c r="G51" s="53" t="s">
        <v>5407</v>
      </c>
      <c r="H51" s="63" t="str">
        <f>VLOOKUP($I51&amp;"_"&amp;$G51,옵션그룹계산1!$AA$4:$AB$219,2,FALSE)</f>
        <v>5112</v>
      </c>
      <c r="I51" s="63" t="str">
        <f t="shared" si="1"/>
        <v>T5_1옵션_방어구</v>
      </c>
      <c r="J51" s="101" t="str">
        <f>표1[[#This Row],[1차검색]]</f>
        <v>5111</v>
      </c>
      <c r="K51" s="101" t="str">
        <f>표1[[#This Row],[3차검색]]</f>
        <v>5112</v>
      </c>
      <c r="L51" s="101" t="str">
        <f>표1[[#This Row],[OptionGroupIndex'[']]]&amp;","&amp;표1[[#This Row],[OptionGroupIndex'[']2]]</f>
        <v>5111,5112</v>
      </c>
    </row>
    <row r="52" spans="2:12" x14ac:dyDescent="0.3">
      <c r="B52" s="66">
        <v>5</v>
      </c>
      <c r="C52" s="53">
        <v>1</v>
      </c>
      <c r="D52" s="53" t="s">
        <v>5399</v>
      </c>
      <c r="E52" s="53" t="s">
        <v>5397</v>
      </c>
      <c r="F52" s="63" t="str">
        <f>VLOOKUP($I52&amp;"_"&amp;$E52,옵션그룹계산1!$AA$4:$AB$219,2,FALSE)</f>
        <v>5121</v>
      </c>
      <c r="G52" s="53" t="s">
        <v>5407</v>
      </c>
      <c r="H52" s="63" t="str">
        <f>VLOOKUP($I52&amp;"_"&amp;$G52,옵션그룹계산1!$AA$4:$AB$219,2,FALSE)</f>
        <v>5122</v>
      </c>
      <c r="I52" s="63" t="str">
        <f t="shared" si="1"/>
        <v>T5_1옵션_보조장비</v>
      </c>
      <c r="J52" s="101" t="str">
        <f>표1[[#This Row],[1차검색]]</f>
        <v>5121</v>
      </c>
      <c r="K52" s="101" t="str">
        <f>표1[[#This Row],[3차검색]]</f>
        <v>5122</v>
      </c>
      <c r="L52" s="101" t="str">
        <f>표1[[#This Row],[OptionGroupIndex'[']]]&amp;","&amp;표1[[#This Row],[OptionGroupIndex'[']2]]</f>
        <v>5121,5122</v>
      </c>
    </row>
    <row r="53" spans="2:12" x14ac:dyDescent="0.3">
      <c r="B53" s="66">
        <v>5</v>
      </c>
      <c r="C53" s="53">
        <v>1</v>
      </c>
      <c r="D53" s="53" t="s">
        <v>5398</v>
      </c>
      <c r="E53" s="53" t="s">
        <v>5397</v>
      </c>
      <c r="F53" s="63" t="str">
        <f>VLOOKUP($I53&amp;"_"&amp;$E53,옵션그룹계산1!$AA$4:$AB$219,2,FALSE)</f>
        <v>5131</v>
      </c>
      <c r="G53" s="53" t="s">
        <v>5407</v>
      </c>
      <c r="H53" s="63" t="str">
        <f>VLOOKUP($I53&amp;"_"&amp;$G53,옵션그룹계산1!$AA$4:$AB$219,2,FALSE)</f>
        <v>5132</v>
      </c>
      <c r="I53" s="63" t="str">
        <f t="shared" si="1"/>
        <v>T5_1옵션_장신구</v>
      </c>
      <c r="J53" s="101" t="str">
        <f>표1[[#This Row],[1차검색]]</f>
        <v>5131</v>
      </c>
      <c r="K53" s="101" t="str">
        <f>표1[[#This Row],[3차검색]]</f>
        <v>5132</v>
      </c>
      <c r="L53" s="101" t="str">
        <f>표1[[#This Row],[OptionGroupIndex'[']]]&amp;","&amp;표1[[#This Row],[OptionGroupIndex'[']2]]</f>
        <v>5131,5132</v>
      </c>
    </row>
    <row r="54" spans="2:12" x14ac:dyDescent="0.3">
      <c r="B54" s="66">
        <v>5</v>
      </c>
      <c r="C54" s="53">
        <v>1</v>
      </c>
      <c r="D54" s="53" t="s">
        <v>5396</v>
      </c>
      <c r="E54" s="53" t="s">
        <v>5397</v>
      </c>
      <c r="F54" s="63" t="str">
        <f>VLOOKUP($I54&amp;"_"&amp;$E54,옵션그룹계산1!$AA$4:$AB$219,2,FALSE)</f>
        <v>5141</v>
      </c>
      <c r="G54" s="53" t="s">
        <v>5407</v>
      </c>
      <c r="H54" s="63" t="str">
        <f>VLOOKUP($I54&amp;"_"&amp;$G54,옵션그룹계산1!$AA$4:$AB$219,2,FALSE)</f>
        <v>5142</v>
      </c>
      <c r="I54" s="63" t="str">
        <f t="shared" si="1"/>
        <v>T5_1옵션_보주</v>
      </c>
      <c r="J54" s="101" t="str">
        <f>표1[[#This Row],[1차검색]]</f>
        <v>5141</v>
      </c>
      <c r="K54" s="101" t="str">
        <f>표1[[#This Row],[3차검색]]</f>
        <v>5142</v>
      </c>
      <c r="L54" s="101" t="str">
        <f>표1[[#This Row],[OptionGroupIndex'[']]]&amp;","&amp;표1[[#This Row],[OptionGroupIndex'[']2]]</f>
        <v>5141,5142</v>
      </c>
    </row>
    <row r="55" spans="2:12" x14ac:dyDescent="0.3">
      <c r="B55" s="66">
        <v>5</v>
      </c>
      <c r="C55" s="53">
        <v>2</v>
      </c>
      <c r="D55" s="53" t="s">
        <v>5400</v>
      </c>
      <c r="E55" s="53" t="s">
        <v>5397</v>
      </c>
      <c r="F55" s="63" t="str">
        <f>VLOOKUP($I55&amp;"_"&amp;$E55,옵션그룹계산1!$AA$4:$AB$219,2,FALSE)</f>
        <v>5211</v>
      </c>
      <c r="G55" s="53" t="s">
        <v>5407</v>
      </c>
      <c r="H55" s="63" t="str">
        <f>VLOOKUP($I55&amp;"_"&amp;$G55,옵션그룹계산1!$AA$4:$AB$219,2,FALSE)</f>
        <v>5212</v>
      </c>
      <c r="I55" s="63" t="str">
        <f t="shared" si="1"/>
        <v>T5_2옵션_방어구</v>
      </c>
      <c r="J55" s="101" t="str">
        <f>표1[[#This Row],[1차검색]]</f>
        <v>5211</v>
      </c>
      <c r="K55" s="101" t="str">
        <f>표1[[#This Row],[3차검색]]</f>
        <v>5212</v>
      </c>
      <c r="L55" s="101" t="str">
        <f>표1[[#This Row],[OptionGroupIndex'[']]]&amp;","&amp;표1[[#This Row],[OptionGroupIndex'[']2]]</f>
        <v>5211,5212</v>
      </c>
    </row>
    <row r="56" spans="2:12" x14ac:dyDescent="0.3">
      <c r="B56" s="66">
        <v>5</v>
      </c>
      <c r="C56" s="53">
        <v>2</v>
      </c>
      <c r="D56" s="53" t="s">
        <v>5399</v>
      </c>
      <c r="E56" s="53" t="s">
        <v>5397</v>
      </c>
      <c r="F56" s="63" t="str">
        <f>VLOOKUP($I56&amp;"_"&amp;$E56,옵션그룹계산1!$AA$4:$AB$219,2,FALSE)</f>
        <v>5221</v>
      </c>
      <c r="G56" s="53" t="s">
        <v>5407</v>
      </c>
      <c r="H56" s="63" t="str">
        <f>VLOOKUP($I56&amp;"_"&amp;$G56,옵션그룹계산1!$AA$4:$AB$219,2,FALSE)</f>
        <v>5222</v>
      </c>
      <c r="I56" s="63" t="str">
        <f t="shared" si="1"/>
        <v>T5_2옵션_보조장비</v>
      </c>
      <c r="J56" s="101" t="str">
        <f>표1[[#This Row],[1차검색]]</f>
        <v>5221</v>
      </c>
      <c r="K56" s="101" t="str">
        <f>표1[[#This Row],[3차검색]]</f>
        <v>5222</v>
      </c>
      <c r="L56" s="101" t="str">
        <f>표1[[#This Row],[OptionGroupIndex'[']]]&amp;","&amp;표1[[#This Row],[OptionGroupIndex'[']2]]</f>
        <v>5221,5222</v>
      </c>
    </row>
    <row r="57" spans="2:12" x14ac:dyDescent="0.3">
      <c r="B57" s="66">
        <v>5</v>
      </c>
      <c r="C57" s="53">
        <v>2</v>
      </c>
      <c r="D57" s="53" t="s">
        <v>5398</v>
      </c>
      <c r="E57" s="53" t="s">
        <v>5397</v>
      </c>
      <c r="F57" s="63" t="str">
        <f>VLOOKUP($I57&amp;"_"&amp;$E57,옵션그룹계산1!$AA$4:$AB$219,2,FALSE)</f>
        <v>5231</v>
      </c>
      <c r="G57" s="53" t="s">
        <v>5407</v>
      </c>
      <c r="H57" s="63" t="str">
        <f>VLOOKUP($I57&amp;"_"&amp;$G57,옵션그룹계산1!$AA$4:$AB$219,2,FALSE)</f>
        <v>5232</v>
      </c>
      <c r="I57" s="63" t="str">
        <f t="shared" si="1"/>
        <v>T5_2옵션_장신구</v>
      </c>
      <c r="J57" s="101" t="str">
        <f>표1[[#This Row],[1차검색]]</f>
        <v>5231</v>
      </c>
      <c r="K57" s="101" t="str">
        <f>표1[[#This Row],[3차검색]]</f>
        <v>5232</v>
      </c>
      <c r="L57" s="101" t="str">
        <f>표1[[#This Row],[OptionGroupIndex'[']]]&amp;","&amp;표1[[#This Row],[OptionGroupIndex'[']2]]</f>
        <v>5231,5232</v>
      </c>
    </row>
    <row r="58" spans="2:12" x14ac:dyDescent="0.3">
      <c r="B58" s="66">
        <v>5</v>
      </c>
      <c r="C58" s="53">
        <v>2</v>
      </c>
      <c r="D58" s="53" t="s">
        <v>5396</v>
      </c>
      <c r="E58" s="53" t="s">
        <v>5397</v>
      </c>
      <c r="F58" s="63" t="str">
        <f>VLOOKUP($I58&amp;"_"&amp;$E58,옵션그룹계산1!$AA$4:$AB$219,2,FALSE)</f>
        <v>5241</v>
      </c>
      <c r="G58" s="53" t="s">
        <v>5407</v>
      </c>
      <c r="H58" s="63" t="str">
        <f>VLOOKUP($I58&amp;"_"&amp;$G58,옵션그룹계산1!$AA$4:$AB$219,2,FALSE)</f>
        <v>5242</v>
      </c>
      <c r="I58" s="63" t="str">
        <f t="shared" si="1"/>
        <v>T5_2옵션_보주</v>
      </c>
      <c r="J58" s="101" t="str">
        <f>표1[[#This Row],[1차검색]]</f>
        <v>5241</v>
      </c>
      <c r="K58" s="101" t="str">
        <f>표1[[#This Row],[3차검색]]</f>
        <v>5242</v>
      </c>
      <c r="L58" s="101" t="str">
        <f>표1[[#This Row],[OptionGroupIndex'[']]]&amp;","&amp;표1[[#This Row],[OptionGroupIndex'[']2]]</f>
        <v>5241,5242</v>
      </c>
    </row>
    <row r="59" spans="2:12" x14ac:dyDescent="0.3">
      <c r="B59" s="66">
        <v>5</v>
      </c>
      <c r="C59" s="53">
        <v>3</v>
      </c>
      <c r="D59" s="53" t="s">
        <v>5400</v>
      </c>
      <c r="E59" s="53" t="s">
        <v>5397</v>
      </c>
      <c r="F59" s="63" t="str">
        <f>VLOOKUP($I59&amp;"_"&amp;$E59,옵션그룹계산1!$AA$4:$AB$219,2,FALSE)</f>
        <v>5311</v>
      </c>
      <c r="G59" s="53" t="s">
        <v>5407</v>
      </c>
      <c r="H59" s="63" t="str">
        <f>VLOOKUP($I59&amp;"_"&amp;$G59,옵션그룹계산1!$AA$4:$AB$219,2,FALSE)</f>
        <v>5312</v>
      </c>
      <c r="I59" s="63" t="str">
        <f t="shared" si="1"/>
        <v>T5_3옵션_방어구</v>
      </c>
      <c r="J59" s="101" t="str">
        <f>표1[[#This Row],[1차검색]]</f>
        <v>5311</v>
      </c>
      <c r="K59" s="101" t="str">
        <f>표1[[#This Row],[3차검색]]</f>
        <v>5312</v>
      </c>
      <c r="L59" s="101" t="str">
        <f>표1[[#This Row],[OptionGroupIndex'[']]]&amp;","&amp;표1[[#This Row],[OptionGroupIndex'[']2]]</f>
        <v>5311,5312</v>
      </c>
    </row>
    <row r="60" spans="2:12" x14ac:dyDescent="0.3">
      <c r="B60" s="66">
        <v>5</v>
      </c>
      <c r="C60" s="53">
        <v>3</v>
      </c>
      <c r="D60" s="53" t="s">
        <v>5399</v>
      </c>
      <c r="E60" s="53" t="s">
        <v>5397</v>
      </c>
      <c r="F60" s="63" t="str">
        <f>VLOOKUP($I60&amp;"_"&amp;$E60,옵션그룹계산1!$AA$4:$AB$219,2,FALSE)</f>
        <v>5321</v>
      </c>
      <c r="G60" s="53" t="s">
        <v>5407</v>
      </c>
      <c r="H60" s="63" t="str">
        <f>VLOOKUP($I60&amp;"_"&amp;$G60,옵션그룹계산1!$AA$4:$AB$219,2,FALSE)</f>
        <v>5322</v>
      </c>
      <c r="I60" s="63" t="str">
        <f t="shared" si="1"/>
        <v>T5_3옵션_보조장비</v>
      </c>
      <c r="J60" s="101" t="str">
        <f>표1[[#This Row],[1차검색]]</f>
        <v>5321</v>
      </c>
      <c r="K60" s="101" t="str">
        <f>표1[[#This Row],[3차검색]]</f>
        <v>5322</v>
      </c>
      <c r="L60" s="101" t="str">
        <f>표1[[#This Row],[OptionGroupIndex'[']]]&amp;","&amp;표1[[#This Row],[OptionGroupIndex'[']2]]</f>
        <v>5321,5322</v>
      </c>
    </row>
    <row r="61" spans="2:12" x14ac:dyDescent="0.3">
      <c r="B61" s="66">
        <v>5</v>
      </c>
      <c r="C61" s="53">
        <v>3</v>
      </c>
      <c r="D61" s="53" t="s">
        <v>5398</v>
      </c>
      <c r="E61" s="53" t="s">
        <v>5397</v>
      </c>
      <c r="F61" s="63" t="str">
        <f>VLOOKUP($I61&amp;"_"&amp;$E61,옵션그룹계산1!$AA$4:$AB$219,2,FALSE)</f>
        <v>5331</v>
      </c>
      <c r="G61" s="53" t="s">
        <v>5407</v>
      </c>
      <c r="H61" s="63" t="str">
        <f>VLOOKUP($I61&amp;"_"&amp;$G61,옵션그룹계산1!$AA$4:$AB$219,2,FALSE)</f>
        <v>5332</v>
      </c>
      <c r="I61" s="63" t="str">
        <f t="shared" si="1"/>
        <v>T5_3옵션_장신구</v>
      </c>
      <c r="J61" s="101" t="str">
        <f>표1[[#This Row],[1차검색]]</f>
        <v>5331</v>
      </c>
      <c r="K61" s="101" t="str">
        <f>표1[[#This Row],[3차검색]]</f>
        <v>5332</v>
      </c>
      <c r="L61" s="101" t="str">
        <f>표1[[#This Row],[OptionGroupIndex'[']]]&amp;","&amp;표1[[#This Row],[OptionGroupIndex'[']2]]</f>
        <v>5331,5332</v>
      </c>
    </row>
    <row r="62" spans="2:12" x14ac:dyDescent="0.3">
      <c r="B62" s="66">
        <v>5</v>
      </c>
      <c r="C62" s="53">
        <v>3</v>
      </c>
      <c r="D62" s="53" t="s">
        <v>5396</v>
      </c>
      <c r="E62" s="53" t="s">
        <v>5397</v>
      </c>
      <c r="F62" s="63" t="str">
        <f>VLOOKUP($I62&amp;"_"&amp;$E62,옵션그룹계산1!$AA$4:$AB$219,2,FALSE)</f>
        <v>5341</v>
      </c>
      <c r="G62" s="53" t="s">
        <v>5407</v>
      </c>
      <c r="H62" s="63" t="str">
        <f>VLOOKUP($I62&amp;"_"&amp;$G62,옵션그룹계산1!$AA$4:$AB$219,2,FALSE)</f>
        <v>5342</v>
      </c>
      <c r="I62" s="63" t="str">
        <f t="shared" si="1"/>
        <v>T5_3옵션_보주</v>
      </c>
      <c r="J62" s="101" t="str">
        <f>표1[[#This Row],[1차검색]]</f>
        <v>5341</v>
      </c>
      <c r="K62" s="101" t="str">
        <f>표1[[#This Row],[3차검색]]</f>
        <v>5342</v>
      </c>
      <c r="L62" s="101" t="str">
        <f>표1[[#This Row],[OptionGroupIndex'[']]]&amp;","&amp;표1[[#This Row],[OptionGroupIndex'[']2]]</f>
        <v>5341,5342</v>
      </c>
    </row>
    <row r="63" spans="2:12" x14ac:dyDescent="0.3">
      <c r="B63" s="66">
        <v>6</v>
      </c>
      <c r="C63" s="53">
        <v>1</v>
      </c>
      <c r="D63" s="53" t="s">
        <v>5400</v>
      </c>
      <c r="E63" s="53" t="s">
        <v>5397</v>
      </c>
      <c r="F63" s="63" t="str">
        <f>VLOOKUP($I63&amp;"_"&amp;$E63,옵션그룹계산1!$AA$4:$AB$219,2,FALSE)</f>
        <v>6111</v>
      </c>
      <c r="G63" s="53" t="s">
        <v>5407</v>
      </c>
      <c r="H63" s="63" t="str">
        <f>VLOOKUP($I63&amp;"_"&amp;$G63,옵션그룹계산1!$AA$4:$AB$219,2,FALSE)</f>
        <v>6112</v>
      </c>
      <c r="I63" s="63" t="str">
        <f t="shared" si="1"/>
        <v>T6_1옵션_방어구</v>
      </c>
      <c r="J63" s="101" t="str">
        <f>표1[[#This Row],[1차검색]]</f>
        <v>6111</v>
      </c>
      <c r="K63" s="101" t="str">
        <f>표1[[#This Row],[3차검색]]</f>
        <v>6112</v>
      </c>
      <c r="L63" s="101" t="str">
        <f>표1[[#This Row],[OptionGroupIndex'[']]]&amp;","&amp;표1[[#This Row],[OptionGroupIndex'[']2]]</f>
        <v>6111,6112</v>
      </c>
    </row>
    <row r="64" spans="2:12" x14ac:dyDescent="0.3">
      <c r="B64" s="66">
        <v>6</v>
      </c>
      <c r="C64" s="53">
        <v>1</v>
      </c>
      <c r="D64" s="53" t="s">
        <v>5399</v>
      </c>
      <c r="E64" s="53" t="s">
        <v>5397</v>
      </c>
      <c r="F64" s="63" t="str">
        <f>VLOOKUP($I64&amp;"_"&amp;$E64,옵션그룹계산1!$AA$4:$AB$219,2,FALSE)</f>
        <v>6121</v>
      </c>
      <c r="G64" s="53" t="s">
        <v>5407</v>
      </c>
      <c r="H64" s="63" t="str">
        <f>VLOOKUP($I64&amp;"_"&amp;$G64,옵션그룹계산1!$AA$4:$AB$219,2,FALSE)</f>
        <v>6122</v>
      </c>
      <c r="I64" s="63" t="str">
        <f t="shared" si="1"/>
        <v>T6_1옵션_보조장비</v>
      </c>
      <c r="J64" s="101" t="str">
        <f>표1[[#This Row],[1차검색]]</f>
        <v>6121</v>
      </c>
      <c r="K64" s="101" t="str">
        <f>표1[[#This Row],[3차검색]]</f>
        <v>6122</v>
      </c>
      <c r="L64" s="101" t="str">
        <f>표1[[#This Row],[OptionGroupIndex'[']]]&amp;","&amp;표1[[#This Row],[OptionGroupIndex'[']2]]</f>
        <v>6121,6122</v>
      </c>
    </row>
    <row r="65" spans="2:12" x14ac:dyDescent="0.3">
      <c r="B65" s="66">
        <v>6</v>
      </c>
      <c r="C65" s="53">
        <v>1</v>
      </c>
      <c r="D65" s="53" t="s">
        <v>5398</v>
      </c>
      <c r="E65" s="53" t="s">
        <v>5397</v>
      </c>
      <c r="F65" s="63" t="str">
        <f>VLOOKUP($I65&amp;"_"&amp;$E65,옵션그룹계산1!$AA$4:$AB$219,2,FALSE)</f>
        <v>6131</v>
      </c>
      <c r="G65" s="53" t="s">
        <v>5407</v>
      </c>
      <c r="H65" s="63" t="str">
        <f>VLOOKUP($I65&amp;"_"&amp;$G65,옵션그룹계산1!$AA$4:$AB$219,2,FALSE)</f>
        <v>6132</v>
      </c>
      <c r="I65" s="63" t="str">
        <f t="shared" si="1"/>
        <v>T6_1옵션_장신구</v>
      </c>
      <c r="J65" s="101" t="str">
        <f>표1[[#This Row],[1차검색]]</f>
        <v>6131</v>
      </c>
      <c r="K65" s="101" t="str">
        <f>표1[[#This Row],[3차검색]]</f>
        <v>6132</v>
      </c>
      <c r="L65" s="101" t="str">
        <f>표1[[#This Row],[OptionGroupIndex'[']]]&amp;","&amp;표1[[#This Row],[OptionGroupIndex'[']2]]</f>
        <v>6131,6132</v>
      </c>
    </row>
    <row r="66" spans="2:12" x14ac:dyDescent="0.3">
      <c r="B66" s="66">
        <v>6</v>
      </c>
      <c r="C66" s="53">
        <v>1</v>
      </c>
      <c r="D66" s="53" t="s">
        <v>5396</v>
      </c>
      <c r="E66" s="53" t="s">
        <v>5397</v>
      </c>
      <c r="F66" s="63" t="str">
        <f>VLOOKUP($I66&amp;"_"&amp;$E66,옵션그룹계산1!$AA$4:$AB$219,2,FALSE)</f>
        <v>6141</v>
      </c>
      <c r="G66" s="53" t="s">
        <v>5407</v>
      </c>
      <c r="H66" s="63" t="str">
        <f>VLOOKUP($I66&amp;"_"&amp;$G66,옵션그룹계산1!$AA$4:$AB$219,2,FALSE)</f>
        <v>6142</v>
      </c>
      <c r="I66" s="63" t="str">
        <f t="shared" si="1"/>
        <v>T6_1옵션_보주</v>
      </c>
      <c r="J66" s="101" t="str">
        <f>표1[[#This Row],[1차검색]]</f>
        <v>6141</v>
      </c>
      <c r="K66" s="101" t="str">
        <f>표1[[#This Row],[3차검색]]</f>
        <v>6142</v>
      </c>
      <c r="L66" s="101" t="str">
        <f>표1[[#This Row],[OptionGroupIndex'[']]]&amp;","&amp;표1[[#This Row],[OptionGroupIndex'[']2]]</f>
        <v>6141,6142</v>
      </c>
    </row>
    <row r="67" spans="2:12" x14ac:dyDescent="0.3">
      <c r="B67" s="66">
        <v>6</v>
      </c>
      <c r="C67" s="53">
        <v>2</v>
      </c>
      <c r="D67" s="53" t="s">
        <v>5400</v>
      </c>
      <c r="E67" s="53" t="s">
        <v>5397</v>
      </c>
      <c r="F67" s="63" t="str">
        <f>VLOOKUP($I67&amp;"_"&amp;$E67,옵션그룹계산1!$AA$4:$AB$219,2,FALSE)</f>
        <v>6211</v>
      </c>
      <c r="G67" s="53" t="s">
        <v>5407</v>
      </c>
      <c r="H67" s="63" t="str">
        <f>VLOOKUP($I67&amp;"_"&amp;$G67,옵션그룹계산1!$AA$4:$AB$219,2,FALSE)</f>
        <v>6212</v>
      </c>
      <c r="I67" s="63" t="str">
        <f t="shared" ref="I67:I98" si="2">"T"&amp;B67&amp;"_"&amp;C67&amp;"옵션_"&amp;D67</f>
        <v>T6_2옵션_방어구</v>
      </c>
      <c r="J67" s="101" t="str">
        <f>표1[[#This Row],[1차검색]]</f>
        <v>6211</v>
      </c>
      <c r="K67" s="101" t="str">
        <f>표1[[#This Row],[3차검색]]</f>
        <v>6212</v>
      </c>
      <c r="L67" s="101" t="str">
        <f>표1[[#This Row],[OptionGroupIndex'[']]]&amp;","&amp;표1[[#This Row],[OptionGroupIndex'[']2]]</f>
        <v>6211,6212</v>
      </c>
    </row>
    <row r="68" spans="2:12" x14ac:dyDescent="0.3">
      <c r="B68" s="66">
        <v>6</v>
      </c>
      <c r="C68" s="53">
        <v>2</v>
      </c>
      <c r="D68" s="53" t="s">
        <v>5399</v>
      </c>
      <c r="E68" s="53" t="s">
        <v>5397</v>
      </c>
      <c r="F68" s="63" t="str">
        <f>VLOOKUP($I68&amp;"_"&amp;$E68,옵션그룹계산1!$AA$4:$AB$219,2,FALSE)</f>
        <v>6221</v>
      </c>
      <c r="G68" s="53" t="s">
        <v>5407</v>
      </c>
      <c r="H68" s="63" t="str">
        <f>VLOOKUP($I68&amp;"_"&amp;$G68,옵션그룹계산1!$AA$4:$AB$219,2,FALSE)</f>
        <v>6222</v>
      </c>
      <c r="I68" s="63" t="str">
        <f t="shared" si="2"/>
        <v>T6_2옵션_보조장비</v>
      </c>
      <c r="J68" s="101" t="str">
        <f>표1[[#This Row],[1차검색]]</f>
        <v>6221</v>
      </c>
      <c r="K68" s="101" t="str">
        <f>표1[[#This Row],[3차검색]]</f>
        <v>6222</v>
      </c>
      <c r="L68" s="101" t="str">
        <f>표1[[#This Row],[OptionGroupIndex'[']]]&amp;","&amp;표1[[#This Row],[OptionGroupIndex'[']2]]</f>
        <v>6221,6222</v>
      </c>
    </row>
    <row r="69" spans="2:12" x14ac:dyDescent="0.3">
      <c r="B69" s="66">
        <v>6</v>
      </c>
      <c r="C69" s="53">
        <v>2</v>
      </c>
      <c r="D69" s="53" t="s">
        <v>5398</v>
      </c>
      <c r="E69" s="53" t="s">
        <v>5397</v>
      </c>
      <c r="F69" s="63" t="str">
        <f>VLOOKUP($I69&amp;"_"&amp;$E69,옵션그룹계산1!$AA$4:$AB$219,2,FALSE)</f>
        <v>6231</v>
      </c>
      <c r="G69" s="53" t="s">
        <v>5407</v>
      </c>
      <c r="H69" s="63" t="str">
        <f>VLOOKUP($I69&amp;"_"&amp;$G69,옵션그룹계산1!$AA$4:$AB$219,2,FALSE)</f>
        <v>6232</v>
      </c>
      <c r="I69" s="63" t="str">
        <f t="shared" si="2"/>
        <v>T6_2옵션_장신구</v>
      </c>
      <c r="J69" s="101" t="str">
        <f>표1[[#This Row],[1차검색]]</f>
        <v>6231</v>
      </c>
      <c r="K69" s="101" t="str">
        <f>표1[[#This Row],[3차검색]]</f>
        <v>6232</v>
      </c>
      <c r="L69" s="101" t="str">
        <f>표1[[#This Row],[OptionGroupIndex'[']]]&amp;","&amp;표1[[#This Row],[OptionGroupIndex'[']2]]</f>
        <v>6231,6232</v>
      </c>
    </row>
    <row r="70" spans="2:12" x14ac:dyDescent="0.3">
      <c r="B70" s="66">
        <v>6</v>
      </c>
      <c r="C70" s="53">
        <v>2</v>
      </c>
      <c r="D70" s="53" t="s">
        <v>5396</v>
      </c>
      <c r="E70" s="53" t="s">
        <v>5397</v>
      </c>
      <c r="F70" s="63" t="str">
        <f>VLOOKUP($I70&amp;"_"&amp;$E70,옵션그룹계산1!$AA$4:$AB$219,2,FALSE)</f>
        <v>6241</v>
      </c>
      <c r="G70" s="53" t="s">
        <v>5407</v>
      </c>
      <c r="H70" s="63" t="str">
        <f>VLOOKUP($I70&amp;"_"&amp;$G70,옵션그룹계산1!$AA$4:$AB$219,2,FALSE)</f>
        <v>6242</v>
      </c>
      <c r="I70" s="63" t="str">
        <f t="shared" si="2"/>
        <v>T6_2옵션_보주</v>
      </c>
      <c r="J70" s="101" t="str">
        <f>표1[[#This Row],[1차검색]]</f>
        <v>6241</v>
      </c>
      <c r="K70" s="101" t="str">
        <f>표1[[#This Row],[3차검색]]</f>
        <v>6242</v>
      </c>
      <c r="L70" s="101" t="str">
        <f>표1[[#This Row],[OptionGroupIndex'[']]]&amp;","&amp;표1[[#This Row],[OptionGroupIndex'[']2]]</f>
        <v>6241,6242</v>
      </c>
    </row>
    <row r="71" spans="2:12" x14ac:dyDescent="0.3">
      <c r="B71" s="66">
        <v>6</v>
      </c>
      <c r="C71" s="53">
        <v>3</v>
      </c>
      <c r="D71" s="53" t="s">
        <v>5400</v>
      </c>
      <c r="E71" s="53" t="s">
        <v>5397</v>
      </c>
      <c r="F71" s="63" t="str">
        <f>VLOOKUP($I71&amp;"_"&amp;$E71,옵션그룹계산1!$AA$4:$AB$219,2,FALSE)</f>
        <v>6311</v>
      </c>
      <c r="G71" s="53" t="s">
        <v>5407</v>
      </c>
      <c r="H71" s="63" t="str">
        <f>VLOOKUP($I71&amp;"_"&amp;$G71,옵션그룹계산1!$AA$4:$AB$219,2,FALSE)</f>
        <v>6312</v>
      </c>
      <c r="I71" s="63" t="str">
        <f t="shared" si="2"/>
        <v>T6_3옵션_방어구</v>
      </c>
      <c r="J71" s="101" t="str">
        <f>표1[[#This Row],[1차검색]]</f>
        <v>6311</v>
      </c>
      <c r="K71" s="101" t="str">
        <f>표1[[#This Row],[3차검색]]</f>
        <v>6312</v>
      </c>
      <c r="L71" s="101" t="str">
        <f>표1[[#This Row],[OptionGroupIndex'[']]]&amp;","&amp;표1[[#This Row],[OptionGroupIndex'[']2]]</f>
        <v>6311,6312</v>
      </c>
    </row>
    <row r="72" spans="2:12" x14ac:dyDescent="0.3">
      <c r="B72" s="66">
        <v>6</v>
      </c>
      <c r="C72" s="53">
        <v>3</v>
      </c>
      <c r="D72" s="53" t="s">
        <v>5399</v>
      </c>
      <c r="E72" s="53" t="s">
        <v>5397</v>
      </c>
      <c r="F72" s="63" t="str">
        <f>VLOOKUP($I72&amp;"_"&amp;$E72,옵션그룹계산1!$AA$4:$AB$219,2,FALSE)</f>
        <v>6321</v>
      </c>
      <c r="G72" s="53" t="s">
        <v>5407</v>
      </c>
      <c r="H72" s="63" t="str">
        <f>VLOOKUP($I72&amp;"_"&amp;$G72,옵션그룹계산1!$AA$4:$AB$219,2,FALSE)</f>
        <v>6322</v>
      </c>
      <c r="I72" s="63" t="str">
        <f t="shared" si="2"/>
        <v>T6_3옵션_보조장비</v>
      </c>
      <c r="J72" s="101" t="str">
        <f>표1[[#This Row],[1차검색]]</f>
        <v>6321</v>
      </c>
      <c r="K72" s="101" t="str">
        <f>표1[[#This Row],[3차검색]]</f>
        <v>6322</v>
      </c>
      <c r="L72" s="101" t="str">
        <f>표1[[#This Row],[OptionGroupIndex'[']]]&amp;","&amp;표1[[#This Row],[OptionGroupIndex'[']2]]</f>
        <v>6321,6322</v>
      </c>
    </row>
    <row r="73" spans="2:12" x14ac:dyDescent="0.3">
      <c r="B73" s="66">
        <v>6</v>
      </c>
      <c r="C73" s="53">
        <v>3</v>
      </c>
      <c r="D73" s="53" t="s">
        <v>5398</v>
      </c>
      <c r="E73" s="53" t="s">
        <v>5397</v>
      </c>
      <c r="F73" s="63" t="str">
        <f>VLOOKUP($I73&amp;"_"&amp;$E73,옵션그룹계산1!$AA$4:$AB$219,2,FALSE)</f>
        <v>6331</v>
      </c>
      <c r="G73" s="53" t="s">
        <v>5407</v>
      </c>
      <c r="H73" s="63" t="str">
        <f>VLOOKUP($I73&amp;"_"&amp;$G73,옵션그룹계산1!$AA$4:$AB$219,2,FALSE)</f>
        <v>6332</v>
      </c>
      <c r="I73" s="63" t="str">
        <f t="shared" si="2"/>
        <v>T6_3옵션_장신구</v>
      </c>
      <c r="J73" s="101" t="str">
        <f>표1[[#This Row],[1차검색]]</f>
        <v>6331</v>
      </c>
      <c r="K73" s="101" t="str">
        <f>표1[[#This Row],[3차검색]]</f>
        <v>6332</v>
      </c>
      <c r="L73" s="101" t="str">
        <f>표1[[#This Row],[OptionGroupIndex'[']]]&amp;","&amp;표1[[#This Row],[OptionGroupIndex'[']2]]</f>
        <v>6331,6332</v>
      </c>
    </row>
    <row r="74" spans="2:12" x14ac:dyDescent="0.3">
      <c r="B74" s="66">
        <v>6</v>
      </c>
      <c r="C74" s="53">
        <v>3</v>
      </c>
      <c r="D74" s="53" t="s">
        <v>5396</v>
      </c>
      <c r="E74" s="53" t="s">
        <v>5397</v>
      </c>
      <c r="F74" s="63" t="str">
        <f>VLOOKUP($I74&amp;"_"&amp;$E74,옵션그룹계산1!$AA$4:$AB$219,2,FALSE)</f>
        <v>6341</v>
      </c>
      <c r="G74" s="53" t="s">
        <v>5407</v>
      </c>
      <c r="H74" s="63" t="str">
        <f>VLOOKUP($I74&amp;"_"&amp;$G74,옵션그룹계산1!$AA$4:$AB$219,2,FALSE)</f>
        <v>6342</v>
      </c>
      <c r="I74" s="63" t="str">
        <f t="shared" si="2"/>
        <v>T6_3옵션_보주</v>
      </c>
      <c r="J74" s="101" t="str">
        <f>표1[[#This Row],[1차검색]]</f>
        <v>6341</v>
      </c>
      <c r="K74" s="101" t="str">
        <f>표1[[#This Row],[3차검색]]</f>
        <v>6342</v>
      </c>
      <c r="L74" s="101" t="str">
        <f>표1[[#This Row],[OptionGroupIndex'[']]]&amp;","&amp;표1[[#This Row],[OptionGroupIndex'[']2]]</f>
        <v>6341,6342</v>
      </c>
    </row>
    <row r="75" spans="2:12" x14ac:dyDescent="0.3">
      <c r="B75" s="66">
        <v>6</v>
      </c>
      <c r="C75" s="53">
        <v>4</v>
      </c>
      <c r="D75" s="53" t="s">
        <v>5400</v>
      </c>
      <c r="E75" s="53" t="s">
        <v>5397</v>
      </c>
      <c r="F75" s="63" t="str">
        <f>VLOOKUP($I75&amp;"_"&amp;$E75,옵션그룹계산1!$AA$4:$AB$219,2,FALSE)</f>
        <v>6411</v>
      </c>
      <c r="G75" s="53" t="s">
        <v>5407</v>
      </c>
      <c r="H75" s="63" t="str">
        <f>VLOOKUP($I75&amp;"_"&amp;$G75,옵션그룹계산1!$AA$4:$AB$219,2,FALSE)</f>
        <v>6412</v>
      </c>
      <c r="I75" s="63" t="str">
        <f t="shared" si="2"/>
        <v>T6_4옵션_방어구</v>
      </c>
      <c r="J75" s="101" t="str">
        <f>표1[[#This Row],[1차검색]]</f>
        <v>6411</v>
      </c>
      <c r="K75" s="101" t="str">
        <f>표1[[#This Row],[3차검색]]</f>
        <v>6412</v>
      </c>
      <c r="L75" s="101" t="str">
        <f>표1[[#This Row],[OptionGroupIndex'[']]]&amp;","&amp;표1[[#This Row],[OptionGroupIndex'[']2]]</f>
        <v>6411,6412</v>
      </c>
    </row>
    <row r="76" spans="2:12" x14ac:dyDescent="0.3">
      <c r="B76" s="66">
        <v>6</v>
      </c>
      <c r="C76" s="53">
        <v>4</v>
      </c>
      <c r="D76" s="53" t="s">
        <v>5399</v>
      </c>
      <c r="E76" s="53" t="s">
        <v>5397</v>
      </c>
      <c r="F76" s="63" t="str">
        <f>VLOOKUP($I76&amp;"_"&amp;$E76,옵션그룹계산1!$AA$4:$AB$219,2,FALSE)</f>
        <v>6421</v>
      </c>
      <c r="G76" s="53" t="s">
        <v>5407</v>
      </c>
      <c r="H76" s="63" t="str">
        <f>VLOOKUP($I76&amp;"_"&amp;$G76,옵션그룹계산1!$AA$4:$AB$219,2,FALSE)</f>
        <v>6422</v>
      </c>
      <c r="I76" s="63" t="str">
        <f t="shared" si="2"/>
        <v>T6_4옵션_보조장비</v>
      </c>
      <c r="J76" s="101" t="str">
        <f>표1[[#This Row],[1차검색]]</f>
        <v>6421</v>
      </c>
      <c r="K76" s="101" t="str">
        <f>표1[[#This Row],[3차검색]]</f>
        <v>6422</v>
      </c>
      <c r="L76" s="101" t="str">
        <f>표1[[#This Row],[OptionGroupIndex'[']]]&amp;","&amp;표1[[#This Row],[OptionGroupIndex'[']2]]</f>
        <v>6421,6422</v>
      </c>
    </row>
    <row r="77" spans="2:12" x14ac:dyDescent="0.3">
      <c r="B77" s="66">
        <v>6</v>
      </c>
      <c r="C77" s="53">
        <v>4</v>
      </c>
      <c r="D77" s="53" t="s">
        <v>5398</v>
      </c>
      <c r="E77" s="53" t="s">
        <v>5397</v>
      </c>
      <c r="F77" s="63" t="str">
        <f>VLOOKUP($I77&amp;"_"&amp;$E77,옵션그룹계산1!$AA$4:$AB$219,2,FALSE)</f>
        <v>6431</v>
      </c>
      <c r="G77" s="53" t="s">
        <v>5407</v>
      </c>
      <c r="H77" s="63" t="str">
        <f>VLOOKUP($I77&amp;"_"&amp;$G77,옵션그룹계산1!$AA$4:$AB$219,2,FALSE)</f>
        <v>6432</v>
      </c>
      <c r="I77" s="63" t="str">
        <f t="shared" si="2"/>
        <v>T6_4옵션_장신구</v>
      </c>
      <c r="J77" s="101" t="str">
        <f>표1[[#This Row],[1차검색]]</f>
        <v>6431</v>
      </c>
      <c r="K77" s="101" t="str">
        <f>표1[[#This Row],[3차검색]]</f>
        <v>6432</v>
      </c>
      <c r="L77" s="101" t="str">
        <f>표1[[#This Row],[OptionGroupIndex'[']]]&amp;","&amp;표1[[#This Row],[OptionGroupIndex'[']2]]</f>
        <v>6431,6432</v>
      </c>
    </row>
    <row r="78" spans="2:12" x14ac:dyDescent="0.3">
      <c r="B78" s="66">
        <v>6</v>
      </c>
      <c r="C78" s="53">
        <v>4</v>
      </c>
      <c r="D78" s="53" t="s">
        <v>5396</v>
      </c>
      <c r="E78" s="53" t="s">
        <v>5397</v>
      </c>
      <c r="F78" s="63" t="str">
        <f>VLOOKUP($I78&amp;"_"&amp;$E78,옵션그룹계산1!$AA$4:$AB$219,2,FALSE)</f>
        <v>6441</v>
      </c>
      <c r="G78" s="53" t="s">
        <v>5407</v>
      </c>
      <c r="H78" s="63" t="str">
        <f>VLOOKUP($I78&amp;"_"&amp;$G78,옵션그룹계산1!$AA$4:$AB$219,2,FALSE)</f>
        <v>6442</v>
      </c>
      <c r="I78" s="63" t="str">
        <f t="shared" si="2"/>
        <v>T6_4옵션_보주</v>
      </c>
      <c r="J78" s="101" t="str">
        <f>표1[[#This Row],[1차검색]]</f>
        <v>6441</v>
      </c>
      <c r="K78" s="101" t="str">
        <f>표1[[#This Row],[3차검색]]</f>
        <v>6442</v>
      </c>
      <c r="L78" s="101" t="str">
        <f>표1[[#This Row],[OptionGroupIndex'[']]]&amp;","&amp;표1[[#This Row],[OptionGroupIndex'[']2]]</f>
        <v>6441,6442</v>
      </c>
    </row>
    <row r="79" spans="2:12" x14ac:dyDescent="0.3">
      <c r="B79" s="66">
        <v>7</v>
      </c>
      <c r="C79" s="53">
        <v>1</v>
      </c>
      <c r="D79" s="53" t="s">
        <v>5400</v>
      </c>
      <c r="E79" s="53" t="s">
        <v>5397</v>
      </c>
      <c r="F79" s="63" t="str">
        <f>VLOOKUP($I79&amp;"_"&amp;$E79,옵션그룹계산1!$AA$4:$AB$219,2,FALSE)</f>
        <v>7111</v>
      </c>
      <c r="G79" s="53" t="s">
        <v>5407</v>
      </c>
      <c r="H79" s="63" t="str">
        <f>VLOOKUP($I79&amp;"_"&amp;$G79,옵션그룹계산1!$AA$4:$AB$219,2,FALSE)</f>
        <v>7112</v>
      </c>
      <c r="I79" s="63" t="str">
        <f t="shared" si="2"/>
        <v>T7_1옵션_방어구</v>
      </c>
      <c r="J79" s="101" t="str">
        <f>표1[[#This Row],[1차검색]]</f>
        <v>7111</v>
      </c>
      <c r="K79" s="101" t="str">
        <f>표1[[#This Row],[3차검색]]</f>
        <v>7112</v>
      </c>
      <c r="L79" s="101" t="str">
        <f>표1[[#This Row],[OptionGroupIndex'[']]]&amp;","&amp;표1[[#This Row],[OptionGroupIndex'[']2]]</f>
        <v>7111,7112</v>
      </c>
    </row>
    <row r="80" spans="2:12" x14ac:dyDescent="0.3">
      <c r="B80" s="66">
        <v>7</v>
      </c>
      <c r="C80" s="53">
        <v>1</v>
      </c>
      <c r="D80" s="53" t="s">
        <v>5399</v>
      </c>
      <c r="E80" s="53" t="s">
        <v>5397</v>
      </c>
      <c r="F80" s="63" t="str">
        <f>VLOOKUP($I80&amp;"_"&amp;$E80,옵션그룹계산1!$AA$4:$AB$219,2,FALSE)</f>
        <v>7121</v>
      </c>
      <c r="G80" s="53" t="s">
        <v>5407</v>
      </c>
      <c r="H80" s="63" t="str">
        <f>VLOOKUP($I80&amp;"_"&amp;$G80,옵션그룹계산1!$AA$4:$AB$219,2,FALSE)</f>
        <v>7122</v>
      </c>
      <c r="I80" s="63" t="str">
        <f t="shared" si="2"/>
        <v>T7_1옵션_보조장비</v>
      </c>
      <c r="J80" s="101" t="str">
        <f>표1[[#This Row],[1차검색]]</f>
        <v>7121</v>
      </c>
      <c r="K80" s="101" t="str">
        <f>표1[[#This Row],[3차검색]]</f>
        <v>7122</v>
      </c>
      <c r="L80" s="101" t="str">
        <f>표1[[#This Row],[OptionGroupIndex'[']]]&amp;","&amp;표1[[#This Row],[OptionGroupIndex'[']2]]</f>
        <v>7121,7122</v>
      </c>
    </row>
    <row r="81" spans="2:12" x14ac:dyDescent="0.3">
      <c r="B81" s="66">
        <v>7</v>
      </c>
      <c r="C81" s="53">
        <v>1</v>
      </c>
      <c r="D81" s="53" t="s">
        <v>5398</v>
      </c>
      <c r="E81" s="53" t="s">
        <v>5397</v>
      </c>
      <c r="F81" s="63" t="str">
        <f>VLOOKUP($I81&amp;"_"&amp;$E81,옵션그룹계산1!$AA$4:$AB$219,2,FALSE)</f>
        <v>7131</v>
      </c>
      <c r="G81" s="53" t="s">
        <v>5407</v>
      </c>
      <c r="H81" s="63" t="str">
        <f>VLOOKUP($I81&amp;"_"&amp;$G81,옵션그룹계산1!$AA$4:$AB$219,2,FALSE)</f>
        <v>7132</v>
      </c>
      <c r="I81" s="63" t="str">
        <f t="shared" si="2"/>
        <v>T7_1옵션_장신구</v>
      </c>
      <c r="J81" s="101" t="str">
        <f>표1[[#This Row],[1차검색]]</f>
        <v>7131</v>
      </c>
      <c r="K81" s="101" t="str">
        <f>표1[[#This Row],[3차검색]]</f>
        <v>7132</v>
      </c>
      <c r="L81" s="101" t="str">
        <f>표1[[#This Row],[OptionGroupIndex'[']]]&amp;","&amp;표1[[#This Row],[OptionGroupIndex'[']2]]</f>
        <v>7131,7132</v>
      </c>
    </row>
    <row r="82" spans="2:12" x14ac:dyDescent="0.3">
      <c r="B82" s="66">
        <v>7</v>
      </c>
      <c r="C82" s="53">
        <v>1</v>
      </c>
      <c r="D82" s="53" t="s">
        <v>5396</v>
      </c>
      <c r="E82" s="53" t="s">
        <v>5397</v>
      </c>
      <c r="F82" s="63" t="str">
        <f>VLOOKUP($I82&amp;"_"&amp;$E82,옵션그룹계산1!$AA$4:$AB$219,2,FALSE)</f>
        <v>7141</v>
      </c>
      <c r="G82" s="53" t="s">
        <v>5407</v>
      </c>
      <c r="H82" s="63" t="str">
        <f>VLOOKUP($I82&amp;"_"&amp;$G82,옵션그룹계산1!$AA$4:$AB$219,2,FALSE)</f>
        <v>7142</v>
      </c>
      <c r="I82" s="63" t="str">
        <f t="shared" si="2"/>
        <v>T7_1옵션_보주</v>
      </c>
      <c r="J82" s="101" t="str">
        <f>표1[[#This Row],[1차검색]]</f>
        <v>7141</v>
      </c>
      <c r="K82" s="101" t="str">
        <f>표1[[#This Row],[3차검색]]</f>
        <v>7142</v>
      </c>
      <c r="L82" s="101" t="str">
        <f>표1[[#This Row],[OptionGroupIndex'[']]]&amp;","&amp;표1[[#This Row],[OptionGroupIndex'[']2]]</f>
        <v>7141,7142</v>
      </c>
    </row>
    <row r="83" spans="2:12" x14ac:dyDescent="0.3">
      <c r="B83" s="66">
        <v>7</v>
      </c>
      <c r="C83" s="53">
        <v>2</v>
      </c>
      <c r="D83" s="53" t="s">
        <v>5400</v>
      </c>
      <c r="E83" s="53" t="s">
        <v>5397</v>
      </c>
      <c r="F83" s="63" t="str">
        <f>VLOOKUP($I83&amp;"_"&amp;$E83,옵션그룹계산1!$AA$4:$AB$219,2,FALSE)</f>
        <v>7211</v>
      </c>
      <c r="G83" s="53" t="s">
        <v>5407</v>
      </c>
      <c r="H83" s="63" t="str">
        <f>VLOOKUP($I83&amp;"_"&amp;$G83,옵션그룹계산1!$AA$4:$AB$219,2,FALSE)</f>
        <v>7212</v>
      </c>
      <c r="I83" s="63" t="str">
        <f t="shared" si="2"/>
        <v>T7_2옵션_방어구</v>
      </c>
      <c r="J83" s="101" t="str">
        <f>표1[[#This Row],[1차검색]]</f>
        <v>7211</v>
      </c>
      <c r="K83" s="101" t="str">
        <f>표1[[#This Row],[3차검색]]</f>
        <v>7212</v>
      </c>
      <c r="L83" s="101" t="str">
        <f>표1[[#This Row],[OptionGroupIndex'[']]]&amp;","&amp;표1[[#This Row],[OptionGroupIndex'[']2]]</f>
        <v>7211,7212</v>
      </c>
    </row>
    <row r="84" spans="2:12" x14ac:dyDescent="0.3">
      <c r="B84" s="66">
        <v>7</v>
      </c>
      <c r="C84" s="53">
        <v>2</v>
      </c>
      <c r="D84" s="53" t="s">
        <v>5399</v>
      </c>
      <c r="E84" s="53" t="s">
        <v>5397</v>
      </c>
      <c r="F84" s="63" t="str">
        <f>VLOOKUP($I84&amp;"_"&amp;$E84,옵션그룹계산1!$AA$4:$AB$219,2,FALSE)</f>
        <v>7221</v>
      </c>
      <c r="G84" s="53" t="s">
        <v>5407</v>
      </c>
      <c r="H84" s="63" t="str">
        <f>VLOOKUP($I84&amp;"_"&amp;$G84,옵션그룹계산1!$AA$4:$AB$219,2,FALSE)</f>
        <v>7222</v>
      </c>
      <c r="I84" s="63" t="str">
        <f t="shared" si="2"/>
        <v>T7_2옵션_보조장비</v>
      </c>
      <c r="J84" s="101" t="str">
        <f>표1[[#This Row],[1차검색]]</f>
        <v>7221</v>
      </c>
      <c r="K84" s="101" t="str">
        <f>표1[[#This Row],[3차검색]]</f>
        <v>7222</v>
      </c>
      <c r="L84" s="101" t="str">
        <f>표1[[#This Row],[OptionGroupIndex'[']]]&amp;","&amp;표1[[#This Row],[OptionGroupIndex'[']2]]</f>
        <v>7221,7222</v>
      </c>
    </row>
    <row r="85" spans="2:12" x14ac:dyDescent="0.3">
      <c r="B85" s="66">
        <v>7</v>
      </c>
      <c r="C85" s="53">
        <v>2</v>
      </c>
      <c r="D85" s="53" t="s">
        <v>5398</v>
      </c>
      <c r="E85" s="53" t="s">
        <v>5397</v>
      </c>
      <c r="F85" s="63" t="str">
        <f>VLOOKUP($I85&amp;"_"&amp;$E85,옵션그룹계산1!$AA$4:$AB$219,2,FALSE)</f>
        <v>7231</v>
      </c>
      <c r="G85" s="53" t="s">
        <v>5407</v>
      </c>
      <c r="H85" s="63" t="str">
        <f>VLOOKUP($I85&amp;"_"&amp;$G85,옵션그룹계산1!$AA$4:$AB$219,2,FALSE)</f>
        <v>7232</v>
      </c>
      <c r="I85" s="63" t="str">
        <f t="shared" si="2"/>
        <v>T7_2옵션_장신구</v>
      </c>
      <c r="J85" s="101" t="str">
        <f>표1[[#This Row],[1차검색]]</f>
        <v>7231</v>
      </c>
      <c r="K85" s="101" t="str">
        <f>표1[[#This Row],[3차검색]]</f>
        <v>7232</v>
      </c>
      <c r="L85" s="101" t="str">
        <f>표1[[#This Row],[OptionGroupIndex'[']]]&amp;","&amp;표1[[#This Row],[OptionGroupIndex'[']2]]</f>
        <v>7231,7232</v>
      </c>
    </row>
    <row r="86" spans="2:12" x14ac:dyDescent="0.3">
      <c r="B86" s="66">
        <v>7</v>
      </c>
      <c r="C86" s="53">
        <v>2</v>
      </c>
      <c r="D86" s="53" t="s">
        <v>5396</v>
      </c>
      <c r="E86" s="53" t="s">
        <v>5397</v>
      </c>
      <c r="F86" s="63" t="str">
        <f>VLOOKUP($I86&amp;"_"&amp;$E86,옵션그룹계산1!$AA$4:$AB$219,2,FALSE)</f>
        <v>7241</v>
      </c>
      <c r="G86" s="53" t="s">
        <v>5407</v>
      </c>
      <c r="H86" s="63" t="str">
        <f>VLOOKUP($I86&amp;"_"&amp;$G86,옵션그룹계산1!$AA$4:$AB$219,2,FALSE)</f>
        <v>7242</v>
      </c>
      <c r="I86" s="63" t="str">
        <f t="shared" si="2"/>
        <v>T7_2옵션_보주</v>
      </c>
      <c r="J86" s="101" t="str">
        <f>표1[[#This Row],[1차검색]]</f>
        <v>7241</v>
      </c>
      <c r="K86" s="101" t="str">
        <f>표1[[#This Row],[3차검색]]</f>
        <v>7242</v>
      </c>
      <c r="L86" s="101" t="str">
        <f>표1[[#This Row],[OptionGroupIndex'[']]]&amp;","&amp;표1[[#This Row],[OptionGroupIndex'[']2]]</f>
        <v>7241,7242</v>
      </c>
    </row>
    <row r="87" spans="2:12" x14ac:dyDescent="0.3">
      <c r="B87" s="66">
        <v>7</v>
      </c>
      <c r="C87" s="53">
        <v>3</v>
      </c>
      <c r="D87" s="53" t="s">
        <v>5400</v>
      </c>
      <c r="E87" s="53" t="s">
        <v>5397</v>
      </c>
      <c r="F87" s="63" t="str">
        <f>VLOOKUP($I87&amp;"_"&amp;$E87,옵션그룹계산1!$AA$4:$AB$219,2,FALSE)</f>
        <v>7311</v>
      </c>
      <c r="G87" s="53" t="s">
        <v>5407</v>
      </c>
      <c r="H87" s="63" t="str">
        <f>VLOOKUP($I87&amp;"_"&amp;$G87,옵션그룹계산1!$AA$4:$AB$219,2,FALSE)</f>
        <v>7312</v>
      </c>
      <c r="I87" s="63" t="str">
        <f t="shared" si="2"/>
        <v>T7_3옵션_방어구</v>
      </c>
      <c r="J87" s="101" t="str">
        <f>표1[[#This Row],[1차검색]]</f>
        <v>7311</v>
      </c>
      <c r="K87" s="101" t="str">
        <f>표1[[#This Row],[3차검색]]</f>
        <v>7312</v>
      </c>
      <c r="L87" s="101" t="str">
        <f>표1[[#This Row],[OptionGroupIndex'[']]]&amp;","&amp;표1[[#This Row],[OptionGroupIndex'[']2]]</f>
        <v>7311,7312</v>
      </c>
    </row>
    <row r="88" spans="2:12" x14ac:dyDescent="0.3">
      <c r="B88" s="66">
        <v>7</v>
      </c>
      <c r="C88" s="53">
        <v>3</v>
      </c>
      <c r="D88" s="53" t="s">
        <v>5399</v>
      </c>
      <c r="E88" s="53" t="s">
        <v>5397</v>
      </c>
      <c r="F88" s="63" t="str">
        <f>VLOOKUP($I88&amp;"_"&amp;$E88,옵션그룹계산1!$AA$4:$AB$219,2,FALSE)</f>
        <v>7321</v>
      </c>
      <c r="G88" s="53" t="s">
        <v>5407</v>
      </c>
      <c r="H88" s="63" t="str">
        <f>VLOOKUP($I88&amp;"_"&amp;$G88,옵션그룹계산1!$AA$4:$AB$219,2,FALSE)</f>
        <v>7322</v>
      </c>
      <c r="I88" s="63" t="str">
        <f t="shared" si="2"/>
        <v>T7_3옵션_보조장비</v>
      </c>
      <c r="J88" s="101" t="str">
        <f>표1[[#This Row],[1차검색]]</f>
        <v>7321</v>
      </c>
      <c r="K88" s="101" t="str">
        <f>표1[[#This Row],[3차검색]]</f>
        <v>7322</v>
      </c>
      <c r="L88" s="101" t="str">
        <f>표1[[#This Row],[OptionGroupIndex'[']]]&amp;","&amp;표1[[#This Row],[OptionGroupIndex'[']2]]</f>
        <v>7321,7322</v>
      </c>
    </row>
    <row r="89" spans="2:12" x14ac:dyDescent="0.3">
      <c r="B89" s="66">
        <v>7</v>
      </c>
      <c r="C89" s="53">
        <v>3</v>
      </c>
      <c r="D89" s="53" t="s">
        <v>5398</v>
      </c>
      <c r="E89" s="53" t="s">
        <v>5397</v>
      </c>
      <c r="F89" s="63" t="str">
        <f>VLOOKUP($I89&amp;"_"&amp;$E89,옵션그룹계산1!$AA$4:$AB$219,2,FALSE)</f>
        <v>7331</v>
      </c>
      <c r="G89" s="53" t="s">
        <v>5407</v>
      </c>
      <c r="H89" s="63" t="str">
        <f>VLOOKUP($I89&amp;"_"&amp;$G89,옵션그룹계산1!$AA$4:$AB$219,2,FALSE)</f>
        <v>7332</v>
      </c>
      <c r="I89" s="63" t="str">
        <f t="shared" si="2"/>
        <v>T7_3옵션_장신구</v>
      </c>
      <c r="J89" s="101" t="str">
        <f>표1[[#This Row],[1차검색]]</f>
        <v>7331</v>
      </c>
      <c r="K89" s="101" t="str">
        <f>표1[[#This Row],[3차검색]]</f>
        <v>7332</v>
      </c>
      <c r="L89" s="101" t="str">
        <f>표1[[#This Row],[OptionGroupIndex'[']]]&amp;","&amp;표1[[#This Row],[OptionGroupIndex'[']2]]</f>
        <v>7331,7332</v>
      </c>
    </row>
    <row r="90" spans="2:12" x14ac:dyDescent="0.3">
      <c r="B90" s="66">
        <v>7</v>
      </c>
      <c r="C90" s="53">
        <v>3</v>
      </c>
      <c r="D90" s="53" t="s">
        <v>5396</v>
      </c>
      <c r="E90" s="53" t="s">
        <v>5397</v>
      </c>
      <c r="F90" s="63" t="str">
        <f>VLOOKUP($I90&amp;"_"&amp;$E90,옵션그룹계산1!$AA$4:$AB$219,2,FALSE)</f>
        <v>7341</v>
      </c>
      <c r="G90" s="53" t="s">
        <v>5407</v>
      </c>
      <c r="H90" s="63" t="str">
        <f>VLOOKUP($I90&amp;"_"&amp;$G90,옵션그룹계산1!$AA$4:$AB$219,2,FALSE)</f>
        <v>7342</v>
      </c>
      <c r="I90" s="63" t="str">
        <f t="shared" si="2"/>
        <v>T7_3옵션_보주</v>
      </c>
      <c r="J90" s="101" t="str">
        <f>표1[[#This Row],[1차검색]]</f>
        <v>7341</v>
      </c>
      <c r="K90" s="101" t="str">
        <f>표1[[#This Row],[3차검색]]</f>
        <v>7342</v>
      </c>
      <c r="L90" s="101" t="str">
        <f>표1[[#This Row],[OptionGroupIndex'[']]]&amp;","&amp;표1[[#This Row],[OptionGroupIndex'[']2]]</f>
        <v>7341,7342</v>
      </c>
    </row>
    <row r="91" spans="2:12" x14ac:dyDescent="0.3">
      <c r="B91" s="98">
        <v>7</v>
      </c>
      <c r="C91" s="99">
        <v>4</v>
      </c>
      <c r="D91" s="99" t="s">
        <v>5400</v>
      </c>
      <c r="E91" s="99" t="s">
        <v>5397</v>
      </c>
      <c r="F91" s="100" t="str">
        <f>VLOOKUP($I91&amp;"_"&amp;$E91,옵션그룹계산1!$AA$4:$AB$219,2,FALSE)</f>
        <v>7411</v>
      </c>
      <c r="G91" s="53" t="s">
        <v>5407</v>
      </c>
      <c r="H91" s="100" t="str">
        <f>VLOOKUP($I91&amp;"_"&amp;$G91,옵션그룹계산1!$AA$4:$AB$219,2,FALSE)</f>
        <v>7412</v>
      </c>
      <c r="I91" s="100" t="str">
        <f t="shared" si="2"/>
        <v>T7_4옵션_방어구</v>
      </c>
      <c r="J91" s="101" t="str">
        <f>표1[[#This Row],[1차검색]]</f>
        <v>7411</v>
      </c>
      <c r="K91" s="101" t="str">
        <f>표1[[#This Row],[3차검색]]</f>
        <v>7412</v>
      </c>
      <c r="L91" s="101" t="str">
        <f>표1[[#This Row],[OptionGroupIndex'[']]]&amp;","&amp;표1[[#This Row],[OptionGroupIndex'[']2]]</f>
        <v>7411,7412</v>
      </c>
    </row>
    <row r="92" spans="2:12" x14ac:dyDescent="0.3">
      <c r="B92" s="98">
        <v>7</v>
      </c>
      <c r="C92" s="99">
        <v>4</v>
      </c>
      <c r="D92" s="99" t="s">
        <v>5399</v>
      </c>
      <c r="E92" s="99" t="s">
        <v>5397</v>
      </c>
      <c r="F92" s="100" t="str">
        <f>VLOOKUP($I92&amp;"_"&amp;$E92,옵션그룹계산1!$AA$4:$AB$219,2,FALSE)</f>
        <v>7421</v>
      </c>
      <c r="G92" s="53" t="s">
        <v>5407</v>
      </c>
      <c r="H92" s="100" t="str">
        <f>VLOOKUP($I92&amp;"_"&amp;$G92,옵션그룹계산1!$AA$4:$AB$219,2,FALSE)</f>
        <v>7422</v>
      </c>
      <c r="I92" s="100" t="str">
        <f t="shared" si="2"/>
        <v>T7_4옵션_보조장비</v>
      </c>
      <c r="J92" s="101" t="str">
        <f>표1[[#This Row],[1차검색]]</f>
        <v>7421</v>
      </c>
      <c r="K92" s="101" t="str">
        <f>표1[[#This Row],[3차검색]]</f>
        <v>7422</v>
      </c>
      <c r="L92" s="101" t="str">
        <f>표1[[#This Row],[OptionGroupIndex'[']]]&amp;","&amp;표1[[#This Row],[OptionGroupIndex'[']2]]</f>
        <v>7421,7422</v>
      </c>
    </row>
    <row r="93" spans="2:12" x14ac:dyDescent="0.3">
      <c r="B93" s="98">
        <v>7</v>
      </c>
      <c r="C93" s="99">
        <v>4</v>
      </c>
      <c r="D93" s="99" t="s">
        <v>5398</v>
      </c>
      <c r="E93" s="99" t="s">
        <v>5397</v>
      </c>
      <c r="F93" s="100" t="str">
        <f>VLOOKUP($I93&amp;"_"&amp;$E93,옵션그룹계산1!$AA$4:$AB$219,2,FALSE)</f>
        <v>7431</v>
      </c>
      <c r="G93" s="53" t="s">
        <v>5407</v>
      </c>
      <c r="H93" s="100" t="str">
        <f>VLOOKUP($I93&amp;"_"&amp;$G93,옵션그룹계산1!$AA$4:$AB$219,2,FALSE)</f>
        <v>7432</v>
      </c>
      <c r="I93" s="100" t="str">
        <f t="shared" si="2"/>
        <v>T7_4옵션_장신구</v>
      </c>
      <c r="J93" s="101" t="str">
        <f>표1[[#This Row],[1차검색]]</f>
        <v>7431</v>
      </c>
      <c r="K93" s="101" t="str">
        <f>표1[[#This Row],[3차검색]]</f>
        <v>7432</v>
      </c>
      <c r="L93" s="101" t="str">
        <f>표1[[#This Row],[OptionGroupIndex'[']]]&amp;","&amp;표1[[#This Row],[OptionGroupIndex'[']2]]</f>
        <v>7431,7432</v>
      </c>
    </row>
    <row r="94" spans="2:12" x14ac:dyDescent="0.3">
      <c r="B94" s="98">
        <v>7</v>
      </c>
      <c r="C94" s="99">
        <v>4</v>
      </c>
      <c r="D94" s="99" t="s">
        <v>5396</v>
      </c>
      <c r="E94" s="99" t="s">
        <v>5397</v>
      </c>
      <c r="F94" s="100" t="str">
        <f>VLOOKUP($I94&amp;"_"&amp;$E94,옵션그룹계산1!$AA$4:$AB$219,2,FALSE)</f>
        <v>7441</v>
      </c>
      <c r="G94" s="53" t="s">
        <v>5407</v>
      </c>
      <c r="H94" s="100" t="str">
        <f>VLOOKUP($I94&amp;"_"&amp;$G94,옵션그룹계산1!$AA$4:$AB$219,2,FALSE)</f>
        <v>7442</v>
      </c>
      <c r="I94" s="100" t="str">
        <f t="shared" si="2"/>
        <v>T7_4옵션_보주</v>
      </c>
      <c r="J94" s="101" t="str">
        <f>표1[[#This Row],[1차검색]]</f>
        <v>7441</v>
      </c>
      <c r="K94" s="101" t="str">
        <f>표1[[#This Row],[3차검색]]</f>
        <v>7442</v>
      </c>
      <c r="L94" s="101" t="str">
        <f>표1[[#This Row],[OptionGroupIndex'[']]]&amp;","&amp;표1[[#This Row],[OptionGroupIndex'[']2]]</f>
        <v>7441,7442</v>
      </c>
    </row>
    <row r="95" spans="2:12" x14ac:dyDescent="0.3">
      <c r="B95" s="66">
        <v>8</v>
      </c>
      <c r="C95" s="53">
        <v>1</v>
      </c>
      <c r="D95" s="53" t="s">
        <v>5400</v>
      </c>
      <c r="E95" s="53" t="s">
        <v>5397</v>
      </c>
      <c r="F95" s="63" t="str">
        <f>VLOOKUP($I95&amp;"_"&amp;$E95,옵션그룹계산1!$AA$4:$AB$219,2,FALSE)</f>
        <v>8111</v>
      </c>
      <c r="G95" s="53" t="s">
        <v>5407</v>
      </c>
      <c r="H95" s="63" t="str">
        <f>VLOOKUP($I95&amp;"_"&amp;$G95,옵션그룹계산1!$AA$4:$AB$219,2,FALSE)</f>
        <v>8112</v>
      </c>
      <c r="I95" s="63" t="str">
        <f t="shared" si="2"/>
        <v>T8_1옵션_방어구</v>
      </c>
      <c r="J95" s="101" t="str">
        <f>표1[[#This Row],[1차검색]]</f>
        <v>8111</v>
      </c>
      <c r="K95" s="101" t="str">
        <f>표1[[#This Row],[3차검색]]</f>
        <v>8112</v>
      </c>
      <c r="L95" s="101" t="str">
        <f>표1[[#This Row],[OptionGroupIndex'[']]]&amp;","&amp;표1[[#This Row],[OptionGroupIndex'[']2]]</f>
        <v>8111,8112</v>
      </c>
    </row>
    <row r="96" spans="2:12" x14ac:dyDescent="0.3">
      <c r="B96" s="66">
        <v>8</v>
      </c>
      <c r="C96" s="53">
        <v>1</v>
      </c>
      <c r="D96" s="53" t="s">
        <v>5399</v>
      </c>
      <c r="E96" s="53" t="s">
        <v>5397</v>
      </c>
      <c r="F96" s="63" t="str">
        <f>VLOOKUP($I96&amp;"_"&amp;$E96,옵션그룹계산1!$AA$4:$AB$219,2,FALSE)</f>
        <v>8121</v>
      </c>
      <c r="G96" s="53" t="s">
        <v>5407</v>
      </c>
      <c r="H96" s="63" t="str">
        <f>VLOOKUP($I96&amp;"_"&amp;$G96,옵션그룹계산1!$AA$4:$AB$219,2,FALSE)</f>
        <v>8122</v>
      </c>
      <c r="I96" s="63" t="str">
        <f t="shared" si="2"/>
        <v>T8_1옵션_보조장비</v>
      </c>
      <c r="J96" s="101" t="str">
        <f>표1[[#This Row],[1차검색]]</f>
        <v>8121</v>
      </c>
      <c r="K96" s="101" t="str">
        <f>표1[[#This Row],[3차검색]]</f>
        <v>8122</v>
      </c>
      <c r="L96" s="101" t="str">
        <f>표1[[#This Row],[OptionGroupIndex'[']]]&amp;","&amp;표1[[#This Row],[OptionGroupIndex'[']2]]</f>
        <v>8121,8122</v>
      </c>
    </row>
    <row r="97" spans="2:12" x14ac:dyDescent="0.3">
      <c r="B97" s="66">
        <v>8</v>
      </c>
      <c r="C97" s="53">
        <v>1</v>
      </c>
      <c r="D97" s="53" t="s">
        <v>5398</v>
      </c>
      <c r="E97" s="53" t="s">
        <v>5397</v>
      </c>
      <c r="F97" s="63" t="str">
        <f>VLOOKUP($I97&amp;"_"&amp;$E97,옵션그룹계산1!$AA$4:$AB$219,2,FALSE)</f>
        <v>8131</v>
      </c>
      <c r="G97" s="53" t="s">
        <v>5407</v>
      </c>
      <c r="H97" s="63" t="str">
        <f>VLOOKUP($I97&amp;"_"&amp;$G97,옵션그룹계산1!$AA$4:$AB$219,2,FALSE)</f>
        <v>8132</v>
      </c>
      <c r="I97" s="63" t="str">
        <f t="shared" si="2"/>
        <v>T8_1옵션_장신구</v>
      </c>
      <c r="J97" s="101" t="str">
        <f>표1[[#This Row],[1차검색]]</f>
        <v>8131</v>
      </c>
      <c r="K97" s="101" t="str">
        <f>표1[[#This Row],[3차검색]]</f>
        <v>8132</v>
      </c>
      <c r="L97" s="101" t="str">
        <f>표1[[#This Row],[OptionGroupIndex'[']]]&amp;","&amp;표1[[#This Row],[OptionGroupIndex'[']2]]</f>
        <v>8131,8132</v>
      </c>
    </row>
    <row r="98" spans="2:12" x14ac:dyDescent="0.3">
      <c r="B98" s="66">
        <v>8</v>
      </c>
      <c r="C98" s="53">
        <v>1</v>
      </c>
      <c r="D98" s="53" t="s">
        <v>5396</v>
      </c>
      <c r="E98" s="53" t="s">
        <v>5397</v>
      </c>
      <c r="F98" s="63" t="str">
        <f>VLOOKUP($I98&amp;"_"&amp;$E98,옵션그룹계산1!$AA$4:$AB$219,2,FALSE)</f>
        <v>8141</v>
      </c>
      <c r="G98" s="53" t="s">
        <v>5407</v>
      </c>
      <c r="H98" s="63" t="str">
        <f>VLOOKUP($I98&amp;"_"&amp;$G98,옵션그룹계산1!$AA$4:$AB$219,2,FALSE)</f>
        <v>8142</v>
      </c>
      <c r="I98" s="63" t="str">
        <f t="shared" si="2"/>
        <v>T8_1옵션_보주</v>
      </c>
      <c r="J98" s="101" t="str">
        <f>표1[[#This Row],[1차검색]]</f>
        <v>8141</v>
      </c>
      <c r="K98" s="101" t="str">
        <f>표1[[#This Row],[3차검색]]</f>
        <v>8142</v>
      </c>
      <c r="L98" s="101" t="str">
        <f>표1[[#This Row],[OptionGroupIndex'[']]]&amp;","&amp;표1[[#This Row],[OptionGroupIndex'[']2]]</f>
        <v>8141,8142</v>
      </c>
    </row>
    <row r="99" spans="2:12" x14ac:dyDescent="0.3">
      <c r="B99" s="66">
        <v>8</v>
      </c>
      <c r="C99" s="53">
        <v>2</v>
      </c>
      <c r="D99" s="53" t="s">
        <v>5400</v>
      </c>
      <c r="E99" s="53" t="s">
        <v>5397</v>
      </c>
      <c r="F99" s="63" t="str">
        <f>VLOOKUP($I99&amp;"_"&amp;$E99,옵션그룹계산1!$AA$4:$AB$219,2,FALSE)</f>
        <v>8211</v>
      </c>
      <c r="G99" s="53" t="s">
        <v>5407</v>
      </c>
      <c r="H99" s="63" t="str">
        <f>VLOOKUP($I99&amp;"_"&amp;$G99,옵션그룹계산1!$AA$4:$AB$219,2,FALSE)</f>
        <v>8212</v>
      </c>
      <c r="I99" s="63" t="str">
        <f t="shared" ref="I99:I110" si="3">"T"&amp;B99&amp;"_"&amp;C99&amp;"옵션_"&amp;D99</f>
        <v>T8_2옵션_방어구</v>
      </c>
      <c r="J99" s="101" t="str">
        <f>표1[[#This Row],[1차검색]]</f>
        <v>8211</v>
      </c>
      <c r="K99" s="101" t="str">
        <f>표1[[#This Row],[3차검색]]</f>
        <v>8212</v>
      </c>
      <c r="L99" s="101" t="str">
        <f>표1[[#This Row],[OptionGroupIndex'[']]]&amp;","&amp;표1[[#This Row],[OptionGroupIndex'[']2]]</f>
        <v>8211,8212</v>
      </c>
    </row>
    <row r="100" spans="2:12" x14ac:dyDescent="0.3">
      <c r="B100" s="66">
        <v>8</v>
      </c>
      <c r="C100" s="53">
        <v>2</v>
      </c>
      <c r="D100" s="53" t="s">
        <v>5399</v>
      </c>
      <c r="E100" s="53" t="s">
        <v>5397</v>
      </c>
      <c r="F100" s="63" t="str">
        <f>VLOOKUP($I100&amp;"_"&amp;$E100,옵션그룹계산1!$AA$4:$AB$219,2,FALSE)</f>
        <v>8221</v>
      </c>
      <c r="G100" s="53" t="s">
        <v>5407</v>
      </c>
      <c r="H100" s="63" t="str">
        <f>VLOOKUP($I100&amp;"_"&amp;$G100,옵션그룹계산1!$AA$4:$AB$219,2,FALSE)</f>
        <v>8222</v>
      </c>
      <c r="I100" s="63" t="str">
        <f t="shared" si="3"/>
        <v>T8_2옵션_보조장비</v>
      </c>
      <c r="J100" s="101" t="str">
        <f>표1[[#This Row],[1차검색]]</f>
        <v>8221</v>
      </c>
      <c r="K100" s="101" t="str">
        <f>표1[[#This Row],[3차검색]]</f>
        <v>8222</v>
      </c>
      <c r="L100" s="101" t="str">
        <f>표1[[#This Row],[OptionGroupIndex'[']]]&amp;","&amp;표1[[#This Row],[OptionGroupIndex'[']2]]</f>
        <v>8221,8222</v>
      </c>
    </row>
    <row r="101" spans="2:12" x14ac:dyDescent="0.3">
      <c r="B101" s="66">
        <v>8</v>
      </c>
      <c r="C101" s="53">
        <v>2</v>
      </c>
      <c r="D101" s="53" t="s">
        <v>5398</v>
      </c>
      <c r="E101" s="53" t="s">
        <v>5397</v>
      </c>
      <c r="F101" s="63" t="str">
        <f>VLOOKUP($I101&amp;"_"&amp;$E101,옵션그룹계산1!$AA$4:$AB$219,2,FALSE)</f>
        <v>8231</v>
      </c>
      <c r="G101" s="53" t="s">
        <v>5407</v>
      </c>
      <c r="H101" s="63" t="str">
        <f>VLOOKUP($I101&amp;"_"&amp;$G101,옵션그룹계산1!$AA$4:$AB$219,2,FALSE)</f>
        <v>8232</v>
      </c>
      <c r="I101" s="63" t="str">
        <f t="shared" si="3"/>
        <v>T8_2옵션_장신구</v>
      </c>
      <c r="J101" s="101" t="str">
        <f>표1[[#This Row],[1차검색]]</f>
        <v>8231</v>
      </c>
      <c r="K101" s="101" t="str">
        <f>표1[[#This Row],[3차검색]]</f>
        <v>8232</v>
      </c>
      <c r="L101" s="101" t="str">
        <f>표1[[#This Row],[OptionGroupIndex'[']]]&amp;","&amp;표1[[#This Row],[OptionGroupIndex'[']2]]</f>
        <v>8231,8232</v>
      </c>
    </row>
    <row r="102" spans="2:12" x14ac:dyDescent="0.3">
      <c r="B102" s="66">
        <v>8</v>
      </c>
      <c r="C102" s="53">
        <v>2</v>
      </c>
      <c r="D102" s="53" t="s">
        <v>5396</v>
      </c>
      <c r="E102" s="53" t="s">
        <v>5397</v>
      </c>
      <c r="F102" s="63" t="str">
        <f>VLOOKUP($I102&amp;"_"&amp;$E102,옵션그룹계산1!$AA$4:$AB$219,2,FALSE)</f>
        <v>8241</v>
      </c>
      <c r="G102" s="53" t="s">
        <v>5407</v>
      </c>
      <c r="H102" s="63" t="str">
        <f>VLOOKUP($I102&amp;"_"&amp;$G102,옵션그룹계산1!$AA$4:$AB$219,2,FALSE)</f>
        <v>8242</v>
      </c>
      <c r="I102" s="63" t="str">
        <f t="shared" si="3"/>
        <v>T8_2옵션_보주</v>
      </c>
      <c r="J102" s="101" t="str">
        <f>표1[[#This Row],[1차검색]]</f>
        <v>8241</v>
      </c>
      <c r="K102" s="101" t="str">
        <f>표1[[#This Row],[3차검색]]</f>
        <v>8242</v>
      </c>
      <c r="L102" s="101" t="str">
        <f>표1[[#This Row],[OptionGroupIndex'[']]]&amp;","&amp;표1[[#This Row],[OptionGroupIndex'[']2]]</f>
        <v>8241,8242</v>
      </c>
    </row>
    <row r="103" spans="2:12" x14ac:dyDescent="0.3">
      <c r="B103" s="66">
        <v>8</v>
      </c>
      <c r="C103" s="53">
        <v>3</v>
      </c>
      <c r="D103" s="53" t="s">
        <v>5400</v>
      </c>
      <c r="E103" s="53" t="s">
        <v>5397</v>
      </c>
      <c r="F103" s="63" t="str">
        <f>VLOOKUP($I103&amp;"_"&amp;$E103,옵션그룹계산1!$AA$4:$AB$219,2,FALSE)</f>
        <v>8311</v>
      </c>
      <c r="G103" s="53" t="s">
        <v>5407</v>
      </c>
      <c r="H103" s="63" t="str">
        <f>VLOOKUP($I103&amp;"_"&amp;$G103,옵션그룹계산1!$AA$4:$AB$219,2,FALSE)</f>
        <v>8312</v>
      </c>
      <c r="I103" s="63" t="str">
        <f t="shared" si="3"/>
        <v>T8_3옵션_방어구</v>
      </c>
      <c r="J103" s="101" t="str">
        <f>표1[[#This Row],[1차검색]]</f>
        <v>8311</v>
      </c>
      <c r="K103" s="101" t="str">
        <f>표1[[#This Row],[3차검색]]</f>
        <v>8312</v>
      </c>
      <c r="L103" s="101" t="str">
        <f>표1[[#This Row],[OptionGroupIndex'[']]]&amp;","&amp;표1[[#This Row],[OptionGroupIndex'[']2]]</f>
        <v>8311,8312</v>
      </c>
    </row>
    <row r="104" spans="2:12" x14ac:dyDescent="0.3">
      <c r="B104" s="66">
        <v>8</v>
      </c>
      <c r="C104" s="53">
        <v>3</v>
      </c>
      <c r="D104" s="53" t="s">
        <v>5399</v>
      </c>
      <c r="E104" s="53" t="s">
        <v>5397</v>
      </c>
      <c r="F104" s="63" t="str">
        <f>VLOOKUP($I104&amp;"_"&amp;$E104,옵션그룹계산1!$AA$4:$AB$219,2,FALSE)</f>
        <v>8321</v>
      </c>
      <c r="G104" s="53" t="s">
        <v>5407</v>
      </c>
      <c r="H104" s="63" t="str">
        <f>VLOOKUP($I104&amp;"_"&amp;$G104,옵션그룹계산1!$AA$4:$AB$219,2,FALSE)</f>
        <v>8322</v>
      </c>
      <c r="I104" s="63" t="str">
        <f t="shared" si="3"/>
        <v>T8_3옵션_보조장비</v>
      </c>
      <c r="J104" s="101" t="str">
        <f>표1[[#This Row],[1차검색]]</f>
        <v>8321</v>
      </c>
      <c r="K104" s="101" t="str">
        <f>표1[[#This Row],[3차검색]]</f>
        <v>8322</v>
      </c>
      <c r="L104" s="101" t="str">
        <f>표1[[#This Row],[OptionGroupIndex'[']]]&amp;","&amp;표1[[#This Row],[OptionGroupIndex'[']2]]</f>
        <v>8321,8322</v>
      </c>
    </row>
    <row r="105" spans="2:12" x14ac:dyDescent="0.3">
      <c r="B105" s="66">
        <v>8</v>
      </c>
      <c r="C105" s="53">
        <v>3</v>
      </c>
      <c r="D105" s="53" t="s">
        <v>5398</v>
      </c>
      <c r="E105" s="53" t="s">
        <v>5397</v>
      </c>
      <c r="F105" s="63" t="str">
        <f>VLOOKUP($I105&amp;"_"&amp;$E105,옵션그룹계산1!$AA$4:$AB$219,2,FALSE)</f>
        <v>8331</v>
      </c>
      <c r="G105" s="53" t="s">
        <v>5407</v>
      </c>
      <c r="H105" s="63" t="str">
        <f>VLOOKUP($I105&amp;"_"&amp;$G105,옵션그룹계산1!$AA$4:$AB$219,2,FALSE)</f>
        <v>8332</v>
      </c>
      <c r="I105" s="63" t="str">
        <f t="shared" si="3"/>
        <v>T8_3옵션_장신구</v>
      </c>
      <c r="J105" s="101" t="str">
        <f>표1[[#This Row],[1차검색]]</f>
        <v>8331</v>
      </c>
      <c r="K105" s="101" t="str">
        <f>표1[[#This Row],[3차검색]]</f>
        <v>8332</v>
      </c>
      <c r="L105" s="101" t="str">
        <f>표1[[#This Row],[OptionGroupIndex'[']]]&amp;","&amp;표1[[#This Row],[OptionGroupIndex'[']2]]</f>
        <v>8331,8332</v>
      </c>
    </row>
    <row r="106" spans="2:12" x14ac:dyDescent="0.3">
      <c r="B106" s="66">
        <v>8</v>
      </c>
      <c r="C106" s="53">
        <v>3</v>
      </c>
      <c r="D106" s="53" t="s">
        <v>5396</v>
      </c>
      <c r="E106" s="53" t="s">
        <v>5397</v>
      </c>
      <c r="F106" s="63" t="str">
        <f>VLOOKUP($I106&amp;"_"&amp;$E106,옵션그룹계산1!$AA$4:$AB$219,2,FALSE)</f>
        <v>8341</v>
      </c>
      <c r="G106" s="53" t="s">
        <v>5407</v>
      </c>
      <c r="H106" s="63" t="str">
        <f>VLOOKUP($I106&amp;"_"&amp;$G106,옵션그룹계산1!$AA$4:$AB$219,2,FALSE)</f>
        <v>8342</v>
      </c>
      <c r="I106" s="63" t="str">
        <f t="shared" si="3"/>
        <v>T8_3옵션_보주</v>
      </c>
      <c r="J106" s="101" t="str">
        <f>표1[[#This Row],[1차검색]]</f>
        <v>8341</v>
      </c>
      <c r="K106" s="101" t="str">
        <f>표1[[#This Row],[3차검색]]</f>
        <v>8342</v>
      </c>
      <c r="L106" s="101" t="str">
        <f>표1[[#This Row],[OptionGroupIndex'[']]]&amp;","&amp;표1[[#This Row],[OptionGroupIndex'[']2]]</f>
        <v>8341,8342</v>
      </c>
    </row>
    <row r="107" spans="2:12" x14ac:dyDescent="0.3">
      <c r="B107" s="98">
        <v>8</v>
      </c>
      <c r="C107" s="99">
        <v>4</v>
      </c>
      <c r="D107" s="99" t="s">
        <v>5400</v>
      </c>
      <c r="E107" s="99" t="s">
        <v>5397</v>
      </c>
      <c r="F107" s="100" t="str">
        <f>VLOOKUP($I107&amp;"_"&amp;$E107,옵션그룹계산1!$AA$4:$AB$219,2,FALSE)</f>
        <v>8411</v>
      </c>
      <c r="G107" s="53" t="s">
        <v>5407</v>
      </c>
      <c r="H107" s="100" t="str">
        <f>VLOOKUP($I107&amp;"_"&amp;$G107,옵션그룹계산1!$AA$4:$AB$219,2,FALSE)</f>
        <v>8412</v>
      </c>
      <c r="I107" s="100" t="str">
        <f t="shared" si="3"/>
        <v>T8_4옵션_방어구</v>
      </c>
      <c r="J107" s="101" t="str">
        <f>표1[[#This Row],[1차검색]]</f>
        <v>8411</v>
      </c>
      <c r="K107" s="101" t="str">
        <f>표1[[#This Row],[3차검색]]</f>
        <v>8412</v>
      </c>
      <c r="L107" s="101" t="str">
        <f>표1[[#This Row],[OptionGroupIndex'[']]]&amp;","&amp;표1[[#This Row],[OptionGroupIndex'[']2]]</f>
        <v>8411,8412</v>
      </c>
    </row>
    <row r="108" spans="2:12" x14ac:dyDescent="0.3">
      <c r="B108" s="98">
        <v>8</v>
      </c>
      <c r="C108" s="99">
        <v>4</v>
      </c>
      <c r="D108" s="99" t="s">
        <v>5399</v>
      </c>
      <c r="E108" s="99" t="s">
        <v>5397</v>
      </c>
      <c r="F108" s="100" t="str">
        <f>VLOOKUP($I108&amp;"_"&amp;$E108,옵션그룹계산1!$AA$4:$AB$219,2,FALSE)</f>
        <v>8421</v>
      </c>
      <c r="G108" s="53" t="s">
        <v>5407</v>
      </c>
      <c r="H108" s="100" t="str">
        <f>VLOOKUP($I108&amp;"_"&amp;$G108,옵션그룹계산1!$AA$4:$AB$219,2,FALSE)</f>
        <v>8422</v>
      </c>
      <c r="I108" s="100" t="str">
        <f t="shared" si="3"/>
        <v>T8_4옵션_보조장비</v>
      </c>
      <c r="J108" s="101" t="str">
        <f>표1[[#This Row],[1차검색]]</f>
        <v>8421</v>
      </c>
      <c r="K108" s="101" t="str">
        <f>표1[[#This Row],[3차검색]]</f>
        <v>8422</v>
      </c>
      <c r="L108" s="101" t="str">
        <f>표1[[#This Row],[OptionGroupIndex'[']]]&amp;","&amp;표1[[#This Row],[OptionGroupIndex'[']2]]</f>
        <v>8421,8422</v>
      </c>
    </row>
    <row r="109" spans="2:12" x14ac:dyDescent="0.3">
      <c r="B109" s="98">
        <v>8</v>
      </c>
      <c r="C109" s="99">
        <v>4</v>
      </c>
      <c r="D109" s="99" t="s">
        <v>5398</v>
      </c>
      <c r="E109" s="99" t="s">
        <v>5397</v>
      </c>
      <c r="F109" s="100" t="str">
        <f>VLOOKUP($I109&amp;"_"&amp;$E109,옵션그룹계산1!$AA$4:$AB$219,2,FALSE)</f>
        <v>8431</v>
      </c>
      <c r="G109" s="53" t="s">
        <v>5407</v>
      </c>
      <c r="H109" s="100" t="str">
        <f>VLOOKUP($I109&amp;"_"&amp;$G109,옵션그룹계산1!$AA$4:$AB$219,2,FALSE)</f>
        <v>8432</v>
      </c>
      <c r="I109" s="100" t="str">
        <f t="shared" si="3"/>
        <v>T8_4옵션_장신구</v>
      </c>
      <c r="J109" s="101" t="str">
        <f>표1[[#This Row],[1차검색]]</f>
        <v>8431</v>
      </c>
      <c r="K109" s="101" t="str">
        <f>표1[[#This Row],[3차검색]]</f>
        <v>8432</v>
      </c>
      <c r="L109" s="101" t="str">
        <f>표1[[#This Row],[OptionGroupIndex'[']]]&amp;","&amp;표1[[#This Row],[OptionGroupIndex'[']2]]</f>
        <v>8431,8432</v>
      </c>
    </row>
    <row r="110" spans="2:12" x14ac:dyDescent="0.3">
      <c r="B110" s="98">
        <v>8</v>
      </c>
      <c r="C110" s="99">
        <v>4</v>
      </c>
      <c r="D110" s="99" t="s">
        <v>5396</v>
      </c>
      <c r="E110" s="99" t="s">
        <v>5397</v>
      </c>
      <c r="F110" s="100" t="str">
        <f>VLOOKUP($I110&amp;"_"&amp;$E110,옵션그룹계산1!$AA$4:$AB$219,2,FALSE)</f>
        <v>8441</v>
      </c>
      <c r="G110" s="53" t="s">
        <v>5407</v>
      </c>
      <c r="H110" s="100" t="str">
        <f>VLOOKUP($I110&amp;"_"&amp;$G110,옵션그룹계산1!$AA$4:$AB$219,2,FALSE)</f>
        <v>8442</v>
      </c>
      <c r="I110" s="100" t="str">
        <f t="shared" si="3"/>
        <v>T8_4옵션_보주</v>
      </c>
      <c r="J110" s="101" t="str">
        <f>표1[[#This Row],[1차검색]]</f>
        <v>8441</v>
      </c>
      <c r="K110" s="101" t="str">
        <f>표1[[#This Row],[3차검색]]</f>
        <v>8442</v>
      </c>
      <c r="L110" s="101" t="str">
        <f>표1[[#This Row],[OptionGroupIndex'[']]]&amp;","&amp;표1[[#This Row],[OptionGroupIndex'[']2]]</f>
        <v>8441,8442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4175F-B6A8-41E4-8FA7-9AFDB1DD9EE4}">
  <dimension ref="B1:V99"/>
  <sheetViews>
    <sheetView showGridLines="0" topLeftCell="D70" workbookViewId="0">
      <selection activeCell="J99" sqref="J99"/>
    </sheetView>
  </sheetViews>
  <sheetFormatPr defaultColWidth="9" defaultRowHeight="16.5" x14ac:dyDescent="0.3"/>
  <cols>
    <col min="1" max="1" width="1.5" style="47" customWidth="1"/>
    <col min="2" max="2" width="2.75" style="47" customWidth="1"/>
    <col min="3" max="3" width="11" style="47" bestFit="1" customWidth="1"/>
    <col min="4" max="4" width="9" style="62" customWidth="1"/>
    <col min="5" max="5" width="12.875" style="47" bestFit="1" customWidth="1"/>
    <col min="6" max="6" width="9" style="62"/>
    <col min="7" max="7" width="9" style="47"/>
    <col min="8" max="8" width="21.5" style="47" bestFit="1" customWidth="1"/>
    <col min="9" max="9" width="9" style="47"/>
    <col min="10" max="10" width="14.25" style="47" bestFit="1" customWidth="1"/>
    <col min="11" max="11" width="9" style="47"/>
    <col min="12" max="12" width="15" style="47" bestFit="1" customWidth="1"/>
    <col min="13" max="14" width="9" style="47"/>
    <col min="15" max="15" width="11" style="47" bestFit="1" customWidth="1"/>
    <col min="16" max="17" width="11" style="47" customWidth="1"/>
    <col min="18" max="20" width="11" style="47" bestFit="1" customWidth="1"/>
    <col min="21" max="16384" width="9" style="47"/>
  </cols>
  <sheetData>
    <row r="1" spans="2:22" ht="9" customHeight="1" x14ac:dyDescent="0.3"/>
    <row r="2" spans="2:22" x14ac:dyDescent="0.3">
      <c r="B2" s="47" t="s">
        <v>5505</v>
      </c>
    </row>
    <row r="3" spans="2:22" x14ac:dyDescent="0.3">
      <c r="C3" s="54" t="s">
        <v>5504</v>
      </c>
      <c r="D3" s="54" t="s">
        <v>5437</v>
      </c>
      <c r="E3" s="54" t="s">
        <v>5503</v>
      </c>
      <c r="F3" s="54" t="s">
        <v>5502</v>
      </c>
      <c r="G3" s="54" t="s">
        <v>5494</v>
      </c>
      <c r="H3" s="54" t="s">
        <v>5501</v>
      </c>
      <c r="J3" s="54" t="s">
        <v>5420</v>
      </c>
      <c r="K3" s="54" t="s">
        <v>5436</v>
      </c>
      <c r="L3" s="65" t="s">
        <v>5500</v>
      </c>
      <c r="M3" s="54" t="s">
        <v>5433</v>
      </c>
      <c r="N3" s="54" t="s">
        <v>5432</v>
      </c>
      <c r="O3" s="54" t="s">
        <v>5431</v>
      </c>
      <c r="P3" s="54" t="s">
        <v>5430</v>
      </c>
      <c r="Q3" s="104" t="s">
        <v>5535</v>
      </c>
      <c r="R3" s="104" t="s">
        <v>5536</v>
      </c>
    </row>
    <row r="4" spans="2:22" x14ac:dyDescent="0.3">
      <c r="C4" s="56" t="s">
        <v>5497</v>
      </c>
      <c r="D4" s="53">
        <v>1</v>
      </c>
      <c r="E4" s="49" t="str">
        <f t="shared" ref="E4:E35" si="0">C4&amp;"_"&amp;D4</f>
        <v>공격력_1</v>
      </c>
      <c r="F4" s="53">
        <v>101</v>
      </c>
      <c r="G4" s="53">
        <v>10</v>
      </c>
      <c r="H4" s="56" t="s">
        <v>5498</v>
      </c>
      <c r="J4" s="56" t="s">
        <v>5418</v>
      </c>
      <c r="K4" s="53" t="s">
        <v>5407</v>
      </c>
      <c r="L4" s="49" t="str">
        <f t="shared" ref="L4:L11" si="1">J4&amp;"_"&amp;K4</f>
        <v>방어구_탱커</v>
      </c>
      <c r="M4" s="56" t="s">
        <v>5477</v>
      </c>
      <c r="N4" s="56" t="s">
        <v>5479</v>
      </c>
      <c r="O4" s="56" t="s">
        <v>5487</v>
      </c>
      <c r="P4" s="63" t="s">
        <v>5491</v>
      </c>
      <c r="Q4" s="106" t="s">
        <v>5532</v>
      </c>
      <c r="R4" s="106" t="s">
        <v>5533</v>
      </c>
    </row>
    <row r="5" spans="2:22" x14ac:dyDescent="0.3">
      <c r="C5" s="56" t="s">
        <v>5497</v>
      </c>
      <c r="D5" s="53">
        <v>2</v>
      </c>
      <c r="E5" s="49" t="str">
        <f t="shared" si="0"/>
        <v>공격력_2</v>
      </c>
      <c r="F5" s="53">
        <v>102</v>
      </c>
      <c r="G5" s="53">
        <v>20</v>
      </c>
      <c r="H5" s="56" t="s">
        <v>5498</v>
      </c>
      <c r="J5" s="56" t="s">
        <v>5417</v>
      </c>
      <c r="K5" s="53" t="s">
        <v>5407</v>
      </c>
      <c r="L5" s="49" t="str">
        <f t="shared" si="1"/>
        <v>보조장비_탱커</v>
      </c>
      <c r="M5" s="56" t="s">
        <v>5477</v>
      </c>
      <c r="N5" s="56" t="s">
        <v>5499</v>
      </c>
      <c r="O5" s="56" t="s">
        <v>5484</v>
      </c>
      <c r="P5" s="63" t="s">
        <v>5491</v>
      </c>
      <c r="Q5" s="106" t="s">
        <v>5531</v>
      </c>
      <c r="R5" s="106" t="s">
        <v>5534</v>
      </c>
    </row>
    <row r="6" spans="2:22" x14ac:dyDescent="0.3">
      <c r="C6" s="56" t="s">
        <v>5497</v>
      </c>
      <c r="D6" s="53">
        <v>3</v>
      </c>
      <c r="E6" s="49" t="str">
        <f t="shared" si="0"/>
        <v>공격력_3</v>
      </c>
      <c r="F6" s="53">
        <v>103</v>
      </c>
      <c r="G6" s="53">
        <v>30</v>
      </c>
      <c r="H6" s="56" t="s">
        <v>5498</v>
      </c>
      <c r="J6" s="56" t="s">
        <v>5415</v>
      </c>
      <c r="K6" s="53" t="s">
        <v>5407</v>
      </c>
      <c r="L6" s="49" t="str">
        <f t="shared" si="1"/>
        <v>장신구_탱커</v>
      </c>
      <c r="M6" s="56" t="s">
        <v>5491</v>
      </c>
      <c r="N6" s="56" t="s">
        <v>5479</v>
      </c>
      <c r="O6" s="56" t="s">
        <v>5499</v>
      </c>
      <c r="P6" s="63" t="s">
        <v>5458</v>
      </c>
      <c r="Q6" s="106" t="s">
        <v>5531</v>
      </c>
      <c r="R6" s="106" t="s">
        <v>5532</v>
      </c>
    </row>
    <row r="7" spans="2:22" x14ac:dyDescent="0.3">
      <c r="C7" s="56" t="s">
        <v>5497</v>
      </c>
      <c r="D7" s="53">
        <v>4</v>
      </c>
      <c r="E7" s="49" t="str">
        <f t="shared" si="0"/>
        <v>공격력_4</v>
      </c>
      <c r="F7" s="53">
        <v>104</v>
      </c>
      <c r="G7" s="53">
        <v>40</v>
      </c>
      <c r="H7" s="56" t="s">
        <v>5498</v>
      </c>
      <c r="J7" s="56" t="s">
        <v>5413</v>
      </c>
      <c r="K7" s="53" t="s">
        <v>5407</v>
      </c>
      <c r="L7" s="49" t="str">
        <f t="shared" si="1"/>
        <v>보주_탱커</v>
      </c>
      <c r="M7" s="56" t="s">
        <v>5491</v>
      </c>
      <c r="N7" s="56" t="s">
        <v>5479</v>
      </c>
      <c r="O7" s="56" t="s">
        <v>5499</v>
      </c>
      <c r="P7" s="63" t="s">
        <v>5458</v>
      </c>
      <c r="Q7" s="106" t="s">
        <v>5531</v>
      </c>
      <c r="R7" s="106" t="s">
        <v>5532</v>
      </c>
      <c r="V7" s="103"/>
    </row>
    <row r="8" spans="2:22" x14ac:dyDescent="0.3">
      <c r="C8" s="56" t="s">
        <v>5497</v>
      </c>
      <c r="D8" s="53">
        <v>5</v>
      </c>
      <c r="E8" s="49" t="str">
        <f t="shared" si="0"/>
        <v>공격력_5</v>
      </c>
      <c r="F8" s="53">
        <v>105</v>
      </c>
      <c r="G8" s="53">
        <v>50</v>
      </c>
      <c r="H8" s="56" t="s">
        <v>5498</v>
      </c>
      <c r="J8" s="56" t="s">
        <v>5418</v>
      </c>
      <c r="K8" s="53" t="s">
        <v>5408</v>
      </c>
      <c r="L8" s="49" t="str">
        <f t="shared" si="1"/>
        <v>방어구_딜러</v>
      </c>
      <c r="M8" s="56" t="s">
        <v>5497</v>
      </c>
      <c r="N8" s="56" t="s">
        <v>5477</v>
      </c>
      <c r="O8" s="56" t="s">
        <v>5496</v>
      </c>
      <c r="P8" s="63" t="s">
        <v>5495</v>
      </c>
      <c r="Q8" s="106" t="s">
        <v>5530</v>
      </c>
      <c r="R8" s="106" t="s">
        <v>5537</v>
      </c>
      <c r="V8" s="103"/>
    </row>
    <row r="9" spans="2:22" x14ac:dyDescent="0.3">
      <c r="C9" s="56" t="s">
        <v>5497</v>
      </c>
      <c r="D9" s="53">
        <v>6</v>
      </c>
      <c r="E9" s="49" t="str">
        <f t="shared" si="0"/>
        <v>공격력_6</v>
      </c>
      <c r="F9" s="53">
        <v>105</v>
      </c>
      <c r="G9" s="53">
        <v>50</v>
      </c>
      <c r="H9" s="56" t="s">
        <v>5498</v>
      </c>
      <c r="J9" s="56" t="s">
        <v>5417</v>
      </c>
      <c r="K9" s="53" t="s">
        <v>5408</v>
      </c>
      <c r="L9" s="49" t="str">
        <f t="shared" si="1"/>
        <v>보조장비_딜러</v>
      </c>
      <c r="M9" s="56" t="s">
        <v>5497</v>
      </c>
      <c r="N9" s="56" t="s">
        <v>5477</v>
      </c>
      <c r="O9" s="56" t="s">
        <v>5496</v>
      </c>
      <c r="P9" s="63" t="s">
        <v>5495</v>
      </c>
      <c r="Q9" s="106" t="s">
        <v>5530</v>
      </c>
      <c r="R9" s="106" t="s">
        <v>5537</v>
      </c>
    </row>
    <row r="10" spans="2:22" x14ac:dyDescent="0.3">
      <c r="C10" s="56" t="s">
        <v>5497</v>
      </c>
      <c r="D10" s="53">
        <v>7</v>
      </c>
      <c r="E10" s="49" t="str">
        <f t="shared" si="0"/>
        <v>공격력_7</v>
      </c>
      <c r="F10" s="53">
        <v>106</v>
      </c>
      <c r="G10" s="53">
        <v>60</v>
      </c>
      <c r="H10" s="56" t="s">
        <v>5498</v>
      </c>
      <c r="J10" s="56" t="s">
        <v>5415</v>
      </c>
      <c r="K10" s="53" t="s">
        <v>5408</v>
      </c>
      <c r="L10" s="49" t="str">
        <f t="shared" si="1"/>
        <v>장신구_딜러</v>
      </c>
      <c r="M10" s="56" t="s">
        <v>5497</v>
      </c>
      <c r="N10" s="56" t="s">
        <v>5477</v>
      </c>
      <c r="O10" s="56" t="s">
        <v>5496</v>
      </c>
      <c r="P10" s="63" t="s">
        <v>5495</v>
      </c>
      <c r="Q10" s="106" t="s">
        <v>5530</v>
      </c>
      <c r="R10" s="106" t="s">
        <v>5537</v>
      </c>
    </row>
    <row r="11" spans="2:22" x14ac:dyDescent="0.3">
      <c r="C11" s="56" t="s">
        <v>5497</v>
      </c>
      <c r="D11" s="53">
        <v>8</v>
      </c>
      <c r="E11" s="49" t="str">
        <f t="shared" si="0"/>
        <v>공격력_8</v>
      </c>
      <c r="F11" s="53">
        <v>107</v>
      </c>
      <c r="G11" s="53">
        <v>70</v>
      </c>
      <c r="H11" s="56" t="s">
        <v>5498</v>
      </c>
      <c r="J11" s="56" t="s">
        <v>5413</v>
      </c>
      <c r="K11" s="53" t="s">
        <v>5408</v>
      </c>
      <c r="L11" s="49" t="str">
        <f t="shared" si="1"/>
        <v>보주_딜러</v>
      </c>
      <c r="M11" s="56" t="s">
        <v>5497</v>
      </c>
      <c r="N11" s="56" t="s">
        <v>5477</v>
      </c>
      <c r="O11" s="56" t="s">
        <v>5496</v>
      </c>
      <c r="P11" s="63" t="s">
        <v>5495</v>
      </c>
      <c r="Q11" s="106" t="s">
        <v>5530</v>
      </c>
      <c r="R11" s="106" t="s">
        <v>5537</v>
      </c>
    </row>
    <row r="12" spans="2:22" x14ac:dyDescent="0.3">
      <c r="C12" s="56" t="s">
        <v>5491</v>
      </c>
      <c r="D12" s="53">
        <v>1</v>
      </c>
      <c r="E12" s="49" t="str">
        <f t="shared" si="0"/>
        <v>체력_1</v>
      </c>
      <c r="F12" s="53">
        <v>201</v>
      </c>
      <c r="G12" s="50">
        <f t="shared" ref="G12:G43" si="2">G4</f>
        <v>10</v>
      </c>
      <c r="H12" s="56" t="s">
        <v>5490</v>
      </c>
    </row>
    <row r="13" spans="2:22" x14ac:dyDescent="0.3">
      <c r="C13" s="56" t="s">
        <v>5491</v>
      </c>
      <c r="D13" s="53">
        <v>2</v>
      </c>
      <c r="E13" s="49" t="str">
        <f t="shared" si="0"/>
        <v>체력_2</v>
      </c>
      <c r="F13" s="53">
        <v>202</v>
      </c>
      <c r="G13" s="50">
        <f t="shared" si="2"/>
        <v>20</v>
      </c>
      <c r="H13" s="56" t="s">
        <v>5490</v>
      </c>
      <c r="J13" s="54" t="s">
        <v>5437</v>
      </c>
      <c r="K13" s="54" t="s">
        <v>5494</v>
      </c>
      <c r="L13" s="54" t="s">
        <v>5493</v>
      </c>
      <c r="N13" s="54" t="s">
        <v>5492</v>
      </c>
      <c r="O13" s="54" t="s">
        <v>5406</v>
      </c>
    </row>
    <row r="14" spans="2:22" x14ac:dyDescent="0.3">
      <c r="B14" s="62"/>
      <c r="C14" s="56" t="s">
        <v>5491</v>
      </c>
      <c r="D14" s="53">
        <v>3</v>
      </c>
      <c r="E14" s="49" t="str">
        <f t="shared" si="0"/>
        <v>체력_3</v>
      </c>
      <c r="F14" s="53">
        <v>203</v>
      </c>
      <c r="G14" s="50">
        <f t="shared" si="2"/>
        <v>30</v>
      </c>
      <c r="H14" s="56" t="s">
        <v>5490</v>
      </c>
      <c r="J14" s="53">
        <v>1</v>
      </c>
      <c r="K14" s="53">
        <v>10</v>
      </c>
      <c r="L14" s="53">
        <v>60</v>
      </c>
      <c r="N14" s="53">
        <v>1</v>
      </c>
      <c r="O14" s="53">
        <v>0</v>
      </c>
    </row>
    <row r="15" spans="2:22" x14ac:dyDescent="0.3">
      <c r="C15" s="56" t="s">
        <v>5491</v>
      </c>
      <c r="D15" s="53">
        <v>4</v>
      </c>
      <c r="E15" s="49" t="str">
        <f t="shared" si="0"/>
        <v>체력_4</v>
      </c>
      <c r="F15" s="53">
        <v>204</v>
      </c>
      <c r="G15" s="50">
        <f t="shared" si="2"/>
        <v>40</v>
      </c>
      <c r="H15" s="56" t="s">
        <v>5490</v>
      </c>
      <c r="J15" s="53">
        <v>2</v>
      </c>
      <c r="K15" s="53">
        <v>20</v>
      </c>
      <c r="L15" s="53">
        <v>70</v>
      </c>
      <c r="N15" s="53">
        <v>2</v>
      </c>
      <c r="O15" s="53">
        <v>1</v>
      </c>
    </row>
    <row r="16" spans="2:22" x14ac:dyDescent="0.3">
      <c r="C16" s="56" t="s">
        <v>5491</v>
      </c>
      <c r="D16" s="53">
        <v>5</v>
      </c>
      <c r="E16" s="49" t="str">
        <f t="shared" si="0"/>
        <v>체력_5</v>
      </c>
      <c r="F16" s="53">
        <v>205</v>
      </c>
      <c r="G16" s="50">
        <f t="shared" si="2"/>
        <v>50</v>
      </c>
      <c r="H16" s="56" t="s">
        <v>5490</v>
      </c>
      <c r="J16" s="53">
        <v>3</v>
      </c>
      <c r="K16" s="53">
        <v>30</v>
      </c>
      <c r="L16" s="53">
        <v>80</v>
      </c>
      <c r="N16" s="53">
        <v>3</v>
      </c>
      <c r="O16" s="53">
        <v>2</v>
      </c>
    </row>
    <row r="17" spans="3:15" x14ac:dyDescent="0.3">
      <c r="C17" s="56" t="s">
        <v>5491</v>
      </c>
      <c r="D17" s="53">
        <v>6</v>
      </c>
      <c r="E17" s="49" t="str">
        <f t="shared" si="0"/>
        <v>체력_6</v>
      </c>
      <c r="F17" s="53">
        <v>205</v>
      </c>
      <c r="G17" s="50">
        <f t="shared" si="2"/>
        <v>50</v>
      </c>
      <c r="H17" s="56" t="s">
        <v>5490</v>
      </c>
      <c r="J17" s="53">
        <v>4</v>
      </c>
      <c r="K17" s="53">
        <v>40</v>
      </c>
      <c r="L17" s="53">
        <v>90</v>
      </c>
      <c r="N17" s="53">
        <v>4</v>
      </c>
      <c r="O17" s="53">
        <v>3</v>
      </c>
    </row>
    <row r="18" spans="3:15" x14ac:dyDescent="0.3">
      <c r="C18" s="56" t="s">
        <v>5491</v>
      </c>
      <c r="D18" s="53">
        <v>7</v>
      </c>
      <c r="E18" s="49" t="str">
        <f t="shared" si="0"/>
        <v>체력_7</v>
      </c>
      <c r="F18" s="53">
        <v>206</v>
      </c>
      <c r="G18" s="50">
        <f t="shared" si="2"/>
        <v>60</v>
      </c>
      <c r="H18" s="56" t="s">
        <v>5490</v>
      </c>
      <c r="J18" s="53">
        <v>5</v>
      </c>
      <c r="K18" s="53">
        <v>50</v>
      </c>
      <c r="L18" s="53">
        <v>100</v>
      </c>
      <c r="N18" s="53">
        <v>5</v>
      </c>
      <c r="O18" s="53">
        <v>3</v>
      </c>
    </row>
    <row r="19" spans="3:15" x14ac:dyDescent="0.3">
      <c r="C19" s="56" t="s">
        <v>5491</v>
      </c>
      <c r="D19" s="53">
        <v>8</v>
      </c>
      <c r="E19" s="49" t="str">
        <f t="shared" si="0"/>
        <v>체력_8</v>
      </c>
      <c r="F19" s="53">
        <v>207</v>
      </c>
      <c r="G19" s="50">
        <f t="shared" si="2"/>
        <v>70</v>
      </c>
      <c r="H19" s="56" t="s">
        <v>5490</v>
      </c>
      <c r="J19" s="53">
        <v>6</v>
      </c>
      <c r="K19" s="53">
        <v>50</v>
      </c>
      <c r="L19" s="53">
        <v>100</v>
      </c>
      <c r="N19" s="53">
        <v>6</v>
      </c>
      <c r="O19" s="53">
        <v>4</v>
      </c>
    </row>
    <row r="20" spans="3:15" x14ac:dyDescent="0.3">
      <c r="C20" s="56" t="s">
        <v>5487</v>
      </c>
      <c r="D20" s="53">
        <v>1</v>
      </c>
      <c r="E20" s="49" t="str">
        <f t="shared" si="0"/>
        <v>물리방어력_1</v>
      </c>
      <c r="F20" s="53">
        <v>301</v>
      </c>
      <c r="G20" s="50">
        <f t="shared" si="2"/>
        <v>10</v>
      </c>
      <c r="H20" s="56" t="s">
        <v>5486</v>
      </c>
      <c r="J20" s="53">
        <v>7</v>
      </c>
      <c r="K20" s="53">
        <v>60</v>
      </c>
      <c r="L20" s="53">
        <v>110</v>
      </c>
    </row>
    <row r="21" spans="3:15" x14ac:dyDescent="0.3">
      <c r="C21" s="56" t="s">
        <v>5487</v>
      </c>
      <c r="D21" s="53">
        <v>2</v>
      </c>
      <c r="E21" s="49" t="str">
        <f t="shared" si="0"/>
        <v>물리방어력_2</v>
      </c>
      <c r="F21" s="53">
        <v>302</v>
      </c>
      <c r="G21" s="50">
        <f t="shared" si="2"/>
        <v>20</v>
      </c>
      <c r="H21" s="56" t="s">
        <v>5486</v>
      </c>
      <c r="J21" s="53">
        <v>8</v>
      </c>
      <c r="K21" s="53">
        <v>70</v>
      </c>
      <c r="L21" s="53">
        <v>120</v>
      </c>
    </row>
    <row r="22" spans="3:15" x14ac:dyDescent="0.3">
      <c r="C22" s="56" t="s">
        <v>5487</v>
      </c>
      <c r="D22" s="53">
        <v>3</v>
      </c>
      <c r="E22" s="49" t="str">
        <f t="shared" si="0"/>
        <v>물리방어력_3</v>
      </c>
      <c r="F22" s="53">
        <v>303</v>
      </c>
      <c r="G22" s="50">
        <f t="shared" si="2"/>
        <v>30</v>
      </c>
      <c r="H22" s="56" t="s">
        <v>5486</v>
      </c>
    </row>
    <row r="23" spans="3:15" x14ac:dyDescent="0.3">
      <c r="C23" s="56" t="s">
        <v>5487</v>
      </c>
      <c r="D23" s="53">
        <v>4</v>
      </c>
      <c r="E23" s="49" t="str">
        <f t="shared" si="0"/>
        <v>물리방어력_4</v>
      </c>
      <c r="F23" s="53">
        <v>304</v>
      </c>
      <c r="G23" s="50">
        <f t="shared" si="2"/>
        <v>40</v>
      </c>
      <c r="H23" s="56" t="s">
        <v>5486</v>
      </c>
    </row>
    <row r="24" spans="3:15" x14ac:dyDescent="0.3">
      <c r="C24" s="56" t="s">
        <v>5487</v>
      </c>
      <c r="D24" s="53">
        <v>5</v>
      </c>
      <c r="E24" s="49" t="str">
        <f t="shared" si="0"/>
        <v>물리방어력_5</v>
      </c>
      <c r="F24" s="53">
        <v>305</v>
      </c>
      <c r="G24" s="50">
        <f t="shared" si="2"/>
        <v>50</v>
      </c>
      <c r="H24" s="56" t="s">
        <v>5486</v>
      </c>
      <c r="J24" s="54" t="s">
        <v>5489</v>
      </c>
      <c r="K24" s="54" t="s">
        <v>5488</v>
      </c>
    </row>
    <row r="25" spans="3:15" x14ac:dyDescent="0.3">
      <c r="C25" s="56" t="s">
        <v>5487</v>
      </c>
      <c r="D25" s="53">
        <v>6</v>
      </c>
      <c r="E25" s="49" t="str">
        <f t="shared" si="0"/>
        <v>물리방어력_6</v>
      </c>
      <c r="F25" s="53">
        <v>305</v>
      </c>
      <c r="G25" s="50">
        <f t="shared" si="2"/>
        <v>50</v>
      </c>
      <c r="H25" s="56" t="s">
        <v>5486</v>
      </c>
      <c r="J25" s="56" t="s">
        <v>0</v>
      </c>
      <c r="K25" s="56" t="s">
        <v>5415</v>
      </c>
    </row>
    <row r="26" spans="3:15" x14ac:dyDescent="0.3">
      <c r="C26" s="56" t="s">
        <v>5487</v>
      </c>
      <c r="D26" s="53">
        <v>7</v>
      </c>
      <c r="E26" s="49" t="str">
        <f t="shared" si="0"/>
        <v>물리방어력_7</v>
      </c>
      <c r="F26" s="53">
        <v>306</v>
      </c>
      <c r="G26" s="50">
        <f t="shared" si="2"/>
        <v>60</v>
      </c>
      <c r="H26" s="56" t="s">
        <v>5486</v>
      </c>
      <c r="J26" s="56" t="s">
        <v>1</v>
      </c>
      <c r="K26" s="56" t="s">
        <v>5418</v>
      </c>
    </row>
    <row r="27" spans="3:15" x14ac:dyDescent="0.3">
      <c r="C27" s="56" t="s">
        <v>5487</v>
      </c>
      <c r="D27" s="53">
        <v>8</v>
      </c>
      <c r="E27" s="49" t="str">
        <f t="shared" si="0"/>
        <v>물리방어력_8</v>
      </c>
      <c r="F27" s="53">
        <v>307</v>
      </c>
      <c r="G27" s="50">
        <f t="shared" si="2"/>
        <v>70</v>
      </c>
      <c r="H27" s="56" t="s">
        <v>5486</v>
      </c>
      <c r="J27" s="56" t="s">
        <v>501</v>
      </c>
      <c r="K27" s="56" t="s">
        <v>5417</v>
      </c>
    </row>
    <row r="28" spans="3:15" x14ac:dyDescent="0.3">
      <c r="C28" s="56" t="s">
        <v>5484</v>
      </c>
      <c r="D28" s="53">
        <v>1</v>
      </c>
      <c r="E28" s="49" t="str">
        <f t="shared" si="0"/>
        <v>마법방어력_1</v>
      </c>
      <c r="F28" s="53">
        <v>401</v>
      </c>
      <c r="G28" s="50">
        <f t="shared" si="2"/>
        <v>10</v>
      </c>
      <c r="H28" s="56" t="s">
        <v>5483</v>
      </c>
      <c r="J28" s="56" t="s">
        <v>2</v>
      </c>
      <c r="K28" s="56" t="s">
        <v>5415</v>
      </c>
    </row>
    <row r="29" spans="3:15" x14ac:dyDescent="0.3">
      <c r="C29" s="56" t="s">
        <v>5484</v>
      </c>
      <c r="D29" s="53">
        <v>2</v>
      </c>
      <c r="E29" s="49" t="str">
        <f t="shared" si="0"/>
        <v>마법방어력_2</v>
      </c>
      <c r="F29" s="53">
        <v>402</v>
      </c>
      <c r="G29" s="50">
        <f t="shared" si="2"/>
        <v>20</v>
      </c>
      <c r="H29" s="56" t="s">
        <v>5483</v>
      </c>
      <c r="J29" s="56" t="s">
        <v>1629</v>
      </c>
      <c r="K29" s="56" t="s">
        <v>5413</v>
      </c>
    </row>
    <row r="30" spans="3:15" x14ac:dyDescent="0.3">
      <c r="C30" s="56" t="s">
        <v>5484</v>
      </c>
      <c r="D30" s="53">
        <v>3</v>
      </c>
      <c r="E30" s="49" t="str">
        <f t="shared" si="0"/>
        <v>마법방어력_3</v>
      </c>
      <c r="F30" s="53">
        <v>403</v>
      </c>
      <c r="G30" s="50">
        <f t="shared" si="2"/>
        <v>30</v>
      </c>
      <c r="H30" s="56" t="s">
        <v>5483</v>
      </c>
    </row>
    <row r="31" spans="3:15" x14ac:dyDescent="0.3">
      <c r="C31" s="56" t="s">
        <v>5484</v>
      </c>
      <c r="D31" s="53">
        <v>4</v>
      </c>
      <c r="E31" s="49" t="str">
        <f t="shared" si="0"/>
        <v>마법방어력_4</v>
      </c>
      <c r="F31" s="53">
        <v>404</v>
      </c>
      <c r="G31" s="50">
        <f t="shared" si="2"/>
        <v>40</v>
      </c>
      <c r="H31" s="56" t="s">
        <v>5483</v>
      </c>
      <c r="J31" s="64" t="s">
        <v>5485</v>
      </c>
      <c r="K31" s="54" t="s">
        <v>5519</v>
      </c>
      <c r="L31" s="54" t="s">
        <v>5509</v>
      </c>
    </row>
    <row r="32" spans="3:15" x14ac:dyDescent="0.3">
      <c r="C32" s="56" t="s">
        <v>5484</v>
      </c>
      <c r="D32" s="53">
        <v>5</v>
      </c>
      <c r="E32" s="49" t="str">
        <f t="shared" si="0"/>
        <v>마법방어력_5</v>
      </c>
      <c r="F32" s="53">
        <v>405</v>
      </c>
      <c r="G32" s="50">
        <f t="shared" si="2"/>
        <v>50</v>
      </c>
      <c r="H32" s="56" t="s">
        <v>5483</v>
      </c>
      <c r="J32" s="56" t="s">
        <v>1305</v>
      </c>
      <c r="K32" s="53">
        <v>3</v>
      </c>
      <c r="L32" s="53" t="s">
        <v>5510</v>
      </c>
      <c r="M32" s="47" t="s">
        <v>5520</v>
      </c>
    </row>
    <row r="33" spans="3:13" x14ac:dyDescent="0.3">
      <c r="C33" s="56" t="s">
        <v>5484</v>
      </c>
      <c r="D33" s="53">
        <v>6</v>
      </c>
      <c r="E33" s="49" t="str">
        <f t="shared" si="0"/>
        <v>마법방어력_6</v>
      </c>
      <c r="F33" s="53">
        <v>405</v>
      </c>
      <c r="G33" s="50">
        <f t="shared" si="2"/>
        <v>50</v>
      </c>
      <c r="H33" s="56" t="s">
        <v>5483</v>
      </c>
      <c r="J33" s="56" t="s">
        <v>1357</v>
      </c>
      <c r="K33" s="53">
        <v>2</v>
      </c>
      <c r="L33" s="53" t="s">
        <v>5508</v>
      </c>
      <c r="M33" s="47" t="s">
        <v>5521</v>
      </c>
    </row>
    <row r="34" spans="3:13" x14ac:dyDescent="0.3">
      <c r="C34" s="56" t="s">
        <v>5484</v>
      </c>
      <c r="D34" s="53">
        <v>7</v>
      </c>
      <c r="E34" s="49" t="str">
        <f t="shared" si="0"/>
        <v>마법방어력_7</v>
      </c>
      <c r="F34" s="53">
        <v>406</v>
      </c>
      <c r="G34" s="50">
        <f t="shared" si="2"/>
        <v>60</v>
      </c>
      <c r="H34" s="56" t="s">
        <v>5483</v>
      </c>
      <c r="J34" s="56" t="s">
        <v>1358</v>
      </c>
      <c r="K34" s="53">
        <v>2</v>
      </c>
      <c r="L34" s="53" t="s">
        <v>5508</v>
      </c>
      <c r="M34" s="47" t="s">
        <v>5522</v>
      </c>
    </row>
    <row r="35" spans="3:13" x14ac:dyDescent="0.3">
      <c r="C35" s="56" t="s">
        <v>5484</v>
      </c>
      <c r="D35" s="53">
        <v>8</v>
      </c>
      <c r="E35" s="49" t="str">
        <f t="shared" si="0"/>
        <v>마법방어력_8</v>
      </c>
      <c r="F35" s="53">
        <v>407</v>
      </c>
      <c r="G35" s="50">
        <f t="shared" si="2"/>
        <v>70</v>
      </c>
      <c r="H35" s="56" t="s">
        <v>5483</v>
      </c>
      <c r="J35" s="56" t="s">
        <v>1396</v>
      </c>
      <c r="K35" s="53">
        <v>2</v>
      </c>
      <c r="L35" s="53" t="s">
        <v>5508</v>
      </c>
      <c r="M35" s="47" t="s">
        <v>5523</v>
      </c>
    </row>
    <row r="36" spans="3:13" x14ac:dyDescent="0.3">
      <c r="C36" s="56" t="s">
        <v>5482</v>
      </c>
      <c r="D36" s="53">
        <v>1</v>
      </c>
      <c r="E36" s="49" t="str">
        <f t="shared" ref="E36:E59" si="3">C36&amp;"_"&amp;D36</f>
        <v>치명타확률_1</v>
      </c>
      <c r="F36" s="53">
        <v>501</v>
      </c>
      <c r="G36" s="50">
        <f t="shared" si="2"/>
        <v>10</v>
      </c>
      <c r="H36" s="56" t="s">
        <v>5481</v>
      </c>
      <c r="J36" s="56" t="s">
        <v>1415</v>
      </c>
      <c r="K36" s="53">
        <v>2</v>
      </c>
      <c r="L36" s="53" t="s">
        <v>5508</v>
      </c>
      <c r="M36" s="47" t="s">
        <v>5524</v>
      </c>
    </row>
    <row r="37" spans="3:13" x14ac:dyDescent="0.3">
      <c r="C37" s="56" t="s">
        <v>5482</v>
      </c>
      <c r="D37" s="53">
        <v>2</v>
      </c>
      <c r="E37" s="49" t="str">
        <f t="shared" si="3"/>
        <v>치명타확률_2</v>
      </c>
      <c r="F37" s="53">
        <v>502</v>
      </c>
      <c r="G37" s="50">
        <f t="shared" si="2"/>
        <v>20</v>
      </c>
      <c r="H37" s="56" t="s">
        <v>5481</v>
      </c>
      <c r="J37" s="56" t="s">
        <v>1434</v>
      </c>
      <c r="K37" s="53">
        <v>2</v>
      </c>
      <c r="L37" s="53" t="s">
        <v>5508</v>
      </c>
      <c r="M37" s="47" t="s">
        <v>5525</v>
      </c>
    </row>
    <row r="38" spans="3:13" x14ac:dyDescent="0.3">
      <c r="C38" s="56" t="s">
        <v>5482</v>
      </c>
      <c r="D38" s="53">
        <v>3</v>
      </c>
      <c r="E38" s="49" t="str">
        <f t="shared" si="3"/>
        <v>치명타확률_3</v>
      </c>
      <c r="F38" s="53">
        <v>503</v>
      </c>
      <c r="G38" s="50">
        <f t="shared" si="2"/>
        <v>30</v>
      </c>
      <c r="H38" s="56" t="s">
        <v>5481</v>
      </c>
      <c r="J38" s="56" t="s">
        <v>1453</v>
      </c>
      <c r="K38" s="53">
        <v>4</v>
      </c>
      <c r="L38" s="53" t="s">
        <v>5511</v>
      </c>
      <c r="M38" s="47" t="s">
        <v>5528</v>
      </c>
    </row>
    <row r="39" spans="3:13" x14ac:dyDescent="0.3">
      <c r="C39" s="56" t="s">
        <v>5482</v>
      </c>
      <c r="D39" s="53">
        <v>4</v>
      </c>
      <c r="E39" s="49" t="str">
        <f t="shared" si="3"/>
        <v>치명타확률_4</v>
      </c>
      <c r="F39" s="53">
        <v>504</v>
      </c>
      <c r="G39" s="50">
        <f t="shared" si="2"/>
        <v>40</v>
      </c>
      <c r="H39" s="56" t="s">
        <v>5481</v>
      </c>
      <c r="J39" s="56" t="s">
        <v>1472</v>
      </c>
      <c r="K39" s="53">
        <v>2</v>
      </c>
      <c r="L39" s="53" t="s">
        <v>5508</v>
      </c>
      <c r="M39" s="47" t="s">
        <v>5526</v>
      </c>
    </row>
    <row r="40" spans="3:13" x14ac:dyDescent="0.3">
      <c r="C40" s="56" t="s">
        <v>5482</v>
      </c>
      <c r="D40" s="53">
        <v>5</v>
      </c>
      <c r="E40" s="49" t="str">
        <f t="shared" si="3"/>
        <v>치명타확률_5</v>
      </c>
      <c r="F40" s="53">
        <v>505</v>
      </c>
      <c r="G40" s="50">
        <f t="shared" si="2"/>
        <v>50</v>
      </c>
      <c r="H40" s="56" t="s">
        <v>5481</v>
      </c>
      <c r="J40" s="56" t="s">
        <v>1491</v>
      </c>
      <c r="K40" s="53">
        <v>2</v>
      </c>
      <c r="L40" s="53" t="s">
        <v>5508</v>
      </c>
      <c r="M40" s="47" t="s">
        <v>5527</v>
      </c>
    </row>
    <row r="41" spans="3:13" x14ac:dyDescent="0.3">
      <c r="C41" s="56" t="s">
        <v>5482</v>
      </c>
      <c r="D41" s="53">
        <v>6</v>
      </c>
      <c r="E41" s="49" t="str">
        <f t="shared" si="3"/>
        <v>치명타확률_6</v>
      </c>
      <c r="F41" s="53">
        <v>505</v>
      </c>
      <c r="G41" s="50">
        <f t="shared" si="2"/>
        <v>50</v>
      </c>
      <c r="H41" s="56" t="s">
        <v>5481</v>
      </c>
      <c r="J41" s="56" t="s">
        <v>1568</v>
      </c>
      <c r="K41" s="53">
        <v>4</v>
      </c>
      <c r="L41" s="53" t="s">
        <v>5511</v>
      </c>
    </row>
    <row r="42" spans="3:13" x14ac:dyDescent="0.3">
      <c r="C42" s="56" t="s">
        <v>5482</v>
      </c>
      <c r="D42" s="53">
        <v>7</v>
      </c>
      <c r="E42" s="49" t="str">
        <f t="shared" si="3"/>
        <v>치명타확률_7</v>
      </c>
      <c r="F42" s="53">
        <v>506</v>
      </c>
      <c r="G42" s="50">
        <f t="shared" si="2"/>
        <v>60</v>
      </c>
      <c r="H42" s="56" t="s">
        <v>5481</v>
      </c>
      <c r="J42" s="56" t="s">
        <v>1587</v>
      </c>
      <c r="K42" s="53">
        <v>2</v>
      </c>
      <c r="L42" s="53" t="s">
        <v>5508</v>
      </c>
    </row>
    <row r="43" spans="3:13" x14ac:dyDescent="0.3">
      <c r="C43" s="56" t="s">
        <v>5482</v>
      </c>
      <c r="D43" s="53">
        <v>8</v>
      </c>
      <c r="E43" s="49" t="str">
        <f t="shared" si="3"/>
        <v>치명타확률_8</v>
      </c>
      <c r="F43" s="53">
        <v>507</v>
      </c>
      <c r="G43" s="50">
        <f t="shared" si="2"/>
        <v>70</v>
      </c>
      <c r="H43" s="56" t="s">
        <v>5481</v>
      </c>
      <c r="J43" s="56" t="s">
        <v>1606</v>
      </c>
      <c r="K43" s="53">
        <v>4</v>
      </c>
      <c r="L43" s="53" t="s">
        <v>5511</v>
      </c>
    </row>
    <row r="44" spans="3:13" x14ac:dyDescent="0.3">
      <c r="C44" s="56" t="s">
        <v>5479</v>
      </c>
      <c r="D44" s="53">
        <v>1</v>
      </c>
      <c r="E44" s="49" t="str">
        <f t="shared" si="3"/>
        <v>물리블록_1</v>
      </c>
      <c r="F44" s="53">
        <v>901</v>
      </c>
      <c r="G44" s="50">
        <f t="shared" ref="G44:G75" si="4">G36</f>
        <v>10</v>
      </c>
      <c r="H44" s="56" t="s">
        <v>5478</v>
      </c>
      <c r="J44" s="56" t="s">
        <v>1625</v>
      </c>
      <c r="K44" s="53">
        <v>4</v>
      </c>
      <c r="L44" s="53" t="s">
        <v>5511</v>
      </c>
    </row>
    <row r="45" spans="3:13" x14ac:dyDescent="0.3">
      <c r="C45" s="56" t="s">
        <v>5479</v>
      </c>
      <c r="D45" s="53">
        <v>2</v>
      </c>
      <c r="E45" s="49" t="str">
        <f t="shared" si="3"/>
        <v>물리블록_2</v>
      </c>
      <c r="F45" s="53">
        <v>902</v>
      </c>
      <c r="G45" s="50">
        <f t="shared" si="4"/>
        <v>20</v>
      </c>
      <c r="H45" s="56" t="s">
        <v>5478</v>
      </c>
      <c r="J45" s="56" t="s">
        <v>5480</v>
      </c>
      <c r="K45" s="53">
        <v>4</v>
      </c>
      <c r="L45" s="53" t="s">
        <v>5511</v>
      </c>
    </row>
    <row r="46" spans="3:13" x14ac:dyDescent="0.3">
      <c r="C46" s="56" t="s">
        <v>5479</v>
      </c>
      <c r="D46" s="53">
        <v>3</v>
      </c>
      <c r="E46" s="49" t="str">
        <f t="shared" si="3"/>
        <v>물리블록_3</v>
      </c>
      <c r="F46" s="53">
        <v>903</v>
      </c>
      <c r="G46" s="50">
        <f t="shared" si="4"/>
        <v>30</v>
      </c>
      <c r="H46" s="56" t="s">
        <v>5478</v>
      </c>
    </row>
    <row r="47" spans="3:13" x14ac:dyDescent="0.3">
      <c r="C47" s="56" t="s">
        <v>5479</v>
      </c>
      <c r="D47" s="53">
        <v>4</v>
      </c>
      <c r="E47" s="49" t="str">
        <f t="shared" si="3"/>
        <v>물리블록_4</v>
      </c>
      <c r="F47" s="53">
        <v>904</v>
      </c>
      <c r="G47" s="50">
        <f t="shared" si="4"/>
        <v>40</v>
      </c>
      <c r="H47" s="56" t="s">
        <v>5478</v>
      </c>
    </row>
    <row r="48" spans="3:13" x14ac:dyDescent="0.3">
      <c r="C48" s="56" t="s">
        <v>5479</v>
      </c>
      <c r="D48" s="53">
        <v>5</v>
      </c>
      <c r="E48" s="49" t="str">
        <f t="shared" si="3"/>
        <v>물리블록_5</v>
      </c>
      <c r="F48" s="53">
        <v>905</v>
      </c>
      <c r="G48" s="50">
        <f t="shared" si="4"/>
        <v>50</v>
      </c>
      <c r="H48" s="56" t="s">
        <v>5478</v>
      </c>
    </row>
    <row r="49" spans="3:8" x14ac:dyDescent="0.3">
      <c r="C49" s="56" t="s">
        <v>5479</v>
      </c>
      <c r="D49" s="53">
        <v>6</v>
      </c>
      <c r="E49" s="49" t="str">
        <f t="shared" si="3"/>
        <v>물리블록_6</v>
      </c>
      <c r="F49" s="53">
        <v>905</v>
      </c>
      <c r="G49" s="50">
        <f t="shared" si="4"/>
        <v>50</v>
      </c>
      <c r="H49" s="56" t="s">
        <v>5478</v>
      </c>
    </row>
    <row r="50" spans="3:8" x14ac:dyDescent="0.3">
      <c r="C50" s="56" t="s">
        <v>5479</v>
      </c>
      <c r="D50" s="53">
        <v>7</v>
      </c>
      <c r="E50" s="49" t="str">
        <f t="shared" si="3"/>
        <v>물리블록_7</v>
      </c>
      <c r="F50" s="53">
        <v>906</v>
      </c>
      <c r="G50" s="50">
        <f t="shared" si="4"/>
        <v>60</v>
      </c>
      <c r="H50" s="56" t="s">
        <v>5478</v>
      </c>
    </row>
    <row r="51" spans="3:8" x14ac:dyDescent="0.3">
      <c r="C51" s="56" t="s">
        <v>5479</v>
      </c>
      <c r="D51" s="53">
        <v>8</v>
      </c>
      <c r="E51" s="49" t="str">
        <f t="shared" si="3"/>
        <v>물리블록_8</v>
      </c>
      <c r="F51" s="53">
        <v>907</v>
      </c>
      <c r="G51" s="50">
        <f t="shared" si="4"/>
        <v>70</v>
      </c>
      <c r="H51" s="56" t="s">
        <v>5478</v>
      </c>
    </row>
    <row r="52" spans="3:8" x14ac:dyDescent="0.3">
      <c r="C52" s="56" t="s">
        <v>5477</v>
      </c>
      <c r="D52" s="53">
        <v>1</v>
      </c>
      <c r="E52" s="49" t="str">
        <f t="shared" si="3"/>
        <v>공격속도_1</v>
      </c>
      <c r="F52" s="53">
        <v>1101</v>
      </c>
      <c r="G52" s="50">
        <f t="shared" si="4"/>
        <v>10</v>
      </c>
      <c r="H52" s="56" t="s">
        <v>5476</v>
      </c>
    </row>
    <row r="53" spans="3:8" x14ac:dyDescent="0.3">
      <c r="C53" s="56" t="s">
        <v>5477</v>
      </c>
      <c r="D53" s="53">
        <v>2</v>
      </c>
      <c r="E53" s="49" t="str">
        <f t="shared" si="3"/>
        <v>공격속도_2</v>
      </c>
      <c r="F53" s="53">
        <v>1102</v>
      </c>
      <c r="G53" s="50">
        <f t="shared" si="4"/>
        <v>20</v>
      </c>
      <c r="H53" s="56" t="s">
        <v>5476</v>
      </c>
    </row>
    <row r="54" spans="3:8" x14ac:dyDescent="0.3">
      <c r="C54" s="56" t="s">
        <v>5477</v>
      </c>
      <c r="D54" s="53">
        <v>3</v>
      </c>
      <c r="E54" s="49" t="str">
        <f t="shared" si="3"/>
        <v>공격속도_3</v>
      </c>
      <c r="F54" s="53">
        <v>1103</v>
      </c>
      <c r="G54" s="50">
        <f t="shared" si="4"/>
        <v>30</v>
      </c>
      <c r="H54" s="56" t="s">
        <v>5476</v>
      </c>
    </row>
    <row r="55" spans="3:8" x14ac:dyDescent="0.3">
      <c r="C55" s="56" t="s">
        <v>5477</v>
      </c>
      <c r="D55" s="53">
        <v>4</v>
      </c>
      <c r="E55" s="49" t="str">
        <f t="shared" si="3"/>
        <v>공격속도_4</v>
      </c>
      <c r="F55" s="53">
        <v>1104</v>
      </c>
      <c r="G55" s="50">
        <f t="shared" si="4"/>
        <v>40</v>
      </c>
      <c r="H55" s="56" t="s">
        <v>5476</v>
      </c>
    </row>
    <row r="56" spans="3:8" x14ac:dyDescent="0.3">
      <c r="C56" s="56" t="s">
        <v>5477</v>
      </c>
      <c r="D56" s="53">
        <v>5</v>
      </c>
      <c r="E56" s="49" t="str">
        <f t="shared" si="3"/>
        <v>공격속도_5</v>
      </c>
      <c r="F56" s="53">
        <v>1105</v>
      </c>
      <c r="G56" s="50">
        <f t="shared" si="4"/>
        <v>50</v>
      </c>
      <c r="H56" s="56" t="s">
        <v>5476</v>
      </c>
    </row>
    <row r="57" spans="3:8" x14ac:dyDescent="0.3">
      <c r="C57" s="56" t="s">
        <v>5477</v>
      </c>
      <c r="D57" s="53">
        <v>6</v>
      </c>
      <c r="E57" s="49" t="str">
        <f t="shared" si="3"/>
        <v>공격속도_6</v>
      </c>
      <c r="F57" s="53">
        <v>1105</v>
      </c>
      <c r="G57" s="50">
        <f t="shared" si="4"/>
        <v>50</v>
      </c>
      <c r="H57" s="56" t="s">
        <v>5476</v>
      </c>
    </row>
    <row r="58" spans="3:8" x14ac:dyDescent="0.3">
      <c r="C58" s="56" t="s">
        <v>5477</v>
      </c>
      <c r="D58" s="53">
        <v>7</v>
      </c>
      <c r="E58" s="49" t="str">
        <f t="shared" si="3"/>
        <v>공격속도_7</v>
      </c>
      <c r="F58" s="53">
        <v>1106</v>
      </c>
      <c r="G58" s="50">
        <f t="shared" si="4"/>
        <v>60</v>
      </c>
      <c r="H58" s="56" t="s">
        <v>5476</v>
      </c>
    </row>
    <row r="59" spans="3:8" x14ac:dyDescent="0.3">
      <c r="C59" s="56" t="s">
        <v>5477</v>
      </c>
      <c r="D59" s="53">
        <v>8</v>
      </c>
      <c r="E59" s="49" t="str">
        <f t="shared" si="3"/>
        <v>공격속도_8</v>
      </c>
      <c r="F59" s="53">
        <v>1107</v>
      </c>
      <c r="G59" s="50">
        <f t="shared" si="4"/>
        <v>70</v>
      </c>
      <c r="H59" s="56" t="s">
        <v>5476</v>
      </c>
    </row>
    <row r="60" spans="3:8" x14ac:dyDescent="0.3">
      <c r="C60" s="56" t="s">
        <v>5468</v>
      </c>
      <c r="D60" s="53">
        <v>1</v>
      </c>
      <c r="E60" s="49" t="s">
        <v>5475</v>
      </c>
      <c r="F60" s="53">
        <v>1901</v>
      </c>
      <c r="G60" s="50">
        <f t="shared" si="4"/>
        <v>10</v>
      </c>
      <c r="H60" s="56" t="s">
        <v>5466</v>
      </c>
    </row>
    <row r="61" spans="3:8" x14ac:dyDescent="0.3">
      <c r="C61" s="56" t="s">
        <v>5468</v>
      </c>
      <c r="D61" s="53">
        <v>2</v>
      </c>
      <c r="E61" s="49" t="s">
        <v>5474</v>
      </c>
      <c r="F61" s="53">
        <v>1902</v>
      </c>
      <c r="G61" s="50">
        <f t="shared" si="4"/>
        <v>20</v>
      </c>
      <c r="H61" s="56" t="s">
        <v>5466</v>
      </c>
    </row>
    <row r="62" spans="3:8" x14ac:dyDescent="0.3">
      <c r="C62" s="56" t="s">
        <v>5468</v>
      </c>
      <c r="D62" s="53">
        <v>3</v>
      </c>
      <c r="E62" s="49" t="s">
        <v>5473</v>
      </c>
      <c r="F62" s="53">
        <v>1903</v>
      </c>
      <c r="G62" s="50">
        <f t="shared" si="4"/>
        <v>30</v>
      </c>
      <c r="H62" s="56" t="s">
        <v>5466</v>
      </c>
    </row>
    <row r="63" spans="3:8" x14ac:dyDescent="0.3">
      <c r="C63" s="56" t="s">
        <v>5468</v>
      </c>
      <c r="D63" s="53">
        <v>4</v>
      </c>
      <c r="E63" s="49" t="s">
        <v>5472</v>
      </c>
      <c r="F63" s="53">
        <v>1904</v>
      </c>
      <c r="G63" s="50">
        <f t="shared" si="4"/>
        <v>40</v>
      </c>
      <c r="H63" s="56" t="s">
        <v>5466</v>
      </c>
    </row>
    <row r="64" spans="3:8" x14ac:dyDescent="0.3">
      <c r="C64" s="56" t="s">
        <v>5468</v>
      </c>
      <c r="D64" s="53">
        <v>5</v>
      </c>
      <c r="E64" s="49" t="s">
        <v>5471</v>
      </c>
      <c r="F64" s="53">
        <v>1905</v>
      </c>
      <c r="G64" s="50">
        <f t="shared" si="4"/>
        <v>50</v>
      </c>
      <c r="H64" s="56" t="s">
        <v>5466</v>
      </c>
    </row>
    <row r="65" spans="3:8" x14ac:dyDescent="0.3">
      <c r="C65" s="56" t="s">
        <v>5468</v>
      </c>
      <c r="D65" s="53">
        <v>6</v>
      </c>
      <c r="E65" s="49" t="s">
        <v>5470</v>
      </c>
      <c r="F65" s="53">
        <v>1905</v>
      </c>
      <c r="G65" s="50">
        <f t="shared" si="4"/>
        <v>50</v>
      </c>
      <c r="H65" s="56" t="s">
        <v>5466</v>
      </c>
    </row>
    <row r="66" spans="3:8" x14ac:dyDescent="0.3">
      <c r="C66" s="56" t="s">
        <v>5468</v>
      </c>
      <c r="D66" s="53">
        <v>7</v>
      </c>
      <c r="E66" s="49" t="s">
        <v>5469</v>
      </c>
      <c r="F66" s="53">
        <v>1906</v>
      </c>
      <c r="G66" s="50">
        <f t="shared" si="4"/>
        <v>60</v>
      </c>
      <c r="H66" s="56" t="s">
        <v>5466</v>
      </c>
    </row>
    <row r="67" spans="3:8" x14ac:dyDescent="0.3">
      <c r="C67" s="56" t="s">
        <v>5468</v>
      </c>
      <c r="D67" s="53">
        <v>8</v>
      </c>
      <c r="E67" s="49" t="s">
        <v>5467</v>
      </c>
      <c r="F67" s="53">
        <v>1907</v>
      </c>
      <c r="G67" s="50">
        <f t="shared" si="4"/>
        <v>70</v>
      </c>
      <c r="H67" s="56" t="s">
        <v>5466</v>
      </c>
    </row>
    <row r="68" spans="3:8" x14ac:dyDescent="0.3">
      <c r="C68" s="56" t="s">
        <v>5458</v>
      </c>
      <c r="D68" s="53">
        <v>1</v>
      </c>
      <c r="E68" s="49" t="s">
        <v>5465</v>
      </c>
      <c r="F68" s="53">
        <v>2301</v>
      </c>
      <c r="G68" s="50">
        <f t="shared" si="4"/>
        <v>10</v>
      </c>
      <c r="H68" s="56" t="s">
        <v>5456</v>
      </c>
    </row>
    <row r="69" spans="3:8" x14ac:dyDescent="0.3">
      <c r="C69" s="56" t="s">
        <v>5458</v>
      </c>
      <c r="D69" s="53">
        <v>2</v>
      </c>
      <c r="E69" s="49" t="s">
        <v>5464</v>
      </c>
      <c r="F69" s="53">
        <v>2302</v>
      </c>
      <c r="G69" s="50">
        <f t="shared" si="4"/>
        <v>20</v>
      </c>
      <c r="H69" s="56" t="s">
        <v>5456</v>
      </c>
    </row>
    <row r="70" spans="3:8" x14ac:dyDescent="0.3">
      <c r="C70" s="56" t="s">
        <v>5458</v>
      </c>
      <c r="D70" s="53">
        <v>3</v>
      </c>
      <c r="E70" s="49" t="s">
        <v>5463</v>
      </c>
      <c r="F70" s="53">
        <v>2303</v>
      </c>
      <c r="G70" s="50">
        <f t="shared" si="4"/>
        <v>30</v>
      </c>
      <c r="H70" s="56" t="s">
        <v>5456</v>
      </c>
    </row>
    <row r="71" spans="3:8" x14ac:dyDescent="0.3">
      <c r="C71" s="56" t="s">
        <v>5458</v>
      </c>
      <c r="D71" s="53">
        <v>4</v>
      </c>
      <c r="E71" s="49" t="s">
        <v>5462</v>
      </c>
      <c r="F71" s="53">
        <v>2304</v>
      </c>
      <c r="G71" s="50">
        <f t="shared" si="4"/>
        <v>40</v>
      </c>
      <c r="H71" s="56" t="s">
        <v>5456</v>
      </c>
    </row>
    <row r="72" spans="3:8" x14ac:dyDescent="0.3">
      <c r="C72" s="56" t="s">
        <v>5458</v>
      </c>
      <c r="D72" s="53">
        <v>5</v>
      </c>
      <c r="E72" s="49" t="s">
        <v>5461</v>
      </c>
      <c r="F72" s="53">
        <v>2305</v>
      </c>
      <c r="G72" s="50">
        <f t="shared" si="4"/>
        <v>50</v>
      </c>
      <c r="H72" s="56" t="s">
        <v>5456</v>
      </c>
    </row>
    <row r="73" spans="3:8" x14ac:dyDescent="0.3">
      <c r="C73" s="56" t="s">
        <v>5458</v>
      </c>
      <c r="D73" s="53">
        <v>6</v>
      </c>
      <c r="E73" s="49" t="s">
        <v>5460</v>
      </c>
      <c r="F73" s="53">
        <v>2305</v>
      </c>
      <c r="G73" s="50">
        <f t="shared" si="4"/>
        <v>50</v>
      </c>
      <c r="H73" s="56" t="s">
        <v>5456</v>
      </c>
    </row>
    <row r="74" spans="3:8" x14ac:dyDescent="0.3">
      <c r="C74" s="56" t="s">
        <v>5458</v>
      </c>
      <c r="D74" s="53">
        <v>7</v>
      </c>
      <c r="E74" s="49" t="s">
        <v>5459</v>
      </c>
      <c r="F74" s="53">
        <v>2306</v>
      </c>
      <c r="G74" s="50">
        <f t="shared" si="4"/>
        <v>60</v>
      </c>
      <c r="H74" s="56" t="s">
        <v>5456</v>
      </c>
    </row>
    <row r="75" spans="3:8" x14ac:dyDescent="0.3">
      <c r="C75" s="56" t="s">
        <v>5458</v>
      </c>
      <c r="D75" s="53">
        <v>8</v>
      </c>
      <c r="E75" s="49" t="s">
        <v>5457</v>
      </c>
      <c r="F75" s="53">
        <v>2307</v>
      </c>
      <c r="G75" s="50">
        <f t="shared" si="4"/>
        <v>70</v>
      </c>
      <c r="H75" s="56" t="s">
        <v>5456</v>
      </c>
    </row>
    <row r="76" spans="3:8" x14ac:dyDescent="0.3">
      <c r="C76" s="56" t="s">
        <v>5448</v>
      </c>
      <c r="D76" s="53">
        <v>1</v>
      </c>
      <c r="E76" s="49" t="s">
        <v>5455</v>
      </c>
      <c r="F76" s="53">
        <v>801</v>
      </c>
      <c r="G76" s="50">
        <f t="shared" ref="G76:G98" si="5">G68</f>
        <v>10</v>
      </c>
      <c r="H76" s="56" t="s">
        <v>5446</v>
      </c>
    </row>
    <row r="77" spans="3:8" x14ac:dyDescent="0.3">
      <c r="C77" s="56" t="s">
        <v>5448</v>
      </c>
      <c r="D77" s="53">
        <v>2</v>
      </c>
      <c r="E77" s="49" t="s">
        <v>5454</v>
      </c>
      <c r="F77" s="53">
        <v>802</v>
      </c>
      <c r="G77" s="50">
        <f t="shared" si="5"/>
        <v>20</v>
      </c>
      <c r="H77" s="56" t="s">
        <v>5446</v>
      </c>
    </row>
    <row r="78" spans="3:8" x14ac:dyDescent="0.3">
      <c r="C78" s="56" t="s">
        <v>5448</v>
      </c>
      <c r="D78" s="53">
        <v>3</v>
      </c>
      <c r="E78" s="49" t="s">
        <v>5453</v>
      </c>
      <c r="F78" s="53">
        <v>803</v>
      </c>
      <c r="G78" s="50">
        <f t="shared" si="5"/>
        <v>30</v>
      </c>
      <c r="H78" s="56" t="s">
        <v>5446</v>
      </c>
    </row>
    <row r="79" spans="3:8" x14ac:dyDescent="0.3">
      <c r="C79" s="56" t="s">
        <v>5448</v>
      </c>
      <c r="D79" s="53">
        <v>4</v>
      </c>
      <c r="E79" s="49" t="s">
        <v>5452</v>
      </c>
      <c r="F79" s="53">
        <v>804</v>
      </c>
      <c r="G79" s="50">
        <f t="shared" si="5"/>
        <v>40</v>
      </c>
      <c r="H79" s="56" t="s">
        <v>5446</v>
      </c>
    </row>
    <row r="80" spans="3:8" x14ac:dyDescent="0.3">
      <c r="C80" s="56" t="s">
        <v>5448</v>
      </c>
      <c r="D80" s="53">
        <v>5</v>
      </c>
      <c r="E80" s="49" t="s">
        <v>5451</v>
      </c>
      <c r="F80" s="53">
        <v>805</v>
      </c>
      <c r="G80" s="50">
        <f t="shared" si="5"/>
        <v>50</v>
      </c>
      <c r="H80" s="56" t="s">
        <v>5446</v>
      </c>
    </row>
    <row r="81" spans="3:8" x14ac:dyDescent="0.3">
      <c r="C81" s="56" t="s">
        <v>5448</v>
      </c>
      <c r="D81" s="53">
        <v>6</v>
      </c>
      <c r="E81" s="49" t="s">
        <v>5450</v>
      </c>
      <c r="F81" s="53">
        <v>805</v>
      </c>
      <c r="G81" s="50">
        <f t="shared" si="5"/>
        <v>50</v>
      </c>
      <c r="H81" s="56" t="s">
        <v>5446</v>
      </c>
    </row>
    <row r="82" spans="3:8" x14ac:dyDescent="0.3">
      <c r="C82" s="56" t="s">
        <v>5448</v>
      </c>
      <c r="D82" s="53">
        <v>7</v>
      </c>
      <c r="E82" s="49" t="s">
        <v>5449</v>
      </c>
      <c r="F82" s="53">
        <v>806</v>
      </c>
      <c r="G82" s="50">
        <f t="shared" si="5"/>
        <v>60</v>
      </c>
      <c r="H82" s="56" t="s">
        <v>5446</v>
      </c>
    </row>
    <row r="83" spans="3:8" x14ac:dyDescent="0.3">
      <c r="C83" s="56"/>
      <c r="D83" s="53">
        <v>8</v>
      </c>
      <c r="E83" s="49" t="s">
        <v>5447</v>
      </c>
      <c r="F83" s="53">
        <v>807</v>
      </c>
      <c r="G83" s="50">
        <f>G59</f>
        <v>70</v>
      </c>
      <c r="H83" s="56" t="s">
        <v>5446</v>
      </c>
    </row>
    <row r="84" spans="3:8" x14ac:dyDescent="0.3">
      <c r="C84" s="56"/>
      <c r="D84" s="53">
        <v>1</v>
      </c>
      <c r="E84" s="107" t="s">
        <v>5542</v>
      </c>
      <c r="F84" s="53">
        <v>1201</v>
      </c>
      <c r="G84" s="50">
        <f t="shared" si="5"/>
        <v>10</v>
      </c>
      <c r="H84" s="56" t="s">
        <v>5559</v>
      </c>
    </row>
    <row r="85" spans="3:8" x14ac:dyDescent="0.3">
      <c r="C85" s="56"/>
      <c r="D85" s="53">
        <v>2</v>
      </c>
      <c r="E85" s="107" t="s">
        <v>5543</v>
      </c>
      <c r="F85" s="53">
        <v>1202</v>
      </c>
      <c r="G85" s="50">
        <f t="shared" si="5"/>
        <v>20</v>
      </c>
      <c r="H85" s="56" t="s">
        <v>5559</v>
      </c>
    </row>
    <row r="86" spans="3:8" x14ac:dyDescent="0.3">
      <c r="C86" s="56"/>
      <c r="D86" s="53">
        <v>3</v>
      </c>
      <c r="E86" s="107" t="s">
        <v>5544</v>
      </c>
      <c r="F86" s="53">
        <v>1203</v>
      </c>
      <c r="G86" s="50">
        <f t="shared" si="5"/>
        <v>30</v>
      </c>
      <c r="H86" s="56" t="s">
        <v>5559</v>
      </c>
    </row>
    <row r="87" spans="3:8" x14ac:dyDescent="0.3">
      <c r="C87" s="56"/>
      <c r="D87" s="53">
        <v>4</v>
      </c>
      <c r="E87" s="107" t="s">
        <v>5545</v>
      </c>
      <c r="F87" s="53">
        <v>1204</v>
      </c>
      <c r="G87" s="50">
        <f t="shared" si="5"/>
        <v>40</v>
      </c>
      <c r="H87" s="56" t="s">
        <v>5559</v>
      </c>
    </row>
    <row r="88" spans="3:8" x14ac:dyDescent="0.3">
      <c r="C88" s="56"/>
      <c r="D88" s="53">
        <v>5</v>
      </c>
      <c r="E88" s="107" t="s">
        <v>5546</v>
      </c>
      <c r="F88" s="53">
        <v>1205</v>
      </c>
      <c r="G88" s="50">
        <f t="shared" si="5"/>
        <v>50</v>
      </c>
      <c r="H88" s="56" t="s">
        <v>5559</v>
      </c>
    </row>
    <row r="89" spans="3:8" x14ac:dyDescent="0.3">
      <c r="C89" s="56"/>
      <c r="D89" s="53">
        <v>6</v>
      </c>
      <c r="E89" s="107" t="s">
        <v>5547</v>
      </c>
      <c r="F89" s="53">
        <v>1205</v>
      </c>
      <c r="G89" s="50">
        <f t="shared" si="5"/>
        <v>50</v>
      </c>
      <c r="H89" s="56" t="s">
        <v>5559</v>
      </c>
    </row>
    <row r="90" spans="3:8" x14ac:dyDescent="0.3">
      <c r="C90" s="56"/>
      <c r="D90" s="53">
        <v>7</v>
      </c>
      <c r="E90" s="107" t="s">
        <v>5548</v>
      </c>
      <c r="F90" s="53">
        <v>1206</v>
      </c>
      <c r="G90" s="50">
        <f t="shared" si="5"/>
        <v>60</v>
      </c>
      <c r="H90" s="56" t="s">
        <v>5559</v>
      </c>
    </row>
    <row r="91" spans="3:8" x14ac:dyDescent="0.3">
      <c r="C91" s="56"/>
      <c r="D91" s="53">
        <v>8</v>
      </c>
      <c r="E91" s="107" t="s">
        <v>5549</v>
      </c>
      <c r="F91" s="53">
        <v>1207</v>
      </c>
      <c r="G91" s="50">
        <f>G67</f>
        <v>70</v>
      </c>
      <c r="H91" s="56" t="s">
        <v>5559</v>
      </c>
    </row>
    <row r="92" spans="3:8" x14ac:dyDescent="0.3">
      <c r="C92" s="56"/>
      <c r="D92" s="53">
        <v>1</v>
      </c>
      <c r="E92" s="107" t="s">
        <v>5550</v>
      </c>
      <c r="F92" s="53">
        <v>701</v>
      </c>
      <c r="G92" s="50">
        <f t="shared" si="5"/>
        <v>10</v>
      </c>
      <c r="H92" s="56" t="s">
        <v>5558</v>
      </c>
    </row>
    <row r="93" spans="3:8" x14ac:dyDescent="0.3">
      <c r="C93" s="56"/>
      <c r="D93" s="53">
        <v>2</v>
      </c>
      <c r="E93" s="107" t="s">
        <v>5551</v>
      </c>
      <c r="F93" s="53">
        <v>702</v>
      </c>
      <c r="G93" s="50">
        <f t="shared" si="5"/>
        <v>20</v>
      </c>
      <c r="H93" s="56" t="s">
        <v>5558</v>
      </c>
    </row>
    <row r="94" spans="3:8" x14ac:dyDescent="0.3">
      <c r="C94" s="56"/>
      <c r="D94" s="53">
        <v>3</v>
      </c>
      <c r="E94" s="107" t="s">
        <v>5552</v>
      </c>
      <c r="F94" s="53">
        <v>703</v>
      </c>
      <c r="G94" s="50">
        <f t="shared" si="5"/>
        <v>30</v>
      </c>
      <c r="H94" s="56" t="s">
        <v>5558</v>
      </c>
    </row>
    <row r="95" spans="3:8" x14ac:dyDescent="0.3">
      <c r="C95" s="56"/>
      <c r="D95" s="53">
        <v>4</v>
      </c>
      <c r="E95" s="107" t="s">
        <v>5553</v>
      </c>
      <c r="F95" s="53">
        <v>704</v>
      </c>
      <c r="G95" s="50">
        <f t="shared" si="5"/>
        <v>40</v>
      </c>
      <c r="H95" s="56" t="s">
        <v>5558</v>
      </c>
    </row>
    <row r="96" spans="3:8" x14ac:dyDescent="0.3">
      <c r="C96" s="56"/>
      <c r="D96" s="53">
        <v>5</v>
      </c>
      <c r="E96" s="107" t="s">
        <v>5554</v>
      </c>
      <c r="F96" s="53">
        <v>705</v>
      </c>
      <c r="G96" s="50">
        <f t="shared" si="5"/>
        <v>50</v>
      </c>
      <c r="H96" s="56" t="s">
        <v>5558</v>
      </c>
    </row>
    <row r="97" spans="3:8" x14ac:dyDescent="0.3">
      <c r="C97" s="56"/>
      <c r="D97" s="53">
        <v>6</v>
      </c>
      <c r="E97" s="107" t="s">
        <v>5555</v>
      </c>
      <c r="F97" s="53">
        <v>705</v>
      </c>
      <c r="G97" s="50">
        <f t="shared" si="5"/>
        <v>50</v>
      </c>
      <c r="H97" s="56" t="s">
        <v>5558</v>
      </c>
    </row>
    <row r="98" spans="3:8" x14ac:dyDescent="0.3">
      <c r="C98" s="56"/>
      <c r="D98" s="53">
        <v>7</v>
      </c>
      <c r="E98" s="107" t="s">
        <v>5556</v>
      </c>
      <c r="F98" s="53">
        <v>706</v>
      </c>
      <c r="G98" s="50">
        <f t="shared" si="5"/>
        <v>60</v>
      </c>
      <c r="H98" s="56" t="s">
        <v>5558</v>
      </c>
    </row>
    <row r="99" spans="3:8" x14ac:dyDescent="0.3">
      <c r="C99" s="56" t="s">
        <v>5448</v>
      </c>
      <c r="D99" s="53">
        <v>8</v>
      </c>
      <c r="E99" s="107" t="s">
        <v>5557</v>
      </c>
      <c r="F99" s="53">
        <v>707</v>
      </c>
      <c r="G99" s="50">
        <f>G75</f>
        <v>70</v>
      </c>
      <c r="H99" s="56" t="s">
        <v>5558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EquipItemTable</vt:lpstr>
      <vt:lpstr>옵션그룹계산1</vt:lpstr>
      <vt:lpstr>옵션그룹계산2</vt:lpstr>
      <vt:lpstr>색인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2021-12-09T09:29:30Z</dcterms:modified>
</cp:coreProperties>
</file>