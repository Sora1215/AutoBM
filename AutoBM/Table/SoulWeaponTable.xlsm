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filterPrivacy="1" codeName="ThisWorkbook" defaultThemeVersion="124226"/>
  <xr:revisionPtr revIDLastSave="0" documentId="13_ncr:1_{14F56F93-991B-4E52-8E44-D8803F848907}" xr6:coauthVersionLast="47" xr6:coauthVersionMax="47" xr10:uidLastSave="{00000000-0000-0000-0000-000000000000}"/>
  <bookViews>
    <workbookView xWindow="28680" yWindow="-120" windowWidth="29040" windowHeight="15840" tabRatio="809" firstSheet="2" activeTab="8" xr2:uid="{00000000-000D-0000-FFFF-FFFF00000000}"/>
  </bookViews>
  <sheets>
    <sheet name="SoulWeaponUpgradePriceTable" sheetId="3" r:id="rId1"/>
    <sheet name="SoulWeaponUpgradeTable" sheetId="14" r:id="rId2"/>
    <sheet name="SoulStoneRestoreTable" sheetId="4" r:id="rId3"/>
    <sheet name="SoulBreakTable" sheetId="5" r:id="rId4"/>
    <sheet name="SoulWeaponOptionTable" sheetId="15" r:id="rId5"/>
    <sheet name="SoulWeaponSkillTable" sheetId="16" r:id="rId6"/>
    <sheet name="SoulWeaponEtherTable" sheetId="8" r:id="rId7"/>
    <sheet name="SoulWeaponEtherRateTable" sheetId="18" r:id="rId8"/>
    <sheet name="SoulWeaponReinforceTable" sheetId="10" r:id="rId9"/>
    <sheet name="SoulWeaponNodeTreeTable" sheetId="17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5" i="17" l="1"/>
  <c r="D104" i="17"/>
  <c r="D103" i="17"/>
  <c r="D82" i="17" l="1"/>
  <c r="D102" i="17" l="1"/>
  <c r="E23" i="10" l="1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D90" i="17" l="1"/>
  <c r="D91" i="17"/>
  <c r="D6" i="8" l="1"/>
  <c r="D5" i="8"/>
  <c r="D4" i="8"/>
  <c r="D3" i="8"/>
  <c r="D88" i="17" l="1"/>
  <c r="D85" i="17" l="1"/>
  <c r="D84" i="17" l="1"/>
  <c r="D83" i="17" l="1"/>
  <c r="D101" i="17" l="1"/>
  <c r="D89" i="17" l="1"/>
  <c r="D87" i="17"/>
  <c r="E55" i="18" l="1"/>
  <c r="F55" i="18" s="1"/>
  <c r="C54" i="18" l="1"/>
  <c r="C53" i="18"/>
  <c r="C52" i="18"/>
  <c r="C48" i="18"/>
  <c r="C47" i="18"/>
  <c r="C46" i="18"/>
  <c r="C45" i="18"/>
  <c r="C44" i="18"/>
  <c r="C43" i="18"/>
  <c r="C42" i="18"/>
  <c r="C41" i="18"/>
  <c r="C40" i="18"/>
  <c r="C38" i="18"/>
  <c r="C37" i="18"/>
  <c r="C36" i="18"/>
  <c r="C34" i="18"/>
  <c r="C33" i="18"/>
  <c r="C32" i="18"/>
  <c r="C30" i="18"/>
  <c r="C29" i="18"/>
  <c r="C28" i="18"/>
  <c r="C26" i="18"/>
  <c r="C25" i="18"/>
  <c r="C24" i="18"/>
  <c r="C22" i="18"/>
  <c r="C21" i="18"/>
  <c r="C20" i="18"/>
  <c r="C18" i="18"/>
  <c r="C17" i="18"/>
  <c r="C16" i="18"/>
  <c r="C14" i="18"/>
  <c r="C13" i="18"/>
  <c r="C12" i="18"/>
  <c r="C10" i="18"/>
  <c r="C9" i="18"/>
  <c r="C8" i="18"/>
  <c r="C6" i="18"/>
  <c r="C5" i="18"/>
  <c r="C4" i="18"/>
  <c r="D81" i="17" l="1"/>
  <c r="D79" i="17" l="1"/>
  <c r="D78" i="17" l="1"/>
  <c r="D76" i="17" l="1"/>
  <c r="D4" i="17" l="1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7" i="17"/>
  <c r="D80" i="17"/>
  <c r="D86" i="17"/>
  <c r="D92" i="17"/>
  <c r="D93" i="17"/>
  <c r="D94" i="17"/>
  <c r="D95" i="17"/>
  <c r="D96" i="17"/>
  <c r="D97" i="17"/>
  <c r="D98" i="17"/>
  <c r="D99" i="17"/>
  <c r="D100" i="17"/>
  <c r="D3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I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OptionIndex1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보너스가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붙을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확률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천분율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J1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OptionIndex1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보너스가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붙을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확률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천분율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K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OptionIndex1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붙은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보너스의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비율값</t>
        </r>
      </text>
    </comment>
    <comment ref="L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OptionIndex1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붙은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보너스의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비율값</t>
        </r>
      </text>
    </comment>
    <comment ref="M1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OptionIndex2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붙은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보너스의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비율값</t>
        </r>
      </text>
    </comment>
    <comment ref="N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OptionIndex2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붙은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보너스의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비율값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C1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다음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레벨이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총경험치</t>
        </r>
      </text>
    </comment>
    <comment ref="F1" authorId="0" shapeId="0" xr:uid="{00000000-0006-0000-0700-000002000000}">
      <text>
        <r>
          <rPr>
            <b/>
            <sz val="9"/>
            <color indexed="81"/>
            <rFont val="돋움"/>
            <family val="3"/>
            <charset val="129"/>
          </rPr>
          <t>다음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레벨로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강화할때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사용할수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재료의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
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값인경우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허용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tc={A959A4D5-E197-4A78-8A31-0641E52BFE4E}</author>
    <author>tc={B6EEC4F6-375A-4F2C-9C85-4D11352695E3}</author>
    <author>tc={265C1197-A53F-499D-AF53-84418AA89EE9}</author>
    <author>tc={6BC45182-4478-4754-8CEA-6581C98E11B2}</author>
    <author>tc={207E22E9-07E3-48E5-96EA-2B0E0DFA98B2}</author>
    <author>tc={F0CF6D15-66BF-4A9A-A0B8-611A82407A04}</author>
    <author>tc={285C312C-AED6-4646-BDD5-72D9A04759CD}</author>
    <author>tc={5CE206C9-7C49-4CC3-91FA-F9EC17A3FAF1}</author>
    <author>tc={2DA729D1-786C-4524-A7E0-430AF6B575D1}</author>
    <author>tc={1822065F-9461-468B-9D56-05642C8FC9AE}</author>
    <author>tc={7B0C2A6F-32CD-45CA-B3F6-0D3F34967BAA}</author>
    <author>tc={66184C13-847A-4842-8A24-FE6376E38637}</author>
    <author>tc={70E55C83-B15D-4A26-9EE1-5B3FE3674740}</author>
    <author>tc={3833AD50-FEA8-491F-93B1-C69B3D55C2CB}</author>
    <author>tc={770A15F5-8C57-4490-9473-48857C16ABB4}</author>
    <author>tc={A5A3A765-2AE4-41CA-8E12-4466748A90FC}</author>
  </authors>
  <commentList>
    <comment ref="A1" authorId="0" shapeId="0" xr:uid="{A959A4D5-E197-4A78-8A31-0641E52BFE4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전용무기 아이템 코드</t>
      </text>
    </comment>
    <comment ref="B1" authorId="1" shapeId="0" xr:uid="{B6EEC4F6-375A-4F2C-9C85-4D11352695E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무기용 크리처 인덱스</t>
      </text>
    </comment>
    <comment ref="C1" authorId="2" shapeId="0" xr:uid="{265C1197-A53F-499D-AF53-84418AA89EE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영혼석 용 크리처 인덱스</t>
      </text>
    </comment>
    <comment ref="D1" authorId="3" shapeId="0" xr:uid="{6BC45182-4478-4754-8CEA-6581C98E11B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영혼석 아이템 Index</t>
      </text>
    </comment>
    <comment ref="E1" authorId="4" shapeId="0" xr:uid="{207E22E9-07E3-48E5-96EA-2B0E0DFA98B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소울웨폰 관리의 3D 모델 위치</t>
      </text>
    </comment>
    <comment ref="F1" authorId="5" shapeId="0" xr:uid="{F0CF6D15-66BF-4A9A-A0B8-611A82407A0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소울웨폰 관리의 3D 모델 회전 값</t>
      </text>
    </comment>
    <comment ref="G1" authorId="6" shapeId="0" xr:uid="{285C312C-AED6-4646-BDD5-72D9A04759C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소울웨폰 관리의 3D 모델 크기</t>
      </text>
    </comment>
    <comment ref="H1" authorId="7" shapeId="0" xr:uid="{5CE206C9-7C49-4CC3-91FA-F9EC17A3FAF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소울웨폰 승급의 3D 모델 위치</t>
      </text>
    </comment>
    <comment ref="I1" authorId="8" shapeId="0" xr:uid="{2DA729D1-786C-4524-A7E0-430AF6B575D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소울웨폰 승급의 3D 모델 회전값</t>
      </text>
    </comment>
    <comment ref="J1" authorId="9" shapeId="0" xr:uid="{1822065F-9461-468B-9D56-05642C8FC9A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소울웨폰 승급의 3D 모델 크기</t>
      </text>
    </comment>
    <comment ref="K1" authorId="10" shapeId="0" xr:uid="{7B0C2A6F-32CD-45CA-B3F6-0D3F34967BA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소울웨폰 승급 결과의 3D 모델 위치</t>
      </text>
    </comment>
    <comment ref="L1" authorId="11" shapeId="0" xr:uid="{66184C13-847A-4842-8A24-FE6376E3863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소울웨폰 승급 결과의 3D 모델 회전값</t>
      </text>
    </comment>
    <comment ref="M1" authorId="12" shapeId="0" xr:uid="{70E55C83-B15D-4A26-9EE1-5B3FE367474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소울웨폰 승급 결과의 3D 모델 크기</t>
      </text>
    </comment>
    <comment ref="N1" authorId="13" shapeId="0" xr:uid="{3833AD50-FEA8-491F-93B1-C69B3D55C2C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해방 노드트리</t>
      </text>
    </comment>
    <comment ref="O1" authorId="14" shapeId="0" xr:uid="{770A15F5-8C57-4490-9473-48857C16ABB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에테르 강화 성공 노드트리</t>
      </text>
    </comment>
    <comment ref="P1" authorId="15" shapeId="0" xr:uid="{A5A3A765-2AE4-41CA-8E12-4466748A90F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에테르 강화 실패 노드트리</t>
      </text>
    </comment>
  </commentList>
</comments>
</file>

<file path=xl/sharedStrings.xml><?xml version="1.0" encoding="utf-8"?>
<sst xmlns="http://schemas.openxmlformats.org/spreadsheetml/2006/main" count="7705" uniqueCount="1525">
  <si>
    <t>1</t>
    <phoneticPr fontId="10" type="noConversion"/>
  </si>
  <si>
    <t>MaterialItemCode</t>
    <phoneticPr fontId="10" type="noConversion"/>
  </si>
  <si>
    <t>MaterialItemCount</t>
    <phoneticPr fontId="10" type="noConversion"/>
  </si>
  <si>
    <t>Index</t>
    <phoneticPr fontId="10" type="noConversion"/>
  </si>
  <si>
    <t>100</t>
    <phoneticPr fontId="10" type="noConversion"/>
  </si>
  <si>
    <t>ItemIndex</t>
    <phoneticPr fontId="10" type="noConversion"/>
  </si>
  <si>
    <t>Grade</t>
    <phoneticPr fontId="10" type="noConversion"/>
  </si>
  <si>
    <t>ReqGold</t>
    <phoneticPr fontId="10" type="noConversion"/>
  </si>
  <si>
    <t>1</t>
    <phoneticPr fontId="10" type="noConversion"/>
  </si>
  <si>
    <t>0</t>
    <phoneticPr fontId="10" type="noConversion"/>
  </si>
  <si>
    <t>2</t>
    <phoneticPr fontId="10" type="noConversion"/>
  </si>
  <si>
    <t>3</t>
    <phoneticPr fontId="10" type="noConversion"/>
  </si>
  <si>
    <t>1001</t>
    <phoneticPr fontId="10" type="noConversion"/>
  </si>
  <si>
    <t>1002</t>
    <phoneticPr fontId="10" type="noConversion"/>
  </si>
  <si>
    <t>ItemCode1</t>
    <phoneticPr fontId="10" type="noConversion"/>
  </si>
  <si>
    <t>MinItemCount1</t>
    <phoneticPr fontId="10" type="noConversion"/>
  </si>
  <si>
    <t>MaxItemCount1</t>
    <phoneticPr fontId="10" type="noConversion"/>
  </si>
  <si>
    <t>ItemCode2</t>
    <phoneticPr fontId="10" type="noConversion"/>
  </si>
  <si>
    <t>MinItemCount2</t>
    <phoneticPr fontId="10" type="noConversion"/>
  </si>
  <si>
    <t>MaxItemCount2</t>
    <phoneticPr fontId="10" type="noConversion"/>
  </si>
  <si>
    <t>ItemCode3</t>
    <phoneticPr fontId="10" type="noConversion"/>
  </si>
  <si>
    <t>MinItemCount3</t>
    <phoneticPr fontId="10" type="noConversion"/>
  </si>
  <si>
    <t>MaxItemCount3</t>
    <phoneticPr fontId="10" type="noConversion"/>
  </si>
  <si>
    <t>ItemCode4</t>
    <phoneticPr fontId="10" type="noConversion"/>
  </si>
  <si>
    <t>MinItemCount4</t>
    <phoneticPr fontId="10" type="noConversion"/>
  </si>
  <si>
    <t>MaxItemCount4</t>
    <phoneticPr fontId="10" type="noConversion"/>
  </si>
  <si>
    <t>ItemCode5</t>
    <phoneticPr fontId="10" type="noConversion"/>
  </si>
  <si>
    <t>ITEM1</t>
    <phoneticPr fontId="10" type="noConversion"/>
  </si>
  <si>
    <t>ITEM2</t>
    <phoneticPr fontId="10" type="noConversion"/>
  </si>
  <si>
    <t>ITEM3</t>
    <phoneticPr fontId="10" type="noConversion"/>
  </si>
  <si>
    <t>ITEM4</t>
    <phoneticPr fontId="10" type="noConversion"/>
  </si>
  <si>
    <t>ITEM5</t>
    <phoneticPr fontId="10" type="noConversion"/>
  </si>
  <si>
    <t>MinItemCount5</t>
    <phoneticPr fontId="10" type="noConversion"/>
  </si>
  <si>
    <t>MaxItemCount5</t>
    <phoneticPr fontId="10" type="noConversion"/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</si>
  <si>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</si>
  <si>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</si>
  <si>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</si>
  <si>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</si>
  <si>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</si>
  <si>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</si>
  <si>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</si>
  <si>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</si>
  <si>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</si>
  <si>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</si>
  <si>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</si>
  <si>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</si>
  <si>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</si>
  <si>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</si>
  <si>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</si>
  <si>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</si>
  <si>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</si>
  <si>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</si>
  <si>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</si>
  <si>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</si>
  <si>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</si>
  <si>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</si>
  <si>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</si>
  <si>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</si>
  <si>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</si>
  <si>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</si>
  <si>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</si>
  <si>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</si>
  <si>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</si>
  <si>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</si>
  <si>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</si>
  <si>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</si>
  <si>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</si>
  <si>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</si>
  <si>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</si>
  <si>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</si>
  <si>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</si>
  <si>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</si>
  <si>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</si>
  <si>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50</t>
  </si>
  <si>
    <t>ReinforceLevel</t>
    <phoneticPr fontId="10" type="noConversion"/>
  </si>
  <si>
    <t>41</t>
  </si>
  <si>
    <t>42</t>
  </si>
  <si>
    <t>TagType</t>
    <phoneticPr fontId="10" type="noConversion"/>
  </si>
  <si>
    <t>MinRatio</t>
    <phoneticPr fontId="10" type="noConversion"/>
  </si>
  <si>
    <t>MaxRatio</t>
    <phoneticPr fontId="10" type="noConversion"/>
  </si>
  <si>
    <t>Warrior</t>
  </si>
  <si>
    <t>Knight</t>
  </si>
  <si>
    <t>Wizard</t>
    <phoneticPr fontId="10" type="noConversion"/>
  </si>
  <si>
    <t>MinBonusRatio1</t>
    <phoneticPr fontId="15" type="noConversion"/>
  </si>
  <si>
    <t>MaxBonusRatio1</t>
    <phoneticPr fontId="15" type="noConversion"/>
  </si>
  <si>
    <t>OptionBounsRate1</t>
    <phoneticPr fontId="15" type="noConversion"/>
  </si>
  <si>
    <t>OptionBounsRate2</t>
    <phoneticPr fontId="15" type="noConversion"/>
  </si>
  <si>
    <t>MinBonusRatio2</t>
    <phoneticPr fontId="15" type="noConversion"/>
  </si>
  <si>
    <t>MaxBonusRatio2</t>
    <phoneticPr fontId="15" type="noConversion"/>
  </si>
  <si>
    <t>Priest</t>
  </si>
  <si>
    <t>Mechanic</t>
  </si>
  <si>
    <t>Assassin</t>
  </si>
  <si>
    <t>Archer</t>
  </si>
  <si>
    <t>ItemCode</t>
    <phoneticPr fontId="10" type="noConversion"/>
  </si>
  <si>
    <t>ExpPoints</t>
    <phoneticPr fontId="10" type="noConversion"/>
  </si>
  <si>
    <t>SOULWEAPON_ETHER_3</t>
  </si>
  <si>
    <t>SOULWEAPON_ETHER_4</t>
  </si>
  <si>
    <t>StatRate</t>
    <phoneticPr fontId="10" type="noConversion"/>
  </si>
  <si>
    <t>RequiredExp</t>
    <phoneticPr fontId="10" type="noConversion"/>
  </si>
  <si>
    <t>UpgradeRate</t>
    <phoneticPr fontId="10" type="noConversion"/>
  </si>
  <si>
    <t>OptionRatioPerValue1</t>
    <phoneticPr fontId="10" type="noConversion"/>
  </si>
  <si>
    <t>OptionRatioPerValue2</t>
    <phoneticPr fontId="10" type="noConversion"/>
  </si>
  <si>
    <t>PhysicalAttack,MagicalAttack</t>
    <phoneticPr fontId="10" type="noConversion"/>
  </si>
  <si>
    <t>MaxHp</t>
    <phoneticPr fontId="10" type="noConversion"/>
  </si>
  <si>
    <t>AddSkillIndex5</t>
    <phoneticPr fontId="10" type="noConversion"/>
  </si>
  <si>
    <t>AddSkillIndex4</t>
    <phoneticPr fontId="10" type="noConversion"/>
  </si>
  <si>
    <t>AddSkillIndex3</t>
    <phoneticPr fontId="10" type="noConversion"/>
  </si>
  <si>
    <t>AddSkillIndex2</t>
    <phoneticPr fontId="10" type="noConversion"/>
  </si>
  <si>
    <t>AddSkillIndex1</t>
    <phoneticPr fontId="10" type="noConversion"/>
  </si>
  <si>
    <t>BasicSkillIndex</t>
    <phoneticPr fontId="10" type="noConversion"/>
  </si>
  <si>
    <t>1003</t>
    <phoneticPr fontId="10" type="noConversion"/>
  </si>
  <si>
    <t>UnAvailableItemCode[]</t>
    <phoneticPr fontId="10" type="noConversion"/>
  </si>
  <si>
    <t>43</t>
  </si>
  <si>
    <t>44</t>
  </si>
  <si>
    <t>45</t>
  </si>
  <si>
    <t>46</t>
  </si>
  <si>
    <t>47</t>
  </si>
  <si>
    <t>48</t>
  </si>
  <si>
    <t>49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</si>
  <si>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</si>
  <si>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</si>
  <si>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</si>
  <si>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</si>
  <si>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</si>
  <si>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</si>
  <si>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</si>
  <si>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</si>
  <si>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</si>
  <si>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</si>
  <si>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</si>
  <si>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</si>
  <si>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</si>
  <si>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SOULWEAPON_ETHER_1</t>
    <phoneticPr fontId="10" type="noConversion"/>
  </si>
  <si>
    <t>SOULWEAPON_ETHER_2</t>
    <phoneticPr fontId="10" type="noConversion"/>
  </si>
  <si>
    <t>OptionStatType2[]</t>
    <phoneticPr fontId="10" type="noConversion"/>
  </si>
  <si>
    <t>OptionStatType1[]</t>
    <phoneticPr fontId="10" type="noConversion"/>
  </si>
  <si>
    <t>CheckState</t>
    <phoneticPr fontId="10" type="noConversion"/>
  </si>
  <si>
    <t>MaxUseCount</t>
    <phoneticPr fontId="10" type="noConversion"/>
  </si>
  <si>
    <t>WEAPON_UNIQUE_KASEL_1</t>
  </si>
  <si>
    <t>SoulWeapon01</t>
    <phoneticPr fontId="10" type="noConversion"/>
  </si>
  <si>
    <t>WEAPON_UNIQUE_FREY_1</t>
  </si>
  <si>
    <t>SoulWeapon02</t>
  </si>
  <si>
    <t>WEAPON_UNIQUE_CLEO_1</t>
  </si>
  <si>
    <t>SoulWeapon03</t>
  </si>
  <si>
    <t>WEAPON_UNIQUE_ROI_1</t>
  </si>
  <si>
    <t>SoulWeapon04</t>
  </si>
  <si>
    <t>WEAPON_UNIQUE_GAU_1</t>
  </si>
  <si>
    <t>SoulWeapon05</t>
  </si>
  <si>
    <t>WEAPON_UNIQUE_PHILLOP_1</t>
  </si>
  <si>
    <t>SoulWeapon06</t>
  </si>
  <si>
    <t>WEAPON_UNIQUE_LAKRAK_1</t>
  </si>
  <si>
    <t>SoulWeapon07</t>
  </si>
  <si>
    <t>WEAPON_UNIQUE_KAULAH_1</t>
  </si>
  <si>
    <t>SoulWeapon08</t>
  </si>
  <si>
    <t>WEAPON_UNIQUE_EPIS_1</t>
  </si>
  <si>
    <t>SoulWeapon09</t>
  </si>
  <si>
    <t>WEAPON_UNIQUE_SELENE_1</t>
  </si>
  <si>
    <t>SoulWeapon10</t>
  </si>
  <si>
    <t>WEAPON_UNIQUE_MARIA_1</t>
  </si>
  <si>
    <t>SoulWeapon11</t>
  </si>
  <si>
    <t>WEAPON_UNIQUE_MIRURU_1</t>
  </si>
  <si>
    <t>SoulWeapon12</t>
  </si>
  <si>
    <t>WEAPON_UNIQUE_LORRAINE_1</t>
  </si>
  <si>
    <t>SoulWeapon13</t>
  </si>
  <si>
    <t>WEAPON_UNIQUE_MAYA_1</t>
  </si>
  <si>
    <t>SoulWeapon14</t>
  </si>
  <si>
    <t>WEAPON_UNIQUE_CLAUSE_1</t>
  </si>
  <si>
    <t>SoulWeapon15</t>
  </si>
  <si>
    <t>WEAPON_UNIQUE_REPHY_1</t>
  </si>
  <si>
    <t>SoulWeapon16</t>
  </si>
  <si>
    <t>WEAPON_UNIQUE_DIMAEL_1</t>
  </si>
  <si>
    <t>SoulWeapon17</t>
  </si>
  <si>
    <t>WEAPON_UNIQUE_REINA_1</t>
  </si>
  <si>
    <t>SoulWeapon18</t>
  </si>
  <si>
    <t>WEAPON_UNIQUE_PAVEL_1</t>
  </si>
  <si>
    <t>SoulWeapon19</t>
  </si>
  <si>
    <t>WEAPON_UNIQUE_DEMIA_1</t>
  </si>
  <si>
    <t>SoulWeapon20</t>
  </si>
  <si>
    <t>WEAPON_UNIQUE_NAILA_1</t>
  </si>
  <si>
    <t>SoulWeapon21</t>
  </si>
  <si>
    <t>WEAPON_UNIQUE_RODINA_1</t>
  </si>
  <si>
    <t>SoulWeapon22</t>
  </si>
  <si>
    <t>WEAPON_UNIQUE_MORRAH_1</t>
  </si>
  <si>
    <t>SoulWeapon23</t>
  </si>
  <si>
    <t>WEAPON_UNIQUE_BAUDOUIN_1</t>
  </si>
  <si>
    <t>SoulWeapon24</t>
  </si>
  <si>
    <t>WEAPON_UNIQUE_JANE_1</t>
  </si>
  <si>
    <t>SoulWeapon25</t>
  </si>
  <si>
    <t>WEAPON_UNIQUE_AISHA_1</t>
  </si>
  <si>
    <t>SoulWeapon26</t>
  </si>
  <si>
    <t>WEAPON_UNIQUE_LEO_1</t>
  </si>
  <si>
    <t>SoulWeapon27</t>
  </si>
  <si>
    <t>WEAPON_UNIQUE_FLUSS_1</t>
  </si>
  <si>
    <t>SoulWeapon28</t>
  </si>
  <si>
    <t>WEAPON_UNIQUE_LUNA_1</t>
  </si>
  <si>
    <t>SoulWeapon29</t>
  </si>
  <si>
    <t>WEAPON_UNIQUE_ELL_1</t>
  </si>
  <si>
    <t>SoulWeapon30</t>
  </si>
  <si>
    <t>WEAPON_UNIQUE_ARCH_1</t>
  </si>
  <si>
    <t>SoulWeapon31</t>
  </si>
  <si>
    <t>WEAPON_UNIQUE_LEWSIA_1</t>
  </si>
  <si>
    <t>SoulWeapon32</t>
  </si>
  <si>
    <t>WEAPON_UNIQUE_NICX_1</t>
  </si>
  <si>
    <t>SoulWeapon33</t>
  </si>
  <si>
    <t>WEAPON_UNIQUE_ANNETTE_1</t>
  </si>
  <si>
    <t>SoulWeapon34</t>
  </si>
  <si>
    <t>WEAPON_UNIQUE_MITRA_1</t>
  </si>
  <si>
    <t>SoulWeapon35</t>
  </si>
  <si>
    <t>WEAPON_UNIQUE_RICARDO_1</t>
  </si>
  <si>
    <t>SoulWeapon36</t>
  </si>
  <si>
    <t>WEAPON_UNIQUE_TANYA_1</t>
  </si>
  <si>
    <t>SoulWeapon37</t>
  </si>
  <si>
    <t>WEAPON_UNIQUE_EZEKIEL_1</t>
  </si>
  <si>
    <t>SoulWeapon38</t>
  </si>
  <si>
    <t>WEAPON_UNIQUE_CASSANDRA_1</t>
  </si>
  <si>
    <t>SoulWeapon39</t>
  </si>
  <si>
    <t>WEAPON_UNIQUE_THEO_1</t>
  </si>
  <si>
    <t>SoulWeapon40</t>
  </si>
  <si>
    <t>WEAPON_UNIQUE_MEDIANA_1</t>
  </si>
  <si>
    <t>SoulWeapon41</t>
  </si>
  <si>
    <t>WEAPON_UNIQUE_ODDY_1</t>
  </si>
  <si>
    <t>SoulWeapon42</t>
  </si>
  <si>
    <t>WEAPON_UNIQUE_VISKA_1</t>
  </si>
  <si>
    <t>SoulWeapon43</t>
  </si>
  <si>
    <t>WEAPON_UNIQUE_PRISCILLA_1</t>
  </si>
  <si>
    <t>SoulWeapon44</t>
  </si>
  <si>
    <t>WEAPON_UNIQUE_YANNE_1</t>
  </si>
  <si>
    <t>SoulWeapon45</t>
  </si>
  <si>
    <t>WEAPON_UNIQUE_ZAFIR_1</t>
  </si>
  <si>
    <t>SoulWeapon46</t>
  </si>
  <si>
    <t>WEAPON_UNIQUE_YURIA_1</t>
  </si>
  <si>
    <t>SoulWeapon47</t>
  </si>
  <si>
    <t>WEAPON_UNIQUE_OPHELIA_1</t>
  </si>
  <si>
    <t>SoulWeapon49</t>
  </si>
  <si>
    <t>WEAPON_UNIQUE_REQUINA_1</t>
  </si>
  <si>
    <t>SoulWeapon50</t>
  </si>
  <si>
    <t>WEAPON_UNIQUE_ASELICA_1</t>
  </si>
  <si>
    <t>SoulWeapon51</t>
  </si>
  <si>
    <t>WEAPON_UNIQUE_CROW_1</t>
  </si>
  <si>
    <t>SoulWeapon52</t>
  </si>
  <si>
    <t>SoulWeapon53</t>
  </si>
  <si>
    <t>WEAPON_UNIQUE_LAVRIL_1</t>
  </si>
  <si>
    <t>SoulWeapon54</t>
  </si>
  <si>
    <t>WEAPON_UNIQUE_SERIA_1</t>
  </si>
  <si>
    <t>SoulWeapon55</t>
  </si>
  <si>
    <t>WEAPON_UNIQUE_ERZE_1</t>
  </si>
  <si>
    <t>SoulWeapon56</t>
  </si>
  <si>
    <t>WEAPON_UNIQUE_LILIA_1</t>
  </si>
  <si>
    <t>SoulWeapon57</t>
  </si>
  <si>
    <t>WEAPON_UNIQUE_LAUDIA_1</t>
  </si>
  <si>
    <t>SoulWeapon58</t>
  </si>
  <si>
    <t>WEAPON_UNIQUE_LUCIAS_1</t>
  </si>
  <si>
    <t>SoulWeapon59</t>
  </si>
  <si>
    <t>WEAPON_UNIQUE_CHRISHA_1</t>
  </si>
  <si>
    <t>SoulWeapon60</t>
  </si>
  <si>
    <t>WEAPON_UNIQUE_NERAXIS_1</t>
  </si>
  <si>
    <t>SoulWeapon61</t>
  </si>
  <si>
    <t>WEAPON_UNIQUE_SCARLET_1</t>
  </si>
  <si>
    <t>SoulWeapon62</t>
  </si>
  <si>
    <t>WEAPON_UNIQUE_SONIA_1</t>
  </si>
  <si>
    <t>SoulWeapon63</t>
  </si>
  <si>
    <t>WEAPON_UNIQUE_ARTEMIA_1</t>
  </si>
  <si>
    <t>SoulWeapon64</t>
  </si>
  <si>
    <t>WEAPON_UNIQUE_MIRIANNE_1</t>
  </si>
  <si>
    <t>SoulWeapon65</t>
  </si>
  <si>
    <t>WEAPON_UNIQUE_SHEA_1</t>
  </si>
  <si>
    <t>SoulWeapon66</t>
  </si>
  <si>
    <t>WEAPON_UNIQUE_KARA_1</t>
  </si>
  <si>
    <t>SoulWeapon67</t>
  </si>
  <si>
    <t>WEAPON_UNIQUE_NIA_1</t>
  </si>
  <si>
    <t>SoulWeapon68</t>
  </si>
  <si>
    <t>WEAPON_UNIQUE_ESKER_1</t>
  </si>
  <si>
    <t>SoulWeapon69</t>
  </si>
  <si>
    <t>WEAPON_UNIQUE_CECILIA_1</t>
  </si>
  <si>
    <t>SoulWeapon70</t>
  </si>
  <si>
    <t>WEAPON_UNIQUE_KIRZE_1</t>
  </si>
  <si>
    <t>SoulWeapon71</t>
  </si>
  <si>
    <t>WEAPON_UNIQUE_CHASE_1</t>
  </si>
  <si>
    <t>SoulWeapon73</t>
  </si>
  <si>
    <t>WEAPON_UNIQUE_DAKARIS_1</t>
  </si>
  <si>
    <t>SoulWeapon75</t>
  </si>
  <si>
    <t>WEAPON_UNIQUE_BERNHEIM_1</t>
  </si>
  <si>
    <t>SoulWeapon78</t>
  </si>
  <si>
    <t>WEAPON_UNIQUE_GLENWYS_1</t>
  </si>
  <si>
    <t>WEAPON_UNIQUE_MAY_1</t>
  </si>
  <si>
    <t>SoulWeapon90</t>
    <phoneticPr fontId="10" type="noConversion"/>
  </si>
  <si>
    <t>WEAPON_UNIQUE_GLADI_1</t>
  </si>
  <si>
    <t>SoulWeapon91</t>
    <phoneticPr fontId="10" type="noConversion"/>
  </si>
  <si>
    <t>WEAPON_UNIQUE_VERONICA_1</t>
  </si>
  <si>
    <t>SoulWeapon92</t>
    <phoneticPr fontId="10" type="noConversion"/>
  </si>
  <si>
    <t>WEAPON_UNIQUE_LOMAN_1</t>
  </si>
  <si>
    <t>SoulWeapon93</t>
    <phoneticPr fontId="10" type="noConversion"/>
  </si>
  <si>
    <t>WEAPON_UNIQUE_JUNO_1</t>
  </si>
  <si>
    <t>SoulWeapon94</t>
    <phoneticPr fontId="10" type="noConversion"/>
  </si>
  <si>
    <t>WEAPON_UNIQUE_NICKY_1</t>
  </si>
  <si>
    <t>SoulWeapon95</t>
    <phoneticPr fontId="10" type="noConversion"/>
  </si>
  <si>
    <t>WEAPON_UNIQUE_DOSARTA_1</t>
  </si>
  <si>
    <t>SoulWeapon96</t>
    <phoneticPr fontId="10" type="noConversion"/>
  </si>
  <si>
    <t>WEAPON_UNIQUE_HANUS_1</t>
  </si>
  <si>
    <t>SoulWeapon97</t>
    <phoneticPr fontId="10" type="noConversion"/>
  </si>
  <si>
    <t>SOULSTONE_KASEL_1</t>
  </si>
  <si>
    <t>4</t>
    <phoneticPr fontId="10" type="noConversion"/>
  </si>
  <si>
    <t>SOULSTONE_FREY_1</t>
  </si>
  <si>
    <t>SOULSTONE_CLEO_1</t>
  </si>
  <si>
    <t>SOULSTONE_ROI_1</t>
  </si>
  <si>
    <t>SOULSTONE_GAU_1</t>
  </si>
  <si>
    <t>SOULSTONE_PHILLOP_1</t>
  </si>
  <si>
    <t>SOULSTONE_LAKRAK_1</t>
  </si>
  <si>
    <t>SOULSTONE_KAULAH_1</t>
  </si>
  <si>
    <t>SOULSTONE_EPIS_1</t>
  </si>
  <si>
    <t>SOULSTONE_SELENE_1</t>
  </si>
  <si>
    <t>SOULSTONE_MARIA_1</t>
  </si>
  <si>
    <t>SOULSTONE_MIRURU_1</t>
  </si>
  <si>
    <t>SOULSTONE_LORRAINE_1</t>
  </si>
  <si>
    <t>SOULSTONE_CLAUSE_1</t>
  </si>
  <si>
    <t>SOULSTONE_REPHY_1</t>
  </si>
  <si>
    <t>SOULSTONE_DIMAEL_1</t>
  </si>
  <si>
    <t>SOULSTONE_REINA_1</t>
  </si>
  <si>
    <t>SOULSTONE_PAVEL_1</t>
  </si>
  <si>
    <t>SOULSTONE_DEMIA_1</t>
  </si>
  <si>
    <t>SOULSTONE_NAILA_1</t>
  </si>
  <si>
    <t>SOULSTONE_RODINA_1</t>
  </si>
  <si>
    <t>SOULSTONE_MORRAH_1</t>
  </si>
  <si>
    <t>SOULSTONE_BAUDOUIN_1</t>
  </si>
  <si>
    <t>SOULSTONE_JANE_1</t>
  </si>
  <si>
    <t>SOULSTONE_AISHA_1</t>
  </si>
  <si>
    <t>SOULSTONE_LEO_1</t>
  </si>
  <si>
    <t>SOULSTONE_FLUSS_1</t>
  </si>
  <si>
    <t>SOULSTONE_LUNA_1</t>
  </si>
  <si>
    <t>SOULSTONE_ELL_1</t>
  </si>
  <si>
    <t>SOULSTONE_ARCH_1</t>
  </si>
  <si>
    <t>SOULSTONE_LEWSIA_1</t>
  </si>
  <si>
    <t>SOULSTONE_NICX_1</t>
  </si>
  <si>
    <t>SOULSTONE_ANNETTE_1</t>
  </si>
  <si>
    <t>SOULSTONE_MITRA_1</t>
  </si>
  <si>
    <t>SOULSTONE_RICARDO_1</t>
  </si>
  <si>
    <t>SOULSTONE_TANYA_1</t>
  </si>
  <si>
    <t>SOULSTONE_EZEKIEL_1</t>
  </si>
  <si>
    <t>SOULSTONE_CASSANDRA_1</t>
  </si>
  <si>
    <t>SOULSTONE_THEO_1</t>
  </si>
  <si>
    <t>SOULSTONE_MEDIANA_1</t>
  </si>
  <si>
    <t>SOULSTONE_ODDY_1</t>
  </si>
  <si>
    <t>SOULSTONE_VISKA_1</t>
  </si>
  <si>
    <t>SOULSTONE_PRISCILLA_1</t>
  </si>
  <si>
    <t>SOULSTONE_YANNE_1</t>
  </si>
  <si>
    <t>SOULSTONE_ZAFIR_1</t>
  </si>
  <si>
    <t>SOULSTONE_YURIA_1</t>
  </si>
  <si>
    <t>SOULSTONE_OPHELIA_1</t>
  </si>
  <si>
    <t>SOULSTONE_REQUINA_1</t>
  </si>
  <si>
    <t>SOULSTONE_ASELICA_1</t>
  </si>
  <si>
    <t>SOULSTONE_CROW_1</t>
  </si>
  <si>
    <t>SOULSTONE_LAVRIL_1</t>
  </si>
  <si>
    <t>SOULSTONE_SERIA_1</t>
  </si>
  <si>
    <t>SOULSTONE_ERZE_1</t>
  </si>
  <si>
    <t>SOULSTONE_LILIA_1</t>
  </si>
  <si>
    <t>SOULSTONE_LAUDIA_1</t>
  </si>
  <si>
    <t>SOULSTONE_LUCIAS_1</t>
  </si>
  <si>
    <t>SOULSTONE_CHRISHA_1</t>
  </si>
  <si>
    <t>SOULSTONE_NERAXIS_1</t>
  </si>
  <si>
    <t>SOULSTONE_SCARLET_1</t>
  </si>
  <si>
    <t>SOULSTONE_SONIA_1</t>
  </si>
  <si>
    <t>SOULSTONE_ARTEMIA_1</t>
  </si>
  <si>
    <t>SOULSTONE_MIRIANNE_1</t>
  </si>
  <si>
    <t>SOULSTONE_SHEA_1</t>
  </si>
  <si>
    <t>SOULSTONE_KARA_1</t>
  </si>
  <si>
    <t>SOULSTONE_NIA_1</t>
  </si>
  <si>
    <t>SOULSTONE_ESKER_1</t>
  </si>
  <si>
    <t>SOULSTONE_CECILIA_1</t>
  </si>
  <si>
    <t>SOULSTONE_KIRZE_1</t>
  </si>
  <si>
    <t>SOULSTONE_CHASE_1</t>
  </si>
  <si>
    <t>SOULSTONE_DAKARIS_1</t>
  </si>
  <si>
    <t>SOULSTONE_BERNHEIM_1</t>
  </si>
  <si>
    <t>SOULSTONE_GLENWYS_1</t>
  </si>
  <si>
    <t>SOULSTONE_MAY_1</t>
  </si>
  <si>
    <t>SOULSTONE_GLADI_1</t>
  </si>
  <si>
    <t>SOULSTONE_VERONICA_1</t>
  </si>
  <si>
    <t>SOULSTONE_LOMAN_1</t>
  </si>
  <si>
    <t>SOULSTONE_JUNO_1</t>
  </si>
  <si>
    <t>SOULSTONE_NICKY_1</t>
  </si>
  <si>
    <t>SOULSTONE_DOSARTA_1</t>
  </si>
  <si>
    <t>SOULSTONE_HANUS_1</t>
  </si>
  <si>
    <t>SOULSTONE_KAIN_1</t>
  </si>
  <si>
    <t>WEAPON_UNIQUE_KAIN_1</t>
    <phoneticPr fontId="10" type="noConversion"/>
  </si>
  <si>
    <t>SoulWeapon98</t>
    <phoneticPr fontId="10" type="noConversion"/>
  </si>
  <si>
    <t>ActiveConditionSkillIndices[]</t>
    <phoneticPr fontId="10" type="noConversion"/>
  </si>
  <si>
    <t>Attack</t>
    <phoneticPr fontId="10" type="noConversion"/>
  </si>
  <si>
    <t>Defence</t>
    <phoneticPr fontId="10" type="noConversion"/>
  </si>
  <si>
    <t>Time</t>
    <phoneticPr fontId="10" type="noConversion"/>
  </si>
  <si>
    <t>Heal</t>
    <phoneticPr fontId="10" type="noConversion"/>
  </si>
  <si>
    <t>Skill</t>
    <phoneticPr fontId="10" type="noConversion"/>
  </si>
  <si>
    <t>Mana</t>
    <phoneticPr fontId="10" type="noConversion"/>
  </si>
  <si>
    <t>StackTypeName</t>
    <phoneticPr fontId="10" type="noConversion"/>
  </si>
  <si>
    <t>Liberation[]</t>
    <phoneticPr fontId="10" type="noConversion"/>
  </si>
  <si>
    <t>ReinforceSuccess[]</t>
    <phoneticPr fontId="10" type="noConversion"/>
  </si>
  <si>
    <t>ReinforceFail[]</t>
    <phoneticPr fontId="10" type="noConversion"/>
  </si>
  <si>
    <t>WEAPON_UNIQUE_REPHY_1</t>
    <phoneticPr fontId="10" type="noConversion"/>
  </si>
  <si>
    <t>WEAPON_UNIQUE_AISHA_1</t>
    <phoneticPr fontId="10" type="noConversion"/>
  </si>
  <si>
    <t>WEAPON_UNIQUE_LEO_1</t>
    <phoneticPr fontId="10" type="noConversion"/>
  </si>
  <si>
    <t>WEAPON_UNIQUE_FLUSS_1</t>
    <phoneticPr fontId="10" type="noConversion"/>
  </si>
  <si>
    <t>WEAPON_UNIQUE_LUNA_1</t>
    <phoneticPr fontId="10" type="noConversion"/>
  </si>
  <si>
    <t>WEAPON_UNIQUE_ELL_1</t>
    <phoneticPr fontId="10" type="noConversion"/>
  </si>
  <si>
    <t>WEAPON_UNIQUE_ARCH_1</t>
    <phoneticPr fontId="10" type="noConversion"/>
  </si>
  <si>
    <t>WEAPON_UNIQUE_LEWSIA_1</t>
    <phoneticPr fontId="10" type="noConversion"/>
  </si>
  <si>
    <t>WEAPON_UNIQUE_NICX_1</t>
    <phoneticPr fontId="10" type="noConversion"/>
  </si>
  <si>
    <t>WEAPON_UNIQUE_ANNETTE_1</t>
    <phoneticPr fontId="10" type="noConversion"/>
  </si>
  <si>
    <t>WEAPON_UNIQUE_MITRA_1</t>
    <phoneticPr fontId="10" type="noConversion"/>
  </si>
  <si>
    <t>WEAPON_UNIQUE_TANYA_1</t>
    <phoneticPr fontId="10" type="noConversion"/>
  </si>
  <si>
    <t>WEAPON_UNIQUE_EZEKIEL_1</t>
    <phoneticPr fontId="10" type="noConversion"/>
  </si>
  <si>
    <t>WEAPON_UNIQUE_THEO_1</t>
    <phoneticPr fontId="10" type="noConversion"/>
  </si>
  <si>
    <t>WEAPON_UNIQUE_MEDIANA_1</t>
    <phoneticPr fontId="10" type="noConversion"/>
  </si>
  <si>
    <t>WEAPON_UNIQUE_VISKA_1</t>
    <phoneticPr fontId="10" type="noConversion"/>
  </si>
  <si>
    <t>WEAPON_UNIQUE_PRISCILLA_1</t>
    <phoneticPr fontId="10" type="noConversion"/>
  </si>
  <si>
    <t>WEAPON_UNIQUE_ZAFIR_1</t>
    <phoneticPr fontId="10" type="noConversion"/>
  </si>
  <si>
    <t>WEAPON_UNIQUE_YURIA_1</t>
    <phoneticPr fontId="10" type="noConversion"/>
  </si>
  <si>
    <t>WEAPON_UNIQUE_REHARTNA_1</t>
    <phoneticPr fontId="10" type="noConversion"/>
  </si>
  <si>
    <t>WEAPON_UNIQUE_ASELICA_1</t>
    <phoneticPr fontId="10" type="noConversion"/>
  </si>
  <si>
    <t>WEAPON_UNIQUE_CROW_1</t>
    <phoneticPr fontId="10" type="noConversion"/>
  </si>
  <si>
    <t>WEAPON_UNIQUE_SHAMILLA_1</t>
    <phoneticPr fontId="10" type="noConversion"/>
  </si>
  <si>
    <t>WEAPON_UNIQUE_LAVRIL_1</t>
    <phoneticPr fontId="10" type="noConversion"/>
  </si>
  <si>
    <t>WEAPON_UNIQUE_SERIA_1</t>
    <phoneticPr fontId="10" type="noConversion"/>
  </si>
  <si>
    <t>WEAPON_UNIQUE_ERZE_1</t>
    <phoneticPr fontId="10" type="noConversion"/>
  </si>
  <si>
    <t>WEAPON_UNIQUE_LILIA_1</t>
    <phoneticPr fontId="10" type="noConversion"/>
  </si>
  <si>
    <t>WEAPON_UNIQUE_LAUDIA_1</t>
    <phoneticPr fontId="10" type="noConversion"/>
  </si>
  <si>
    <t>WEAPON_UNIQUE_LUCIAS_1</t>
    <phoneticPr fontId="10" type="noConversion"/>
  </si>
  <si>
    <t>WEAPON_UNIQUE_CHRISHA_1</t>
    <phoneticPr fontId="10" type="noConversion"/>
  </si>
  <si>
    <t>WEAPON_UNIQUE_NERAXIS_1</t>
    <phoneticPr fontId="10" type="noConversion"/>
  </si>
  <si>
    <t>WEAPON_UNIQUE_SCARLET_1</t>
    <phoneticPr fontId="10" type="noConversion"/>
  </si>
  <si>
    <t>WEAPON_UNIQUE_SONIA_1</t>
    <phoneticPr fontId="10" type="noConversion"/>
  </si>
  <si>
    <t>WEAPON_UNIQUE_ARTEMIA_1</t>
    <phoneticPr fontId="10" type="noConversion"/>
  </si>
  <si>
    <t>WEAPON_UNIQUE_MIRIANNE_1</t>
    <phoneticPr fontId="10" type="noConversion"/>
  </si>
  <si>
    <t>WEAPON_UNIQUE_SHEA_1</t>
    <phoneticPr fontId="10" type="noConversion"/>
  </si>
  <si>
    <t>WEAPON_UNIQUE_KARA_1</t>
    <phoneticPr fontId="10" type="noConversion"/>
  </si>
  <si>
    <t>WEAPON_UNIQUE_NIA_1</t>
    <phoneticPr fontId="10" type="noConversion"/>
  </si>
  <si>
    <t>WEAPON_UNIQUE_ESKER_1</t>
    <phoneticPr fontId="10" type="noConversion"/>
  </si>
  <si>
    <t>WEAPON_UNIQUE_CECILIA_1</t>
    <phoneticPr fontId="10" type="noConversion"/>
  </si>
  <si>
    <t>WEAPON_UNIQUE_KIRZE_1</t>
    <phoneticPr fontId="10" type="noConversion"/>
  </si>
  <si>
    <t>WEAPON_UNIQUE_CHASE_1</t>
    <phoneticPr fontId="10" type="noConversion"/>
  </si>
  <si>
    <t>WEAPON_UNIQUE_DAKARIS_1</t>
    <phoneticPr fontId="10" type="noConversion"/>
  </si>
  <si>
    <t>WEAPON_UNIQUE_BERNHEIM_1</t>
    <phoneticPr fontId="10" type="noConversion"/>
  </si>
  <si>
    <t>WEAPON_UNIQUE_GLENWYS_1</t>
    <phoneticPr fontId="10" type="noConversion"/>
  </si>
  <si>
    <t>WEAPON_UNIQUE_MAY_1</t>
    <phoneticPr fontId="10" type="noConversion"/>
  </si>
  <si>
    <t>WEAPON_UNIQUE_GLADI_1</t>
    <phoneticPr fontId="10" type="noConversion"/>
  </si>
  <si>
    <t>WEAPON_UNIQUE_JUNO_1</t>
    <phoneticPr fontId="10" type="noConversion"/>
  </si>
  <si>
    <t>WEAPON_UNIQUE_NICKY_1</t>
    <phoneticPr fontId="10" type="noConversion"/>
  </si>
  <si>
    <t>WEAPON_UNIQUE_DOSARTA_1</t>
    <phoneticPr fontId="10" type="noConversion"/>
  </si>
  <si>
    <t>WEAPON_UNIQUE_HANUS_1</t>
    <phoneticPr fontId="10" type="noConversion"/>
  </si>
  <si>
    <t>RewardIndex</t>
    <phoneticPr fontId="10" type="noConversion"/>
  </si>
  <si>
    <t>WEAPON_UNIQUE_SHAMILLA_1</t>
    <phoneticPr fontId="10" type="noConversion"/>
  </si>
  <si>
    <t>SOULWEAPON_RANDOM_FRAGMENT</t>
  </si>
  <si>
    <t>65011</t>
    <phoneticPr fontId="10" type="noConversion"/>
  </si>
  <si>
    <t>TagType</t>
    <phoneticPr fontId="10" type="noConversion"/>
  </si>
  <si>
    <t>Warrior</t>
    <phoneticPr fontId="10" type="noConversion"/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</si>
  <si>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</si>
  <si>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</si>
  <si>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</si>
  <si>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</si>
  <si>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</si>
  <si>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</si>
  <si>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</si>
  <si>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</si>
  <si>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</si>
  <si>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</si>
  <si>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</si>
  <si>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</si>
  <si>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</si>
  <si>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</si>
  <si>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</si>
  <si>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</si>
  <si>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</si>
  <si>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</si>
  <si>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</si>
  <si>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</si>
  <si>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</si>
  <si>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</si>
  <si>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</si>
  <si>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</si>
  <si>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</si>
  <si>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</si>
  <si>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</si>
  <si>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</si>
  <si>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</si>
  <si>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</si>
  <si>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</si>
  <si>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</si>
  <si>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</si>
  <si>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</si>
  <si>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</si>
  <si>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</si>
  <si>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</si>
  <si>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</si>
  <si>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</si>
  <si>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</si>
  <si>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</si>
  <si>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</si>
  <si>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</si>
  <si>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</si>
  <si>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</si>
  <si>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</si>
  <si>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</si>
  <si>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</si>
  <si>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</si>
  <si>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</si>
  <si>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</si>
  <si>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</si>
  <si>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</si>
  <si>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</si>
  <si>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</si>
  <si>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</si>
  <si>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</si>
  <si>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</si>
  <si>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</si>
  <si>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</si>
  <si>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</si>
  <si>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</si>
  <si>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</si>
  <si>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</si>
  <si>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</si>
  <si>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</si>
  <si>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</si>
  <si>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</si>
  <si>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</si>
  <si>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</si>
  <si>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</si>
  <si>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</si>
  <si>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</si>
  <si>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</si>
  <si>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</si>
  <si>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</si>
  <si>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</si>
  <si>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</si>
  <si>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</si>
  <si>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</si>
  <si>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</si>
  <si>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</si>
  <si>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</si>
  <si>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</si>
  <si>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</si>
  <si>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</si>
  <si>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</si>
  <si>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</si>
  <si>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</si>
  <si>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</si>
  <si>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</si>
  <si>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</si>
  <si>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</si>
  <si>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</si>
  <si>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</si>
  <si>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</si>
  <si>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</si>
  <si>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</si>
  <si>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</si>
  <si>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</si>
  <si>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</si>
  <si>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</si>
  <si>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</si>
  <si>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</si>
  <si>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</si>
  <si>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</si>
  <si>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</si>
  <si>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</si>
  <si>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</si>
  <si>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</si>
  <si>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</si>
  <si>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</si>
  <si>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</si>
  <si>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</si>
  <si>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</si>
  <si>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</si>
  <si>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</si>
  <si>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</si>
  <si>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</si>
  <si>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</si>
  <si>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</si>
  <si>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</si>
  <si>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</si>
  <si>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</si>
  <si>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</si>
  <si>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</si>
  <si>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</si>
  <si>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</si>
  <si>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</si>
  <si>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</si>
  <si>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</si>
  <si>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</si>
  <si>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</si>
  <si>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</si>
  <si>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</si>
  <si>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</si>
  <si>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</si>
  <si>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</si>
  <si>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</si>
  <si>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</si>
  <si>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</si>
  <si>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</si>
  <si>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</si>
  <si>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</si>
  <si>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</si>
  <si>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</si>
  <si>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</si>
  <si>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</si>
  <si>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</si>
  <si>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</si>
  <si>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</si>
  <si>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</si>
  <si>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</si>
  <si>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</si>
  <si>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</si>
  <si>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</si>
  <si>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</si>
  <si>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</si>
  <si>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</si>
  <si>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</si>
  <si>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</si>
  <si>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</si>
  <si>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</si>
  <si>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</si>
  <si>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</si>
  <si>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</si>
  <si>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</si>
  <si>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</si>
  <si>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</si>
  <si>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</si>
  <si>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</si>
  <si>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</si>
  <si>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</si>
  <si>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</si>
  <si>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</si>
  <si>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</si>
  <si>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</si>
  <si>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</si>
  <si>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</si>
  <si>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</si>
  <si>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</si>
  <si>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</si>
  <si>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</si>
  <si>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</si>
  <si>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</si>
  <si>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</si>
  <si>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</si>
  <si>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</si>
  <si>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</si>
  <si>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</si>
  <si>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</si>
  <si>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</si>
  <si>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</si>
  <si>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</si>
  <si>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</si>
  <si>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</si>
  <si>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</si>
  <si>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</si>
  <si>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</si>
  <si>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</si>
  <si>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</si>
  <si>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</si>
  <si>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</si>
  <si>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</si>
  <si>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</si>
  <si>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</si>
  <si>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</si>
  <si>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</si>
  <si>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</si>
  <si>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</si>
  <si>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</si>
  <si>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</si>
  <si>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</si>
  <si>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</si>
  <si>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</si>
  <si>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</si>
  <si>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</si>
  <si>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</si>
  <si>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</si>
  <si>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</si>
  <si>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</si>
  <si>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</si>
  <si>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</si>
  <si>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</si>
  <si>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</si>
  <si>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</si>
  <si>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</si>
  <si>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</si>
  <si>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</si>
  <si>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</si>
  <si>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</si>
  <si>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</si>
  <si>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</si>
  <si>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</si>
  <si>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</si>
  <si>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</si>
  <si>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</si>
  <si>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</si>
  <si>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</si>
  <si>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</si>
  <si>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</si>
  <si>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</si>
  <si>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</si>
  <si>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</si>
  <si>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</si>
  <si>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</si>
  <si>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</si>
  <si>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</si>
  <si>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</si>
  <si>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</si>
  <si>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</si>
  <si>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</si>
  <si>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</si>
  <si>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</si>
  <si>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</si>
  <si>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</si>
  <si>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</si>
  <si>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</si>
  <si>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</si>
  <si>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</si>
  <si>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</si>
  <si>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</si>
  <si>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</si>
  <si>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</si>
  <si>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</si>
  <si>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</si>
  <si>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</si>
  <si>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</si>
  <si>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</si>
  <si>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</si>
  <si>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</si>
  <si>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</si>
  <si>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</si>
  <si>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</si>
  <si>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</si>
  <si>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</si>
  <si>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</si>
  <si>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</si>
  <si>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</si>
  <si>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</si>
  <si>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</si>
  <si>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</si>
  <si>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</si>
  <si>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</si>
  <si>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</si>
  <si>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</si>
  <si>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</si>
  <si>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</si>
  <si>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</si>
  <si>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</si>
  <si>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</si>
  <si>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</si>
  <si>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</si>
  <si>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</si>
  <si>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</si>
  <si>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</si>
  <si>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</si>
  <si>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</si>
  <si>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</si>
  <si>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</si>
  <si>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</si>
  <si>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</si>
  <si>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</si>
  <si>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</si>
  <si>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</si>
  <si>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</si>
  <si>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</si>
  <si>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</si>
  <si>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</si>
  <si>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</si>
  <si>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</si>
  <si>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</si>
  <si>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</si>
  <si>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</si>
  <si>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</si>
  <si>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</si>
  <si>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</si>
  <si>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</si>
  <si>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</si>
  <si>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</si>
  <si>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</si>
  <si>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</si>
  <si>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</si>
  <si>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</si>
  <si>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</si>
  <si>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</si>
  <si>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</si>
  <si>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</si>
  <si>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</si>
  <si>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</si>
  <si>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</si>
  <si>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</si>
  <si>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</si>
  <si>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</si>
  <si>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</si>
  <si>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</si>
  <si>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</si>
  <si>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</si>
  <si>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</si>
  <si>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</si>
  <si>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</si>
  <si>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</si>
  <si>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</si>
  <si>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</si>
  <si>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</si>
  <si>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</si>
  <si>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</si>
  <si>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</si>
  <si>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</si>
  <si>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</si>
  <si>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</si>
  <si>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</si>
  <si>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</si>
  <si>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</si>
  <si>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</si>
  <si>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</si>
  <si>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</si>
  <si>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</si>
  <si>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</si>
  <si>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</si>
  <si>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</si>
  <si>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</si>
  <si>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</si>
  <si>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</si>
  <si>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</si>
  <si>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</si>
  <si>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</si>
  <si>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</si>
  <si>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</si>
  <si>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</si>
  <si>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</si>
  <si>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</si>
  <si>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</si>
  <si>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</si>
  <si>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</si>
  <si>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</si>
  <si>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</si>
  <si>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</si>
  <si>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8</t>
    <phoneticPr fontId="10" type="noConversion"/>
  </si>
  <si>
    <t>SOULSTONE_REHARTNA_1</t>
    <phoneticPr fontId="10" type="noConversion"/>
  </si>
  <si>
    <t>WEAPON_UNIQUE_REHARTNA_1</t>
    <phoneticPr fontId="10" type="noConversion"/>
  </si>
  <si>
    <t>SoulWeapon48</t>
  </si>
  <si>
    <t>10000000</t>
    <phoneticPr fontId="10" type="noConversion"/>
  </si>
  <si>
    <t>20000000</t>
    <phoneticPr fontId="10" type="noConversion"/>
  </si>
  <si>
    <t>30000000</t>
    <phoneticPr fontId="10" type="noConversion"/>
  </si>
  <si>
    <t>40000000</t>
    <phoneticPr fontId="10" type="noConversion"/>
  </si>
  <si>
    <t>SOULSTONE_SHAMILLA_1</t>
  </si>
  <si>
    <t>Wizard</t>
  </si>
  <si>
    <t>(Type)</t>
    <phoneticPr fontId="10" type="noConversion"/>
  </si>
  <si>
    <t>SOULWEAPON_RANDOM_FRAGMENT_KNIGHT</t>
    <phoneticPr fontId="10" type="noConversion"/>
  </si>
  <si>
    <t>200</t>
    <phoneticPr fontId="10" type="noConversion"/>
  </si>
  <si>
    <t>SOULWEAPON_ETHER_1</t>
  </si>
  <si>
    <t>SOULWEAPON_ETHER_2</t>
  </si>
  <si>
    <t>93000310,93000311</t>
    <phoneticPr fontId="10" type="noConversion"/>
  </si>
  <si>
    <t>93005310,93005311</t>
    <phoneticPr fontId="10" type="noConversion"/>
  </si>
  <si>
    <t>93000110</t>
    <phoneticPr fontId="10" type="noConversion"/>
  </si>
  <si>
    <t>93000210</t>
    <phoneticPr fontId="10" type="noConversion"/>
  </si>
  <si>
    <t>93000410</t>
    <phoneticPr fontId="10" type="noConversion"/>
  </si>
  <si>
    <t>93002510,93002513</t>
    <phoneticPr fontId="10" type="noConversion"/>
  </si>
  <si>
    <t>93003010</t>
    <phoneticPr fontId="10" type="noConversion"/>
  </si>
  <si>
    <t>93003410</t>
    <phoneticPr fontId="10" type="noConversion"/>
  </si>
  <si>
    <t>93003610,93003612</t>
    <phoneticPr fontId="10" type="noConversion"/>
  </si>
  <si>
    <t>93004010</t>
    <phoneticPr fontId="10" type="noConversion"/>
  </si>
  <si>
    <t>93004610</t>
    <phoneticPr fontId="10" type="noConversion"/>
  </si>
  <si>
    <t>93005710</t>
    <phoneticPr fontId="10" type="noConversion"/>
  </si>
  <si>
    <t>93005810</t>
    <phoneticPr fontId="10" type="noConversion"/>
  </si>
  <si>
    <t>93006410</t>
    <phoneticPr fontId="10" type="noConversion"/>
  </si>
  <si>
    <t>93006510</t>
    <phoneticPr fontId="10" type="noConversion"/>
  </si>
  <si>
    <t>93007010</t>
    <phoneticPr fontId="10" type="noConversion"/>
  </si>
  <si>
    <t>93007810,93007812</t>
    <phoneticPr fontId="10" type="noConversion"/>
  </si>
  <si>
    <t>93009810</t>
    <phoneticPr fontId="10" type="noConversion"/>
  </si>
  <si>
    <t>SOULWEAPON_RANDOM_FRAGMENT_WARRIOR</t>
  </si>
  <si>
    <t>SOULWEAPON_RANDOM_FRAGMENT_ASSASSIN</t>
  </si>
  <si>
    <t>SOULWEAPON_RANDOM_FRAGMENT_ARCHER</t>
  </si>
  <si>
    <t>SOULWEAPON_RANDOM_FRAGMENT_MECHANIC</t>
  </si>
  <si>
    <t>SOULWEAPON_RANDOM_FRAGMENT_WIZARD</t>
  </si>
  <si>
    <t>SOULWEAPON_RANDOM_FRAGMENT_PRIEST</t>
  </si>
  <si>
    <t>SOULWEAPON_ETHER_1,SOULWEAPON_ETHER_2</t>
    <phoneticPr fontId="10" type="noConversion"/>
  </si>
  <si>
    <t>SOULWEAPON_ETHER_1,SOULWEAPON_ETHER_2,SOULWEAPON_ETHER_3</t>
    <phoneticPr fontId="10" type="noConversion"/>
  </si>
  <si>
    <t>Item/3dModel_SoulWeapon,SOULWEAPON_KASEL_REINFORCESUCCESS</t>
    <phoneticPr fontId="10" type="noConversion"/>
  </si>
  <si>
    <t>Item/3dModel_SoulWeapon,SOULWEAPON_KASEL_REINFORCEFAIL</t>
    <phoneticPr fontId="10" type="noConversion"/>
  </si>
  <si>
    <t>Item/3dModel_SoulWeapon,SOULWEAPON_FREY_REINFORCESUCCESS</t>
  </si>
  <si>
    <t>Item/3dModel_SoulWeapon,SOULWEAPON_FREY_REINFORCEFAIL</t>
  </si>
  <si>
    <t>SoulStoneCreatureIndex</t>
    <phoneticPr fontId="10" type="noConversion"/>
  </si>
  <si>
    <t>WeaponCreatureIndex</t>
    <phoneticPr fontId="10" type="noConversion"/>
  </si>
  <si>
    <t>0,1,0</t>
    <phoneticPr fontId="10" type="noConversion"/>
  </si>
  <si>
    <t>0,90,0</t>
    <phoneticPr fontId="10" type="noConversion"/>
  </si>
  <si>
    <t>0,1.8,0</t>
    <phoneticPr fontId="10" type="noConversion"/>
  </si>
  <si>
    <t>0,2.4,0</t>
    <phoneticPr fontId="10" type="noConversion"/>
  </si>
  <si>
    <t>Item/3dModel_SoulWeapon,SOULWEAPON_CLEO_REINFORCESUCCESS</t>
  </si>
  <si>
    <t>Item/3dModel_SoulWeapon,SOULWEAPON_CLEO_REINFORCEFAIL</t>
  </si>
  <si>
    <t>Item/3dModel_SoulWeapon,SOULWEAPON_ROI_REINFORCESUCCESS</t>
  </si>
  <si>
    <t>Item/3dModel_SoulWeapon,SOULWEAPON_ROI_REINFORCEFAIL</t>
  </si>
  <si>
    <t>Item/3dModel_SoulWeapon,SOULWEAPON_GAU_REINFORCESUCCESS</t>
  </si>
  <si>
    <t>Item/3dModel_SoulWeapon,SOULWEAPON_GAU_REINFORCEFAIL</t>
  </si>
  <si>
    <t>Item/3dModel_SoulWeapon,SOULWEAPON_PHILLOP_REINFORCESUCCESS</t>
  </si>
  <si>
    <t>Item/3dModel_SoulWeapon,SOULWEAPON_PHILLOP_REINFORCEFAIL</t>
  </si>
  <si>
    <t>Item/3dModel_SoulWeapon,SOULWEAPON_LAKRAK_REINFORCESUCCESS</t>
  </si>
  <si>
    <t>Item/3dModel_SoulWeapon,SOULWEAPON_LAKRAK_REINFORCEFAIL</t>
  </si>
  <si>
    <t>Item/3dModel_SoulWeapon,SOULWEAPON_KAULAH_REINFORCESUCCESS</t>
  </si>
  <si>
    <t>Item/3dModel_SoulWeapon,SOULWEAPON_KAULAH_REINFORCEFAIL</t>
  </si>
  <si>
    <t>Item/3dModel_SoulWeapon,SOULWEAPON_EPIS_REINFORCESUCCESS</t>
  </si>
  <si>
    <t>Item/3dModel_SoulWeapon,SOULWEAPON_EPIS_REINFORCEFAIL</t>
  </si>
  <si>
    <t>Item/3dModel_SoulWeapon,SOULWEAPON_SELENE_REINFORCESUCCESS</t>
  </si>
  <si>
    <t>Item/3dModel_SoulWeapon,SOULWEAPON_SELENE_REINFORCEFAIL</t>
  </si>
  <si>
    <t>Item/3dModel_SoulWeapon,SOULWEAPON_MARIA_REINFORCESUCCESS</t>
  </si>
  <si>
    <t>Item/3dModel_SoulWeapon,SOULWEAPON_MARIA_REINFORCEFAIL</t>
  </si>
  <si>
    <t>Item/3dModel_SoulWeapon,SOULWEAPON_MIRURU_REINFORCESUCCESS</t>
  </si>
  <si>
    <t>Item/3dModel_SoulWeapon,SOULWEAPON_MIRURU_REINFORCEFAIL</t>
  </si>
  <si>
    <t>Item/3dModel_SoulWeapon,SOULWEAPON_LORRAINE_REINFORCESUCCESS</t>
  </si>
  <si>
    <t>Item/3dModel_SoulWeapon,SOULWEAPON_LORRAINE_REINFORCEFAIL</t>
  </si>
  <si>
    <t>Item/3dModel_SoulWeapon,SOULWEAPON_MAYA_REINFORCESUCCESS</t>
  </si>
  <si>
    <t>Item/3dModel_SoulWeapon,SOULWEAPON_MAYA_REINFORCEFAIL</t>
  </si>
  <si>
    <t>Item/3dModel_SoulWeapon,SOULWEAPON_CLAUSE_REINFORCESUCCESS</t>
  </si>
  <si>
    <t>Item/3dModel_SoulWeapon,SOULWEAPON_CLAUSE_REINFORCEFAIL</t>
  </si>
  <si>
    <t>Item/3dModel_SoulWeapon,SOULWEAPON_REPHY_REINFORCESUCCESS</t>
  </si>
  <si>
    <t>Item/3dModel_SoulWeapon,SOULWEAPON_REPHY_REINFORCEFAIL</t>
  </si>
  <si>
    <t>Item/3dModel_SoulWeapon,SOULWEAPON_DIMAEL_REINFORCESUCCESS</t>
  </si>
  <si>
    <t>Item/3dModel_SoulWeapon,SOULWEAPON_DIMAEL_REINFORCEFAIL</t>
  </si>
  <si>
    <t>Item/3dModel_SoulWeapon,SOULWEAPON_REINA_REINFORCESUCCESS</t>
  </si>
  <si>
    <t>Item/3dModel_SoulWeapon,SOULWEAPON_REINA_REINFORCEFAIL</t>
  </si>
  <si>
    <t>Item/3dModel_SoulWeapon,SOULWEAPON_PAVEL_REINFORCESUCCESS</t>
  </si>
  <si>
    <t>Item/3dModel_SoulWeapon,SOULWEAPON_PAVEL_REINFORCEFAIL</t>
  </si>
  <si>
    <t>Item/3dModel_SoulWeapon,SOULWEAPON_DEMIA_REINFORCESUCCESS</t>
  </si>
  <si>
    <t>Item/3dModel_SoulWeapon,SOULWEAPON_DEMIA_REINFORCEFAIL</t>
  </si>
  <si>
    <t>Item/3dModel_SoulWeapon,SOULWEAPON_NAILA_REINFORCESUCCESS</t>
  </si>
  <si>
    <t>Item/3dModel_SoulWeapon,SOULWEAPON_NAILA_REINFORCEFAIL</t>
  </si>
  <si>
    <t>Item/3dModel_SoulWeapon,SOULWEAPON_RODINA_REINFORCESUCCESS</t>
  </si>
  <si>
    <t>Item/3dModel_SoulWeapon,SOULWEAPON_RODINA_REINFORCEFAIL</t>
  </si>
  <si>
    <t>Item/3dModel_SoulWeapon,SOULWEAPON_MORRAH_REINFORCESUCCESS</t>
  </si>
  <si>
    <t>Item/3dModel_SoulWeapon,SOULWEAPON_MORRAH_REINFORCEFAIL</t>
  </si>
  <si>
    <t>Item/3dModel_SoulWeapon,SOULWEAPON_BAUDOUIN_REINFORCESUCCESS</t>
  </si>
  <si>
    <t>Item/3dModel_SoulWeapon,SOULWEAPON_BAUDOUIN_REINFORCEFAIL</t>
  </si>
  <si>
    <t>Item/3dModel_SoulWeapon,SOULWEAPON_JANE_REINFORCESUCCESS</t>
  </si>
  <si>
    <t>Item/3dModel_SoulWeapon,SOULWEAPON_JANE_REINFORCEFAIL</t>
  </si>
  <si>
    <t>Item/3dModel_SoulWeapon,SOULWEAPON_AISHA_REINFORCESUCCESS</t>
  </si>
  <si>
    <t>Item/3dModel_SoulWeapon,SOULWEAPON_AISHA_REINFORCEFAIL</t>
  </si>
  <si>
    <t>Item/3dModel_SoulWeapon,SOULWEAPON_LEO_REINFORCESUCCESS</t>
  </si>
  <si>
    <t>Item/3dModel_SoulWeapon,SOULWEAPON_LEO_REINFORCEFAIL</t>
  </si>
  <si>
    <t>Item/3dModel_SoulWeapon,SOULWEAPON_FLUSS_REINFORCESUCCESS</t>
  </si>
  <si>
    <t>Item/3dModel_SoulWeapon,SOULWEAPON_FLUSS_REINFORCEFAIL</t>
  </si>
  <si>
    <t>Item/3dModel_SoulWeapon,SOULWEAPON_LUNA_REINFORCESUCCESS</t>
  </si>
  <si>
    <t>Item/3dModel_SoulWeapon,SOULWEAPON_LUNA_REINFORCEFAIL</t>
  </si>
  <si>
    <t>Item/3dModel_SoulWeapon,SOULWEAPON_ELL_REINFORCESUCCESS</t>
  </si>
  <si>
    <t>Item/3dModel_SoulWeapon,SOULWEAPON_ELL_REINFORCEFAIL</t>
  </si>
  <si>
    <t>Item/3dModel_SoulWeapon,SOULWEAPON_ARCH_REINFORCESUCCESS</t>
  </si>
  <si>
    <t>Item/3dModel_SoulWeapon,SOULWEAPON_ARCH_REINFORCEFAIL</t>
  </si>
  <si>
    <t>Item/3dModel_SoulWeapon,SOULWEAPON_LEWSIA_REINFORCESUCCESS</t>
  </si>
  <si>
    <t>Item/3dModel_SoulWeapon,SOULWEAPON_LEWSIA_REINFORCEFAIL</t>
  </si>
  <si>
    <t>Item/3dModel_SoulWeapon,SOULWEAPON_NICX_REINFORCESUCCESS</t>
  </si>
  <si>
    <t>Item/3dModel_SoulWeapon,SOULWEAPON_NICX_REINFORCEFAIL</t>
  </si>
  <si>
    <t>Item/3dModel_SoulWeapon,SOULWEAPON_ANNETTE_REINFORCESUCCESS</t>
  </si>
  <si>
    <t>Item/3dModel_SoulWeapon,SOULWEAPON_ANNETTE_REINFORCEFAIL</t>
  </si>
  <si>
    <t>Item/3dModel_SoulWeapon,SOULWEAPON_MITRA_REINFORCESUCCESS</t>
  </si>
  <si>
    <t>Item/3dModel_SoulWeapon,SOULWEAPON_MITRA_REINFORCEFAIL</t>
  </si>
  <si>
    <t>Item/3dModel_SoulWeapon,SOULWEAPON_RICARDO_REINFORCESUCCESS</t>
  </si>
  <si>
    <t>Item/3dModel_SoulWeapon,SOULWEAPON_RICARDO_REINFORCEFAIL</t>
  </si>
  <si>
    <t>Item/3dModel_SoulWeapon,SOULWEAPON_TANYA_REINFORCESUCCESS</t>
  </si>
  <si>
    <t>Item/3dModel_SoulWeapon,SOULWEAPON_TANYA_REINFORCEFAIL</t>
  </si>
  <si>
    <t>Item/3dModel_SoulWeapon,SOULWEAPON_EZEKIEL_REINFORCESUCCESS</t>
  </si>
  <si>
    <t>Item/3dModel_SoulWeapon,SOULWEAPON_EZEKIEL_REINFORCEFAIL</t>
  </si>
  <si>
    <t>Item/3dModel_SoulWeapon,SOULWEAPON_CASSANDRA_REINFORCESUCCESS</t>
  </si>
  <si>
    <t>Item/3dModel_SoulWeapon,SOULWEAPON_CASSANDRA_REINFORCEFAIL</t>
  </si>
  <si>
    <t>Item/3dModel_SoulWeapon,SOULWEAPON_THEO_REINFORCESUCCESS</t>
  </si>
  <si>
    <t>Item/3dModel_SoulWeapon,SOULWEAPON_THEO_REINFORCEFAIL</t>
  </si>
  <si>
    <t>Item/3dModel_SoulWeapon,SOULWEAPON_MEDIANA_REINFORCESUCCESS</t>
  </si>
  <si>
    <t>Item/3dModel_SoulWeapon,SOULWEAPON_MEDIANA_REINFORCEFAIL</t>
  </si>
  <si>
    <t>Item/3dModel_SoulWeapon,SOULWEAPON_ODDY_REINFORCESUCCESS</t>
  </si>
  <si>
    <t>Item/3dModel_SoulWeapon,SOULWEAPON_ODDY_REINFORCEFAIL</t>
  </si>
  <si>
    <t>Item/3dModel_SoulWeapon,SOULWEAPON_VISKA_REINFORCESUCCESS</t>
  </si>
  <si>
    <t>Item/3dModel_SoulWeapon,SOULWEAPON_VISKA_REINFORCEFAIL</t>
  </si>
  <si>
    <t>Item/3dModel_SoulWeapon,SOULWEAPON_PRISCILLA_REINFORCESUCCESS</t>
  </si>
  <si>
    <t>Item/3dModel_SoulWeapon,SOULWEAPON_PRISCILLA_REINFORCEFAIL</t>
  </si>
  <si>
    <t>Item/3dModel_SoulWeapon,SOULWEAPON_YANNE_REINFORCESUCCESS</t>
  </si>
  <si>
    <t>Item/3dModel_SoulWeapon,SOULWEAPON_YANNE_REINFORCEFAIL</t>
  </si>
  <si>
    <t>Item/3dModel_SoulWeapon,SOULWEAPON_ZAFIR_REINFORCESUCCESS</t>
  </si>
  <si>
    <t>Item/3dModel_SoulWeapon,SOULWEAPON_ZAFIR_REINFORCEFAIL</t>
  </si>
  <si>
    <t>Item/3dModel_SoulWeapon,SOULWEAPON_YURIA_REINFORCESUCCESS</t>
  </si>
  <si>
    <t>Item/3dModel_SoulWeapon,SOULWEAPON_YURIA_REINFORCEFAIL</t>
  </si>
  <si>
    <t>Item/3dModel_SoulWeapon,SOULWEAPON_REHARTNA_REINFORCESUCCESS</t>
  </si>
  <si>
    <t>Item/3dModel_SoulWeapon,SOULWEAPON_REHARTNA_REINFORCEFAIL</t>
  </si>
  <si>
    <t>Item/3dModel_SoulWeapon,SOULWEAPON_OPHELIA_REINFORCESUCCESS</t>
  </si>
  <si>
    <t>Item/3dModel_SoulWeapon,SOULWEAPON_OPHELIA_REINFORCEFAIL</t>
  </si>
  <si>
    <t>Item/3dModel_SoulWeapon,SOULWEAPON_REQUINA_REINFORCESUCCESS</t>
  </si>
  <si>
    <t>Item/3dModel_SoulWeapon,SOULWEAPON_REQUINA_REINFORCEFAIL</t>
  </si>
  <si>
    <t>Item/3dModel_SoulWeapon,SOULWEAPON_ASELICA_REINFORCESUCCESS</t>
  </si>
  <si>
    <t>Item/3dModel_SoulWeapon,SOULWEAPON_ASELICA_REINFORCEFAIL</t>
  </si>
  <si>
    <t>Item/3dModel_SoulWeapon,SOULWEAPON_CROW_REINFORCESUCCESS</t>
  </si>
  <si>
    <t>Item/3dModel_SoulWeapon,SOULWEAPON_CROW_REINFORCEFAIL</t>
  </si>
  <si>
    <t>Item/3dModel_SoulWeapon,SOULWEAPON_SHAMILLA_REINFORCESUCCESS</t>
  </si>
  <si>
    <t>Item/3dModel_SoulWeapon,SOULWEAPON_SHAMILLA_REINFORCEFAIL</t>
  </si>
  <si>
    <t>Item/3dModel_SoulWeapon,SOULWEAPON_LAVRIL_REINFORCESUCCESS</t>
  </si>
  <si>
    <t>Item/3dModel_SoulWeapon,SOULWEAPON_LAVRIL_REINFORCEFAIL</t>
  </si>
  <si>
    <t>Item/3dModel_SoulWeapon,SOULWEAPON_SERIA_REINFORCESUCCESS</t>
  </si>
  <si>
    <t>Item/3dModel_SoulWeapon,SOULWEAPON_SERIA_REINFORCEFAIL</t>
  </si>
  <si>
    <t>Item/3dModel_SoulWeapon,SOULWEAPON_ERZE_REINFORCESUCCESS</t>
  </si>
  <si>
    <t>Item/3dModel_SoulWeapon,SOULWEAPON_ERZE_REINFORCEFAIL</t>
  </si>
  <si>
    <t>Item/3dModel_SoulWeapon,SOULWEAPON_LILIA_REINFORCESUCCESS</t>
  </si>
  <si>
    <t>Item/3dModel_SoulWeapon,SOULWEAPON_LILIA_REINFORCEFAIL</t>
  </si>
  <si>
    <t>Item/3dModel_SoulWeapon,SOULWEAPON_LAUDIA_REINFORCESUCCESS</t>
  </si>
  <si>
    <t>Item/3dModel_SoulWeapon,SOULWEAPON_LAUDIA_REINFORCEFAIL</t>
  </si>
  <si>
    <t>Item/3dModel_SoulWeapon,SOULWEAPON_LUCIAS_REINFORCESUCCESS</t>
  </si>
  <si>
    <t>Item/3dModel_SoulWeapon,SOULWEAPON_LUCIAS_REINFORCEFAIL</t>
  </si>
  <si>
    <t>Item/3dModel_SoulWeapon,SOULWEAPON_CHRISHA_REINFORCESUCCESS</t>
  </si>
  <si>
    <t>Item/3dModel_SoulWeapon,SOULWEAPON_CHRISHA_REINFORCEFAIL</t>
  </si>
  <si>
    <t>Item/3dModel_SoulWeapon,SOULWEAPON_NERAXIS_REINFORCESUCCESS</t>
  </si>
  <si>
    <t>Item/3dModel_SoulWeapon,SOULWEAPON_NERAXIS_REINFORCEFAIL</t>
  </si>
  <si>
    <t>Item/3dModel_SoulWeapon,SOULWEAPON_SCARLET_REINFORCESUCCESS</t>
  </si>
  <si>
    <t>Item/3dModel_SoulWeapon,SOULWEAPON_SCARLET_REINFORCEFAIL</t>
  </si>
  <si>
    <t>Item/3dModel_SoulWeapon,SOULWEAPON_SONIA_REINFORCESUCCESS</t>
  </si>
  <si>
    <t>Item/3dModel_SoulWeapon,SOULWEAPON_SONIA_REINFORCEFAIL</t>
  </si>
  <si>
    <t>Item/3dModel_SoulWeapon,SOULWEAPON_ARTEMIA_REINFORCESUCCESS</t>
  </si>
  <si>
    <t>Item/3dModel_SoulWeapon,SOULWEAPON_ARTEMIA_REINFORCEFAIL</t>
  </si>
  <si>
    <t>Item/3dModel_SoulWeapon,SOULWEAPON_MIRIANNE_REINFORCESUCCESS</t>
  </si>
  <si>
    <t>Item/3dModel_SoulWeapon,SOULWEAPON_MIRIANNE_REINFORCEFAIL</t>
  </si>
  <si>
    <t>Item/3dModel_SoulWeapon,SOULWEAPON_SHEA_REINFORCESUCCESS</t>
  </si>
  <si>
    <t>Item/3dModel_SoulWeapon,SOULWEAPON_SHEA_REINFORCEFAIL</t>
  </si>
  <si>
    <t>Item/3dModel_SoulWeapon,SOULWEAPON_KARA_REINFORCESUCCESS</t>
  </si>
  <si>
    <t>Item/3dModel_SoulWeapon,SOULWEAPON_KARA_REINFORCEFAIL</t>
  </si>
  <si>
    <t>Item/3dModel_SoulWeapon,SOULWEAPON_NIA_REINFORCESUCCESS</t>
  </si>
  <si>
    <t>Item/3dModel_SoulWeapon,SOULWEAPON_NIA_REINFORCEFAIL</t>
  </si>
  <si>
    <t>Item/3dModel_SoulWeapon,SOULWEAPON_ESKER_REINFORCESUCCESS</t>
  </si>
  <si>
    <t>Item/3dModel_SoulWeapon,SOULWEAPON_ESKER_REINFORCEFAIL</t>
  </si>
  <si>
    <t>Item/3dModel_SoulWeapon,SOULWEAPON_CECILIA_REINFORCESUCCESS</t>
  </si>
  <si>
    <t>Item/3dModel_SoulWeapon,SOULWEAPON_CECILIA_REINFORCEFAIL</t>
  </si>
  <si>
    <t>Item/3dModel_SoulWeapon,SOULWEAPON_KIRZE_REINFORCESUCCESS</t>
  </si>
  <si>
    <t>Item/3dModel_SoulWeapon,SOULWEAPON_KIRZE_REINFORCEFAIL</t>
  </si>
  <si>
    <t>Item/3dModel_SoulWeapon,SOULWEAPON_CHASE_REINFORCESUCCESS</t>
  </si>
  <si>
    <t>Item/3dModel_SoulWeapon,SOULWEAPON_CHASE_REINFORCEFAIL</t>
  </si>
  <si>
    <t>Item/3dModel_SoulWeapon,SOULWEAPON_DAKARIS_REINFORCESUCCESS</t>
  </si>
  <si>
    <t>Item/3dModel_SoulWeapon,SOULWEAPON_DAKARIS_REINFORCEFAIL</t>
  </si>
  <si>
    <t>Item/3dModel_SoulWeapon,SOULWEAPON_BERNHEIM_REINFORCESUCCESS</t>
  </si>
  <si>
    <t>Item/3dModel_SoulWeapon,SOULWEAPON_BERNHEIM_REINFORCEFAIL</t>
  </si>
  <si>
    <t>Item/3dModel_SoulWeapon,SOULWEAPON_GLENWYS_REINFORCESUCCESS</t>
  </si>
  <si>
    <t>Item/3dModel_SoulWeapon,SOULWEAPON_GLENWYS_REINFORCEFAIL</t>
  </si>
  <si>
    <t>Item/3dModel_SoulWeapon,SOULWEAPON_MAY_REINFORCESUCCESS</t>
  </si>
  <si>
    <t>Item/3dModel_SoulWeapon,SOULWEAPON_MAY_REINFORCEFAIL</t>
  </si>
  <si>
    <t>Item/3dModel_SoulWeapon,SOULWEAPON_GLADI_REINFORCESUCCESS</t>
  </si>
  <si>
    <t>Item/3dModel_SoulWeapon,SOULWEAPON_GLADI_REINFORCEFAIL</t>
  </si>
  <si>
    <t>Item/3dModel_SoulWeapon,SOULWEAPON_VERONICA_REINFORCESUCCESS</t>
  </si>
  <si>
    <t>Item/3dModel_SoulWeapon,SOULWEAPON_VERONICA_REINFORCEFAIL</t>
  </si>
  <si>
    <t>Item/3dModel_SoulWeapon,SOULWEAPON_LOMAN_REINFORCESUCCESS</t>
  </si>
  <si>
    <t>Item/3dModel_SoulWeapon,SOULWEAPON_LOMAN_REINFORCEFAIL</t>
  </si>
  <si>
    <t>Item/3dModel_SoulWeapon,SOULWEAPON_JUNO_REINFORCESUCCESS</t>
  </si>
  <si>
    <t>Item/3dModel_SoulWeapon,SOULWEAPON_JUNO_REINFORCEFAIL</t>
  </si>
  <si>
    <t>Item/3dModel_SoulWeapon,SOULWEAPON_NICKY_REINFORCESUCCESS</t>
  </si>
  <si>
    <t>Item/3dModel_SoulWeapon,SOULWEAPON_NICKY_REINFORCEFAIL</t>
  </si>
  <si>
    <t>Item/3dModel_SoulWeapon,SOULWEAPON_DOSARTA_REINFORCESUCCESS</t>
  </si>
  <si>
    <t>Item/3dModel_SoulWeapon,SOULWEAPON_DOSARTA_REINFORCEFAIL</t>
  </si>
  <si>
    <t>Item/3dModel_SoulWeapon,SOULWEAPON_HANUS_REINFORCESUCCESS</t>
  </si>
  <si>
    <t>Item/3dModel_SoulWeapon,SOULWEAPON_HANUS_REINFORCEFAIL</t>
  </si>
  <si>
    <t>Item/3dModel_SoulWeapon,SOULWEAPON_KAIN_REINFORCESUCCESS</t>
  </si>
  <si>
    <t>Item/3dModel_SoulWeapon,SOULWEAPON_KAIN_REINFORCEFAIL</t>
  </si>
  <si>
    <t>Hero/Annette,GetSoulWeapon</t>
  </si>
  <si>
    <t>UpgradeWeaponPosition[]</t>
  </si>
  <si>
    <t>UpgradeWeaponRotation[]</t>
  </si>
  <si>
    <t>UpgradeWeaponScale</t>
  </si>
  <si>
    <t>UpgradeResultWeaponPosition[]</t>
  </si>
  <si>
    <t>UpgradeResultWeaponRotation[]</t>
  </si>
  <si>
    <t>UpgradeResultWeaponScale</t>
  </si>
  <si>
    <t>ManageWeaponPosition[]</t>
  </si>
  <si>
    <t>ManageWeaponRotation[]</t>
  </si>
  <si>
    <t>ManageWeaponScale</t>
  </si>
  <si>
    <t>1.6</t>
    <phoneticPr fontId="10" type="noConversion"/>
  </si>
  <si>
    <t>1.4</t>
    <phoneticPr fontId="10" type="noConversion"/>
  </si>
  <si>
    <t>1.2</t>
    <phoneticPr fontId="10" type="noConversion"/>
  </si>
  <si>
    <t>6</t>
    <phoneticPr fontId="10" type="noConversion"/>
  </si>
  <si>
    <t>-0.2,1.48,0</t>
    <phoneticPr fontId="10" type="noConversion"/>
  </si>
  <si>
    <t>0,2.28,0</t>
    <phoneticPr fontId="10" type="noConversion"/>
  </si>
  <si>
    <t>1.5</t>
    <phoneticPr fontId="10" type="noConversion"/>
  </si>
  <si>
    <t>0,2.3,0</t>
    <phoneticPr fontId="10" type="noConversion"/>
  </si>
  <si>
    <t>0.2,1.3,0</t>
    <phoneticPr fontId="10" type="noConversion"/>
  </si>
  <si>
    <t>0,1.3,0</t>
    <phoneticPr fontId="10" type="noConversion"/>
  </si>
  <si>
    <t>0,2.1,0</t>
    <phoneticPr fontId="10" type="noConversion"/>
  </si>
  <si>
    <t>0,2.38,0</t>
    <phoneticPr fontId="10" type="noConversion"/>
  </si>
  <si>
    <t>0,2.2,0</t>
    <phoneticPr fontId="10" type="noConversion"/>
  </si>
  <si>
    <t>0,1.6,0</t>
    <phoneticPr fontId="10" type="noConversion"/>
  </si>
  <si>
    <t>0.8</t>
    <phoneticPr fontId="10" type="noConversion"/>
  </si>
  <si>
    <t>0,1.7,0</t>
    <phoneticPr fontId="10" type="noConversion"/>
  </si>
  <si>
    <t>-0.04,1.9,-0.5</t>
    <phoneticPr fontId="10" type="noConversion"/>
  </si>
  <si>
    <t>0,2.48,0</t>
    <phoneticPr fontId="10" type="noConversion"/>
  </si>
  <si>
    <t>1.3</t>
    <phoneticPr fontId="10" type="noConversion"/>
  </si>
  <si>
    <t>-0.2,1.5,-0.5</t>
    <phoneticPr fontId="10" type="noConversion"/>
  </si>
  <si>
    <t>0,2.5,0</t>
    <phoneticPr fontId="10" type="noConversion"/>
  </si>
  <si>
    <t>Hero/Kasel,GetSoulWeapon</t>
  </si>
  <si>
    <t>Hero/Frey,GetSoulWeapon</t>
  </si>
  <si>
    <t>Hero/Cleo,GetSoulWeapon</t>
  </si>
  <si>
    <t>Hero/Roi,GetSoulWeapon</t>
  </si>
  <si>
    <t>Hero/Phillop,GetSoulWeapon</t>
  </si>
  <si>
    <t>Hero/Lakrak,GetSoulWeapon</t>
  </si>
  <si>
    <t>Hero/Kaulah,GetSoulWeapon</t>
  </si>
  <si>
    <t>Hero/Epis,GetSoulWeapon</t>
  </si>
  <si>
    <t>Hero/Selene,GetSoulWeapon</t>
  </si>
  <si>
    <t>Hero/Maria,GetSoulWeapon</t>
  </si>
  <si>
    <t>Hero/Miruru,GetSoulWeapon</t>
  </si>
  <si>
    <t>Hero/Lorraine,GetSoulWeapon</t>
  </si>
  <si>
    <t>Hero/Maya,GetSoulWeapon</t>
  </si>
  <si>
    <t>Hero/Clause,GetSoulWeapon</t>
  </si>
  <si>
    <t>Hero/Rephy,GetSoulWeapon</t>
  </si>
  <si>
    <t>Hero/Dimael,GetSoulWeapon</t>
  </si>
  <si>
    <t>Hero/Reina,GetSoulWeapon</t>
  </si>
  <si>
    <t>Hero/Pavel,GetSoulWeapon</t>
  </si>
  <si>
    <t>Hero/Demia,GetSoulWeapon</t>
  </si>
  <si>
    <t>Hero/Naila,GetSoulWeapon</t>
  </si>
  <si>
    <t>Hero/Rodina,GetSoulWeapon</t>
  </si>
  <si>
    <t>Hero/Morrah,GetSoulWeapon</t>
  </si>
  <si>
    <t>Hero/Baudouin,GetSoulWeapon</t>
  </si>
  <si>
    <t>Hero/Jane,GetSoulWeapon</t>
  </si>
  <si>
    <t>Hero/Aisha,GetSoulWeapon</t>
  </si>
  <si>
    <t>Hero/Leo,GetSoulWeapon</t>
  </si>
  <si>
    <t>Hero/Fluss,GetSoulWeapon</t>
  </si>
  <si>
    <t>Hero/Luna,GetSoulWeapon</t>
  </si>
  <si>
    <t>Hero/Ell,GetSoulWeapon</t>
  </si>
  <si>
    <t>Hero/Arch,GetSoulWeapon</t>
  </si>
  <si>
    <t>Hero/Lewsia,GetSoulWeapon</t>
  </si>
  <si>
    <t>Hero/Nicx,GetSoulWeapon</t>
  </si>
  <si>
    <t>Hero/Mitra,GetSoulWeapon</t>
  </si>
  <si>
    <t>Hero/Ricardo,GetSoulWeapon</t>
  </si>
  <si>
    <t>Hero/Tanya,GetSoulWeapon</t>
  </si>
  <si>
    <t>Hero/Ezekiel,GetSoulWeapon</t>
  </si>
  <si>
    <t>Hero/Cassandra,GetSoulWeapon</t>
  </si>
  <si>
    <t>Hero/Theo,GetSoulWeapon</t>
  </si>
  <si>
    <t>Hero/Mediana,GetSoulWeapon</t>
  </si>
  <si>
    <t>Hero/Oddy,GetSoulWeapon</t>
  </si>
  <si>
    <t>Hero/Viska,GetSoulWeapon</t>
  </si>
  <si>
    <t>Hero/Priscilla,GetSoulWeapon</t>
  </si>
  <si>
    <t>Hero/Yanne,GetSoulWeapon</t>
  </si>
  <si>
    <t>Hero/Zafir,GetSoulWeapon</t>
  </si>
  <si>
    <t>Hero/Yuria,GetSoulWeapon</t>
  </si>
  <si>
    <t>Hero/Rehartna,GetSoulWeapon</t>
  </si>
  <si>
    <t>Hero/Ophelia,GetSoulWeapon</t>
  </si>
  <si>
    <t>Hero/Requina,GetSoulWeapon</t>
  </si>
  <si>
    <t>Hero/Aselica,GetSoulWeapon</t>
  </si>
  <si>
    <t>Hero/Crow,GetSoulWeapon</t>
  </si>
  <si>
    <t>Hero/Shamilla,GetSoulWeapon</t>
  </si>
  <si>
    <t>Hero/Lavril,GetSoulWeapon</t>
  </si>
  <si>
    <t>Hero/Seria,GetSoulWeapon</t>
  </si>
  <si>
    <t>Hero/Erze,GetSoulWeapon</t>
  </si>
  <si>
    <t>Hero/Lilia,GetSoulWeapon</t>
  </si>
  <si>
    <t>Hero/Laudia,GetSoulWeapon</t>
  </si>
  <si>
    <t>Hero/Lucias,GetSoulWeapon</t>
  </si>
  <si>
    <t>Hero/Chrisha,GetSoulWeapon</t>
  </si>
  <si>
    <t>Hero/Neraxis,GetSoulWeapon</t>
  </si>
  <si>
    <t>Hero/Scarlet,GetSoulWeapon</t>
  </si>
  <si>
    <t>Hero/Sonia,GetSoulWeapon</t>
  </si>
  <si>
    <t>Hero/Artemia,GetSoulWeapon</t>
  </si>
  <si>
    <t>Hero/Mirianne,GetSoulWeapon</t>
  </si>
  <si>
    <t>Hero/Shea,GetSoulWeapon</t>
  </si>
  <si>
    <t>Hero/Kara,GetSoulWeapon</t>
  </si>
  <si>
    <t>Hero/Nia,GetSoulWeapon</t>
  </si>
  <si>
    <t>Hero/Esker,GetSoulWeapon</t>
  </si>
  <si>
    <t>Hero/Cecilia,GetSoulWeapon</t>
  </si>
  <si>
    <t>Hero/Kirze,GetSoulWeapon</t>
  </si>
  <si>
    <t>Hero/Chase,GetSoulWeapon</t>
  </si>
  <si>
    <t>Hero/Dakaris,GetSoulWeapon</t>
  </si>
  <si>
    <t>Hero/Bernheim,GetSoulWeapon</t>
  </si>
  <si>
    <t>Hero/May,GetSoulWeapon</t>
  </si>
  <si>
    <t>Hero/Veronica,GetSoulWeapon</t>
  </si>
  <si>
    <t>Hero/Loman,GetSoulWeapon</t>
  </si>
  <si>
    <t>Hero/Juno,GetSoulWeapon</t>
  </si>
  <si>
    <t>Hero/Nicky,GetSoulWeapon</t>
  </si>
  <si>
    <t>Hero/Dosarta,GetSoulWeapon</t>
  </si>
  <si>
    <t>Hero/Hanus,GetSoulWeapon</t>
  </si>
  <si>
    <t>Hero/Kain,GetSoulWeapon</t>
  </si>
  <si>
    <t>300</t>
    <phoneticPr fontId="10" type="noConversion"/>
  </si>
  <si>
    <t>700</t>
    <phoneticPr fontId="10" type="noConversion"/>
  </si>
  <si>
    <t>93001510,93001512</t>
    <phoneticPr fontId="10" type="noConversion"/>
  </si>
  <si>
    <t>Time</t>
    <phoneticPr fontId="10" type="noConversion"/>
  </si>
  <si>
    <t>Time</t>
    <phoneticPr fontId="10" type="noConversion"/>
  </si>
  <si>
    <t>Attack</t>
    <phoneticPr fontId="10" type="noConversion"/>
  </si>
  <si>
    <t>Right</t>
    <phoneticPr fontId="10" type="noConversion"/>
  </si>
  <si>
    <t>LiberationResultSide</t>
    <phoneticPr fontId="10" type="noConversion"/>
  </si>
  <si>
    <t>Hero/Gau,GetSoulWeapon</t>
  </si>
  <si>
    <t>Hero/Glenwys,GetSoulWeapon</t>
  </si>
  <si>
    <t>Hero/Gladi,GetSoulWeapon</t>
  </si>
  <si>
    <t>93008710,93008711</t>
    <phoneticPr fontId="10" type="noConversion"/>
  </si>
  <si>
    <t>0,1.2,0</t>
    <phoneticPr fontId="10" type="noConversion"/>
  </si>
  <si>
    <t>2.4</t>
    <phoneticPr fontId="10" type="noConversion"/>
  </si>
  <si>
    <t>-0.1,2.4,0</t>
    <phoneticPr fontId="10" type="noConversion"/>
  </si>
  <si>
    <t>0,2.6,0</t>
    <phoneticPr fontId="10" type="noConversion"/>
  </si>
  <si>
    <t>93005210</t>
    <phoneticPr fontId="10" type="noConversion"/>
  </si>
  <si>
    <t>2.6</t>
    <phoneticPr fontId="10" type="noConversion"/>
  </si>
  <si>
    <t>-0.2,0.9,0</t>
    <phoneticPr fontId="10" type="noConversion"/>
  </si>
  <si>
    <t>1.1</t>
    <phoneticPr fontId="10" type="noConversion"/>
  </si>
  <si>
    <t>Right</t>
    <phoneticPr fontId="10" type="noConversion"/>
  </si>
  <si>
    <t>0.2,2.4,0</t>
    <phoneticPr fontId="10" type="noConversion"/>
  </si>
  <si>
    <t>Skill</t>
    <phoneticPr fontId="10" type="noConversion"/>
  </si>
  <si>
    <t>93006310,93006311</t>
    <phoneticPr fontId="10" type="noConversion"/>
  </si>
  <si>
    <t>901009</t>
    <phoneticPr fontId="10" type="noConversion"/>
  </si>
  <si>
    <t>0.1,2.2,-0.5</t>
    <phoneticPr fontId="10" type="noConversion"/>
  </si>
  <si>
    <t>0.15,1.5,0</t>
    <phoneticPr fontId="10" type="noConversion"/>
  </si>
  <si>
    <t>0,1.9,0</t>
    <phoneticPr fontId="10" type="noConversion"/>
  </si>
  <si>
    <t>1.8</t>
    <phoneticPr fontId="10" type="noConversion"/>
  </si>
  <si>
    <t>0,2.2,-0.5</t>
    <phoneticPr fontId="10" type="noConversion"/>
  </si>
  <si>
    <t>0,70,0</t>
    <phoneticPr fontId="10" type="noConversion"/>
  </si>
  <si>
    <t>0,2,0</t>
    <phoneticPr fontId="10" type="noConversion"/>
  </si>
  <si>
    <t>0,1.22,0</t>
    <phoneticPr fontId="10" type="noConversion"/>
  </si>
  <si>
    <t>Right</t>
    <phoneticPr fontId="10" type="noConversion"/>
  </si>
  <si>
    <t>Attack</t>
    <phoneticPr fontId="10" type="noConversion"/>
  </si>
  <si>
    <t>Time</t>
    <phoneticPr fontId="10" type="noConversion"/>
  </si>
  <si>
    <t>Right</t>
    <phoneticPr fontId="10" type="noConversion"/>
  </si>
  <si>
    <t>93004310</t>
    <phoneticPr fontId="10" type="noConversion"/>
  </si>
  <si>
    <t>Skill</t>
    <phoneticPr fontId="10" type="noConversion"/>
  </si>
  <si>
    <t>-0.5,1.6,0</t>
    <phoneticPr fontId="10" type="noConversion"/>
  </si>
  <si>
    <t>0,45,0</t>
    <phoneticPr fontId="10" type="noConversion"/>
  </si>
  <si>
    <t>2.5</t>
    <phoneticPr fontId="10" type="noConversion"/>
  </si>
  <si>
    <t>35,90,0</t>
    <phoneticPr fontId="10" type="noConversion"/>
  </si>
  <si>
    <t>9</t>
    <phoneticPr fontId="10" type="noConversion"/>
  </si>
  <si>
    <t>5</t>
    <phoneticPr fontId="10" type="noConversion"/>
  </si>
  <si>
    <t>0.05,1.3,0</t>
    <phoneticPr fontId="10" type="noConversion"/>
  </si>
  <si>
    <t>0.2,2.2,0</t>
    <phoneticPr fontId="10" type="noConversion"/>
  </si>
  <si>
    <t>-0.15,2.2,0</t>
    <phoneticPr fontId="10" type="noConversion"/>
  </si>
  <si>
    <t>-0.1,2,0</t>
    <phoneticPr fontId="10" type="noConversion"/>
  </si>
  <si>
    <t>0.3,2.35,0</t>
    <phoneticPr fontId="10" type="noConversion"/>
  </si>
  <si>
    <t>93006110,93006111</t>
    <phoneticPr fontId="10" type="noConversion"/>
  </si>
  <si>
    <t>-0.53,1.9,0</t>
    <phoneticPr fontId="10" type="noConversion"/>
  </si>
  <si>
    <t>0.06,2.1,0</t>
    <phoneticPr fontId="10" type="noConversion"/>
  </si>
  <si>
    <t>-0.3,1.6,0</t>
    <phoneticPr fontId="10" type="noConversion"/>
  </si>
  <si>
    <t>0.06,2.4,0</t>
    <phoneticPr fontId="10" type="noConversion"/>
  </si>
  <si>
    <t>-0.05,2,0</t>
    <phoneticPr fontId="10" type="noConversion"/>
  </si>
  <si>
    <t>Right</t>
    <phoneticPr fontId="10" type="noConversion"/>
  </si>
  <si>
    <t>Right</t>
    <phoneticPr fontId="10" type="noConversion"/>
  </si>
  <si>
    <t>Skill</t>
    <phoneticPr fontId="10" type="noConversion"/>
  </si>
  <si>
    <t>SoulStoneItemIndex</t>
    <phoneticPr fontId="10" type="noConversion"/>
  </si>
  <si>
    <t>-0.2,1.6,0</t>
  </si>
  <si>
    <t>0,1.9,0</t>
  </si>
  <si>
    <t>0.1,2,0</t>
  </si>
  <si>
    <t>-0.1,1.6,0</t>
  </si>
  <si>
    <t>0.1,2.5,0</t>
  </si>
  <si>
    <t>0.05,2.3,0</t>
  </si>
  <si>
    <t>0.13,2.6,0</t>
  </si>
  <si>
    <t>0.06,1.4,0</t>
  </si>
  <si>
    <t>3.3</t>
    <phoneticPr fontId="10" type="noConversion"/>
  </si>
  <si>
    <t>0.05,2.4,0</t>
  </si>
  <si>
    <t>0,2.2,0</t>
  </si>
  <si>
    <t>0.1,2.6,0</t>
  </si>
  <si>
    <t>-0.1,2,0</t>
  </si>
  <si>
    <t>0,2,0</t>
    <phoneticPr fontId="10" type="noConversion"/>
  </si>
  <si>
    <t>0.1,2.7,0</t>
    <phoneticPr fontId="10" type="noConversion"/>
  </si>
  <si>
    <t>-0.1,1.8,-1</t>
    <phoneticPr fontId="10" type="noConversion"/>
  </si>
  <si>
    <t>0,180,0</t>
    <phoneticPr fontId="10" type="noConversion"/>
  </si>
  <si>
    <t>0.15,2.5,0</t>
    <phoneticPr fontId="10" type="noConversion"/>
  </si>
  <si>
    <t>0.2,1.8,-1</t>
    <phoneticPr fontId="10" type="noConversion"/>
  </si>
  <si>
    <t>0.1,1.8,-1</t>
    <phoneticPr fontId="10" type="noConversion"/>
  </si>
  <si>
    <t>WEAPON_UNIQUE_PANCIRONNE_1</t>
    <phoneticPr fontId="10" type="noConversion"/>
  </si>
  <si>
    <t>93007210</t>
    <phoneticPr fontId="10" type="noConversion"/>
  </si>
  <si>
    <t>SoulWeapon72</t>
    <phoneticPr fontId="10" type="noConversion"/>
  </si>
  <si>
    <t>WEAPON_UNIQUE_PANCIRONNE_1</t>
    <phoneticPr fontId="10" type="noConversion"/>
  </si>
  <si>
    <t>901072</t>
    <phoneticPr fontId="10" type="noConversion"/>
  </si>
  <si>
    <t>911072</t>
    <phoneticPr fontId="10" type="noConversion"/>
  </si>
  <si>
    <t>Hero/Pancironne,GetSoulWeapon</t>
    <phoneticPr fontId="10" type="noConversion"/>
  </si>
  <si>
    <t>Item/3dModel_SoulWeapon,SOULWEAPON_PANCIRONNE_REINFORCESUCCESS</t>
  </si>
  <si>
    <t>Item/3dModel_SoulWeapon,SOULWEAPON_PANCIRONNE_REINFORCEFAIL</t>
  </si>
  <si>
    <t>SOULSTONE_PANCIRONNE_1</t>
  </si>
  <si>
    <t>Attack</t>
    <phoneticPr fontId="10" type="noConversion"/>
  </si>
  <si>
    <t>0,2,0</t>
  </si>
  <si>
    <t>0,1.75,0</t>
    <phoneticPr fontId="10" type="noConversion"/>
  </si>
  <si>
    <t>0,2.2,0</t>
    <phoneticPr fontId="10" type="noConversion"/>
  </si>
  <si>
    <t>0,2.5,0</t>
    <phoneticPr fontId="10" type="noConversion"/>
  </si>
  <si>
    <t>0,1,0</t>
    <phoneticPr fontId="10" type="noConversion"/>
  </si>
  <si>
    <t>0,1.8,0</t>
    <phoneticPr fontId="10" type="noConversion"/>
  </si>
  <si>
    <t>0,1.9,0</t>
    <phoneticPr fontId="10" type="noConversion"/>
  </si>
  <si>
    <t>0,1.6,0</t>
    <phoneticPr fontId="10" type="noConversion"/>
  </si>
  <si>
    <t>0,2,0</t>
    <phoneticPr fontId="10" type="noConversion"/>
  </si>
  <si>
    <t>-0.1,2.5,0</t>
    <phoneticPr fontId="10" type="noConversion"/>
  </si>
  <si>
    <t>0,1.5,0</t>
    <phoneticPr fontId="10" type="noConversion"/>
  </si>
  <si>
    <t>-0.1,2,0</t>
    <phoneticPr fontId="10" type="noConversion"/>
  </si>
  <si>
    <t>1</t>
    <phoneticPr fontId="10" type="noConversion"/>
  </si>
  <si>
    <t>0.1,2.2,0</t>
    <phoneticPr fontId="10" type="noConversion"/>
  </si>
  <si>
    <t>1</t>
    <phoneticPr fontId="10" type="noConversion"/>
  </si>
  <si>
    <t>1.8</t>
    <phoneticPr fontId="10" type="noConversion"/>
  </si>
  <si>
    <t>0.9</t>
    <phoneticPr fontId="10" type="noConversion"/>
  </si>
  <si>
    <t>3</t>
    <phoneticPr fontId="10" type="noConversion"/>
  </si>
  <si>
    <t>1.5</t>
    <phoneticPr fontId="10" type="noConversion"/>
  </si>
  <si>
    <t>0,1.7,0</t>
    <phoneticPr fontId="10" type="noConversion"/>
  </si>
  <si>
    <t>901074</t>
    <phoneticPr fontId="10" type="noConversion"/>
  </si>
  <si>
    <t>WEAPON_UNIQUE_KIBERA_1</t>
    <phoneticPr fontId="10" type="noConversion"/>
  </si>
  <si>
    <t>911074</t>
    <phoneticPr fontId="10" type="noConversion"/>
  </si>
  <si>
    <t>Hero/Kibera,GetSoulWeapon</t>
    <phoneticPr fontId="10" type="noConversion"/>
  </si>
  <si>
    <t>Item/3dModel_SoulWeapon,SOULWEAPON_KIBERA_REINFORCESUCCESS</t>
    <phoneticPr fontId="10" type="noConversion"/>
  </si>
  <si>
    <t>Item/3dModel_SoulWeapon,SOULWEAPON_KIBERA_REINFORCEFAIL</t>
    <phoneticPr fontId="10" type="noConversion"/>
  </si>
  <si>
    <t>10740</t>
    <phoneticPr fontId="10" type="noConversion"/>
  </si>
  <si>
    <t>10741</t>
    <phoneticPr fontId="10" type="noConversion"/>
  </si>
  <si>
    <t>10743</t>
    <phoneticPr fontId="10" type="noConversion"/>
  </si>
  <si>
    <t>1074</t>
    <phoneticPr fontId="10" type="noConversion"/>
  </si>
  <si>
    <t>10742</t>
    <phoneticPr fontId="10" type="noConversion"/>
  </si>
  <si>
    <t>SOULSTONE_KIBERA_1</t>
    <phoneticPr fontId="10" type="noConversion"/>
  </si>
  <si>
    <t>-0.05,2.2,0</t>
    <phoneticPr fontId="10" type="noConversion"/>
  </si>
  <si>
    <t>WEAPON_UNIQUE_KIBERA_1</t>
    <phoneticPr fontId="10" type="noConversion"/>
  </si>
  <si>
    <t>SoulWeapon74</t>
    <phoneticPr fontId="10" type="noConversion"/>
  </si>
  <si>
    <t>93007410,93007413</t>
    <phoneticPr fontId="10" type="noConversion"/>
  </si>
  <si>
    <t>10760</t>
    <phoneticPr fontId="10" type="noConversion"/>
  </si>
  <si>
    <t>1076</t>
    <phoneticPr fontId="10" type="noConversion"/>
  </si>
  <si>
    <t>SOULSTONE_TAILY_1</t>
    <phoneticPr fontId="10" type="noConversion"/>
  </si>
  <si>
    <t>10761</t>
    <phoneticPr fontId="10" type="noConversion"/>
  </si>
  <si>
    <t>10762</t>
    <phoneticPr fontId="10" type="noConversion"/>
  </si>
  <si>
    <t>10763</t>
    <phoneticPr fontId="10" type="noConversion"/>
  </si>
  <si>
    <t>WEAPON_UNIQUE_TAILY_1</t>
    <phoneticPr fontId="10" type="noConversion"/>
  </si>
  <si>
    <t>93007610</t>
    <phoneticPr fontId="10" type="noConversion"/>
  </si>
  <si>
    <t>SoulWeapon76</t>
    <phoneticPr fontId="10" type="noConversion"/>
  </si>
  <si>
    <t>901076</t>
    <phoneticPr fontId="10" type="noConversion"/>
  </si>
  <si>
    <t>911076</t>
    <phoneticPr fontId="10" type="noConversion"/>
  </si>
  <si>
    <t>Hero/Taily,GetSoulWeapon</t>
    <phoneticPr fontId="10" type="noConversion"/>
  </si>
  <si>
    <t>Item/3dModel_SoulWeapon,SOULWEAPON_TAILY_REINFORCESUCCESS</t>
    <phoneticPr fontId="10" type="noConversion"/>
  </si>
  <si>
    <t>Item/3dModel_SoulWeapon,SOULWEAPON_TAILY_REINFORCEFAIL</t>
    <phoneticPr fontId="10" type="noConversion"/>
  </si>
  <si>
    <t>-0.4,1.8,0</t>
    <phoneticPr fontId="10" type="noConversion"/>
  </si>
  <si>
    <t>-0.3,1.8,0</t>
    <phoneticPr fontId="10" type="noConversion"/>
  </si>
  <si>
    <t>WEAPON_UNIQUE_XERAH_1</t>
    <phoneticPr fontId="10" type="noConversion"/>
  </si>
  <si>
    <t>901077</t>
    <phoneticPr fontId="10" type="noConversion"/>
  </si>
  <si>
    <t>911077</t>
    <phoneticPr fontId="10" type="noConversion"/>
  </si>
  <si>
    <t>Hero/Xerah,GetSoulWeapon</t>
    <phoneticPr fontId="10" type="noConversion"/>
  </si>
  <si>
    <t>Item/3dModel_SoulWeapon,SOULWEAPON_XERAH_REINFORCESUCCESS</t>
    <phoneticPr fontId="10" type="noConversion"/>
  </si>
  <si>
    <t>Item/3dModel_SoulWeapon,SOULWEAPON_XERAH_REINFORCEFAIL</t>
    <phoneticPr fontId="10" type="noConversion"/>
  </si>
  <si>
    <t>1077</t>
    <phoneticPr fontId="10" type="noConversion"/>
  </si>
  <si>
    <t>10770</t>
    <phoneticPr fontId="10" type="noConversion"/>
  </si>
  <si>
    <t>10771</t>
  </si>
  <si>
    <t>10772</t>
  </si>
  <si>
    <t>10773</t>
  </si>
  <si>
    <t>SOULSTONE_XERAH_1</t>
    <phoneticPr fontId="10" type="noConversion"/>
  </si>
  <si>
    <t>-0.4,1.4,0</t>
    <phoneticPr fontId="10" type="noConversion"/>
  </si>
  <si>
    <t>93007710</t>
    <phoneticPr fontId="10" type="noConversion"/>
  </si>
  <si>
    <t>SoulWeapon77</t>
    <phoneticPr fontId="10" type="noConversion"/>
  </si>
  <si>
    <t>Int</t>
    <phoneticPr fontId="10" type="noConversion"/>
  </si>
  <si>
    <t>String</t>
    <phoneticPr fontId="10" type="noConversion"/>
  </si>
  <si>
    <t>String Array</t>
    <phoneticPr fontId="10" type="noConversion"/>
  </si>
  <si>
    <t>SOULSTONE_EVAN_1</t>
  </si>
  <si>
    <t>WEAPON_UNIQUE_EVAN_1</t>
  </si>
  <si>
    <t>93007910</t>
    <phoneticPr fontId="10" type="noConversion"/>
  </si>
  <si>
    <t>SoulWeapon79</t>
  </si>
  <si>
    <t>WEAPON_UNIQUE_EVAN_1</t>
    <phoneticPr fontId="10" type="noConversion"/>
  </si>
  <si>
    <t>901079</t>
    <phoneticPr fontId="10" type="noConversion"/>
  </si>
  <si>
    <t>911079</t>
    <phoneticPr fontId="10" type="noConversion"/>
  </si>
  <si>
    <t>Hero/Evan,GetSoulWeapon</t>
    <phoneticPr fontId="10" type="noConversion"/>
  </si>
  <si>
    <t>Item/3dModel_SoulWeapon,SOULWEAPON_EVAN_REINFORCESUCCESS</t>
    <phoneticPr fontId="10" type="noConversion"/>
  </si>
  <si>
    <t>Item/3dModel_SoulWeapon,SOULWEAPON_EVAN_REINFORCEFAIL</t>
    <phoneticPr fontId="10" type="noConversion"/>
  </si>
  <si>
    <t>0.1,1.9,-0.5</t>
    <phoneticPr fontId="10" type="noConversion"/>
  </si>
  <si>
    <t>0,2,-0.5</t>
    <phoneticPr fontId="10" type="noConversion"/>
  </si>
  <si>
    <t>ReinforceLevel</t>
  </si>
  <si>
    <t>AddedBonusRate</t>
  </si>
  <si>
    <t>(Desc)</t>
  </si>
  <si>
    <t>Int</t>
  </si>
  <si>
    <t>해당 ReinforceLevel에 EtherIndex에 해당하는 에테르 투입 시 얻어지는 보너스퍼센트(10만분율)</t>
  </si>
  <si>
    <t>획득경험치</t>
  </si>
  <si>
    <t>에테르1</t>
  </si>
  <si>
    <t>에테르2</t>
  </si>
  <si>
    <t>에테르3</t>
  </si>
  <si>
    <t>에테르4</t>
  </si>
  <si>
    <t>SuccessRateMark</t>
    <phoneticPr fontId="10" type="noConversion"/>
  </si>
  <si>
    <t>BuffItemIndex</t>
    <phoneticPr fontId="10" type="noConversion"/>
  </si>
  <si>
    <t>int</t>
    <phoneticPr fontId="10" type="noConversion"/>
  </si>
  <si>
    <t>5251</t>
    <phoneticPr fontId="10" type="noConversion"/>
  </si>
  <si>
    <t>SOULWEAPON_ETHER_3</t>
    <phoneticPr fontId="10" type="noConversion"/>
  </si>
  <si>
    <t>SOULSTONE_DARKLORDKASEL_1</t>
  </si>
  <si>
    <t>SOULSTONE_FALLENFREY_1</t>
  </si>
  <si>
    <t>WEAPON_UNIQUE_DARKLORDKASEL_1</t>
    <phoneticPr fontId="10" type="noConversion"/>
  </si>
  <si>
    <t>93008410</t>
    <phoneticPr fontId="10" type="noConversion"/>
  </si>
  <si>
    <t>SoulWeapon84</t>
    <phoneticPr fontId="10" type="noConversion"/>
  </si>
  <si>
    <t>WEAPON_UNIQUE_FALLENFREY_1</t>
    <phoneticPr fontId="10" type="noConversion"/>
  </si>
  <si>
    <t>93008510</t>
    <phoneticPr fontId="10" type="noConversion"/>
  </si>
  <si>
    <t>SoulWeapon85</t>
  </si>
  <si>
    <t>SoulWeapon87</t>
  </si>
  <si>
    <t>WEAPON_UNIQUE_DARKLORDKASEL_1</t>
  </si>
  <si>
    <t>WEAPON_UNIQUE_FALLENFREY_1</t>
  </si>
  <si>
    <t>901084</t>
    <phoneticPr fontId="10" type="noConversion"/>
  </si>
  <si>
    <t>901085</t>
    <phoneticPr fontId="10" type="noConversion"/>
  </si>
  <si>
    <t>911084</t>
    <phoneticPr fontId="10" type="noConversion"/>
  </si>
  <si>
    <t>911085</t>
    <phoneticPr fontId="10" type="noConversion"/>
  </si>
  <si>
    <t>Hero/DarkLordKasel,GetSoulWeapon</t>
    <phoneticPr fontId="10" type="noConversion"/>
  </si>
  <si>
    <t>Hero/FallenFrey,GetSoulWeapon</t>
    <phoneticPr fontId="10" type="noConversion"/>
  </si>
  <si>
    <t>Item/3dModel_SoulWeapon,SOULWEAPON_DARKLORDKASEL_REINFORCESUCCESS</t>
    <phoneticPr fontId="10" type="noConversion"/>
  </si>
  <si>
    <t>Item/3dModel_SoulWeapon,SOULWEAPON_FALLENFREY_REINFORCESUCCESS</t>
    <phoneticPr fontId="10" type="noConversion"/>
  </si>
  <si>
    <t>Item/3dModel_SoulWeapon,SOULWEAPON_DARKLORDKASEL_REINFORCEFAIL</t>
    <phoneticPr fontId="10" type="noConversion"/>
  </si>
  <si>
    <t>Item/3dModel_SoulWeapon,SOULWEAPON_FALLENFREY_REINFORCEFAIL</t>
    <phoneticPr fontId="10" type="noConversion"/>
  </si>
  <si>
    <t>0.05,2.6,-0.5</t>
    <phoneticPr fontId="10" type="noConversion"/>
  </si>
  <si>
    <t>0.15,2.5,-0.5</t>
    <phoneticPr fontId="10" type="noConversion"/>
  </si>
  <si>
    <t>-0.1,1.5,0</t>
    <phoneticPr fontId="10" type="noConversion"/>
  </si>
  <si>
    <t>-0.2,1.6,0</t>
    <phoneticPr fontId="10" type="noConversion"/>
  </si>
  <si>
    <t>WEAPON_UNIQUE_TALISHA_1</t>
    <phoneticPr fontId="10" type="noConversion"/>
  </si>
  <si>
    <t>911099</t>
    <phoneticPr fontId="10" type="noConversion"/>
  </si>
  <si>
    <t>Hero/Talisha,GetSoulWeapon</t>
    <phoneticPr fontId="10" type="noConversion"/>
  </si>
  <si>
    <t>Item/3dModel_SoulWeapon,SOULWEAPON_TALISHA_REINFORCESUCCESS</t>
  </si>
  <si>
    <t>Item/3dModel_SoulWeapon,SOULWEAPON_TALISHA_REINFORCEFAIL</t>
  </si>
  <si>
    <t>93009910</t>
    <phoneticPr fontId="10" type="noConversion"/>
  </si>
  <si>
    <t>SoulWeapon99</t>
    <phoneticPr fontId="10" type="noConversion"/>
  </si>
  <si>
    <t>WEAPON_UNIQUE_HILDA_1</t>
    <phoneticPr fontId="10" type="noConversion"/>
  </si>
  <si>
    <t>901081</t>
    <phoneticPr fontId="10" type="noConversion"/>
  </si>
  <si>
    <t>911081</t>
    <phoneticPr fontId="10" type="noConversion"/>
  </si>
  <si>
    <t>Item/3dModel_SoulWeapon,SOULWEAPON_HILDA_REINFORCESUCCESS</t>
    <phoneticPr fontId="10" type="noConversion"/>
  </si>
  <si>
    <t>Item/3dModel_SoulWeapon,SOULWEAPON_HILDA_REINFORCEFAIL</t>
    <phoneticPr fontId="10" type="noConversion"/>
  </si>
  <si>
    <t>10810</t>
    <phoneticPr fontId="10" type="noConversion"/>
  </si>
  <si>
    <t>10811</t>
    <phoneticPr fontId="10" type="noConversion"/>
  </si>
  <si>
    <t>10812</t>
    <phoneticPr fontId="10" type="noConversion"/>
  </si>
  <si>
    <t>10813</t>
    <phoneticPr fontId="10" type="noConversion"/>
  </si>
  <si>
    <t>1081</t>
    <phoneticPr fontId="10" type="noConversion"/>
  </si>
  <si>
    <t>SOULSTONE_HILDA_1</t>
  </si>
  <si>
    <t>SOULSTONE_HILDA_1</t>
    <phoneticPr fontId="10" type="noConversion"/>
  </si>
  <si>
    <t>10990</t>
    <phoneticPr fontId="10" type="noConversion"/>
  </si>
  <si>
    <t>10991</t>
    <phoneticPr fontId="10" type="noConversion"/>
  </si>
  <si>
    <t>10992</t>
    <phoneticPr fontId="10" type="noConversion"/>
  </si>
  <si>
    <t>10993</t>
    <phoneticPr fontId="10" type="noConversion"/>
  </si>
  <si>
    <t>1099</t>
    <phoneticPr fontId="10" type="noConversion"/>
  </si>
  <si>
    <t>SOULSTONE_TALISHA_1</t>
    <phoneticPr fontId="10" type="noConversion"/>
  </si>
  <si>
    <t>Hero/Hilda,GetSoulWeapon</t>
    <phoneticPr fontId="10" type="noConversion"/>
  </si>
  <si>
    <t>93008110</t>
    <phoneticPr fontId="10" type="noConversion"/>
  </si>
  <si>
    <t>SoulWeapon81</t>
    <phoneticPr fontId="10" type="noConversion"/>
  </si>
  <si>
    <t>WEAPON_UNIQUE_ISOLET_1</t>
    <phoneticPr fontId="10" type="noConversion"/>
  </si>
  <si>
    <t>901082</t>
    <phoneticPr fontId="10" type="noConversion"/>
  </si>
  <si>
    <t>911082</t>
    <phoneticPr fontId="10" type="noConversion"/>
  </si>
  <si>
    <t>Hero/Isolet,GetSoulWeapon</t>
    <phoneticPr fontId="10" type="noConversion"/>
  </si>
  <si>
    <t>Item/3dModel_SoulWeapon,SOULWEAPON_ISOLET_REINFORCESUCCESS</t>
    <phoneticPr fontId="10" type="noConversion"/>
  </si>
  <si>
    <t>Item/3dModel_SoulWeapon,SOULWEAPON_ISOLET_REINFORCEFAIL</t>
    <phoneticPr fontId="10" type="noConversion"/>
  </si>
  <si>
    <t>SOULSTONE_ISOLET_1</t>
  </si>
  <si>
    <t>WEAPON_UNIQUE_ISOLET_1</t>
  </si>
  <si>
    <t>SoulWeapon82</t>
  </si>
  <si>
    <t>0.04,2.3,0</t>
    <phoneticPr fontId="10" type="noConversion"/>
  </si>
  <si>
    <t>93008210</t>
    <phoneticPr fontId="10" type="noConversion"/>
  </si>
  <si>
    <t>901083</t>
    <phoneticPr fontId="10" type="noConversion"/>
  </si>
  <si>
    <t>911083</t>
    <phoneticPr fontId="10" type="noConversion"/>
  </si>
  <si>
    <t>1083</t>
    <phoneticPr fontId="10" type="noConversion"/>
  </si>
  <si>
    <t>10830</t>
    <phoneticPr fontId="10" type="noConversion"/>
  </si>
  <si>
    <t>10831</t>
    <phoneticPr fontId="10" type="noConversion"/>
  </si>
  <si>
    <t>10832</t>
    <phoneticPr fontId="10" type="noConversion"/>
  </si>
  <si>
    <t>10833</t>
    <phoneticPr fontId="10" type="noConversion"/>
  </si>
  <si>
    <t>SOULSTONE_HILDA_1</t>
    <phoneticPr fontId="10" type="noConversion"/>
  </si>
  <si>
    <t>SOULSTONE_REBELCLAUSE_1</t>
    <phoneticPr fontId="10" type="noConversion"/>
  </si>
  <si>
    <t>WEAPON_UNIQUE_REBELCLAUSE_1</t>
    <phoneticPr fontId="10" type="noConversion"/>
  </si>
  <si>
    <t>Hero/ClauseTraitor,GetSoulWeapon</t>
    <phoneticPr fontId="10" type="noConversion"/>
  </si>
  <si>
    <t>Item/3dModel_SoulWeapon,SOULWEAPON_REBELCLAUSE_REINFORCESUCCESS</t>
    <phoneticPr fontId="10" type="noConversion"/>
  </si>
  <si>
    <t>Item/3dModel_SoulWeapon,SOULWEAPON_REBELCLAUSE_REINFORCEFAIL</t>
    <phoneticPr fontId="10" type="noConversion"/>
  </si>
  <si>
    <t>-0.2,1.5,0</t>
    <phoneticPr fontId="10" type="noConversion"/>
  </si>
  <si>
    <t>WEAPON_UNIQUE_REBELCLAUSE_1</t>
    <phoneticPr fontId="10" type="noConversion"/>
  </si>
  <si>
    <t>93008310</t>
    <phoneticPr fontId="10" type="noConversion"/>
  </si>
  <si>
    <t>SoulWeapon83</t>
    <phoneticPr fontId="10" type="noConversion"/>
  </si>
  <si>
    <t>SOULSTONE_GREMORY_1</t>
  </si>
  <si>
    <t>WEAPON_UNIQUE_GREMORY_1</t>
  </si>
  <si>
    <t>SoulWeapon86</t>
  </si>
  <si>
    <t>93008610</t>
    <phoneticPr fontId="10" type="noConversion"/>
  </si>
  <si>
    <t>WEAPON_UNIQUE_GREMORY_1</t>
    <phoneticPr fontId="10" type="noConversion"/>
  </si>
  <si>
    <t>Hero/Gremory,GetSoulWeapon</t>
    <phoneticPr fontId="10" type="noConversion"/>
  </si>
  <si>
    <t>Item/3dModel_SoulWeapon,SOULWEAPON_GREMORY_REINFORCESUCCESS</t>
    <phoneticPr fontId="10" type="noConversion"/>
  </si>
  <si>
    <t>Item/3dModel_SoulWeapon,SOULWEAPON_GREMORY_REINFORCEFAIL</t>
    <phoneticPr fontId="10" type="noConversion"/>
  </si>
  <si>
    <t>93005610</t>
    <phoneticPr fontId="10" type="noConversion"/>
  </si>
  <si>
    <t>(1208 이전)</t>
    <phoneticPr fontId="10" type="noConversion"/>
  </si>
  <si>
    <t>901088</t>
    <phoneticPr fontId="10" type="noConversion"/>
  </si>
  <si>
    <t>901089</t>
    <phoneticPr fontId="10" type="noConversion"/>
  </si>
  <si>
    <t>911088</t>
    <phoneticPr fontId="10" type="noConversion"/>
  </si>
  <si>
    <t>911089</t>
    <phoneticPr fontId="10" type="noConversion"/>
  </si>
  <si>
    <t>WEAPON_UNIQUE_RIPINE_1</t>
    <phoneticPr fontId="10" type="noConversion"/>
  </si>
  <si>
    <t>Hero/Riheet,GetSoulWeapon</t>
    <phoneticPr fontId="10" type="noConversion"/>
  </si>
  <si>
    <t>Hero/Ripine,GetSoulWeapon</t>
    <phoneticPr fontId="10" type="noConversion"/>
  </si>
  <si>
    <t>WEAPON_UNIQUE_RIHEET_1</t>
    <phoneticPr fontId="10" type="noConversion"/>
  </si>
  <si>
    <t>Item/3dModel_SoulWeapon,SOULWEAPON_RIHEET_REINFORCESUCCESS</t>
    <phoneticPr fontId="10" type="noConversion"/>
  </si>
  <si>
    <t>Item/3dModel_SoulWeapon,SOULWEAPON_RIHEET_REINFORCEFAIL</t>
    <phoneticPr fontId="10" type="noConversion"/>
  </si>
  <si>
    <t>Item/3dModel_SoulWeapon,SOULWEAPON_RIPINE_REINFORCESUCCESS</t>
    <phoneticPr fontId="10" type="noConversion"/>
  </si>
  <si>
    <t>Item/3dModel_SoulWeapon,SOULWEAPON_RIPINE_REINFORCEFAIL</t>
    <phoneticPr fontId="10" type="noConversion"/>
  </si>
  <si>
    <t>SoulWeapon88</t>
  </si>
  <si>
    <t>SoulWeapon89</t>
  </si>
  <si>
    <t>(12.08 이전 골드소모)</t>
    <phoneticPr fontId="10" type="noConversion"/>
  </si>
  <si>
    <t>10880</t>
    <phoneticPr fontId="10" type="noConversion"/>
  </si>
  <si>
    <t>10881</t>
  </si>
  <si>
    <t>10882</t>
  </si>
  <si>
    <t>10883</t>
  </si>
  <si>
    <t>10890</t>
    <phoneticPr fontId="10" type="noConversion"/>
  </si>
  <si>
    <t>10891</t>
  </si>
  <si>
    <t>10892</t>
  </si>
  <si>
    <t>10893</t>
  </si>
  <si>
    <t>1088</t>
    <phoneticPr fontId="10" type="noConversion"/>
  </si>
  <si>
    <t>1089</t>
    <phoneticPr fontId="10" type="noConversion"/>
  </si>
  <si>
    <t>SOULSTONE_RIPINE_1</t>
    <phoneticPr fontId="10" type="noConversion"/>
  </si>
  <si>
    <t>SOULSTONE_RIHEET_1</t>
    <phoneticPr fontId="10" type="noConversion"/>
  </si>
  <si>
    <t>93008910,93008911</t>
    <phoneticPr fontId="10" type="noConversion"/>
  </si>
  <si>
    <t>2.2</t>
    <phoneticPr fontId="10" type="noConversion"/>
  </si>
  <si>
    <t>0.04,1.7,0</t>
    <phoneticPr fontId="10" type="noConversion"/>
  </si>
  <si>
    <t>0.04,1.8,0</t>
    <phoneticPr fontId="10" type="noConversion"/>
  </si>
  <si>
    <t>SoulWeapon100</t>
    <phoneticPr fontId="10" type="noConversion"/>
  </si>
  <si>
    <t>WEAPON_UNIQUE_ZLUCIKIEL_1</t>
  </si>
  <si>
    <t>Item/3dModel_SoulWeapon,SOULWEAPON_ZLUCIKIEL_REINFORCESUCCESS</t>
  </si>
  <si>
    <t>Item/3dModel_SoulWeapon,SOULWEAPON_ZLUCIKIEL_REINFORCEFAIL</t>
  </si>
  <si>
    <t>911100</t>
    <phoneticPr fontId="10" type="noConversion"/>
  </si>
  <si>
    <t>Hero/ZLucikiel,GetSoulWeapon</t>
    <phoneticPr fontId="10" type="noConversion"/>
  </si>
  <si>
    <t>WEAPON_UNIQUE_ZLUCIKIEL_1</t>
    <phoneticPr fontId="10" type="noConversion"/>
  </si>
  <si>
    <t>SOULSTONE_ZLUCIKIEL_1</t>
    <phoneticPr fontId="10" type="noConversion"/>
  </si>
  <si>
    <t>1100</t>
    <phoneticPr fontId="10" type="noConversion"/>
  </si>
  <si>
    <t>Left</t>
    <phoneticPr fontId="10" type="noConversion"/>
  </si>
  <si>
    <t>93010010,93010011</t>
    <phoneticPr fontId="10" type="noConversion"/>
  </si>
  <si>
    <t>93008810,93008812,93008813</t>
    <phoneticPr fontId="10" type="noConversion"/>
  </si>
  <si>
    <t>WEAPON_UNIQUE_SHAKMEH_1</t>
    <phoneticPr fontId="10" type="noConversion"/>
  </si>
  <si>
    <t>SoulWeapon80</t>
    <phoneticPr fontId="10" type="noConversion"/>
  </si>
  <si>
    <t>901080</t>
    <phoneticPr fontId="10" type="noConversion"/>
  </si>
  <si>
    <t>911080</t>
    <phoneticPr fontId="10" type="noConversion"/>
  </si>
  <si>
    <t>Hero/Shakmeh,GetSoulWeapon</t>
    <phoneticPr fontId="10" type="noConversion"/>
  </si>
  <si>
    <t>Item/3dModel_SoulWeapon,SOULWEAPON_SHAKMEH_REINFORCESUCCESS</t>
    <phoneticPr fontId="10" type="noConversion"/>
  </si>
  <si>
    <t>Item/3dModel_SoulWeapon,SOULWEAPON_SHAKMEH_REINFORCEFAIL</t>
    <phoneticPr fontId="10" type="noConversion"/>
  </si>
  <si>
    <t>SOULSTONE_SHAKMEH_1</t>
  </si>
  <si>
    <t>0.1,2.1,-0.5</t>
    <phoneticPr fontId="10" type="noConversion"/>
  </si>
  <si>
    <t>93008010,93008012</t>
    <phoneticPr fontId="10" type="noConversion"/>
  </si>
  <si>
    <t>11010</t>
    <phoneticPr fontId="10" type="noConversion"/>
  </si>
  <si>
    <t>11011</t>
    <phoneticPr fontId="10" type="noConversion"/>
  </si>
  <si>
    <t>11012</t>
    <phoneticPr fontId="10" type="noConversion"/>
  </si>
  <si>
    <t>11013</t>
    <phoneticPr fontId="10" type="noConversion"/>
  </si>
  <si>
    <t>1101</t>
    <phoneticPr fontId="10" type="noConversion"/>
  </si>
  <si>
    <t>SOULSTONE_ESTELLE_1</t>
  </si>
  <si>
    <t>WEAPON_UNIQUE_ESTELLE_1</t>
    <phoneticPr fontId="10" type="noConversion"/>
  </si>
  <si>
    <t>SoulWeapon101</t>
    <phoneticPr fontId="10" type="noConversion"/>
  </si>
  <si>
    <t>911101</t>
    <phoneticPr fontId="10" type="noConversion"/>
  </si>
  <si>
    <t>Hero/Estelle,GetSoulWeapon</t>
    <phoneticPr fontId="10" type="noConversion"/>
  </si>
  <si>
    <t>Item/3dModel_SoulWeapon,SOULWEAPON_ESTELLE_REINFORCESUCCESS</t>
    <phoneticPr fontId="10" type="noConversion"/>
  </si>
  <si>
    <t>Item/3dModel_SoulWeapon,SOULWEAPON_ESTELLE_REINFORCEFAIL</t>
    <phoneticPr fontId="10" type="noConversion"/>
  </si>
  <si>
    <t>93010110,93010111</t>
    <phoneticPr fontId="10" type="noConversion"/>
  </si>
  <si>
    <t>SoulWeapon102</t>
  </si>
  <si>
    <t>WEAPON_UNIQUE_ISAIAH_1</t>
  </si>
  <si>
    <t>Item/3dModel_SoulWeapon,SOULWEAPON_ISAIAH_REINFORCESUCCESS</t>
  </si>
  <si>
    <t>Item/3dModel_SoulWeapon,SOULWEAPON_ISAIAH_REINFORCEFAIL</t>
  </si>
  <si>
    <t>Hero/Isaiah,GetSoulWeapon</t>
    <phoneticPr fontId="10" type="noConversion"/>
  </si>
  <si>
    <t>SOULSTONE_ISAIAH_1</t>
  </si>
  <si>
    <t>2.8</t>
    <phoneticPr fontId="10" type="noConversion"/>
  </si>
  <si>
    <t>93010210</t>
    <phoneticPr fontId="10" type="noConversion"/>
  </si>
  <si>
    <t>0.05,2,0</t>
    <phoneticPr fontId="10" type="noConversion"/>
  </si>
  <si>
    <t>0.05,90,0</t>
    <phoneticPr fontId="10" type="noConversion"/>
  </si>
  <si>
    <t>93009710,93009713</t>
    <phoneticPr fontId="10" type="noConversion"/>
  </si>
  <si>
    <t>11110</t>
    <phoneticPr fontId="10" type="noConversion"/>
  </si>
  <si>
    <t>11111</t>
    <phoneticPr fontId="10" type="noConversion"/>
  </si>
  <si>
    <t>11112</t>
    <phoneticPr fontId="10" type="noConversion"/>
  </si>
  <si>
    <t>11113</t>
    <phoneticPr fontId="10" type="noConversion"/>
  </si>
  <si>
    <t>1111</t>
    <phoneticPr fontId="10" type="noConversion"/>
  </si>
  <si>
    <t>SOULSTONE_VALANCE_1</t>
    <phoneticPr fontId="10" type="noConversion"/>
  </si>
  <si>
    <t>WEAPON_UNIQUE_VALANCE_1</t>
    <phoneticPr fontId="10" type="noConversion"/>
  </si>
  <si>
    <t>SoulWeapon111</t>
    <phoneticPr fontId="10" type="noConversion"/>
  </si>
  <si>
    <t>911111</t>
    <phoneticPr fontId="10" type="noConversion"/>
  </si>
  <si>
    <t>Hero/Valance,GetSoulWeapon</t>
    <phoneticPr fontId="10" type="noConversion"/>
  </si>
  <si>
    <t>Item/3dModel_SoulWeapon,SOULWEAPON_VALANCE_REINFORCESUCCESS</t>
    <phoneticPr fontId="10" type="noConversion"/>
  </si>
  <si>
    <t>Item/3dModel_SoulWeapon,SOULWEAPON_VALANCE_REINFORCEFAIL</t>
    <phoneticPr fontId="10" type="noConversion"/>
  </si>
  <si>
    <t>93011110,93011111,93011112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</si>
</sst>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43" formatCode="_-* #,##0.00_-;\-* #,##0.00_-;_-* &quot;-&quot;??_-;_-@_-"/>
    <numFmt numFmtId="176" formatCode="0.000%"/>
  </numFmts>
  <fonts count="24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9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4D79B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57">
    <xf numFmtId="0" fontId="0" fillId="0" borderId="0"/>
    <xf numFmtId="0" fontId="9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4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1" fontId="20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2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6">
    <xf numFmtId="0" fontId="0" fillId="0" borderId="0" xfId="0"/>
    <xf numFmtId="49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2" borderId="0" xfId="0" applyNumberFormat="1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horizontal="center" vertical="center" textRotation="90"/>
    </xf>
    <xf numFmtId="49" fontId="13" fillId="2" borderId="2" xfId="1" applyNumberFormat="1" applyFont="1" applyFill="1" applyBorder="1" applyAlignment="1">
      <alignment horizontal="center" vertical="center" textRotation="90"/>
    </xf>
    <xf numFmtId="49" fontId="11" fillId="0" borderId="0" xfId="0" applyNumberFormat="1" applyFont="1" applyAlignment="1">
      <alignment horizontal="left"/>
    </xf>
    <xf numFmtId="49" fontId="11" fillId="0" borderId="0" xfId="0" applyNumberFormat="1" applyFont="1" applyFill="1" applyAlignment="1">
      <alignment horizontal="center"/>
    </xf>
    <xf numFmtId="49" fontId="11" fillId="0" borderId="0" xfId="0" applyNumberFormat="1" applyFont="1" applyFill="1" applyAlignment="1">
      <alignment horizontal="left"/>
    </xf>
    <xf numFmtId="49" fontId="13" fillId="2" borderId="2" xfId="0" applyNumberFormat="1" applyFont="1" applyFill="1" applyBorder="1" applyAlignment="1">
      <alignment horizontal="center" vertical="center" textRotation="90"/>
    </xf>
    <xf numFmtId="0" fontId="13" fillId="3" borderId="2" xfId="0" applyNumberFormat="1" applyFont="1" applyFill="1" applyBorder="1" applyAlignment="1">
      <alignment horizontal="center" vertical="center" textRotation="90"/>
    </xf>
    <xf numFmtId="49" fontId="13" fillId="3" borderId="1" xfId="0" applyNumberFormat="1" applyFont="1" applyFill="1" applyBorder="1" applyAlignment="1">
      <alignment horizontal="center" vertical="center" textRotation="90"/>
    </xf>
    <xf numFmtId="0" fontId="13" fillId="4" borderId="2" xfId="0" applyNumberFormat="1" applyFont="1" applyFill="1" applyBorder="1" applyAlignment="1">
      <alignment horizontal="center" vertical="center" textRotation="90"/>
    </xf>
    <xf numFmtId="49" fontId="13" fillId="4" borderId="1" xfId="0" applyNumberFormat="1" applyFont="1" applyFill="1" applyBorder="1" applyAlignment="1">
      <alignment horizontal="center" vertical="center" textRotation="90"/>
    </xf>
    <xf numFmtId="0" fontId="13" fillId="3" borderId="1" xfId="0" applyNumberFormat="1" applyFont="1" applyFill="1" applyBorder="1" applyAlignment="1">
      <alignment horizontal="center" vertical="center" textRotation="90"/>
    </xf>
    <xf numFmtId="49" fontId="11" fillId="0" borderId="0" xfId="0" applyNumberFormat="1" applyFont="1" applyAlignment="1">
      <alignment vertical="top"/>
    </xf>
    <xf numFmtId="0" fontId="13" fillId="0" borderId="0" xfId="0" applyFont="1" applyAlignment="1">
      <alignment vertical="center"/>
    </xf>
    <xf numFmtId="49" fontId="13" fillId="5" borderId="1" xfId="0" applyNumberFormat="1" applyFont="1" applyFill="1" applyBorder="1" applyAlignment="1">
      <alignment horizontal="center" vertical="center" textRotation="90"/>
    </xf>
    <xf numFmtId="0" fontId="0" fillId="5" borderId="1" xfId="0" applyFill="1" applyBorder="1"/>
    <xf numFmtId="0" fontId="13" fillId="0" borderId="0" xfId="0" applyFont="1"/>
    <xf numFmtId="49" fontId="13" fillId="2" borderId="1" xfId="1" applyNumberFormat="1" applyFont="1" applyFill="1" applyBorder="1" applyAlignment="1">
      <alignment horizontal="center" vertical="center" textRotation="90"/>
    </xf>
    <xf numFmtId="49" fontId="13" fillId="2" borderId="1" xfId="58" applyNumberFormat="1" applyFont="1" applyFill="1" applyBorder="1" applyAlignment="1">
      <alignment horizontal="center" vertical="center" textRotation="90"/>
    </xf>
    <xf numFmtId="0" fontId="0" fillId="0" borderId="0" xfId="0"/>
    <xf numFmtId="49" fontId="13" fillId="2" borderId="1" xfId="0" applyNumberFormat="1" applyFont="1" applyFill="1" applyBorder="1" applyAlignment="1">
      <alignment horizontal="center" vertical="center" textRotation="90"/>
    </xf>
    <xf numFmtId="0" fontId="13" fillId="0" borderId="0" xfId="0" applyFont="1" applyAlignment="1">
      <alignment vertical="center"/>
    </xf>
    <xf numFmtId="49" fontId="13" fillId="0" borderId="0" xfId="0" applyNumberFormat="1" applyFont="1" applyAlignment="1">
      <alignment vertical="center"/>
    </xf>
    <xf numFmtId="49" fontId="13" fillId="5" borderId="1" xfId="0" applyNumberFormat="1" applyFont="1" applyFill="1" applyBorder="1" applyAlignment="1">
      <alignment horizontal="center" vertical="center" textRotation="90"/>
    </xf>
    <xf numFmtId="0" fontId="13" fillId="0" borderId="0" xfId="0" applyFont="1"/>
    <xf numFmtId="49" fontId="18" fillId="5" borderId="1" xfId="0" applyNumberFormat="1" applyFont="1" applyFill="1" applyBorder="1" applyAlignment="1">
      <alignment horizontal="center" vertical="center" textRotation="90"/>
    </xf>
    <xf numFmtId="0" fontId="18" fillId="0" borderId="0" xfId="0" applyFont="1" applyAlignment="1">
      <alignment vertical="center"/>
    </xf>
    <xf numFmtId="0" fontId="0" fillId="2" borderId="4" xfId="0" applyFill="1" applyBorder="1"/>
    <xf numFmtId="0" fontId="0" fillId="2" borderId="5" xfId="0" applyFill="1" applyBorder="1"/>
    <xf numFmtId="1" fontId="13" fillId="0" borderId="0" xfId="0" applyNumberFormat="1" applyFont="1" applyAlignment="1">
      <alignment vertical="center"/>
    </xf>
    <xf numFmtId="0" fontId="19" fillId="0" borderId="0" xfId="0" applyFont="1"/>
    <xf numFmtId="0" fontId="18" fillId="0" borderId="0" xfId="0" applyFont="1"/>
    <xf numFmtId="49" fontId="13" fillId="2" borderId="1" xfId="74" applyNumberFormat="1" applyFont="1" applyFill="1" applyBorder="1" applyAlignment="1">
      <alignment horizontal="center" vertical="center" textRotation="90"/>
    </xf>
    <xf numFmtId="49" fontId="11" fillId="0" borderId="0" xfId="0" applyNumberFormat="1" applyFont="1" applyAlignment="1">
      <alignment horizontal="left" vertical="center"/>
    </xf>
    <xf numFmtId="49" fontId="11" fillId="6" borderId="0" xfId="0" applyNumberFormat="1" applyFont="1" applyFill="1" applyAlignment="1">
      <alignment horizontal="left" vertical="center"/>
    </xf>
    <xf numFmtId="49" fontId="11" fillId="0" borderId="0" xfId="0" applyNumberFormat="1" applyFont="1" applyFill="1" applyAlignment="1">
      <alignment horizontal="left" vertical="center"/>
    </xf>
    <xf numFmtId="1" fontId="0" fillId="0" borderId="0" xfId="0" applyNumberFormat="1"/>
    <xf numFmtId="0" fontId="0" fillId="0" borderId="0" xfId="0" applyFill="1" applyBorder="1"/>
    <xf numFmtId="41" fontId="0" fillId="0" borderId="0" xfId="75" applyFont="1" applyAlignment="1"/>
    <xf numFmtId="49" fontId="13" fillId="2" borderId="1" xfId="76" applyNumberFormat="1" applyFont="1" applyFill="1" applyBorder="1" applyAlignment="1">
      <alignment horizontal="center" vertical="center" textRotation="90"/>
    </xf>
    <xf numFmtId="0" fontId="13" fillId="0" borderId="0" xfId="0" applyFont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49" fontId="0" fillId="0" borderId="0" xfId="0" applyNumberForma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49" fontId="0" fillId="0" borderId="0" xfId="0" applyNumberFormat="1"/>
    <xf numFmtId="41" fontId="0" fillId="0" borderId="6" xfId="75" applyFont="1" applyBorder="1">
      <alignment vertical="center"/>
    </xf>
    <xf numFmtId="43" fontId="0" fillId="0" borderId="0" xfId="0" applyNumberFormat="1"/>
    <xf numFmtId="0" fontId="0" fillId="0" borderId="0" xfId="0" applyAlignment="1">
      <alignment vertical="center"/>
    </xf>
    <xf numFmtId="49" fontId="11" fillId="0" borderId="0" xfId="0" quotePrefix="1" applyNumberFormat="1" applyFont="1" applyAlignment="1">
      <alignment horizontal="left" vertical="center"/>
    </xf>
    <xf numFmtId="0" fontId="11" fillId="0" borderId="0" xfId="0" applyNumberFormat="1" applyFont="1" applyAlignment="1">
      <alignment horizontal="left" vertical="center"/>
    </xf>
    <xf numFmtId="0" fontId="13" fillId="2" borderId="1" xfId="0" applyNumberFormat="1" applyFont="1" applyFill="1" applyBorder="1" applyAlignment="1">
      <alignment horizontal="center" vertical="center" textRotation="90"/>
    </xf>
    <xf numFmtId="0" fontId="0" fillId="0" borderId="0" xfId="0" applyNumberFormat="1"/>
    <xf numFmtId="49" fontId="13" fillId="5" borderId="1" xfId="1" applyNumberFormat="1" applyFont="1" applyFill="1" applyBorder="1" applyAlignment="1">
      <alignment horizontal="center" vertical="center"/>
    </xf>
    <xf numFmtId="49" fontId="13" fillId="5" borderId="1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Alignment="1">
      <alignment horizontal="center" vertical="center"/>
    </xf>
    <xf numFmtId="49" fontId="13" fillId="5" borderId="0" xfId="0" applyNumberFormat="1" applyFont="1" applyFill="1" applyAlignment="1">
      <alignment horizontal="center" vertical="center" textRotation="90"/>
    </xf>
    <xf numFmtId="0" fontId="21" fillId="7" borderId="1" xfId="0" applyFont="1" applyFill="1" applyBorder="1" applyAlignment="1">
      <alignment vertical="center" textRotation="90"/>
    </xf>
    <xf numFmtId="0" fontId="21" fillId="7" borderId="1" xfId="0" applyFont="1" applyFill="1" applyBorder="1" applyAlignment="1">
      <alignment horizontal="center" vertical="center"/>
    </xf>
    <xf numFmtId="0" fontId="21" fillId="7" borderId="1" xfId="0" applyFont="1" applyFill="1" applyBorder="1" applyAlignment="1">
      <alignment horizontal="center" vertical="center" textRotation="90"/>
    </xf>
    <xf numFmtId="0" fontId="22" fillId="0" borderId="0" xfId="0" applyFont="1"/>
    <xf numFmtId="0" fontId="22" fillId="7" borderId="1" xfId="0" applyFont="1" applyFill="1" applyBorder="1"/>
    <xf numFmtId="0" fontId="21" fillId="7" borderId="0" xfId="0" applyFont="1" applyFill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/>
    <xf numFmtId="176" fontId="23" fillId="0" borderId="0" xfId="0" applyNumberFormat="1" applyFont="1"/>
    <xf numFmtId="0" fontId="21" fillId="8" borderId="0" xfId="0" applyFont="1" applyFill="1" applyAlignment="1">
      <alignment vertical="center"/>
    </xf>
    <xf numFmtId="0" fontId="13" fillId="8" borderId="0" xfId="0" applyFont="1" applyFill="1" applyAlignment="1">
      <alignment vertical="center"/>
    </xf>
    <xf numFmtId="0" fontId="22" fillId="8" borderId="0" xfId="0" applyFont="1" applyFill="1"/>
    <xf numFmtId="0" fontId="0" fillId="8" borderId="0" xfId="0" applyFill="1"/>
    <xf numFmtId="0" fontId="21" fillId="9" borderId="0" xfId="0" applyFont="1" applyFill="1" applyAlignment="1">
      <alignment vertical="center"/>
    </xf>
    <xf numFmtId="0" fontId="13" fillId="9" borderId="0" xfId="0" applyFont="1" applyFill="1" applyAlignment="1">
      <alignment vertical="center"/>
    </xf>
    <xf numFmtId="0" fontId="22" fillId="9" borderId="0" xfId="0" applyFont="1" applyFill="1"/>
    <xf numFmtId="0" fontId="0" fillId="9" borderId="0" xfId="0" applyFill="1"/>
    <xf numFmtId="0" fontId="13" fillId="0" borderId="0" xfId="0" applyFont="1" applyAlignment="1">
      <alignment vertical="center"/>
    </xf>
    <xf numFmtId="49" fontId="11" fillId="3" borderId="1" xfId="0" applyNumberFormat="1" applyFont="1" applyFill="1" applyBorder="1" applyAlignment="1">
      <alignment horizontal="center" vertical="center"/>
    </xf>
    <xf numFmtId="49" fontId="11" fillId="2" borderId="3" xfId="0" applyNumberFormat="1" applyFont="1" applyFill="1" applyBorder="1" applyAlignment="1">
      <alignment horizontal="center" vertical="center"/>
    </xf>
    <xf numFmtId="49" fontId="11" fillId="2" borderId="4" xfId="0" applyNumberFormat="1" applyFont="1" applyFill="1" applyBorder="1" applyAlignment="1">
      <alignment horizontal="center" vertical="center"/>
    </xf>
    <xf numFmtId="49" fontId="11" fillId="2" borderId="5" xfId="0" applyNumberFormat="1" applyFont="1" applyFill="1" applyBorder="1" applyAlignment="1">
      <alignment horizontal="center" vertical="center"/>
    </xf>
    <xf numFmtId="49" fontId="11" fillId="3" borderId="3" xfId="0" applyNumberFormat="1" applyFont="1" applyFill="1" applyBorder="1" applyAlignment="1">
      <alignment horizontal="center" vertical="center"/>
    </xf>
    <xf numFmtId="49" fontId="11" fillId="3" borderId="4" xfId="0" applyNumberFormat="1" applyFont="1" applyFill="1" applyBorder="1" applyAlignment="1">
      <alignment horizontal="center" vertical="center"/>
    </xf>
    <xf numFmtId="49" fontId="11" fillId="4" borderId="3" xfId="0" applyNumberFormat="1" applyFont="1" applyFill="1" applyBorder="1" applyAlignment="1">
      <alignment horizontal="center" vertical="center"/>
    </xf>
    <xf numFmtId="49" fontId="11" fillId="4" borderId="4" xfId="0" applyNumberFormat="1" applyFont="1" applyFill="1" applyBorder="1" applyAlignment="1">
      <alignment horizontal="center" vertical="center"/>
    </xf>
  </cellXfs>
  <cellStyles count="157">
    <cellStyle name="Text" xfId="36" xr:uid="{00000000-0005-0000-0000-000000000000}"/>
    <cellStyle name="백분율 2" xfId="73" xr:uid="{00000000-0005-0000-0000-000001000000}"/>
    <cellStyle name="백분율 2 2" xfId="150" xr:uid="{96A48367-E0DE-4252-83CB-60BD83C3F8E8}"/>
    <cellStyle name="백분율 3" xfId="79" xr:uid="{00000000-0005-0000-0000-000002000000}"/>
    <cellStyle name="백분율 3 2" xfId="156" xr:uid="{04654500-C2F1-40B0-9294-ABD86EF3C652}"/>
    <cellStyle name="쉼표 [0]" xfId="75" builtinId="6"/>
    <cellStyle name="쉼표 [0] 2" xfId="72" xr:uid="{00000000-0005-0000-0000-000004000000}"/>
    <cellStyle name="쉼표 [0] 2 2" xfId="149" xr:uid="{A84FDC30-1C10-44A6-976B-D933FA5FD086}"/>
    <cellStyle name="쉼표 [0] 3" xfId="78" xr:uid="{00000000-0005-0000-0000-000005000000}"/>
    <cellStyle name="쉼표 [0] 3 2" xfId="155" xr:uid="{FC62461F-3195-4656-A41E-973AAA593F04}"/>
    <cellStyle name="쉼표 [0] 4" xfId="152" xr:uid="{87CA2C8C-2316-4398-84E1-77D239FCA00E}"/>
    <cellStyle name="표준" xfId="0" builtinId="0"/>
    <cellStyle name="표준 12" xfId="2" xr:uid="{00000000-0005-0000-0000-000007000000}"/>
    <cellStyle name="표준 2" xfId="71" xr:uid="{00000000-0005-0000-0000-000008000000}"/>
    <cellStyle name="표준 2 2" xfId="1" xr:uid="{00000000-0005-0000-0000-000009000000}"/>
    <cellStyle name="표준 2 2 10" xfId="3" xr:uid="{00000000-0005-0000-0000-00000A000000}"/>
    <cellStyle name="표준 2 2 10 10" xfId="23" xr:uid="{00000000-0005-0000-0000-00000B000000}"/>
    <cellStyle name="표준 2 2 10 10 2" xfId="58" xr:uid="{00000000-0005-0000-0000-00000C000000}"/>
    <cellStyle name="표준 2 2 10 10 2 2" xfId="135" xr:uid="{38AA539C-372A-4275-9A31-C8F809287532}"/>
    <cellStyle name="표준 2 2 10 10 3" xfId="101" xr:uid="{8D45E734-699E-4276-BD83-584B99664668}"/>
    <cellStyle name="표준 2 2 10 11" xfId="25" xr:uid="{00000000-0005-0000-0000-00000D000000}"/>
    <cellStyle name="표준 2 2 10 11 2" xfId="60" xr:uid="{00000000-0005-0000-0000-00000E000000}"/>
    <cellStyle name="표준 2 2 10 11 2 2" xfId="137" xr:uid="{0A937FE9-3382-4F89-AD1A-3FB03D447A62}"/>
    <cellStyle name="표준 2 2 10 11 3" xfId="103" xr:uid="{8AF50845-5A58-465F-9D93-51CA9C012BA9}"/>
    <cellStyle name="표준 2 2 10 12" xfId="27" xr:uid="{00000000-0005-0000-0000-00000F000000}"/>
    <cellStyle name="표준 2 2 10 12 2" xfId="62" xr:uid="{00000000-0005-0000-0000-000010000000}"/>
    <cellStyle name="표준 2 2 10 12 2 2" xfId="139" xr:uid="{F23D6CFA-2A96-4568-9581-6DDA92B0B335}"/>
    <cellStyle name="표준 2 2 10 12 3" xfId="105" xr:uid="{97741914-25BA-4110-A150-78CE8A813AB8}"/>
    <cellStyle name="표준 2 2 10 13" xfId="29" xr:uid="{00000000-0005-0000-0000-000011000000}"/>
    <cellStyle name="표준 2 2 10 13 2" xfId="64" xr:uid="{00000000-0005-0000-0000-000012000000}"/>
    <cellStyle name="표준 2 2 10 13 2 2" xfId="141" xr:uid="{2F4A769B-C8FB-4727-95D5-BB640B476F75}"/>
    <cellStyle name="표준 2 2 10 13 3" xfId="107" xr:uid="{1C23E55D-5655-491D-8DFD-D3ED0539C0D1}"/>
    <cellStyle name="표준 2 2 10 14" xfId="31" xr:uid="{00000000-0005-0000-0000-000013000000}"/>
    <cellStyle name="표준 2 2 10 14 2" xfId="66" xr:uid="{00000000-0005-0000-0000-000014000000}"/>
    <cellStyle name="표준 2 2 10 14 2 2" xfId="143" xr:uid="{15BC929E-B1A6-4452-B38D-918ACBD11C7B}"/>
    <cellStyle name="표준 2 2 10 14 3" xfId="109" xr:uid="{E32A0171-3252-431B-B09C-DF5DAF538DDC}"/>
    <cellStyle name="표준 2 2 10 15" xfId="32" xr:uid="{00000000-0005-0000-0000-000015000000}"/>
    <cellStyle name="표준 2 2 10 15 2" xfId="67" xr:uid="{00000000-0005-0000-0000-000016000000}"/>
    <cellStyle name="표준 2 2 10 15 2 2" xfId="144" xr:uid="{AE8ECCD1-DCC3-4EFC-9FEC-98DD8A0D66AD}"/>
    <cellStyle name="표준 2 2 10 15 3" xfId="110" xr:uid="{EA4D04F6-667A-4DF3-819F-12161952C513}"/>
    <cellStyle name="표준 2 2 10 16" xfId="33" xr:uid="{00000000-0005-0000-0000-000017000000}"/>
    <cellStyle name="표준 2 2 10 16 2" xfId="68" xr:uid="{00000000-0005-0000-0000-000018000000}"/>
    <cellStyle name="표준 2 2 10 16 2 2" xfId="145" xr:uid="{2A6F0B35-4FA6-451A-A5DB-107F392E1E0D}"/>
    <cellStyle name="표준 2 2 10 16 3" xfId="111" xr:uid="{A66573E4-AF7D-4F8B-A367-8B1628D31BB1}"/>
    <cellStyle name="표준 2 2 10 17" xfId="35" xr:uid="{00000000-0005-0000-0000-000019000000}"/>
    <cellStyle name="표준 2 2 10 17 2" xfId="70" xr:uid="{00000000-0005-0000-0000-00001A000000}"/>
    <cellStyle name="표준 2 2 10 17 2 2" xfId="147" xr:uid="{7CA24D1A-D918-451E-AE22-2EE95501F2A2}"/>
    <cellStyle name="표준 2 2 10 17 3" xfId="113" xr:uid="{AD9EDDE0-7432-4B76-AA5D-272E8B644C4C}"/>
    <cellStyle name="표준 2 2 10 18" xfId="38" xr:uid="{00000000-0005-0000-0000-00001B000000}"/>
    <cellStyle name="표준 2 2 10 18 2" xfId="115" xr:uid="{D66E280F-92F0-4024-ABA4-E6A6A8191233}"/>
    <cellStyle name="표준 2 2 10 19" xfId="81" xr:uid="{7CBE93B4-B441-428B-8078-E59310E32EFE}"/>
    <cellStyle name="표준 2 2 10 2" xfId="7" xr:uid="{00000000-0005-0000-0000-00001C000000}"/>
    <cellStyle name="표준 2 2 10 2 2" xfId="42" xr:uid="{00000000-0005-0000-0000-00001D000000}"/>
    <cellStyle name="표준 2 2 10 2 2 2" xfId="119" xr:uid="{614F0D58-1E4E-4B86-BE04-DF26F1794E03}"/>
    <cellStyle name="표준 2 2 10 2 3" xfId="85" xr:uid="{2CE45FB2-1D72-47E2-875C-E38555FC8758}"/>
    <cellStyle name="표준 2 2 10 3" xfId="9" xr:uid="{00000000-0005-0000-0000-00001E000000}"/>
    <cellStyle name="표준 2 2 10 3 2" xfId="44" xr:uid="{00000000-0005-0000-0000-00001F000000}"/>
    <cellStyle name="표준 2 2 10 3 2 2" xfId="121" xr:uid="{3F65340C-DC87-483D-B3D4-D5DAD12C8A30}"/>
    <cellStyle name="표준 2 2 10 3 3" xfId="87" xr:uid="{774CE188-BF8B-45A6-9754-9EEF8AA93FF5}"/>
    <cellStyle name="표준 2 2 10 4" xfId="11" xr:uid="{00000000-0005-0000-0000-000020000000}"/>
    <cellStyle name="표준 2 2 10 4 2" xfId="46" xr:uid="{00000000-0005-0000-0000-000021000000}"/>
    <cellStyle name="표준 2 2 10 4 2 2" xfId="123" xr:uid="{9980D3E7-B631-4368-8860-69FC1C5DB6F8}"/>
    <cellStyle name="표준 2 2 10 4 3" xfId="89" xr:uid="{590950A7-D98A-4D51-9F32-B1D5477045D1}"/>
    <cellStyle name="표준 2 2 10 5" xfId="13" xr:uid="{00000000-0005-0000-0000-000022000000}"/>
    <cellStyle name="표준 2 2 10 5 2" xfId="48" xr:uid="{00000000-0005-0000-0000-000023000000}"/>
    <cellStyle name="표준 2 2 10 5 2 2" xfId="125" xr:uid="{9DC0C8E8-D4E1-4C34-8B52-D341AEFB3757}"/>
    <cellStyle name="표준 2 2 10 5 3" xfId="91" xr:uid="{D3D5C796-C681-41A3-B870-9B885F62A664}"/>
    <cellStyle name="표준 2 2 10 6" xfId="15" xr:uid="{00000000-0005-0000-0000-000024000000}"/>
    <cellStyle name="표준 2 2 10 6 2" xfId="50" xr:uid="{00000000-0005-0000-0000-000025000000}"/>
    <cellStyle name="표준 2 2 10 6 2 2" xfId="127" xr:uid="{BFBA4865-EAC0-4E5B-B3C4-02C808045A5F}"/>
    <cellStyle name="표준 2 2 10 6 3" xfId="93" xr:uid="{1B7FAA51-A031-467E-B6AC-06B5D7F99268}"/>
    <cellStyle name="표준 2 2 10 7" xfId="17" xr:uid="{00000000-0005-0000-0000-000026000000}"/>
    <cellStyle name="표준 2 2 10 7 2" xfId="52" xr:uid="{00000000-0005-0000-0000-000027000000}"/>
    <cellStyle name="표준 2 2 10 7 2 2" xfId="129" xr:uid="{DBC8677C-946F-4BA9-BC1C-E18BF249B0A5}"/>
    <cellStyle name="표준 2 2 10 7 3" xfId="95" xr:uid="{7082E94B-A7A0-44E8-AFEB-3BB0646394D2}"/>
    <cellStyle name="표준 2 2 10 8" xfId="19" xr:uid="{00000000-0005-0000-0000-000028000000}"/>
    <cellStyle name="표준 2 2 10 8 2" xfId="54" xr:uid="{00000000-0005-0000-0000-000029000000}"/>
    <cellStyle name="표준 2 2 10 8 2 2" xfId="131" xr:uid="{8485126B-10F5-4F59-82D1-BDB14BFB892C}"/>
    <cellStyle name="표준 2 2 10 8 3" xfId="97" xr:uid="{332E2E3E-893D-4542-B81F-6A0E70255BBB}"/>
    <cellStyle name="표준 2 2 10 9" xfId="21" xr:uid="{00000000-0005-0000-0000-00002A000000}"/>
    <cellStyle name="표준 2 2 10 9 2" xfId="56" xr:uid="{00000000-0005-0000-0000-00002B000000}"/>
    <cellStyle name="표준 2 2 10 9 2 2" xfId="133" xr:uid="{F3DDEF8F-BD3D-491B-BABC-54665CBC30DF}"/>
    <cellStyle name="표준 2 2 10 9 3" xfId="99" xr:uid="{69B8A4BC-3996-45D1-AD26-81BD5B09D4DC}"/>
    <cellStyle name="표준 2 2 11" xfId="18" xr:uid="{00000000-0005-0000-0000-00002C000000}"/>
    <cellStyle name="표준 2 2 11 2" xfId="53" xr:uid="{00000000-0005-0000-0000-00002D000000}"/>
    <cellStyle name="표준 2 2 11 2 2" xfId="130" xr:uid="{B03339DE-9EFF-4214-B2C5-95DC62323C2F}"/>
    <cellStyle name="표준 2 2 11 3" xfId="96" xr:uid="{74D91112-E19A-4E8C-B26F-26A9B790EFD3}"/>
    <cellStyle name="표준 2 2 12" xfId="20" xr:uid="{00000000-0005-0000-0000-00002E000000}"/>
    <cellStyle name="표준 2 2 12 2" xfId="55" xr:uid="{00000000-0005-0000-0000-00002F000000}"/>
    <cellStyle name="표준 2 2 12 2 2" xfId="132" xr:uid="{58974CC4-F69B-47C1-B468-D9DB4EDE6735}"/>
    <cellStyle name="표준 2 2 12 3" xfId="98" xr:uid="{BB0CD52E-2908-4F57-B797-060237ACB507}"/>
    <cellStyle name="표준 2 2 13" xfId="22" xr:uid="{00000000-0005-0000-0000-000030000000}"/>
    <cellStyle name="표준 2 2 13 2" xfId="57" xr:uid="{00000000-0005-0000-0000-000031000000}"/>
    <cellStyle name="표준 2 2 13 2 2" xfId="134" xr:uid="{D011DBC1-8948-4EFF-B3D8-180BA721062F}"/>
    <cellStyle name="표준 2 2 13 3" xfId="100" xr:uid="{4D92B10F-4E44-463B-99B4-6087C96CE18C}"/>
    <cellStyle name="표준 2 2 14" xfId="24" xr:uid="{00000000-0005-0000-0000-000032000000}"/>
    <cellStyle name="표준 2 2 14 2" xfId="59" xr:uid="{00000000-0005-0000-0000-000033000000}"/>
    <cellStyle name="표준 2 2 14 2 2" xfId="136" xr:uid="{5BAAD893-BE20-47BC-85C7-F39AACA78686}"/>
    <cellStyle name="표준 2 2 14 3" xfId="102" xr:uid="{7FC9DDDF-FE3C-4163-8F4D-72AB33C9E610}"/>
    <cellStyle name="표준 2 2 15" xfId="26" xr:uid="{00000000-0005-0000-0000-000034000000}"/>
    <cellStyle name="표준 2 2 15 2" xfId="61" xr:uid="{00000000-0005-0000-0000-000035000000}"/>
    <cellStyle name="표준 2 2 15 2 2" xfId="138" xr:uid="{B28B9A90-1719-4605-88D7-268B76D9627D}"/>
    <cellStyle name="표준 2 2 15 3" xfId="104" xr:uid="{AA1DCAC5-63B1-4136-AD90-89AAED027C10}"/>
    <cellStyle name="표준 2 2 16" xfId="28" xr:uid="{00000000-0005-0000-0000-000036000000}"/>
    <cellStyle name="표준 2 2 16 2" xfId="63" xr:uid="{00000000-0005-0000-0000-000037000000}"/>
    <cellStyle name="표준 2 2 16 2 2" xfId="140" xr:uid="{B6DCF5C3-5929-4E15-B26F-1A0BE60B3ACC}"/>
    <cellStyle name="표준 2 2 16 3" xfId="106" xr:uid="{3490713A-C5F6-4592-91C2-4011BC46A141}"/>
    <cellStyle name="표준 2 2 17" xfId="30" xr:uid="{00000000-0005-0000-0000-000038000000}"/>
    <cellStyle name="표준 2 2 17 2" xfId="65" xr:uid="{00000000-0005-0000-0000-000039000000}"/>
    <cellStyle name="표준 2 2 17 2 2" xfId="142" xr:uid="{36CA1365-2691-4EAA-827C-5B61F9AB2A47}"/>
    <cellStyle name="표준 2 2 17 3" xfId="108" xr:uid="{1591B5AC-E1D6-4AD1-A46E-D3E5634802B8}"/>
    <cellStyle name="표준 2 2 18" xfId="34" xr:uid="{00000000-0005-0000-0000-00003A000000}"/>
    <cellStyle name="표준 2 2 18 2" xfId="69" xr:uid="{00000000-0005-0000-0000-00003B000000}"/>
    <cellStyle name="표준 2 2 18 2 2" xfId="146" xr:uid="{428A68A7-EBC5-474A-8DF5-C8761DD41F5B}"/>
    <cellStyle name="표준 2 2 18 3" xfId="112" xr:uid="{12FB8AD7-9636-42E2-9CDB-FE3C374199DD}"/>
    <cellStyle name="표준 2 2 19" xfId="37" xr:uid="{00000000-0005-0000-0000-00003C000000}"/>
    <cellStyle name="표준 2 2 19 2" xfId="114" xr:uid="{5174DE1B-EF26-4B7B-AEF5-556F8B67A98E}"/>
    <cellStyle name="표준 2 2 2" xfId="5" xr:uid="{00000000-0005-0000-0000-00003D000000}"/>
    <cellStyle name="표준 2 2 2 2" xfId="40" xr:uid="{00000000-0005-0000-0000-00003E000000}"/>
    <cellStyle name="표준 2 2 2 2 2" xfId="117" xr:uid="{C61DA34D-E967-4B7A-9F52-2C7A227FF336}"/>
    <cellStyle name="표준 2 2 2 3" xfId="83" xr:uid="{3F61FEDA-DC2E-4B55-B717-39E23BBCB509}"/>
    <cellStyle name="표준 2 2 20" xfId="74" xr:uid="{00000000-0005-0000-0000-00003F000000}"/>
    <cellStyle name="표준 2 2 20 2" xfId="151" xr:uid="{3468ED6B-75A5-49D8-B4C8-8E973CA1E600}"/>
    <cellStyle name="표준 2 2 21" xfId="76" xr:uid="{00000000-0005-0000-0000-000040000000}"/>
    <cellStyle name="표준 2 2 21 2" xfId="153" xr:uid="{35D0CBA5-3E6C-4880-A2C3-EC9A87A025B9}"/>
    <cellStyle name="표준 2 2 22" xfId="80" xr:uid="{3E428869-37AA-40E2-8BB1-045B312FB498}"/>
    <cellStyle name="표준 2 2 3" xfId="4" xr:uid="{00000000-0005-0000-0000-000041000000}"/>
    <cellStyle name="표준 2 2 3 2" xfId="39" xr:uid="{00000000-0005-0000-0000-000042000000}"/>
    <cellStyle name="표준 2 2 3 2 2" xfId="116" xr:uid="{DD1FA527-EE1C-449E-96E1-DC7474804DDC}"/>
    <cellStyle name="표준 2 2 3 3" xfId="82" xr:uid="{87574845-AFE2-4DB4-B6FD-86BF079B1B16}"/>
    <cellStyle name="표준 2 2 4" xfId="6" xr:uid="{00000000-0005-0000-0000-000043000000}"/>
    <cellStyle name="표준 2 2 4 2" xfId="41" xr:uid="{00000000-0005-0000-0000-000044000000}"/>
    <cellStyle name="표준 2 2 4 2 2" xfId="118" xr:uid="{CEC63FB2-9943-41C1-959A-682A7707025F}"/>
    <cellStyle name="표준 2 2 4 3" xfId="84" xr:uid="{FEF4FD47-2F76-4989-8A6B-21DF42528F2B}"/>
    <cellStyle name="표준 2 2 5" xfId="8" xr:uid="{00000000-0005-0000-0000-000045000000}"/>
    <cellStyle name="표준 2 2 5 2" xfId="43" xr:uid="{00000000-0005-0000-0000-000046000000}"/>
    <cellStyle name="표준 2 2 5 2 2" xfId="120" xr:uid="{13DA49B2-42B9-4915-81EF-EB0872FD343B}"/>
    <cellStyle name="표준 2 2 5 3" xfId="86" xr:uid="{9A1955DA-D9BC-4E83-90F6-A2118E089C5A}"/>
    <cellStyle name="표준 2 2 6" xfId="10" xr:uid="{00000000-0005-0000-0000-000047000000}"/>
    <cellStyle name="표준 2 2 6 2" xfId="45" xr:uid="{00000000-0005-0000-0000-000048000000}"/>
    <cellStyle name="표준 2 2 6 2 2" xfId="122" xr:uid="{AEE65FC3-BF11-45BA-B08D-383AAE802BC9}"/>
    <cellStyle name="표준 2 2 6 3" xfId="88" xr:uid="{7AC742C6-6FB6-4943-9FD7-02C1411E1AE7}"/>
    <cellStyle name="표준 2 2 7" xfId="12" xr:uid="{00000000-0005-0000-0000-000049000000}"/>
    <cellStyle name="표준 2 2 7 2" xfId="47" xr:uid="{00000000-0005-0000-0000-00004A000000}"/>
    <cellStyle name="표준 2 2 7 2 2" xfId="124" xr:uid="{CC902B78-9187-4793-930F-B63FA5E4437A}"/>
    <cellStyle name="표준 2 2 7 3" xfId="90" xr:uid="{98EAF193-5881-428E-A4A0-D74C5FC01882}"/>
    <cellStyle name="표준 2 2 8" xfId="14" xr:uid="{00000000-0005-0000-0000-00004B000000}"/>
    <cellStyle name="표준 2 2 8 2" xfId="49" xr:uid="{00000000-0005-0000-0000-00004C000000}"/>
    <cellStyle name="표준 2 2 8 2 2" xfId="126" xr:uid="{AB3E6AB3-92FA-41D0-913D-913B6D89020A}"/>
    <cellStyle name="표준 2 2 8 3" xfId="92" xr:uid="{5435F228-61B6-401D-8CC2-4EE8A1C7AF22}"/>
    <cellStyle name="표준 2 2 9" xfId="16" xr:uid="{00000000-0005-0000-0000-00004D000000}"/>
    <cellStyle name="표준 2 2 9 2" xfId="51" xr:uid="{00000000-0005-0000-0000-00004E000000}"/>
    <cellStyle name="표준 2 2 9 2 2" xfId="128" xr:uid="{0D0B138E-4043-41DE-AEE8-8D46FCBA66AD}"/>
    <cellStyle name="표준 2 2 9 3" xfId="94" xr:uid="{96C8AC0E-75A7-4001-88ED-2610230E3E14}"/>
    <cellStyle name="표준 2 3" xfId="148" xr:uid="{15384CEC-9630-4BDD-AE33-06467BD44E45}"/>
    <cellStyle name="표준 3" xfId="77" xr:uid="{00000000-0005-0000-0000-00004F000000}"/>
    <cellStyle name="표준 3 2" xfId="154" xr:uid="{4DF1ED3B-2F10-46EA-8134-B4C6A6E4D8D2}"/>
  </cellStyles>
  <dxfs count="14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462"/>
      <tableStyleElement type="headerRow" dxfId="146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8T13:44:57.12" personId="{00000000-0000-0000-0000-000000000000}" id="{A959A4D5-E197-4A78-8A31-0641E52BFE4E}">
    <text>전용무기 아이템 코드</text>
  </threadedComment>
  <threadedComment ref="B1" dT="2020-09-28T13:45:06.49" personId="{00000000-0000-0000-0000-000000000000}" id="{B6EEC4F6-375A-4F2C-9C85-4D11352695E3}">
    <text>무기용 크리처 인덱스</text>
  </threadedComment>
  <threadedComment ref="C1" dT="2020-09-28T13:45:14.27" personId="{00000000-0000-0000-0000-000000000000}" id="{265C1197-A53F-499D-AF53-84418AA89EE9}">
    <text>영혼석 용 크리처 인덱스</text>
  </threadedComment>
  <threadedComment ref="D1" dT="2020-09-28T13:45:22.62" personId="{00000000-0000-0000-0000-000000000000}" id="{6BC45182-4478-4754-8CEA-6581C98E11B2}">
    <text>영혼석 아이템 Index</text>
  </threadedComment>
  <threadedComment ref="E1" dT="2020-09-28T13:45:36.98" personId="{00000000-0000-0000-0000-000000000000}" id="{207E22E9-07E3-48E5-96EA-2B0E0DFA98B2}">
    <text>소울웨폰 관리의 3D 모델 위치</text>
  </threadedComment>
  <threadedComment ref="F1" dT="2020-09-28T13:45:42.75" personId="{00000000-0000-0000-0000-000000000000}" id="{F0CF6D15-66BF-4A9A-A0B8-611A82407A04}">
    <text>소울웨폰 관리의 3D 모델 회전 값</text>
  </threadedComment>
  <threadedComment ref="G1" dT="2020-09-28T13:45:47.58" personId="{00000000-0000-0000-0000-000000000000}" id="{285C312C-AED6-4646-BDD5-72D9A04759CD}">
    <text>소울웨폰 관리의 3D 모델 크기</text>
  </threadedComment>
  <threadedComment ref="H1" dT="2020-09-28T13:46:01.86" personId="{00000000-0000-0000-0000-000000000000}" id="{5CE206C9-7C49-4CC3-91FA-F9EC17A3FAF1}">
    <text>소울웨폰 승급의 3D 모델 위치</text>
  </threadedComment>
  <threadedComment ref="I1" dT="2020-09-28T13:46:09.66" personId="{00000000-0000-0000-0000-000000000000}" id="{2DA729D1-786C-4524-A7E0-430AF6B575D1}">
    <text>소울웨폰 승급의 3D 모델 회전값</text>
  </threadedComment>
  <threadedComment ref="J1" dT="2020-09-28T13:46:13.79" personId="{00000000-0000-0000-0000-000000000000}" id="{1822065F-9461-468B-9D56-05642C8FC9AE}">
    <text>소울웨폰 승급의 3D 모델 크기</text>
  </threadedComment>
  <threadedComment ref="K1" dT="2020-09-28T13:46:20.45" personId="{00000000-0000-0000-0000-000000000000}" id="{7B0C2A6F-32CD-45CA-B3F6-0D3F34967BAA}">
    <text>소울웨폰 승급 결과의 3D 모델 위치</text>
  </threadedComment>
  <threadedComment ref="L1" dT="2020-09-28T13:46:25.40" personId="{00000000-0000-0000-0000-000000000000}" id="{66184C13-847A-4842-8A24-FE6376E38637}">
    <text>소울웨폰 승급 결과의 3D 모델 회전값</text>
  </threadedComment>
  <threadedComment ref="M1" dT="2020-09-28T13:46:30.72" personId="{00000000-0000-0000-0000-000000000000}" id="{70E55C83-B15D-4A26-9EE1-5B3FE3674740}">
    <text>소울웨폰 승급 결과의 3D 모델 크기</text>
  </threadedComment>
  <threadedComment ref="N1" dT="2020-09-28T13:46:37.90" personId="{00000000-0000-0000-0000-000000000000}" id="{3833AD50-FEA8-491F-93B1-C69B3D55C2CB}">
    <text>해방 노드트리</text>
  </threadedComment>
  <threadedComment ref="O1" dT="2020-09-28T13:46:47.66" personId="{00000000-0000-0000-0000-000000000000}" id="{770A15F5-8C57-4490-9473-48857C16ABB4}">
    <text>에테르 강화 성공 노드트리</text>
  </threadedComment>
  <threadedComment ref="P1" dT="2020-09-28T13:46:52.44" personId="{00000000-0000-0000-0000-000000000000}" id="{A5A3A765-2AE4-41CA-8E12-4466748A90FC}">
    <text>에테르 강화 실패 노드트리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AC410"/>
  <sheetViews>
    <sheetView workbookViewId="0">
      <pane xSplit="1" ySplit="1" topLeftCell="B389" activePane="bottomRight" state="frozen"/>
      <selection pane="topRight" activeCell="C1" sqref="C1"/>
      <selection pane="bottomLeft" activeCell="A3" sqref="A3"/>
      <selection pane="bottomRight" activeCell="D416" sqref="D416"/>
    </sheetView>
  </sheetViews>
  <sheetFormatPr defaultColWidth="9" defaultRowHeight="14.1" customHeight="1" x14ac:dyDescent="0.2"/>
  <cols>
    <col min="1" max="1" width="14.625" style="2" customWidth="1"/>
    <col min="2" max="2" width="19" style="2" customWidth="1"/>
    <col min="3" max="3" width="5.75" style="2" customWidth="1"/>
    <col min="4" max="4" width="22" style="2" bestFit="1" customWidth="1"/>
    <col min="5" max="6" width="9" style="2"/>
    <col min="7" max="7" width="32.5" style="2" customWidth="1"/>
    <col min="8" max="8" width="9" style="2"/>
    <col min="9" max="16384" width="9" style="1"/>
  </cols>
  <sheetData>
    <row r="1" spans="1:29" s="4" customFormat="1" ht="99.95" customHeight="1" x14ac:dyDescent="0.3">
      <c r="A1" s="20" t="s">
        <v>3</v>
      </c>
      <c r="B1" s="20" t="s">
        <v>5</v>
      </c>
      <c r="C1" s="4" t="s">
        <v>6</v>
      </c>
      <c r="D1" s="4" t="s">
        <v>1</v>
      </c>
      <c r="E1" s="4" t="s">
        <v>2</v>
      </c>
      <c r="F1" s="4" t="s">
        <v>7</v>
      </c>
      <c r="G1" s="23"/>
      <c r="H1" s="23"/>
      <c r="I1" s="23"/>
    </row>
    <row r="2" spans="1:29" s="59" customFormat="1" ht="17.25" customHeight="1" x14ac:dyDescent="0.3">
      <c r="A2" s="56" t="s">
        <v>1314</v>
      </c>
      <c r="B2" s="56" t="s">
        <v>1314</v>
      </c>
      <c r="C2" s="56" t="s">
        <v>1314</v>
      </c>
      <c r="D2" s="57" t="s">
        <v>1315</v>
      </c>
      <c r="E2" s="56" t="s">
        <v>1314</v>
      </c>
      <c r="F2" s="56" t="s">
        <v>1314</v>
      </c>
      <c r="G2" s="57"/>
      <c r="H2" s="57"/>
      <c r="I2" s="57"/>
      <c r="J2" s="58"/>
      <c r="K2" s="58"/>
      <c r="L2" s="57"/>
      <c r="M2" s="57"/>
      <c r="N2" s="57"/>
      <c r="O2" s="57"/>
      <c r="P2" s="58"/>
      <c r="Q2" s="58"/>
      <c r="R2" s="57"/>
      <c r="S2" s="57"/>
      <c r="T2" s="57"/>
      <c r="U2" s="57"/>
      <c r="V2" s="58"/>
      <c r="W2" s="58"/>
      <c r="X2" s="57"/>
      <c r="Y2" s="57"/>
      <c r="Z2" s="57"/>
      <c r="AA2" s="57"/>
      <c r="AB2" s="58"/>
      <c r="AC2" s="58"/>
    </row>
    <row r="3" spans="1:29" ht="14.1" customHeight="1" x14ac:dyDescent="0.2">
      <c r="A3" s="2">
        <v>10010</v>
      </c>
      <c r="B3" s="2" t="s">
        <v>12</v>
      </c>
      <c r="D3" s="36" t="s">
        <v>300</v>
      </c>
      <c r="E3" s="2" t="s">
        <v>0</v>
      </c>
      <c r="F3" s="2" t="s">
        <v>834</v>
      </c>
      <c r="G3" s="6"/>
    </row>
    <row r="4" spans="1:29" ht="14.1" customHeight="1" x14ac:dyDescent="0.2">
      <c r="A4" s="2">
        <v>10011</v>
      </c>
      <c r="B4" s="2" t="s">
        <v>12</v>
      </c>
      <c r="C4" s="2" t="s">
        <v>8</v>
      </c>
      <c r="D4" s="36" t="s">
        <v>300</v>
      </c>
      <c r="E4" s="2" t="s">
        <v>10</v>
      </c>
      <c r="F4" s="2" t="s">
        <v>835</v>
      </c>
      <c r="G4" s="6"/>
    </row>
    <row r="5" spans="1:29" ht="14.1" customHeight="1" x14ac:dyDescent="0.2">
      <c r="A5" s="2">
        <v>10012</v>
      </c>
      <c r="B5" s="2" t="s">
        <v>12</v>
      </c>
      <c r="C5" s="2" t="s">
        <v>10</v>
      </c>
      <c r="D5" s="36" t="s">
        <v>300</v>
      </c>
      <c r="E5" s="2" t="s">
        <v>301</v>
      </c>
      <c r="F5" s="2" t="s">
        <v>836</v>
      </c>
      <c r="G5" s="6"/>
    </row>
    <row r="6" spans="1:29" s="2" customFormat="1" ht="14.1" customHeight="1" x14ac:dyDescent="0.2">
      <c r="A6" s="2">
        <v>10013</v>
      </c>
      <c r="B6" s="2" t="s">
        <v>12</v>
      </c>
      <c r="C6" s="2" t="s">
        <v>11</v>
      </c>
      <c r="D6" s="36" t="s">
        <v>300</v>
      </c>
      <c r="E6" s="2" t="s">
        <v>830</v>
      </c>
      <c r="F6" s="2" t="s">
        <v>837</v>
      </c>
      <c r="G6" s="6"/>
    </row>
    <row r="7" spans="1:29" ht="14.1" customHeight="1" x14ac:dyDescent="0.2">
      <c r="A7" s="2">
        <v>10020</v>
      </c>
      <c r="B7" s="2" t="s">
        <v>13</v>
      </c>
      <c r="D7" s="36" t="s">
        <v>302</v>
      </c>
      <c r="E7" s="2" t="s">
        <v>0</v>
      </c>
      <c r="F7" s="2" t="s">
        <v>834</v>
      </c>
      <c r="G7" s="6"/>
    </row>
    <row r="8" spans="1:29" s="2" customFormat="1" ht="14.1" customHeight="1" x14ac:dyDescent="0.2">
      <c r="A8" s="2">
        <v>10021</v>
      </c>
      <c r="B8" s="2" t="s">
        <v>13</v>
      </c>
      <c r="C8" s="2" t="s">
        <v>8</v>
      </c>
      <c r="D8" s="36" t="s">
        <v>302</v>
      </c>
      <c r="E8" s="2" t="s">
        <v>10</v>
      </c>
      <c r="F8" s="2" t="s">
        <v>835</v>
      </c>
      <c r="G8" s="6"/>
    </row>
    <row r="9" spans="1:29" s="2" customFormat="1" ht="14.1" customHeight="1" x14ac:dyDescent="0.2">
      <c r="A9" s="2">
        <v>10022</v>
      </c>
      <c r="B9" s="2" t="s">
        <v>13</v>
      </c>
      <c r="C9" s="2" t="s">
        <v>10</v>
      </c>
      <c r="D9" s="36" t="s">
        <v>302</v>
      </c>
      <c r="E9" s="2" t="s">
        <v>301</v>
      </c>
      <c r="F9" s="2" t="s">
        <v>836</v>
      </c>
      <c r="G9" s="6"/>
    </row>
    <row r="10" spans="1:29" ht="14.1" customHeight="1" x14ac:dyDescent="0.2">
      <c r="A10" s="2">
        <v>10023</v>
      </c>
      <c r="B10" s="2" t="s">
        <v>13</v>
      </c>
      <c r="C10" s="2" t="s">
        <v>11</v>
      </c>
      <c r="D10" s="36" t="s">
        <v>302</v>
      </c>
      <c r="E10" s="2" t="s">
        <v>830</v>
      </c>
      <c r="F10" s="2" t="s">
        <v>837</v>
      </c>
      <c r="G10" s="6"/>
    </row>
    <row r="11" spans="1:29" ht="14.1" customHeight="1" x14ac:dyDescent="0.2">
      <c r="A11" s="2">
        <v>10030</v>
      </c>
      <c r="B11" s="2" t="s">
        <v>110</v>
      </c>
      <c r="D11" s="36" t="s">
        <v>303</v>
      </c>
      <c r="E11" s="2" t="s">
        <v>0</v>
      </c>
      <c r="F11" s="2" t="s">
        <v>834</v>
      </c>
      <c r="G11" s="6"/>
      <c r="J11" s="2"/>
    </row>
    <row r="12" spans="1:29" s="2" customFormat="1" ht="14.1" customHeight="1" x14ac:dyDescent="0.2">
      <c r="A12" s="2">
        <v>10031</v>
      </c>
      <c r="B12" s="2" t="s">
        <v>110</v>
      </c>
      <c r="C12" s="2" t="s">
        <v>0</v>
      </c>
      <c r="D12" s="36" t="s">
        <v>303</v>
      </c>
      <c r="E12" s="2" t="s">
        <v>10</v>
      </c>
      <c r="F12" s="2" t="s">
        <v>835</v>
      </c>
      <c r="G12" s="6"/>
    </row>
    <row r="13" spans="1:29" ht="14.1" customHeight="1" x14ac:dyDescent="0.2">
      <c r="A13" s="2">
        <v>10032</v>
      </c>
      <c r="B13" s="2" t="s">
        <v>110</v>
      </c>
      <c r="C13" s="2" t="s">
        <v>10</v>
      </c>
      <c r="D13" s="36" t="s">
        <v>303</v>
      </c>
      <c r="E13" s="2" t="s">
        <v>301</v>
      </c>
      <c r="F13" s="2" t="s">
        <v>836</v>
      </c>
      <c r="G13" s="6"/>
    </row>
    <row r="14" spans="1:29" ht="14.1" customHeight="1" x14ac:dyDescent="0.2">
      <c r="A14" s="2">
        <v>10033</v>
      </c>
      <c r="B14" s="2" t="s">
        <v>110</v>
      </c>
      <c r="C14" s="2" t="s">
        <v>11</v>
      </c>
      <c r="D14" s="36" t="s">
        <v>303</v>
      </c>
      <c r="E14" s="2" t="s">
        <v>830</v>
      </c>
      <c r="F14" s="2" t="s">
        <v>837</v>
      </c>
      <c r="G14" s="6"/>
    </row>
    <row r="15" spans="1:29" ht="14.1" customHeight="1" x14ac:dyDescent="0.2">
      <c r="A15" s="2">
        <v>10040</v>
      </c>
      <c r="B15" s="2">
        <v>1004</v>
      </c>
      <c r="D15" s="36" t="s">
        <v>304</v>
      </c>
      <c r="E15" s="2" t="s">
        <v>0</v>
      </c>
      <c r="F15" s="2" t="s">
        <v>834</v>
      </c>
      <c r="G15" s="6"/>
      <c r="J15" s="2"/>
    </row>
    <row r="16" spans="1:29" ht="14.1" customHeight="1" x14ac:dyDescent="0.2">
      <c r="A16" s="2">
        <v>10041</v>
      </c>
      <c r="B16" s="2">
        <v>1004</v>
      </c>
      <c r="C16" s="2" t="s">
        <v>0</v>
      </c>
      <c r="D16" s="36" t="s">
        <v>304</v>
      </c>
      <c r="E16" s="2" t="s">
        <v>10</v>
      </c>
      <c r="F16" s="2" t="s">
        <v>835</v>
      </c>
      <c r="G16" s="6"/>
    </row>
    <row r="17" spans="1:12" ht="14.1" customHeight="1" x14ac:dyDescent="0.2">
      <c r="A17" s="2">
        <v>10042</v>
      </c>
      <c r="B17" s="2">
        <v>1004</v>
      </c>
      <c r="C17" s="2" t="s">
        <v>10</v>
      </c>
      <c r="D17" s="36" t="s">
        <v>304</v>
      </c>
      <c r="E17" s="2" t="s">
        <v>301</v>
      </c>
      <c r="F17" s="2" t="s">
        <v>836</v>
      </c>
      <c r="G17" s="6"/>
      <c r="J17" s="2"/>
    </row>
    <row r="18" spans="1:12" ht="14.1" customHeight="1" x14ac:dyDescent="0.2">
      <c r="A18" s="2">
        <v>10043</v>
      </c>
      <c r="B18" s="2">
        <v>1004</v>
      </c>
      <c r="C18" s="2" t="s">
        <v>11</v>
      </c>
      <c r="D18" s="36" t="s">
        <v>304</v>
      </c>
      <c r="E18" s="2" t="s">
        <v>830</v>
      </c>
      <c r="F18" s="2" t="s">
        <v>837</v>
      </c>
      <c r="G18" s="8"/>
      <c r="H18" s="7"/>
      <c r="I18" s="7"/>
      <c r="J18" s="7"/>
      <c r="K18" s="7"/>
      <c r="L18" s="7"/>
    </row>
    <row r="19" spans="1:12" ht="14.1" customHeight="1" x14ac:dyDescent="0.2">
      <c r="A19" s="2">
        <v>10050</v>
      </c>
      <c r="B19" s="2">
        <v>1005</v>
      </c>
      <c r="D19" s="36" t="s">
        <v>305</v>
      </c>
      <c r="E19" s="2" t="s">
        <v>0</v>
      </c>
      <c r="F19" s="2" t="s">
        <v>834</v>
      </c>
      <c r="G19" s="7"/>
      <c r="H19" s="7"/>
      <c r="I19" s="7"/>
      <c r="J19" s="7"/>
      <c r="K19" s="7"/>
      <c r="L19" s="7"/>
    </row>
    <row r="20" spans="1:12" ht="14.1" customHeight="1" x14ac:dyDescent="0.2">
      <c r="A20" s="2">
        <v>10051</v>
      </c>
      <c r="B20" s="2">
        <v>1005</v>
      </c>
      <c r="C20" s="2" t="s">
        <v>0</v>
      </c>
      <c r="D20" s="36" t="s">
        <v>305</v>
      </c>
      <c r="E20" s="2" t="s">
        <v>10</v>
      </c>
      <c r="F20" s="2" t="s">
        <v>835</v>
      </c>
      <c r="G20" s="7"/>
      <c r="H20" s="7"/>
      <c r="I20" s="7"/>
      <c r="J20" s="7"/>
      <c r="K20" s="7"/>
      <c r="L20" s="7"/>
    </row>
    <row r="21" spans="1:12" ht="14.1" customHeight="1" x14ac:dyDescent="0.2">
      <c r="A21" s="2">
        <v>10052</v>
      </c>
      <c r="B21" s="2">
        <v>1005</v>
      </c>
      <c r="C21" s="2" t="s">
        <v>10</v>
      </c>
      <c r="D21" s="36" t="s">
        <v>305</v>
      </c>
      <c r="E21" s="2" t="s">
        <v>301</v>
      </c>
      <c r="F21" s="2" t="s">
        <v>836</v>
      </c>
      <c r="G21" s="7"/>
      <c r="H21" s="7"/>
      <c r="I21" s="7"/>
      <c r="J21" s="7"/>
      <c r="K21" s="7"/>
      <c r="L21" s="7"/>
    </row>
    <row r="22" spans="1:12" ht="14.1" customHeight="1" x14ac:dyDescent="0.2">
      <c r="A22" s="2">
        <v>10053</v>
      </c>
      <c r="B22" s="2">
        <v>1005</v>
      </c>
      <c r="C22" s="2" t="s">
        <v>11</v>
      </c>
      <c r="D22" s="36" t="s">
        <v>305</v>
      </c>
      <c r="E22" s="2" t="s">
        <v>830</v>
      </c>
      <c r="F22" s="2" t="s">
        <v>837</v>
      </c>
    </row>
    <row r="23" spans="1:12" ht="14.1" customHeight="1" x14ac:dyDescent="0.2">
      <c r="A23" s="2">
        <v>10060</v>
      </c>
      <c r="B23" s="2">
        <v>1006</v>
      </c>
      <c r="D23" s="36" t="s">
        <v>306</v>
      </c>
      <c r="E23" s="2" t="s">
        <v>0</v>
      </c>
      <c r="F23" s="2" t="s">
        <v>834</v>
      </c>
    </row>
    <row r="24" spans="1:12" ht="14.1" customHeight="1" x14ac:dyDescent="0.2">
      <c r="A24" s="2">
        <v>10061</v>
      </c>
      <c r="B24" s="2">
        <v>1006</v>
      </c>
      <c r="C24" s="2" t="s">
        <v>0</v>
      </c>
      <c r="D24" s="36" t="s">
        <v>306</v>
      </c>
      <c r="E24" s="2" t="s">
        <v>10</v>
      </c>
      <c r="F24" s="2" t="s">
        <v>835</v>
      </c>
    </row>
    <row r="25" spans="1:12" ht="14.1" customHeight="1" x14ac:dyDescent="0.2">
      <c r="A25" s="2">
        <v>10062</v>
      </c>
      <c r="B25" s="2">
        <v>1006</v>
      </c>
      <c r="C25" s="2" t="s">
        <v>10</v>
      </c>
      <c r="D25" s="36" t="s">
        <v>306</v>
      </c>
      <c r="E25" s="2" t="s">
        <v>301</v>
      </c>
      <c r="F25" s="2" t="s">
        <v>836</v>
      </c>
    </row>
    <row r="26" spans="1:12" ht="14.1" customHeight="1" x14ac:dyDescent="0.2">
      <c r="A26" s="2">
        <v>10063</v>
      </c>
      <c r="B26" s="2">
        <v>1006</v>
      </c>
      <c r="C26" s="2" t="s">
        <v>11</v>
      </c>
      <c r="D26" s="36" t="s">
        <v>306</v>
      </c>
      <c r="E26" s="2" t="s">
        <v>830</v>
      </c>
      <c r="F26" s="2" t="s">
        <v>837</v>
      </c>
    </row>
    <row r="27" spans="1:12" ht="14.1" customHeight="1" x14ac:dyDescent="0.2">
      <c r="A27" s="2">
        <v>10070</v>
      </c>
      <c r="B27" s="2">
        <v>1007</v>
      </c>
      <c r="D27" s="36" t="s">
        <v>307</v>
      </c>
      <c r="E27" s="2" t="s">
        <v>0</v>
      </c>
      <c r="F27" s="2" t="s">
        <v>834</v>
      </c>
    </row>
    <row r="28" spans="1:12" ht="14.1" customHeight="1" x14ac:dyDescent="0.2">
      <c r="A28" s="2">
        <v>10071</v>
      </c>
      <c r="B28" s="2">
        <v>1007</v>
      </c>
      <c r="C28" s="2" t="s">
        <v>0</v>
      </c>
      <c r="D28" s="36" t="s">
        <v>307</v>
      </c>
      <c r="E28" s="2" t="s">
        <v>10</v>
      </c>
      <c r="F28" s="2" t="s">
        <v>835</v>
      </c>
    </row>
    <row r="29" spans="1:12" ht="14.1" customHeight="1" x14ac:dyDescent="0.2">
      <c r="A29" s="2">
        <v>10072</v>
      </c>
      <c r="B29" s="2">
        <v>1007</v>
      </c>
      <c r="C29" s="2" t="s">
        <v>10</v>
      </c>
      <c r="D29" s="36" t="s">
        <v>307</v>
      </c>
      <c r="E29" s="2" t="s">
        <v>301</v>
      </c>
      <c r="F29" s="2" t="s">
        <v>836</v>
      </c>
    </row>
    <row r="30" spans="1:12" ht="14.1" customHeight="1" x14ac:dyDescent="0.2">
      <c r="A30" s="2">
        <v>10073</v>
      </c>
      <c r="B30" s="2">
        <v>1007</v>
      </c>
      <c r="C30" s="2" t="s">
        <v>11</v>
      </c>
      <c r="D30" s="36" t="s">
        <v>307</v>
      </c>
      <c r="E30" s="2" t="s">
        <v>830</v>
      </c>
      <c r="F30" s="2" t="s">
        <v>837</v>
      </c>
    </row>
    <row r="31" spans="1:12" ht="14.1" customHeight="1" x14ac:dyDescent="0.2">
      <c r="A31" s="2">
        <v>10080</v>
      </c>
      <c r="B31" s="2">
        <v>1008</v>
      </c>
      <c r="D31" s="36" t="s">
        <v>308</v>
      </c>
      <c r="E31" s="2" t="s">
        <v>0</v>
      </c>
      <c r="F31" s="2" t="s">
        <v>834</v>
      </c>
    </row>
    <row r="32" spans="1:12" ht="14.1" customHeight="1" x14ac:dyDescent="0.2">
      <c r="A32" s="2">
        <v>10081</v>
      </c>
      <c r="B32" s="2">
        <v>1008</v>
      </c>
      <c r="C32" s="2" t="s">
        <v>0</v>
      </c>
      <c r="D32" s="36" t="s">
        <v>308</v>
      </c>
      <c r="E32" s="2" t="s">
        <v>10</v>
      </c>
      <c r="F32" s="2" t="s">
        <v>835</v>
      </c>
    </row>
    <row r="33" spans="1:6" ht="14.1" customHeight="1" x14ac:dyDescent="0.2">
      <c r="A33" s="2">
        <v>10082</v>
      </c>
      <c r="B33" s="2">
        <v>1008</v>
      </c>
      <c r="C33" s="2" t="s">
        <v>10</v>
      </c>
      <c r="D33" s="36" t="s">
        <v>308</v>
      </c>
      <c r="E33" s="2" t="s">
        <v>301</v>
      </c>
      <c r="F33" s="2" t="s">
        <v>836</v>
      </c>
    </row>
    <row r="34" spans="1:6" ht="14.1" customHeight="1" x14ac:dyDescent="0.2">
      <c r="A34" s="2">
        <v>10083</v>
      </c>
      <c r="B34" s="2">
        <v>1008</v>
      </c>
      <c r="C34" s="2" t="s">
        <v>11</v>
      </c>
      <c r="D34" s="36" t="s">
        <v>308</v>
      </c>
      <c r="E34" s="2" t="s">
        <v>830</v>
      </c>
      <c r="F34" s="2" t="s">
        <v>837</v>
      </c>
    </row>
    <row r="35" spans="1:6" ht="14.1" customHeight="1" x14ac:dyDescent="0.2">
      <c r="A35" s="2">
        <v>10090</v>
      </c>
      <c r="B35" s="2">
        <v>1009</v>
      </c>
      <c r="D35" s="36" t="s">
        <v>309</v>
      </c>
      <c r="E35" s="2" t="s">
        <v>0</v>
      </c>
      <c r="F35" s="2" t="s">
        <v>834</v>
      </c>
    </row>
    <row r="36" spans="1:6" ht="14.1" customHeight="1" x14ac:dyDescent="0.2">
      <c r="A36" s="2">
        <v>10091</v>
      </c>
      <c r="B36" s="2">
        <v>1009</v>
      </c>
      <c r="C36" s="2" t="s">
        <v>0</v>
      </c>
      <c r="D36" s="36" t="s">
        <v>309</v>
      </c>
      <c r="E36" s="2" t="s">
        <v>10</v>
      </c>
      <c r="F36" s="2" t="s">
        <v>835</v>
      </c>
    </row>
    <row r="37" spans="1:6" ht="14.1" customHeight="1" x14ac:dyDescent="0.2">
      <c r="A37" s="2">
        <v>10092</v>
      </c>
      <c r="B37" s="2">
        <v>1009</v>
      </c>
      <c r="C37" s="2" t="s">
        <v>10</v>
      </c>
      <c r="D37" s="36" t="s">
        <v>309</v>
      </c>
      <c r="E37" s="2" t="s">
        <v>301</v>
      </c>
      <c r="F37" s="2" t="s">
        <v>836</v>
      </c>
    </row>
    <row r="38" spans="1:6" ht="14.1" customHeight="1" x14ac:dyDescent="0.2">
      <c r="A38" s="2">
        <v>10093</v>
      </c>
      <c r="B38" s="2">
        <v>1009</v>
      </c>
      <c r="C38" s="2" t="s">
        <v>11</v>
      </c>
      <c r="D38" s="36" t="s">
        <v>309</v>
      </c>
      <c r="E38" s="2" t="s">
        <v>830</v>
      </c>
      <c r="F38" s="2" t="s">
        <v>837</v>
      </c>
    </row>
    <row r="39" spans="1:6" ht="14.1" customHeight="1" x14ac:dyDescent="0.2">
      <c r="A39" s="2">
        <v>10100</v>
      </c>
      <c r="B39" s="2">
        <v>1010</v>
      </c>
      <c r="D39" s="36" t="s">
        <v>310</v>
      </c>
      <c r="E39" s="2" t="s">
        <v>0</v>
      </c>
      <c r="F39" s="2" t="s">
        <v>834</v>
      </c>
    </row>
    <row r="40" spans="1:6" ht="14.1" customHeight="1" x14ac:dyDescent="0.2">
      <c r="A40" s="2">
        <v>10101</v>
      </c>
      <c r="B40" s="2">
        <v>1010</v>
      </c>
      <c r="C40" s="2" t="s">
        <v>0</v>
      </c>
      <c r="D40" s="36" t="s">
        <v>310</v>
      </c>
      <c r="E40" s="2" t="s">
        <v>10</v>
      </c>
      <c r="F40" s="2" t="s">
        <v>835</v>
      </c>
    </row>
    <row r="41" spans="1:6" ht="14.1" customHeight="1" x14ac:dyDescent="0.2">
      <c r="A41" s="2">
        <v>10102</v>
      </c>
      <c r="B41" s="2">
        <v>1010</v>
      </c>
      <c r="C41" s="2" t="s">
        <v>10</v>
      </c>
      <c r="D41" s="36" t="s">
        <v>310</v>
      </c>
      <c r="E41" s="2" t="s">
        <v>301</v>
      </c>
      <c r="F41" s="2" t="s">
        <v>836</v>
      </c>
    </row>
    <row r="42" spans="1:6" ht="14.1" customHeight="1" x14ac:dyDescent="0.2">
      <c r="A42" s="2">
        <v>10103</v>
      </c>
      <c r="B42" s="2">
        <v>1010</v>
      </c>
      <c r="C42" s="2" t="s">
        <v>11</v>
      </c>
      <c r="D42" s="36" t="s">
        <v>310</v>
      </c>
      <c r="E42" s="2" t="s">
        <v>830</v>
      </c>
      <c r="F42" s="2" t="s">
        <v>837</v>
      </c>
    </row>
    <row r="43" spans="1:6" ht="14.1" customHeight="1" x14ac:dyDescent="0.2">
      <c r="A43" s="2">
        <v>10110</v>
      </c>
      <c r="B43" s="2">
        <v>1011</v>
      </c>
      <c r="D43" s="36" t="s">
        <v>311</v>
      </c>
      <c r="E43" s="2" t="s">
        <v>0</v>
      </c>
      <c r="F43" s="2" t="s">
        <v>834</v>
      </c>
    </row>
    <row r="44" spans="1:6" ht="14.1" customHeight="1" x14ac:dyDescent="0.2">
      <c r="A44" s="2">
        <v>10111</v>
      </c>
      <c r="B44" s="2">
        <v>1011</v>
      </c>
      <c r="C44" s="2" t="s">
        <v>0</v>
      </c>
      <c r="D44" s="36" t="s">
        <v>311</v>
      </c>
      <c r="E44" s="2" t="s">
        <v>10</v>
      </c>
      <c r="F44" s="2" t="s">
        <v>835</v>
      </c>
    </row>
    <row r="45" spans="1:6" ht="14.1" customHeight="1" x14ac:dyDescent="0.2">
      <c r="A45" s="2">
        <v>10112</v>
      </c>
      <c r="B45" s="2">
        <v>1011</v>
      </c>
      <c r="C45" s="2" t="s">
        <v>10</v>
      </c>
      <c r="D45" s="36" t="s">
        <v>311</v>
      </c>
      <c r="E45" s="2" t="s">
        <v>301</v>
      </c>
      <c r="F45" s="2" t="s">
        <v>836</v>
      </c>
    </row>
    <row r="46" spans="1:6" ht="14.1" customHeight="1" x14ac:dyDescent="0.2">
      <c r="A46" s="2">
        <v>10113</v>
      </c>
      <c r="B46" s="2">
        <v>1011</v>
      </c>
      <c r="C46" s="2" t="s">
        <v>11</v>
      </c>
      <c r="D46" s="36" t="s">
        <v>311</v>
      </c>
      <c r="E46" s="2" t="s">
        <v>830</v>
      </c>
      <c r="F46" s="2" t="s">
        <v>837</v>
      </c>
    </row>
    <row r="47" spans="1:6" ht="14.1" customHeight="1" x14ac:dyDescent="0.2">
      <c r="A47" s="2">
        <v>10120</v>
      </c>
      <c r="B47" s="2">
        <v>1012</v>
      </c>
      <c r="D47" s="36" t="s">
        <v>312</v>
      </c>
      <c r="E47" s="2" t="s">
        <v>0</v>
      </c>
      <c r="F47" s="2" t="s">
        <v>834</v>
      </c>
    </row>
    <row r="48" spans="1:6" ht="14.1" customHeight="1" x14ac:dyDescent="0.2">
      <c r="A48" s="2">
        <v>10121</v>
      </c>
      <c r="B48" s="2">
        <v>1012</v>
      </c>
      <c r="C48" s="2" t="s">
        <v>0</v>
      </c>
      <c r="D48" s="36" t="s">
        <v>312</v>
      </c>
      <c r="E48" s="2" t="s">
        <v>10</v>
      </c>
      <c r="F48" s="2" t="s">
        <v>835</v>
      </c>
    </row>
    <row r="49" spans="1:6" ht="14.1" customHeight="1" x14ac:dyDescent="0.2">
      <c r="A49" s="2">
        <v>10122</v>
      </c>
      <c r="B49" s="2">
        <v>1012</v>
      </c>
      <c r="C49" s="2" t="s">
        <v>10</v>
      </c>
      <c r="D49" s="36" t="s">
        <v>312</v>
      </c>
      <c r="E49" s="2" t="s">
        <v>301</v>
      </c>
      <c r="F49" s="2" t="s">
        <v>836</v>
      </c>
    </row>
    <row r="50" spans="1:6" ht="14.1" customHeight="1" x14ac:dyDescent="0.2">
      <c r="A50" s="2">
        <v>10123</v>
      </c>
      <c r="B50" s="2">
        <v>1012</v>
      </c>
      <c r="C50" s="2" t="s">
        <v>11</v>
      </c>
      <c r="D50" s="36" t="s">
        <v>312</v>
      </c>
      <c r="E50" s="2" t="s">
        <v>830</v>
      </c>
      <c r="F50" s="2" t="s">
        <v>837</v>
      </c>
    </row>
    <row r="51" spans="1:6" ht="14.1" customHeight="1" x14ac:dyDescent="0.2">
      <c r="A51" s="2">
        <v>10130</v>
      </c>
      <c r="B51" s="2">
        <v>1013</v>
      </c>
      <c r="D51" s="36" t="s">
        <v>313</v>
      </c>
      <c r="E51" s="2" t="s">
        <v>0</v>
      </c>
      <c r="F51" s="2" t="s">
        <v>834</v>
      </c>
    </row>
    <row r="52" spans="1:6" ht="14.1" customHeight="1" x14ac:dyDescent="0.2">
      <c r="A52" s="2">
        <v>10131</v>
      </c>
      <c r="B52" s="2">
        <v>1013</v>
      </c>
      <c r="C52" s="2" t="s">
        <v>0</v>
      </c>
      <c r="D52" s="36" t="s">
        <v>313</v>
      </c>
      <c r="E52" s="2" t="s">
        <v>10</v>
      </c>
      <c r="F52" s="2" t="s">
        <v>835</v>
      </c>
    </row>
    <row r="53" spans="1:6" ht="14.1" customHeight="1" x14ac:dyDescent="0.2">
      <c r="A53" s="2">
        <v>10132</v>
      </c>
      <c r="B53" s="2">
        <v>1013</v>
      </c>
      <c r="C53" s="2" t="s">
        <v>10</v>
      </c>
      <c r="D53" s="36" t="s">
        <v>313</v>
      </c>
      <c r="E53" s="2" t="s">
        <v>301</v>
      </c>
      <c r="F53" s="2" t="s">
        <v>836</v>
      </c>
    </row>
    <row r="54" spans="1:6" ht="14.1" customHeight="1" x14ac:dyDescent="0.2">
      <c r="A54" s="2">
        <v>10133</v>
      </c>
      <c r="B54" s="2">
        <v>1013</v>
      </c>
      <c r="C54" s="2" t="s">
        <v>11</v>
      </c>
      <c r="D54" s="36" t="s">
        <v>313</v>
      </c>
      <c r="E54" s="2" t="s">
        <v>830</v>
      </c>
      <c r="F54" s="2" t="s">
        <v>837</v>
      </c>
    </row>
    <row r="55" spans="1:6" ht="14.1" customHeight="1" x14ac:dyDescent="0.2">
      <c r="A55" s="2">
        <v>10150</v>
      </c>
      <c r="B55" s="2">
        <v>1015</v>
      </c>
      <c r="D55" s="36" t="s">
        <v>314</v>
      </c>
      <c r="E55" s="2" t="s">
        <v>0</v>
      </c>
      <c r="F55" s="2" t="s">
        <v>834</v>
      </c>
    </row>
    <row r="56" spans="1:6" ht="14.1" customHeight="1" x14ac:dyDescent="0.2">
      <c r="A56" s="2">
        <v>10151</v>
      </c>
      <c r="B56" s="2">
        <v>1015</v>
      </c>
      <c r="C56" s="2" t="s">
        <v>0</v>
      </c>
      <c r="D56" s="36" t="s">
        <v>314</v>
      </c>
      <c r="E56" s="2" t="s">
        <v>10</v>
      </c>
      <c r="F56" s="2" t="s">
        <v>835</v>
      </c>
    </row>
    <row r="57" spans="1:6" ht="14.1" customHeight="1" x14ac:dyDescent="0.2">
      <c r="A57" s="2">
        <v>10152</v>
      </c>
      <c r="B57" s="2">
        <v>1015</v>
      </c>
      <c r="C57" s="2" t="s">
        <v>10</v>
      </c>
      <c r="D57" s="36" t="s">
        <v>314</v>
      </c>
      <c r="E57" s="2" t="s">
        <v>301</v>
      </c>
      <c r="F57" s="2" t="s">
        <v>836</v>
      </c>
    </row>
    <row r="58" spans="1:6" ht="14.1" customHeight="1" x14ac:dyDescent="0.2">
      <c r="A58" s="2">
        <v>10153</v>
      </c>
      <c r="B58" s="2">
        <v>1015</v>
      </c>
      <c r="C58" s="2" t="s">
        <v>11</v>
      </c>
      <c r="D58" s="36" t="s">
        <v>314</v>
      </c>
      <c r="E58" s="2" t="s">
        <v>830</v>
      </c>
      <c r="F58" s="2" t="s">
        <v>837</v>
      </c>
    </row>
    <row r="59" spans="1:6" ht="14.1" customHeight="1" x14ac:dyDescent="0.2">
      <c r="A59" s="2">
        <v>10160</v>
      </c>
      <c r="B59" s="2">
        <v>1016</v>
      </c>
      <c r="D59" s="36" t="s">
        <v>315</v>
      </c>
      <c r="E59" s="2" t="s">
        <v>0</v>
      </c>
      <c r="F59" s="2" t="s">
        <v>834</v>
      </c>
    </row>
    <row r="60" spans="1:6" ht="14.1" customHeight="1" x14ac:dyDescent="0.2">
      <c r="A60" s="2">
        <v>10161</v>
      </c>
      <c r="B60" s="2">
        <v>1016</v>
      </c>
      <c r="C60" s="2" t="s">
        <v>0</v>
      </c>
      <c r="D60" s="36" t="s">
        <v>315</v>
      </c>
      <c r="E60" s="2" t="s">
        <v>10</v>
      </c>
      <c r="F60" s="2" t="s">
        <v>835</v>
      </c>
    </row>
    <row r="61" spans="1:6" ht="14.1" customHeight="1" x14ac:dyDescent="0.2">
      <c r="A61" s="2">
        <v>10162</v>
      </c>
      <c r="B61" s="2">
        <v>1016</v>
      </c>
      <c r="C61" s="2" t="s">
        <v>10</v>
      </c>
      <c r="D61" s="36" t="s">
        <v>315</v>
      </c>
      <c r="E61" s="2" t="s">
        <v>301</v>
      </c>
      <c r="F61" s="2" t="s">
        <v>836</v>
      </c>
    </row>
    <row r="62" spans="1:6" ht="14.1" customHeight="1" x14ac:dyDescent="0.2">
      <c r="A62" s="2">
        <v>10163</v>
      </c>
      <c r="B62" s="2">
        <v>1016</v>
      </c>
      <c r="C62" s="2" t="s">
        <v>11</v>
      </c>
      <c r="D62" s="36" t="s">
        <v>315</v>
      </c>
      <c r="E62" s="2" t="s">
        <v>830</v>
      </c>
      <c r="F62" s="2" t="s">
        <v>837</v>
      </c>
    </row>
    <row r="63" spans="1:6" ht="14.1" customHeight="1" x14ac:dyDescent="0.2">
      <c r="A63" s="2">
        <v>10170</v>
      </c>
      <c r="B63" s="2">
        <v>1017</v>
      </c>
      <c r="D63" s="36" t="s">
        <v>316</v>
      </c>
      <c r="E63" s="2" t="s">
        <v>0</v>
      </c>
      <c r="F63" s="2" t="s">
        <v>834</v>
      </c>
    </row>
    <row r="64" spans="1:6" ht="14.1" customHeight="1" x14ac:dyDescent="0.2">
      <c r="A64" s="2">
        <v>10171</v>
      </c>
      <c r="B64" s="2">
        <v>1017</v>
      </c>
      <c r="C64" s="2" t="s">
        <v>0</v>
      </c>
      <c r="D64" s="36" t="s">
        <v>316</v>
      </c>
      <c r="E64" s="2" t="s">
        <v>10</v>
      </c>
      <c r="F64" s="2" t="s">
        <v>835</v>
      </c>
    </row>
    <row r="65" spans="1:6" ht="14.1" customHeight="1" x14ac:dyDescent="0.2">
      <c r="A65" s="2">
        <v>10172</v>
      </c>
      <c r="B65" s="2">
        <v>1017</v>
      </c>
      <c r="C65" s="2" t="s">
        <v>10</v>
      </c>
      <c r="D65" s="36" t="s">
        <v>316</v>
      </c>
      <c r="E65" s="2" t="s">
        <v>301</v>
      </c>
      <c r="F65" s="2" t="s">
        <v>836</v>
      </c>
    </row>
    <row r="66" spans="1:6" ht="14.1" customHeight="1" x14ac:dyDescent="0.2">
      <c r="A66" s="2">
        <v>10173</v>
      </c>
      <c r="B66" s="2">
        <v>1017</v>
      </c>
      <c r="C66" s="2" t="s">
        <v>11</v>
      </c>
      <c r="D66" s="36" t="s">
        <v>316</v>
      </c>
      <c r="E66" s="2" t="s">
        <v>830</v>
      </c>
      <c r="F66" s="2" t="s">
        <v>837</v>
      </c>
    </row>
    <row r="67" spans="1:6" ht="14.1" customHeight="1" x14ac:dyDescent="0.2">
      <c r="A67" s="2">
        <v>10180</v>
      </c>
      <c r="B67" s="2">
        <v>1018</v>
      </c>
      <c r="D67" s="36" t="s">
        <v>317</v>
      </c>
      <c r="E67" s="2" t="s">
        <v>0</v>
      </c>
      <c r="F67" s="2" t="s">
        <v>834</v>
      </c>
    </row>
    <row r="68" spans="1:6" ht="14.1" customHeight="1" x14ac:dyDescent="0.2">
      <c r="A68" s="2">
        <v>10181</v>
      </c>
      <c r="B68" s="2">
        <v>1018</v>
      </c>
      <c r="C68" s="2" t="s">
        <v>0</v>
      </c>
      <c r="D68" s="36" t="s">
        <v>317</v>
      </c>
      <c r="E68" s="2" t="s">
        <v>10</v>
      </c>
      <c r="F68" s="2" t="s">
        <v>835</v>
      </c>
    </row>
    <row r="69" spans="1:6" ht="14.1" customHeight="1" x14ac:dyDescent="0.2">
      <c r="A69" s="2">
        <v>10182</v>
      </c>
      <c r="B69" s="2">
        <v>1018</v>
      </c>
      <c r="C69" s="2" t="s">
        <v>10</v>
      </c>
      <c r="D69" s="36" t="s">
        <v>317</v>
      </c>
      <c r="E69" s="2" t="s">
        <v>301</v>
      </c>
      <c r="F69" s="2" t="s">
        <v>836</v>
      </c>
    </row>
    <row r="70" spans="1:6" ht="14.1" customHeight="1" x14ac:dyDescent="0.2">
      <c r="A70" s="2">
        <v>10183</v>
      </c>
      <c r="B70" s="2">
        <v>1018</v>
      </c>
      <c r="C70" s="2" t="s">
        <v>11</v>
      </c>
      <c r="D70" s="36" t="s">
        <v>317</v>
      </c>
      <c r="E70" s="2" t="s">
        <v>830</v>
      </c>
      <c r="F70" s="2" t="s">
        <v>837</v>
      </c>
    </row>
    <row r="71" spans="1:6" ht="14.1" customHeight="1" x14ac:dyDescent="0.2">
      <c r="A71" s="2">
        <v>10190</v>
      </c>
      <c r="B71" s="2">
        <v>1019</v>
      </c>
      <c r="D71" s="36" t="s">
        <v>318</v>
      </c>
      <c r="E71" s="2" t="s">
        <v>0</v>
      </c>
      <c r="F71" s="2" t="s">
        <v>834</v>
      </c>
    </row>
    <row r="72" spans="1:6" ht="14.1" customHeight="1" x14ac:dyDescent="0.2">
      <c r="A72" s="2">
        <v>10191</v>
      </c>
      <c r="B72" s="2">
        <v>1019</v>
      </c>
      <c r="C72" s="2" t="s">
        <v>0</v>
      </c>
      <c r="D72" s="36" t="s">
        <v>318</v>
      </c>
      <c r="E72" s="2" t="s">
        <v>10</v>
      </c>
      <c r="F72" s="2" t="s">
        <v>835</v>
      </c>
    </row>
    <row r="73" spans="1:6" ht="14.1" customHeight="1" x14ac:dyDescent="0.2">
      <c r="A73" s="2">
        <v>10192</v>
      </c>
      <c r="B73" s="2">
        <v>1019</v>
      </c>
      <c r="C73" s="2" t="s">
        <v>10</v>
      </c>
      <c r="D73" s="36" t="s">
        <v>318</v>
      </c>
      <c r="E73" s="2" t="s">
        <v>301</v>
      </c>
      <c r="F73" s="2" t="s">
        <v>836</v>
      </c>
    </row>
    <row r="74" spans="1:6" ht="14.1" customHeight="1" x14ac:dyDescent="0.2">
      <c r="A74" s="2">
        <v>10193</v>
      </c>
      <c r="B74" s="2">
        <v>1019</v>
      </c>
      <c r="C74" s="2" t="s">
        <v>11</v>
      </c>
      <c r="D74" s="36" t="s">
        <v>318</v>
      </c>
      <c r="E74" s="2" t="s">
        <v>830</v>
      </c>
      <c r="F74" s="2" t="s">
        <v>837</v>
      </c>
    </row>
    <row r="75" spans="1:6" ht="14.1" customHeight="1" x14ac:dyDescent="0.2">
      <c r="A75" s="2">
        <v>10200</v>
      </c>
      <c r="B75" s="2">
        <v>1020</v>
      </c>
      <c r="D75" s="36" t="s">
        <v>319</v>
      </c>
      <c r="E75" s="2" t="s">
        <v>0</v>
      </c>
      <c r="F75" s="2" t="s">
        <v>834</v>
      </c>
    </row>
    <row r="76" spans="1:6" ht="14.1" customHeight="1" x14ac:dyDescent="0.2">
      <c r="A76" s="2">
        <v>10201</v>
      </c>
      <c r="B76" s="2">
        <v>1020</v>
      </c>
      <c r="C76" s="2" t="s">
        <v>0</v>
      </c>
      <c r="D76" s="36" t="s">
        <v>319</v>
      </c>
      <c r="E76" s="2" t="s">
        <v>10</v>
      </c>
      <c r="F76" s="2" t="s">
        <v>835</v>
      </c>
    </row>
    <row r="77" spans="1:6" ht="14.1" customHeight="1" x14ac:dyDescent="0.2">
      <c r="A77" s="2">
        <v>10202</v>
      </c>
      <c r="B77" s="2">
        <v>1020</v>
      </c>
      <c r="C77" s="2" t="s">
        <v>10</v>
      </c>
      <c r="D77" s="36" t="s">
        <v>319</v>
      </c>
      <c r="E77" s="2" t="s">
        <v>301</v>
      </c>
      <c r="F77" s="2" t="s">
        <v>836</v>
      </c>
    </row>
    <row r="78" spans="1:6" ht="14.1" customHeight="1" x14ac:dyDescent="0.2">
      <c r="A78" s="2">
        <v>10203</v>
      </c>
      <c r="B78" s="2">
        <v>1020</v>
      </c>
      <c r="C78" s="2" t="s">
        <v>11</v>
      </c>
      <c r="D78" s="36" t="s">
        <v>319</v>
      </c>
      <c r="E78" s="2" t="s">
        <v>830</v>
      </c>
      <c r="F78" s="2" t="s">
        <v>837</v>
      </c>
    </row>
    <row r="79" spans="1:6" ht="14.1" customHeight="1" x14ac:dyDescent="0.2">
      <c r="A79" s="2">
        <v>10210</v>
      </c>
      <c r="B79" s="2">
        <v>1021</v>
      </c>
      <c r="D79" s="36" t="s">
        <v>320</v>
      </c>
      <c r="E79" s="2" t="s">
        <v>0</v>
      </c>
      <c r="F79" s="2" t="s">
        <v>834</v>
      </c>
    </row>
    <row r="80" spans="1:6" ht="14.1" customHeight="1" x14ac:dyDescent="0.2">
      <c r="A80" s="2">
        <v>10211</v>
      </c>
      <c r="B80" s="2">
        <v>1021</v>
      </c>
      <c r="C80" s="2" t="s">
        <v>0</v>
      </c>
      <c r="D80" s="36" t="s">
        <v>320</v>
      </c>
      <c r="E80" s="2" t="s">
        <v>10</v>
      </c>
      <c r="F80" s="2" t="s">
        <v>835</v>
      </c>
    </row>
    <row r="81" spans="1:6" ht="14.1" customHeight="1" x14ac:dyDescent="0.2">
      <c r="A81" s="2">
        <v>10212</v>
      </c>
      <c r="B81" s="2">
        <v>1021</v>
      </c>
      <c r="C81" s="2" t="s">
        <v>10</v>
      </c>
      <c r="D81" s="36" t="s">
        <v>320</v>
      </c>
      <c r="E81" s="2" t="s">
        <v>301</v>
      </c>
      <c r="F81" s="2" t="s">
        <v>836</v>
      </c>
    </row>
    <row r="82" spans="1:6" ht="14.1" customHeight="1" x14ac:dyDescent="0.2">
      <c r="A82" s="2">
        <v>10213</v>
      </c>
      <c r="B82" s="2">
        <v>1021</v>
      </c>
      <c r="C82" s="2" t="s">
        <v>11</v>
      </c>
      <c r="D82" s="36" t="s">
        <v>320</v>
      </c>
      <c r="E82" s="2" t="s">
        <v>830</v>
      </c>
      <c r="F82" s="2" t="s">
        <v>837</v>
      </c>
    </row>
    <row r="83" spans="1:6" ht="14.1" customHeight="1" x14ac:dyDescent="0.2">
      <c r="A83" s="2">
        <v>10220</v>
      </c>
      <c r="B83" s="2">
        <v>1022</v>
      </c>
      <c r="D83" s="36" t="s">
        <v>321</v>
      </c>
      <c r="E83" s="2" t="s">
        <v>0</v>
      </c>
      <c r="F83" s="2" t="s">
        <v>834</v>
      </c>
    </row>
    <row r="84" spans="1:6" ht="14.1" customHeight="1" x14ac:dyDescent="0.2">
      <c r="A84" s="2">
        <v>10221</v>
      </c>
      <c r="B84" s="2">
        <v>1022</v>
      </c>
      <c r="C84" s="2" t="s">
        <v>0</v>
      </c>
      <c r="D84" s="36" t="s">
        <v>321</v>
      </c>
      <c r="E84" s="2" t="s">
        <v>10</v>
      </c>
      <c r="F84" s="2" t="s">
        <v>835</v>
      </c>
    </row>
    <row r="85" spans="1:6" ht="14.1" customHeight="1" x14ac:dyDescent="0.2">
      <c r="A85" s="2">
        <v>10222</v>
      </c>
      <c r="B85" s="2">
        <v>1022</v>
      </c>
      <c r="C85" s="2" t="s">
        <v>10</v>
      </c>
      <c r="D85" s="36" t="s">
        <v>321</v>
      </c>
      <c r="E85" s="2" t="s">
        <v>301</v>
      </c>
      <c r="F85" s="2" t="s">
        <v>836</v>
      </c>
    </row>
    <row r="86" spans="1:6" ht="14.1" customHeight="1" x14ac:dyDescent="0.2">
      <c r="A86" s="2">
        <v>10223</v>
      </c>
      <c r="B86" s="2">
        <v>1022</v>
      </c>
      <c r="C86" s="2" t="s">
        <v>11</v>
      </c>
      <c r="D86" s="36" t="s">
        <v>321</v>
      </c>
      <c r="E86" s="2" t="s">
        <v>830</v>
      </c>
      <c r="F86" s="2" t="s">
        <v>837</v>
      </c>
    </row>
    <row r="87" spans="1:6" ht="14.1" customHeight="1" x14ac:dyDescent="0.2">
      <c r="A87" s="2">
        <v>10230</v>
      </c>
      <c r="B87" s="2">
        <v>1023</v>
      </c>
      <c r="D87" s="36" t="s">
        <v>322</v>
      </c>
      <c r="E87" s="2" t="s">
        <v>0</v>
      </c>
      <c r="F87" s="2" t="s">
        <v>834</v>
      </c>
    </row>
    <row r="88" spans="1:6" ht="14.1" customHeight="1" x14ac:dyDescent="0.2">
      <c r="A88" s="2">
        <v>10231</v>
      </c>
      <c r="B88" s="2">
        <v>1023</v>
      </c>
      <c r="C88" s="2" t="s">
        <v>0</v>
      </c>
      <c r="D88" s="36" t="s">
        <v>322</v>
      </c>
      <c r="E88" s="2" t="s">
        <v>10</v>
      </c>
      <c r="F88" s="2" t="s">
        <v>835</v>
      </c>
    </row>
    <row r="89" spans="1:6" ht="14.1" customHeight="1" x14ac:dyDescent="0.2">
      <c r="A89" s="2">
        <v>10232</v>
      </c>
      <c r="B89" s="2">
        <v>1023</v>
      </c>
      <c r="C89" s="2" t="s">
        <v>10</v>
      </c>
      <c r="D89" s="36" t="s">
        <v>322</v>
      </c>
      <c r="E89" s="2" t="s">
        <v>301</v>
      </c>
      <c r="F89" s="2" t="s">
        <v>836</v>
      </c>
    </row>
    <row r="90" spans="1:6" ht="14.1" customHeight="1" x14ac:dyDescent="0.2">
      <c r="A90" s="2">
        <v>10233</v>
      </c>
      <c r="B90" s="2">
        <v>1023</v>
      </c>
      <c r="C90" s="2" t="s">
        <v>11</v>
      </c>
      <c r="D90" s="36" t="s">
        <v>322</v>
      </c>
      <c r="E90" s="2" t="s">
        <v>830</v>
      </c>
      <c r="F90" s="2" t="s">
        <v>837</v>
      </c>
    </row>
    <row r="91" spans="1:6" ht="14.1" customHeight="1" x14ac:dyDescent="0.2">
      <c r="A91" s="2">
        <v>10240</v>
      </c>
      <c r="B91" s="2">
        <v>1024</v>
      </c>
      <c r="D91" s="36" t="s">
        <v>323</v>
      </c>
      <c r="E91" s="2" t="s">
        <v>0</v>
      </c>
      <c r="F91" s="2" t="s">
        <v>834</v>
      </c>
    </row>
    <row r="92" spans="1:6" ht="14.1" customHeight="1" x14ac:dyDescent="0.2">
      <c r="A92" s="2">
        <v>10241</v>
      </c>
      <c r="B92" s="2">
        <v>1024</v>
      </c>
      <c r="C92" s="2" t="s">
        <v>0</v>
      </c>
      <c r="D92" s="36" t="s">
        <v>323</v>
      </c>
      <c r="E92" s="2" t="s">
        <v>10</v>
      </c>
      <c r="F92" s="2" t="s">
        <v>835</v>
      </c>
    </row>
    <row r="93" spans="1:6" ht="14.1" customHeight="1" x14ac:dyDescent="0.2">
      <c r="A93" s="2">
        <v>10242</v>
      </c>
      <c r="B93" s="2">
        <v>1024</v>
      </c>
      <c r="C93" s="2" t="s">
        <v>10</v>
      </c>
      <c r="D93" s="36" t="s">
        <v>323</v>
      </c>
      <c r="E93" s="2" t="s">
        <v>301</v>
      </c>
      <c r="F93" s="2" t="s">
        <v>836</v>
      </c>
    </row>
    <row r="94" spans="1:6" ht="14.1" customHeight="1" x14ac:dyDescent="0.2">
      <c r="A94" s="2">
        <v>10243</v>
      </c>
      <c r="B94" s="2">
        <v>1024</v>
      </c>
      <c r="C94" s="2" t="s">
        <v>11</v>
      </c>
      <c r="D94" s="36" t="s">
        <v>323</v>
      </c>
      <c r="E94" s="2" t="s">
        <v>830</v>
      </c>
      <c r="F94" s="2" t="s">
        <v>837</v>
      </c>
    </row>
    <row r="95" spans="1:6" ht="14.1" customHeight="1" x14ac:dyDescent="0.2">
      <c r="A95" s="2">
        <v>10250</v>
      </c>
      <c r="B95" s="2">
        <v>1025</v>
      </c>
      <c r="D95" s="36" t="s">
        <v>324</v>
      </c>
      <c r="E95" s="2" t="s">
        <v>0</v>
      </c>
      <c r="F95" s="2" t="s">
        <v>834</v>
      </c>
    </row>
    <row r="96" spans="1:6" ht="14.1" customHeight="1" x14ac:dyDescent="0.2">
      <c r="A96" s="2">
        <v>10251</v>
      </c>
      <c r="B96" s="2">
        <v>1025</v>
      </c>
      <c r="C96" s="2" t="s">
        <v>0</v>
      </c>
      <c r="D96" s="36" t="s">
        <v>324</v>
      </c>
      <c r="E96" s="2" t="s">
        <v>10</v>
      </c>
      <c r="F96" s="2" t="s">
        <v>835</v>
      </c>
    </row>
    <row r="97" spans="1:6" ht="14.1" customHeight="1" x14ac:dyDescent="0.2">
      <c r="A97" s="2">
        <v>10252</v>
      </c>
      <c r="B97" s="2">
        <v>1025</v>
      </c>
      <c r="C97" s="2" t="s">
        <v>10</v>
      </c>
      <c r="D97" s="36" t="s">
        <v>324</v>
      </c>
      <c r="E97" s="2" t="s">
        <v>301</v>
      </c>
      <c r="F97" s="2" t="s">
        <v>836</v>
      </c>
    </row>
    <row r="98" spans="1:6" ht="14.1" customHeight="1" x14ac:dyDescent="0.2">
      <c r="A98" s="2">
        <v>10253</v>
      </c>
      <c r="B98" s="2">
        <v>1025</v>
      </c>
      <c r="C98" s="2" t="s">
        <v>11</v>
      </c>
      <c r="D98" s="36" t="s">
        <v>324</v>
      </c>
      <c r="E98" s="2" t="s">
        <v>830</v>
      </c>
      <c r="F98" s="2" t="s">
        <v>837</v>
      </c>
    </row>
    <row r="99" spans="1:6" ht="14.1" customHeight="1" x14ac:dyDescent="0.2">
      <c r="A99" s="2">
        <v>10260</v>
      </c>
      <c r="B99" s="2">
        <v>1026</v>
      </c>
      <c r="D99" s="36" t="s">
        <v>325</v>
      </c>
      <c r="E99" s="2" t="s">
        <v>0</v>
      </c>
      <c r="F99" s="2" t="s">
        <v>834</v>
      </c>
    </row>
    <row r="100" spans="1:6" ht="14.1" customHeight="1" x14ac:dyDescent="0.2">
      <c r="A100" s="2">
        <v>10261</v>
      </c>
      <c r="B100" s="2">
        <v>1026</v>
      </c>
      <c r="C100" s="2" t="s">
        <v>0</v>
      </c>
      <c r="D100" s="36" t="s">
        <v>325</v>
      </c>
      <c r="E100" s="2" t="s">
        <v>10</v>
      </c>
      <c r="F100" s="2" t="s">
        <v>835</v>
      </c>
    </row>
    <row r="101" spans="1:6" ht="14.1" customHeight="1" x14ac:dyDescent="0.2">
      <c r="A101" s="2">
        <v>10262</v>
      </c>
      <c r="B101" s="2">
        <v>1026</v>
      </c>
      <c r="C101" s="2" t="s">
        <v>10</v>
      </c>
      <c r="D101" s="36" t="s">
        <v>325</v>
      </c>
      <c r="E101" s="2" t="s">
        <v>301</v>
      </c>
      <c r="F101" s="2" t="s">
        <v>836</v>
      </c>
    </row>
    <row r="102" spans="1:6" ht="14.1" customHeight="1" x14ac:dyDescent="0.2">
      <c r="A102" s="2">
        <v>10263</v>
      </c>
      <c r="B102" s="2">
        <v>1026</v>
      </c>
      <c r="C102" s="2" t="s">
        <v>11</v>
      </c>
      <c r="D102" s="36" t="s">
        <v>325</v>
      </c>
      <c r="E102" s="2" t="s">
        <v>830</v>
      </c>
      <c r="F102" s="2" t="s">
        <v>837</v>
      </c>
    </row>
    <row r="103" spans="1:6" ht="14.1" customHeight="1" x14ac:dyDescent="0.2">
      <c r="A103" s="2">
        <v>10270</v>
      </c>
      <c r="B103" s="2">
        <v>1027</v>
      </c>
      <c r="D103" s="36" t="s">
        <v>326</v>
      </c>
      <c r="E103" s="2" t="s">
        <v>0</v>
      </c>
      <c r="F103" s="2" t="s">
        <v>834</v>
      </c>
    </row>
    <row r="104" spans="1:6" ht="14.1" customHeight="1" x14ac:dyDescent="0.2">
      <c r="A104" s="2">
        <v>10271</v>
      </c>
      <c r="B104" s="2">
        <v>1027</v>
      </c>
      <c r="C104" s="2" t="s">
        <v>0</v>
      </c>
      <c r="D104" s="36" t="s">
        <v>326</v>
      </c>
      <c r="E104" s="2" t="s">
        <v>10</v>
      </c>
      <c r="F104" s="2" t="s">
        <v>835</v>
      </c>
    </row>
    <row r="105" spans="1:6" ht="14.1" customHeight="1" x14ac:dyDescent="0.2">
      <c r="A105" s="2">
        <v>10272</v>
      </c>
      <c r="B105" s="2">
        <v>1027</v>
      </c>
      <c r="C105" s="2" t="s">
        <v>10</v>
      </c>
      <c r="D105" s="36" t="s">
        <v>326</v>
      </c>
      <c r="E105" s="2" t="s">
        <v>301</v>
      </c>
      <c r="F105" s="2" t="s">
        <v>836</v>
      </c>
    </row>
    <row r="106" spans="1:6" ht="14.1" customHeight="1" x14ac:dyDescent="0.2">
      <c r="A106" s="2">
        <v>10273</v>
      </c>
      <c r="B106" s="2">
        <v>1027</v>
      </c>
      <c r="C106" s="2" t="s">
        <v>11</v>
      </c>
      <c r="D106" s="36" t="s">
        <v>326</v>
      </c>
      <c r="E106" s="2" t="s">
        <v>830</v>
      </c>
      <c r="F106" s="2" t="s">
        <v>837</v>
      </c>
    </row>
    <row r="107" spans="1:6" ht="14.1" customHeight="1" x14ac:dyDescent="0.2">
      <c r="A107" s="2">
        <v>10280</v>
      </c>
      <c r="B107" s="2">
        <v>1028</v>
      </c>
      <c r="D107" s="36" t="s">
        <v>327</v>
      </c>
      <c r="E107" s="2" t="s">
        <v>0</v>
      </c>
      <c r="F107" s="2" t="s">
        <v>834</v>
      </c>
    </row>
    <row r="108" spans="1:6" ht="14.1" customHeight="1" x14ac:dyDescent="0.2">
      <c r="A108" s="2">
        <v>10281</v>
      </c>
      <c r="B108" s="2">
        <v>1028</v>
      </c>
      <c r="C108" s="2" t="s">
        <v>0</v>
      </c>
      <c r="D108" s="36" t="s">
        <v>327</v>
      </c>
      <c r="E108" s="2" t="s">
        <v>10</v>
      </c>
      <c r="F108" s="2" t="s">
        <v>835</v>
      </c>
    </row>
    <row r="109" spans="1:6" ht="14.1" customHeight="1" x14ac:dyDescent="0.2">
      <c r="A109" s="2">
        <v>10282</v>
      </c>
      <c r="B109" s="2">
        <v>1028</v>
      </c>
      <c r="C109" s="2" t="s">
        <v>10</v>
      </c>
      <c r="D109" s="36" t="s">
        <v>327</v>
      </c>
      <c r="E109" s="2" t="s">
        <v>301</v>
      </c>
      <c r="F109" s="2" t="s">
        <v>836</v>
      </c>
    </row>
    <row r="110" spans="1:6" ht="14.1" customHeight="1" x14ac:dyDescent="0.2">
      <c r="A110" s="2">
        <v>10283</v>
      </c>
      <c r="B110" s="2">
        <v>1028</v>
      </c>
      <c r="C110" s="2" t="s">
        <v>11</v>
      </c>
      <c r="D110" s="36" t="s">
        <v>327</v>
      </c>
      <c r="E110" s="2" t="s">
        <v>830</v>
      </c>
      <c r="F110" s="2" t="s">
        <v>837</v>
      </c>
    </row>
    <row r="111" spans="1:6" ht="14.1" customHeight="1" x14ac:dyDescent="0.2">
      <c r="A111" s="2">
        <v>10290</v>
      </c>
      <c r="B111" s="2">
        <v>1029</v>
      </c>
      <c r="D111" s="36" t="s">
        <v>328</v>
      </c>
      <c r="E111" s="2" t="s">
        <v>0</v>
      </c>
      <c r="F111" s="2" t="s">
        <v>834</v>
      </c>
    </row>
    <row r="112" spans="1:6" ht="14.1" customHeight="1" x14ac:dyDescent="0.2">
      <c r="A112" s="2">
        <v>10291</v>
      </c>
      <c r="B112" s="2">
        <v>1029</v>
      </c>
      <c r="C112" s="2" t="s">
        <v>0</v>
      </c>
      <c r="D112" s="36" t="s">
        <v>328</v>
      </c>
      <c r="E112" s="2" t="s">
        <v>10</v>
      </c>
      <c r="F112" s="2" t="s">
        <v>835</v>
      </c>
    </row>
    <row r="113" spans="1:6" ht="14.1" customHeight="1" x14ac:dyDescent="0.2">
      <c r="A113" s="2">
        <v>10292</v>
      </c>
      <c r="B113" s="2">
        <v>1029</v>
      </c>
      <c r="C113" s="2" t="s">
        <v>10</v>
      </c>
      <c r="D113" s="36" t="s">
        <v>328</v>
      </c>
      <c r="E113" s="2" t="s">
        <v>301</v>
      </c>
      <c r="F113" s="2" t="s">
        <v>836</v>
      </c>
    </row>
    <row r="114" spans="1:6" ht="14.1" customHeight="1" x14ac:dyDescent="0.2">
      <c r="A114" s="2">
        <v>10293</v>
      </c>
      <c r="B114" s="2">
        <v>1029</v>
      </c>
      <c r="C114" s="2" t="s">
        <v>11</v>
      </c>
      <c r="D114" s="36" t="s">
        <v>328</v>
      </c>
      <c r="E114" s="2" t="s">
        <v>830</v>
      </c>
      <c r="F114" s="2" t="s">
        <v>837</v>
      </c>
    </row>
    <row r="115" spans="1:6" ht="14.1" customHeight="1" x14ac:dyDescent="0.2">
      <c r="A115" s="2">
        <v>10300</v>
      </c>
      <c r="B115" s="2">
        <v>1030</v>
      </c>
      <c r="D115" s="36" t="s">
        <v>329</v>
      </c>
      <c r="E115" s="2" t="s">
        <v>0</v>
      </c>
      <c r="F115" s="2" t="s">
        <v>834</v>
      </c>
    </row>
    <row r="116" spans="1:6" ht="14.1" customHeight="1" x14ac:dyDescent="0.2">
      <c r="A116" s="2">
        <v>10301</v>
      </c>
      <c r="B116" s="2">
        <v>1030</v>
      </c>
      <c r="C116" s="2" t="s">
        <v>0</v>
      </c>
      <c r="D116" s="36" t="s">
        <v>329</v>
      </c>
      <c r="E116" s="2" t="s">
        <v>10</v>
      </c>
      <c r="F116" s="2" t="s">
        <v>835</v>
      </c>
    </row>
    <row r="117" spans="1:6" ht="14.1" customHeight="1" x14ac:dyDescent="0.2">
      <c r="A117" s="2">
        <v>10302</v>
      </c>
      <c r="B117" s="2">
        <v>1030</v>
      </c>
      <c r="C117" s="2" t="s">
        <v>10</v>
      </c>
      <c r="D117" s="36" t="s">
        <v>329</v>
      </c>
      <c r="E117" s="2" t="s">
        <v>301</v>
      </c>
      <c r="F117" s="2" t="s">
        <v>836</v>
      </c>
    </row>
    <row r="118" spans="1:6" ht="14.1" customHeight="1" x14ac:dyDescent="0.2">
      <c r="A118" s="2">
        <v>10303</v>
      </c>
      <c r="B118" s="2">
        <v>1030</v>
      </c>
      <c r="C118" s="2" t="s">
        <v>11</v>
      </c>
      <c r="D118" s="36" t="s">
        <v>329</v>
      </c>
      <c r="E118" s="2" t="s">
        <v>830</v>
      </c>
      <c r="F118" s="2" t="s">
        <v>837</v>
      </c>
    </row>
    <row r="119" spans="1:6" ht="14.1" customHeight="1" x14ac:dyDescent="0.2">
      <c r="A119" s="2">
        <v>10310</v>
      </c>
      <c r="B119" s="2">
        <v>1031</v>
      </c>
      <c r="D119" s="36" t="s">
        <v>330</v>
      </c>
      <c r="E119" s="2" t="s">
        <v>0</v>
      </c>
      <c r="F119" s="2" t="s">
        <v>834</v>
      </c>
    </row>
    <row r="120" spans="1:6" ht="14.1" customHeight="1" x14ac:dyDescent="0.2">
      <c r="A120" s="2">
        <v>10311</v>
      </c>
      <c r="B120" s="2">
        <v>1031</v>
      </c>
      <c r="C120" s="2" t="s">
        <v>0</v>
      </c>
      <c r="D120" s="36" t="s">
        <v>330</v>
      </c>
      <c r="E120" s="2" t="s">
        <v>10</v>
      </c>
      <c r="F120" s="2" t="s">
        <v>835</v>
      </c>
    </row>
    <row r="121" spans="1:6" ht="14.1" customHeight="1" x14ac:dyDescent="0.2">
      <c r="A121" s="2">
        <v>10312</v>
      </c>
      <c r="B121" s="2">
        <v>1031</v>
      </c>
      <c r="C121" s="2" t="s">
        <v>10</v>
      </c>
      <c r="D121" s="36" t="s">
        <v>330</v>
      </c>
      <c r="E121" s="2" t="s">
        <v>301</v>
      </c>
      <c r="F121" s="2" t="s">
        <v>836</v>
      </c>
    </row>
    <row r="122" spans="1:6" ht="14.1" customHeight="1" x14ac:dyDescent="0.2">
      <c r="A122" s="2">
        <v>10313</v>
      </c>
      <c r="B122" s="2">
        <v>1031</v>
      </c>
      <c r="C122" s="2" t="s">
        <v>11</v>
      </c>
      <c r="D122" s="36" t="s">
        <v>330</v>
      </c>
      <c r="E122" s="2" t="s">
        <v>830</v>
      </c>
      <c r="F122" s="2" t="s">
        <v>837</v>
      </c>
    </row>
    <row r="123" spans="1:6" ht="14.1" customHeight="1" x14ac:dyDescent="0.2">
      <c r="A123" s="2">
        <v>10320</v>
      </c>
      <c r="B123" s="2">
        <v>1032</v>
      </c>
      <c r="D123" s="36" t="s">
        <v>331</v>
      </c>
      <c r="E123" s="2" t="s">
        <v>0</v>
      </c>
      <c r="F123" s="2" t="s">
        <v>834</v>
      </c>
    </row>
    <row r="124" spans="1:6" ht="14.1" customHeight="1" x14ac:dyDescent="0.2">
      <c r="A124" s="2">
        <v>10321</v>
      </c>
      <c r="B124" s="2">
        <v>1032</v>
      </c>
      <c r="C124" s="2" t="s">
        <v>0</v>
      </c>
      <c r="D124" s="36" t="s">
        <v>331</v>
      </c>
      <c r="E124" s="2" t="s">
        <v>10</v>
      </c>
      <c r="F124" s="2" t="s">
        <v>835</v>
      </c>
    </row>
    <row r="125" spans="1:6" ht="14.1" customHeight="1" x14ac:dyDescent="0.2">
      <c r="A125" s="2">
        <v>10322</v>
      </c>
      <c r="B125" s="2">
        <v>1032</v>
      </c>
      <c r="C125" s="2" t="s">
        <v>10</v>
      </c>
      <c r="D125" s="36" t="s">
        <v>331</v>
      </c>
      <c r="E125" s="2" t="s">
        <v>301</v>
      </c>
      <c r="F125" s="2" t="s">
        <v>836</v>
      </c>
    </row>
    <row r="126" spans="1:6" ht="14.1" customHeight="1" x14ac:dyDescent="0.2">
      <c r="A126" s="2">
        <v>10323</v>
      </c>
      <c r="B126" s="2">
        <v>1032</v>
      </c>
      <c r="C126" s="2" t="s">
        <v>11</v>
      </c>
      <c r="D126" s="36" t="s">
        <v>331</v>
      </c>
      <c r="E126" s="2" t="s">
        <v>830</v>
      </c>
      <c r="F126" s="2" t="s">
        <v>837</v>
      </c>
    </row>
    <row r="127" spans="1:6" ht="14.1" customHeight="1" x14ac:dyDescent="0.2">
      <c r="A127" s="2">
        <v>10330</v>
      </c>
      <c r="B127" s="2">
        <v>1033</v>
      </c>
      <c r="D127" s="36" t="s">
        <v>332</v>
      </c>
      <c r="E127" s="2" t="s">
        <v>0</v>
      </c>
      <c r="F127" s="2" t="s">
        <v>834</v>
      </c>
    </row>
    <row r="128" spans="1:6" ht="14.1" customHeight="1" x14ac:dyDescent="0.2">
      <c r="A128" s="2">
        <v>10331</v>
      </c>
      <c r="B128" s="2">
        <v>1033</v>
      </c>
      <c r="C128" s="2" t="s">
        <v>0</v>
      </c>
      <c r="D128" s="36" t="s">
        <v>332</v>
      </c>
      <c r="E128" s="2" t="s">
        <v>10</v>
      </c>
      <c r="F128" s="2" t="s">
        <v>835</v>
      </c>
    </row>
    <row r="129" spans="1:6" ht="14.1" customHeight="1" x14ac:dyDescent="0.2">
      <c r="A129" s="2">
        <v>10332</v>
      </c>
      <c r="B129" s="2">
        <v>1033</v>
      </c>
      <c r="C129" s="2" t="s">
        <v>10</v>
      </c>
      <c r="D129" s="36" t="s">
        <v>332</v>
      </c>
      <c r="E129" s="2" t="s">
        <v>301</v>
      </c>
      <c r="F129" s="2" t="s">
        <v>836</v>
      </c>
    </row>
    <row r="130" spans="1:6" ht="14.1" customHeight="1" x14ac:dyDescent="0.2">
      <c r="A130" s="2">
        <v>10333</v>
      </c>
      <c r="B130" s="2">
        <v>1033</v>
      </c>
      <c r="C130" s="2" t="s">
        <v>11</v>
      </c>
      <c r="D130" s="36" t="s">
        <v>332</v>
      </c>
      <c r="E130" s="2" t="s">
        <v>830</v>
      </c>
      <c r="F130" s="2" t="s">
        <v>837</v>
      </c>
    </row>
    <row r="131" spans="1:6" ht="14.1" customHeight="1" x14ac:dyDescent="0.2">
      <c r="A131" s="2">
        <v>10340</v>
      </c>
      <c r="B131" s="2">
        <v>1034</v>
      </c>
      <c r="D131" s="36" t="s">
        <v>333</v>
      </c>
      <c r="E131" s="2" t="s">
        <v>0</v>
      </c>
      <c r="F131" s="2" t="s">
        <v>834</v>
      </c>
    </row>
    <row r="132" spans="1:6" ht="14.1" customHeight="1" x14ac:dyDescent="0.2">
      <c r="A132" s="2">
        <v>10341</v>
      </c>
      <c r="B132" s="2">
        <v>1034</v>
      </c>
      <c r="C132" s="2" t="s">
        <v>0</v>
      </c>
      <c r="D132" s="36" t="s">
        <v>333</v>
      </c>
      <c r="E132" s="2" t="s">
        <v>10</v>
      </c>
      <c r="F132" s="2" t="s">
        <v>835</v>
      </c>
    </row>
    <row r="133" spans="1:6" ht="14.1" customHeight="1" x14ac:dyDescent="0.2">
      <c r="A133" s="2">
        <v>10342</v>
      </c>
      <c r="B133" s="2">
        <v>1034</v>
      </c>
      <c r="C133" s="2" t="s">
        <v>10</v>
      </c>
      <c r="D133" s="36" t="s">
        <v>333</v>
      </c>
      <c r="E133" s="2" t="s">
        <v>301</v>
      </c>
      <c r="F133" s="2" t="s">
        <v>836</v>
      </c>
    </row>
    <row r="134" spans="1:6" ht="14.1" customHeight="1" x14ac:dyDescent="0.2">
      <c r="A134" s="2">
        <v>10343</v>
      </c>
      <c r="B134" s="2">
        <v>1034</v>
      </c>
      <c r="C134" s="2" t="s">
        <v>11</v>
      </c>
      <c r="D134" s="36" t="s">
        <v>333</v>
      </c>
      <c r="E134" s="2" t="s">
        <v>830</v>
      </c>
      <c r="F134" s="2" t="s">
        <v>837</v>
      </c>
    </row>
    <row r="135" spans="1:6" ht="14.1" customHeight="1" x14ac:dyDescent="0.2">
      <c r="A135" s="2">
        <v>10350</v>
      </c>
      <c r="B135" s="2">
        <v>1035</v>
      </c>
      <c r="D135" s="36" t="s">
        <v>334</v>
      </c>
      <c r="E135" s="2" t="s">
        <v>0</v>
      </c>
      <c r="F135" s="2" t="s">
        <v>834</v>
      </c>
    </row>
    <row r="136" spans="1:6" ht="14.1" customHeight="1" x14ac:dyDescent="0.2">
      <c r="A136" s="2">
        <v>10351</v>
      </c>
      <c r="B136" s="2">
        <v>1035</v>
      </c>
      <c r="C136" s="2" t="s">
        <v>0</v>
      </c>
      <c r="D136" s="36" t="s">
        <v>334</v>
      </c>
      <c r="E136" s="2" t="s">
        <v>10</v>
      </c>
      <c r="F136" s="2" t="s">
        <v>835</v>
      </c>
    </row>
    <row r="137" spans="1:6" ht="14.1" customHeight="1" x14ac:dyDescent="0.2">
      <c r="A137" s="2">
        <v>10352</v>
      </c>
      <c r="B137" s="2">
        <v>1035</v>
      </c>
      <c r="C137" s="2" t="s">
        <v>10</v>
      </c>
      <c r="D137" s="36" t="s">
        <v>334</v>
      </c>
      <c r="E137" s="2" t="s">
        <v>301</v>
      </c>
      <c r="F137" s="2" t="s">
        <v>836</v>
      </c>
    </row>
    <row r="138" spans="1:6" ht="14.1" customHeight="1" x14ac:dyDescent="0.2">
      <c r="A138" s="2">
        <v>10353</v>
      </c>
      <c r="B138" s="2">
        <v>1035</v>
      </c>
      <c r="C138" s="2" t="s">
        <v>11</v>
      </c>
      <c r="D138" s="36" t="s">
        <v>334</v>
      </c>
      <c r="E138" s="2" t="s">
        <v>830</v>
      </c>
      <c r="F138" s="2" t="s">
        <v>837</v>
      </c>
    </row>
    <row r="139" spans="1:6" ht="14.1" customHeight="1" x14ac:dyDescent="0.2">
      <c r="A139" s="2">
        <v>10360</v>
      </c>
      <c r="B139" s="2">
        <v>1036</v>
      </c>
      <c r="D139" s="36" t="s">
        <v>335</v>
      </c>
      <c r="E139" s="2" t="s">
        <v>0</v>
      </c>
      <c r="F139" s="2" t="s">
        <v>834</v>
      </c>
    </row>
    <row r="140" spans="1:6" ht="14.1" customHeight="1" x14ac:dyDescent="0.2">
      <c r="A140" s="2">
        <v>10361</v>
      </c>
      <c r="B140" s="2">
        <v>1036</v>
      </c>
      <c r="C140" s="2" t="s">
        <v>0</v>
      </c>
      <c r="D140" s="36" t="s">
        <v>335</v>
      </c>
      <c r="E140" s="2" t="s">
        <v>10</v>
      </c>
      <c r="F140" s="2" t="s">
        <v>835</v>
      </c>
    </row>
    <row r="141" spans="1:6" ht="14.1" customHeight="1" x14ac:dyDescent="0.2">
      <c r="A141" s="2">
        <v>10362</v>
      </c>
      <c r="B141" s="2">
        <v>1036</v>
      </c>
      <c r="C141" s="2" t="s">
        <v>10</v>
      </c>
      <c r="D141" s="36" t="s">
        <v>335</v>
      </c>
      <c r="E141" s="2" t="s">
        <v>301</v>
      </c>
      <c r="F141" s="2" t="s">
        <v>836</v>
      </c>
    </row>
    <row r="142" spans="1:6" ht="14.1" customHeight="1" x14ac:dyDescent="0.2">
      <c r="A142" s="2">
        <v>10363</v>
      </c>
      <c r="B142" s="2">
        <v>1036</v>
      </c>
      <c r="C142" s="2" t="s">
        <v>11</v>
      </c>
      <c r="D142" s="36" t="s">
        <v>335</v>
      </c>
      <c r="E142" s="2" t="s">
        <v>830</v>
      </c>
      <c r="F142" s="2" t="s">
        <v>837</v>
      </c>
    </row>
    <row r="143" spans="1:6" ht="14.1" customHeight="1" x14ac:dyDescent="0.2">
      <c r="A143" s="2">
        <v>10370</v>
      </c>
      <c r="B143" s="2">
        <v>1037</v>
      </c>
      <c r="D143" s="36" t="s">
        <v>336</v>
      </c>
      <c r="E143" s="2" t="s">
        <v>0</v>
      </c>
      <c r="F143" s="2" t="s">
        <v>834</v>
      </c>
    </row>
    <row r="144" spans="1:6" ht="14.1" customHeight="1" x14ac:dyDescent="0.2">
      <c r="A144" s="2">
        <v>10371</v>
      </c>
      <c r="B144" s="2">
        <v>1037</v>
      </c>
      <c r="C144" s="2" t="s">
        <v>0</v>
      </c>
      <c r="D144" s="36" t="s">
        <v>336</v>
      </c>
      <c r="E144" s="2" t="s">
        <v>10</v>
      </c>
      <c r="F144" s="2" t="s">
        <v>835</v>
      </c>
    </row>
    <row r="145" spans="1:6" ht="14.1" customHeight="1" x14ac:dyDescent="0.2">
      <c r="A145" s="2">
        <v>10372</v>
      </c>
      <c r="B145" s="2">
        <v>1037</v>
      </c>
      <c r="C145" s="2" t="s">
        <v>10</v>
      </c>
      <c r="D145" s="36" t="s">
        <v>336</v>
      </c>
      <c r="E145" s="2" t="s">
        <v>301</v>
      </c>
      <c r="F145" s="2" t="s">
        <v>836</v>
      </c>
    </row>
    <row r="146" spans="1:6" ht="14.1" customHeight="1" x14ac:dyDescent="0.2">
      <c r="A146" s="2">
        <v>10373</v>
      </c>
      <c r="B146" s="2">
        <v>1037</v>
      </c>
      <c r="C146" s="2" t="s">
        <v>11</v>
      </c>
      <c r="D146" s="36" t="s">
        <v>336</v>
      </c>
      <c r="E146" s="2" t="s">
        <v>830</v>
      </c>
      <c r="F146" s="2" t="s">
        <v>837</v>
      </c>
    </row>
    <row r="147" spans="1:6" ht="14.1" customHeight="1" x14ac:dyDescent="0.2">
      <c r="A147" s="2">
        <v>10380</v>
      </c>
      <c r="B147" s="2">
        <v>1038</v>
      </c>
      <c r="D147" s="36" t="s">
        <v>337</v>
      </c>
      <c r="E147" s="2" t="s">
        <v>0</v>
      </c>
      <c r="F147" s="2" t="s">
        <v>834</v>
      </c>
    </row>
    <row r="148" spans="1:6" ht="14.1" customHeight="1" x14ac:dyDescent="0.2">
      <c r="A148" s="2">
        <v>10381</v>
      </c>
      <c r="B148" s="2">
        <v>1038</v>
      </c>
      <c r="C148" s="2" t="s">
        <v>0</v>
      </c>
      <c r="D148" s="36" t="s">
        <v>337</v>
      </c>
      <c r="E148" s="2" t="s">
        <v>10</v>
      </c>
      <c r="F148" s="2" t="s">
        <v>835</v>
      </c>
    </row>
    <row r="149" spans="1:6" ht="14.1" customHeight="1" x14ac:dyDescent="0.2">
      <c r="A149" s="2">
        <v>10382</v>
      </c>
      <c r="B149" s="2">
        <v>1038</v>
      </c>
      <c r="C149" s="2" t="s">
        <v>10</v>
      </c>
      <c r="D149" s="36" t="s">
        <v>337</v>
      </c>
      <c r="E149" s="2" t="s">
        <v>301</v>
      </c>
      <c r="F149" s="2" t="s">
        <v>836</v>
      </c>
    </row>
    <row r="150" spans="1:6" ht="14.1" customHeight="1" x14ac:dyDescent="0.2">
      <c r="A150" s="2">
        <v>10383</v>
      </c>
      <c r="B150" s="2">
        <v>1038</v>
      </c>
      <c r="C150" s="2" t="s">
        <v>11</v>
      </c>
      <c r="D150" s="36" t="s">
        <v>337</v>
      </c>
      <c r="E150" s="2" t="s">
        <v>830</v>
      </c>
      <c r="F150" s="2" t="s">
        <v>837</v>
      </c>
    </row>
    <row r="151" spans="1:6" ht="14.1" customHeight="1" x14ac:dyDescent="0.2">
      <c r="A151" s="2">
        <v>10390</v>
      </c>
      <c r="B151" s="2">
        <v>1039</v>
      </c>
      <c r="D151" s="36" t="s">
        <v>338</v>
      </c>
      <c r="E151" s="2" t="s">
        <v>0</v>
      </c>
      <c r="F151" s="2" t="s">
        <v>834</v>
      </c>
    </row>
    <row r="152" spans="1:6" ht="14.1" customHeight="1" x14ac:dyDescent="0.2">
      <c r="A152" s="2">
        <v>10391</v>
      </c>
      <c r="B152" s="2">
        <v>1039</v>
      </c>
      <c r="C152" s="2" t="s">
        <v>0</v>
      </c>
      <c r="D152" s="36" t="s">
        <v>338</v>
      </c>
      <c r="E152" s="2" t="s">
        <v>10</v>
      </c>
      <c r="F152" s="2" t="s">
        <v>835</v>
      </c>
    </row>
    <row r="153" spans="1:6" ht="14.1" customHeight="1" x14ac:dyDescent="0.2">
      <c r="A153" s="2">
        <v>10392</v>
      </c>
      <c r="B153" s="2">
        <v>1039</v>
      </c>
      <c r="C153" s="2" t="s">
        <v>10</v>
      </c>
      <c r="D153" s="36" t="s">
        <v>338</v>
      </c>
      <c r="E153" s="2" t="s">
        <v>301</v>
      </c>
      <c r="F153" s="2" t="s">
        <v>836</v>
      </c>
    </row>
    <row r="154" spans="1:6" ht="14.1" customHeight="1" x14ac:dyDescent="0.2">
      <c r="A154" s="2">
        <v>10393</v>
      </c>
      <c r="B154" s="2">
        <v>1039</v>
      </c>
      <c r="C154" s="2" t="s">
        <v>11</v>
      </c>
      <c r="D154" s="36" t="s">
        <v>338</v>
      </c>
      <c r="E154" s="2" t="s">
        <v>830</v>
      </c>
      <c r="F154" s="2" t="s">
        <v>837</v>
      </c>
    </row>
    <row r="155" spans="1:6" ht="14.1" customHeight="1" x14ac:dyDescent="0.2">
      <c r="A155" s="2">
        <v>10400</v>
      </c>
      <c r="B155" s="2">
        <v>1040</v>
      </c>
      <c r="D155" s="36" t="s">
        <v>339</v>
      </c>
      <c r="E155" s="2" t="s">
        <v>0</v>
      </c>
      <c r="F155" s="2" t="s">
        <v>834</v>
      </c>
    </row>
    <row r="156" spans="1:6" ht="14.1" customHeight="1" x14ac:dyDescent="0.2">
      <c r="A156" s="2">
        <v>10401</v>
      </c>
      <c r="B156" s="2">
        <v>1040</v>
      </c>
      <c r="C156" s="2" t="s">
        <v>0</v>
      </c>
      <c r="D156" s="36" t="s">
        <v>339</v>
      </c>
      <c r="E156" s="2" t="s">
        <v>10</v>
      </c>
      <c r="F156" s="2" t="s">
        <v>835</v>
      </c>
    </row>
    <row r="157" spans="1:6" ht="14.1" customHeight="1" x14ac:dyDescent="0.2">
      <c r="A157" s="2">
        <v>10402</v>
      </c>
      <c r="B157" s="2">
        <v>1040</v>
      </c>
      <c r="C157" s="2" t="s">
        <v>10</v>
      </c>
      <c r="D157" s="36" t="s">
        <v>339</v>
      </c>
      <c r="E157" s="2" t="s">
        <v>301</v>
      </c>
      <c r="F157" s="2" t="s">
        <v>836</v>
      </c>
    </row>
    <row r="158" spans="1:6" ht="14.1" customHeight="1" x14ac:dyDescent="0.2">
      <c r="A158" s="2">
        <v>10403</v>
      </c>
      <c r="B158" s="2">
        <v>1040</v>
      </c>
      <c r="C158" s="2" t="s">
        <v>11</v>
      </c>
      <c r="D158" s="36" t="s">
        <v>339</v>
      </c>
      <c r="E158" s="2" t="s">
        <v>830</v>
      </c>
      <c r="F158" s="2" t="s">
        <v>837</v>
      </c>
    </row>
    <row r="159" spans="1:6" ht="14.1" customHeight="1" x14ac:dyDescent="0.2">
      <c r="A159" s="2">
        <v>10410</v>
      </c>
      <c r="B159" s="2">
        <v>1041</v>
      </c>
      <c r="D159" s="36" t="s">
        <v>340</v>
      </c>
      <c r="E159" s="2" t="s">
        <v>0</v>
      </c>
      <c r="F159" s="2" t="s">
        <v>834</v>
      </c>
    </row>
    <row r="160" spans="1:6" ht="14.1" customHeight="1" x14ac:dyDescent="0.2">
      <c r="A160" s="2">
        <v>10411</v>
      </c>
      <c r="B160" s="2">
        <v>1041</v>
      </c>
      <c r="C160" s="2" t="s">
        <v>0</v>
      </c>
      <c r="D160" s="36" t="s">
        <v>340</v>
      </c>
      <c r="E160" s="2" t="s">
        <v>10</v>
      </c>
      <c r="F160" s="2" t="s">
        <v>835</v>
      </c>
    </row>
    <row r="161" spans="1:6" ht="14.1" customHeight="1" x14ac:dyDescent="0.2">
      <c r="A161" s="2">
        <v>10412</v>
      </c>
      <c r="B161" s="2">
        <v>1041</v>
      </c>
      <c r="C161" s="2" t="s">
        <v>10</v>
      </c>
      <c r="D161" s="36" t="s">
        <v>340</v>
      </c>
      <c r="E161" s="2" t="s">
        <v>301</v>
      </c>
      <c r="F161" s="2" t="s">
        <v>836</v>
      </c>
    </row>
    <row r="162" spans="1:6" ht="14.1" customHeight="1" x14ac:dyDescent="0.2">
      <c r="A162" s="2">
        <v>10413</v>
      </c>
      <c r="B162" s="2">
        <v>1041</v>
      </c>
      <c r="C162" s="2" t="s">
        <v>11</v>
      </c>
      <c r="D162" s="36" t="s">
        <v>340</v>
      </c>
      <c r="E162" s="2" t="s">
        <v>830</v>
      </c>
      <c r="F162" s="2" t="s">
        <v>837</v>
      </c>
    </row>
    <row r="163" spans="1:6" ht="14.1" customHeight="1" x14ac:dyDescent="0.2">
      <c r="A163" s="2">
        <v>10420</v>
      </c>
      <c r="B163" s="2">
        <v>1042</v>
      </c>
      <c r="D163" s="36" t="s">
        <v>341</v>
      </c>
      <c r="E163" s="2" t="s">
        <v>0</v>
      </c>
      <c r="F163" s="2" t="s">
        <v>834</v>
      </c>
    </row>
    <row r="164" spans="1:6" ht="14.1" customHeight="1" x14ac:dyDescent="0.2">
      <c r="A164" s="2">
        <v>10421</v>
      </c>
      <c r="B164" s="2">
        <v>1042</v>
      </c>
      <c r="C164" s="2" t="s">
        <v>0</v>
      </c>
      <c r="D164" s="36" t="s">
        <v>341</v>
      </c>
      <c r="E164" s="2" t="s">
        <v>10</v>
      </c>
      <c r="F164" s="2" t="s">
        <v>835</v>
      </c>
    </row>
    <row r="165" spans="1:6" ht="14.1" customHeight="1" x14ac:dyDescent="0.2">
      <c r="A165" s="2">
        <v>10422</v>
      </c>
      <c r="B165" s="2">
        <v>1042</v>
      </c>
      <c r="C165" s="2" t="s">
        <v>10</v>
      </c>
      <c r="D165" s="36" t="s">
        <v>341</v>
      </c>
      <c r="E165" s="2" t="s">
        <v>301</v>
      </c>
      <c r="F165" s="2" t="s">
        <v>836</v>
      </c>
    </row>
    <row r="166" spans="1:6" ht="14.1" customHeight="1" x14ac:dyDescent="0.2">
      <c r="A166" s="2">
        <v>10423</v>
      </c>
      <c r="B166" s="2">
        <v>1042</v>
      </c>
      <c r="C166" s="2" t="s">
        <v>11</v>
      </c>
      <c r="D166" s="36" t="s">
        <v>341</v>
      </c>
      <c r="E166" s="2" t="s">
        <v>830</v>
      </c>
      <c r="F166" s="2" t="s">
        <v>837</v>
      </c>
    </row>
    <row r="167" spans="1:6" ht="14.1" customHeight="1" x14ac:dyDescent="0.2">
      <c r="A167" s="2">
        <v>10430</v>
      </c>
      <c r="B167" s="2">
        <v>1043</v>
      </c>
      <c r="D167" s="36" t="s">
        <v>342</v>
      </c>
      <c r="E167" s="2" t="s">
        <v>0</v>
      </c>
      <c r="F167" s="2" t="s">
        <v>834</v>
      </c>
    </row>
    <row r="168" spans="1:6" ht="14.1" customHeight="1" x14ac:dyDescent="0.2">
      <c r="A168" s="2">
        <v>10431</v>
      </c>
      <c r="B168" s="2">
        <v>1043</v>
      </c>
      <c r="C168" s="2" t="s">
        <v>0</v>
      </c>
      <c r="D168" s="36" t="s">
        <v>342</v>
      </c>
      <c r="E168" s="2" t="s">
        <v>10</v>
      </c>
      <c r="F168" s="2" t="s">
        <v>835</v>
      </c>
    </row>
    <row r="169" spans="1:6" ht="14.1" customHeight="1" x14ac:dyDescent="0.2">
      <c r="A169" s="2">
        <v>10432</v>
      </c>
      <c r="B169" s="2">
        <v>1043</v>
      </c>
      <c r="C169" s="2" t="s">
        <v>10</v>
      </c>
      <c r="D169" s="36" t="s">
        <v>342</v>
      </c>
      <c r="E169" s="2" t="s">
        <v>301</v>
      </c>
      <c r="F169" s="2" t="s">
        <v>836</v>
      </c>
    </row>
    <row r="170" spans="1:6" ht="14.1" customHeight="1" x14ac:dyDescent="0.2">
      <c r="A170" s="2">
        <v>10433</v>
      </c>
      <c r="B170" s="2">
        <v>1043</v>
      </c>
      <c r="C170" s="2" t="s">
        <v>11</v>
      </c>
      <c r="D170" s="36" t="s">
        <v>342</v>
      </c>
      <c r="E170" s="2" t="s">
        <v>830</v>
      </c>
      <c r="F170" s="2" t="s">
        <v>837</v>
      </c>
    </row>
    <row r="171" spans="1:6" ht="14.1" customHeight="1" x14ac:dyDescent="0.2">
      <c r="A171" s="2">
        <v>10440</v>
      </c>
      <c r="B171" s="2">
        <v>1044</v>
      </c>
      <c r="D171" s="36" t="s">
        <v>343</v>
      </c>
      <c r="E171" s="2" t="s">
        <v>0</v>
      </c>
      <c r="F171" s="2" t="s">
        <v>834</v>
      </c>
    </row>
    <row r="172" spans="1:6" ht="14.1" customHeight="1" x14ac:dyDescent="0.2">
      <c r="A172" s="2">
        <v>10441</v>
      </c>
      <c r="B172" s="2">
        <v>1044</v>
      </c>
      <c r="C172" s="2" t="s">
        <v>0</v>
      </c>
      <c r="D172" s="36" t="s">
        <v>343</v>
      </c>
      <c r="E172" s="2" t="s">
        <v>10</v>
      </c>
      <c r="F172" s="2" t="s">
        <v>835</v>
      </c>
    </row>
    <row r="173" spans="1:6" ht="14.1" customHeight="1" x14ac:dyDescent="0.2">
      <c r="A173" s="2">
        <v>10442</v>
      </c>
      <c r="B173" s="2">
        <v>1044</v>
      </c>
      <c r="C173" s="2" t="s">
        <v>10</v>
      </c>
      <c r="D173" s="36" t="s">
        <v>343</v>
      </c>
      <c r="E173" s="2" t="s">
        <v>301</v>
      </c>
      <c r="F173" s="2" t="s">
        <v>836</v>
      </c>
    </row>
    <row r="174" spans="1:6" ht="14.1" customHeight="1" x14ac:dyDescent="0.2">
      <c r="A174" s="2">
        <v>10443</v>
      </c>
      <c r="B174" s="2">
        <v>1044</v>
      </c>
      <c r="C174" s="2" t="s">
        <v>11</v>
      </c>
      <c r="D174" s="36" t="s">
        <v>343</v>
      </c>
      <c r="E174" s="2" t="s">
        <v>830</v>
      </c>
      <c r="F174" s="2" t="s">
        <v>837</v>
      </c>
    </row>
    <row r="175" spans="1:6" ht="14.1" customHeight="1" x14ac:dyDescent="0.2">
      <c r="A175" s="2">
        <v>10450</v>
      </c>
      <c r="B175" s="2">
        <v>1045</v>
      </c>
      <c r="D175" s="36" t="s">
        <v>344</v>
      </c>
      <c r="E175" s="2" t="s">
        <v>0</v>
      </c>
      <c r="F175" s="2" t="s">
        <v>834</v>
      </c>
    </row>
    <row r="176" spans="1:6" ht="14.1" customHeight="1" x14ac:dyDescent="0.2">
      <c r="A176" s="2">
        <v>10451</v>
      </c>
      <c r="B176" s="2">
        <v>1045</v>
      </c>
      <c r="C176" s="2" t="s">
        <v>0</v>
      </c>
      <c r="D176" s="36" t="s">
        <v>344</v>
      </c>
      <c r="E176" s="2" t="s">
        <v>10</v>
      </c>
      <c r="F176" s="2" t="s">
        <v>835</v>
      </c>
    </row>
    <row r="177" spans="1:6" ht="14.1" customHeight="1" x14ac:dyDescent="0.2">
      <c r="A177" s="2">
        <v>10452</v>
      </c>
      <c r="B177" s="2">
        <v>1045</v>
      </c>
      <c r="C177" s="2" t="s">
        <v>10</v>
      </c>
      <c r="D177" s="36" t="s">
        <v>344</v>
      </c>
      <c r="E177" s="2" t="s">
        <v>301</v>
      </c>
      <c r="F177" s="2" t="s">
        <v>836</v>
      </c>
    </row>
    <row r="178" spans="1:6" ht="14.1" customHeight="1" x14ac:dyDescent="0.2">
      <c r="A178" s="2">
        <v>10453</v>
      </c>
      <c r="B178" s="2">
        <v>1045</v>
      </c>
      <c r="C178" s="2" t="s">
        <v>11</v>
      </c>
      <c r="D178" s="36" t="s">
        <v>344</v>
      </c>
      <c r="E178" s="2" t="s">
        <v>830</v>
      </c>
      <c r="F178" s="2" t="s">
        <v>837</v>
      </c>
    </row>
    <row r="179" spans="1:6" ht="14.1" customHeight="1" x14ac:dyDescent="0.2">
      <c r="A179" s="2">
        <v>10460</v>
      </c>
      <c r="B179" s="2">
        <v>1046</v>
      </c>
      <c r="D179" s="36" t="s">
        <v>345</v>
      </c>
      <c r="E179" s="2" t="s">
        <v>0</v>
      </c>
      <c r="F179" s="2" t="s">
        <v>834</v>
      </c>
    </row>
    <row r="180" spans="1:6" ht="14.1" customHeight="1" x14ac:dyDescent="0.2">
      <c r="A180" s="2">
        <v>10461</v>
      </c>
      <c r="B180" s="2">
        <v>1046</v>
      </c>
      <c r="C180" s="2" t="s">
        <v>0</v>
      </c>
      <c r="D180" s="36" t="s">
        <v>345</v>
      </c>
      <c r="E180" s="2" t="s">
        <v>10</v>
      </c>
      <c r="F180" s="2" t="s">
        <v>835</v>
      </c>
    </row>
    <row r="181" spans="1:6" ht="14.1" customHeight="1" x14ac:dyDescent="0.2">
      <c r="A181" s="2">
        <v>10462</v>
      </c>
      <c r="B181" s="2">
        <v>1046</v>
      </c>
      <c r="C181" s="2" t="s">
        <v>10</v>
      </c>
      <c r="D181" s="36" t="s">
        <v>345</v>
      </c>
      <c r="E181" s="2" t="s">
        <v>301</v>
      </c>
      <c r="F181" s="2" t="s">
        <v>836</v>
      </c>
    </row>
    <row r="182" spans="1:6" ht="14.1" customHeight="1" x14ac:dyDescent="0.2">
      <c r="A182" s="2">
        <v>10463</v>
      </c>
      <c r="B182" s="2">
        <v>1046</v>
      </c>
      <c r="C182" s="2" t="s">
        <v>11</v>
      </c>
      <c r="D182" s="36" t="s">
        <v>345</v>
      </c>
      <c r="E182" s="2" t="s">
        <v>830</v>
      </c>
      <c r="F182" s="2" t="s">
        <v>837</v>
      </c>
    </row>
    <row r="183" spans="1:6" ht="14.1" customHeight="1" x14ac:dyDescent="0.2">
      <c r="A183" s="2">
        <v>10470</v>
      </c>
      <c r="B183" s="2">
        <v>1047</v>
      </c>
      <c r="D183" s="36" t="s">
        <v>346</v>
      </c>
      <c r="E183" s="2" t="s">
        <v>0</v>
      </c>
      <c r="F183" s="2" t="s">
        <v>834</v>
      </c>
    </row>
    <row r="184" spans="1:6" ht="14.1" customHeight="1" x14ac:dyDescent="0.2">
      <c r="A184" s="2">
        <v>10471</v>
      </c>
      <c r="B184" s="2">
        <v>1047</v>
      </c>
      <c r="C184" s="2" t="s">
        <v>0</v>
      </c>
      <c r="D184" s="36" t="s">
        <v>346</v>
      </c>
      <c r="E184" s="2" t="s">
        <v>10</v>
      </c>
      <c r="F184" s="2" t="s">
        <v>835</v>
      </c>
    </row>
    <row r="185" spans="1:6" ht="14.1" customHeight="1" x14ac:dyDescent="0.2">
      <c r="A185" s="2">
        <v>10472</v>
      </c>
      <c r="B185" s="2">
        <v>1047</v>
      </c>
      <c r="C185" s="2" t="s">
        <v>10</v>
      </c>
      <c r="D185" s="36" t="s">
        <v>346</v>
      </c>
      <c r="E185" s="2" t="s">
        <v>301</v>
      </c>
      <c r="F185" s="2" t="s">
        <v>836</v>
      </c>
    </row>
    <row r="186" spans="1:6" ht="14.1" customHeight="1" x14ac:dyDescent="0.2">
      <c r="A186" s="2">
        <v>10473</v>
      </c>
      <c r="B186" s="2">
        <v>1047</v>
      </c>
      <c r="C186" s="2" t="s">
        <v>11</v>
      </c>
      <c r="D186" s="36" t="s">
        <v>346</v>
      </c>
      <c r="E186" s="2" t="s">
        <v>830</v>
      </c>
      <c r="F186" s="2" t="s">
        <v>837</v>
      </c>
    </row>
    <row r="187" spans="1:6" s="2" customFormat="1" ht="14.1" customHeight="1" x14ac:dyDescent="0.2">
      <c r="A187" s="2">
        <v>10480</v>
      </c>
      <c r="B187" s="2">
        <v>1048</v>
      </c>
      <c r="D187" s="36" t="s">
        <v>831</v>
      </c>
      <c r="E187" s="2" t="s">
        <v>0</v>
      </c>
      <c r="F187" s="2" t="s">
        <v>834</v>
      </c>
    </row>
    <row r="188" spans="1:6" s="2" customFormat="1" ht="14.1" customHeight="1" x14ac:dyDescent="0.2">
      <c r="A188" s="2">
        <v>10481</v>
      </c>
      <c r="B188" s="2">
        <v>1048</v>
      </c>
      <c r="C188" s="2" t="s">
        <v>0</v>
      </c>
      <c r="D188" s="36" t="s">
        <v>831</v>
      </c>
      <c r="E188" s="2" t="s">
        <v>10</v>
      </c>
      <c r="F188" s="2" t="s">
        <v>835</v>
      </c>
    </row>
    <row r="189" spans="1:6" s="2" customFormat="1" ht="14.1" customHeight="1" x14ac:dyDescent="0.2">
      <c r="A189" s="2">
        <v>10482</v>
      </c>
      <c r="B189" s="2">
        <v>1048</v>
      </c>
      <c r="C189" s="2" t="s">
        <v>10</v>
      </c>
      <c r="D189" s="36" t="s">
        <v>831</v>
      </c>
      <c r="E189" s="2" t="s">
        <v>301</v>
      </c>
      <c r="F189" s="2" t="s">
        <v>836</v>
      </c>
    </row>
    <row r="190" spans="1:6" s="2" customFormat="1" ht="14.1" customHeight="1" x14ac:dyDescent="0.2">
      <c r="A190" s="2">
        <v>10483</v>
      </c>
      <c r="B190" s="2">
        <v>1048</v>
      </c>
      <c r="C190" s="2" t="s">
        <v>11</v>
      </c>
      <c r="D190" s="36" t="s">
        <v>831</v>
      </c>
      <c r="E190" s="2" t="s">
        <v>830</v>
      </c>
      <c r="F190" s="2" t="s">
        <v>837</v>
      </c>
    </row>
    <row r="191" spans="1:6" ht="14.1" customHeight="1" x14ac:dyDescent="0.2">
      <c r="A191" s="2">
        <v>10490</v>
      </c>
      <c r="B191" s="2">
        <v>1049</v>
      </c>
      <c r="D191" s="36" t="s">
        <v>347</v>
      </c>
      <c r="E191" s="2" t="s">
        <v>0</v>
      </c>
      <c r="F191" s="2" t="s">
        <v>834</v>
      </c>
    </row>
    <row r="192" spans="1:6" ht="14.1" customHeight="1" x14ac:dyDescent="0.2">
      <c r="A192" s="2">
        <v>10491</v>
      </c>
      <c r="B192" s="2">
        <v>1049</v>
      </c>
      <c r="C192" s="2" t="s">
        <v>0</v>
      </c>
      <c r="D192" s="36" t="s">
        <v>347</v>
      </c>
      <c r="E192" s="2" t="s">
        <v>10</v>
      </c>
      <c r="F192" s="2" t="s">
        <v>835</v>
      </c>
    </row>
    <row r="193" spans="1:6" ht="14.1" customHeight="1" x14ac:dyDescent="0.2">
      <c r="A193" s="2">
        <v>10492</v>
      </c>
      <c r="B193" s="2">
        <v>1049</v>
      </c>
      <c r="C193" s="2" t="s">
        <v>10</v>
      </c>
      <c r="D193" s="36" t="s">
        <v>347</v>
      </c>
      <c r="E193" s="2" t="s">
        <v>301</v>
      </c>
      <c r="F193" s="2" t="s">
        <v>836</v>
      </c>
    </row>
    <row r="194" spans="1:6" ht="14.1" customHeight="1" x14ac:dyDescent="0.2">
      <c r="A194" s="2">
        <v>10493</v>
      </c>
      <c r="B194" s="2">
        <v>1049</v>
      </c>
      <c r="C194" s="2" t="s">
        <v>11</v>
      </c>
      <c r="D194" s="36" t="s">
        <v>347</v>
      </c>
      <c r="E194" s="2" t="s">
        <v>830</v>
      </c>
      <c r="F194" s="2" t="s">
        <v>837</v>
      </c>
    </row>
    <row r="195" spans="1:6" ht="14.1" customHeight="1" x14ac:dyDescent="0.2">
      <c r="A195" s="2">
        <v>10500</v>
      </c>
      <c r="B195" s="2">
        <v>1050</v>
      </c>
      <c r="D195" s="36" t="s">
        <v>348</v>
      </c>
      <c r="E195" s="2" t="s">
        <v>0</v>
      </c>
      <c r="F195" s="2" t="s">
        <v>834</v>
      </c>
    </row>
    <row r="196" spans="1:6" ht="14.1" customHeight="1" x14ac:dyDescent="0.2">
      <c r="A196" s="2">
        <v>10501</v>
      </c>
      <c r="B196" s="2">
        <v>1050</v>
      </c>
      <c r="C196" s="2" t="s">
        <v>0</v>
      </c>
      <c r="D196" s="36" t="s">
        <v>348</v>
      </c>
      <c r="E196" s="2" t="s">
        <v>10</v>
      </c>
      <c r="F196" s="2" t="s">
        <v>835</v>
      </c>
    </row>
    <row r="197" spans="1:6" ht="14.1" customHeight="1" x14ac:dyDescent="0.2">
      <c r="A197" s="2">
        <v>10502</v>
      </c>
      <c r="B197" s="2">
        <v>1050</v>
      </c>
      <c r="C197" s="2" t="s">
        <v>10</v>
      </c>
      <c r="D197" s="36" t="s">
        <v>348</v>
      </c>
      <c r="E197" s="2" t="s">
        <v>301</v>
      </c>
      <c r="F197" s="2" t="s">
        <v>836</v>
      </c>
    </row>
    <row r="198" spans="1:6" ht="14.1" customHeight="1" x14ac:dyDescent="0.2">
      <c r="A198" s="2">
        <v>10503</v>
      </c>
      <c r="B198" s="2">
        <v>1050</v>
      </c>
      <c r="C198" s="2" t="s">
        <v>11</v>
      </c>
      <c r="D198" s="36" t="s">
        <v>348</v>
      </c>
      <c r="E198" s="2" t="s">
        <v>830</v>
      </c>
      <c r="F198" s="2" t="s">
        <v>837</v>
      </c>
    </row>
    <row r="199" spans="1:6" ht="14.1" customHeight="1" x14ac:dyDescent="0.2">
      <c r="A199" s="2">
        <v>10510</v>
      </c>
      <c r="B199" s="2">
        <v>1051</v>
      </c>
      <c r="D199" s="37" t="s">
        <v>349</v>
      </c>
      <c r="E199" s="2" t="s">
        <v>0</v>
      </c>
      <c r="F199" s="2" t="s">
        <v>834</v>
      </c>
    </row>
    <row r="200" spans="1:6" ht="14.1" customHeight="1" x14ac:dyDescent="0.2">
      <c r="A200" s="2">
        <v>10511</v>
      </c>
      <c r="B200" s="2">
        <v>1051</v>
      </c>
      <c r="C200" s="2" t="s">
        <v>0</v>
      </c>
      <c r="D200" s="37" t="s">
        <v>349</v>
      </c>
      <c r="E200" s="2" t="s">
        <v>10</v>
      </c>
      <c r="F200" s="2" t="s">
        <v>835</v>
      </c>
    </row>
    <row r="201" spans="1:6" ht="14.1" customHeight="1" x14ac:dyDescent="0.2">
      <c r="A201" s="2">
        <v>10512</v>
      </c>
      <c r="B201" s="2">
        <v>1051</v>
      </c>
      <c r="C201" s="2" t="s">
        <v>10</v>
      </c>
      <c r="D201" s="37" t="s">
        <v>349</v>
      </c>
      <c r="E201" s="2" t="s">
        <v>301</v>
      </c>
      <c r="F201" s="2" t="s">
        <v>836</v>
      </c>
    </row>
    <row r="202" spans="1:6" ht="14.1" customHeight="1" x14ac:dyDescent="0.2">
      <c r="A202" s="2">
        <v>10513</v>
      </c>
      <c r="B202" s="2">
        <v>1051</v>
      </c>
      <c r="C202" s="2" t="s">
        <v>11</v>
      </c>
      <c r="D202" s="37" t="s">
        <v>349</v>
      </c>
      <c r="E202" s="2" t="s">
        <v>830</v>
      </c>
      <c r="F202" s="2" t="s">
        <v>837</v>
      </c>
    </row>
    <row r="203" spans="1:6" ht="14.1" customHeight="1" x14ac:dyDescent="0.2">
      <c r="A203" s="2">
        <v>10520</v>
      </c>
      <c r="B203" s="2">
        <v>1052</v>
      </c>
      <c r="D203" s="37" t="s">
        <v>350</v>
      </c>
      <c r="E203" s="2" t="s">
        <v>0</v>
      </c>
      <c r="F203" s="2" t="s">
        <v>834</v>
      </c>
    </row>
    <row r="204" spans="1:6" ht="14.1" customHeight="1" x14ac:dyDescent="0.2">
      <c r="A204" s="2">
        <v>10521</v>
      </c>
      <c r="B204" s="2">
        <v>1052</v>
      </c>
      <c r="C204" s="2" t="s">
        <v>0</v>
      </c>
      <c r="D204" s="37" t="s">
        <v>350</v>
      </c>
      <c r="E204" s="2" t="s">
        <v>10</v>
      </c>
      <c r="F204" s="2" t="s">
        <v>835</v>
      </c>
    </row>
    <row r="205" spans="1:6" ht="14.1" customHeight="1" x14ac:dyDescent="0.2">
      <c r="A205" s="2">
        <v>10522</v>
      </c>
      <c r="B205" s="2">
        <v>1052</v>
      </c>
      <c r="C205" s="2" t="s">
        <v>10</v>
      </c>
      <c r="D205" s="37" t="s">
        <v>350</v>
      </c>
      <c r="E205" s="2" t="s">
        <v>301</v>
      </c>
      <c r="F205" s="2" t="s">
        <v>836</v>
      </c>
    </row>
    <row r="206" spans="1:6" ht="14.1" customHeight="1" x14ac:dyDescent="0.2">
      <c r="A206" s="2">
        <v>10523</v>
      </c>
      <c r="B206" s="2">
        <v>1052</v>
      </c>
      <c r="C206" s="2" t="s">
        <v>11</v>
      </c>
      <c r="D206" s="37" t="s">
        <v>350</v>
      </c>
      <c r="E206" s="2" t="s">
        <v>830</v>
      </c>
      <c r="F206" s="2" t="s">
        <v>837</v>
      </c>
    </row>
    <row r="207" spans="1:6" s="2" customFormat="1" ht="14.1" customHeight="1" x14ac:dyDescent="0.2">
      <c r="A207" s="2">
        <v>10530</v>
      </c>
      <c r="B207" s="2">
        <v>1053</v>
      </c>
      <c r="D207" s="38" t="s">
        <v>838</v>
      </c>
      <c r="E207" s="2" t="s">
        <v>0</v>
      </c>
      <c r="F207" s="2" t="s">
        <v>834</v>
      </c>
    </row>
    <row r="208" spans="1:6" s="2" customFormat="1" ht="14.1" customHeight="1" x14ac:dyDescent="0.2">
      <c r="A208" s="2">
        <v>10531</v>
      </c>
      <c r="B208" s="2">
        <v>1053</v>
      </c>
      <c r="C208" s="2" t="s">
        <v>0</v>
      </c>
      <c r="D208" s="38" t="s">
        <v>838</v>
      </c>
      <c r="E208" s="2" t="s">
        <v>10</v>
      </c>
      <c r="F208" s="2" t="s">
        <v>835</v>
      </c>
    </row>
    <row r="209" spans="1:6" s="2" customFormat="1" ht="14.1" customHeight="1" x14ac:dyDescent="0.2">
      <c r="A209" s="2">
        <v>10532</v>
      </c>
      <c r="B209" s="2">
        <v>1053</v>
      </c>
      <c r="C209" s="2" t="s">
        <v>10</v>
      </c>
      <c r="D209" s="38" t="s">
        <v>838</v>
      </c>
      <c r="E209" s="2" t="s">
        <v>301</v>
      </c>
      <c r="F209" s="2" t="s">
        <v>836</v>
      </c>
    </row>
    <row r="210" spans="1:6" s="2" customFormat="1" ht="14.1" customHeight="1" x14ac:dyDescent="0.2">
      <c r="A210" s="2">
        <v>10533</v>
      </c>
      <c r="B210" s="2">
        <v>1053</v>
      </c>
      <c r="C210" s="2" t="s">
        <v>11</v>
      </c>
      <c r="D210" s="38" t="s">
        <v>838</v>
      </c>
      <c r="E210" s="2" t="s">
        <v>830</v>
      </c>
      <c r="F210" s="2" t="s">
        <v>837</v>
      </c>
    </row>
    <row r="211" spans="1:6" ht="14.1" customHeight="1" x14ac:dyDescent="0.2">
      <c r="A211" s="2">
        <v>10540</v>
      </c>
      <c r="B211" s="2">
        <v>1054</v>
      </c>
      <c r="D211" s="38" t="s">
        <v>351</v>
      </c>
      <c r="E211" s="2" t="s">
        <v>0</v>
      </c>
      <c r="F211" s="2" t="s">
        <v>834</v>
      </c>
    </row>
    <row r="212" spans="1:6" ht="14.1" customHeight="1" x14ac:dyDescent="0.2">
      <c r="A212" s="2">
        <v>10541</v>
      </c>
      <c r="B212" s="2">
        <v>1054</v>
      </c>
      <c r="C212" s="2" t="s">
        <v>0</v>
      </c>
      <c r="D212" s="38" t="s">
        <v>351</v>
      </c>
      <c r="E212" s="2" t="s">
        <v>10</v>
      </c>
      <c r="F212" s="2" t="s">
        <v>835</v>
      </c>
    </row>
    <row r="213" spans="1:6" ht="14.1" customHeight="1" x14ac:dyDescent="0.2">
      <c r="A213" s="2">
        <v>10542</v>
      </c>
      <c r="B213" s="2">
        <v>1054</v>
      </c>
      <c r="C213" s="2" t="s">
        <v>10</v>
      </c>
      <c r="D213" s="38" t="s">
        <v>351</v>
      </c>
      <c r="E213" s="2" t="s">
        <v>301</v>
      </c>
      <c r="F213" s="2" t="s">
        <v>836</v>
      </c>
    </row>
    <row r="214" spans="1:6" ht="14.1" customHeight="1" x14ac:dyDescent="0.2">
      <c r="A214" s="2">
        <v>10543</v>
      </c>
      <c r="B214" s="2">
        <v>1054</v>
      </c>
      <c r="C214" s="2" t="s">
        <v>11</v>
      </c>
      <c r="D214" s="38" t="s">
        <v>351</v>
      </c>
      <c r="E214" s="2" t="s">
        <v>830</v>
      </c>
      <c r="F214" s="2" t="s">
        <v>837</v>
      </c>
    </row>
    <row r="215" spans="1:6" ht="14.1" customHeight="1" x14ac:dyDescent="0.2">
      <c r="A215" s="2">
        <v>10550</v>
      </c>
      <c r="B215" s="2">
        <v>1055</v>
      </c>
      <c r="D215" s="36" t="s">
        <v>352</v>
      </c>
      <c r="E215" s="2" t="s">
        <v>0</v>
      </c>
      <c r="F215" s="2" t="s">
        <v>834</v>
      </c>
    </row>
    <row r="216" spans="1:6" ht="14.1" customHeight="1" x14ac:dyDescent="0.2">
      <c r="A216" s="2">
        <v>10551</v>
      </c>
      <c r="B216" s="2">
        <v>1055</v>
      </c>
      <c r="C216" s="2" t="s">
        <v>0</v>
      </c>
      <c r="D216" s="36" t="s">
        <v>352</v>
      </c>
      <c r="E216" s="2" t="s">
        <v>10</v>
      </c>
      <c r="F216" s="2" t="s">
        <v>835</v>
      </c>
    </row>
    <row r="217" spans="1:6" ht="14.1" customHeight="1" x14ac:dyDescent="0.2">
      <c r="A217" s="2">
        <v>10552</v>
      </c>
      <c r="B217" s="2">
        <v>1055</v>
      </c>
      <c r="C217" s="2" t="s">
        <v>10</v>
      </c>
      <c r="D217" s="36" t="s">
        <v>352</v>
      </c>
      <c r="E217" s="2" t="s">
        <v>301</v>
      </c>
      <c r="F217" s="2" t="s">
        <v>836</v>
      </c>
    </row>
    <row r="218" spans="1:6" ht="14.1" customHeight="1" x14ac:dyDescent="0.2">
      <c r="A218" s="2">
        <v>10553</v>
      </c>
      <c r="B218" s="2">
        <v>1055</v>
      </c>
      <c r="C218" s="2" t="s">
        <v>11</v>
      </c>
      <c r="D218" s="36" t="s">
        <v>352</v>
      </c>
      <c r="E218" s="2" t="s">
        <v>830</v>
      </c>
      <c r="F218" s="2" t="s">
        <v>837</v>
      </c>
    </row>
    <row r="219" spans="1:6" ht="14.1" customHeight="1" x14ac:dyDescent="0.2">
      <c r="A219" s="2">
        <v>10560</v>
      </c>
      <c r="B219" s="2">
        <v>1056</v>
      </c>
      <c r="D219" s="36" t="s">
        <v>353</v>
      </c>
      <c r="E219" s="2" t="s">
        <v>0</v>
      </c>
      <c r="F219" s="2" t="s">
        <v>834</v>
      </c>
    </row>
    <row r="220" spans="1:6" ht="14.1" customHeight="1" x14ac:dyDescent="0.2">
      <c r="A220" s="2">
        <v>10561</v>
      </c>
      <c r="B220" s="2">
        <v>1056</v>
      </c>
      <c r="C220" s="2" t="s">
        <v>0</v>
      </c>
      <c r="D220" s="36" t="s">
        <v>353</v>
      </c>
      <c r="E220" s="2" t="s">
        <v>10</v>
      </c>
      <c r="F220" s="2" t="s">
        <v>835</v>
      </c>
    </row>
    <row r="221" spans="1:6" ht="14.1" customHeight="1" x14ac:dyDescent="0.2">
      <c r="A221" s="2">
        <v>10562</v>
      </c>
      <c r="B221" s="2">
        <v>1056</v>
      </c>
      <c r="C221" s="2" t="s">
        <v>10</v>
      </c>
      <c r="D221" s="36" t="s">
        <v>353</v>
      </c>
      <c r="E221" s="2" t="s">
        <v>301</v>
      </c>
      <c r="F221" s="2" t="s">
        <v>836</v>
      </c>
    </row>
    <row r="222" spans="1:6" ht="14.1" customHeight="1" x14ac:dyDescent="0.2">
      <c r="A222" s="2">
        <v>10563</v>
      </c>
      <c r="B222" s="2">
        <v>1056</v>
      </c>
      <c r="C222" s="2" t="s">
        <v>11</v>
      </c>
      <c r="D222" s="36" t="s">
        <v>353</v>
      </c>
      <c r="E222" s="2" t="s">
        <v>830</v>
      </c>
      <c r="F222" s="2" t="s">
        <v>837</v>
      </c>
    </row>
    <row r="223" spans="1:6" ht="14.1" customHeight="1" x14ac:dyDescent="0.2">
      <c r="A223" s="2">
        <v>10570</v>
      </c>
      <c r="B223" s="2">
        <v>1057</v>
      </c>
      <c r="D223" s="36" t="s">
        <v>354</v>
      </c>
      <c r="E223" s="2" t="s">
        <v>0</v>
      </c>
      <c r="F223" s="2" t="s">
        <v>834</v>
      </c>
    </row>
    <row r="224" spans="1:6" ht="14.1" customHeight="1" x14ac:dyDescent="0.2">
      <c r="A224" s="2">
        <v>10571</v>
      </c>
      <c r="B224" s="2">
        <v>1057</v>
      </c>
      <c r="C224" s="2" t="s">
        <v>0</v>
      </c>
      <c r="D224" s="36" t="s">
        <v>354</v>
      </c>
      <c r="E224" s="2" t="s">
        <v>10</v>
      </c>
      <c r="F224" s="2" t="s">
        <v>835</v>
      </c>
    </row>
    <row r="225" spans="1:6" ht="14.1" customHeight="1" x14ac:dyDescent="0.2">
      <c r="A225" s="2">
        <v>10572</v>
      </c>
      <c r="B225" s="2">
        <v>1057</v>
      </c>
      <c r="C225" s="2" t="s">
        <v>10</v>
      </c>
      <c r="D225" s="36" t="s">
        <v>354</v>
      </c>
      <c r="E225" s="2" t="s">
        <v>301</v>
      </c>
      <c r="F225" s="2" t="s">
        <v>836</v>
      </c>
    </row>
    <row r="226" spans="1:6" ht="14.1" customHeight="1" x14ac:dyDescent="0.2">
      <c r="A226" s="2">
        <v>10573</v>
      </c>
      <c r="B226" s="2">
        <v>1057</v>
      </c>
      <c r="C226" s="2" t="s">
        <v>11</v>
      </c>
      <c r="D226" s="36" t="s">
        <v>354</v>
      </c>
      <c r="E226" s="2" t="s">
        <v>830</v>
      </c>
      <c r="F226" s="2" t="s">
        <v>837</v>
      </c>
    </row>
    <row r="227" spans="1:6" ht="14.1" customHeight="1" x14ac:dyDescent="0.2">
      <c r="A227" s="2">
        <v>10580</v>
      </c>
      <c r="B227" s="2">
        <v>1058</v>
      </c>
      <c r="D227" s="36" t="s">
        <v>355</v>
      </c>
      <c r="E227" s="2" t="s">
        <v>0</v>
      </c>
      <c r="F227" s="2" t="s">
        <v>834</v>
      </c>
    </row>
    <row r="228" spans="1:6" ht="14.1" customHeight="1" x14ac:dyDescent="0.2">
      <c r="A228" s="2">
        <v>10581</v>
      </c>
      <c r="B228" s="2">
        <v>1058</v>
      </c>
      <c r="C228" s="2" t="s">
        <v>0</v>
      </c>
      <c r="D228" s="36" t="s">
        <v>355</v>
      </c>
      <c r="E228" s="2" t="s">
        <v>10</v>
      </c>
      <c r="F228" s="2" t="s">
        <v>835</v>
      </c>
    </row>
    <row r="229" spans="1:6" ht="14.1" customHeight="1" x14ac:dyDescent="0.2">
      <c r="A229" s="2">
        <v>10582</v>
      </c>
      <c r="B229" s="2">
        <v>1058</v>
      </c>
      <c r="C229" s="2" t="s">
        <v>10</v>
      </c>
      <c r="D229" s="36" t="s">
        <v>355</v>
      </c>
      <c r="E229" s="2" t="s">
        <v>301</v>
      </c>
      <c r="F229" s="2" t="s">
        <v>836</v>
      </c>
    </row>
    <row r="230" spans="1:6" ht="14.1" customHeight="1" x14ac:dyDescent="0.2">
      <c r="A230" s="2">
        <v>10583</v>
      </c>
      <c r="B230" s="2">
        <v>1058</v>
      </c>
      <c r="C230" s="2" t="s">
        <v>11</v>
      </c>
      <c r="D230" s="36" t="s">
        <v>355</v>
      </c>
      <c r="E230" s="2" t="s">
        <v>830</v>
      </c>
      <c r="F230" s="2" t="s">
        <v>837</v>
      </c>
    </row>
    <row r="231" spans="1:6" ht="14.1" customHeight="1" x14ac:dyDescent="0.2">
      <c r="A231" s="2">
        <v>10590</v>
      </c>
      <c r="B231" s="2">
        <v>1059</v>
      </c>
      <c r="D231" s="38" t="s">
        <v>356</v>
      </c>
      <c r="E231" s="2" t="s">
        <v>0</v>
      </c>
      <c r="F231" s="2" t="s">
        <v>834</v>
      </c>
    </row>
    <row r="232" spans="1:6" ht="14.1" customHeight="1" x14ac:dyDescent="0.2">
      <c r="A232" s="2">
        <v>10591</v>
      </c>
      <c r="B232" s="2">
        <v>1059</v>
      </c>
      <c r="C232" s="2" t="s">
        <v>0</v>
      </c>
      <c r="D232" s="38" t="s">
        <v>356</v>
      </c>
      <c r="E232" s="2" t="s">
        <v>10</v>
      </c>
      <c r="F232" s="2" t="s">
        <v>835</v>
      </c>
    </row>
    <row r="233" spans="1:6" ht="14.1" customHeight="1" x14ac:dyDescent="0.2">
      <c r="A233" s="2">
        <v>10592</v>
      </c>
      <c r="B233" s="2">
        <v>1059</v>
      </c>
      <c r="C233" s="2" t="s">
        <v>10</v>
      </c>
      <c r="D233" s="38" t="s">
        <v>356</v>
      </c>
      <c r="E233" s="2" t="s">
        <v>301</v>
      </c>
      <c r="F233" s="2" t="s">
        <v>836</v>
      </c>
    </row>
    <row r="234" spans="1:6" ht="14.1" customHeight="1" x14ac:dyDescent="0.2">
      <c r="A234" s="2">
        <v>10593</v>
      </c>
      <c r="B234" s="2">
        <v>1059</v>
      </c>
      <c r="C234" s="2" t="s">
        <v>11</v>
      </c>
      <c r="D234" s="38" t="s">
        <v>356</v>
      </c>
      <c r="E234" s="2" t="s">
        <v>830</v>
      </c>
      <c r="F234" s="2" t="s">
        <v>837</v>
      </c>
    </row>
    <row r="235" spans="1:6" ht="14.1" customHeight="1" x14ac:dyDescent="0.2">
      <c r="A235" s="2">
        <v>10600</v>
      </c>
      <c r="B235" s="2">
        <v>1060</v>
      </c>
      <c r="D235" s="37" t="s">
        <v>357</v>
      </c>
      <c r="E235" s="2" t="s">
        <v>0</v>
      </c>
      <c r="F235" s="2" t="s">
        <v>834</v>
      </c>
    </row>
    <row r="236" spans="1:6" ht="14.1" customHeight="1" x14ac:dyDescent="0.2">
      <c r="A236" s="2">
        <v>10601</v>
      </c>
      <c r="B236" s="2">
        <v>1060</v>
      </c>
      <c r="C236" s="2" t="s">
        <v>0</v>
      </c>
      <c r="D236" s="37" t="s">
        <v>357</v>
      </c>
      <c r="E236" s="2" t="s">
        <v>10</v>
      </c>
      <c r="F236" s="2" t="s">
        <v>835</v>
      </c>
    </row>
    <row r="237" spans="1:6" ht="14.1" customHeight="1" x14ac:dyDescent="0.2">
      <c r="A237" s="2">
        <v>10602</v>
      </c>
      <c r="B237" s="2">
        <v>1060</v>
      </c>
      <c r="C237" s="2" t="s">
        <v>10</v>
      </c>
      <c r="D237" s="37" t="s">
        <v>357</v>
      </c>
      <c r="E237" s="2" t="s">
        <v>301</v>
      </c>
      <c r="F237" s="2" t="s">
        <v>836</v>
      </c>
    </row>
    <row r="238" spans="1:6" ht="14.1" customHeight="1" x14ac:dyDescent="0.2">
      <c r="A238" s="2">
        <v>10603</v>
      </c>
      <c r="B238" s="2">
        <v>1060</v>
      </c>
      <c r="C238" s="2" t="s">
        <v>11</v>
      </c>
      <c r="D238" s="37" t="s">
        <v>357</v>
      </c>
      <c r="E238" s="2" t="s">
        <v>830</v>
      </c>
      <c r="F238" s="2" t="s">
        <v>837</v>
      </c>
    </row>
    <row r="239" spans="1:6" ht="14.1" customHeight="1" x14ac:dyDescent="0.2">
      <c r="A239" s="2">
        <v>10610</v>
      </c>
      <c r="B239" s="2">
        <v>1061</v>
      </c>
      <c r="D239" s="38" t="s">
        <v>358</v>
      </c>
      <c r="E239" s="2" t="s">
        <v>0</v>
      </c>
      <c r="F239" s="2" t="s">
        <v>834</v>
      </c>
    </row>
    <row r="240" spans="1:6" ht="14.1" customHeight="1" x14ac:dyDescent="0.2">
      <c r="A240" s="2">
        <v>10611</v>
      </c>
      <c r="B240" s="2">
        <v>1061</v>
      </c>
      <c r="C240" s="2" t="s">
        <v>0</v>
      </c>
      <c r="D240" s="38" t="s">
        <v>358</v>
      </c>
      <c r="E240" s="2" t="s">
        <v>10</v>
      </c>
      <c r="F240" s="2" t="s">
        <v>835</v>
      </c>
    </row>
    <row r="241" spans="1:6" ht="14.1" customHeight="1" x14ac:dyDescent="0.2">
      <c r="A241" s="2">
        <v>10612</v>
      </c>
      <c r="B241" s="2">
        <v>1061</v>
      </c>
      <c r="C241" s="2" t="s">
        <v>10</v>
      </c>
      <c r="D241" s="38" t="s">
        <v>358</v>
      </c>
      <c r="E241" s="2" t="s">
        <v>301</v>
      </c>
      <c r="F241" s="2" t="s">
        <v>836</v>
      </c>
    </row>
    <row r="242" spans="1:6" ht="14.1" customHeight="1" x14ac:dyDescent="0.2">
      <c r="A242" s="2">
        <v>10613</v>
      </c>
      <c r="B242" s="2">
        <v>1061</v>
      </c>
      <c r="C242" s="2" t="s">
        <v>11</v>
      </c>
      <c r="D242" s="38" t="s">
        <v>358</v>
      </c>
      <c r="E242" s="2" t="s">
        <v>830</v>
      </c>
      <c r="F242" s="2" t="s">
        <v>837</v>
      </c>
    </row>
    <row r="243" spans="1:6" ht="14.1" customHeight="1" x14ac:dyDescent="0.2">
      <c r="A243" s="2">
        <v>10620</v>
      </c>
      <c r="B243" s="2">
        <v>1062</v>
      </c>
      <c r="D243" s="37" t="s">
        <v>359</v>
      </c>
      <c r="E243" s="2" t="s">
        <v>0</v>
      </c>
      <c r="F243" s="2" t="s">
        <v>834</v>
      </c>
    </row>
    <row r="244" spans="1:6" ht="14.1" customHeight="1" x14ac:dyDescent="0.2">
      <c r="A244" s="2">
        <v>10621</v>
      </c>
      <c r="B244" s="2">
        <v>1062</v>
      </c>
      <c r="C244" s="2" t="s">
        <v>0</v>
      </c>
      <c r="D244" s="37" t="s">
        <v>359</v>
      </c>
      <c r="E244" s="2" t="s">
        <v>10</v>
      </c>
      <c r="F244" s="2" t="s">
        <v>835</v>
      </c>
    </row>
    <row r="245" spans="1:6" ht="14.1" customHeight="1" x14ac:dyDescent="0.2">
      <c r="A245" s="2">
        <v>10622</v>
      </c>
      <c r="B245" s="2">
        <v>1062</v>
      </c>
      <c r="C245" s="2" t="s">
        <v>10</v>
      </c>
      <c r="D245" s="37" t="s">
        <v>359</v>
      </c>
      <c r="E245" s="2" t="s">
        <v>301</v>
      </c>
      <c r="F245" s="2" t="s">
        <v>836</v>
      </c>
    </row>
    <row r="246" spans="1:6" ht="14.1" customHeight="1" x14ac:dyDescent="0.2">
      <c r="A246" s="2">
        <v>10623</v>
      </c>
      <c r="B246" s="2">
        <v>1062</v>
      </c>
      <c r="C246" s="2" t="s">
        <v>11</v>
      </c>
      <c r="D246" s="37" t="s">
        <v>359</v>
      </c>
      <c r="E246" s="2" t="s">
        <v>830</v>
      </c>
      <c r="F246" s="2" t="s">
        <v>837</v>
      </c>
    </row>
    <row r="247" spans="1:6" ht="14.1" customHeight="1" x14ac:dyDescent="0.2">
      <c r="A247" s="2">
        <v>10630</v>
      </c>
      <c r="B247" s="2">
        <v>1063</v>
      </c>
      <c r="D247" s="37" t="s">
        <v>360</v>
      </c>
      <c r="E247" s="2" t="s">
        <v>0</v>
      </c>
      <c r="F247" s="2" t="s">
        <v>834</v>
      </c>
    </row>
    <row r="248" spans="1:6" ht="14.1" customHeight="1" x14ac:dyDescent="0.2">
      <c r="A248" s="2">
        <v>10631</v>
      </c>
      <c r="B248" s="2">
        <v>1063</v>
      </c>
      <c r="C248" s="2" t="s">
        <v>0</v>
      </c>
      <c r="D248" s="37" t="s">
        <v>360</v>
      </c>
      <c r="E248" s="2" t="s">
        <v>10</v>
      </c>
      <c r="F248" s="2" t="s">
        <v>835</v>
      </c>
    </row>
    <row r="249" spans="1:6" ht="14.1" customHeight="1" x14ac:dyDescent="0.2">
      <c r="A249" s="2">
        <v>10632</v>
      </c>
      <c r="B249" s="2">
        <v>1063</v>
      </c>
      <c r="C249" s="2" t="s">
        <v>10</v>
      </c>
      <c r="D249" s="37" t="s">
        <v>360</v>
      </c>
      <c r="E249" s="2" t="s">
        <v>301</v>
      </c>
      <c r="F249" s="2" t="s">
        <v>836</v>
      </c>
    </row>
    <row r="250" spans="1:6" ht="14.1" customHeight="1" x14ac:dyDescent="0.2">
      <c r="A250" s="2">
        <v>10633</v>
      </c>
      <c r="B250" s="2">
        <v>1063</v>
      </c>
      <c r="C250" s="2" t="s">
        <v>11</v>
      </c>
      <c r="D250" s="37" t="s">
        <v>360</v>
      </c>
      <c r="E250" s="2" t="s">
        <v>830</v>
      </c>
      <c r="F250" s="2" t="s">
        <v>837</v>
      </c>
    </row>
    <row r="251" spans="1:6" ht="14.1" customHeight="1" x14ac:dyDescent="0.2">
      <c r="A251" s="2">
        <v>10640</v>
      </c>
      <c r="B251" s="2">
        <v>1064</v>
      </c>
      <c r="D251" s="37" t="s">
        <v>361</v>
      </c>
      <c r="E251" s="2" t="s">
        <v>0</v>
      </c>
      <c r="F251" s="2" t="s">
        <v>834</v>
      </c>
    </row>
    <row r="252" spans="1:6" ht="14.1" customHeight="1" x14ac:dyDescent="0.2">
      <c r="A252" s="2">
        <v>10641</v>
      </c>
      <c r="B252" s="2">
        <v>1064</v>
      </c>
      <c r="C252" s="2" t="s">
        <v>0</v>
      </c>
      <c r="D252" s="37" t="s">
        <v>361</v>
      </c>
      <c r="E252" s="2" t="s">
        <v>10</v>
      </c>
      <c r="F252" s="2" t="s">
        <v>835</v>
      </c>
    </row>
    <row r="253" spans="1:6" ht="14.1" customHeight="1" x14ac:dyDescent="0.2">
      <c r="A253" s="2">
        <v>10642</v>
      </c>
      <c r="B253" s="2">
        <v>1064</v>
      </c>
      <c r="C253" s="2" t="s">
        <v>10</v>
      </c>
      <c r="D253" s="37" t="s">
        <v>361</v>
      </c>
      <c r="E253" s="2" t="s">
        <v>301</v>
      </c>
      <c r="F253" s="2" t="s">
        <v>836</v>
      </c>
    </row>
    <row r="254" spans="1:6" ht="14.1" customHeight="1" x14ac:dyDescent="0.2">
      <c r="A254" s="2">
        <v>10643</v>
      </c>
      <c r="B254" s="2">
        <v>1064</v>
      </c>
      <c r="C254" s="2" t="s">
        <v>11</v>
      </c>
      <c r="D254" s="37" t="s">
        <v>361</v>
      </c>
      <c r="E254" s="2" t="s">
        <v>830</v>
      </c>
      <c r="F254" s="2" t="s">
        <v>837</v>
      </c>
    </row>
    <row r="255" spans="1:6" ht="14.1" customHeight="1" x14ac:dyDescent="0.2">
      <c r="A255" s="2">
        <v>10650</v>
      </c>
      <c r="B255" s="2">
        <v>1065</v>
      </c>
      <c r="D255" s="37" t="s">
        <v>362</v>
      </c>
      <c r="E255" s="2" t="s">
        <v>0</v>
      </c>
      <c r="F255" s="2" t="s">
        <v>834</v>
      </c>
    </row>
    <row r="256" spans="1:6" ht="14.1" customHeight="1" x14ac:dyDescent="0.2">
      <c r="A256" s="2">
        <v>10651</v>
      </c>
      <c r="B256" s="2">
        <v>1065</v>
      </c>
      <c r="C256" s="2" t="s">
        <v>0</v>
      </c>
      <c r="D256" s="37" t="s">
        <v>362</v>
      </c>
      <c r="E256" s="2" t="s">
        <v>10</v>
      </c>
      <c r="F256" s="2" t="s">
        <v>835</v>
      </c>
    </row>
    <row r="257" spans="1:6" ht="14.1" customHeight="1" x14ac:dyDescent="0.2">
      <c r="A257" s="2">
        <v>10652</v>
      </c>
      <c r="B257" s="2">
        <v>1065</v>
      </c>
      <c r="C257" s="2" t="s">
        <v>10</v>
      </c>
      <c r="D257" s="37" t="s">
        <v>362</v>
      </c>
      <c r="E257" s="2" t="s">
        <v>301</v>
      </c>
      <c r="F257" s="2" t="s">
        <v>836</v>
      </c>
    </row>
    <row r="258" spans="1:6" ht="14.1" customHeight="1" x14ac:dyDescent="0.2">
      <c r="A258" s="2">
        <v>10653</v>
      </c>
      <c r="B258" s="2">
        <v>1065</v>
      </c>
      <c r="C258" s="2" t="s">
        <v>11</v>
      </c>
      <c r="D258" s="37" t="s">
        <v>362</v>
      </c>
      <c r="E258" s="2" t="s">
        <v>830</v>
      </c>
      <c r="F258" s="2" t="s">
        <v>837</v>
      </c>
    </row>
    <row r="259" spans="1:6" ht="14.1" customHeight="1" x14ac:dyDescent="0.2">
      <c r="A259" s="2">
        <v>10660</v>
      </c>
      <c r="B259" s="2">
        <v>1066</v>
      </c>
      <c r="D259" s="37" t="s">
        <v>363</v>
      </c>
      <c r="E259" s="2" t="s">
        <v>0</v>
      </c>
      <c r="F259" s="2" t="s">
        <v>834</v>
      </c>
    </row>
    <row r="260" spans="1:6" ht="14.1" customHeight="1" x14ac:dyDescent="0.2">
      <c r="A260" s="2">
        <v>10661</v>
      </c>
      <c r="B260" s="2">
        <v>1066</v>
      </c>
      <c r="C260" s="2" t="s">
        <v>0</v>
      </c>
      <c r="D260" s="37" t="s">
        <v>363</v>
      </c>
      <c r="E260" s="2" t="s">
        <v>10</v>
      </c>
      <c r="F260" s="2" t="s">
        <v>835</v>
      </c>
    </row>
    <row r="261" spans="1:6" ht="14.1" customHeight="1" x14ac:dyDescent="0.2">
      <c r="A261" s="2">
        <v>10662</v>
      </c>
      <c r="B261" s="2">
        <v>1066</v>
      </c>
      <c r="C261" s="2" t="s">
        <v>10</v>
      </c>
      <c r="D261" s="37" t="s">
        <v>363</v>
      </c>
      <c r="E261" s="2" t="s">
        <v>301</v>
      </c>
      <c r="F261" s="2" t="s">
        <v>836</v>
      </c>
    </row>
    <row r="262" spans="1:6" ht="14.1" customHeight="1" x14ac:dyDescent="0.2">
      <c r="A262" s="2">
        <v>10663</v>
      </c>
      <c r="B262" s="2">
        <v>1066</v>
      </c>
      <c r="C262" s="2" t="s">
        <v>11</v>
      </c>
      <c r="D262" s="37" t="s">
        <v>363</v>
      </c>
      <c r="E262" s="2" t="s">
        <v>830</v>
      </c>
      <c r="F262" s="2" t="s">
        <v>837</v>
      </c>
    </row>
    <row r="263" spans="1:6" ht="14.1" customHeight="1" x14ac:dyDescent="0.2">
      <c r="A263" s="2">
        <v>10670</v>
      </c>
      <c r="B263" s="2">
        <v>1067</v>
      </c>
      <c r="D263" s="37" t="s">
        <v>364</v>
      </c>
      <c r="E263" s="2" t="s">
        <v>0</v>
      </c>
      <c r="F263" s="2" t="s">
        <v>834</v>
      </c>
    </row>
    <row r="264" spans="1:6" ht="14.1" customHeight="1" x14ac:dyDescent="0.2">
      <c r="A264" s="2">
        <v>10671</v>
      </c>
      <c r="B264" s="2">
        <v>1067</v>
      </c>
      <c r="C264" s="2" t="s">
        <v>0</v>
      </c>
      <c r="D264" s="37" t="s">
        <v>364</v>
      </c>
      <c r="E264" s="2" t="s">
        <v>10</v>
      </c>
      <c r="F264" s="2" t="s">
        <v>835</v>
      </c>
    </row>
    <row r="265" spans="1:6" ht="14.1" customHeight="1" x14ac:dyDescent="0.2">
      <c r="A265" s="2">
        <v>10672</v>
      </c>
      <c r="B265" s="2">
        <v>1067</v>
      </c>
      <c r="C265" s="2" t="s">
        <v>10</v>
      </c>
      <c r="D265" s="37" t="s">
        <v>364</v>
      </c>
      <c r="E265" s="2" t="s">
        <v>301</v>
      </c>
      <c r="F265" s="2" t="s">
        <v>836</v>
      </c>
    </row>
    <row r="266" spans="1:6" ht="14.1" customHeight="1" x14ac:dyDescent="0.2">
      <c r="A266" s="2">
        <v>10673</v>
      </c>
      <c r="B266" s="2">
        <v>1067</v>
      </c>
      <c r="C266" s="2" t="s">
        <v>11</v>
      </c>
      <c r="D266" s="37" t="s">
        <v>364</v>
      </c>
      <c r="E266" s="2" t="s">
        <v>830</v>
      </c>
      <c r="F266" s="2" t="s">
        <v>837</v>
      </c>
    </row>
    <row r="267" spans="1:6" ht="14.1" customHeight="1" x14ac:dyDescent="0.2">
      <c r="A267" s="2">
        <v>10680</v>
      </c>
      <c r="B267" s="2">
        <v>1068</v>
      </c>
      <c r="D267" s="38" t="s">
        <v>365</v>
      </c>
      <c r="E267" s="2" t="s">
        <v>0</v>
      </c>
      <c r="F267" s="2" t="s">
        <v>834</v>
      </c>
    </row>
    <row r="268" spans="1:6" ht="14.1" customHeight="1" x14ac:dyDescent="0.2">
      <c r="A268" s="2">
        <v>10681</v>
      </c>
      <c r="B268" s="2">
        <v>1068</v>
      </c>
      <c r="C268" s="2" t="s">
        <v>0</v>
      </c>
      <c r="D268" s="38" t="s">
        <v>365</v>
      </c>
      <c r="E268" s="2" t="s">
        <v>10</v>
      </c>
      <c r="F268" s="2" t="s">
        <v>835</v>
      </c>
    </row>
    <row r="269" spans="1:6" ht="14.1" customHeight="1" x14ac:dyDescent="0.2">
      <c r="A269" s="2">
        <v>10682</v>
      </c>
      <c r="B269" s="2">
        <v>1068</v>
      </c>
      <c r="C269" s="2" t="s">
        <v>10</v>
      </c>
      <c r="D269" s="38" t="s">
        <v>365</v>
      </c>
      <c r="E269" s="2" t="s">
        <v>301</v>
      </c>
      <c r="F269" s="2" t="s">
        <v>836</v>
      </c>
    </row>
    <row r="270" spans="1:6" ht="14.1" customHeight="1" x14ac:dyDescent="0.2">
      <c r="A270" s="2">
        <v>10683</v>
      </c>
      <c r="B270" s="2">
        <v>1068</v>
      </c>
      <c r="C270" s="2" t="s">
        <v>11</v>
      </c>
      <c r="D270" s="38" t="s">
        <v>365</v>
      </c>
      <c r="E270" s="2" t="s">
        <v>830</v>
      </c>
      <c r="F270" s="2" t="s">
        <v>837</v>
      </c>
    </row>
    <row r="271" spans="1:6" ht="14.1" customHeight="1" x14ac:dyDescent="0.2">
      <c r="A271" s="2">
        <v>10690</v>
      </c>
      <c r="B271" s="2">
        <v>1069</v>
      </c>
      <c r="D271" s="36" t="s">
        <v>366</v>
      </c>
      <c r="E271" s="2" t="s">
        <v>0</v>
      </c>
      <c r="F271" s="2" t="s">
        <v>834</v>
      </c>
    </row>
    <row r="272" spans="1:6" ht="14.1" customHeight="1" x14ac:dyDescent="0.2">
      <c r="A272" s="2">
        <v>10691</v>
      </c>
      <c r="B272" s="2">
        <v>1069</v>
      </c>
      <c r="C272" s="2" t="s">
        <v>0</v>
      </c>
      <c r="D272" s="36" t="s">
        <v>366</v>
      </c>
      <c r="E272" s="2" t="s">
        <v>10</v>
      </c>
      <c r="F272" s="2" t="s">
        <v>835</v>
      </c>
    </row>
    <row r="273" spans="1:6" ht="14.1" customHeight="1" x14ac:dyDescent="0.2">
      <c r="A273" s="2">
        <v>10692</v>
      </c>
      <c r="B273" s="2">
        <v>1069</v>
      </c>
      <c r="C273" s="2" t="s">
        <v>10</v>
      </c>
      <c r="D273" s="36" t="s">
        <v>366</v>
      </c>
      <c r="E273" s="2" t="s">
        <v>301</v>
      </c>
      <c r="F273" s="2" t="s">
        <v>836</v>
      </c>
    </row>
    <row r="274" spans="1:6" ht="14.1" customHeight="1" x14ac:dyDescent="0.2">
      <c r="A274" s="2">
        <v>10693</v>
      </c>
      <c r="B274" s="2">
        <v>1069</v>
      </c>
      <c r="C274" s="2" t="s">
        <v>11</v>
      </c>
      <c r="D274" s="36" t="s">
        <v>366</v>
      </c>
      <c r="E274" s="2" t="s">
        <v>830</v>
      </c>
      <c r="F274" s="2" t="s">
        <v>837</v>
      </c>
    </row>
    <row r="275" spans="1:6" ht="14.1" customHeight="1" x14ac:dyDescent="0.2">
      <c r="A275" s="2">
        <v>10700</v>
      </c>
      <c r="B275" s="2">
        <v>1070</v>
      </c>
      <c r="D275" s="37" t="s">
        <v>367</v>
      </c>
      <c r="E275" s="2" t="s">
        <v>0</v>
      </c>
      <c r="F275" s="2" t="s">
        <v>834</v>
      </c>
    </row>
    <row r="276" spans="1:6" ht="14.1" customHeight="1" x14ac:dyDescent="0.2">
      <c r="A276" s="2">
        <v>10701</v>
      </c>
      <c r="B276" s="2">
        <v>1070</v>
      </c>
      <c r="C276" s="2" t="s">
        <v>0</v>
      </c>
      <c r="D276" s="37" t="s">
        <v>367</v>
      </c>
      <c r="E276" s="2" t="s">
        <v>10</v>
      </c>
      <c r="F276" s="2" t="s">
        <v>835</v>
      </c>
    </row>
    <row r="277" spans="1:6" ht="14.1" customHeight="1" x14ac:dyDescent="0.2">
      <c r="A277" s="2">
        <v>10702</v>
      </c>
      <c r="B277" s="2">
        <v>1070</v>
      </c>
      <c r="C277" s="2" t="s">
        <v>10</v>
      </c>
      <c r="D277" s="37" t="s">
        <v>367</v>
      </c>
      <c r="E277" s="2" t="s">
        <v>301</v>
      </c>
      <c r="F277" s="2" t="s">
        <v>836</v>
      </c>
    </row>
    <row r="278" spans="1:6" ht="14.1" customHeight="1" x14ac:dyDescent="0.2">
      <c r="A278" s="2">
        <v>10703</v>
      </c>
      <c r="B278" s="2">
        <v>1070</v>
      </c>
      <c r="C278" s="2" t="s">
        <v>11</v>
      </c>
      <c r="D278" s="37" t="s">
        <v>367</v>
      </c>
      <c r="E278" s="2" t="s">
        <v>830</v>
      </c>
      <c r="F278" s="2" t="s">
        <v>837</v>
      </c>
    </row>
    <row r="279" spans="1:6" ht="14.1" customHeight="1" x14ac:dyDescent="0.2">
      <c r="A279" s="2">
        <v>10710</v>
      </c>
      <c r="B279" s="2">
        <v>1071</v>
      </c>
      <c r="D279" s="37" t="s">
        <v>368</v>
      </c>
      <c r="E279" s="2" t="s">
        <v>0</v>
      </c>
      <c r="F279" s="2" t="s">
        <v>834</v>
      </c>
    </row>
    <row r="280" spans="1:6" ht="14.1" customHeight="1" x14ac:dyDescent="0.2">
      <c r="A280" s="2">
        <v>10711</v>
      </c>
      <c r="B280" s="2">
        <v>1071</v>
      </c>
      <c r="C280" s="2" t="s">
        <v>0</v>
      </c>
      <c r="D280" s="37" t="s">
        <v>368</v>
      </c>
      <c r="E280" s="2" t="s">
        <v>10</v>
      </c>
      <c r="F280" s="2" t="s">
        <v>835</v>
      </c>
    </row>
    <row r="281" spans="1:6" ht="14.1" customHeight="1" x14ac:dyDescent="0.2">
      <c r="A281" s="2">
        <v>10712</v>
      </c>
      <c r="B281" s="2">
        <v>1071</v>
      </c>
      <c r="C281" s="2" t="s">
        <v>10</v>
      </c>
      <c r="D281" s="37" t="s">
        <v>368</v>
      </c>
      <c r="E281" s="2" t="s">
        <v>301</v>
      </c>
      <c r="F281" s="2" t="s">
        <v>836</v>
      </c>
    </row>
    <row r="282" spans="1:6" ht="14.1" customHeight="1" x14ac:dyDescent="0.2">
      <c r="A282" s="2">
        <v>10713</v>
      </c>
      <c r="B282" s="2">
        <v>1071</v>
      </c>
      <c r="C282" s="2" t="s">
        <v>11</v>
      </c>
      <c r="D282" s="37" t="s">
        <v>368</v>
      </c>
      <c r="E282" s="2" t="s">
        <v>830</v>
      </c>
      <c r="F282" s="2" t="s">
        <v>837</v>
      </c>
    </row>
    <row r="283" spans="1:6" s="2" customFormat="1" ht="14.1" customHeight="1" x14ac:dyDescent="0.2">
      <c r="A283" s="2">
        <v>10720</v>
      </c>
      <c r="B283" s="2">
        <v>1072</v>
      </c>
      <c r="D283" s="37" t="s">
        <v>1245</v>
      </c>
      <c r="E283" s="2" t="s">
        <v>0</v>
      </c>
      <c r="F283" s="2" t="s">
        <v>834</v>
      </c>
    </row>
    <row r="284" spans="1:6" s="2" customFormat="1" ht="14.1" customHeight="1" x14ac:dyDescent="0.2">
      <c r="A284" s="2">
        <v>10721</v>
      </c>
      <c r="B284" s="2">
        <v>1072</v>
      </c>
      <c r="C284" s="2" t="s">
        <v>0</v>
      </c>
      <c r="D284" s="37" t="s">
        <v>1245</v>
      </c>
      <c r="E284" s="2" t="s">
        <v>10</v>
      </c>
      <c r="F284" s="2" t="s">
        <v>835</v>
      </c>
    </row>
    <row r="285" spans="1:6" s="2" customFormat="1" ht="14.1" customHeight="1" x14ac:dyDescent="0.2">
      <c r="A285" s="2">
        <v>10722</v>
      </c>
      <c r="B285" s="2">
        <v>1072</v>
      </c>
      <c r="C285" s="2" t="s">
        <v>10</v>
      </c>
      <c r="D285" s="37" t="s">
        <v>1245</v>
      </c>
      <c r="E285" s="2" t="s">
        <v>301</v>
      </c>
      <c r="F285" s="2" t="s">
        <v>836</v>
      </c>
    </row>
    <row r="286" spans="1:6" s="2" customFormat="1" ht="14.1" customHeight="1" x14ac:dyDescent="0.2">
      <c r="A286" s="2">
        <v>10723</v>
      </c>
      <c r="B286" s="2">
        <v>1072</v>
      </c>
      <c r="C286" s="2" t="s">
        <v>11</v>
      </c>
      <c r="D286" s="37" t="s">
        <v>1245</v>
      </c>
      <c r="E286" s="2" t="s">
        <v>830</v>
      </c>
      <c r="F286" s="2" t="s">
        <v>837</v>
      </c>
    </row>
    <row r="287" spans="1:6" ht="14.1" customHeight="1" x14ac:dyDescent="0.2">
      <c r="A287" s="2">
        <v>10730</v>
      </c>
      <c r="B287" s="2">
        <v>1073</v>
      </c>
      <c r="D287" s="37" t="s">
        <v>369</v>
      </c>
      <c r="E287" s="2" t="s">
        <v>0</v>
      </c>
      <c r="F287" s="2" t="s">
        <v>834</v>
      </c>
    </row>
    <row r="288" spans="1:6" ht="14.1" customHeight="1" x14ac:dyDescent="0.2">
      <c r="A288" s="2">
        <v>10731</v>
      </c>
      <c r="B288" s="2">
        <v>1073</v>
      </c>
      <c r="C288" s="2" t="s">
        <v>0</v>
      </c>
      <c r="D288" s="37" t="s">
        <v>369</v>
      </c>
      <c r="E288" s="2" t="s">
        <v>10</v>
      </c>
      <c r="F288" s="2" t="s">
        <v>835</v>
      </c>
    </row>
    <row r="289" spans="1:6" ht="14.1" customHeight="1" x14ac:dyDescent="0.2">
      <c r="A289" s="2">
        <v>10732</v>
      </c>
      <c r="B289" s="2">
        <v>1073</v>
      </c>
      <c r="C289" s="2" t="s">
        <v>10</v>
      </c>
      <c r="D289" s="37" t="s">
        <v>369</v>
      </c>
      <c r="E289" s="2" t="s">
        <v>301</v>
      </c>
      <c r="F289" s="2" t="s">
        <v>836</v>
      </c>
    </row>
    <row r="290" spans="1:6" ht="14.1" customHeight="1" x14ac:dyDescent="0.2">
      <c r="A290" s="2">
        <v>10733</v>
      </c>
      <c r="B290" s="2">
        <v>1073</v>
      </c>
      <c r="C290" s="2" t="s">
        <v>11</v>
      </c>
      <c r="D290" s="37" t="s">
        <v>369</v>
      </c>
      <c r="E290" s="2" t="s">
        <v>830</v>
      </c>
      <c r="F290" s="2" t="s">
        <v>837</v>
      </c>
    </row>
    <row r="291" spans="1:6" s="2" customFormat="1" ht="14.1" customHeight="1" x14ac:dyDescent="0.2">
      <c r="A291" s="2" t="s">
        <v>1273</v>
      </c>
      <c r="B291" s="2" t="s">
        <v>1276</v>
      </c>
      <c r="D291" s="37" t="s">
        <v>1278</v>
      </c>
      <c r="E291" s="2" t="s">
        <v>0</v>
      </c>
      <c r="F291" s="2" t="s">
        <v>834</v>
      </c>
    </row>
    <row r="292" spans="1:6" s="2" customFormat="1" ht="14.1" customHeight="1" x14ac:dyDescent="0.2">
      <c r="A292" s="2" t="s">
        <v>1274</v>
      </c>
      <c r="B292" s="2" t="s">
        <v>1276</v>
      </c>
      <c r="C292" s="2" t="s">
        <v>0</v>
      </c>
      <c r="D292" s="37" t="s">
        <v>1278</v>
      </c>
      <c r="E292" s="2" t="s">
        <v>10</v>
      </c>
      <c r="F292" s="2" t="s">
        <v>835</v>
      </c>
    </row>
    <row r="293" spans="1:6" s="2" customFormat="1" ht="14.1" customHeight="1" x14ac:dyDescent="0.2">
      <c r="A293" s="2" t="s">
        <v>1277</v>
      </c>
      <c r="B293" s="2" t="s">
        <v>1276</v>
      </c>
      <c r="C293" s="2" t="s">
        <v>10</v>
      </c>
      <c r="D293" s="37" t="s">
        <v>1278</v>
      </c>
      <c r="E293" s="2" t="s">
        <v>301</v>
      </c>
      <c r="F293" s="2" t="s">
        <v>836</v>
      </c>
    </row>
    <row r="294" spans="1:6" s="2" customFormat="1" ht="14.1" customHeight="1" x14ac:dyDescent="0.2">
      <c r="A294" s="2" t="s">
        <v>1275</v>
      </c>
      <c r="B294" s="2" t="s">
        <v>1276</v>
      </c>
      <c r="C294" s="2" t="s">
        <v>11</v>
      </c>
      <c r="D294" s="37" t="s">
        <v>1278</v>
      </c>
      <c r="E294" s="2" t="s">
        <v>830</v>
      </c>
      <c r="F294" s="2" t="s">
        <v>837</v>
      </c>
    </row>
    <row r="295" spans="1:6" ht="14.1" customHeight="1" x14ac:dyDescent="0.2">
      <c r="A295" s="2">
        <v>10750</v>
      </c>
      <c r="B295" s="2">
        <v>1075</v>
      </c>
      <c r="D295" s="37" t="s">
        <v>370</v>
      </c>
      <c r="E295" s="2" t="s">
        <v>0</v>
      </c>
      <c r="F295" s="2" t="s">
        <v>834</v>
      </c>
    </row>
    <row r="296" spans="1:6" ht="14.1" customHeight="1" x14ac:dyDescent="0.2">
      <c r="A296" s="2">
        <v>10751</v>
      </c>
      <c r="B296" s="2">
        <v>1075</v>
      </c>
      <c r="C296" s="2" t="s">
        <v>0</v>
      </c>
      <c r="D296" s="37" t="s">
        <v>370</v>
      </c>
      <c r="E296" s="2" t="s">
        <v>10</v>
      </c>
      <c r="F296" s="2" t="s">
        <v>835</v>
      </c>
    </row>
    <row r="297" spans="1:6" ht="14.1" customHeight="1" x14ac:dyDescent="0.2">
      <c r="A297" s="2">
        <v>10752</v>
      </c>
      <c r="B297" s="2">
        <v>1075</v>
      </c>
      <c r="C297" s="2" t="s">
        <v>10</v>
      </c>
      <c r="D297" s="37" t="s">
        <v>370</v>
      </c>
      <c r="E297" s="2" t="s">
        <v>301</v>
      </c>
      <c r="F297" s="2" t="s">
        <v>836</v>
      </c>
    </row>
    <row r="298" spans="1:6" ht="14.1" customHeight="1" x14ac:dyDescent="0.2">
      <c r="A298" s="2">
        <v>10753</v>
      </c>
      <c r="B298" s="2">
        <v>1075</v>
      </c>
      <c r="C298" s="2" t="s">
        <v>11</v>
      </c>
      <c r="D298" s="37" t="s">
        <v>370</v>
      </c>
      <c r="E298" s="2" t="s">
        <v>830</v>
      </c>
      <c r="F298" s="2" t="s">
        <v>837</v>
      </c>
    </row>
    <row r="299" spans="1:6" s="2" customFormat="1" ht="14.1" customHeight="1" x14ac:dyDescent="0.2">
      <c r="A299" s="2" t="s">
        <v>1283</v>
      </c>
      <c r="B299" s="2" t="s">
        <v>1284</v>
      </c>
      <c r="D299" s="36" t="s">
        <v>1285</v>
      </c>
      <c r="E299" s="2" t="s">
        <v>0</v>
      </c>
      <c r="F299" s="2" t="s">
        <v>834</v>
      </c>
    </row>
    <row r="300" spans="1:6" s="2" customFormat="1" ht="14.1" customHeight="1" x14ac:dyDescent="0.2">
      <c r="A300" s="2" t="s">
        <v>1286</v>
      </c>
      <c r="B300" s="2" t="s">
        <v>1284</v>
      </c>
      <c r="C300" s="2" t="s">
        <v>0</v>
      </c>
      <c r="D300" s="36" t="s">
        <v>1285</v>
      </c>
      <c r="E300" s="2" t="s">
        <v>10</v>
      </c>
      <c r="F300" s="2" t="s">
        <v>835</v>
      </c>
    </row>
    <row r="301" spans="1:6" s="2" customFormat="1" ht="14.1" customHeight="1" x14ac:dyDescent="0.2">
      <c r="A301" s="2" t="s">
        <v>1287</v>
      </c>
      <c r="B301" s="2" t="s">
        <v>1284</v>
      </c>
      <c r="C301" s="2" t="s">
        <v>10</v>
      </c>
      <c r="D301" s="36" t="s">
        <v>1285</v>
      </c>
      <c r="E301" s="2" t="s">
        <v>301</v>
      </c>
      <c r="F301" s="2" t="s">
        <v>836</v>
      </c>
    </row>
    <row r="302" spans="1:6" s="2" customFormat="1" ht="14.1" customHeight="1" x14ac:dyDescent="0.2">
      <c r="A302" s="2" t="s">
        <v>1288</v>
      </c>
      <c r="B302" s="2" t="s">
        <v>1284</v>
      </c>
      <c r="C302" s="2" t="s">
        <v>11</v>
      </c>
      <c r="D302" s="36" t="s">
        <v>1285</v>
      </c>
      <c r="E302" s="2" t="s">
        <v>830</v>
      </c>
      <c r="F302" s="2" t="s">
        <v>837</v>
      </c>
    </row>
    <row r="303" spans="1:6" s="2" customFormat="1" ht="14.1" customHeight="1" x14ac:dyDescent="0.2">
      <c r="A303" s="2" t="s">
        <v>1306</v>
      </c>
      <c r="B303" s="2" t="s">
        <v>1305</v>
      </c>
      <c r="D303" s="36" t="s">
        <v>1310</v>
      </c>
      <c r="E303" s="2" t="s">
        <v>0</v>
      </c>
      <c r="F303" s="2" t="s">
        <v>834</v>
      </c>
    </row>
    <row r="304" spans="1:6" s="2" customFormat="1" ht="14.1" customHeight="1" x14ac:dyDescent="0.2">
      <c r="A304" s="2" t="s">
        <v>1307</v>
      </c>
      <c r="B304" s="2" t="s">
        <v>1305</v>
      </c>
      <c r="C304" s="2" t="s">
        <v>0</v>
      </c>
      <c r="D304" s="36" t="s">
        <v>1310</v>
      </c>
      <c r="E304" s="2" t="s">
        <v>10</v>
      </c>
      <c r="F304" s="2" t="s">
        <v>835</v>
      </c>
    </row>
    <row r="305" spans="1:6" s="2" customFormat="1" ht="14.1" customHeight="1" x14ac:dyDescent="0.2">
      <c r="A305" s="2" t="s">
        <v>1308</v>
      </c>
      <c r="B305" s="2" t="s">
        <v>1305</v>
      </c>
      <c r="C305" s="2" t="s">
        <v>10</v>
      </c>
      <c r="D305" s="36" t="s">
        <v>1310</v>
      </c>
      <c r="E305" s="2" t="s">
        <v>301</v>
      </c>
      <c r="F305" s="2" t="s">
        <v>836</v>
      </c>
    </row>
    <row r="306" spans="1:6" s="2" customFormat="1" ht="14.1" customHeight="1" x14ac:dyDescent="0.2">
      <c r="A306" s="2" t="s">
        <v>1309</v>
      </c>
      <c r="B306" s="2" t="s">
        <v>1305</v>
      </c>
      <c r="C306" s="2" t="s">
        <v>11</v>
      </c>
      <c r="D306" s="36" t="s">
        <v>1310</v>
      </c>
      <c r="E306" s="2" t="s">
        <v>830</v>
      </c>
      <c r="F306" s="2" t="s">
        <v>837</v>
      </c>
    </row>
    <row r="307" spans="1:6" ht="14.1" customHeight="1" x14ac:dyDescent="0.2">
      <c r="A307" s="2">
        <v>10780</v>
      </c>
      <c r="B307" s="2">
        <v>1078</v>
      </c>
      <c r="D307" s="37" t="s">
        <v>371</v>
      </c>
      <c r="E307" s="2" t="s">
        <v>0</v>
      </c>
      <c r="F307" s="2" t="s">
        <v>834</v>
      </c>
    </row>
    <row r="308" spans="1:6" ht="14.1" customHeight="1" x14ac:dyDescent="0.2">
      <c r="A308" s="2">
        <v>10781</v>
      </c>
      <c r="B308" s="2">
        <v>1078</v>
      </c>
      <c r="C308" s="2" t="s">
        <v>0</v>
      </c>
      <c r="D308" s="37" t="s">
        <v>371</v>
      </c>
      <c r="E308" s="2" t="s">
        <v>10</v>
      </c>
      <c r="F308" s="2" t="s">
        <v>835</v>
      </c>
    </row>
    <row r="309" spans="1:6" ht="14.1" customHeight="1" x14ac:dyDescent="0.2">
      <c r="A309" s="2">
        <v>10782</v>
      </c>
      <c r="B309" s="2">
        <v>1078</v>
      </c>
      <c r="C309" s="2" t="s">
        <v>10</v>
      </c>
      <c r="D309" s="37" t="s">
        <v>371</v>
      </c>
      <c r="E309" s="2" t="s">
        <v>301</v>
      </c>
      <c r="F309" s="2" t="s">
        <v>836</v>
      </c>
    </row>
    <row r="310" spans="1:6" ht="14.1" customHeight="1" x14ac:dyDescent="0.2">
      <c r="A310" s="2">
        <v>10783</v>
      </c>
      <c r="B310" s="2">
        <v>1078</v>
      </c>
      <c r="C310" s="2" t="s">
        <v>11</v>
      </c>
      <c r="D310" s="37" t="s">
        <v>371</v>
      </c>
      <c r="E310" s="2" t="s">
        <v>830</v>
      </c>
      <c r="F310" s="2" t="s">
        <v>837</v>
      </c>
    </row>
    <row r="311" spans="1:6" s="2" customFormat="1" ht="14.1" customHeight="1" x14ac:dyDescent="0.2">
      <c r="A311" s="2">
        <v>10790</v>
      </c>
      <c r="B311" s="2">
        <v>1079</v>
      </c>
      <c r="D311" s="37" t="s">
        <v>1317</v>
      </c>
      <c r="E311" s="2" t="s">
        <v>0</v>
      </c>
      <c r="F311" s="2" t="s">
        <v>834</v>
      </c>
    </row>
    <row r="312" spans="1:6" s="2" customFormat="1" ht="14.1" customHeight="1" x14ac:dyDescent="0.2">
      <c r="A312" s="2">
        <v>10791</v>
      </c>
      <c r="B312" s="2">
        <v>1079</v>
      </c>
      <c r="C312" s="2" t="s">
        <v>0</v>
      </c>
      <c r="D312" s="37" t="s">
        <v>1317</v>
      </c>
      <c r="E312" s="2" t="s">
        <v>10</v>
      </c>
      <c r="F312" s="2" t="s">
        <v>835</v>
      </c>
    </row>
    <row r="313" spans="1:6" s="2" customFormat="1" ht="14.1" customHeight="1" x14ac:dyDescent="0.2">
      <c r="A313" s="2">
        <v>10792</v>
      </c>
      <c r="B313" s="2">
        <v>1079</v>
      </c>
      <c r="C313" s="2" t="s">
        <v>10</v>
      </c>
      <c r="D313" s="37" t="s">
        <v>1317</v>
      </c>
      <c r="E313" s="2" t="s">
        <v>301</v>
      </c>
      <c r="F313" s="2" t="s">
        <v>836</v>
      </c>
    </row>
    <row r="314" spans="1:6" s="2" customFormat="1" ht="14.1" customHeight="1" x14ac:dyDescent="0.2">
      <c r="A314" s="2">
        <v>10793</v>
      </c>
      <c r="B314" s="2">
        <v>1079</v>
      </c>
      <c r="C314" s="2" t="s">
        <v>11</v>
      </c>
      <c r="D314" s="37" t="s">
        <v>1317</v>
      </c>
      <c r="E314" s="2" t="s">
        <v>830</v>
      </c>
      <c r="F314" s="2" t="s">
        <v>837</v>
      </c>
    </row>
    <row r="315" spans="1:6" s="2" customFormat="1" ht="14.1" customHeight="1" x14ac:dyDescent="0.2">
      <c r="A315" s="2">
        <v>10800</v>
      </c>
      <c r="B315" s="2">
        <v>1080</v>
      </c>
      <c r="D315" s="37" t="s">
        <v>1485</v>
      </c>
      <c r="E315" s="2" t="s">
        <v>0</v>
      </c>
      <c r="F315" s="2" t="s">
        <v>834</v>
      </c>
    </row>
    <row r="316" spans="1:6" s="2" customFormat="1" ht="14.1" customHeight="1" x14ac:dyDescent="0.2">
      <c r="A316" s="2">
        <v>10801</v>
      </c>
      <c r="B316" s="2">
        <v>1080</v>
      </c>
      <c r="C316" s="2" t="s">
        <v>0</v>
      </c>
      <c r="D316" s="37" t="s">
        <v>1485</v>
      </c>
      <c r="E316" s="2" t="s">
        <v>10</v>
      </c>
      <c r="F316" s="2" t="s">
        <v>835</v>
      </c>
    </row>
    <row r="317" spans="1:6" s="2" customFormat="1" ht="14.1" customHeight="1" x14ac:dyDescent="0.2">
      <c r="A317" s="2">
        <v>10802</v>
      </c>
      <c r="B317" s="2">
        <v>1080</v>
      </c>
      <c r="C317" s="2" t="s">
        <v>10</v>
      </c>
      <c r="D317" s="37" t="s">
        <v>1485</v>
      </c>
      <c r="E317" s="2" t="s">
        <v>301</v>
      </c>
      <c r="F317" s="2" t="s">
        <v>836</v>
      </c>
    </row>
    <row r="318" spans="1:6" s="2" customFormat="1" ht="14.1" customHeight="1" x14ac:dyDescent="0.2">
      <c r="A318" s="2">
        <v>10803</v>
      </c>
      <c r="B318" s="2">
        <v>1080</v>
      </c>
      <c r="C318" s="2" t="s">
        <v>11</v>
      </c>
      <c r="D318" s="37" t="s">
        <v>1485</v>
      </c>
      <c r="E318" s="2" t="s">
        <v>830</v>
      </c>
      <c r="F318" s="2" t="s">
        <v>837</v>
      </c>
    </row>
    <row r="319" spans="1:6" s="2" customFormat="1" ht="14.1" customHeight="1" x14ac:dyDescent="0.2">
      <c r="A319" s="2" t="s">
        <v>1381</v>
      </c>
      <c r="B319" s="2" t="s">
        <v>1385</v>
      </c>
      <c r="D319" s="37" t="s">
        <v>1387</v>
      </c>
      <c r="E319" s="2" t="s">
        <v>0</v>
      </c>
      <c r="F319" s="2" t="s">
        <v>834</v>
      </c>
    </row>
    <row r="320" spans="1:6" s="2" customFormat="1" ht="14.1" customHeight="1" x14ac:dyDescent="0.2">
      <c r="A320" s="2" t="s">
        <v>1382</v>
      </c>
      <c r="B320" s="2" t="s">
        <v>1385</v>
      </c>
      <c r="C320" s="2" t="s">
        <v>0</v>
      </c>
      <c r="D320" s="37" t="s">
        <v>1386</v>
      </c>
      <c r="E320" s="2" t="s">
        <v>10</v>
      </c>
      <c r="F320" s="2" t="s">
        <v>835</v>
      </c>
    </row>
    <row r="321" spans="1:6" s="2" customFormat="1" ht="14.1" customHeight="1" x14ac:dyDescent="0.2">
      <c r="A321" s="2" t="s">
        <v>1383</v>
      </c>
      <c r="B321" s="2" t="s">
        <v>1385</v>
      </c>
      <c r="C321" s="2" t="s">
        <v>10</v>
      </c>
      <c r="D321" s="37" t="s">
        <v>1386</v>
      </c>
      <c r="E321" s="2" t="s">
        <v>301</v>
      </c>
      <c r="F321" s="2" t="s">
        <v>836</v>
      </c>
    </row>
    <row r="322" spans="1:6" s="2" customFormat="1" ht="14.1" customHeight="1" x14ac:dyDescent="0.2">
      <c r="A322" s="2" t="s">
        <v>1384</v>
      </c>
      <c r="B322" s="2" t="s">
        <v>1385</v>
      </c>
      <c r="C322" s="2" t="s">
        <v>11</v>
      </c>
      <c r="D322" s="37" t="s">
        <v>1415</v>
      </c>
      <c r="E322" s="2" t="s">
        <v>830</v>
      </c>
      <c r="F322" s="2" t="s">
        <v>837</v>
      </c>
    </row>
    <row r="323" spans="1:6" s="2" customFormat="1" ht="14.1" customHeight="1" x14ac:dyDescent="0.2">
      <c r="A323" s="2">
        <v>10820</v>
      </c>
      <c r="B323" s="2">
        <v>1082</v>
      </c>
      <c r="D323" s="36" t="s">
        <v>1403</v>
      </c>
      <c r="E323" s="2" t="s">
        <v>0</v>
      </c>
      <c r="F323" s="2" t="s">
        <v>834</v>
      </c>
    </row>
    <row r="324" spans="1:6" s="2" customFormat="1" ht="14.1" customHeight="1" x14ac:dyDescent="0.2">
      <c r="A324" s="2">
        <v>10821</v>
      </c>
      <c r="B324" s="2">
        <v>1082</v>
      </c>
      <c r="C324" s="2" t="s">
        <v>0</v>
      </c>
      <c r="D324" s="36" t="s">
        <v>1403</v>
      </c>
      <c r="E324" s="2" t="s">
        <v>10</v>
      </c>
      <c r="F324" s="2" t="s">
        <v>835</v>
      </c>
    </row>
    <row r="325" spans="1:6" s="2" customFormat="1" ht="14.1" customHeight="1" x14ac:dyDescent="0.2">
      <c r="A325" s="2">
        <v>10822</v>
      </c>
      <c r="B325" s="2">
        <v>1082</v>
      </c>
      <c r="C325" s="2" t="s">
        <v>10</v>
      </c>
      <c r="D325" s="36" t="s">
        <v>1403</v>
      </c>
      <c r="E325" s="2" t="s">
        <v>301</v>
      </c>
      <c r="F325" s="2" t="s">
        <v>836</v>
      </c>
    </row>
    <row r="326" spans="1:6" s="2" customFormat="1" ht="14.1" customHeight="1" x14ac:dyDescent="0.2">
      <c r="A326" s="2">
        <v>10823</v>
      </c>
      <c r="B326" s="2">
        <v>1082</v>
      </c>
      <c r="C326" s="2" t="s">
        <v>11</v>
      </c>
      <c r="D326" s="36" t="s">
        <v>1403</v>
      </c>
      <c r="E326" s="2" t="s">
        <v>830</v>
      </c>
      <c r="F326" s="2" t="s">
        <v>837</v>
      </c>
    </row>
    <row r="327" spans="1:6" s="2" customFormat="1" ht="14.1" customHeight="1" x14ac:dyDescent="0.2">
      <c r="A327" s="2" t="s">
        <v>1411</v>
      </c>
      <c r="B327" s="2" t="s">
        <v>1410</v>
      </c>
      <c r="D327" s="37" t="s">
        <v>1416</v>
      </c>
      <c r="E327" s="2" t="s">
        <v>0</v>
      </c>
      <c r="F327" s="2" t="s">
        <v>834</v>
      </c>
    </row>
    <row r="328" spans="1:6" s="2" customFormat="1" ht="14.1" customHeight="1" x14ac:dyDescent="0.2">
      <c r="A328" s="2" t="s">
        <v>1412</v>
      </c>
      <c r="B328" s="2" t="s">
        <v>1410</v>
      </c>
      <c r="C328" s="2" t="s">
        <v>0</v>
      </c>
      <c r="D328" s="37" t="s">
        <v>1416</v>
      </c>
      <c r="E328" s="2" t="s">
        <v>10</v>
      </c>
      <c r="F328" s="2" t="s">
        <v>835</v>
      </c>
    </row>
    <row r="329" spans="1:6" s="2" customFormat="1" ht="14.1" customHeight="1" x14ac:dyDescent="0.2">
      <c r="A329" s="2" t="s">
        <v>1413</v>
      </c>
      <c r="B329" s="2" t="s">
        <v>1410</v>
      </c>
      <c r="C329" s="2" t="s">
        <v>10</v>
      </c>
      <c r="D329" s="37" t="s">
        <v>1416</v>
      </c>
      <c r="E329" s="2" t="s">
        <v>301</v>
      </c>
      <c r="F329" s="2" t="s">
        <v>836</v>
      </c>
    </row>
    <row r="330" spans="1:6" s="2" customFormat="1" ht="14.1" customHeight="1" x14ac:dyDescent="0.2">
      <c r="A330" s="2" t="s">
        <v>1414</v>
      </c>
      <c r="B330" s="2" t="s">
        <v>1410</v>
      </c>
      <c r="C330" s="2" t="s">
        <v>11</v>
      </c>
      <c r="D330" s="37" t="s">
        <v>1416</v>
      </c>
      <c r="E330" s="2" t="s">
        <v>830</v>
      </c>
      <c r="F330" s="2" t="s">
        <v>837</v>
      </c>
    </row>
    <row r="331" spans="1:6" s="2" customFormat="1" ht="14.1" customHeight="1" x14ac:dyDescent="0.2">
      <c r="A331" s="2">
        <v>10840</v>
      </c>
      <c r="B331" s="2">
        <v>1084</v>
      </c>
      <c r="D331" s="37" t="s">
        <v>1344</v>
      </c>
      <c r="E331" s="2" t="s">
        <v>0</v>
      </c>
      <c r="F331" s="2" t="s">
        <v>834</v>
      </c>
    </row>
    <row r="332" spans="1:6" s="2" customFormat="1" ht="14.1" customHeight="1" x14ac:dyDescent="0.2">
      <c r="A332" s="2">
        <v>10841</v>
      </c>
      <c r="B332" s="2">
        <v>1084</v>
      </c>
      <c r="C332" s="2" t="s">
        <v>0</v>
      </c>
      <c r="D332" s="37" t="s">
        <v>1344</v>
      </c>
      <c r="E332" s="2" t="s">
        <v>10</v>
      </c>
      <c r="F332" s="2" t="s">
        <v>835</v>
      </c>
    </row>
    <row r="333" spans="1:6" s="2" customFormat="1" ht="14.1" customHeight="1" x14ac:dyDescent="0.2">
      <c r="A333" s="2">
        <v>10842</v>
      </c>
      <c r="B333" s="2">
        <v>1084</v>
      </c>
      <c r="C333" s="2" t="s">
        <v>10</v>
      </c>
      <c r="D333" s="37" t="s">
        <v>1344</v>
      </c>
      <c r="E333" s="2" t="s">
        <v>301</v>
      </c>
      <c r="F333" s="2" t="s">
        <v>836</v>
      </c>
    </row>
    <row r="334" spans="1:6" s="2" customFormat="1" ht="14.1" customHeight="1" x14ac:dyDescent="0.2">
      <c r="A334" s="2">
        <v>10843</v>
      </c>
      <c r="B334" s="2">
        <v>1084</v>
      </c>
      <c r="C334" s="2" t="s">
        <v>11</v>
      </c>
      <c r="D334" s="37" t="s">
        <v>1344</v>
      </c>
      <c r="E334" s="2" t="s">
        <v>830</v>
      </c>
      <c r="F334" s="2" t="s">
        <v>837</v>
      </c>
    </row>
    <row r="335" spans="1:6" s="2" customFormat="1" ht="14.1" customHeight="1" x14ac:dyDescent="0.2">
      <c r="A335" s="2">
        <v>10850</v>
      </c>
      <c r="B335" s="2">
        <v>1085</v>
      </c>
      <c r="D335" s="37" t="s">
        <v>1345</v>
      </c>
      <c r="E335" s="2" t="s">
        <v>0</v>
      </c>
      <c r="F335" s="2" t="s">
        <v>834</v>
      </c>
    </row>
    <row r="336" spans="1:6" s="2" customFormat="1" ht="14.1" customHeight="1" x14ac:dyDescent="0.2">
      <c r="A336" s="2">
        <v>10851</v>
      </c>
      <c r="B336" s="2">
        <v>1085</v>
      </c>
      <c r="C336" s="2" t="s">
        <v>0</v>
      </c>
      <c r="D336" s="37" t="s">
        <v>1345</v>
      </c>
      <c r="E336" s="2" t="s">
        <v>10</v>
      </c>
      <c r="F336" s="2" t="s">
        <v>835</v>
      </c>
    </row>
    <row r="337" spans="1:6" s="2" customFormat="1" ht="14.1" customHeight="1" x14ac:dyDescent="0.2">
      <c r="A337" s="2">
        <v>10852</v>
      </c>
      <c r="B337" s="2">
        <v>1085</v>
      </c>
      <c r="C337" s="2" t="s">
        <v>10</v>
      </c>
      <c r="D337" s="37" t="s">
        <v>1345</v>
      </c>
      <c r="E337" s="2" t="s">
        <v>301</v>
      </c>
      <c r="F337" s="2" t="s">
        <v>836</v>
      </c>
    </row>
    <row r="338" spans="1:6" s="2" customFormat="1" ht="14.1" customHeight="1" x14ac:dyDescent="0.2">
      <c r="A338" s="2">
        <v>10853</v>
      </c>
      <c r="B338" s="2">
        <v>1085</v>
      </c>
      <c r="C338" s="2" t="s">
        <v>11</v>
      </c>
      <c r="D338" s="37" t="s">
        <v>1345</v>
      </c>
      <c r="E338" s="2" t="s">
        <v>830</v>
      </c>
      <c r="F338" s="2" t="s">
        <v>837</v>
      </c>
    </row>
    <row r="339" spans="1:6" s="2" customFormat="1" ht="14.1" customHeight="1" x14ac:dyDescent="0.2">
      <c r="A339" s="2">
        <v>10860</v>
      </c>
      <c r="B339" s="2">
        <v>1086</v>
      </c>
      <c r="D339" s="36" t="s">
        <v>1425</v>
      </c>
      <c r="E339" s="2" t="s">
        <v>0</v>
      </c>
      <c r="F339" s="2" t="s">
        <v>834</v>
      </c>
    </row>
    <row r="340" spans="1:6" s="2" customFormat="1" ht="14.1" customHeight="1" x14ac:dyDescent="0.2">
      <c r="A340" s="2">
        <v>10861</v>
      </c>
      <c r="B340" s="2">
        <v>1086</v>
      </c>
      <c r="C340" s="2" t="s">
        <v>0</v>
      </c>
      <c r="D340" s="36" t="s">
        <v>1425</v>
      </c>
      <c r="E340" s="2" t="s">
        <v>10</v>
      </c>
      <c r="F340" s="2" t="s">
        <v>835</v>
      </c>
    </row>
    <row r="341" spans="1:6" s="2" customFormat="1" ht="14.1" customHeight="1" x14ac:dyDescent="0.2">
      <c r="A341" s="2">
        <v>10862</v>
      </c>
      <c r="B341" s="2">
        <v>1086</v>
      </c>
      <c r="C341" s="2" t="s">
        <v>10</v>
      </c>
      <c r="D341" s="36" t="s">
        <v>1425</v>
      </c>
      <c r="E341" s="2" t="s">
        <v>301</v>
      </c>
      <c r="F341" s="2" t="s">
        <v>836</v>
      </c>
    </row>
    <row r="342" spans="1:6" s="2" customFormat="1" ht="14.1" customHeight="1" x14ac:dyDescent="0.2">
      <c r="A342" s="2">
        <v>10863</v>
      </c>
      <c r="B342" s="2">
        <v>1086</v>
      </c>
      <c r="C342" s="2" t="s">
        <v>11</v>
      </c>
      <c r="D342" s="36" t="s">
        <v>1425</v>
      </c>
      <c r="E342" s="2" t="s">
        <v>830</v>
      </c>
      <c r="F342" s="2" t="s">
        <v>837</v>
      </c>
    </row>
    <row r="343" spans="1:6" ht="14.1" customHeight="1" x14ac:dyDescent="0.2">
      <c r="A343" s="2">
        <v>10870</v>
      </c>
      <c r="B343" s="2">
        <v>1087</v>
      </c>
      <c r="D343" s="36" t="s">
        <v>372</v>
      </c>
      <c r="E343" s="2" t="s">
        <v>0</v>
      </c>
      <c r="F343" s="2" t="s">
        <v>834</v>
      </c>
    </row>
    <row r="344" spans="1:6" ht="14.1" customHeight="1" x14ac:dyDescent="0.2">
      <c r="A344" s="2">
        <v>10871</v>
      </c>
      <c r="B344" s="2">
        <v>1087</v>
      </c>
      <c r="C344" s="2" t="s">
        <v>0</v>
      </c>
      <c r="D344" s="36" t="s">
        <v>372</v>
      </c>
      <c r="E344" s="2" t="s">
        <v>10</v>
      </c>
      <c r="F344" s="2" t="s">
        <v>835</v>
      </c>
    </row>
    <row r="345" spans="1:6" ht="14.1" customHeight="1" x14ac:dyDescent="0.2">
      <c r="A345" s="2">
        <v>10872</v>
      </c>
      <c r="B345" s="2">
        <v>1087</v>
      </c>
      <c r="C345" s="2" t="s">
        <v>10</v>
      </c>
      <c r="D345" s="36" t="s">
        <v>372</v>
      </c>
      <c r="E345" s="2" t="s">
        <v>301</v>
      </c>
      <c r="F345" s="2" t="s">
        <v>836</v>
      </c>
    </row>
    <row r="346" spans="1:6" ht="14.1" customHeight="1" x14ac:dyDescent="0.2">
      <c r="A346" s="2">
        <v>10873</v>
      </c>
      <c r="B346" s="2">
        <v>1087</v>
      </c>
      <c r="C346" s="2" t="s">
        <v>11</v>
      </c>
      <c r="D346" s="36" t="s">
        <v>372</v>
      </c>
      <c r="E346" s="2" t="s">
        <v>830</v>
      </c>
      <c r="F346" s="2" t="s">
        <v>837</v>
      </c>
    </row>
    <row r="347" spans="1:6" s="2" customFormat="1" ht="14.1" customHeight="1" x14ac:dyDescent="0.2">
      <c r="A347" s="2" t="s">
        <v>1450</v>
      </c>
      <c r="B347" s="2" t="s">
        <v>1458</v>
      </c>
      <c r="D347" s="36" t="s">
        <v>1461</v>
      </c>
      <c r="E347" s="2" t="s">
        <v>0</v>
      </c>
      <c r="F347" s="2" t="s">
        <v>834</v>
      </c>
    </row>
    <row r="348" spans="1:6" s="2" customFormat="1" ht="14.1" customHeight="1" x14ac:dyDescent="0.2">
      <c r="A348" s="2" t="s">
        <v>1451</v>
      </c>
      <c r="B348" s="2" t="s">
        <v>1458</v>
      </c>
      <c r="C348" s="2" t="s">
        <v>0</v>
      </c>
      <c r="D348" s="36" t="s">
        <v>1461</v>
      </c>
      <c r="E348" s="2" t="s">
        <v>10</v>
      </c>
      <c r="F348" s="2" t="s">
        <v>835</v>
      </c>
    </row>
    <row r="349" spans="1:6" s="2" customFormat="1" ht="14.1" customHeight="1" x14ac:dyDescent="0.2">
      <c r="A349" s="2" t="s">
        <v>1452</v>
      </c>
      <c r="B349" s="2" t="s">
        <v>1458</v>
      </c>
      <c r="C349" s="2" t="s">
        <v>10</v>
      </c>
      <c r="D349" s="36" t="s">
        <v>1461</v>
      </c>
      <c r="E349" s="2" t="s">
        <v>301</v>
      </c>
      <c r="F349" s="2" t="s">
        <v>836</v>
      </c>
    </row>
    <row r="350" spans="1:6" s="2" customFormat="1" ht="14.1" customHeight="1" x14ac:dyDescent="0.2">
      <c r="A350" s="2" t="s">
        <v>1453</v>
      </c>
      <c r="B350" s="2" t="s">
        <v>1458</v>
      </c>
      <c r="C350" s="2" t="s">
        <v>11</v>
      </c>
      <c r="D350" s="36" t="s">
        <v>1461</v>
      </c>
      <c r="E350" s="2" t="s">
        <v>830</v>
      </c>
      <c r="F350" s="2" t="s">
        <v>837</v>
      </c>
    </row>
    <row r="351" spans="1:6" s="2" customFormat="1" ht="14.1" customHeight="1" x14ac:dyDescent="0.2">
      <c r="A351" s="2" t="s">
        <v>1454</v>
      </c>
      <c r="B351" s="2" t="s">
        <v>1459</v>
      </c>
      <c r="D351" s="36" t="s">
        <v>1460</v>
      </c>
      <c r="E351" s="2" t="s">
        <v>0</v>
      </c>
      <c r="F351" s="2" t="s">
        <v>834</v>
      </c>
    </row>
    <row r="352" spans="1:6" s="2" customFormat="1" ht="14.1" customHeight="1" x14ac:dyDescent="0.2">
      <c r="A352" s="2" t="s">
        <v>1455</v>
      </c>
      <c r="B352" s="2" t="s">
        <v>1459</v>
      </c>
      <c r="C352" s="2" t="s">
        <v>0</v>
      </c>
      <c r="D352" s="36" t="s">
        <v>1460</v>
      </c>
      <c r="E352" s="2" t="s">
        <v>10</v>
      </c>
      <c r="F352" s="2" t="s">
        <v>835</v>
      </c>
    </row>
    <row r="353" spans="1:6" s="2" customFormat="1" ht="14.1" customHeight="1" x14ac:dyDescent="0.2">
      <c r="A353" s="2" t="s">
        <v>1456</v>
      </c>
      <c r="B353" s="2" t="s">
        <v>1459</v>
      </c>
      <c r="C353" s="2" t="s">
        <v>10</v>
      </c>
      <c r="D353" s="36" t="s">
        <v>1460</v>
      </c>
      <c r="E353" s="2" t="s">
        <v>301</v>
      </c>
      <c r="F353" s="2" t="s">
        <v>836</v>
      </c>
    </row>
    <row r="354" spans="1:6" s="2" customFormat="1" ht="14.1" customHeight="1" x14ac:dyDescent="0.2">
      <c r="A354" s="2" t="s">
        <v>1457</v>
      </c>
      <c r="B354" s="2" t="s">
        <v>1459</v>
      </c>
      <c r="C354" s="2" t="s">
        <v>11</v>
      </c>
      <c r="D354" s="36" t="s">
        <v>1460</v>
      </c>
      <c r="E354" s="2" t="s">
        <v>830</v>
      </c>
      <c r="F354" s="2" t="s">
        <v>837</v>
      </c>
    </row>
    <row r="355" spans="1:6" ht="14.1" customHeight="1" x14ac:dyDescent="0.2">
      <c r="A355" s="2">
        <v>10900</v>
      </c>
      <c r="B355" s="2">
        <v>1090</v>
      </c>
      <c r="D355" s="37" t="s">
        <v>373</v>
      </c>
      <c r="E355" s="2" t="s">
        <v>0</v>
      </c>
      <c r="F355" s="2" t="s">
        <v>834</v>
      </c>
    </row>
    <row r="356" spans="1:6" ht="14.1" customHeight="1" x14ac:dyDescent="0.2">
      <c r="A356" s="2">
        <v>10901</v>
      </c>
      <c r="B356" s="2">
        <v>1090</v>
      </c>
      <c r="C356" s="2" t="s">
        <v>0</v>
      </c>
      <c r="D356" s="37" t="s">
        <v>373</v>
      </c>
      <c r="E356" s="2" t="s">
        <v>10</v>
      </c>
      <c r="F356" s="2" t="s">
        <v>835</v>
      </c>
    </row>
    <row r="357" spans="1:6" ht="14.1" customHeight="1" x14ac:dyDescent="0.2">
      <c r="A357" s="2">
        <v>10902</v>
      </c>
      <c r="B357" s="2">
        <v>1090</v>
      </c>
      <c r="C357" s="2" t="s">
        <v>10</v>
      </c>
      <c r="D357" s="37" t="s">
        <v>373</v>
      </c>
      <c r="E357" s="2" t="s">
        <v>301</v>
      </c>
      <c r="F357" s="2" t="s">
        <v>836</v>
      </c>
    </row>
    <row r="358" spans="1:6" ht="14.1" customHeight="1" x14ac:dyDescent="0.2">
      <c r="A358" s="2">
        <v>10903</v>
      </c>
      <c r="B358" s="2">
        <v>1090</v>
      </c>
      <c r="C358" s="2" t="s">
        <v>11</v>
      </c>
      <c r="D358" s="37" t="s">
        <v>373</v>
      </c>
      <c r="E358" s="2" t="s">
        <v>830</v>
      </c>
      <c r="F358" s="2" t="s">
        <v>837</v>
      </c>
    </row>
    <row r="359" spans="1:6" ht="14.1" customHeight="1" x14ac:dyDescent="0.2">
      <c r="A359" s="2">
        <v>10910</v>
      </c>
      <c r="B359" s="2">
        <v>1091</v>
      </c>
      <c r="D359" s="37" t="s">
        <v>374</v>
      </c>
      <c r="E359" s="2" t="s">
        <v>0</v>
      </c>
      <c r="F359" s="2" t="s">
        <v>834</v>
      </c>
    </row>
    <row r="360" spans="1:6" ht="14.1" customHeight="1" x14ac:dyDescent="0.2">
      <c r="A360" s="2">
        <v>10911</v>
      </c>
      <c r="B360" s="2">
        <v>1091</v>
      </c>
      <c r="C360" s="2" t="s">
        <v>0</v>
      </c>
      <c r="D360" s="37" t="s">
        <v>374</v>
      </c>
      <c r="E360" s="2" t="s">
        <v>10</v>
      </c>
      <c r="F360" s="2" t="s">
        <v>835</v>
      </c>
    </row>
    <row r="361" spans="1:6" ht="14.1" customHeight="1" x14ac:dyDescent="0.2">
      <c r="A361" s="2">
        <v>10912</v>
      </c>
      <c r="B361" s="2">
        <v>1091</v>
      </c>
      <c r="C361" s="2" t="s">
        <v>10</v>
      </c>
      <c r="D361" s="37" t="s">
        <v>374</v>
      </c>
      <c r="E361" s="2" t="s">
        <v>301</v>
      </c>
      <c r="F361" s="2" t="s">
        <v>836</v>
      </c>
    </row>
    <row r="362" spans="1:6" ht="14.1" customHeight="1" x14ac:dyDescent="0.2">
      <c r="A362" s="2">
        <v>10913</v>
      </c>
      <c r="B362" s="2">
        <v>1091</v>
      </c>
      <c r="C362" s="2" t="s">
        <v>11</v>
      </c>
      <c r="D362" s="37" t="s">
        <v>374</v>
      </c>
      <c r="E362" s="2" t="s">
        <v>830</v>
      </c>
      <c r="F362" s="2" t="s">
        <v>837</v>
      </c>
    </row>
    <row r="363" spans="1:6" ht="14.1" customHeight="1" x14ac:dyDescent="0.2">
      <c r="A363" s="2">
        <v>10920</v>
      </c>
      <c r="B363" s="2">
        <v>1092</v>
      </c>
      <c r="D363" s="37" t="s">
        <v>375</v>
      </c>
      <c r="E363" s="2" t="s">
        <v>0</v>
      </c>
      <c r="F363" s="2" t="s">
        <v>834</v>
      </c>
    </row>
    <row r="364" spans="1:6" ht="14.1" customHeight="1" x14ac:dyDescent="0.2">
      <c r="A364" s="2">
        <v>10921</v>
      </c>
      <c r="B364" s="2">
        <v>1092</v>
      </c>
      <c r="C364" s="2" t="s">
        <v>0</v>
      </c>
      <c r="D364" s="37" t="s">
        <v>375</v>
      </c>
      <c r="E364" s="2" t="s">
        <v>10</v>
      </c>
      <c r="F364" s="2" t="s">
        <v>835</v>
      </c>
    </row>
    <row r="365" spans="1:6" ht="14.1" customHeight="1" x14ac:dyDescent="0.2">
      <c r="A365" s="2">
        <v>10922</v>
      </c>
      <c r="B365" s="2">
        <v>1092</v>
      </c>
      <c r="C365" s="2" t="s">
        <v>10</v>
      </c>
      <c r="D365" s="37" t="s">
        <v>375</v>
      </c>
      <c r="E365" s="2" t="s">
        <v>301</v>
      </c>
      <c r="F365" s="2" t="s">
        <v>836</v>
      </c>
    </row>
    <row r="366" spans="1:6" ht="14.1" customHeight="1" x14ac:dyDescent="0.2">
      <c r="A366" s="2">
        <v>10923</v>
      </c>
      <c r="B366" s="2">
        <v>1092</v>
      </c>
      <c r="C366" s="2" t="s">
        <v>11</v>
      </c>
      <c r="D366" s="37" t="s">
        <v>375</v>
      </c>
      <c r="E366" s="2" t="s">
        <v>830</v>
      </c>
      <c r="F366" s="2" t="s">
        <v>837</v>
      </c>
    </row>
    <row r="367" spans="1:6" ht="14.1" customHeight="1" x14ac:dyDescent="0.2">
      <c r="A367" s="2">
        <v>10930</v>
      </c>
      <c r="B367" s="2">
        <v>1093</v>
      </c>
      <c r="D367" s="36" t="s">
        <v>376</v>
      </c>
      <c r="E367" s="2" t="s">
        <v>0</v>
      </c>
      <c r="F367" s="2" t="s">
        <v>834</v>
      </c>
    </row>
    <row r="368" spans="1:6" ht="14.1" customHeight="1" x14ac:dyDescent="0.2">
      <c r="A368" s="2">
        <v>10931</v>
      </c>
      <c r="B368" s="2">
        <v>1093</v>
      </c>
      <c r="C368" s="2" t="s">
        <v>0</v>
      </c>
      <c r="D368" s="36" t="s">
        <v>376</v>
      </c>
      <c r="E368" s="2" t="s">
        <v>10</v>
      </c>
      <c r="F368" s="2" t="s">
        <v>835</v>
      </c>
    </row>
    <row r="369" spans="1:6" ht="14.1" customHeight="1" x14ac:dyDescent="0.2">
      <c r="A369" s="2">
        <v>10932</v>
      </c>
      <c r="B369" s="2">
        <v>1093</v>
      </c>
      <c r="C369" s="2" t="s">
        <v>10</v>
      </c>
      <c r="D369" s="36" t="s">
        <v>376</v>
      </c>
      <c r="E369" s="2" t="s">
        <v>301</v>
      </c>
      <c r="F369" s="2" t="s">
        <v>836</v>
      </c>
    </row>
    <row r="370" spans="1:6" ht="14.1" customHeight="1" x14ac:dyDescent="0.2">
      <c r="A370" s="2">
        <v>10933</v>
      </c>
      <c r="B370" s="2">
        <v>1093</v>
      </c>
      <c r="C370" s="2" t="s">
        <v>11</v>
      </c>
      <c r="D370" s="36" t="s">
        <v>376</v>
      </c>
      <c r="E370" s="2" t="s">
        <v>830</v>
      </c>
      <c r="F370" s="2" t="s">
        <v>837</v>
      </c>
    </row>
    <row r="371" spans="1:6" ht="14.1" customHeight="1" x14ac:dyDescent="0.2">
      <c r="A371" s="2">
        <v>10940</v>
      </c>
      <c r="B371" s="2">
        <v>1094</v>
      </c>
      <c r="D371" s="38" t="s">
        <v>377</v>
      </c>
      <c r="E371" s="2" t="s">
        <v>0</v>
      </c>
      <c r="F371" s="2" t="s">
        <v>834</v>
      </c>
    </row>
    <row r="372" spans="1:6" ht="14.1" customHeight="1" x14ac:dyDescent="0.2">
      <c r="A372" s="2">
        <v>10941</v>
      </c>
      <c r="B372" s="2">
        <v>1094</v>
      </c>
      <c r="C372" s="2" t="s">
        <v>0</v>
      </c>
      <c r="D372" s="38" t="s">
        <v>377</v>
      </c>
      <c r="E372" s="2" t="s">
        <v>10</v>
      </c>
      <c r="F372" s="2" t="s">
        <v>835</v>
      </c>
    </row>
    <row r="373" spans="1:6" ht="14.1" customHeight="1" x14ac:dyDescent="0.2">
      <c r="A373" s="2">
        <v>10942</v>
      </c>
      <c r="B373" s="2">
        <v>1094</v>
      </c>
      <c r="C373" s="2" t="s">
        <v>10</v>
      </c>
      <c r="D373" s="38" t="s">
        <v>377</v>
      </c>
      <c r="E373" s="2" t="s">
        <v>301</v>
      </c>
      <c r="F373" s="2" t="s">
        <v>836</v>
      </c>
    </row>
    <row r="374" spans="1:6" ht="14.1" customHeight="1" x14ac:dyDescent="0.2">
      <c r="A374" s="2">
        <v>10943</v>
      </c>
      <c r="B374" s="2">
        <v>1094</v>
      </c>
      <c r="C374" s="2" t="s">
        <v>11</v>
      </c>
      <c r="D374" s="38" t="s">
        <v>377</v>
      </c>
      <c r="E374" s="2" t="s">
        <v>830</v>
      </c>
      <c r="F374" s="2" t="s">
        <v>837</v>
      </c>
    </row>
    <row r="375" spans="1:6" ht="14.1" customHeight="1" x14ac:dyDescent="0.2">
      <c r="A375" s="2">
        <v>10950</v>
      </c>
      <c r="B375" s="2">
        <v>1095</v>
      </c>
      <c r="D375" s="38" t="s">
        <v>378</v>
      </c>
      <c r="E375" s="2" t="s">
        <v>0</v>
      </c>
      <c r="F375" s="2" t="s">
        <v>834</v>
      </c>
    </row>
    <row r="376" spans="1:6" ht="14.1" customHeight="1" x14ac:dyDescent="0.2">
      <c r="A376" s="2">
        <v>10951</v>
      </c>
      <c r="B376" s="2">
        <v>1095</v>
      </c>
      <c r="C376" s="2" t="s">
        <v>0</v>
      </c>
      <c r="D376" s="38" t="s">
        <v>378</v>
      </c>
      <c r="E376" s="2" t="s">
        <v>10</v>
      </c>
      <c r="F376" s="2" t="s">
        <v>835</v>
      </c>
    </row>
    <row r="377" spans="1:6" ht="14.1" customHeight="1" x14ac:dyDescent="0.2">
      <c r="A377" s="2">
        <v>10952</v>
      </c>
      <c r="B377" s="2">
        <v>1095</v>
      </c>
      <c r="C377" s="2" t="s">
        <v>10</v>
      </c>
      <c r="D377" s="38" t="s">
        <v>378</v>
      </c>
      <c r="E377" s="2" t="s">
        <v>301</v>
      </c>
      <c r="F377" s="2" t="s">
        <v>836</v>
      </c>
    </row>
    <row r="378" spans="1:6" ht="14.1" customHeight="1" x14ac:dyDescent="0.2">
      <c r="A378" s="2">
        <v>10953</v>
      </c>
      <c r="B378" s="2">
        <v>1095</v>
      </c>
      <c r="C378" s="2" t="s">
        <v>11</v>
      </c>
      <c r="D378" s="38" t="s">
        <v>378</v>
      </c>
      <c r="E378" s="2" t="s">
        <v>830</v>
      </c>
      <c r="F378" s="2" t="s">
        <v>837</v>
      </c>
    </row>
    <row r="379" spans="1:6" ht="14.1" customHeight="1" x14ac:dyDescent="0.2">
      <c r="A379" s="2">
        <v>10960</v>
      </c>
      <c r="B379" s="2">
        <v>1096</v>
      </c>
      <c r="D379" s="38" t="s">
        <v>379</v>
      </c>
      <c r="E379" s="2" t="s">
        <v>0</v>
      </c>
      <c r="F379" s="2" t="s">
        <v>834</v>
      </c>
    </row>
    <row r="380" spans="1:6" ht="14.1" customHeight="1" x14ac:dyDescent="0.2">
      <c r="A380" s="2">
        <v>10961</v>
      </c>
      <c r="B380" s="2">
        <v>1096</v>
      </c>
      <c r="C380" s="2" t="s">
        <v>0</v>
      </c>
      <c r="D380" s="38" t="s">
        <v>379</v>
      </c>
      <c r="E380" s="2" t="s">
        <v>10</v>
      </c>
      <c r="F380" s="2" t="s">
        <v>835</v>
      </c>
    </row>
    <row r="381" spans="1:6" ht="14.1" customHeight="1" x14ac:dyDescent="0.2">
      <c r="A381" s="2">
        <v>10962</v>
      </c>
      <c r="B381" s="2">
        <v>1096</v>
      </c>
      <c r="C381" s="2" t="s">
        <v>10</v>
      </c>
      <c r="D381" s="38" t="s">
        <v>379</v>
      </c>
      <c r="E381" s="2" t="s">
        <v>301</v>
      </c>
      <c r="F381" s="2" t="s">
        <v>836</v>
      </c>
    </row>
    <row r="382" spans="1:6" ht="14.1" customHeight="1" x14ac:dyDescent="0.2">
      <c r="A382" s="2">
        <v>10963</v>
      </c>
      <c r="B382" s="2">
        <v>1096</v>
      </c>
      <c r="C382" s="2" t="s">
        <v>11</v>
      </c>
      <c r="D382" s="38" t="s">
        <v>379</v>
      </c>
      <c r="E382" s="2" t="s">
        <v>830</v>
      </c>
      <c r="F382" s="2" t="s">
        <v>837</v>
      </c>
    </row>
    <row r="383" spans="1:6" ht="14.1" customHeight="1" x14ac:dyDescent="0.2">
      <c r="A383" s="2">
        <v>10970</v>
      </c>
      <c r="B383" s="2">
        <v>1097</v>
      </c>
      <c r="D383" s="38" t="s">
        <v>380</v>
      </c>
      <c r="E383" s="2" t="s">
        <v>0</v>
      </c>
      <c r="F383" s="2" t="s">
        <v>834</v>
      </c>
    </row>
    <row r="384" spans="1:6" ht="14.1" customHeight="1" x14ac:dyDescent="0.2">
      <c r="A384" s="2">
        <v>10971</v>
      </c>
      <c r="B384" s="2">
        <v>1097</v>
      </c>
      <c r="C384" s="2" t="s">
        <v>0</v>
      </c>
      <c r="D384" s="38" t="s">
        <v>380</v>
      </c>
      <c r="E384" s="2" t="s">
        <v>10</v>
      </c>
      <c r="F384" s="2" t="s">
        <v>835</v>
      </c>
    </row>
    <row r="385" spans="1:6" ht="14.1" customHeight="1" x14ac:dyDescent="0.2">
      <c r="A385" s="2">
        <v>10972</v>
      </c>
      <c r="B385" s="2">
        <v>1097</v>
      </c>
      <c r="C385" s="2" t="s">
        <v>10</v>
      </c>
      <c r="D385" s="38" t="s">
        <v>380</v>
      </c>
      <c r="E385" s="2" t="s">
        <v>301</v>
      </c>
      <c r="F385" s="2" t="s">
        <v>836</v>
      </c>
    </row>
    <row r="386" spans="1:6" ht="14.1" customHeight="1" x14ac:dyDescent="0.2">
      <c r="A386" s="2">
        <v>10973</v>
      </c>
      <c r="B386" s="2">
        <v>1097</v>
      </c>
      <c r="C386" s="2" t="s">
        <v>11</v>
      </c>
      <c r="D386" s="38" t="s">
        <v>380</v>
      </c>
      <c r="E386" s="2" t="s">
        <v>830</v>
      </c>
      <c r="F386" s="2" t="s">
        <v>837</v>
      </c>
    </row>
    <row r="387" spans="1:6" ht="14.1" customHeight="1" x14ac:dyDescent="0.2">
      <c r="A387" s="2">
        <v>10980</v>
      </c>
      <c r="B387" s="2">
        <v>1098</v>
      </c>
      <c r="D387" s="38" t="s">
        <v>381</v>
      </c>
      <c r="E387" s="2" t="s">
        <v>0</v>
      </c>
      <c r="F387" s="2" t="s">
        <v>834</v>
      </c>
    </row>
    <row r="388" spans="1:6" ht="14.1" customHeight="1" x14ac:dyDescent="0.2">
      <c r="A388" s="2">
        <v>10981</v>
      </c>
      <c r="B388" s="2">
        <v>1098</v>
      </c>
      <c r="C388" s="2" t="s">
        <v>0</v>
      </c>
      <c r="D388" s="38" t="s">
        <v>381</v>
      </c>
      <c r="E388" s="2" t="s">
        <v>10</v>
      </c>
      <c r="F388" s="2" t="s">
        <v>835</v>
      </c>
    </row>
    <row r="389" spans="1:6" ht="14.1" customHeight="1" x14ac:dyDescent="0.2">
      <c r="A389" s="2">
        <v>10982</v>
      </c>
      <c r="B389" s="2">
        <v>1098</v>
      </c>
      <c r="C389" s="2" t="s">
        <v>10</v>
      </c>
      <c r="D389" s="38" t="s">
        <v>381</v>
      </c>
      <c r="E389" s="2" t="s">
        <v>301</v>
      </c>
      <c r="F389" s="2" t="s">
        <v>836</v>
      </c>
    </row>
    <row r="390" spans="1:6" ht="14.1" customHeight="1" x14ac:dyDescent="0.2">
      <c r="A390" s="2">
        <v>10983</v>
      </c>
      <c r="B390" s="2">
        <v>1098</v>
      </c>
      <c r="C390" s="2" t="s">
        <v>11</v>
      </c>
      <c r="D390" s="38" t="s">
        <v>381</v>
      </c>
      <c r="E390" s="2" t="s">
        <v>830</v>
      </c>
      <c r="F390" s="2" t="s">
        <v>837</v>
      </c>
    </row>
    <row r="391" spans="1:6" s="2" customFormat="1" ht="14.1" customHeight="1" x14ac:dyDescent="0.2">
      <c r="A391" s="2" t="s">
        <v>1388</v>
      </c>
      <c r="B391" s="2" t="s">
        <v>1392</v>
      </c>
      <c r="D391" s="38" t="s">
        <v>1393</v>
      </c>
      <c r="E391" s="2" t="s">
        <v>0</v>
      </c>
      <c r="F391" s="2" t="s">
        <v>834</v>
      </c>
    </row>
    <row r="392" spans="1:6" s="2" customFormat="1" ht="14.1" customHeight="1" x14ac:dyDescent="0.2">
      <c r="A392" s="2" t="s">
        <v>1389</v>
      </c>
      <c r="B392" s="2" t="s">
        <v>1392</v>
      </c>
      <c r="C392" s="2" t="s">
        <v>0</v>
      </c>
      <c r="D392" s="38" t="s">
        <v>1393</v>
      </c>
      <c r="E392" s="2" t="s">
        <v>10</v>
      </c>
      <c r="F392" s="2" t="s">
        <v>835</v>
      </c>
    </row>
    <row r="393" spans="1:6" s="2" customFormat="1" ht="14.1" customHeight="1" x14ac:dyDescent="0.2">
      <c r="A393" s="2" t="s">
        <v>1390</v>
      </c>
      <c r="B393" s="2" t="s">
        <v>1392</v>
      </c>
      <c r="C393" s="2" t="s">
        <v>10</v>
      </c>
      <c r="D393" s="38" t="s">
        <v>1393</v>
      </c>
      <c r="E393" s="2" t="s">
        <v>301</v>
      </c>
      <c r="F393" s="2" t="s">
        <v>836</v>
      </c>
    </row>
    <row r="394" spans="1:6" s="2" customFormat="1" ht="14.1" customHeight="1" x14ac:dyDescent="0.2">
      <c r="A394" s="2" t="s">
        <v>1391</v>
      </c>
      <c r="B394" s="2" t="s">
        <v>1392</v>
      </c>
      <c r="C394" s="2" t="s">
        <v>11</v>
      </c>
      <c r="D394" s="38" t="s">
        <v>1393</v>
      </c>
      <c r="E394" s="2" t="s">
        <v>830</v>
      </c>
      <c r="F394" s="2" t="s">
        <v>837</v>
      </c>
    </row>
    <row r="395" spans="1:6" s="2" customFormat="1" ht="14.1" customHeight="1" x14ac:dyDescent="0.2">
      <c r="A395" s="2">
        <v>11000</v>
      </c>
      <c r="B395" s="2" t="s">
        <v>1474</v>
      </c>
      <c r="D395" s="38" t="s">
        <v>1473</v>
      </c>
      <c r="E395" s="2" t="s">
        <v>0</v>
      </c>
      <c r="F395" s="2" t="s">
        <v>834</v>
      </c>
    </row>
    <row r="396" spans="1:6" s="2" customFormat="1" ht="14.1" customHeight="1" x14ac:dyDescent="0.2">
      <c r="A396" s="2">
        <v>11001</v>
      </c>
      <c r="B396" s="2" t="s">
        <v>1474</v>
      </c>
      <c r="C396" s="2" t="s">
        <v>0</v>
      </c>
      <c r="D396" s="38" t="s">
        <v>1473</v>
      </c>
      <c r="E396" s="2" t="s">
        <v>10</v>
      </c>
      <c r="F396" s="2" t="s">
        <v>835</v>
      </c>
    </row>
    <row r="397" spans="1:6" s="2" customFormat="1" ht="14.1" customHeight="1" x14ac:dyDescent="0.2">
      <c r="A397" s="2">
        <v>11002</v>
      </c>
      <c r="B397" s="2" t="s">
        <v>1474</v>
      </c>
      <c r="C397" s="2" t="s">
        <v>10</v>
      </c>
      <c r="D397" s="38" t="s">
        <v>1473</v>
      </c>
      <c r="E397" s="2" t="s">
        <v>301</v>
      </c>
      <c r="F397" s="2" t="s">
        <v>836</v>
      </c>
    </row>
    <row r="398" spans="1:6" s="2" customFormat="1" ht="14.1" customHeight="1" x14ac:dyDescent="0.2">
      <c r="A398" s="2">
        <v>11003</v>
      </c>
      <c r="B398" s="2" t="s">
        <v>1474</v>
      </c>
      <c r="C398" s="2" t="s">
        <v>11</v>
      </c>
      <c r="D398" s="38" t="s">
        <v>1473</v>
      </c>
      <c r="E398" s="2" t="s">
        <v>830</v>
      </c>
      <c r="F398" s="2" t="s">
        <v>837</v>
      </c>
    </row>
    <row r="399" spans="1:6" s="2" customFormat="1" ht="14.1" customHeight="1" x14ac:dyDescent="0.2">
      <c r="A399" s="2" t="s">
        <v>1488</v>
      </c>
      <c r="B399" s="2" t="s">
        <v>1492</v>
      </c>
      <c r="D399" s="38" t="s">
        <v>1493</v>
      </c>
      <c r="E399" s="2" t="s">
        <v>0</v>
      </c>
      <c r="F399" s="2" t="s">
        <v>834</v>
      </c>
    </row>
    <row r="400" spans="1:6" s="2" customFormat="1" ht="14.1" customHeight="1" x14ac:dyDescent="0.2">
      <c r="A400" s="2" t="s">
        <v>1489</v>
      </c>
      <c r="B400" s="2" t="s">
        <v>1492</v>
      </c>
      <c r="C400" s="2" t="s">
        <v>0</v>
      </c>
      <c r="D400" s="38" t="s">
        <v>1493</v>
      </c>
      <c r="E400" s="2" t="s">
        <v>10</v>
      </c>
      <c r="F400" s="2" t="s">
        <v>835</v>
      </c>
    </row>
    <row r="401" spans="1:6" s="2" customFormat="1" ht="14.1" customHeight="1" x14ac:dyDescent="0.2">
      <c r="A401" s="2" t="s">
        <v>1490</v>
      </c>
      <c r="B401" s="2" t="s">
        <v>1492</v>
      </c>
      <c r="C401" s="2" t="s">
        <v>10</v>
      </c>
      <c r="D401" s="38" t="s">
        <v>1493</v>
      </c>
      <c r="E401" s="2" t="s">
        <v>301</v>
      </c>
      <c r="F401" s="2" t="s">
        <v>836</v>
      </c>
    </row>
    <row r="402" spans="1:6" s="2" customFormat="1" ht="14.1" customHeight="1" x14ac:dyDescent="0.2">
      <c r="A402" s="2" t="s">
        <v>1491</v>
      </c>
      <c r="B402" s="2" t="s">
        <v>1492</v>
      </c>
      <c r="C402" s="2" t="s">
        <v>11</v>
      </c>
      <c r="D402" s="38" t="s">
        <v>1493</v>
      </c>
      <c r="E402" s="2" t="s">
        <v>830</v>
      </c>
      <c r="F402" s="2" t="s">
        <v>837</v>
      </c>
    </row>
    <row r="403" spans="1:6" s="2" customFormat="1" ht="14.1" customHeight="1" x14ac:dyDescent="0.2">
      <c r="A403" s="2">
        <v>11020</v>
      </c>
      <c r="B403" s="2">
        <v>1102</v>
      </c>
      <c r="D403" s="38" t="s">
        <v>1506</v>
      </c>
      <c r="E403" s="2" t="s">
        <v>0</v>
      </c>
      <c r="F403" s="2" t="s">
        <v>834</v>
      </c>
    </row>
    <row r="404" spans="1:6" s="2" customFormat="1" ht="14.1" customHeight="1" x14ac:dyDescent="0.2">
      <c r="A404" s="2">
        <v>11021</v>
      </c>
      <c r="B404" s="2">
        <v>1102</v>
      </c>
      <c r="C404" s="2" t="s">
        <v>0</v>
      </c>
      <c r="D404" s="38" t="s">
        <v>1506</v>
      </c>
      <c r="E404" s="2" t="s">
        <v>10</v>
      </c>
      <c r="F404" s="2" t="s">
        <v>835</v>
      </c>
    </row>
    <row r="405" spans="1:6" s="2" customFormat="1" ht="14.1" customHeight="1" x14ac:dyDescent="0.2">
      <c r="A405" s="2">
        <v>11022</v>
      </c>
      <c r="B405" s="2">
        <v>1102</v>
      </c>
      <c r="C405" s="2" t="s">
        <v>10</v>
      </c>
      <c r="D405" s="38" t="s">
        <v>1506</v>
      </c>
      <c r="E405" s="2" t="s">
        <v>301</v>
      </c>
      <c r="F405" s="2" t="s">
        <v>836</v>
      </c>
    </row>
    <row r="406" spans="1:6" s="2" customFormat="1" ht="14.1" customHeight="1" x14ac:dyDescent="0.2">
      <c r="A406" s="2">
        <v>11023</v>
      </c>
      <c r="B406" s="2">
        <v>1102</v>
      </c>
      <c r="C406" s="2" t="s">
        <v>11</v>
      </c>
      <c r="D406" s="38" t="s">
        <v>1506</v>
      </c>
      <c r="E406" s="2" t="s">
        <v>830</v>
      </c>
      <c r="F406" s="2" t="s">
        <v>837</v>
      </c>
    </row>
    <row r="407" spans="1:6" s="2" customFormat="1" ht="14.1" customHeight="1" x14ac:dyDescent="0.2">
      <c r="A407" s="2" t="s">
        <v>1512</v>
      </c>
      <c r="B407" s="2" t="s">
        <v>1516</v>
      </c>
      <c r="D407" s="38" t="s">
        <v>1517</v>
      </c>
      <c r="E407" s="2" t="s">
        <v>0</v>
      </c>
      <c r="F407" s="2" t="s">
        <v>834</v>
      </c>
    </row>
    <row r="408" spans="1:6" s="2" customFormat="1" ht="14.1" customHeight="1" x14ac:dyDescent="0.2">
      <c r="A408" s="2" t="s">
        <v>1513</v>
      </c>
      <c r="B408" s="2" t="s">
        <v>1516</v>
      </c>
      <c r="C408" s="2" t="s">
        <v>0</v>
      </c>
      <c r="D408" s="38" t="s">
        <v>1517</v>
      </c>
      <c r="E408" s="2" t="s">
        <v>10</v>
      </c>
      <c r="F408" s="2" t="s">
        <v>835</v>
      </c>
    </row>
    <row r="409" spans="1:6" s="2" customFormat="1" ht="14.1" customHeight="1" x14ac:dyDescent="0.2">
      <c r="A409" s="2" t="s">
        <v>1514</v>
      </c>
      <c r="B409" s="2" t="s">
        <v>1516</v>
      </c>
      <c r="C409" s="2" t="s">
        <v>10</v>
      </c>
      <c r="D409" s="38" t="s">
        <v>1517</v>
      </c>
      <c r="E409" s="2" t="s">
        <v>301</v>
      </c>
      <c r="F409" s="2" t="s">
        <v>836</v>
      </c>
    </row>
    <row r="410" spans="1:6" s="2" customFormat="1" ht="14.1" customHeight="1" x14ac:dyDescent="0.2">
      <c r="A410" s="2" t="s">
        <v>1515</v>
      </c>
      <c r="B410" s="2" t="s">
        <v>1516</v>
      </c>
      <c r="C410" s="2" t="s">
        <v>11</v>
      </c>
      <c r="D410" s="38" t="s">
        <v>1517</v>
      </c>
      <c r="E410" s="2" t="s">
        <v>830</v>
      </c>
      <c r="F410" s="2" t="s">
        <v>837</v>
      </c>
    </row>
  </sheetData>
  <phoneticPr fontId="10" type="noConversion"/>
  <conditionalFormatting sqref="D327">
    <cfRule type="duplicateValues" dxfId="1460" priority="4"/>
  </conditionalFormatting>
  <conditionalFormatting sqref="D328">
    <cfRule type="duplicateValues" dxfId="1459" priority="3"/>
  </conditionalFormatting>
  <conditionalFormatting sqref="D329">
    <cfRule type="duplicateValues" dxfId="1458" priority="2"/>
  </conditionalFormatting>
  <conditionalFormatting sqref="D330">
    <cfRule type="duplicateValues" dxfId="1457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 tint="-0.249977111117893"/>
  </sheetPr>
  <dimension ref="A1:AC21"/>
  <sheetViews>
    <sheetView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E19" sqref="E19:F19"/>
    </sheetView>
  </sheetViews>
  <sheetFormatPr defaultColWidth="9" defaultRowHeight="14.1" customHeight="1" x14ac:dyDescent="0.2"/>
  <cols>
    <col min="1" max="1" width="10.125" style="2" customWidth="1"/>
    <col min="2" max="2" width="9.625" style="2" customWidth="1"/>
    <col min="3" max="3" width="8" style="2" customWidth="1"/>
    <col min="4" max="4" width="9.875" style="2" customWidth="1"/>
    <col min="5" max="6" width="9" style="2"/>
    <col min="7" max="7" width="9" style="2" customWidth="1"/>
    <col min="8" max="16384" width="9" style="2"/>
  </cols>
  <sheetData>
    <row r="1" spans="1:29" s="23" customFormat="1" ht="84.75" customHeight="1" x14ac:dyDescent="0.3">
      <c r="A1" s="21" t="s">
        <v>6</v>
      </c>
      <c r="B1" s="21" t="s">
        <v>99</v>
      </c>
    </row>
    <row r="2" spans="1:29" s="59" customFormat="1" ht="17.25" customHeight="1" x14ac:dyDescent="0.3">
      <c r="A2" s="56"/>
      <c r="B2" s="56"/>
      <c r="C2" s="57"/>
      <c r="D2" s="57"/>
      <c r="E2" s="57"/>
      <c r="F2" s="57"/>
      <c r="G2" s="57"/>
      <c r="H2" s="57"/>
      <c r="I2" s="57"/>
      <c r="J2" s="58"/>
      <c r="K2" s="58"/>
      <c r="L2" s="57"/>
      <c r="M2" s="57"/>
      <c r="N2" s="57"/>
      <c r="O2" s="57"/>
      <c r="P2" s="58"/>
      <c r="Q2" s="58"/>
      <c r="R2" s="57"/>
      <c r="S2" s="57"/>
      <c r="T2" s="57"/>
      <c r="U2" s="57"/>
      <c r="V2" s="58"/>
      <c r="W2" s="58"/>
      <c r="X2" s="57"/>
      <c r="Y2" s="57"/>
      <c r="Z2" s="57"/>
      <c r="AA2" s="57"/>
      <c r="AB2" s="58"/>
      <c r="AC2" s="58"/>
    </row>
    <row r="3" spans="1:29" ht="14.1" customHeight="1" x14ac:dyDescent="0.3">
      <c r="A3" s="22">
        <v>0</v>
      </c>
      <c r="B3" s="22">
        <v>0</v>
      </c>
      <c r="C3" s="22"/>
      <c r="D3" s="22"/>
      <c r="E3" s="22"/>
      <c r="F3" s="22"/>
      <c r="G3" s="22"/>
    </row>
    <row r="4" spans="1:29" ht="14.1" customHeight="1" x14ac:dyDescent="0.3">
      <c r="A4" s="22">
        <v>1</v>
      </c>
      <c r="B4" s="22">
        <v>1000</v>
      </c>
      <c r="C4" s="22"/>
      <c r="D4" s="22"/>
      <c r="E4" s="22"/>
      <c r="F4" s="22"/>
      <c r="G4" s="22"/>
    </row>
    <row r="5" spans="1:29" ht="14.1" customHeight="1" x14ac:dyDescent="0.3">
      <c r="A5" s="22">
        <v>2</v>
      </c>
      <c r="B5" s="22">
        <v>3000</v>
      </c>
      <c r="C5" s="22"/>
      <c r="D5" s="22"/>
      <c r="E5" s="22"/>
      <c r="F5" s="22"/>
      <c r="G5" s="22"/>
    </row>
    <row r="6" spans="1:29" ht="14.1" customHeight="1" x14ac:dyDescent="0.2">
      <c r="G6" s="6"/>
    </row>
    <row r="7" spans="1:29" ht="14.1" customHeight="1" x14ac:dyDescent="0.2">
      <c r="G7" s="6"/>
    </row>
    <row r="8" spans="1:29" ht="14.1" customHeight="1" x14ac:dyDescent="0.2">
      <c r="G8" s="6"/>
    </row>
    <row r="9" spans="1:29" ht="14.1" customHeight="1" x14ac:dyDescent="0.2">
      <c r="G9" s="6"/>
    </row>
    <row r="10" spans="1:29" ht="14.1" customHeight="1" x14ac:dyDescent="0.2">
      <c r="G10" s="6"/>
    </row>
    <row r="11" spans="1:29" ht="14.1" customHeight="1" x14ac:dyDescent="0.2">
      <c r="G11" s="6"/>
    </row>
    <row r="12" spans="1:29" ht="14.1" customHeight="1" x14ac:dyDescent="0.2">
      <c r="G12" s="6"/>
    </row>
    <row r="13" spans="1:29" ht="14.1" customHeight="1" x14ac:dyDescent="0.2">
      <c r="G13" s="6"/>
    </row>
    <row r="14" spans="1:29" ht="14.1" customHeight="1" x14ac:dyDescent="0.2">
      <c r="G14" s="6"/>
    </row>
    <row r="15" spans="1:29" ht="14.1" customHeight="1" x14ac:dyDescent="0.2">
      <c r="G15" s="6"/>
    </row>
    <row r="16" spans="1:29" ht="14.1" customHeight="1" x14ac:dyDescent="0.2">
      <c r="G16" s="6"/>
    </row>
    <row r="17" spans="1:12" ht="14.1" customHeight="1" x14ac:dyDescent="0.2">
      <c r="G17" s="6"/>
    </row>
    <row r="18" spans="1:12" ht="14.1" customHeight="1" x14ac:dyDescent="0.2">
      <c r="A18" s="7"/>
      <c r="B18" s="7"/>
      <c r="C18" s="7"/>
      <c r="D18" s="7"/>
      <c r="E18" s="7"/>
      <c r="F18" s="7"/>
      <c r="G18" s="8"/>
      <c r="H18" s="7"/>
      <c r="I18" s="7"/>
      <c r="J18" s="7"/>
      <c r="K18" s="7"/>
      <c r="L18" s="7"/>
    </row>
    <row r="19" spans="1:12" ht="14.1" customHeight="1" x14ac:dyDescent="0.2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</row>
    <row r="20" spans="1:12" ht="14.1" customHeight="1" x14ac:dyDescent="0.2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1:12" ht="14.1" customHeight="1" x14ac:dyDescent="0.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</row>
  </sheetData>
  <phoneticPr fontId="10" type="noConversion"/>
  <conditionalFormatting sqref="F2">
    <cfRule type="expression" dxfId="1456" priority="1">
      <formula>ISERROR(F2)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7" tint="-0.249977111117893"/>
  </sheetPr>
  <dimension ref="A1:AC21"/>
  <sheetViews>
    <sheetView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E36" sqref="E36"/>
    </sheetView>
  </sheetViews>
  <sheetFormatPr defaultColWidth="9" defaultRowHeight="14.1" customHeight="1" x14ac:dyDescent="0.2"/>
  <cols>
    <col min="1" max="1" width="10.25" style="2" customWidth="1"/>
    <col min="2" max="2" width="28.875" style="2" bestFit="1" customWidth="1"/>
    <col min="3" max="3" width="7.75" style="2" customWidth="1"/>
    <col min="4" max="4" width="19.875" style="2" bestFit="1" customWidth="1"/>
    <col min="5" max="5" width="32.5" style="2" customWidth="1"/>
    <col min="6" max="16384" width="9" style="2"/>
  </cols>
  <sheetData>
    <row r="1" spans="1:29" s="4" customFormat="1" ht="99.95" customHeight="1" x14ac:dyDescent="0.3">
      <c r="A1" s="5" t="s">
        <v>3</v>
      </c>
      <c r="B1" s="4" t="s">
        <v>1</v>
      </c>
      <c r="C1" s="4" t="s">
        <v>2</v>
      </c>
      <c r="D1" s="4" t="s">
        <v>446</v>
      </c>
      <c r="E1" s="23" t="s">
        <v>1340</v>
      </c>
    </row>
    <row r="2" spans="1:29" s="59" customFormat="1" ht="17.25" customHeight="1" x14ac:dyDescent="0.3">
      <c r="A2" s="56" t="s">
        <v>1314</v>
      </c>
      <c r="B2" s="57" t="s">
        <v>1315</v>
      </c>
      <c r="C2" s="56" t="s">
        <v>1314</v>
      </c>
      <c r="D2" s="56" t="s">
        <v>1314</v>
      </c>
      <c r="E2" s="57" t="s">
        <v>1341</v>
      </c>
      <c r="F2" s="57"/>
      <c r="G2" s="57"/>
      <c r="H2" s="57"/>
      <c r="I2" s="57"/>
      <c r="J2" s="58"/>
      <c r="K2" s="58"/>
      <c r="L2" s="57"/>
      <c r="M2" s="57"/>
      <c r="N2" s="57"/>
      <c r="O2" s="57"/>
      <c r="P2" s="58"/>
      <c r="Q2" s="58"/>
      <c r="R2" s="57"/>
      <c r="S2" s="57"/>
      <c r="T2" s="57"/>
      <c r="U2" s="57"/>
      <c r="V2" s="58"/>
      <c r="W2" s="58"/>
      <c r="X2" s="57"/>
      <c r="Y2" s="57"/>
      <c r="Z2" s="57"/>
      <c r="AA2" s="57"/>
      <c r="AB2" s="58"/>
      <c r="AC2" s="58"/>
    </row>
    <row r="3" spans="1:29" ht="14.1" customHeight="1" x14ac:dyDescent="0.2">
      <c r="A3" s="2" t="s">
        <v>0</v>
      </c>
      <c r="B3" s="2" t="s">
        <v>448</v>
      </c>
      <c r="C3" s="2" t="s">
        <v>842</v>
      </c>
      <c r="D3" s="2" t="s">
        <v>449</v>
      </c>
      <c r="E3" s="2" t="s">
        <v>1342</v>
      </c>
    </row>
    <row r="4" spans="1:29" ht="14.1" customHeight="1" x14ac:dyDescent="0.2">
      <c r="E4" s="6"/>
    </row>
    <row r="5" spans="1:29" ht="14.1" customHeight="1" x14ac:dyDescent="0.2">
      <c r="E5" s="6"/>
    </row>
    <row r="6" spans="1:29" ht="14.1" customHeight="1" x14ac:dyDescent="0.2">
      <c r="E6" s="6"/>
    </row>
    <row r="7" spans="1:29" ht="14.1" customHeight="1" x14ac:dyDescent="0.2">
      <c r="E7" s="6"/>
    </row>
    <row r="8" spans="1:29" ht="14.1" customHeight="1" x14ac:dyDescent="0.2">
      <c r="E8" s="6"/>
    </row>
    <row r="9" spans="1:29" ht="14.1" customHeight="1" x14ac:dyDescent="0.2">
      <c r="E9" s="6"/>
    </row>
    <row r="10" spans="1:29" ht="14.1" customHeight="1" x14ac:dyDescent="0.2">
      <c r="E10" s="6"/>
    </row>
    <row r="11" spans="1:29" ht="14.1" customHeight="1" x14ac:dyDescent="0.2">
      <c r="E11" s="6"/>
    </row>
    <row r="12" spans="1:29" ht="14.1" customHeight="1" x14ac:dyDescent="0.2">
      <c r="E12" s="6"/>
    </row>
    <row r="13" spans="1:29" ht="14.1" customHeight="1" x14ac:dyDescent="0.2">
      <c r="E13" s="6"/>
    </row>
    <row r="14" spans="1:29" ht="14.1" customHeight="1" x14ac:dyDescent="0.2">
      <c r="E14" s="6"/>
    </row>
    <row r="15" spans="1:29" ht="14.1" customHeight="1" x14ac:dyDescent="0.2">
      <c r="E15" s="6"/>
    </row>
    <row r="16" spans="1:29" ht="14.1" customHeight="1" x14ac:dyDescent="0.2">
      <c r="E16" s="6"/>
    </row>
    <row r="17" spans="1:10" ht="14.1" customHeight="1" x14ac:dyDescent="0.2">
      <c r="E17" s="6"/>
    </row>
    <row r="18" spans="1:10" ht="14.1" customHeight="1" x14ac:dyDescent="0.2">
      <c r="A18" s="7"/>
      <c r="B18" s="7"/>
      <c r="C18" s="7"/>
      <c r="D18" s="7"/>
      <c r="E18" s="8"/>
      <c r="F18" s="7"/>
      <c r="G18" s="7"/>
      <c r="H18" s="7"/>
      <c r="I18" s="7"/>
      <c r="J18" s="7"/>
    </row>
    <row r="19" spans="1:10" ht="14.1" customHeight="1" x14ac:dyDescent="0.2">
      <c r="A19" s="7"/>
      <c r="B19" s="7"/>
      <c r="C19" s="7"/>
      <c r="D19" s="7"/>
      <c r="E19" s="7"/>
      <c r="F19" s="7"/>
      <c r="G19" s="7"/>
      <c r="H19" s="7"/>
      <c r="I19" s="7"/>
      <c r="J19" s="7"/>
    </row>
    <row r="20" spans="1:10" ht="14.1" customHeight="1" x14ac:dyDescent="0.2">
      <c r="A20" s="7"/>
      <c r="B20" s="7"/>
      <c r="C20" s="7"/>
      <c r="D20" s="7"/>
      <c r="E20" s="7"/>
      <c r="F20" s="7"/>
      <c r="G20" s="7"/>
      <c r="H20" s="7"/>
      <c r="I20" s="7"/>
      <c r="J20" s="7"/>
    </row>
    <row r="21" spans="1:10" ht="14.1" customHeight="1" x14ac:dyDescent="0.2">
      <c r="A21" s="7"/>
      <c r="B21" s="7"/>
      <c r="C21" s="7"/>
      <c r="D21" s="7"/>
      <c r="E21" s="7"/>
      <c r="F21" s="7"/>
      <c r="G21" s="7"/>
      <c r="H21" s="7"/>
      <c r="I21" s="7"/>
      <c r="J21" s="7"/>
    </row>
  </sheetData>
  <phoneticPr fontId="10" type="noConversion"/>
  <conditionalFormatting sqref="F2">
    <cfRule type="expression" dxfId="1455" priority="1">
      <formula>ISERROR(F2)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 tint="-0.249977111117893"/>
  </sheetPr>
  <dimension ref="A1:AC444"/>
  <sheetViews>
    <sheetView workbookViewId="0">
      <pane xSplit="1" ySplit="2" topLeftCell="B420" activePane="bottomRight" state="frozen"/>
      <selection pane="topRight" activeCell="C1" sqref="C1"/>
      <selection pane="bottomLeft" activeCell="A3" sqref="A3"/>
      <selection pane="bottomRight" activeCell="E54" sqref="E54"/>
    </sheetView>
  </sheetViews>
  <sheetFormatPr defaultColWidth="9" defaultRowHeight="14.1" customHeight="1" x14ac:dyDescent="0.2"/>
  <cols>
    <col min="1" max="2" width="6" style="2" customWidth="1"/>
    <col min="3" max="3" width="6.25" style="2" customWidth="1"/>
    <col min="4" max="4" width="7.75" style="2" customWidth="1"/>
    <col min="5" max="5" width="38.125" style="2" bestFit="1" customWidth="1"/>
    <col min="6" max="7" width="9" style="2"/>
    <col min="8" max="8" width="24" style="2" bestFit="1" customWidth="1"/>
    <col min="9" max="10" width="9" style="2"/>
    <col min="11" max="11" width="18.75" style="2" bestFit="1" customWidth="1"/>
    <col min="12" max="13" width="9" style="2"/>
    <col min="14" max="14" width="18.75" style="2" bestFit="1" customWidth="1"/>
    <col min="15" max="16" width="9" style="2"/>
    <col min="17" max="17" width="18.75" style="2" bestFit="1" customWidth="1"/>
    <col min="18" max="16384" width="9" style="2"/>
  </cols>
  <sheetData>
    <row r="1" spans="1:29" s="3" customFormat="1" ht="30" customHeight="1" x14ac:dyDescent="0.2">
      <c r="A1" s="79"/>
      <c r="B1" s="80"/>
      <c r="C1" s="80"/>
      <c r="D1" s="81"/>
      <c r="E1" s="82" t="s">
        <v>27</v>
      </c>
      <c r="F1" s="83"/>
      <c r="G1" s="83"/>
      <c r="H1" s="84" t="s">
        <v>28</v>
      </c>
      <c r="I1" s="85"/>
      <c r="J1" s="85"/>
      <c r="K1" s="82" t="s">
        <v>29</v>
      </c>
      <c r="L1" s="83"/>
      <c r="M1" s="83"/>
      <c r="N1" s="84" t="s">
        <v>30</v>
      </c>
      <c r="O1" s="85"/>
      <c r="P1" s="85"/>
      <c r="Q1" s="78" t="s">
        <v>31</v>
      </c>
      <c r="R1" s="78"/>
      <c r="S1" s="78"/>
    </row>
    <row r="2" spans="1:29" s="4" customFormat="1" ht="99.95" customHeight="1" x14ac:dyDescent="0.3">
      <c r="A2" s="9" t="s">
        <v>3</v>
      </c>
      <c r="B2" s="9" t="s">
        <v>450</v>
      </c>
      <c r="C2" s="9" t="s">
        <v>6</v>
      </c>
      <c r="D2" s="9" t="s">
        <v>74</v>
      </c>
      <c r="E2" s="10" t="s">
        <v>14</v>
      </c>
      <c r="F2" s="11" t="s">
        <v>15</v>
      </c>
      <c r="G2" s="11" t="s">
        <v>16</v>
      </c>
      <c r="H2" s="12" t="s">
        <v>17</v>
      </c>
      <c r="I2" s="13" t="s">
        <v>18</v>
      </c>
      <c r="J2" s="13" t="s">
        <v>19</v>
      </c>
      <c r="K2" s="10" t="s">
        <v>20</v>
      </c>
      <c r="L2" s="11" t="s">
        <v>21</v>
      </c>
      <c r="M2" s="11" t="s">
        <v>22</v>
      </c>
      <c r="N2" s="12" t="s">
        <v>23</v>
      </c>
      <c r="O2" s="13" t="s">
        <v>24</v>
      </c>
      <c r="P2" s="13" t="s">
        <v>25</v>
      </c>
      <c r="Q2" s="14" t="s">
        <v>26</v>
      </c>
      <c r="R2" s="11" t="s">
        <v>32</v>
      </c>
      <c r="S2" s="11" t="s">
        <v>33</v>
      </c>
    </row>
    <row r="3" spans="1:29" s="59" customFormat="1" ht="17.25" customHeight="1" x14ac:dyDescent="0.3">
      <c r="A3" s="56" t="s">
        <v>1314</v>
      </c>
      <c r="B3" s="57" t="s">
        <v>1315</v>
      </c>
      <c r="C3" s="56"/>
      <c r="D3" s="56"/>
      <c r="E3" s="57" t="s">
        <v>1315</v>
      </c>
      <c r="F3" s="56" t="s">
        <v>1314</v>
      </c>
      <c r="G3" s="56" t="s">
        <v>1314</v>
      </c>
      <c r="H3" s="57" t="s">
        <v>1315</v>
      </c>
      <c r="I3" s="56" t="s">
        <v>1314</v>
      </c>
      <c r="J3" s="56" t="s">
        <v>1314</v>
      </c>
      <c r="K3" s="57" t="s">
        <v>1315</v>
      </c>
      <c r="L3" s="56" t="s">
        <v>1314</v>
      </c>
      <c r="M3" s="56" t="s">
        <v>1314</v>
      </c>
      <c r="N3" s="57" t="s">
        <v>1315</v>
      </c>
      <c r="O3" s="56" t="s">
        <v>1314</v>
      </c>
      <c r="P3" s="56" t="s">
        <v>1314</v>
      </c>
      <c r="Q3" s="57" t="s">
        <v>1315</v>
      </c>
      <c r="R3" s="56" t="s">
        <v>1314</v>
      </c>
      <c r="S3" s="56" t="s">
        <v>1314</v>
      </c>
      <c r="T3" s="57"/>
      <c r="U3" s="57"/>
      <c r="V3" s="58"/>
      <c r="W3" s="58"/>
      <c r="X3" s="57"/>
      <c r="Y3" s="57"/>
      <c r="Z3" s="57"/>
      <c r="AA3" s="57"/>
      <c r="AB3" s="58"/>
      <c r="AC3" s="58"/>
    </row>
    <row r="4" spans="1:29" ht="14.1" customHeight="1" x14ac:dyDescent="0.2">
      <c r="A4" s="2" t="s">
        <v>0</v>
      </c>
      <c r="B4" s="2" t="s">
        <v>81</v>
      </c>
      <c r="C4" s="2" t="s">
        <v>9</v>
      </c>
      <c r="D4" s="2" t="s">
        <v>9</v>
      </c>
      <c r="E4" s="44" t="s">
        <v>841</v>
      </c>
      <c r="F4" s="2" t="s">
        <v>4</v>
      </c>
      <c r="G4" s="2" t="s">
        <v>4</v>
      </c>
      <c r="H4" s="15"/>
      <c r="K4" s="15"/>
      <c r="L4" s="46"/>
      <c r="M4" s="46"/>
      <c r="N4" s="15"/>
      <c r="Q4" s="15"/>
    </row>
    <row r="5" spans="1:29" ht="14.1" customHeight="1" x14ac:dyDescent="0.2">
      <c r="A5" s="2" t="s">
        <v>10</v>
      </c>
      <c r="B5" s="2" t="s">
        <v>81</v>
      </c>
      <c r="C5" s="2" t="s">
        <v>9</v>
      </c>
      <c r="D5" s="2" t="s">
        <v>0</v>
      </c>
      <c r="E5" s="44" t="s">
        <v>841</v>
      </c>
      <c r="F5" s="2" t="s">
        <v>4</v>
      </c>
      <c r="G5" s="2" t="s">
        <v>4</v>
      </c>
      <c r="H5" s="15" t="s">
        <v>843</v>
      </c>
      <c r="I5" s="2">
        <v>9</v>
      </c>
      <c r="J5" s="2">
        <v>9</v>
      </c>
      <c r="K5" s="15"/>
      <c r="L5" s="46"/>
      <c r="M5" s="46"/>
      <c r="N5" s="15"/>
      <c r="Q5" s="15"/>
    </row>
    <row r="6" spans="1:29" ht="14.1" customHeight="1" x14ac:dyDescent="0.2">
      <c r="A6" s="2" t="s">
        <v>35</v>
      </c>
      <c r="B6" s="2" t="s">
        <v>81</v>
      </c>
      <c r="C6" s="2" t="s">
        <v>9</v>
      </c>
      <c r="D6" s="2" t="s">
        <v>34</v>
      </c>
      <c r="E6" s="44" t="s">
        <v>841</v>
      </c>
      <c r="F6" s="2" t="s">
        <v>4</v>
      </c>
      <c r="G6" s="2" t="s">
        <v>4</v>
      </c>
      <c r="H6" s="15" t="s">
        <v>843</v>
      </c>
      <c r="I6" s="2">
        <v>15</v>
      </c>
      <c r="J6" s="2">
        <v>15</v>
      </c>
      <c r="K6" s="15"/>
      <c r="L6" s="46"/>
      <c r="M6" s="46"/>
      <c r="N6" s="15"/>
      <c r="Q6" s="15"/>
    </row>
    <row r="7" spans="1:29" ht="14.1" customHeight="1" x14ac:dyDescent="0.2">
      <c r="A7" s="2" t="s">
        <v>36</v>
      </c>
      <c r="B7" s="2" t="s">
        <v>81</v>
      </c>
      <c r="C7" s="2" t="s">
        <v>9</v>
      </c>
      <c r="D7" s="2" t="s">
        <v>35</v>
      </c>
      <c r="E7" s="44" t="s">
        <v>841</v>
      </c>
      <c r="F7" s="2" t="s">
        <v>4</v>
      </c>
      <c r="G7" s="2" t="s">
        <v>4</v>
      </c>
      <c r="H7" s="15" t="s">
        <v>843</v>
      </c>
      <c r="I7" s="2">
        <v>23</v>
      </c>
      <c r="J7" s="2">
        <v>23</v>
      </c>
      <c r="K7" s="15"/>
      <c r="L7" s="46"/>
      <c r="M7" s="46"/>
      <c r="N7" s="15"/>
      <c r="Q7" s="15"/>
    </row>
    <row r="8" spans="1:29" ht="14.1" customHeight="1" x14ac:dyDescent="0.2">
      <c r="A8" s="2" t="s">
        <v>37</v>
      </c>
      <c r="B8" s="2" t="s">
        <v>81</v>
      </c>
      <c r="C8" s="2" t="s">
        <v>9</v>
      </c>
      <c r="D8" s="2" t="s">
        <v>36</v>
      </c>
      <c r="E8" s="44" t="s">
        <v>841</v>
      </c>
      <c r="F8" s="2" t="s">
        <v>4</v>
      </c>
      <c r="G8" s="2" t="s">
        <v>4</v>
      </c>
      <c r="H8" s="15" t="s">
        <v>843</v>
      </c>
      <c r="I8" s="2">
        <v>34</v>
      </c>
      <c r="J8" s="2">
        <v>34</v>
      </c>
      <c r="K8" s="15"/>
      <c r="L8" s="46"/>
      <c r="M8" s="46"/>
      <c r="N8" s="15"/>
      <c r="Q8" s="15"/>
    </row>
    <row r="9" spans="1:29" ht="14.1" customHeight="1" x14ac:dyDescent="0.2">
      <c r="A9" s="2" t="s">
        <v>38</v>
      </c>
      <c r="B9" s="2" t="s">
        <v>81</v>
      </c>
      <c r="C9" s="2" t="s">
        <v>9</v>
      </c>
      <c r="D9" s="2" t="s">
        <v>37</v>
      </c>
      <c r="E9" s="44" t="s">
        <v>841</v>
      </c>
      <c r="F9" s="2" t="s">
        <v>4</v>
      </c>
      <c r="G9" s="2" t="s">
        <v>4</v>
      </c>
      <c r="H9" s="15" t="s">
        <v>843</v>
      </c>
      <c r="I9" s="2">
        <v>47</v>
      </c>
      <c r="J9" s="2">
        <v>47</v>
      </c>
      <c r="K9" s="15"/>
      <c r="L9" s="46"/>
      <c r="M9" s="46"/>
      <c r="N9" s="15"/>
      <c r="Q9" s="15"/>
    </row>
    <row r="10" spans="1:29" ht="14.1" customHeight="1" x14ac:dyDescent="0.2">
      <c r="A10" s="2" t="s">
        <v>39</v>
      </c>
      <c r="B10" s="2" t="s">
        <v>81</v>
      </c>
      <c r="C10" s="2" t="s">
        <v>9</v>
      </c>
      <c r="D10" s="2" t="s">
        <v>38</v>
      </c>
      <c r="E10" s="44" t="s">
        <v>841</v>
      </c>
      <c r="F10" s="2" t="s">
        <v>4</v>
      </c>
      <c r="G10" s="2" t="s">
        <v>4</v>
      </c>
      <c r="H10" s="15" t="s">
        <v>843</v>
      </c>
      <c r="I10" s="2">
        <v>54</v>
      </c>
      <c r="J10" s="2">
        <v>54</v>
      </c>
      <c r="K10" s="15" t="s">
        <v>844</v>
      </c>
      <c r="L10" s="46">
        <v>4</v>
      </c>
      <c r="M10" s="46">
        <v>4</v>
      </c>
      <c r="N10" s="15"/>
      <c r="Q10" s="15"/>
    </row>
    <row r="11" spans="1:29" ht="14.1" customHeight="1" x14ac:dyDescent="0.2">
      <c r="A11" s="2" t="s">
        <v>40</v>
      </c>
      <c r="B11" s="2" t="s">
        <v>81</v>
      </c>
      <c r="C11" s="2" t="s">
        <v>9</v>
      </c>
      <c r="D11" s="2" t="s">
        <v>39</v>
      </c>
      <c r="E11" s="44" t="s">
        <v>841</v>
      </c>
      <c r="F11" s="2" t="s">
        <v>4</v>
      </c>
      <c r="G11" s="2" t="s">
        <v>4</v>
      </c>
      <c r="H11" s="15" t="s">
        <v>843</v>
      </c>
      <c r="I11" s="2">
        <v>62</v>
      </c>
      <c r="J11" s="2">
        <v>62</v>
      </c>
      <c r="K11" s="15" t="s">
        <v>844</v>
      </c>
      <c r="L11" s="46">
        <v>9</v>
      </c>
      <c r="M11" s="46">
        <v>9</v>
      </c>
      <c r="N11" s="15"/>
      <c r="Q11" s="15"/>
    </row>
    <row r="12" spans="1:29" ht="14.1" customHeight="1" x14ac:dyDescent="0.2">
      <c r="A12" s="2" t="s">
        <v>41</v>
      </c>
      <c r="B12" s="2" t="s">
        <v>81</v>
      </c>
      <c r="C12" s="2" t="s">
        <v>9</v>
      </c>
      <c r="D12" s="2" t="s">
        <v>40</v>
      </c>
      <c r="E12" s="44" t="s">
        <v>841</v>
      </c>
      <c r="F12" s="2" t="s">
        <v>4</v>
      </c>
      <c r="G12" s="2" t="s">
        <v>4</v>
      </c>
      <c r="H12" s="15" t="s">
        <v>843</v>
      </c>
      <c r="I12" s="2">
        <v>85</v>
      </c>
      <c r="J12" s="2">
        <v>85</v>
      </c>
      <c r="K12" s="15" t="s">
        <v>844</v>
      </c>
      <c r="L12" s="46">
        <v>12</v>
      </c>
      <c r="M12" s="46">
        <v>12</v>
      </c>
      <c r="N12" s="15"/>
      <c r="Q12" s="15"/>
    </row>
    <row r="13" spans="1:29" ht="14.1" customHeight="1" x14ac:dyDescent="0.2">
      <c r="A13" s="2" t="s">
        <v>42</v>
      </c>
      <c r="B13" s="2" t="s">
        <v>81</v>
      </c>
      <c r="C13" s="2" t="s">
        <v>9</v>
      </c>
      <c r="D13" s="2" t="s">
        <v>41</v>
      </c>
      <c r="E13" s="44" t="s">
        <v>841</v>
      </c>
      <c r="F13" s="2" t="s">
        <v>4</v>
      </c>
      <c r="G13" s="2" t="s">
        <v>4</v>
      </c>
      <c r="H13" s="15" t="s">
        <v>843</v>
      </c>
      <c r="I13" s="2">
        <v>115</v>
      </c>
      <c r="J13" s="2">
        <v>115</v>
      </c>
      <c r="K13" s="15" t="s">
        <v>844</v>
      </c>
      <c r="L13" s="46">
        <v>16</v>
      </c>
      <c r="M13" s="46">
        <v>16</v>
      </c>
      <c r="N13" s="15"/>
      <c r="Q13" s="15"/>
    </row>
    <row r="14" spans="1:29" ht="14.1" customHeight="1" x14ac:dyDescent="0.2">
      <c r="A14" s="2" t="s">
        <v>43</v>
      </c>
      <c r="B14" s="2" t="s">
        <v>81</v>
      </c>
      <c r="C14" s="2" t="s">
        <v>9</v>
      </c>
      <c r="D14" s="2" t="s">
        <v>42</v>
      </c>
      <c r="E14" s="44" t="s">
        <v>841</v>
      </c>
      <c r="F14" s="2" t="s">
        <v>4</v>
      </c>
      <c r="G14" s="2" t="s">
        <v>4</v>
      </c>
      <c r="H14" s="15" t="s">
        <v>843</v>
      </c>
      <c r="I14" s="2">
        <v>150</v>
      </c>
      <c r="J14" s="2">
        <v>150</v>
      </c>
      <c r="K14" s="15" t="s">
        <v>844</v>
      </c>
      <c r="L14" s="46">
        <v>22</v>
      </c>
      <c r="M14" s="46">
        <v>22</v>
      </c>
      <c r="N14" s="15"/>
      <c r="Q14" s="15"/>
    </row>
    <row r="15" spans="1:29" ht="14.1" customHeight="1" x14ac:dyDescent="0.2">
      <c r="A15" s="2" t="s">
        <v>44</v>
      </c>
      <c r="B15" s="2" t="s">
        <v>81</v>
      </c>
      <c r="C15" s="2" t="s">
        <v>9</v>
      </c>
      <c r="D15" s="2" t="s">
        <v>43</v>
      </c>
      <c r="E15" s="44" t="s">
        <v>841</v>
      </c>
      <c r="F15" s="2" t="s">
        <v>4</v>
      </c>
      <c r="G15" s="2" t="s">
        <v>4</v>
      </c>
      <c r="H15" s="15" t="s">
        <v>843</v>
      </c>
      <c r="I15" s="2">
        <v>150</v>
      </c>
      <c r="J15" s="2">
        <v>150</v>
      </c>
      <c r="K15" s="15" t="s">
        <v>844</v>
      </c>
      <c r="L15" s="46">
        <v>25</v>
      </c>
      <c r="M15" s="46">
        <v>25</v>
      </c>
      <c r="N15" s="15" t="s">
        <v>95</v>
      </c>
      <c r="O15" s="2">
        <v>11</v>
      </c>
      <c r="P15" s="2">
        <v>11</v>
      </c>
      <c r="Q15" s="15"/>
    </row>
    <row r="16" spans="1:29" ht="14.1" customHeight="1" x14ac:dyDescent="0.2">
      <c r="A16" s="2" t="s">
        <v>45</v>
      </c>
      <c r="B16" s="2" t="s">
        <v>81</v>
      </c>
      <c r="C16" s="2" t="s">
        <v>9</v>
      </c>
      <c r="D16" s="2" t="s">
        <v>44</v>
      </c>
      <c r="E16" s="44" t="s">
        <v>841</v>
      </c>
      <c r="F16" s="2" t="s">
        <v>4</v>
      </c>
      <c r="G16" s="2" t="s">
        <v>4</v>
      </c>
      <c r="H16" s="15" t="s">
        <v>843</v>
      </c>
      <c r="I16" s="2">
        <v>150</v>
      </c>
      <c r="J16" s="2">
        <v>150</v>
      </c>
      <c r="K16" s="15" t="s">
        <v>844</v>
      </c>
      <c r="L16" s="47">
        <v>41</v>
      </c>
      <c r="M16" s="47">
        <v>41</v>
      </c>
      <c r="N16" s="15" t="s">
        <v>95</v>
      </c>
      <c r="O16" s="2">
        <v>20</v>
      </c>
      <c r="P16" s="2">
        <v>20</v>
      </c>
      <c r="Q16" s="15"/>
    </row>
    <row r="17" spans="1:19" ht="14.1" customHeight="1" x14ac:dyDescent="0.2">
      <c r="A17" s="2" t="s">
        <v>46</v>
      </c>
      <c r="B17" s="2" t="s">
        <v>81</v>
      </c>
      <c r="C17" s="2" t="s">
        <v>9</v>
      </c>
      <c r="D17" s="2" t="s">
        <v>45</v>
      </c>
      <c r="E17" s="44" t="s">
        <v>841</v>
      </c>
      <c r="F17" s="2" t="s">
        <v>4</v>
      </c>
      <c r="G17" s="2" t="s">
        <v>4</v>
      </c>
      <c r="H17" s="15" t="s">
        <v>843</v>
      </c>
      <c r="I17" s="2">
        <v>150</v>
      </c>
      <c r="J17" s="2">
        <v>150</v>
      </c>
      <c r="K17" s="15" t="s">
        <v>844</v>
      </c>
      <c r="L17" s="47">
        <v>69</v>
      </c>
      <c r="M17" s="47">
        <v>69</v>
      </c>
      <c r="N17" s="15" t="s">
        <v>95</v>
      </c>
      <c r="O17" s="2">
        <v>35</v>
      </c>
      <c r="P17" s="2">
        <v>35</v>
      </c>
      <c r="Q17" s="15"/>
    </row>
    <row r="18" spans="1:19" ht="14.1" customHeight="1" x14ac:dyDescent="0.2">
      <c r="A18" s="2" t="s">
        <v>47</v>
      </c>
      <c r="B18" s="2" t="s">
        <v>81</v>
      </c>
      <c r="C18" s="2" t="s">
        <v>9</v>
      </c>
      <c r="D18" s="2" t="s">
        <v>46</v>
      </c>
      <c r="E18" s="44" t="s">
        <v>841</v>
      </c>
      <c r="F18" s="2" t="s">
        <v>4</v>
      </c>
      <c r="G18" s="2" t="s">
        <v>4</v>
      </c>
      <c r="H18" s="15" t="s">
        <v>843</v>
      </c>
      <c r="I18" s="2">
        <v>150</v>
      </c>
      <c r="J18" s="2">
        <v>150</v>
      </c>
      <c r="K18" s="15" t="s">
        <v>844</v>
      </c>
      <c r="L18" s="47">
        <v>80</v>
      </c>
      <c r="M18" s="47">
        <v>80</v>
      </c>
      <c r="N18" s="15" t="s">
        <v>95</v>
      </c>
      <c r="O18" s="2">
        <v>45</v>
      </c>
      <c r="P18" s="2">
        <v>45</v>
      </c>
      <c r="Q18" s="15"/>
    </row>
    <row r="19" spans="1:19" ht="14.1" customHeight="1" x14ac:dyDescent="0.2">
      <c r="A19" s="2" t="s">
        <v>48</v>
      </c>
      <c r="B19" s="2" t="s">
        <v>81</v>
      </c>
      <c r="C19" s="7" t="s">
        <v>9</v>
      </c>
      <c r="D19" s="2" t="s">
        <v>47</v>
      </c>
      <c r="E19" s="44" t="s">
        <v>841</v>
      </c>
      <c r="F19" s="2" t="s">
        <v>4</v>
      </c>
      <c r="G19" s="2" t="s">
        <v>4</v>
      </c>
      <c r="H19" s="15" t="s">
        <v>843</v>
      </c>
      <c r="I19" s="2">
        <v>150</v>
      </c>
      <c r="J19" s="2">
        <v>150</v>
      </c>
      <c r="K19" s="15" t="s">
        <v>844</v>
      </c>
      <c r="L19" s="47">
        <v>107</v>
      </c>
      <c r="M19" s="47">
        <v>107</v>
      </c>
      <c r="N19" s="15" t="s">
        <v>95</v>
      </c>
      <c r="O19" s="2">
        <v>70</v>
      </c>
      <c r="P19" s="2">
        <v>70</v>
      </c>
      <c r="Q19" s="15"/>
    </row>
    <row r="20" spans="1:19" ht="14.1" customHeight="1" x14ac:dyDescent="0.2">
      <c r="A20" s="2" t="s">
        <v>49</v>
      </c>
      <c r="B20" s="2" t="s">
        <v>81</v>
      </c>
      <c r="C20" s="7" t="s">
        <v>9</v>
      </c>
      <c r="D20" s="2" t="s">
        <v>48</v>
      </c>
      <c r="E20" s="44" t="s">
        <v>841</v>
      </c>
      <c r="F20" s="2" t="s">
        <v>4</v>
      </c>
      <c r="G20" s="2" t="s">
        <v>4</v>
      </c>
      <c r="H20" s="15" t="s">
        <v>843</v>
      </c>
      <c r="I20" s="2">
        <v>200</v>
      </c>
      <c r="J20" s="2">
        <v>200</v>
      </c>
      <c r="K20" s="15" t="s">
        <v>844</v>
      </c>
      <c r="L20" s="47">
        <v>120</v>
      </c>
      <c r="M20" s="47">
        <v>120</v>
      </c>
      <c r="N20" s="15" t="s">
        <v>95</v>
      </c>
      <c r="O20" s="2">
        <v>77</v>
      </c>
      <c r="P20" s="2">
        <v>77</v>
      </c>
      <c r="Q20" s="15" t="s">
        <v>96</v>
      </c>
      <c r="R20" s="2">
        <v>5</v>
      </c>
      <c r="S20" s="2">
        <v>5</v>
      </c>
    </row>
    <row r="21" spans="1:19" ht="14.1" customHeight="1" x14ac:dyDescent="0.2">
      <c r="A21" s="2" t="s">
        <v>50</v>
      </c>
      <c r="B21" s="2" t="s">
        <v>81</v>
      </c>
      <c r="C21" s="7" t="s">
        <v>9</v>
      </c>
      <c r="D21" s="2" t="s">
        <v>49</v>
      </c>
      <c r="E21" s="44" t="s">
        <v>841</v>
      </c>
      <c r="F21" s="2" t="s">
        <v>4</v>
      </c>
      <c r="G21" s="2" t="s">
        <v>4</v>
      </c>
      <c r="H21" s="15" t="s">
        <v>843</v>
      </c>
      <c r="I21" s="2">
        <v>200</v>
      </c>
      <c r="J21" s="2">
        <v>200</v>
      </c>
      <c r="K21" s="15" t="s">
        <v>844</v>
      </c>
      <c r="L21" s="47">
        <v>150</v>
      </c>
      <c r="M21" s="47">
        <v>150</v>
      </c>
      <c r="N21" s="15" t="s">
        <v>95</v>
      </c>
      <c r="O21" s="2">
        <v>95</v>
      </c>
      <c r="P21" s="2">
        <v>95</v>
      </c>
      <c r="Q21" s="15" t="s">
        <v>96</v>
      </c>
      <c r="R21" s="2">
        <v>15</v>
      </c>
      <c r="S21" s="2">
        <v>15</v>
      </c>
    </row>
    <row r="22" spans="1:19" ht="14.1" customHeight="1" x14ac:dyDescent="0.2">
      <c r="A22" s="2" t="s">
        <v>51</v>
      </c>
      <c r="B22" s="2" t="s">
        <v>81</v>
      </c>
      <c r="C22" s="7" t="s">
        <v>9</v>
      </c>
      <c r="D22" s="2" t="s">
        <v>50</v>
      </c>
      <c r="E22" s="44" t="s">
        <v>841</v>
      </c>
      <c r="F22" s="2" t="s">
        <v>4</v>
      </c>
      <c r="G22" s="2" t="s">
        <v>4</v>
      </c>
      <c r="H22" s="15" t="s">
        <v>843</v>
      </c>
      <c r="I22" s="2">
        <v>200</v>
      </c>
      <c r="J22" s="2">
        <v>200</v>
      </c>
      <c r="K22" s="15" t="s">
        <v>844</v>
      </c>
      <c r="L22" s="47">
        <v>200</v>
      </c>
      <c r="M22" s="47">
        <v>200</v>
      </c>
      <c r="N22" s="15" t="s">
        <v>95</v>
      </c>
      <c r="O22" s="2">
        <v>113</v>
      </c>
      <c r="P22" s="2">
        <v>113</v>
      </c>
      <c r="Q22" s="15" t="s">
        <v>96</v>
      </c>
      <c r="R22" s="2">
        <v>25</v>
      </c>
      <c r="S22" s="2">
        <v>25</v>
      </c>
    </row>
    <row r="23" spans="1:19" ht="14.1" customHeight="1" x14ac:dyDescent="0.2">
      <c r="A23" s="2" t="s">
        <v>52</v>
      </c>
      <c r="B23" s="2" t="s">
        <v>81</v>
      </c>
      <c r="C23" s="2" t="s">
        <v>9</v>
      </c>
      <c r="D23" s="2" t="s">
        <v>51</v>
      </c>
      <c r="E23" s="44" t="s">
        <v>841</v>
      </c>
      <c r="F23" s="2" t="s">
        <v>4</v>
      </c>
      <c r="G23" s="2" t="s">
        <v>4</v>
      </c>
      <c r="H23" s="15" t="s">
        <v>843</v>
      </c>
      <c r="I23" s="2">
        <v>200</v>
      </c>
      <c r="J23" s="2">
        <v>200</v>
      </c>
      <c r="K23" s="15" t="s">
        <v>844</v>
      </c>
      <c r="L23" s="47">
        <v>200</v>
      </c>
      <c r="M23" s="47">
        <v>200</v>
      </c>
      <c r="N23" s="15" t="s">
        <v>95</v>
      </c>
      <c r="O23" s="2">
        <v>155</v>
      </c>
      <c r="P23" s="2">
        <v>155</v>
      </c>
      <c r="Q23" s="15" t="s">
        <v>96</v>
      </c>
      <c r="R23" s="2">
        <v>45</v>
      </c>
      <c r="S23" s="2">
        <v>45</v>
      </c>
    </row>
    <row r="24" spans="1:19" ht="14.1" customHeight="1" x14ac:dyDescent="0.2">
      <c r="A24" s="2" t="s">
        <v>53</v>
      </c>
      <c r="B24" s="2" t="s">
        <v>81</v>
      </c>
      <c r="C24" s="2" t="s">
        <v>9</v>
      </c>
      <c r="D24" s="2" t="s">
        <v>52</v>
      </c>
      <c r="E24" s="44" t="s">
        <v>841</v>
      </c>
      <c r="F24" s="2" t="s">
        <v>4</v>
      </c>
      <c r="G24" s="2" t="s">
        <v>4</v>
      </c>
      <c r="H24" s="15" t="s">
        <v>843</v>
      </c>
      <c r="I24" s="2">
        <v>200</v>
      </c>
      <c r="J24" s="2">
        <v>200</v>
      </c>
      <c r="K24" s="15" t="s">
        <v>844</v>
      </c>
      <c r="L24" s="47">
        <v>200</v>
      </c>
      <c r="M24" s="47">
        <v>200</v>
      </c>
      <c r="N24" s="15" t="s">
        <v>95</v>
      </c>
      <c r="O24" s="2">
        <v>195</v>
      </c>
      <c r="P24" s="2">
        <v>195</v>
      </c>
      <c r="Q24" s="15" t="s">
        <v>96</v>
      </c>
      <c r="R24" s="2">
        <v>75</v>
      </c>
      <c r="S24" s="2">
        <v>75</v>
      </c>
    </row>
    <row r="25" spans="1:19" ht="14.1" customHeight="1" x14ac:dyDescent="0.2">
      <c r="A25" s="2" t="s">
        <v>54</v>
      </c>
      <c r="B25" s="2" t="s">
        <v>81</v>
      </c>
      <c r="C25" s="2" t="s">
        <v>0</v>
      </c>
      <c r="D25" s="2" t="s">
        <v>9</v>
      </c>
      <c r="E25" s="44" t="s">
        <v>841</v>
      </c>
      <c r="F25" s="2" t="s">
        <v>1156</v>
      </c>
      <c r="G25" s="2" t="s">
        <v>1156</v>
      </c>
      <c r="H25" s="15"/>
      <c r="K25" s="15"/>
      <c r="L25" s="46"/>
      <c r="M25" s="46"/>
      <c r="N25" s="15"/>
      <c r="Q25" s="15"/>
    </row>
    <row r="26" spans="1:19" ht="14.1" customHeight="1" x14ac:dyDescent="0.2">
      <c r="A26" s="2" t="s">
        <v>55</v>
      </c>
      <c r="B26" s="2" t="s">
        <v>81</v>
      </c>
      <c r="C26" s="2" t="s">
        <v>0</v>
      </c>
      <c r="D26" s="2" t="s">
        <v>0</v>
      </c>
      <c r="E26" s="44" t="s">
        <v>841</v>
      </c>
      <c r="F26" s="2" t="s">
        <v>1156</v>
      </c>
      <c r="G26" s="2" t="s">
        <v>1156</v>
      </c>
      <c r="H26" s="15" t="s">
        <v>843</v>
      </c>
      <c r="I26" s="2">
        <v>9</v>
      </c>
      <c r="J26" s="2">
        <v>9</v>
      </c>
      <c r="K26" s="15"/>
      <c r="L26" s="46"/>
      <c r="M26" s="46"/>
      <c r="N26" s="15"/>
      <c r="Q26" s="15"/>
    </row>
    <row r="27" spans="1:19" ht="14.1" customHeight="1" x14ac:dyDescent="0.2">
      <c r="A27" s="2" t="s">
        <v>56</v>
      </c>
      <c r="B27" s="2" t="s">
        <v>81</v>
      </c>
      <c r="C27" s="2" t="s">
        <v>0</v>
      </c>
      <c r="D27" s="2" t="s">
        <v>34</v>
      </c>
      <c r="E27" s="44" t="s">
        <v>841</v>
      </c>
      <c r="F27" s="2" t="s">
        <v>1156</v>
      </c>
      <c r="G27" s="2" t="s">
        <v>1156</v>
      </c>
      <c r="H27" s="15" t="s">
        <v>843</v>
      </c>
      <c r="I27" s="2">
        <v>15</v>
      </c>
      <c r="J27" s="2">
        <v>15</v>
      </c>
      <c r="K27" s="15"/>
      <c r="L27" s="46"/>
      <c r="M27" s="46"/>
      <c r="N27" s="15"/>
      <c r="Q27" s="15"/>
    </row>
    <row r="28" spans="1:19" ht="14.1" customHeight="1" x14ac:dyDescent="0.2">
      <c r="A28" s="2" t="s">
        <v>57</v>
      </c>
      <c r="B28" s="2" t="s">
        <v>81</v>
      </c>
      <c r="C28" s="2" t="s">
        <v>0</v>
      </c>
      <c r="D28" s="2" t="s">
        <v>35</v>
      </c>
      <c r="E28" s="44" t="s">
        <v>841</v>
      </c>
      <c r="F28" s="2" t="s">
        <v>1156</v>
      </c>
      <c r="G28" s="2" t="s">
        <v>1156</v>
      </c>
      <c r="H28" s="15" t="s">
        <v>843</v>
      </c>
      <c r="I28" s="2">
        <v>23</v>
      </c>
      <c r="J28" s="2">
        <v>23</v>
      </c>
      <c r="K28" s="15"/>
      <c r="L28" s="46"/>
      <c r="M28" s="46"/>
      <c r="N28" s="15"/>
      <c r="Q28" s="15"/>
    </row>
    <row r="29" spans="1:19" ht="14.1" customHeight="1" x14ac:dyDescent="0.2">
      <c r="A29" s="2" t="s">
        <v>58</v>
      </c>
      <c r="B29" s="2" t="s">
        <v>81</v>
      </c>
      <c r="C29" s="2" t="s">
        <v>0</v>
      </c>
      <c r="D29" s="2" t="s">
        <v>36</v>
      </c>
      <c r="E29" s="44" t="s">
        <v>841</v>
      </c>
      <c r="F29" s="2" t="s">
        <v>1156</v>
      </c>
      <c r="G29" s="2" t="s">
        <v>1156</v>
      </c>
      <c r="H29" s="15" t="s">
        <v>843</v>
      </c>
      <c r="I29" s="2">
        <v>34</v>
      </c>
      <c r="J29" s="2">
        <v>34</v>
      </c>
      <c r="K29" s="15"/>
      <c r="L29" s="46"/>
      <c r="M29" s="46"/>
      <c r="N29" s="15"/>
      <c r="Q29" s="15"/>
    </row>
    <row r="30" spans="1:19" ht="14.1" customHeight="1" x14ac:dyDescent="0.2">
      <c r="A30" s="2" t="s">
        <v>59</v>
      </c>
      <c r="B30" s="2" t="s">
        <v>81</v>
      </c>
      <c r="C30" s="2" t="s">
        <v>0</v>
      </c>
      <c r="D30" s="2" t="s">
        <v>37</v>
      </c>
      <c r="E30" s="44" t="s">
        <v>841</v>
      </c>
      <c r="F30" s="2" t="s">
        <v>1156</v>
      </c>
      <c r="G30" s="2" t="s">
        <v>1156</v>
      </c>
      <c r="H30" s="15" t="s">
        <v>843</v>
      </c>
      <c r="I30" s="2">
        <v>47</v>
      </c>
      <c r="J30" s="2">
        <v>47</v>
      </c>
      <c r="K30" s="15"/>
      <c r="L30" s="46"/>
      <c r="M30" s="46"/>
      <c r="N30" s="15"/>
      <c r="Q30" s="15"/>
    </row>
    <row r="31" spans="1:19" ht="14.1" customHeight="1" x14ac:dyDescent="0.2">
      <c r="A31" s="2" t="s">
        <v>60</v>
      </c>
      <c r="B31" s="2" t="s">
        <v>81</v>
      </c>
      <c r="C31" s="2" t="s">
        <v>0</v>
      </c>
      <c r="D31" s="2" t="s">
        <v>38</v>
      </c>
      <c r="E31" s="44" t="s">
        <v>841</v>
      </c>
      <c r="F31" s="2" t="s">
        <v>1156</v>
      </c>
      <c r="G31" s="2" t="s">
        <v>1156</v>
      </c>
      <c r="H31" s="15" t="s">
        <v>843</v>
      </c>
      <c r="I31" s="2">
        <v>54</v>
      </c>
      <c r="J31" s="2">
        <v>54</v>
      </c>
      <c r="K31" s="15" t="s">
        <v>844</v>
      </c>
      <c r="L31" s="46">
        <v>4</v>
      </c>
      <c r="M31" s="46">
        <v>4</v>
      </c>
      <c r="N31" s="15"/>
      <c r="Q31" s="15"/>
    </row>
    <row r="32" spans="1:19" ht="14.1" customHeight="1" x14ac:dyDescent="0.2">
      <c r="A32" s="2" t="s">
        <v>61</v>
      </c>
      <c r="B32" s="2" t="s">
        <v>81</v>
      </c>
      <c r="C32" s="2" t="s">
        <v>0</v>
      </c>
      <c r="D32" s="2" t="s">
        <v>39</v>
      </c>
      <c r="E32" s="44" t="s">
        <v>841</v>
      </c>
      <c r="F32" s="2" t="s">
        <v>1156</v>
      </c>
      <c r="G32" s="2" t="s">
        <v>1156</v>
      </c>
      <c r="H32" s="15" t="s">
        <v>843</v>
      </c>
      <c r="I32" s="2">
        <v>62</v>
      </c>
      <c r="J32" s="2">
        <v>62</v>
      </c>
      <c r="K32" s="15" t="s">
        <v>844</v>
      </c>
      <c r="L32" s="46">
        <v>9</v>
      </c>
      <c r="M32" s="46">
        <v>9</v>
      </c>
      <c r="N32" s="15"/>
      <c r="Q32" s="15"/>
    </row>
    <row r="33" spans="1:19" ht="14.1" customHeight="1" x14ac:dyDescent="0.2">
      <c r="A33" s="2" t="s">
        <v>62</v>
      </c>
      <c r="B33" s="2" t="s">
        <v>81</v>
      </c>
      <c r="C33" s="2" t="s">
        <v>0</v>
      </c>
      <c r="D33" s="2" t="s">
        <v>40</v>
      </c>
      <c r="E33" s="44" t="s">
        <v>841</v>
      </c>
      <c r="F33" s="2" t="s">
        <v>1156</v>
      </c>
      <c r="G33" s="2" t="s">
        <v>1156</v>
      </c>
      <c r="H33" s="15" t="s">
        <v>843</v>
      </c>
      <c r="I33" s="2">
        <v>85</v>
      </c>
      <c r="J33" s="2">
        <v>85</v>
      </c>
      <c r="K33" s="15" t="s">
        <v>844</v>
      </c>
      <c r="L33" s="46">
        <v>12</v>
      </c>
      <c r="M33" s="46">
        <v>12</v>
      </c>
      <c r="N33" s="15"/>
      <c r="Q33" s="15"/>
    </row>
    <row r="34" spans="1:19" ht="14.1" customHeight="1" x14ac:dyDescent="0.2">
      <c r="A34" s="2" t="s">
        <v>63</v>
      </c>
      <c r="B34" s="2" t="s">
        <v>81</v>
      </c>
      <c r="C34" s="2" t="s">
        <v>0</v>
      </c>
      <c r="D34" s="2" t="s">
        <v>41</v>
      </c>
      <c r="E34" s="44" t="s">
        <v>841</v>
      </c>
      <c r="F34" s="2" t="s">
        <v>1156</v>
      </c>
      <c r="G34" s="2" t="s">
        <v>1156</v>
      </c>
      <c r="H34" s="15" t="s">
        <v>843</v>
      </c>
      <c r="I34" s="2">
        <v>115</v>
      </c>
      <c r="J34" s="2">
        <v>115</v>
      </c>
      <c r="K34" s="15" t="s">
        <v>844</v>
      </c>
      <c r="L34" s="46">
        <v>16</v>
      </c>
      <c r="M34" s="46">
        <v>16</v>
      </c>
      <c r="N34" s="15"/>
      <c r="Q34" s="15"/>
    </row>
    <row r="35" spans="1:19" ht="14.1" customHeight="1" x14ac:dyDescent="0.2">
      <c r="A35" s="2" t="s">
        <v>64</v>
      </c>
      <c r="B35" s="2" t="s">
        <v>81</v>
      </c>
      <c r="C35" s="2" t="s">
        <v>0</v>
      </c>
      <c r="D35" s="2" t="s">
        <v>42</v>
      </c>
      <c r="E35" s="44" t="s">
        <v>841</v>
      </c>
      <c r="F35" s="2" t="s">
        <v>1156</v>
      </c>
      <c r="G35" s="2" t="s">
        <v>1156</v>
      </c>
      <c r="H35" s="15" t="s">
        <v>843</v>
      </c>
      <c r="I35" s="2">
        <v>150</v>
      </c>
      <c r="J35" s="2">
        <v>150</v>
      </c>
      <c r="K35" s="15" t="s">
        <v>844</v>
      </c>
      <c r="L35" s="46">
        <v>22</v>
      </c>
      <c r="M35" s="46">
        <v>22</v>
      </c>
      <c r="N35" s="15"/>
      <c r="Q35" s="15"/>
    </row>
    <row r="36" spans="1:19" ht="14.1" customHeight="1" x14ac:dyDescent="0.2">
      <c r="A36" s="2" t="s">
        <v>65</v>
      </c>
      <c r="B36" s="2" t="s">
        <v>81</v>
      </c>
      <c r="C36" s="2" t="s">
        <v>0</v>
      </c>
      <c r="D36" s="2" t="s">
        <v>43</v>
      </c>
      <c r="E36" s="44" t="s">
        <v>841</v>
      </c>
      <c r="F36" s="2" t="s">
        <v>1156</v>
      </c>
      <c r="G36" s="2" t="s">
        <v>1156</v>
      </c>
      <c r="H36" s="15" t="s">
        <v>843</v>
      </c>
      <c r="I36" s="2">
        <v>150</v>
      </c>
      <c r="J36" s="2">
        <v>150</v>
      </c>
      <c r="K36" s="15" t="s">
        <v>844</v>
      </c>
      <c r="L36" s="46">
        <v>25</v>
      </c>
      <c r="M36" s="46">
        <v>25</v>
      </c>
      <c r="N36" s="15" t="s">
        <v>95</v>
      </c>
      <c r="O36" s="2">
        <v>11</v>
      </c>
      <c r="P36" s="2">
        <v>11</v>
      </c>
      <c r="Q36" s="15"/>
    </row>
    <row r="37" spans="1:19" ht="14.1" customHeight="1" x14ac:dyDescent="0.2">
      <c r="A37" s="2" t="s">
        <v>66</v>
      </c>
      <c r="B37" s="2" t="s">
        <v>81</v>
      </c>
      <c r="C37" s="2" t="s">
        <v>0</v>
      </c>
      <c r="D37" s="2" t="s">
        <v>44</v>
      </c>
      <c r="E37" s="44" t="s">
        <v>841</v>
      </c>
      <c r="F37" s="2" t="s">
        <v>1156</v>
      </c>
      <c r="G37" s="2" t="s">
        <v>1156</v>
      </c>
      <c r="H37" s="15" t="s">
        <v>843</v>
      </c>
      <c r="I37" s="2">
        <v>150</v>
      </c>
      <c r="J37" s="2">
        <v>150</v>
      </c>
      <c r="K37" s="15" t="s">
        <v>844</v>
      </c>
      <c r="L37" s="47">
        <v>41</v>
      </c>
      <c r="M37" s="47">
        <v>41</v>
      </c>
      <c r="N37" s="15" t="s">
        <v>95</v>
      </c>
      <c r="O37" s="2">
        <v>20</v>
      </c>
      <c r="P37" s="2">
        <v>20</v>
      </c>
      <c r="Q37" s="15"/>
    </row>
    <row r="38" spans="1:19" ht="14.1" customHeight="1" x14ac:dyDescent="0.2">
      <c r="A38" s="2" t="s">
        <v>67</v>
      </c>
      <c r="B38" s="2" t="s">
        <v>81</v>
      </c>
      <c r="C38" s="2" t="s">
        <v>0</v>
      </c>
      <c r="D38" s="2" t="s">
        <v>45</v>
      </c>
      <c r="E38" s="44" t="s">
        <v>841</v>
      </c>
      <c r="F38" s="2" t="s">
        <v>1156</v>
      </c>
      <c r="G38" s="2" t="s">
        <v>1156</v>
      </c>
      <c r="H38" s="15" t="s">
        <v>843</v>
      </c>
      <c r="I38" s="2">
        <v>150</v>
      </c>
      <c r="J38" s="2">
        <v>150</v>
      </c>
      <c r="K38" s="15" t="s">
        <v>844</v>
      </c>
      <c r="L38" s="47">
        <v>69</v>
      </c>
      <c r="M38" s="47">
        <v>69</v>
      </c>
      <c r="N38" s="15" t="s">
        <v>95</v>
      </c>
      <c r="O38" s="2">
        <v>35</v>
      </c>
      <c r="P38" s="2">
        <v>35</v>
      </c>
      <c r="Q38" s="15"/>
    </row>
    <row r="39" spans="1:19" ht="14.1" customHeight="1" x14ac:dyDescent="0.2">
      <c r="A39" s="2" t="s">
        <v>68</v>
      </c>
      <c r="B39" s="2" t="s">
        <v>81</v>
      </c>
      <c r="C39" s="2" t="s">
        <v>0</v>
      </c>
      <c r="D39" s="2" t="s">
        <v>46</v>
      </c>
      <c r="E39" s="44" t="s">
        <v>841</v>
      </c>
      <c r="F39" s="2" t="s">
        <v>1156</v>
      </c>
      <c r="G39" s="2" t="s">
        <v>1156</v>
      </c>
      <c r="H39" s="15" t="s">
        <v>843</v>
      </c>
      <c r="I39" s="2">
        <v>150</v>
      </c>
      <c r="J39" s="2">
        <v>150</v>
      </c>
      <c r="K39" s="15" t="s">
        <v>844</v>
      </c>
      <c r="L39" s="47">
        <v>80</v>
      </c>
      <c r="M39" s="47">
        <v>80</v>
      </c>
      <c r="N39" s="15" t="s">
        <v>95</v>
      </c>
      <c r="O39" s="2">
        <v>45</v>
      </c>
      <c r="P39" s="2">
        <v>45</v>
      </c>
      <c r="Q39" s="15"/>
    </row>
    <row r="40" spans="1:19" ht="14.1" customHeight="1" x14ac:dyDescent="0.2">
      <c r="A40" s="2" t="s">
        <v>69</v>
      </c>
      <c r="B40" s="2" t="s">
        <v>81</v>
      </c>
      <c r="C40" s="2" t="s">
        <v>0</v>
      </c>
      <c r="D40" s="2" t="s">
        <v>47</v>
      </c>
      <c r="E40" s="44" t="s">
        <v>841</v>
      </c>
      <c r="F40" s="2" t="s">
        <v>1156</v>
      </c>
      <c r="G40" s="2" t="s">
        <v>1156</v>
      </c>
      <c r="H40" s="15" t="s">
        <v>843</v>
      </c>
      <c r="I40" s="2">
        <v>150</v>
      </c>
      <c r="J40" s="2">
        <v>150</v>
      </c>
      <c r="K40" s="15" t="s">
        <v>844</v>
      </c>
      <c r="L40" s="47">
        <v>107</v>
      </c>
      <c r="M40" s="47">
        <v>107</v>
      </c>
      <c r="N40" s="15" t="s">
        <v>95</v>
      </c>
      <c r="O40" s="2">
        <v>70</v>
      </c>
      <c r="P40" s="2">
        <v>70</v>
      </c>
      <c r="Q40" s="15"/>
    </row>
    <row r="41" spans="1:19" ht="14.1" customHeight="1" x14ac:dyDescent="0.2">
      <c r="A41" s="2" t="s">
        <v>70</v>
      </c>
      <c r="B41" s="2" t="s">
        <v>81</v>
      </c>
      <c r="C41" s="2" t="s">
        <v>0</v>
      </c>
      <c r="D41" s="2" t="s">
        <v>48</v>
      </c>
      <c r="E41" s="44" t="s">
        <v>841</v>
      </c>
      <c r="F41" s="2" t="s">
        <v>1156</v>
      </c>
      <c r="G41" s="2" t="s">
        <v>1156</v>
      </c>
      <c r="H41" s="15" t="s">
        <v>843</v>
      </c>
      <c r="I41" s="2">
        <v>200</v>
      </c>
      <c r="J41" s="2">
        <v>200</v>
      </c>
      <c r="K41" s="15" t="s">
        <v>844</v>
      </c>
      <c r="L41" s="47">
        <v>120</v>
      </c>
      <c r="M41" s="47">
        <v>120</v>
      </c>
      <c r="N41" s="15" t="s">
        <v>95</v>
      </c>
      <c r="O41" s="2">
        <v>77</v>
      </c>
      <c r="P41" s="2">
        <v>77</v>
      </c>
      <c r="Q41" s="15" t="s">
        <v>96</v>
      </c>
      <c r="R41" s="2">
        <v>5</v>
      </c>
      <c r="S41" s="2">
        <v>5</v>
      </c>
    </row>
    <row r="42" spans="1:19" ht="14.1" customHeight="1" x14ac:dyDescent="0.2">
      <c r="A42" s="2" t="s">
        <v>71</v>
      </c>
      <c r="B42" s="2" t="s">
        <v>81</v>
      </c>
      <c r="C42" s="2" t="s">
        <v>0</v>
      </c>
      <c r="D42" s="2" t="s">
        <v>49</v>
      </c>
      <c r="E42" s="44" t="s">
        <v>841</v>
      </c>
      <c r="F42" s="2" t="s">
        <v>1156</v>
      </c>
      <c r="G42" s="2" t="s">
        <v>1156</v>
      </c>
      <c r="H42" s="15" t="s">
        <v>843</v>
      </c>
      <c r="I42" s="2">
        <v>200</v>
      </c>
      <c r="J42" s="2">
        <v>200</v>
      </c>
      <c r="K42" s="15" t="s">
        <v>844</v>
      </c>
      <c r="L42" s="47">
        <v>150</v>
      </c>
      <c r="M42" s="47">
        <v>150</v>
      </c>
      <c r="N42" s="15" t="s">
        <v>95</v>
      </c>
      <c r="O42" s="2">
        <v>95</v>
      </c>
      <c r="P42" s="2">
        <v>95</v>
      </c>
      <c r="Q42" s="15" t="s">
        <v>96</v>
      </c>
      <c r="R42" s="2">
        <v>15</v>
      </c>
      <c r="S42" s="2">
        <v>15</v>
      </c>
    </row>
    <row r="43" spans="1:19" ht="14.1" customHeight="1" x14ac:dyDescent="0.2">
      <c r="A43" s="2" t="s">
        <v>72</v>
      </c>
      <c r="B43" s="2" t="s">
        <v>81</v>
      </c>
      <c r="C43" s="2" t="s">
        <v>0</v>
      </c>
      <c r="D43" s="2" t="s">
        <v>50</v>
      </c>
      <c r="E43" s="44" t="s">
        <v>841</v>
      </c>
      <c r="F43" s="2" t="s">
        <v>1156</v>
      </c>
      <c r="G43" s="2" t="s">
        <v>1156</v>
      </c>
      <c r="H43" s="15" t="s">
        <v>843</v>
      </c>
      <c r="I43" s="2">
        <v>200</v>
      </c>
      <c r="J43" s="2">
        <v>200</v>
      </c>
      <c r="K43" s="15" t="s">
        <v>844</v>
      </c>
      <c r="L43" s="47">
        <v>200</v>
      </c>
      <c r="M43" s="47">
        <v>200</v>
      </c>
      <c r="N43" s="15" t="s">
        <v>95</v>
      </c>
      <c r="O43" s="2">
        <v>113</v>
      </c>
      <c r="P43" s="2">
        <v>113</v>
      </c>
      <c r="Q43" s="15" t="s">
        <v>96</v>
      </c>
      <c r="R43" s="2">
        <v>25</v>
      </c>
      <c r="S43" s="2">
        <v>25</v>
      </c>
    </row>
    <row r="44" spans="1:19" ht="14.1" customHeight="1" x14ac:dyDescent="0.2">
      <c r="A44" s="2" t="s">
        <v>75</v>
      </c>
      <c r="B44" s="2" t="s">
        <v>81</v>
      </c>
      <c r="C44" s="2" t="s">
        <v>0</v>
      </c>
      <c r="D44" s="2" t="s">
        <v>51</v>
      </c>
      <c r="E44" s="44" t="s">
        <v>841</v>
      </c>
      <c r="F44" s="2" t="s">
        <v>1156</v>
      </c>
      <c r="G44" s="2" t="s">
        <v>1156</v>
      </c>
      <c r="H44" s="15" t="s">
        <v>843</v>
      </c>
      <c r="I44" s="2">
        <v>200</v>
      </c>
      <c r="J44" s="2">
        <v>200</v>
      </c>
      <c r="K44" s="15" t="s">
        <v>844</v>
      </c>
      <c r="L44" s="47">
        <v>200</v>
      </c>
      <c r="M44" s="47">
        <v>200</v>
      </c>
      <c r="N44" s="15" t="s">
        <v>95</v>
      </c>
      <c r="O44" s="2">
        <v>155</v>
      </c>
      <c r="P44" s="2">
        <v>155</v>
      </c>
      <c r="Q44" s="15" t="s">
        <v>96</v>
      </c>
      <c r="R44" s="2">
        <v>45</v>
      </c>
      <c r="S44" s="2">
        <v>45</v>
      </c>
    </row>
    <row r="45" spans="1:19" ht="14.1" customHeight="1" x14ac:dyDescent="0.2">
      <c r="A45" s="2" t="s">
        <v>76</v>
      </c>
      <c r="B45" s="2" t="s">
        <v>81</v>
      </c>
      <c r="C45" s="2" t="s">
        <v>0</v>
      </c>
      <c r="D45" s="2" t="s">
        <v>52</v>
      </c>
      <c r="E45" s="44" t="s">
        <v>841</v>
      </c>
      <c r="F45" s="2" t="s">
        <v>1156</v>
      </c>
      <c r="G45" s="2" t="s">
        <v>1156</v>
      </c>
      <c r="H45" s="15" t="s">
        <v>843</v>
      </c>
      <c r="I45" s="2">
        <v>200</v>
      </c>
      <c r="J45" s="2">
        <v>200</v>
      </c>
      <c r="K45" s="15" t="s">
        <v>844</v>
      </c>
      <c r="L45" s="47">
        <v>200</v>
      </c>
      <c r="M45" s="47">
        <v>200</v>
      </c>
      <c r="N45" s="15" t="s">
        <v>95</v>
      </c>
      <c r="O45" s="2">
        <v>195</v>
      </c>
      <c r="P45" s="2">
        <v>195</v>
      </c>
      <c r="Q45" s="15" t="s">
        <v>96</v>
      </c>
      <c r="R45" s="2">
        <v>75</v>
      </c>
      <c r="S45" s="2">
        <v>75</v>
      </c>
    </row>
    <row r="46" spans="1:19" ht="14.1" customHeight="1" x14ac:dyDescent="0.2">
      <c r="A46" s="2" t="s">
        <v>112</v>
      </c>
      <c r="B46" s="2" t="s">
        <v>81</v>
      </c>
      <c r="C46" s="2">
        <v>2</v>
      </c>
      <c r="D46" s="2" t="s">
        <v>9</v>
      </c>
      <c r="E46" s="44" t="s">
        <v>841</v>
      </c>
      <c r="F46" s="2" t="s">
        <v>1157</v>
      </c>
      <c r="G46" s="2" t="s">
        <v>1157</v>
      </c>
      <c r="H46" s="15"/>
      <c r="K46" s="15"/>
      <c r="L46" s="46"/>
      <c r="M46" s="46"/>
      <c r="N46" s="15"/>
      <c r="Q46" s="15"/>
    </row>
    <row r="47" spans="1:19" ht="14.1" customHeight="1" x14ac:dyDescent="0.2">
      <c r="A47" s="2" t="s">
        <v>113</v>
      </c>
      <c r="B47" s="2" t="s">
        <v>81</v>
      </c>
      <c r="C47" s="2">
        <v>2</v>
      </c>
      <c r="D47" s="2" t="s">
        <v>0</v>
      </c>
      <c r="E47" s="44" t="s">
        <v>841</v>
      </c>
      <c r="F47" s="2" t="s">
        <v>1157</v>
      </c>
      <c r="G47" s="2" t="s">
        <v>1157</v>
      </c>
      <c r="H47" s="15" t="s">
        <v>843</v>
      </c>
      <c r="I47" s="2">
        <v>9</v>
      </c>
      <c r="J47" s="2">
        <v>9</v>
      </c>
      <c r="K47" s="15"/>
      <c r="L47" s="46"/>
      <c r="M47" s="46"/>
      <c r="N47" s="15"/>
      <c r="Q47" s="15"/>
    </row>
    <row r="48" spans="1:19" ht="14.1" customHeight="1" x14ac:dyDescent="0.2">
      <c r="A48" s="2" t="s">
        <v>114</v>
      </c>
      <c r="B48" s="2" t="s">
        <v>81</v>
      </c>
      <c r="C48" s="2">
        <v>2</v>
      </c>
      <c r="D48" s="2" t="s">
        <v>34</v>
      </c>
      <c r="E48" s="44" t="s">
        <v>841</v>
      </c>
      <c r="F48" s="2" t="s">
        <v>1157</v>
      </c>
      <c r="G48" s="2" t="s">
        <v>1157</v>
      </c>
      <c r="H48" s="15" t="s">
        <v>843</v>
      </c>
      <c r="I48" s="2">
        <v>15</v>
      </c>
      <c r="J48" s="2">
        <v>15</v>
      </c>
      <c r="K48" s="15"/>
      <c r="L48" s="46"/>
      <c r="M48" s="46"/>
      <c r="N48" s="15"/>
      <c r="Q48" s="15"/>
    </row>
    <row r="49" spans="1:19" ht="14.1" customHeight="1" x14ac:dyDescent="0.2">
      <c r="A49" s="2" t="s">
        <v>115</v>
      </c>
      <c r="B49" s="2" t="s">
        <v>81</v>
      </c>
      <c r="C49" s="2">
        <v>2</v>
      </c>
      <c r="D49" s="2" t="s">
        <v>35</v>
      </c>
      <c r="E49" s="44" t="s">
        <v>841</v>
      </c>
      <c r="F49" s="2" t="s">
        <v>1157</v>
      </c>
      <c r="G49" s="2" t="s">
        <v>1157</v>
      </c>
      <c r="H49" s="15" t="s">
        <v>843</v>
      </c>
      <c r="I49" s="2">
        <v>23</v>
      </c>
      <c r="J49" s="2">
        <v>23</v>
      </c>
      <c r="K49" s="15"/>
      <c r="L49" s="46"/>
      <c r="M49" s="46"/>
      <c r="N49" s="15"/>
      <c r="Q49" s="15"/>
    </row>
    <row r="50" spans="1:19" ht="14.1" customHeight="1" x14ac:dyDescent="0.2">
      <c r="A50" s="2" t="s">
        <v>116</v>
      </c>
      <c r="B50" s="2" t="s">
        <v>81</v>
      </c>
      <c r="C50" s="2">
        <v>2</v>
      </c>
      <c r="D50" s="2" t="s">
        <v>36</v>
      </c>
      <c r="E50" s="44" t="s">
        <v>841</v>
      </c>
      <c r="F50" s="2" t="s">
        <v>1157</v>
      </c>
      <c r="G50" s="2" t="s">
        <v>1157</v>
      </c>
      <c r="H50" s="15" t="s">
        <v>843</v>
      </c>
      <c r="I50" s="2">
        <v>34</v>
      </c>
      <c r="J50" s="2">
        <v>34</v>
      </c>
      <c r="K50" s="15"/>
      <c r="L50" s="46"/>
      <c r="M50" s="46"/>
      <c r="N50" s="15"/>
      <c r="Q50" s="15"/>
    </row>
    <row r="51" spans="1:19" ht="14.1" customHeight="1" x14ac:dyDescent="0.2">
      <c r="A51" s="2" t="s">
        <v>117</v>
      </c>
      <c r="B51" s="2" t="s">
        <v>81</v>
      </c>
      <c r="C51" s="2">
        <v>2</v>
      </c>
      <c r="D51" s="2" t="s">
        <v>37</v>
      </c>
      <c r="E51" s="44" t="s">
        <v>841</v>
      </c>
      <c r="F51" s="2" t="s">
        <v>1157</v>
      </c>
      <c r="G51" s="2" t="s">
        <v>1157</v>
      </c>
      <c r="H51" s="15" t="s">
        <v>843</v>
      </c>
      <c r="I51" s="2">
        <v>47</v>
      </c>
      <c r="J51" s="2">
        <v>47</v>
      </c>
      <c r="K51" s="15"/>
      <c r="L51" s="46"/>
      <c r="M51" s="46"/>
      <c r="N51" s="15"/>
      <c r="Q51" s="15"/>
    </row>
    <row r="52" spans="1:19" ht="14.1" customHeight="1" x14ac:dyDescent="0.2">
      <c r="A52" s="2" t="s">
        <v>118</v>
      </c>
      <c r="B52" s="2" t="s">
        <v>81</v>
      </c>
      <c r="C52" s="2">
        <v>2</v>
      </c>
      <c r="D52" s="2" t="s">
        <v>38</v>
      </c>
      <c r="E52" s="44" t="s">
        <v>841</v>
      </c>
      <c r="F52" s="2" t="s">
        <v>1157</v>
      </c>
      <c r="G52" s="2" t="s">
        <v>1157</v>
      </c>
      <c r="H52" s="15" t="s">
        <v>843</v>
      </c>
      <c r="I52" s="2">
        <v>54</v>
      </c>
      <c r="J52" s="2">
        <v>54</v>
      </c>
      <c r="K52" s="15" t="s">
        <v>844</v>
      </c>
      <c r="L52" s="46">
        <v>4</v>
      </c>
      <c r="M52" s="46">
        <v>4</v>
      </c>
      <c r="N52" s="15"/>
      <c r="Q52" s="15"/>
    </row>
    <row r="53" spans="1:19" ht="14.1" customHeight="1" x14ac:dyDescent="0.2">
      <c r="A53" s="2" t="s">
        <v>73</v>
      </c>
      <c r="B53" s="2" t="s">
        <v>81</v>
      </c>
      <c r="C53" s="2">
        <v>2</v>
      </c>
      <c r="D53" s="2" t="s">
        <v>39</v>
      </c>
      <c r="E53" s="44" t="s">
        <v>841</v>
      </c>
      <c r="F53" s="2" t="s">
        <v>1157</v>
      </c>
      <c r="G53" s="2" t="s">
        <v>1157</v>
      </c>
      <c r="H53" s="15" t="s">
        <v>843</v>
      </c>
      <c r="I53" s="2">
        <v>62</v>
      </c>
      <c r="J53" s="2">
        <v>62</v>
      </c>
      <c r="K53" s="15" t="s">
        <v>844</v>
      </c>
      <c r="L53" s="46">
        <v>9</v>
      </c>
      <c r="M53" s="46">
        <v>9</v>
      </c>
      <c r="N53" s="15"/>
      <c r="Q53" s="15"/>
    </row>
    <row r="54" spans="1:19" ht="14.1" customHeight="1" x14ac:dyDescent="0.2">
      <c r="A54" s="2" t="s">
        <v>119</v>
      </c>
      <c r="B54" s="2" t="s">
        <v>81</v>
      </c>
      <c r="C54" s="2">
        <v>2</v>
      </c>
      <c r="D54" s="2" t="s">
        <v>40</v>
      </c>
      <c r="E54" s="44" t="s">
        <v>841</v>
      </c>
      <c r="F54" s="2" t="s">
        <v>1157</v>
      </c>
      <c r="G54" s="2" t="s">
        <v>1157</v>
      </c>
      <c r="H54" s="15" t="s">
        <v>843</v>
      </c>
      <c r="I54" s="2">
        <v>85</v>
      </c>
      <c r="J54" s="2">
        <v>85</v>
      </c>
      <c r="K54" s="15" t="s">
        <v>844</v>
      </c>
      <c r="L54" s="46">
        <v>12</v>
      </c>
      <c r="M54" s="46">
        <v>12</v>
      </c>
      <c r="N54" s="15"/>
      <c r="Q54" s="15"/>
    </row>
    <row r="55" spans="1:19" ht="14.1" customHeight="1" x14ac:dyDescent="0.2">
      <c r="A55" s="2" t="s">
        <v>120</v>
      </c>
      <c r="B55" s="2" t="s">
        <v>81</v>
      </c>
      <c r="C55" s="2">
        <v>2</v>
      </c>
      <c r="D55" s="2" t="s">
        <v>41</v>
      </c>
      <c r="E55" s="44" t="s">
        <v>841</v>
      </c>
      <c r="F55" s="2" t="s">
        <v>1157</v>
      </c>
      <c r="G55" s="2" t="s">
        <v>1157</v>
      </c>
      <c r="H55" s="15" t="s">
        <v>843</v>
      </c>
      <c r="I55" s="2">
        <v>115</v>
      </c>
      <c r="J55" s="2">
        <v>115</v>
      </c>
      <c r="K55" s="15" t="s">
        <v>844</v>
      </c>
      <c r="L55" s="46">
        <v>16</v>
      </c>
      <c r="M55" s="46">
        <v>16</v>
      </c>
      <c r="N55" s="15"/>
      <c r="Q55" s="15"/>
    </row>
    <row r="56" spans="1:19" ht="14.1" customHeight="1" x14ac:dyDescent="0.2">
      <c r="A56" s="2" t="s">
        <v>121</v>
      </c>
      <c r="B56" s="2" t="s">
        <v>81</v>
      </c>
      <c r="C56" s="2">
        <v>2</v>
      </c>
      <c r="D56" s="2" t="s">
        <v>42</v>
      </c>
      <c r="E56" s="44" t="s">
        <v>841</v>
      </c>
      <c r="F56" s="2" t="s">
        <v>1157</v>
      </c>
      <c r="G56" s="2" t="s">
        <v>1157</v>
      </c>
      <c r="H56" s="15" t="s">
        <v>843</v>
      </c>
      <c r="I56" s="2">
        <v>150</v>
      </c>
      <c r="J56" s="2">
        <v>150</v>
      </c>
      <c r="K56" s="15" t="s">
        <v>844</v>
      </c>
      <c r="L56" s="46">
        <v>22</v>
      </c>
      <c r="M56" s="46">
        <v>22</v>
      </c>
      <c r="N56" s="15"/>
      <c r="Q56" s="15"/>
    </row>
    <row r="57" spans="1:19" ht="14.1" customHeight="1" x14ac:dyDescent="0.2">
      <c r="A57" s="2" t="s">
        <v>122</v>
      </c>
      <c r="B57" s="2" t="s">
        <v>81</v>
      </c>
      <c r="C57" s="2">
        <v>2</v>
      </c>
      <c r="D57" s="2" t="s">
        <v>43</v>
      </c>
      <c r="E57" s="44" t="s">
        <v>841</v>
      </c>
      <c r="F57" s="2" t="s">
        <v>1157</v>
      </c>
      <c r="G57" s="2" t="s">
        <v>1157</v>
      </c>
      <c r="H57" s="15" t="s">
        <v>843</v>
      </c>
      <c r="I57" s="2">
        <v>150</v>
      </c>
      <c r="J57" s="2">
        <v>150</v>
      </c>
      <c r="K57" s="15" t="s">
        <v>844</v>
      </c>
      <c r="L57" s="46">
        <v>25</v>
      </c>
      <c r="M57" s="46">
        <v>25</v>
      </c>
      <c r="N57" s="15" t="s">
        <v>95</v>
      </c>
      <c r="O57" s="2">
        <v>11</v>
      </c>
      <c r="P57" s="2">
        <v>11</v>
      </c>
      <c r="Q57" s="15"/>
    </row>
    <row r="58" spans="1:19" ht="14.1" customHeight="1" x14ac:dyDescent="0.2">
      <c r="A58" s="2" t="s">
        <v>123</v>
      </c>
      <c r="B58" s="2" t="s">
        <v>81</v>
      </c>
      <c r="C58" s="2">
        <v>2</v>
      </c>
      <c r="D58" s="2" t="s">
        <v>44</v>
      </c>
      <c r="E58" s="44" t="s">
        <v>841</v>
      </c>
      <c r="F58" s="2" t="s">
        <v>1157</v>
      </c>
      <c r="G58" s="2" t="s">
        <v>1157</v>
      </c>
      <c r="H58" s="15" t="s">
        <v>843</v>
      </c>
      <c r="I58" s="2">
        <v>150</v>
      </c>
      <c r="J58" s="2">
        <v>150</v>
      </c>
      <c r="K58" s="15" t="s">
        <v>844</v>
      </c>
      <c r="L58" s="47">
        <v>41</v>
      </c>
      <c r="M58" s="47">
        <v>41</v>
      </c>
      <c r="N58" s="15" t="s">
        <v>95</v>
      </c>
      <c r="O58" s="2">
        <v>20</v>
      </c>
      <c r="P58" s="2">
        <v>20</v>
      </c>
      <c r="Q58" s="15"/>
    </row>
    <row r="59" spans="1:19" ht="14.1" customHeight="1" x14ac:dyDescent="0.2">
      <c r="A59" s="2" t="s">
        <v>124</v>
      </c>
      <c r="B59" s="2" t="s">
        <v>81</v>
      </c>
      <c r="C59" s="2">
        <v>2</v>
      </c>
      <c r="D59" s="2" t="s">
        <v>45</v>
      </c>
      <c r="E59" s="44" t="s">
        <v>841</v>
      </c>
      <c r="F59" s="2" t="s">
        <v>1157</v>
      </c>
      <c r="G59" s="2" t="s">
        <v>1157</v>
      </c>
      <c r="H59" s="15" t="s">
        <v>843</v>
      </c>
      <c r="I59" s="2">
        <v>150</v>
      </c>
      <c r="J59" s="2">
        <v>150</v>
      </c>
      <c r="K59" s="15" t="s">
        <v>844</v>
      </c>
      <c r="L59" s="47">
        <v>69</v>
      </c>
      <c r="M59" s="47">
        <v>69</v>
      </c>
      <c r="N59" s="15" t="s">
        <v>95</v>
      </c>
      <c r="O59" s="2">
        <v>35</v>
      </c>
      <c r="P59" s="2">
        <v>35</v>
      </c>
      <c r="Q59" s="15"/>
    </row>
    <row r="60" spans="1:19" ht="14.1" customHeight="1" x14ac:dyDescent="0.2">
      <c r="A60" s="2" t="s">
        <v>125</v>
      </c>
      <c r="B60" s="2" t="s">
        <v>81</v>
      </c>
      <c r="C60" s="2">
        <v>2</v>
      </c>
      <c r="D60" s="2" t="s">
        <v>46</v>
      </c>
      <c r="E60" s="44" t="s">
        <v>841</v>
      </c>
      <c r="F60" s="2" t="s">
        <v>1157</v>
      </c>
      <c r="G60" s="2" t="s">
        <v>1157</v>
      </c>
      <c r="H60" s="15" t="s">
        <v>843</v>
      </c>
      <c r="I60" s="2">
        <v>150</v>
      </c>
      <c r="J60" s="2">
        <v>150</v>
      </c>
      <c r="K60" s="15" t="s">
        <v>844</v>
      </c>
      <c r="L60" s="47">
        <v>80</v>
      </c>
      <c r="M60" s="47">
        <v>80</v>
      </c>
      <c r="N60" s="15" t="s">
        <v>95</v>
      </c>
      <c r="O60" s="2">
        <v>45</v>
      </c>
      <c r="P60" s="2">
        <v>45</v>
      </c>
      <c r="Q60" s="15"/>
    </row>
    <row r="61" spans="1:19" ht="14.1" customHeight="1" x14ac:dyDescent="0.2">
      <c r="A61" s="2" t="s">
        <v>126</v>
      </c>
      <c r="B61" s="2" t="s">
        <v>81</v>
      </c>
      <c r="C61" s="2">
        <v>2</v>
      </c>
      <c r="D61" s="2" t="s">
        <v>47</v>
      </c>
      <c r="E61" s="44" t="s">
        <v>841</v>
      </c>
      <c r="F61" s="2" t="s">
        <v>1157</v>
      </c>
      <c r="G61" s="2" t="s">
        <v>1157</v>
      </c>
      <c r="H61" s="15" t="s">
        <v>843</v>
      </c>
      <c r="I61" s="2">
        <v>150</v>
      </c>
      <c r="J61" s="2">
        <v>150</v>
      </c>
      <c r="K61" s="15" t="s">
        <v>844</v>
      </c>
      <c r="L61" s="47">
        <v>107</v>
      </c>
      <c r="M61" s="47">
        <v>107</v>
      </c>
      <c r="N61" s="15" t="s">
        <v>95</v>
      </c>
      <c r="O61" s="2">
        <v>70</v>
      </c>
      <c r="P61" s="2">
        <v>70</v>
      </c>
      <c r="Q61" s="15"/>
    </row>
    <row r="62" spans="1:19" ht="14.1" customHeight="1" x14ac:dyDescent="0.2">
      <c r="A62" s="2" t="s">
        <v>127</v>
      </c>
      <c r="B62" s="2" t="s">
        <v>81</v>
      </c>
      <c r="C62" s="2">
        <v>2</v>
      </c>
      <c r="D62" s="2" t="s">
        <v>48</v>
      </c>
      <c r="E62" s="44" t="s">
        <v>841</v>
      </c>
      <c r="F62" s="2" t="s">
        <v>1157</v>
      </c>
      <c r="G62" s="2" t="s">
        <v>1157</v>
      </c>
      <c r="H62" s="15" t="s">
        <v>843</v>
      </c>
      <c r="I62" s="2">
        <v>200</v>
      </c>
      <c r="J62" s="2">
        <v>200</v>
      </c>
      <c r="K62" s="15" t="s">
        <v>844</v>
      </c>
      <c r="L62" s="47">
        <v>120</v>
      </c>
      <c r="M62" s="47">
        <v>120</v>
      </c>
      <c r="N62" s="15" t="s">
        <v>95</v>
      </c>
      <c r="O62" s="2">
        <v>77</v>
      </c>
      <c r="P62" s="2">
        <v>77</v>
      </c>
      <c r="Q62" s="15" t="s">
        <v>96</v>
      </c>
      <c r="R62" s="2">
        <v>5</v>
      </c>
      <c r="S62" s="2">
        <v>5</v>
      </c>
    </row>
    <row r="63" spans="1:19" ht="14.1" customHeight="1" x14ac:dyDescent="0.2">
      <c r="A63" s="2" t="s">
        <v>128</v>
      </c>
      <c r="B63" s="2" t="s">
        <v>81</v>
      </c>
      <c r="C63" s="2">
        <v>2</v>
      </c>
      <c r="D63" s="2" t="s">
        <v>49</v>
      </c>
      <c r="E63" s="44" t="s">
        <v>841</v>
      </c>
      <c r="F63" s="2" t="s">
        <v>1157</v>
      </c>
      <c r="G63" s="2" t="s">
        <v>1157</v>
      </c>
      <c r="H63" s="15" t="s">
        <v>843</v>
      </c>
      <c r="I63" s="2">
        <v>200</v>
      </c>
      <c r="J63" s="2">
        <v>200</v>
      </c>
      <c r="K63" s="15" t="s">
        <v>844</v>
      </c>
      <c r="L63" s="47">
        <v>150</v>
      </c>
      <c r="M63" s="47">
        <v>150</v>
      </c>
      <c r="N63" s="15" t="s">
        <v>95</v>
      </c>
      <c r="O63" s="2">
        <v>95</v>
      </c>
      <c r="P63" s="2">
        <v>95</v>
      </c>
      <c r="Q63" s="15" t="s">
        <v>96</v>
      </c>
      <c r="R63" s="2">
        <v>15</v>
      </c>
      <c r="S63" s="2">
        <v>15</v>
      </c>
    </row>
    <row r="64" spans="1:19" ht="14.1" customHeight="1" x14ac:dyDescent="0.2">
      <c r="A64" s="2" t="s">
        <v>129</v>
      </c>
      <c r="B64" s="2" t="s">
        <v>81</v>
      </c>
      <c r="C64" s="2">
        <v>2</v>
      </c>
      <c r="D64" s="2" t="s">
        <v>50</v>
      </c>
      <c r="E64" s="44" t="s">
        <v>841</v>
      </c>
      <c r="F64" s="2" t="s">
        <v>1157</v>
      </c>
      <c r="G64" s="2" t="s">
        <v>1157</v>
      </c>
      <c r="H64" s="15" t="s">
        <v>843</v>
      </c>
      <c r="I64" s="2">
        <v>200</v>
      </c>
      <c r="J64" s="2">
        <v>200</v>
      </c>
      <c r="K64" s="15" t="s">
        <v>844</v>
      </c>
      <c r="L64" s="47">
        <v>200</v>
      </c>
      <c r="M64" s="47">
        <v>200</v>
      </c>
      <c r="N64" s="15" t="s">
        <v>95</v>
      </c>
      <c r="O64" s="2">
        <v>113</v>
      </c>
      <c r="P64" s="2">
        <v>113</v>
      </c>
      <c r="Q64" s="15" t="s">
        <v>96</v>
      </c>
      <c r="R64" s="2">
        <v>25</v>
      </c>
      <c r="S64" s="2">
        <v>25</v>
      </c>
    </row>
    <row r="65" spans="1:19" ht="14.1" customHeight="1" x14ac:dyDescent="0.2">
      <c r="A65" s="2" t="s">
        <v>130</v>
      </c>
      <c r="B65" s="2" t="s">
        <v>81</v>
      </c>
      <c r="C65" s="2">
        <v>2</v>
      </c>
      <c r="D65" s="2" t="s">
        <v>51</v>
      </c>
      <c r="E65" s="44" t="s">
        <v>841</v>
      </c>
      <c r="F65" s="2" t="s">
        <v>1157</v>
      </c>
      <c r="G65" s="2" t="s">
        <v>1157</v>
      </c>
      <c r="H65" s="15" t="s">
        <v>843</v>
      </c>
      <c r="I65" s="2">
        <v>200</v>
      </c>
      <c r="J65" s="2">
        <v>200</v>
      </c>
      <c r="K65" s="15" t="s">
        <v>844</v>
      </c>
      <c r="L65" s="47">
        <v>200</v>
      </c>
      <c r="M65" s="47">
        <v>200</v>
      </c>
      <c r="N65" s="15" t="s">
        <v>95</v>
      </c>
      <c r="O65" s="2">
        <v>155</v>
      </c>
      <c r="P65" s="2">
        <v>155</v>
      </c>
      <c r="Q65" s="15" t="s">
        <v>96</v>
      </c>
      <c r="R65" s="2">
        <v>45</v>
      </c>
      <c r="S65" s="2">
        <v>45</v>
      </c>
    </row>
    <row r="66" spans="1:19" ht="14.1" customHeight="1" x14ac:dyDescent="0.2">
      <c r="A66" s="2" t="s">
        <v>131</v>
      </c>
      <c r="B66" s="2" t="s">
        <v>81</v>
      </c>
      <c r="C66" s="2">
        <v>2</v>
      </c>
      <c r="D66" s="2" t="s">
        <v>52</v>
      </c>
      <c r="E66" s="44" t="s">
        <v>841</v>
      </c>
      <c r="F66" s="2" t="s">
        <v>1157</v>
      </c>
      <c r="G66" s="2" t="s">
        <v>1157</v>
      </c>
      <c r="H66" s="15" t="s">
        <v>843</v>
      </c>
      <c r="I66" s="2">
        <v>200</v>
      </c>
      <c r="J66" s="2">
        <v>200</v>
      </c>
      <c r="K66" s="15" t="s">
        <v>844</v>
      </c>
      <c r="L66" s="47">
        <v>200</v>
      </c>
      <c r="M66" s="47">
        <v>200</v>
      </c>
      <c r="N66" s="15" t="s">
        <v>95</v>
      </c>
      <c r="O66" s="2">
        <v>195</v>
      </c>
      <c r="P66" s="2">
        <v>195</v>
      </c>
      <c r="Q66" s="15" t="s">
        <v>96</v>
      </c>
      <c r="R66" s="2">
        <v>75</v>
      </c>
      <c r="S66" s="2">
        <v>75</v>
      </c>
    </row>
    <row r="67" spans="1:19" ht="14.1" customHeight="1" x14ac:dyDescent="0.2">
      <c r="A67" s="2" t="s">
        <v>452</v>
      </c>
      <c r="B67" s="2" t="s">
        <v>451</v>
      </c>
      <c r="C67" s="2" t="s">
        <v>9</v>
      </c>
      <c r="D67" s="2" t="s">
        <v>9</v>
      </c>
      <c r="E67" s="44" t="s">
        <v>863</v>
      </c>
      <c r="F67" s="2" t="s">
        <v>4</v>
      </c>
      <c r="G67" s="2" t="s">
        <v>4</v>
      </c>
      <c r="H67" s="15"/>
      <c r="K67" s="15"/>
      <c r="L67" s="46"/>
      <c r="M67" s="46"/>
      <c r="N67" s="15"/>
      <c r="Q67" s="15"/>
    </row>
    <row r="68" spans="1:19" ht="14.1" customHeight="1" x14ac:dyDescent="0.2">
      <c r="A68" s="2" t="s">
        <v>453</v>
      </c>
      <c r="B68" s="2" t="s">
        <v>451</v>
      </c>
      <c r="C68" s="2" t="s">
        <v>9</v>
      </c>
      <c r="D68" s="2" t="s">
        <v>0</v>
      </c>
      <c r="E68" s="44" t="s">
        <v>863</v>
      </c>
      <c r="F68" s="2" t="s">
        <v>4</v>
      </c>
      <c r="G68" s="2" t="s">
        <v>4</v>
      </c>
      <c r="H68" s="15" t="s">
        <v>843</v>
      </c>
      <c r="I68" s="2">
        <v>9</v>
      </c>
      <c r="J68" s="2">
        <v>9</v>
      </c>
      <c r="K68" s="15"/>
      <c r="L68" s="46"/>
      <c r="M68" s="46"/>
      <c r="N68" s="15"/>
      <c r="Q68" s="15"/>
    </row>
    <row r="69" spans="1:19" ht="14.1" customHeight="1" x14ac:dyDescent="0.2">
      <c r="A69" s="2" t="s">
        <v>454</v>
      </c>
      <c r="B69" s="2" t="s">
        <v>451</v>
      </c>
      <c r="C69" s="2" t="s">
        <v>9</v>
      </c>
      <c r="D69" s="2" t="s">
        <v>34</v>
      </c>
      <c r="E69" s="44" t="s">
        <v>863</v>
      </c>
      <c r="F69" s="2" t="s">
        <v>4</v>
      </c>
      <c r="G69" s="2" t="s">
        <v>4</v>
      </c>
      <c r="H69" s="15" t="s">
        <v>843</v>
      </c>
      <c r="I69" s="2">
        <v>15</v>
      </c>
      <c r="J69" s="2">
        <v>15</v>
      </c>
      <c r="K69" s="15"/>
      <c r="L69" s="46"/>
      <c r="M69" s="46"/>
      <c r="N69" s="15"/>
      <c r="Q69" s="15"/>
    </row>
    <row r="70" spans="1:19" ht="14.1" customHeight="1" x14ac:dyDescent="0.2">
      <c r="A70" s="2" t="s">
        <v>455</v>
      </c>
      <c r="B70" s="2" t="s">
        <v>451</v>
      </c>
      <c r="C70" s="2" t="s">
        <v>9</v>
      </c>
      <c r="D70" s="2" t="s">
        <v>35</v>
      </c>
      <c r="E70" s="44" t="s">
        <v>863</v>
      </c>
      <c r="F70" s="2" t="s">
        <v>4</v>
      </c>
      <c r="G70" s="2" t="s">
        <v>4</v>
      </c>
      <c r="H70" s="15" t="s">
        <v>843</v>
      </c>
      <c r="I70" s="2">
        <v>23</v>
      </c>
      <c r="J70" s="2">
        <v>23</v>
      </c>
      <c r="K70" s="15"/>
      <c r="L70" s="46"/>
      <c r="M70" s="46"/>
      <c r="N70" s="15"/>
      <c r="Q70" s="15"/>
    </row>
    <row r="71" spans="1:19" ht="14.1" customHeight="1" x14ac:dyDescent="0.2">
      <c r="A71" s="2" t="s">
        <v>456</v>
      </c>
      <c r="B71" s="2" t="s">
        <v>451</v>
      </c>
      <c r="C71" s="2" t="s">
        <v>9</v>
      </c>
      <c r="D71" s="2" t="s">
        <v>36</v>
      </c>
      <c r="E71" s="44" t="s">
        <v>863</v>
      </c>
      <c r="F71" s="2" t="s">
        <v>4</v>
      </c>
      <c r="G71" s="2" t="s">
        <v>4</v>
      </c>
      <c r="H71" s="15" t="s">
        <v>843</v>
      </c>
      <c r="I71" s="2">
        <v>34</v>
      </c>
      <c r="J71" s="2">
        <v>34</v>
      </c>
      <c r="K71" s="15"/>
      <c r="L71" s="46"/>
      <c r="M71" s="46"/>
      <c r="N71" s="15"/>
      <c r="Q71" s="15"/>
    </row>
    <row r="72" spans="1:19" ht="14.1" customHeight="1" x14ac:dyDescent="0.2">
      <c r="A72" s="2" t="s">
        <v>457</v>
      </c>
      <c r="B72" s="2" t="s">
        <v>451</v>
      </c>
      <c r="C72" s="2" t="s">
        <v>9</v>
      </c>
      <c r="D72" s="2" t="s">
        <v>37</v>
      </c>
      <c r="E72" s="44" t="s">
        <v>863</v>
      </c>
      <c r="F72" s="2" t="s">
        <v>4</v>
      </c>
      <c r="G72" s="2" t="s">
        <v>4</v>
      </c>
      <c r="H72" s="15" t="s">
        <v>843</v>
      </c>
      <c r="I72" s="2">
        <v>47</v>
      </c>
      <c r="J72" s="2">
        <v>47</v>
      </c>
      <c r="K72" s="15"/>
      <c r="L72" s="46"/>
      <c r="M72" s="46"/>
      <c r="N72" s="15"/>
      <c r="Q72" s="15"/>
    </row>
    <row r="73" spans="1:19" ht="14.1" customHeight="1" x14ac:dyDescent="0.2">
      <c r="A73" s="2" t="s">
        <v>458</v>
      </c>
      <c r="B73" s="2" t="s">
        <v>451</v>
      </c>
      <c r="C73" s="2" t="s">
        <v>9</v>
      </c>
      <c r="D73" s="2" t="s">
        <v>38</v>
      </c>
      <c r="E73" s="44" t="s">
        <v>863</v>
      </c>
      <c r="F73" s="2" t="s">
        <v>4</v>
      </c>
      <c r="G73" s="2" t="s">
        <v>4</v>
      </c>
      <c r="H73" s="15" t="s">
        <v>843</v>
      </c>
      <c r="I73" s="2">
        <v>54</v>
      </c>
      <c r="J73" s="2">
        <v>54</v>
      </c>
      <c r="K73" s="15" t="s">
        <v>844</v>
      </c>
      <c r="L73" s="46">
        <v>4</v>
      </c>
      <c r="M73" s="46">
        <v>4</v>
      </c>
      <c r="N73" s="15"/>
      <c r="Q73" s="15"/>
    </row>
    <row r="74" spans="1:19" ht="14.1" customHeight="1" x14ac:dyDescent="0.2">
      <c r="A74" s="2" t="s">
        <v>459</v>
      </c>
      <c r="B74" s="2" t="s">
        <v>451</v>
      </c>
      <c r="C74" s="2" t="s">
        <v>9</v>
      </c>
      <c r="D74" s="2" t="s">
        <v>39</v>
      </c>
      <c r="E74" s="44" t="s">
        <v>863</v>
      </c>
      <c r="F74" s="2" t="s">
        <v>4</v>
      </c>
      <c r="G74" s="2" t="s">
        <v>4</v>
      </c>
      <c r="H74" s="15" t="s">
        <v>843</v>
      </c>
      <c r="I74" s="2">
        <v>62</v>
      </c>
      <c r="J74" s="2">
        <v>62</v>
      </c>
      <c r="K74" s="15" t="s">
        <v>844</v>
      </c>
      <c r="L74" s="46">
        <v>9</v>
      </c>
      <c r="M74" s="46">
        <v>9</v>
      </c>
      <c r="N74" s="15"/>
      <c r="Q74" s="15"/>
    </row>
    <row r="75" spans="1:19" ht="14.1" customHeight="1" x14ac:dyDescent="0.2">
      <c r="A75" s="2" t="s">
        <v>460</v>
      </c>
      <c r="B75" s="2" t="s">
        <v>451</v>
      </c>
      <c r="C75" s="2" t="s">
        <v>9</v>
      </c>
      <c r="D75" s="2" t="s">
        <v>40</v>
      </c>
      <c r="E75" s="44" t="s">
        <v>863</v>
      </c>
      <c r="F75" s="2" t="s">
        <v>4</v>
      </c>
      <c r="G75" s="2" t="s">
        <v>4</v>
      </c>
      <c r="H75" s="15" t="s">
        <v>843</v>
      </c>
      <c r="I75" s="2">
        <v>85</v>
      </c>
      <c r="J75" s="2">
        <v>85</v>
      </c>
      <c r="K75" s="15" t="s">
        <v>844</v>
      </c>
      <c r="L75" s="46">
        <v>12</v>
      </c>
      <c r="M75" s="46">
        <v>12</v>
      </c>
      <c r="N75" s="15"/>
      <c r="Q75" s="15"/>
    </row>
    <row r="76" spans="1:19" ht="14.1" customHeight="1" x14ac:dyDescent="0.2">
      <c r="A76" s="2" t="s">
        <v>461</v>
      </c>
      <c r="B76" s="2" t="s">
        <v>451</v>
      </c>
      <c r="C76" s="2" t="s">
        <v>9</v>
      </c>
      <c r="D76" s="2" t="s">
        <v>41</v>
      </c>
      <c r="E76" s="44" t="s">
        <v>863</v>
      </c>
      <c r="F76" s="2" t="s">
        <v>4</v>
      </c>
      <c r="G76" s="2" t="s">
        <v>4</v>
      </c>
      <c r="H76" s="15" t="s">
        <v>843</v>
      </c>
      <c r="I76" s="2">
        <v>115</v>
      </c>
      <c r="J76" s="2">
        <v>115</v>
      </c>
      <c r="K76" s="15" t="s">
        <v>844</v>
      </c>
      <c r="L76" s="46">
        <v>16</v>
      </c>
      <c r="M76" s="46">
        <v>16</v>
      </c>
      <c r="N76" s="15"/>
      <c r="Q76" s="15"/>
    </row>
    <row r="77" spans="1:19" ht="14.1" customHeight="1" x14ac:dyDescent="0.2">
      <c r="A77" s="2" t="s">
        <v>462</v>
      </c>
      <c r="B77" s="2" t="s">
        <v>451</v>
      </c>
      <c r="C77" s="2" t="s">
        <v>9</v>
      </c>
      <c r="D77" s="2" t="s">
        <v>42</v>
      </c>
      <c r="E77" s="44" t="s">
        <v>863</v>
      </c>
      <c r="F77" s="2" t="s">
        <v>4</v>
      </c>
      <c r="G77" s="2" t="s">
        <v>4</v>
      </c>
      <c r="H77" s="15" t="s">
        <v>843</v>
      </c>
      <c r="I77" s="2">
        <v>150</v>
      </c>
      <c r="J77" s="2">
        <v>150</v>
      </c>
      <c r="K77" s="15" t="s">
        <v>844</v>
      </c>
      <c r="L77" s="46">
        <v>22</v>
      </c>
      <c r="M77" s="46">
        <v>22</v>
      </c>
      <c r="N77" s="15"/>
      <c r="Q77" s="15"/>
    </row>
    <row r="78" spans="1:19" ht="14.1" customHeight="1" x14ac:dyDescent="0.2">
      <c r="A78" s="2" t="s">
        <v>463</v>
      </c>
      <c r="B78" s="2" t="s">
        <v>451</v>
      </c>
      <c r="C78" s="2" t="s">
        <v>9</v>
      </c>
      <c r="D78" s="2" t="s">
        <v>43</v>
      </c>
      <c r="E78" s="44" t="s">
        <v>863</v>
      </c>
      <c r="F78" s="2" t="s">
        <v>4</v>
      </c>
      <c r="G78" s="2" t="s">
        <v>4</v>
      </c>
      <c r="H78" s="15" t="s">
        <v>843</v>
      </c>
      <c r="I78" s="2">
        <v>150</v>
      </c>
      <c r="J78" s="2">
        <v>150</v>
      </c>
      <c r="K78" s="15" t="s">
        <v>844</v>
      </c>
      <c r="L78" s="46">
        <v>25</v>
      </c>
      <c r="M78" s="46">
        <v>25</v>
      </c>
      <c r="N78" s="15" t="s">
        <v>95</v>
      </c>
      <c r="O78" s="2">
        <v>11</v>
      </c>
      <c r="P78" s="2">
        <v>11</v>
      </c>
      <c r="Q78" s="15"/>
    </row>
    <row r="79" spans="1:19" ht="14.1" customHeight="1" x14ac:dyDescent="0.2">
      <c r="A79" s="2" t="s">
        <v>464</v>
      </c>
      <c r="B79" s="2" t="s">
        <v>451</v>
      </c>
      <c r="C79" s="2" t="s">
        <v>9</v>
      </c>
      <c r="D79" s="2" t="s">
        <v>44</v>
      </c>
      <c r="E79" s="44" t="s">
        <v>863</v>
      </c>
      <c r="F79" s="2" t="s">
        <v>4</v>
      </c>
      <c r="G79" s="2" t="s">
        <v>4</v>
      </c>
      <c r="H79" s="15" t="s">
        <v>843</v>
      </c>
      <c r="I79" s="2">
        <v>150</v>
      </c>
      <c r="J79" s="2">
        <v>150</v>
      </c>
      <c r="K79" s="15" t="s">
        <v>844</v>
      </c>
      <c r="L79" s="47">
        <v>41</v>
      </c>
      <c r="M79" s="47">
        <v>41</v>
      </c>
      <c r="N79" s="15" t="s">
        <v>95</v>
      </c>
      <c r="O79" s="2">
        <v>20</v>
      </c>
      <c r="P79" s="2">
        <v>20</v>
      </c>
      <c r="Q79" s="15"/>
    </row>
    <row r="80" spans="1:19" ht="14.1" customHeight="1" x14ac:dyDescent="0.2">
      <c r="A80" s="2" t="s">
        <v>465</v>
      </c>
      <c r="B80" s="2" t="s">
        <v>451</v>
      </c>
      <c r="C80" s="2" t="s">
        <v>9</v>
      </c>
      <c r="D80" s="2" t="s">
        <v>45</v>
      </c>
      <c r="E80" s="44" t="s">
        <v>863</v>
      </c>
      <c r="F80" s="2" t="s">
        <v>4</v>
      </c>
      <c r="G80" s="2" t="s">
        <v>4</v>
      </c>
      <c r="H80" s="15" t="s">
        <v>843</v>
      </c>
      <c r="I80" s="2">
        <v>150</v>
      </c>
      <c r="J80" s="2">
        <v>150</v>
      </c>
      <c r="K80" s="15" t="s">
        <v>844</v>
      </c>
      <c r="L80" s="47">
        <v>69</v>
      </c>
      <c r="M80" s="47">
        <v>69</v>
      </c>
      <c r="N80" s="15" t="s">
        <v>95</v>
      </c>
      <c r="O80" s="2">
        <v>35</v>
      </c>
      <c r="P80" s="2">
        <v>35</v>
      </c>
      <c r="Q80" s="15"/>
    </row>
    <row r="81" spans="1:19" ht="14.1" customHeight="1" x14ac:dyDescent="0.2">
      <c r="A81" s="2" t="s">
        <v>466</v>
      </c>
      <c r="B81" s="2" t="s">
        <v>451</v>
      </c>
      <c r="C81" s="2" t="s">
        <v>9</v>
      </c>
      <c r="D81" s="2" t="s">
        <v>46</v>
      </c>
      <c r="E81" s="44" t="s">
        <v>863</v>
      </c>
      <c r="F81" s="2" t="s">
        <v>4</v>
      </c>
      <c r="G81" s="2" t="s">
        <v>4</v>
      </c>
      <c r="H81" s="15" t="s">
        <v>843</v>
      </c>
      <c r="I81" s="2">
        <v>150</v>
      </c>
      <c r="J81" s="2">
        <v>150</v>
      </c>
      <c r="K81" s="15" t="s">
        <v>844</v>
      </c>
      <c r="L81" s="47">
        <v>80</v>
      </c>
      <c r="M81" s="47">
        <v>80</v>
      </c>
      <c r="N81" s="15" t="s">
        <v>95</v>
      </c>
      <c r="O81" s="2">
        <v>45</v>
      </c>
      <c r="P81" s="2">
        <v>45</v>
      </c>
      <c r="Q81" s="15"/>
    </row>
    <row r="82" spans="1:19" ht="14.1" customHeight="1" x14ac:dyDescent="0.2">
      <c r="A82" s="2" t="s">
        <v>467</v>
      </c>
      <c r="B82" s="2" t="s">
        <v>451</v>
      </c>
      <c r="C82" s="7" t="s">
        <v>9</v>
      </c>
      <c r="D82" s="2" t="s">
        <v>47</v>
      </c>
      <c r="E82" s="44" t="s">
        <v>863</v>
      </c>
      <c r="F82" s="2" t="s">
        <v>4</v>
      </c>
      <c r="G82" s="2" t="s">
        <v>4</v>
      </c>
      <c r="H82" s="15" t="s">
        <v>843</v>
      </c>
      <c r="I82" s="2">
        <v>150</v>
      </c>
      <c r="J82" s="2">
        <v>150</v>
      </c>
      <c r="K82" s="15" t="s">
        <v>844</v>
      </c>
      <c r="L82" s="47">
        <v>107</v>
      </c>
      <c r="M82" s="47">
        <v>107</v>
      </c>
      <c r="N82" s="15" t="s">
        <v>95</v>
      </c>
      <c r="O82" s="2">
        <v>70</v>
      </c>
      <c r="P82" s="2">
        <v>70</v>
      </c>
      <c r="Q82" s="15"/>
    </row>
    <row r="83" spans="1:19" ht="14.1" customHeight="1" x14ac:dyDescent="0.2">
      <c r="A83" s="2" t="s">
        <v>468</v>
      </c>
      <c r="B83" s="2" t="s">
        <v>451</v>
      </c>
      <c r="C83" s="7" t="s">
        <v>9</v>
      </c>
      <c r="D83" s="2" t="s">
        <v>48</v>
      </c>
      <c r="E83" s="44" t="s">
        <v>863</v>
      </c>
      <c r="F83" s="2" t="s">
        <v>4</v>
      </c>
      <c r="G83" s="2" t="s">
        <v>4</v>
      </c>
      <c r="H83" s="15" t="s">
        <v>843</v>
      </c>
      <c r="I83" s="2">
        <v>200</v>
      </c>
      <c r="J83" s="2">
        <v>200</v>
      </c>
      <c r="K83" s="15" t="s">
        <v>844</v>
      </c>
      <c r="L83" s="47">
        <v>120</v>
      </c>
      <c r="M83" s="47">
        <v>120</v>
      </c>
      <c r="N83" s="15" t="s">
        <v>95</v>
      </c>
      <c r="O83" s="2">
        <v>77</v>
      </c>
      <c r="P83" s="2">
        <v>77</v>
      </c>
      <c r="Q83" s="15" t="s">
        <v>96</v>
      </c>
      <c r="R83" s="2">
        <v>5</v>
      </c>
      <c r="S83" s="2">
        <v>5</v>
      </c>
    </row>
    <row r="84" spans="1:19" ht="14.1" customHeight="1" x14ac:dyDescent="0.2">
      <c r="A84" s="2" t="s">
        <v>469</v>
      </c>
      <c r="B84" s="2" t="s">
        <v>451</v>
      </c>
      <c r="C84" s="7" t="s">
        <v>9</v>
      </c>
      <c r="D84" s="2" t="s">
        <v>49</v>
      </c>
      <c r="E84" s="44" t="s">
        <v>863</v>
      </c>
      <c r="F84" s="2" t="s">
        <v>4</v>
      </c>
      <c r="G84" s="2" t="s">
        <v>4</v>
      </c>
      <c r="H84" s="15" t="s">
        <v>843</v>
      </c>
      <c r="I84" s="2">
        <v>200</v>
      </c>
      <c r="J84" s="2">
        <v>200</v>
      </c>
      <c r="K84" s="15" t="s">
        <v>844</v>
      </c>
      <c r="L84" s="47">
        <v>150</v>
      </c>
      <c r="M84" s="47">
        <v>150</v>
      </c>
      <c r="N84" s="15" t="s">
        <v>95</v>
      </c>
      <c r="O84" s="2">
        <v>95</v>
      </c>
      <c r="P84" s="2">
        <v>95</v>
      </c>
      <c r="Q84" s="15" t="s">
        <v>96</v>
      </c>
      <c r="R84" s="2">
        <v>15</v>
      </c>
      <c r="S84" s="2">
        <v>15</v>
      </c>
    </row>
    <row r="85" spans="1:19" ht="14.1" customHeight="1" x14ac:dyDescent="0.2">
      <c r="A85" s="2" t="s">
        <v>470</v>
      </c>
      <c r="B85" s="2" t="s">
        <v>451</v>
      </c>
      <c r="C85" s="7" t="s">
        <v>9</v>
      </c>
      <c r="D85" s="2" t="s">
        <v>50</v>
      </c>
      <c r="E85" s="44" t="s">
        <v>863</v>
      </c>
      <c r="F85" s="2" t="s">
        <v>4</v>
      </c>
      <c r="G85" s="2" t="s">
        <v>4</v>
      </c>
      <c r="H85" s="15" t="s">
        <v>843</v>
      </c>
      <c r="I85" s="2">
        <v>200</v>
      </c>
      <c r="J85" s="2">
        <v>200</v>
      </c>
      <c r="K85" s="15" t="s">
        <v>844</v>
      </c>
      <c r="L85" s="47">
        <v>200</v>
      </c>
      <c r="M85" s="47">
        <v>200</v>
      </c>
      <c r="N85" s="15" t="s">
        <v>95</v>
      </c>
      <c r="O85" s="2">
        <v>113</v>
      </c>
      <c r="P85" s="2">
        <v>113</v>
      </c>
      <c r="Q85" s="15" t="s">
        <v>96</v>
      </c>
      <c r="R85" s="2">
        <v>25</v>
      </c>
      <c r="S85" s="2">
        <v>25</v>
      </c>
    </row>
    <row r="86" spans="1:19" ht="14.1" customHeight="1" x14ac:dyDescent="0.2">
      <c r="A86" s="2" t="s">
        <v>471</v>
      </c>
      <c r="B86" s="2" t="s">
        <v>451</v>
      </c>
      <c r="C86" s="2" t="s">
        <v>9</v>
      </c>
      <c r="D86" s="2" t="s">
        <v>51</v>
      </c>
      <c r="E86" s="44" t="s">
        <v>863</v>
      </c>
      <c r="F86" s="2" t="s">
        <v>4</v>
      </c>
      <c r="G86" s="2" t="s">
        <v>4</v>
      </c>
      <c r="H86" s="15" t="s">
        <v>843</v>
      </c>
      <c r="I86" s="2">
        <v>200</v>
      </c>
      <c r="J86" s="2">
        <v>200</v>
      </c>
      <c r="K86" s="15" t="s">
        <v>844</v>
      </c>
      <c r="L86" s="47">
        <v>200</v>
      </c>
      <c r="M86" s="47">
        <v>200</v>
      </c>
      <c r="N86" s="15" t="s">
        <v>95</v>
      </c>
      <c r="O86" s="2">
        <v>155</v>
      </c>
      <c r="P86" s="2">
        <v>155</v>
      </c>
      <c r="Q86" s="15" t="s">
        <v>96</v>
      </c>
      <c r="R86" s="2">
        <v>45</v>
      </c>
      <c r="S86" s="2">
        <v>45</v>
      </c>
    </row>
    <row r="87" spans="1:19" ht="14.1" customHeight="1" x14ac:dyDescent="0.2">
      <c r="A87" s="2" t="s">
        <v>472</v>
      </c>
      <c r="B87" s="2" t="s">
        <v>451</v>
      </c>
      <c r="C87" s="2" t="s">
        <v>9</v>
      </c>
      <c r="D87" s="2" t="s">
        <v>52</v>
      </c>
      <c r="E87" s="44" t="s">
        <v>863</v>
      </c>
      <c r="F87" s="2" t="s">
        <v>4</v>
      </c>
      <c r="G87" s="2" t="s">
        <v>4</v>
      </c>
      <c r="H87" s="15" t="s">
        <v>843</v>
      </c>
      <c r="I87" s="2">
        <v>200</v>
      </c>
      <c r="J87" s="2">
        <v>200</v>
      </c>
      <c r="K87" s="15" t="s">
        <v>844</v>
      </c>
      <c r="L87" s="47">
        <v>200</v>
      </c>
      <c r="M87" s="47">
        <v>200</v>
      </c>
      <c r="N87" s="15" t="s">
        <v>95</v>
      </c>
      <c r="O87" s="2">
        <v>195</v>
      </c>
      <c r="P87" s="2">
        <v>195</v>
      </c>
      <c r="Q87" s="15" t="s">
        <v>96</v>
      </c>
      <c r="R87" s="2">
        <v>75</v>
      </c>
      <c r="S87" s="2">
        <v>75</v>
      </c>
    </row>
    <row r="88" spans="1:19" ht="14.1" customHeight="1" x14ac:dyDescent="0.2">
      <c r="A88" s="2" t="s">
        <v>473</v>
      </c>
      <c r="B88" s="2" t="s">
        <v>451</v>
      </c>
      <c r="C88" s="2" t="s">
        <v>0</v>
      </c>
      <c r="D88" s="2" t="s">
        <v>9</v>
      </c>
      <c r="E88" s="44" t="s">
        <v>863</v>
      </c>
      <c r="F88" s="2" t="s">
        <v>1156</v>
      </c>
      <c r="G88" s="2" t="s">
        <v>1156</v>
      </c>
      <c r="H88" s="15"/>
      <c r="K88" s="15"/>
      <c r="L88" s="46"/>
      <c r="M88" s="46"/>
      <c r="N88" s="15"/>
      <c r="Q88" s="15"/>
    </row>
    <row r="89" spans="1:19" ht="14.1" customHeight="1" x14ac:dyDescent="0.2">
      <c r="A89" s="2" t="s">
        <v>474</v>
      </c>
      <c r="B89" s="2" t="s">
        <v>451</v>
      </c>
      <c r="C89" s="2" t="s">
        <v>0</v>
      </c>
      <c r="D89" s="2" t="s">
        <v>0</v>
      </c>
      <c r="E89" s="44" t="s">
        <v>863</v>
      </c>
      <c r="F89" s="2" t="s">
        <v>1156</v>
      </c>
      <c r="G89" s="2" t="s">
        <v>1156</v>
      </c>
      <c r="H89" s="15" t="s">
        <v>843</v>
      </c>
      <c r="I89" s="2">
        <v>9</v>
      </c>
      <c r="J89" s="2">
        <v>9</v>
      </c>
      <c r="K89" s="15"/>
      <c r="L89" s="46"/>
      <c r="M89" s="46"/>
      <c r="N89" s="15"/>
      <c r="Q89" s="15"/>
    </row>
    <row r="90" spans="1:19" ht="14.1" customHeight="1" x14ac:dyDescent="0.2">
      <c r="A90" s="2" t="s">
        <v>475</v>
      </c>
      <c r="B90" s="2" t="s">
        <v>451</v>
      </c>
      <c r="C90" s="2" t="s">
        <v>0</v>
      </c>
      <c r="D90" s="2" t="s">
        <v>34</v>
      </c>
      <c r="E90" s="44" t="s">
        <v>863</v>
      </c>
      <c r="F90" s="2" t="s">
        <v>1156</v>
      </c>
      <c r="G90" s="2" t="s">
        <v>1156</v>
      </c>
      <c r="H90" s="15" t="s">
        <v>843</v>
      </c>
      <c r="I90" s="2">
        <v>15</v>
      </c>
      <c r="J90" s="2">
        <v>15</v>
      </c>
      <c r="K90" s="15"/>
      <c r="L90" s="46"/>
      <c r="M90" s="46"/>
      <c r="N90" s="15"/>
      <c r="Q90" s="15"/>
    </row>
    <row r="91" spans="1:19" ht="14.1" customHeight="1" x14ac:dyDescent="0.2">
      <c r="A91" s="2" t="s">
        <v>476</v>
      </c>
      <c r="B91" s="2" t="s">
        <v>451</v>
      </c>
      <c r="C91" s="2" t="s">
        <v>0</v>
      </c>
      <c r="D91" s="2" t="s">
        <v>35</v>
      </c>
      <c r="E91" s="44" t="s">
        <v>863</v>
      </c>
      <c r="F91" s="2" t="s">
        <v>1156</v>
      </c>
      <c r="G91" s="2" t="s">
        <v>1156</v>
      </c>
      <c r="H91" s="15" t="s">
        <v>843</v>
      </c>
      <c r="I91" s="2">
        <v>23</v>
      </c>
      <c r="J91" s="2">
        <v>23</v>
      </c>
      <c r="K91" s="15"/>
      <c r="L91" s="46"/>
      <c r="M91" s="46"/>
      <c r="N91" s="15"/>
      <c r="Q91" s="15"/>
    </row>
    <row r="92" spans="1:19" ht="14.1" customHeight="1" x14ac:dyDescent="0.2">
      <c r="A92" s="2" t="s">
        <v>477</v>
      </c>
      <c r="B92" s="2" t="s">
        <v>451</v>
      </c>
      <c r="C92" s="2" t="s">
        <v>0</v>
      </c>
      <c r="D92" s="2" t="s">
        <v>36</v>
      </c>
      <c r="E92" s="44" t="s">
        <v>863</v>
      </c>
      <c r="F92" s="2" t="s">
        <v>1156</v>
      </c>
      <c r="G92" s="2" t="s">
        <v>1156</v>
      </c>
      <c r="H92" s="15" t="s">
        <v>843</v>
      </c>
      <c r="I92" s="2">
        <v>34</v>
      </c>
      <c r="J92" s="2">
        <v>34</v>
      </c>
      <c r="K92" s="15"/>
      <c r="L92" s="46"/>
      <c r="M92" s="46"/>
      <c r="N92" s="15"/>
      <c r="Q92" s="15"/>
    </row>
    <row r="93" spans="1:19" ht="14.1" customHeight="1" x14ac:dyDescent="0.2">
      <c r="A93" s="2" t="s">
        <v>478</v>
      </c>
      <c r="B93" s="2" t="s">
        <v>451</v>
      </c>
      <c r="C93" s="2" t="s">
        <v>0</v>
      </c>
      <c r="D93" s="2" t="s">
        <v>37</v>
      </c>
      <c r="E93" s="44" t="s">
        <v>863</v>
      </c>
      <c r="F93" s="2" t="s">
        <v>1156</v>
      </c>
      <c r="G93" s="2" t="s">
        <v>1156</v>
      </c>
      <c r="H93" s="15" t="s">
        <v>843</v>
      </c>
      <c r="I93" s="2">
        <v>47</v>
      </c>
      <c r="J93" s="2">
        <v>47</v>
      </c>
      <c r="K93" s="15"/>
      <c r="L93" s="46"/>
      <c r="M93" s="46"/>
      <c r="N93" s="15"/>
      <c r="Q93" s="15"/>
    </row>
    <row r="94" spans="1:19" ht="14.1" customHeight="1" x14ac:dyDescent="0.2">
      <c r="A94" s="2" t="s">
        <v>479</v>
      </c>
      <c r="B94" s="2" t="s">
        <v>451</v>
      </c>
      <c r="C94" s="2" t="s">
        <v>0</v>
      </c>
      <c r="D94" s="2" t="s">
        <v>38</v>
      </c>
      <c r="E94" s="44" t="s">
        <v>863</v>
      </c>
      <c r="F94" s="2" t="s">
        <v>1156</v>
      </c>
      <c r="G94" s="2" t="s">
        <v>1156</v>
      </c>
      <c r="H94" s="15" t="s">
        <v>843</v>
      </c>
      <c r="I94" s="2">
        <v>54</v>
      </c>
      <c r="J94" s="2">
        <v>54</v>
      </c>
      <c r="K94" s="15" t="s">
        <v>844</v>
      </c>
      <c r="L94" s="46">
        <v>4</v>
      </c>
      <c r="M94" s="46">
        <v>4</v>
      </c>
      <c r="N94" s="15"/>
      <c r="Q94" s="15"/>
    </row>
    <row r="95" spans="1:19" ht="14.1" customHeight="1" x14ac:dyDescent="0.2">
      <c r="A95" s="2" t="s">
        <v>480</v>
      </c>
      <c r="B95" s="2" t="s">
        <v>451</v>
      </c>
      <c r="C95" s="2" t="s">
        <v>0</v>
      </c>
      <c r="D95" s="2" t="s">
        <v>39</v>
      </c>
      <c r="E95" s="44" t="s">
        <v>863</v>
      </c>
      <c r="F95" s="2" t="s">
        <v>1156</v>
      </c>
      <c r="G95" s="2" t="s">
        <v>1156</v>
      </c>
      <c r="H95" s="15" t="s">
        <v>843</v>
      </c>
      <c r="I95" s="2">
        <v>62</v>
      </c>
      <c r="J95" s="2">
        <v>62</v>
      </c>
      <c r="K95" s="15" t="s">
        <v>844</v>
      </c>
      <c r="L95" s="46">
        <v>9</v>
      </c>
      <c r="M95" s="46">
        <v>9</v>
      </c>
      <c r="N95" s="15"/>
      <c r="Q95" s="15"/>
    </row>
    <row r="96" spans="1:19" ht="14.1" customHeight="1" x14ac:dyDescent="0.2">
      <c r="A96" s="2" t="s">
        <v>481</v>
      </c>
      <c r="B96" s="2" t="s">
        <v>451</v>
      </c>
      <c r="C96" s="2" t="s">
        <v>0</v>
      </c>
      <c r="D96" s="2" t="s">
        <v>40</v>
      </c>
      <c r="E96" s="44" t="s">
        <v>863</v>
      </c>
      <c r="F96" s="2" t="s">
        <v>1156</v>
      </c>
      <c r="G96" s="2" t="s">
        <v>1156</v>
      </c>
      <c r="H96" s="15" t="s">
        <v>843</v>
      </c>
      <c r="I96" s="2">
        <v>85</v>
      </c>
      <c r="J96" s="2">
        <v>85</v>
      </c>
      <c r="K96" s="15" t="s">
        <v>844</v>
      </c>
      <c r="L96" s="46">
        <v>12</v>
      </c>
      <c r="M96" s="46">
        <v>12</v>
      </c>
      <c r="N96" s="15"/>
      <c r="Q96" s="15"/>
    </row>
    <row r="97" spans="1:19" ht="14.1" customHeight="1" x14ac:dyDescent="0.2">
      <c r="A97" s="2" t="s">
        <v>482</v>
      </c>
      <c r="B97" s="2" t="s">
        <v>451</v>
      </c>
      <c r="C97" s="2" t="s">
        <v>0</v>
      </c>
      <c r="D97" s="2" t="s">
        <v>41</v>
      </c>
      <c r="E97" s="44" t="s">
        <v>863</v>
      </c>
      <c r="F97" s="2" t="s">
        <v>1156</v>
      </c>
      <c r="G97" s="2" t="s">
        <v>1156</v>
      </c>
      <c r="H97" s="15" t="s">
        <v>843</v>
      </c>
      <c r="I97" s="2">
        <v>115</v>
      </c>
      <c r="J97" s="2">
        <v>115</v>
      </c>
      <c r="K97" s="15" t="s">
        <v>844</v>
      </c>
      <c r="L97" s="46">
        <v>16</v>
      </c>
      <c r="M97" s="46">
        <v>16</v>
      </c>
      <c r="N97" s="15"/>
      <c r="Q97" s="15"/>
    </row>
    <row r="98" spans="1:19" ht="14.1" customHeight="1" x14ac:dyDescent="0.2">
      <c r="A98" s="2" t="s">
        <v>483</v>
      </c>
      <c r="B98" s="2" t="s">
        <v>451</v>
      </c>
      <c r="C98" s="2" t="s">
        <v>0</v>
      </c>
      <c r="D98" s="2" t="s">
        <v>42</v>
      </c>
      <c r="E98" s="44" t="s">
        <v>863</v>
      </c>
      <c r="F98" s="2" t="s">
        <v>1156</v>
      </c>
      <c r="G98" s="2" t="s">
        <v>1156</v>
      </c>
      <c r="H98" s="15" t="s">
        <v>843</v>
      </c>
      <c r="I98" s="2">
        <v>150</v>
      </c>
      <c r="J98" s="2">
        <v>150</v>
      </c>
      <c r="K98" s="15" t="s">
        <v>844</v>
      </c>
      <c r="L98" s="46">
        <v>22</v>
      </c>
      <c r="M98" s="46">
        <v>22</v>
      </c>
      <c r="N98" s="15"/>
      <c r="Q98" s="15"/>
    </row>
    <row r="99" spans="1:19" ht="14.1" customHeight="1" x14ac:dyDescent="0.2">
      <c r="A99" s="2" t="s">
        <v>484</v>
      </c>
      <c r="B99" s="2" t="s">
        <v>451</v>
      </c>
      <c r="C99" s="2" t="s">
        <v>0</v>
      </c>
      <c r="D99" s="2" t="s">
        <v>43</v>
      </c>
      <c r="E99" s="44" t="s">
        <v>863</v>
      </c>
      <c r="F99" s="2" t="s">
        <v>1156</v>
      </c>
      <c r="G99" s="2" t="s">
        <v>1156</v>
      </c>
      <c r="H99" s="15" t="s">
        <v>843</v>
      </c>
      <c r="I99" s="2">
        <v>150</v>
      </c>
      <c r="J99" s="2">
        <v>150</v>
      </c>
      <c r="K99" s="15" t="s">
        <v>844</v>
      </c>
      <c r="L99" s="46">
        <v>25</v>
      </c>
      <c r="M99" s="46">
        <v>25</v>
      </c>
      <c r="N99" s="15" t="s">
        <v>95</v>
      </c>
      <c r="O99" s="2">
        <v>11</v>
      </c>
      <c r="P99" s="2">
        <v>11</v>
      </c>
      <c r="Q99" s="15"/>
    </row>
    <row r="100" spans="1:19" ht="14.1" customHeight="1" x14ac:dyDescent="0.2">
      <c r="A100" s="2" t="s">
        <v>485</v>
      </c>
      <c r="B100" s="2" t="s">
        <v>451</v>
      </c>
      <c r="C100" s="2" t="s">
        <v>0</v>
      </c>
      <c r="D100" s="2" t="s">
        <v>44</v>
      </c>
      <c r="E100" s="44" t="s">
        <v>863</v>
      </c>
      <c r="F100" s="2" t="s">
        <v>1156</v>
      </c>
      <c r="G100" s="2" t="s">
        <v>1156</v>
      </c>
      <c r="H100" s="15" t="s">
        <v>843</v>
      </c>
      <c r="I100" s="2">
        <v>150</v>
      </c>
      <c r="J100" s="2">
        <v>150</v>
      </c>
      <c r="K100" s="15" t="s">
        <v>844</v>
      </c>
      <c r="L100" s="47">
        <v>41</v>
      </c>
      <c r="M100" s="47">
        <v>41</v>
      </c>
      <c r="N100" s="15" t="s">
        <v>95</v>
      </c>
      <c r="O100" s="2">
        <v>20</v>
      </c>
      <c r="P100" s="2">
        <v>20</v>
      </c>
      <c r="Q100" s="15"/>
    </row>
    <row r="101" spans="1:19" ht="14.1" customHeight="1" x14ac:dyDescent="0.2">
      <c r="A101" s="2" t="s">
        <v>486</v>
      </c>
      <c r="B101" s="2" t="s">
        <v>451</v>
      </c>
      <c r="C101" s="2" t="s">
        <v>0</v>
      </c>
      <c r="D101" s="2" t="s">
        <v>45</v>
      </c>
      <c r="E101" s="44" t="s">
        <v>863</v>
      </c>
      <c r="F101" s="2" t="s">
        <v>1156</v>
      </c>
      <c r="G101" s="2" t="s">
        <v>1156</v>
      </c>
      <c r="H101" s="15" t="s">
        <v>843</v>
      </c>
      <c r="I101" s="2">
        <v>150</v>
      </c>
      <c r="J101" s="2">
        <v>150</v>
      </c>
      <c r="K101" s="15" t="s">
        <v>844</v>
      </c>
      <c r="L101" s="47">
        <v>69</v>
      </c>
      <c r="M101" s="47">
        <v>69</v>
      </c>
      <c r="N101" s="15" t="s">
        <v>95</v>
      </c>
      <c r="O101" s="2">
        <v>35</v>
      </c>
      <c r="P101" s="2">
        <v>35</v>
      </c>
      <c r="Q101" s="15"/>
    </row>
    <row r="102" spans="1:19" ht="14.1" customHeight="1" x14ac:dyDescent="0.2">
      <c r="A102" s="2" t="s">
        <v>487</v>
      </c>
      <c r="B102" s="2" t="s">
        <v>451</v>
      </c>
      <c r="C102" s="2" t="s">
        <v>0</v>
      </c>
      <c r="D102" s="2" t="s">
        <v>46</v>
      </c>
      <c r="E102" s="44" t="s">
        <v>863</v>
      </c>
      <c r="F102" s="2" t="s">
        <v>1156</v>
      </c>
      <c r="G102" s="2" t="s">
        <v>1156</v>
      </c>
      <c r="H102" s="15" t="s">
        <v>843</v>
      </c>
      <c r="I102" s="2">
        <v>150</v>
      </c>
      <c r="J102" s="2">
        <v>150</v>
      </c>
      <c r="K102" s="15" t="s">
        <v>844</v>
      </c>
      <c r="L102" s="47">
        <v>80</v>
      </c>
      <c r="M102" s="47">
        <v>80</v>
      </c>
      <c r="N102" s="15" t="s">
        <v>95</v>
      </c>
      <c r="O102" s="2">
        <v>45</v>
      </c>
      <c r="P102" s="2">
        <v>45</v>
      </c>
      <c r="Q102" s="15"/>
    </row>
    <row r="103" spans="1:19" ht="14.1" customHeight="1" x14ac:dyDescent="0.2">
      <c r="A103" s="2" t="s">
        <v>488</v>
      </c>
      <c r="B103" s="2" t="s">
        <v>451</v>
      </c>
      <c r="C103" s="2" t="s">
        <v>0</v>
      </c>
      <c r="D103" s="2" t="s">
        <v>47</v>
      </c>
      <c r="E103" s="44" t="s">
        <v>863</v>
      </c>
      <c r="F103" s="2" t="s">
        <v>1156</v>
      </c>
      <c r="G103" s="2" t="s">
        <v>1156</v>
      </c>
      <c r="H103" s="15" t="s">
        <v>843</v>
      </c>
      <c r="I103" s="2">
        <v>150</v>
      </c>
      <c r="J103" s="2">
        <v>150</v>
      </c>
      <c r="K103" s="15" t="s">
        <v>844</v>
      </c>
      <c r="L103" s="47">
        <v>107</v>
      </c>
      <c r="M103" s="47">
        <v>107</v>
      </c>
      <c r="N103" s="15" t="s">
        <v>95</v>
      </c>
      <c r="O103" s="2">
        <v>70</v>
      </c>
      <c r="P103" s="2">
        <v>70</v>
      </c>
      <c r="Q103" s="15"/>
    </row>
    <row r="104" spans="1:19" ht="14.1" customHeight="1" x14ac:dyDescent="0.2">
      <c r="A104" s="2" t="s">
        <v>489</v>
      </c>
      <c r="B104" s="2" t="s">
        <v>451</v>
      </c>
      <c r="C104" s="2" t="s">
        <v>0</v>
      </c>
      <c r="D104" s="2" t="s">
        <v>48</v>
      </c>
      <c r="E104" s="44" t="s">
        <v>863</v>
      </c>
      <c r="F104" s="2" t="s">
        <v>1156</v>
      </c>
      <c r="G104" s="2" t="s">
        <v>1156</v>
      </c>
      <c r="H104" s="15" t="s">
        <v>843</v>
      </c>
      <c r="I104" s="2">
        <v>200</v>
      </c>
      <c r="J104" s="2">
        <v>200</v>
      </c>
      <c r="K104" s="15" t="s">
        <v>844</v>
      </c>
      <c r="L104" s="47">
        <v>120</v>
      </c>
      <c r="M104" s="47">
        <v>120</v>
      </c>
      <c r="N104" s="15" t="s">
        <v>95</v>
      </c>
      <c r="O104" s="2">
        <v>77</v>
      </c>
      <c r="P104" s="2">
        <v>77</v>
      </c>
      <c r="Q104" s="15" t="s">
        <v>96</v>
      </c>
      <c r="R104" s="2">
        <v>5</v>
      </c>
      <c r="S104" s="2">
        <v>5</v>
      </c>
    </row>
    <row r="105" spans="1:19" ht="14.1" customHeight="1" x14ac:dyDescent="0.2">
      <c r="A105" s="2" t="s">
        <v>490</v>
      </c>
      <c r="B105" s="2" t="s">
        <v>451</v>
      </c>
      <c r="C105" s="2" t="s">
        <v>0</v>
      </c>
      <c r="D105" s="2" t="s">
        <v>49</v>
      </c>
      <c r="E105" s="44" t="s">
        <v>863</v>
      </c>
      <c r="F105" s="2" t="s">
        <v>1156</v>
      </c>
      <c r="G105" s="2" t="s">
        <v>1156</v>
      </c>
      <c r="H105" s="15" t="s">
        <v>843</v>
      </c>
      <c r="I105" s="2">
        <v>200</v>
      </c>
      <c r="J105" s="2">
        <v>200</v>
      </c>
      <c r="K105" s="15" t="s">
        <v>844</v>
      </c>
      <c r="L105" s="47">
        <v>150</v>
      </c>
      <c r="M105" s="47">
        <v>150</v>
      </c>
      <c r="N105" s="15" t="s">
        <v>95</v>
      </c>
      <c r="O105" s="2">
        <v>95</v>
      </c>
      <c r="P105" s="2">
        <v>95</v>
      </c>
      <c r="Q105" s="15" t="s">
        <v>96</v>
      </c>
      <c r="R105" s="2">
        <v>15</v>
      </c>
      <c r="S105" s="2">
        <v>15</v>
      </c>
    </row>
    <row r="106" spans="1:19" ht="14.1" customHeight="1" x14ac:dyDescent="0.2">
      <c r="A106" s="2" t="s">
        <v>491</v>
      </c>
      <c r="B106" s="2" t="s">
        <v>451</v>
      </c>
      <c r="C106" s="2" t="s">
        <v>0</v>
      </c>
      <c r="D106" s="2" t="s">
        <v>50</v>
      </c>
      <c r="E106" s="44" t="s">
        <v>863</v>
      </c>
      <c r="F106" s="2" t="s">
        <v>1156</v>
      </c>
      <c r="G106" s="2" t="s">
        <v>1156</v>
      </c>
      <c r="H106" s="15" t="s">
        <v>843</v>
      </c>
      <c r="I106" s="2">
        <v>200</v>
      </c>
      <c r="J106" s="2">
        <v>200</v>
      </c>
      <c r="K106" s="15" t="s">
        <v>844</v>
      </c>
      <c r="L106" s="47">
        <v>200</v>
      </c>
      <c r="M106" s="47">
        <v>200</v>
      </c>
      <c r="N106" s="15" t="s">
        <v>95</v>
      </c>
      <c r="O106" s="2">
        <v>113</v>
      </c>
      <c r="P106" s="2">
        <v>113</v>
      </c>
      <c r="Q106" s="15" t="s">
        <v>96</v>
      </c>
      <c r="R106" s="2">
        <v>25</v>
      </c>
      <c r="S106" s="2">
        <v>25</v>
      </c>
    </row>
    <row r="107" spans="1:19" ht="14.1" customHeight="1" x14ac:dyDescent="0.2">
      <c r="A107" s="2" t="s">
        <v>492</v>
      </c>
      <c r="B107" s="2" t="s">
        <v>451</v>
      </c>
      <c r="C107" s="2" t="s">
        <v>0</v>
      </c>
      <c r="D107" s="2" t="s">
        <v>51</v>
      </c>
      <c r="E107" s="44" t="s">
        <v>863</v>
      </c>
      <c r="F107" s="2" t="s">
        <v>1156</v>
      </c>
      <c r="G107" s="2" t="s">
        <v>1156</v>
      </c>
      <c r="H107" s="15" t="s">
        <v>843</v>
      </c>
      <c r="I107" s="2">
        <v>200</v>
      </c>
      <c r="J107" s="2">
        <v>200</v>
      </c>
      <c r="K107" s="15" t="s">
        <v>844</v>
      </c>
      <c r="L107" s="47">
        <v>200</v>
      </c>
      <c r="M107" s="47">
        <v>200</v>
      </c>
      <c r="N107" s="15" t="s">
        <v>95</v>
      </c>
      <c r="O107" s="2">
        <v>155</v>
      </c>
      <c r="P107" s="2">
        <v>155</v>
      </c>
      <c r="Q107" s="15" t="s">
        <v>96</v>
      </c>
      <c r="R107" s="2">
        <v>45</v>
      </c>
      <c r="S107" s="2">
        <v>45</v>
      </c>
    </row>
    <row r="108" spans="1:19" ht="14.1" customHeight="1" x14ac:dyDescent="0.2">
      <c r="A108" s="2" t="s">
        <v>493</v>
      </c>
      <c r="B108" s="2" t="s">
        <v>451</v>
      </c>
      <c r="C108" s="2" t="s">
        <v>0</v>
      </c>
      <c r="D108" s="2" t="s">
        <v>52</v>
      </c>
      <c r="E108" s="44" t="s">
        <v>863</v>
      </c>
      <c r="F108" s="2" t="s">
        <v>1156</v>
      </c>
      <c r="G108" s="2" t="s">
        <v>1156</v>
      </c>
      <c r="H108" s="15" t="s">
        <v>843</v>
      </c>
      <c r="I108" s="2">
        <v>200</v>
      </c>
      <c r="J108" s="2">
        <v>200</v>
      </c>
      <c r="K108" s="15" t="s">
        <v>844</v>
      </c>
      <c r="L108" s="47">
        <v>200</v>
      </c>
      <c r="M108" s="47">
        <v>200</v>
      </c>
      <c r="N108" s="15" t="s">
        <v>95</v>
      </c>
      <c r="O108" s="2">
        <v>195</v>
      </c>
      <c r="P108" s="2">
        <v>195</v>
      </c>
      <c r="Q108" s="15" t="s">
        <v>96</v>
      </c>
      <c r="R108" s="2">
        <v>75</v>
      </c>
      <c r="S108" s="2">
        <v>75</v>
      </c>
    </row>
    <row r="109" spans="1:19" ht="14.1" customHeight="1" x14ac:dyDescent="0.2">
      <c r="A109" s="2" t="s">
        <v>494</v>
      </c>
      <c r="B109" s="2" t="s">
        <v>451</v>
      </c>
      <c r="C109" s="2">
        <v>2</v>
      </c>
      <c r="D109" s="2" t="s">
        <v>9</v>
      </c>
      <c r="E109" s="44" t="s">
        <v>863</v>
      </c>
      <c r="F109" s="2" t="s">
        <v>1157</v>
      </c>
      <c r="G109" s="2" t="s">
        <v>1157</v>
      </c>
      <c r="H109" s="15"/>
      <c r="K109" s="15"/>
      <c r="L109" s="46"/>
      <c r="M109" s="46"/>
      <c r="N109" s="15"/>
      <c r="Q109" s="15"/>
    </row>
    <row r="110" spans="1:19" ht="14.1" customHeight="1" x14ac:dyDescent="0.2">
      <c r="A110" s="2" t="s">
        <v>495</v>
      </c>
      <c r="B110" s="2" t="s">
        <v>451</v>
      </c>
      <c r="C110" s="2">
        <v>2</v>
      </c>
      <c r="D110" s="2" t="s">
        <v>0</v>
      </c>
      <c r="E110" s="44" t="s">
        <v>863</v>
      </c>
      <c r="F110" s="2" t="s">
        <v>1157</v>
      </c>
      <c r="G110" s="2" t="s">
        <v>1157</v>
      </c>
      <c r="H110" s="15" t="s">
        <v>843</v>
      </c>
      <c r="I110" s="2">
        <v>9</v>
      </c>
      <c r="J110" s="2">
        <v>9</v>
      </c>
      <c r="K110" s="15"/>
      <c r="L110" s="46"/>
      <c r="M110" s="46"/>
      <c r="N110" s="15"/>
      <c r="Q110" s="15"/>
    </row>
    <row r="111" spans="1:19" ht="14.1" customHeight="1" x14ac:dyDescent="0.2">
      <c r="A111" s="2" t="s">
        <v>496</v>
      </c>
      <c r="B111" s="2" t="s">
        <v>451</v>
      </c>
      <c r="C111" s="2">
        <v>2</v>
      </c>
      <c r="D111" s="2" t="s">
        <v>34</v>
      </c>
      <c r="E111" s="44" t="s">
        <v>863</v>
      </c>
      <c r="F111" s="2" t="s">
        <v>1157</v>
      </c>
      <c r="G111" s="2" t="s">
        <v>1157</v>
      </c>
      <c r="H111" s="15" t="s">
        <v>843</v>
      </c>
      <c r="I111" s="2">
        <v>15</v>
      </c>
      <c r="J111" s="2">
        <v>15</v>
      </c>
      <c r="K111" s="15"/>
      <c r="L111" s="46"/>
      <c r="M111" s="46"/>
      <c r="N111" s="15"/>
      <c r="Q111" s="15"/>
    </row>
    <row r="112" spans="1:19" ht="14.1" customHeight="1" x14ac:dyDescent="0.2">
      <c r="A112" s="2" t="s">
        <v>497</v>
      </c>
      <c r="B112" s="2" t="s">
        <v>451</v>
      </c>
      <c r="C112" s="2">
        <v>2</v>
      </c>
      <c r="D112" s="2" t="s">
        <v>35</v>
      </c>
      <c r="E112" s="44" t="s">
        <v>863</v>
      </c>
      <c r="F112" s="2" t="s">
        <v>1157</v>
      </c>
      <c r="G112" s="2" t="s">
        <v>1157</v>
      </c>
      <c r="H112" s="15" t="s">
        <v>843</v>
      </c>
      <c r="I112" s="2">
        <v>23</v>
      </c>
      <c r="J112" s="2">
        <v>23</v>
      </c>
      <c r="K112" s="15"/>
      <c r="L112" s="46"/>
      <c r="M112" s="46"/>
      <c r="N112" s="15"/>
      <c r="Q112" s="15"/>
    </row>
    <row r="113" spans="1:19" ht="14.1" customHeight="1" x14ac:dyDescent="0.2">
      <c r="A113" s="2" t="s">
        <v>498</v>
      </c>
      <c r="B113" s="2" t="s">
        <v>451</v>
      </c>
      <c r="C113" s="2">
        <v>2</v>
      </c>
      <c r="D113" s="2" t="s">
        <v>36</v>
      </c>
      <c r="E113" s="44" t="s">
        <v>863</v>
      </c>
      <c r="F113" s="2" t="s">
        <v>1157</v>
      </c>
      <c r="G113" s="2" t="s">
        <v>1157</v>
      </c>
      <c r="H113" s="15" t="s">
        <v>843</v>
      </c>
      <c r="I113" s="2">
        <v>34</v>
      </c>
      <c r="J113" s="2">
        <v>34</v>
      </c>
      <c r="K113" s="15"/>
      <c r="L113" s="46"/>
      <c r="M113" s="46"/>
      <c r="N113" s="15"/>
      <c r="Q113" s="15"/>
    </row>
    <row r="114" spans="1:19" ht="14.1" customHeight="1" x14ac:dyDescent="0.2">
      <c r="A114" s="2" t="s">
        <v>499</v>
      </c>
      <c r="B114" s="2" t="s">
        <v>451</v>
      </c>
      <c r="C114" s="2">
        <v>2</v>
      </c>
      <c r="D114" s="2" t="s">
        <v>37</v>
      </c>
      <c r="E114" s="44" t="s">
        <v>863</v>
      </c>
      <c r="F114" s="2" t="s">
        <v>1157</v>
      </c>
      <c r="G114" s="2" t="s">
        <v>1157</v>
      </c>
      <c r="H114" s="15" t="s">
        <v>843</v>
      </c>
      <c r="I114" s="2">
        <v>47</v>
      </c>
      <c r="J114" s="2">
        <v>47</v>
      </c>
      <c r="K114" s="15"/>
      <c r="L114" s="46"/>
      <c r="M114" s="46"/>
      <c r="N114" s="15"/>
      <c r="Q114" s="15"/>
    </row>
    <row r="115" spans="1:19" ht="14.1" customHeight="1" x14ac:dyDescent="0.2">
      <c r="A115" s="2" t="s">
        <v>500</v>
      </c>
      <c r="B115" s="2" t="s">
        <v>451</v>
      </c>
      <c r="C115" s="2">
        <v>2</v>
      </c>
      <c r="D115" s="2" t="s">
        <v>38</v>
      </c>
      <c r="E115" s="44" t="s">
        <v>863</v>
      </c>
      <c r="F115" s="2" t="s">
        <v>1157</v>
      </c>
      <c r="G115" s="2" t="s">
        <v>1157</v>
      </c>
      <c r="H115" s="15" t="s">
        <v>843</v>
      </c>
      <c r="I115" s="2">
        <v>54</v>
      </c>
      <c r="J115" s="2">
        <v>54</v>
      </c>
      <c r="K115" s="15" t="s">
        <v>844</v>
      </c>
      <c r="L115" s="46">
        <v>4</v>
      </c>
      <c r="M115" s="46">
        <v>4</v>
      </c>
      <c r="N115" s="15"/>
      <c r="Q115" s="15"/>
    </row>
    <row r="116" spans="1:19" ht="14.1" customHeight="1" x14ac:dyDescent="0.2">
      <c r="A116" s="2" t="s">
        <v>501</v>
      </c>
      <c r="B116" s="2" t="s">
        <v>451</v>
      </c>
      <c r="C116" s="2">
        <v>2</v>
      </c>
      <c r="D116" s="2" t="s">
        <v>39</v>
      </c>
      <c r="E116" s="44" t="s">
        <v>863</v>
      </c>
      <c r="F116" s="2" t="s">
        <v>1157</v>
      </c>
      <c r="G116" s="2" t="s">
        <v>1157</v>
      </c>
      <c r="H116" s="15" t="s">
        <v>843</v>
      </c>
      <c r="I116" s="2">
        <v>62</v>
      </c>
      <c r="J116" s="2">
        <v>62</v>
      </c>
      <c r="K116" s="15" t="s">
        <v>844</v>
      </c>
      <c r="L116" s="46">
        <v>9</v>
      </c>
      <c r="M116" s="46">
        <v>9</v>
      </c>
      <c r="N116" s="15"/>
      <c r="Q116" s="15"/>
    </row>
    <row r="117" spans="1:19" ht="14.1" customHeight="1" x14ac:dyDescent="0.2">
      <c r="A117" s="2" t="s">
        <v>502</v>
      </c>
      <c r="B117" s="2" t="s">
        <v>451</v>
      </c>
      <c r="C117" s="2">
        <v>2</v>
      </c>
      <c r="D117" s="2" t="s">
        <v>40</v>
      </c>
      <c r="E117" s="44" t="s">
        <v>863</v>
      </c>
      <c r="F117" s="2" t="s">
        <v>1157</v>
      </c>
      <c r="G117" s="2" t="s">
        <v>1157</v>
      </c>
      <c r="H117" s="15" t="s">
        <v>843</v>
      </c>
      <c r="I117" s="2">
        <v>85</v>
      </c>
      <c r="J117" s="2">
        <v>85</v>
      </c>
      <c r="K117" s="15" t="s">
        <v>844</v>
      </c>
      <c r="L117" s="46">
        <v>12</v>
      </c>
      <c r="M117" s="46">
        <v>12</v>
      </c>
      <c r="N117" s="15"/>
      <c r="Q117" s="15"/>
    </row>
    <row r="118" spans="1:19" ht="14.1" customHeight="1" x14ac:dyDescent="0.2">
      <c r="A118" s="2" t="s">
        <v>503</v>
      </c>
      <c r="B118" s="2" t="s">
        <v>451</v>
      </c>
      <c r="C118" s="2">
        <v>2</v>
      </c>
      <c r="D118" s="2" t="s">
        <v>41</v>
      </c>
      <c r="E118" s="44" t="s">
        <v>863</v>
      </c>
      <c r="F118" s="2" t="s">
        <v>1157</v>
      </c>
      <c r="G118" s="2" t="s">
        <v>1157</v>
      </c>
      <c r="H118" s="15" t="s">
        <v>843</v>
      </c>
      <c r="I118" s="2">
        <v>115</v>
      </c>
      <c r="J118" s="2">
        <v>115</v>
      </c>
      <c r="K118" s="15" t="s">
        <v>844</v>
      </c>
      <c r="L118" s="46">
        <v>16</v>
      </c>
      <c r="M118" s="46">
        <v>16</v>
      </c>
      <c r="N118" s="15"/>
      <c r="Q118" s="15"/>
    </row>
    <row r="119" spans="1:19" ht="14.1" customHeight="1" x14ac:dyDescent="0.2">
      <c r="A119" s="2" t="s">
        <v>504</v>
      </c>
      <c r="B119" s="2" t="s">
        <v>451</v>
      </c>
      <c r="C119" s="2">
        <v>2</v>
      </c>
      <c r="D119" s="2" t="s">
        <v>42</v>
      </c>
      <c r="E119" s="44" t="s">
        <v>863</v>
      </c>
      <c r="F119" s="2" t="s">
        <v>1157</v>
      </c>
      <c r="G119" s="2" t="s">
        <v>1157</v>
      </c>
      <c r="H119" s="15" t="s">
        <v>843</v>
      </c>
      <c r="I119" s="2">
        <v>150</v>
      </c>
      <c r="J119" s="2">
        <v>150</v>
      </c>
      <c r="K119" s="15" t="s">
        <v>844</v>
      </c>
      <c r="L119" s="46">
        <v>22</v>
      </c>
      <c r="M119" s="46">
        <v>22</v>
      </c>
      <c r="N119" s="15"/>
      <c r="Q119" s="15"/>
    </row>
    <row r="120" spans="1:19" ht="14.1" customHeight="1" x14ac:dyDescent="0.2">
      <c r="A120" s="2" t="s">
        <v>505</v>
      </c>
      <c r="B120" s="2" t="s">
        <v>451</v>
      </c>
      <c r="C120" s="2">
        <v>2</v>
      </c>
      <c r="D120" s="2" t="s">
        <v>43</v>
      </c>
      <c r="E120" s="44" t="s">
        <v>863</v>
      </c>
      <c r="F120" s="2" t="s">
        <v>1157</v>
      </c>
      <c r="G120" s="2" t="s">
        <v>1157</v>
      </c>
      <c r="H120" s="15" t="s">
        <v>843</v>
      </c>
      <c r="I120" s="2">
        <v>150</v>
      </c>
      <c r="J120" s="2">
        <v>150</v>
      </c>
      <c r="K120" s="15" t="s">
        <v>844</v>
      </c>
      <c r="L120" s="46">
        <v>25</v>
      </c>
      <c r="M120" s="46">
        <v>25</v>
      </c>
      <c r="N120" s="15" t="s">
        <v>95</v>
      </c>
      <c r="O120" s="2">
        <v>11</v>
      </c>
      <c r="P120" s="2">
        <v>11</v>
      </c>
      <c r="Q120" s="15"/>
    </row>
    <row r="121" spans="1:19" ht="14.1" customHeight="1" x14ac:dyDescent="0.2">
      <c r="A121" s="2" t="s">
        <v>506</v>
      </c>
      <c r="B121" s="2" t="s">
        <v>451</v>
      </c>
      <c r="C121" s="2">
        <v>2</v>
      </c>
      <c r="D121" s="2" t="s">
        <v>44</v>
      </c>
      <c r="E121" s="44" t="s">
        <v>863</v>
      </c>
      <c r="F121" s="2" t="s">
        <v>1157</v>
      </c>
      <c r="G121" s="2" t="s">
        <v>1157</v>
      </c>
      <c r="H121" s="15" t="s">
        <v>843</v>
      </c>
      <c r="I121" s="2">
        <v>150</v>
      </c>
      <c r="J121" s="2">
        <v>150</v>
      </c>
      <c r="K121" s="15" t="s">
        <v>844</v>
      </c>
      <c r="L121" s="47">
        <v>41</v>
      </c>
      <c r="M121" s="47">
        <v>41</v>
      </c>
      <c r="N121" s="15" t="s">
        <v>95</v>
      </c>
      <c r="O121" s="2">
        <v>20</v>
      </c>
      <c r="P121" s="2">
        <v>20</v>
      </c>
      <c r="Q121" s="15"/>
    </row>
    <row r="122" spans="1:19" ht="14.1" customHeight="1" x14ac:dyDescent="0.2">
      <c r="A122" s="2" t="s">
        <v>507</v>
      </c>
      <c r="B122" s="2" t="s">
        <v>451</v>
      </c>
      <c r="C122" s="2">
        <v>2</v>
      </c>
      <c r="D122" s="2" t="s">
        <v>45</v>
      </c>
      <c r="E122" s="44" t="s">
        <v>863</v>
      </c>
      <c r="F122" s="2" t="s">
        <v>1157</v>
      </c>
      <c r="G122" s="2" t="s">
        <v>1157</v>
      </c>
      <c r="H122" s="15" t="s">
        <v>843</v>
      </c>
      <c r="I122" s="2">
        <v>150</v>
      </c>
      <c r="J122" s="2">
        <v>150</v>
      </c>
      <c r="K122" s="15" t="s">
        <v>844</v>
      </c>
      <c r="L122" s="47">
        <v>69</v>
      </c>
      <c r="M122" s="47">
        <v>69</v>
      </c>
      <c r="N122" s="15" t="s">
        <v>95</v>
      </c>
      <c r="O122" s="2">
        <v>35</v>
      </c>
      <c r="P122" s="2">
        <v>35</v>
      </c>
      <c r="Q122" s="15"/>
    </row>
    <row r="123" spans="1:19" ht="14.1" customHeight="1" x14ac:dyDescent="0.2">
      <c r="A123" s="2" t="s">
        <v>508</v>
      </c>
      <c r="B123" s="2" t="s">
        <v>451</v>
      </c>
      <c r="C123" s="2">
        <v>2</v>
      </c>
      <c r="D123" s="2" t="s">
        <v>46</v>
      </c>
      <c r="E123" s="44" t="s">
        <v>863</v>
      </c>
      <c r="F123" s="2" t="s">
        <v>1157</v>
      </c>
      <c r="G123" s="2" t="s">
        <v>1157</v>
      </c>
      <c r="H123" s="15" t="s">
        <v>843</v>
      </c>
      <c r="I123" s="2">
        <v>150</v>
      </c>
      <c r="J123" s="2">
        <v>150</v>
      </c>
      <c r="K123" s="15" t="s">
        <v>844</v>
      </c>
      <c r="L123" s="47">
        <v>80</v>
      </c>
      <c r="M123" s="47">
        <v>80</v>
      </c>
      <c r="N123" s="15" t="s">
        <v>95</v>
      </c>
      <c r="O123" s="2">
        <v>45</v>
      </c>
      <c r="P123" s="2">
        <v>45</v>
      </c>
      <c r="Q123" s="15"/>
    </row>
    <row r="124" spans="1:19" ht="14.1" customHeight="1" x14ac:dyDescent="0.2">
      <c r="A124" s="2" t="s">
        <v>509</v>
      </c>
      <c r="B124" s="2" t="s">
        <v>451</v>
      </c>
      <c r="C124" s="2">
        <v>2</v>
      </c>
      <c r="D124" s="2" t="s">
        <v>47</v>
      </c>
      <c r="E124" s="44" t="s">
        <v>863</v>
      </c>
      <c r="F124" s="2" t="s">
        <v>1157</v>
      </c>
      <c r="G124" s="2" t="s">
        <v>1157</v>
      </c>
      <c r="H124" s="15" t="s">
        <v>843</v>
      </c>
      <c r="I124" s="2">
        <v>150</v>
      </c>
      <c r="J124" s="2">
        <v>150</v>
      </c>
      <c r="K124" s="15" t="s">
        <v>844</v>
      </c>
      <c r="L124" s="47">
        <v>107</v>
      </c>
      <c r="M124" s="47">
        <v>107</v>
      </c>
      <c r="N124" s="15" t="s">
        <v>95</v>
      </c>
      <c r="O124" s="2">
        <v>70</v>
      </c>
      <c r="P124" s="2">
        <v>70</v>
      </c>
      <c r="Q124" s="15"/>
    </row>
    <row r="125" spans="1:19" ht="14.1" customHeight="1" x14ac:dyDescent="0.2">
      <c r="A125" s="2" t="s">
        <v>510</v>
      </c>
      <c r="B125" s="2" t="s">
        <v>451</v>
      </c>
      <c r="C125" s="2">
        <v>2</v>
      </c>
      <c r="D125" s="2" t="s">
        <v>48</v>
      </c>
      <c r="E125" s="44" t="s">
        <v>863</v>
      </c>
      <c r="F125" s="2" t="s">
        <v>1157</v>
      </c>
      <c r="G125" s="2" t="s">
        <v>1157</v>
      </c>
      <c r="H125" s="15" t="s">
        <v>843</v>
      </c>
      <c r="I125" s="2">
        <v>200</v>
      </c>
      <c r="J125" s="2">
        <v>200</v>
      </c>
      <c r="K125" s="15" t="s">
        <v>844</v>
      </c>
      <c r="L125" s="47">
        <v>120</v>
      </c>
      <c r="M125" s="47">
        <v>120</v>
      </c>
      <c r="N125" s="15" t="s">
        <v>95</v>
      </c>
      <c r="O125" s="2">
        <v>77</v>
      </c>
      <c r="P125" s="2">
        <v>77</v>
      </c>
      <c r="Q125" s="15" t="s">
        <v>96</v>
      </c>
      <c r="R125" s="2">
        <v>5</v>
      </c>
      <c r="S125" s="2">
        <v>5</v>
      </c>
    </row>
    <row r="126" spans="1:19" ht="14.1" customHeight="1" x14ac:dyDescent="0.2">
      <c r="A126" s="2" t="s">
        <v>511</v>
      </c>
      <c r="B126" s="2" t="s">
        <v>451</v>
      </c>
      <c r="C126" s="2">
        <v>2</v>
      </c>
      <c r="D126" s="2" t="s">
        <v>49</v>
      </c>
      <c r="E126" s="44" t="s">
        <v>863</v>
      </c>
      <c r="F126" s="2" t="s">
        <v>1157</v>
      </c>
      <c r="G126" s="2" t="s">
        <v>1157</v>
      </c>
      <c r="H126" s="15" t="s">
        <v>843</v>
      </c>
      <c r="I126" s="2">
        <v>200</v>
      </c>
      <c r="J126" s="2">
        <v>200</v>
      </c>
      <c r="K126" s="15" t="s">
        <v>844</v>
      </c>
      <c r="L126" s="47">
        <v>150</v>
      </c>
      <c r="M126" s="47">
        <v>150</v>
      </c>
      <c r="N126" s="15" t="s">
        <v>95</v>
      </c>
      <c r="O126" s="2">
        <v>95</v>
      </c>
      <c r="P126" s="2">
        <v>95</v>
      </c>
      <c r="Q126" s="15" t="s">
        <v>96</v>
      </c>
      <c r="R126" s="2">
        <v>15</v>
      </c>
      <c r="S126" s="2">
        <v>15</v>
      </c>
    </row>
    <row r="127" spans="1:19" ht="14.1" customHeight="1" x14ac:dyDescent="0.2">
      <c r="A127" s="2" t="s">
        <v>512</v>
      </c>
      <c r="B127" s="2" t="s">
        <v>451</v>
      </c>
      <c r="C127" s="2">
        <v>2</v>
      </c>
      <c r="D127" s="2" t="s">
        <v>50</v>
      </c>
      <c r="E127" s="44" t="s">
        <v>863</v>
      </c>
      <c r="F127" s="2" t="s">
        <v>1157</v>
      </c>
      <c r="G127" s="2" t="s">
        <v>1157</v>
      </c>
      <c r="H127" s="15" t="s">
        <v>843</v>
      </c>
      <c r="I127" s="2">
        <v>200</v>
      </c>
      <c r="J127" s="2">
        <v>200</v>
      </c>
      <c r="K127" s="15" t="s">
        <v>844</v>
      </c>
      <c r="L127" s="47">
        <v>200</v>
      </c>
      <c r="M127" s="47">
        <v>200</v>
      </c>
      <c r="N127" s="15" t="s">
        <v>95</v>
      </c>
      <c r="O127" s="2">
        <v>113</v>
      </c>
      <c r="P127" s="2">
        <v>113</v>
      </c>
      <c r="Q127" s="15" t="s">
        <v>96</v>
      </c>
      <c r="R127" s="2">
        <v>25</v>
      </c>
      <c r="S127" s="2">
        <v>25</v>
      </c>
    </row>
    <row r="128" spans="1:19" ht="14.1" customHeight="1" x14ac:dyDescent="0.2">
      <c r="A128" s="2" t="s">
        <v>513</v>
      </c>
      <c r="B128" s="2" t="s">
        <v>451</v>
      </c>
      <c r="C128" s="2">
        <v>2</v>
      </c>
      <c r="D128" s="2" t="s">
        <v>51</v>
      </c>
      <c r="E128" s="44" t="s">
        <v>863</v>
      </c>
      <c r="F128" s="2" t="s">
        <v>1157</v>
      </c>
      <c r="G128" s="2" t="s">
        <v>1157</v>
      </c>
      <c r="H128" s="15" t="s">
        <v>843</v>
      </c>
      <c r="I128" s="2">
        <v>200</v>
      </c>
      <c r="J128" s="2">
        <v>200</v>
      </c>
      <c r="K128" s="15" t="s">
        <v>844</v>
      </c>
      <c r="L128" s="47">
        <v>200</v>
      </c>
      <c r="M128" s="47">
        <v>200</v>
      </c>
      <c r="N128" s="15" t="s">
        <v>95</v>
      </c>
      <c r="O128" s="2">
        <v>155</v>
      </c>
      <c r="P128" s="2">
        <v>155</v>
      </c>
      <c r="Q128" s="15" t="s">
        <v>96</v>
      </c>
      <c r="R128" s="2">
        <v>45</v>
      </c>
      <c r="S128" s="2">
        <v>45</v>
      </c>
    </row>
    <row r="129" spans="1:19" ht="14.1" customHeight="1" x14ac:dyDescent="0.2">
      <c r="A129" s="2" t="s">
        <v>514</v>
      </c>
      <c r="B129" s="2" t="s">
        <v>451</v>
      </c>
      <c r="C129" s="2">
        <v>2</v>
      </c>
      <c r="D129" s="2" t="s">
        <v>52</v>
      </c>
      <c r="E129" s="44" t="s">
        <v>863</v>
      </c>
      <c r="F129" s="2" t="s">
        <v>1157</v>
      </c>
      <c r="G129" s="2" t="s">
        <v>1157</v>
      </c>
      <c r="H129" s="15" t="s">
        <v>843</v>
      </c>
      <c r="I129" s="2">
        <v>200</v>
      </c>
      <c r="J129" s="2">
        <v>200</v>
      </c>
      <c r="K129" s="15" t="s">
        <v>844</v>
      </c>
      <c r="L129" s="47">
        <v>200</v>
      </c>
      <c r="M129" s="47">
        <v>200</v>
      </c>
      <c r="N129" s="15" t="s">
        <v>95</v>
      </c>
      <c r="O129" s="2">
        <v>195</v>
      </c>
      <c r="P129" s="2">
        <v>195</v>
      </c>
      <c r="Q129" s="15" t="s">
        <v>96</v>
      </c>
      <c r="R129" s="2">
        <v>75</v>
      </c>
      <c r="S129" s="2">
        <v>75</v>
      </c>
    </row>
    <row r="130" spans="1:19" ht="14.1" customHeight="1" x14ac:dyDescent="0.2">
      <c r="A130" s="2" t="s">
        <v>515</v>
      </c>
      <c r="B130" s="2" t="s">
        <v>91</v>
      </c>
      <c r="C130" s="2" t="s">
        <v>9</v>
      </c>
      <c r="D130" s="2" t="s">
        <v>9</v>
      </c>
      <c r="E130" s="44" t="s">
        <v>864</v>
      </c>
      <c r="F130" s="2" t="s">
        <v>4</v>
      </c>
      <c r="G130" s="2" t="s">
        <v>4</v>
      </c>
      <c r="H130" s="15"/>
      <c r="K130" s="15"/>
      <c r="L130" s="46"/>
      <c r="M130" s="46"/>
      <c r="N130" s="15"/>
      <c r="Q130" s="15"/>
    </row>
    <row r="131" spans="1:19" ht="14.1" customHeight="1" x14ac:dyDescent="0.2">
      <c r="A131" s="2" t="s">
        <v>516</v>
      </c>
      <c r="B131" s="2" t="s">
        <v>91</v>
      </c>
      <c r="C131" s="2" t="s">
        <v>9</v>
      </c>
      <c r="D131" s="2" t="s">
        <v>0</v>
      </c>
      <c r="E131" s="44" t="s">
        <v>864</v>
      </c>
      <c r="F131" s="2" t="s">
        <v>4</v>
      </c>
      <c r="G131" s="2" t="s">
        <v>4</v>
      </c>
      <c r="H131" s="15" t="s">
        <v>843</v>
      </c>
      <c r="I131" s="2">
        <v>9</v>
      </c>
      <c r="J131" s="2">
        <v>9</v>
      </c>
      <c r="K131" s="15"/>
      <c r="L131" s="46"/>
      <c r="M131" s="46"/>
      <c r="N131" s="15"/>
      <c r="Q131" s="15"/>
    </row>
    <row r="132" spans="1:19" ht="14.1" customHeight="1" x14ac:dyDescent="0.2">
      <c r="A132" s="2" t="s">
        <v>517</v>
      </c>
      <c r="B132" s="2" t="s">
        <v>91</v>
      </c>
      <c r="C132" s="2" t="s">
        <v>9</v>
      </c>
      <c r="D132" s="2" t="s">
        <v>34</v>
      </c>
      <c r="E132" s="44" t="s">
        <v>864</v>
      </c>
      <c r="F132" s="2" t="s">
        <v>4</v>
      </c>
      <c r="G132" s="2" t="s">
        <v>4</v>
      </c>
      <c r="H132" s="15" t="s">
        <v>843</v>
      </c>
      <c r="I132" s="2">
        <v>15</v>
      </c>
      <c r="J132" s="2">
        <v>15</v>
      </c>
      <c r="K132" s="15"/>
      <c r="L132" s="46"/>
      <c r="M132" s="46"/>
      <c r="N132" s="15"/>
      <c r="Q132" s="15"/>
    </row>
    <row r="133" spans="1:19" ht="14.1" customHeight="1" x14ac:dyDescent="0.2">
      <c r="A133" s="2" t="s">
        <v>518</v>
      </c>
      <c r="B133" s="2" t="s">
        <v>91</v>
      </c>
      <c r="C133" s="2" t="s">
        <v>9</v>
      </c>
      <c r="D133" s="2" t="s">
        <v>35</v>
      </c>
      <c r="E133" s="44" t="s">
        <v>864</v>
      </c>
      <c r="F133" s="2" t="s">
        <v>4</v>
      </c>
      <c r="G133" s="2" t="s">
        <v>4</v>
      </c>
      <c r="H133" s="15" t="s">
        <v>843</v>
      </c>
      <c r="I133" s="2">
        <v>23</v>
      </c>
      <c r="J133" s="2">
        <v>23</v>
      </c>
      <c r="K133" s="15"/>
      <c r="L133" s="46"/>
      <c r="M133" s="46"/>
      <c r="N133" s="15"/>
      <c r="Q133" s="15"/>
    </row>
    <row r="134" spans="1:19" ht="14.1" customHeight="1" x14ac:dyDescent="0.2">
      <c r="A134" s="2" t="s">
        <v>519</v>
      </c>
      <c r="B134" s="2" t="s">
        <v>91</v>
      </c>
      <c r="C134" s="2" t="s">
        <v>9</v>
      </c>
      <c r="D134" s="2" t="s">
        <v>36</v>
      </c>
      <c r="E134" s="44" t="s">
        <v>864</v>
      </c>
      <c r="F134" s="2" t="s">
        <v>4</v>
      </c>
      <c r="G134" s="2" t="s">
        <v>4</v>
      </c>
      <c r="H134" s="15" t="s">
        <v>843</v>
      </c>
      <c r="I134" s="2">
        <v>34</v>
      </c>
      <c r="J134" s="2">
        <v>34</v>
      </c>
      <c r="K134" s="15"/>
      <c r="L134" s="46"/>
      <c r="M134" s="46"/>
      <c r="N134" s="15"/>
      <c r="Q134" s="15"/>
    </row>
    <row r="135" spans="1:19" ht="14.1" customHeight="1" x14ac:dyDescent="0.2">
      <c r="A135" s="2" t="s">
        <v>520</v>
      </c>
      <c r="B135" s="2" t="s">
        <v>91</v>
      </c>
      <c r="C135" s="2" t="s">
        <v>9</v>
      </c>
      <c r="D135" s="2" t="s">
        <v>37</v>
      </c>
      <c r="E135" s="44" t="s">
        <v>864</v>
      </c>
      <c r="F135" s="2" t="s">
        <v>4</v>
      </c>
      <c r="G135" s="2" t="s">
        <v>4</v>
      </c>
      <c r="H135" s="15" t="s">
        <v>843</v>
      </c>
      <c r="I135" s="2">
        <v>47</v>
      </c>
      <c r="J135" s="2">
        <v>47</v>
      </c>
      <c r="K135" s="15"/>
      <c r="L135" s="46"/>
      <c r="M135" s="46"/>
      <c r="N135" s="15"/>
      <c r="Q135" s="15"/>
    </row>
    <row r="136" spans="1:19" ht="14.1" customHeight="1" x14ac:dyDescent="0.2">
      <c r="A136" s="2" t="s">
        <v>521</v>
      </c>
      <c r="B136" s="2" t="s">
        <v>91</v>
      </c>
      <c r="C136" s="2" t="s">
        <v>9</v>
      </c>
      <c r="D136" s="2" t="s">
        <v>38</v>
      </c>
      <c r="E136" s="44" t="s">
        <v>864</v>
      </c>
      <c r="F136" s="2" t="s">
        <v>4</v>
      </c>
      <c r="G136" s="2" t="s">
        <v>4</v>
      </c>
      <c r="H136" s="15" t="s">
        <v>843</v>
      </c>
      <c r="I136" s="2">
        <v>54</v>
      </c>
      <c r="J136" s="2">
        <v>54</v>
      </c>
      <c r="K136" s="15" t="s">
        <v>844</v>
      </c>
      <c r="L136" s="46">
        <v>4</v>
      </c>
      <c r="M136" s="46">
        <v>4</v>
      </c>
      <c r="N136" s="15"/>
      <c r="Q136" s="15"/>
    </row>
    <row r="137" spans="1:19" ht="14.1" customHeight="1" x14ac:dyDescent="0.2">
      <c r="A137" s="2" t="s">
        <v>522</v>
      </c>
      <c r="B137" s="2" t="s">
        <v>91</v>
      </c>
      <c r="C137" s="2" t="s">
        <v>9</v>
      </c>
      <c r="D137" s="2" t="s">
        <v>39</v>
      </c>
      <c r="E137" s="44" t="s">
        <v>864</v>
      </c>
      <c r="F137" s="2" t="s">
        <v>4</v>
      </c>
      <c r="G137" s="2" t="s">
        <v>4</v>
      </c>
      <c r="H137" s="15" t="s">
        <v>843</v>
      </c>
      <c r="I137" s="2">
        <v>62</v>
      </c>
      <c r="J137" s="2">
        <v>62</v>
      </c>
      <c r="K137" s="15" t="s">
        <v>844</v>
      </c>
      <c r="L137" s="46">
        <v>9</v>
      </c>
      <c r="M137" s="46">
        <v>9</v>
      </c>
      <c r="N137" s="15"/>
      <c r="Q137" s="15"/>
    </row>
    <row r="138" spans="1:19" ht="14.1" customHeight="1" x14ac:dyDescent="0.2">
      <c r="A138" s="2" t="s">
        <v>523</v>
      </c>
      <c r="B138" s="2" t="s">
        <v>91</v>
      </c>
      <c r="C138" s="2" t="s">
        <v>9</v>
      </c>
      <c r="D138" s="2" t="s">
        <v>40</v>
      </c>
      <c r="E138" s="44" t="s">
        <v>864</v>
      </c>
      <c r="F138" s="2" t="s">
        <v>4</v>
      </c>
      <c r="G138" s="2" t="s">
        <v>4</v>
      </c>
      <c r="H138" s="15" t="s">
        <v>843</v>
      </c>
      <c r="I138" s="2">
        <v>85</v>
      </c>
      <c r="J138" s="2">
        <v>85</v>
      </c>
      <c r="K138" s="15" t="s">
        <v>844</v>
      </c>
      <c r="L138" s="46">
        <v>12</v>
      </c>
      <c r="M138" s="46">
        <v>12</v>
      </c>
      <c r="N138" s="15"/>
      <c r="Q138" s="15"/>
    </row>
    <row r="139" spans="1:19" ht="14.1" customHeight="1" x14ac:dyDescent="0.2">
      <c r="A139" s="2" t="s">
        <v>524</v>
      </c>
      <c r="B139" s="2" t="s">
        <v>91</v>
      </c>
      <c r="C139" s="2" t="s">
        <v>9</v>
      </c>
      <c r="D139" s="2" t="s">
        <v>41</v>
      </c>
      <c r="E139" s="44" t="s">
        <v>864</v>
      </c>
      <c r="F139" s="2" t="s">
        <v>4</v>
      </c>
      <c r="G139" s="2" t="s">
        <v>4</v>
      </c>
      <c r="H139" s="15" t="s">
        <v>843</v>
      </c>
      <c r="I139" s="2">
        <v>115</v>
      </c>
      <c r="J139" s="2">
        <v>115</v>
      </c>
      <c r="K139" s="15" t="s">
        <v>844</v>
      </c>
      <c r="L139" s="46">
        <v>16</v>
      </c>
      <c r="M139" s="46">
        <v>16</v>
      </c>
      <c r="N139" s="15"/>
      <c r="Q139" s="15"/>
    </row>
    <row r="140" spans="1:19" ht="14.1" customHeight="1" x14ac:dyDescent="0.2">
      <c r="A140" s="2" t="s">
        <v>525</v>
      </c>
      <c r="B140" s="2" t="s">
        <v>91</v>
      </c>
      <c r="C140" s="2" t="s">
        <v>9</v>
      </c>
      <c r="D140" s="2" t="s">
        <v>42</v>
      </c>
      <c r="E140" s="44" t="s">
        <v>864</v>
      </c>
      <c r="F140" s="2" t="s">
        <v>4</v>
      </c>
      <c r="G140" s="2" t="s">
        <v>4</v>
      </c>
      <c r="H140" s="15" t="s">
        <v>843</v>
      </c>
      <c r="I140" s="2">
        <v>150</v>
      </c>
      <c r="J140" s="2">
        <v>150</v>
      </c>
      <c r="K140" s="15" t="s">
        <v>844</v>
      </c>
      <c r="L140" s="46">
        <v>22</v>
      </c>
      <c r="M140" s="46">
        <v>22</v>
      </c>
      <c r="N140" s="15"/>
      <c r="Q140" s="15"/>
    </row>
    <row r="141" spans="1:19" ht="14.1" customHeight="1" x14ac:dyDescent="0.2">
      <c r="A141" s="2" t="s">
        <v>526</v>
      </c>
      <c r="B141" s="2" t="s">
        <v>91</v>
      </c>
      <c r="C141" s="2" t="s">
        <v>9</v>
      </c>
      <c r="D141" s="2" t="s">
        <v>43</v>
      </c>
      <c r="E141" s="44" t="s">
        <v>864</v>
      </c>
      <c r="F141" s="2" t="s">
        <v>4</v>
      </c>
      <c r="G141" s="2" t="s">
        <v>4</v>
      </c>
      <c r="H141" s="15" t="s">
        <v>843</v>
      </c>
      <c r="I141" s="2">
        <v>150</v>
      </c>
      <c r="J141" s="2">
        <v>150</v>
      </c>
      <c r="K141" s="15" t="s">
        <v>844</v>
      </c>
      <c r="L141" s="46">
        <v>25</v>
      </c>
      <c r="M141" s="46">
        <v>25</v>
      </c>
      <c r="N141" s="15" t="s">
        <v>95</v>
      </c>
      <c r="O141" s="2">
        <v>11</v>
      </c>
      <c r="P141" s="2">
        <v>11</v>
      </c>
      <c r="Q141" s="15"/>
    </row>
    <row r="142" spans="1:19" ht="14.1" customHeight="1" x14ac:dyDescent="0.2">
      <c r="A142" s="2" t="s">
        <v>527</v>
      </c>
      <c r="B142" s="2" t="s">
        <v>91</v>
      </c>
      <c r="C142" s="2" t="s">
        <v>9</v>
      </c>
      <c r="D142" s="2" t="s">
        <v>44</v>
      </c>
      <c r="E142" s="44" t="s">
        <v>864</v>
      </c>
      <c r="F142" s="2" t="s">
        <v>4</v>
      </c>
      <c r="G142" s="2" t="s">
        <v>4</v>
      </c>
      <c r="H142" s="15" t="s">
        <v>843</v>
      </c>
      <c r="I142" s="2">
        <v>150</v>
      </c>
      <c r="J142" s="2">
        <v>150</v>
      </c>
      <c r="K142" s="15" t="s">
        <v>844</v>
      </c>
      <c r="L142" s="47">
        <v>41</v>
      </c>
      <c r="M142" s="47">
        <v>41</v>
      </c>
      <c r="N142" s="15" t="s">
        <v>95</v>
      </c>
      <c r="O142" s="2">
        <v>20</v>
      </c>
      <c r="P142" s="2">
        <v>20</v>
      </c>
      <c r="Q142" s="15"/>
    </row>
    <row r="143" spans="1:19" ht="14.1" customHeight="1" x14ac:dyDescent="0.2">
      <c r="A143" s="2" t="s">
        <v>528</v>
      </c>
      <c r="B143" s="2" t="s">
        <v>91</v>
      </c>
      <c r="C143" s="2" t="s">
        <v>9</v>
      </c>
      <c r="D143" s="2" t="s">
        <v>45</v>
      </c>
      <c r="E143" s="44" t="s">
        <v>864</v>
      </c>
      <c r="F143" s="2" t="s">
        <v>4</v>
      </c>
      <c r="G143" s="2" t="s">
        <v>4</v>
      </c>
      <c r="H143" s="15" t="s">
        <v>843</v>
      </c>
      <c r="I143" s="2">
        <v>150</v>
      </c>
      <c r="J143" s="2">
        <v>150</v>
      </c>
      <c r="K143" s="15" t="s">
        <v>844</v>
      </c>
      <c r="L143" s="47">
        <v>69</v>
      </c>
      <c r="M143" s="47">
        <v>69</v>
      </c>
      <c r="N143" s="15" t="s">
        <v>95</v>
      </c>
      <c r="O143" s="2">
        <v>35</v>
      </c>
      <c r="P143" s="2">
        <v>35</v>
      </c>
      <c r="Q143" s="15"/>
    </row>
    <row r="144" spans="1:19" ht="14.1" customHeight="1" x14ac:dyDescent="0.2">
      <c r="A144" s="2" t="s">
        <v>529</v>
      </c>
      <c r="B144" s="2" t="s">
        <v>91</v>
      </c>
      <c r="C144" s="2" t="s">
        <v>9</v>
      </c>
      <c r="D144" s="2" t="s">
        <v>46</v>
      </c>
      <c r="E144" s="44" t="s">
        <v>864</v>
      </c>
      <c r="F144" s="2" t="s">
        <v>4</v>
      </c>
      <c r="G144" s="2" t="s">
        <v>4</v>
      </c>
      <c r="H144" s="15" t="s">
        <v>843</v>
      </c>
      <c r="I144" s="2">
        <v>150</v>
      </c>
      <c r="J144" s="2">
        <v>150</v>
      </c>
      <c r="K144" s="15" t="s">
        <v>844</v>
      </c>
      <c r="L144" s="47">
        <v>80</v>
      </c>
      <c r="M144" s="47">
        <v>80</v>
      </c>
      <c r="N144" s="15" t="s">
        <v>95</v>
      </c>
      <c r="O144" s="2">
        <v>45</v>
      </c>
      <c r="P144" s="2">
        <v>45</v>
      </c>
      <c r="Q144" s="15"/>
    </row>
    <row r="145" spans="1:19" ht="14.1" customHeight="1" x14ac:dyDescent="0.2">
      <c r="A145" s="2" t="s">
        <v>530</v>
      </c>
      <c r="B145" s="2" t="s">
        <v>91</v>
      </c>
      <c r="C145" s="7" t="s">
        <v>9</v>
      </c>
      <c r="D145" s="2" t="s">
        <v>47</v>
      </c>
      <c r="E145" s="44" t="s">
        <v>864</v>
      </c>
      <c r="F145" s="2" t="s">
        <v>4</v>
      </c>
      <c r="G145" s="2" t="s">
        <v>4</v>
      </c>
      <c r="H145" s="15" t="s">
        <v>843</v>
      </c>
      <c r="I145" s="2">
        <v>150</v>
      </c>
      <c r="J145" s="2">
        <v>150</v>
      </c>
      <c r="K145" s="15" t="s">
        <v>844</v>
      </c>
      <c r="L145" s="47">
        <v>107</v>
      </c>
      <c r="M145" s="47">
        <v>107</v>
      </c>
      <c r="N145" s="15" t="s">
        <v>95</v>
      </c>
      <c r="O145" s="2">
        <v>70</v>
      </c>
      <c r="P145" s="2">
        <v>70</v>
      </c>
      <c r="Q145" s="15"/>
    </row>
    <row r="146" spans="1:19" ht="14.1" customHeight="1" x14ac:dyDescent="0.2">
      <c r="A146" s="2" t="s">
        <v>531</v>
      </c>
      <c r="B146" s="2" t="s">
        <v>91</v>
      </c>
      <c r="C146" s="7" t="s">
        <v>9</v>
      </c>
      <c r="D146" s="2" t="s">
        <v>48</v>
      </c>
      <c r="E146" s="44" t="s">
        <v>864</v>
      </c>
      <c r="F146" s="2" t="s">
        <v>4</v>
      </c>
      <c r="G146" s="2" t="s">
        <v>4</v>
      </c>
      <c r="H146" s="15" t="s">
        <v>843</v>
      </c>
      <c r="I146" s="2">
        <v>200</v>
      </c>
      <c r="J146" s="2">
        <v>200</v>
      </c>
      <c r="K146" s="15" t="s">
        <v>844</v>
      </c>
      <c r="L146" s="47">
        <v>120</v>
      </c>
      <c r="M146" s="47">
        <v>120</v>
      </c>
      <c r="N146" s="15" t="s">
        <v>95</v>
      </c>
      <c r="O146" s="2">
        <v>77</v>
      </c>
      <c r="P146" s="2">
        <v>77</v>
      </c>
      <c r="Q146" s="15" t="s">
        <v>96</v>
      </c>
      <c r="R146" s="2">
        <v>5</v>
      </c>
      <c r="S146" s="2">
        <v>5</v>
      </c>
    </row>
    <row r="147" spans="1:19" ht="14.1" customHeight="1" x14ac:dyDescent="0.2">
      <c r="A147" s="2" t="s">
        <v>532</v>
      </c>
      <c r="B147" s="2" t="s">
        <v>91</v>
      </c>
      <c r="C147" s="7" t="s">
        <v>9</v>
      </c>
      <c r="D147" s="2" t="s">
        <v>49</v>
      </c>
      <c r="E147" s="44" t="s">
        <v>864</v>
      </c>
      <c r="F147" s="2" t="s">
        <v>4</v>
      </c>
      <c r="G147" s="2" t="s">
        <v>4</v>
      </c>
      <c r="H147" s="15" t="s">
        <v>843</v>
      </c>
      <c r="I147" s="2">
        <v>200</v>
      </c>
      <c r="J147" s="2">
        <v>200</v>
      </c>
      <c r="K147" s="15" t="s">
        <v>844</v>
      </c>
      <c r="L147" s="47">
        <v>150</v>
      </c>
      <c r="M147" s="47">
        <v>150</v>
      </c>
      <c r="N147" s="15" t="s">
        <v>95</v>
      </c>
      <c r="O147" s="2">
        <v>95</v>
      </c>
      <c r="P147" s="2">
        <v>95</v>
      </c>
      <c r="Q147" s="15" t="s">
        <v>96</v>
      </c>
      <c r="R147" s="2">
        <v>15</v>
      </c>
      <c r="S147" s="2">
        <v>15</v>
      </c>
    </row>
    <row r="148" spans="1:19" ht="14.1" customHeight="1" x14ac:dyDescent="0.2">
      <c r="A148" s="2" t="s">
        <v>533</v>
      </c>
      <c r="B148" s="2" t="s">
        <v>91</v>
      </c>
      <c r="C148" s="7" t="s">
        <v>9</v>
      </c>
      <c r="D148" s="2" t="s">
        <v>50</v>
      </c>
      <c r="E148" s="44" t="s">
        <v>864</v>
      </c>
      <c r="F148" s="2" t="s">
        <v>4</v>
      </c>
      <c r="G148" s="2" t="s">
        <v>4</v>
      </c>
      <c r="H148" s="15" t="s">
        <v>843</v>
      </c>
      <c r="I148" s="2">
        <v>200</v>
      </c>
      <c r="J148" s="2">
        <v>200</v>
      </c>
      <c r="K148" s="15" t="s">
        <v>844</v>
      </c>
      <c r="L148" s="47">
        <v>200</v>
      </c>
      <c r="M148" s="47">
        <v>200</v>
      </c>
      <c r="N148" s="15" t="s">
        <v>95</v>
      </c>
      <c r="O148" s="2">
        <v>113</v>
      </c>
      <c r="P148" s="2">
        <v>113</v>
      </c>
      <c r="Q148" s="15" t="s">
        <v>96</v>
      </c>
      <c r="R148" s="2">
        <v>25</v>
      </c>
      <c r="S148" s="2">
        <v>25</v>
      </c>
    </row>
    <row r="149" spans="1:19" ht="14.1" customHeight="1" x14ac:dyDescent="0.2">
      <c r="A149" s="2" t="s">
        <v>534</v>
      </c>
      <c r="B149" s="2" t="s">
        <v>91</v>
      </c>
      <c r="C149" s="2" t="s">
        <v>9</v>
      </c>
      <c r="D149" s="2" t="s">
        <v>51</v>
      </c>
      <c r="E149" s="44" t="s">
        <v>864</v>
      </c>
      <c r="F149" s="2" t="s">
        <v>4</v>
      </c>
      <c r="G149" s="2" t="s">
        <v>4</v>
      </c>
      <c r="H149" s="15" t="s">
        <v>843</v>
      </c>
      <c r="I149" s="2">
        <v>200</v>
      </c>
      <c r="J149" s="2">
        <v>200</v>
      </c>
      <c r="K149" s="15" t="s">
        <v>844</v>
      </c>
      <c r="L149" s="47">
        <v>200</v>
      </c>
      <c r="M149" s="47">
        <v>200</v>
      </c>
      <c r="N149" s="15" t="s">
        <v>95</v>
      </c>
      <c r="O149" s="2">
        <v>155</v>
      </c>
      <c r="P149" s="2">
        <v>155</v>
      </c>
      <c r="Q149" s="15" t="s">
        <v>96</v>
      </c>
      <c r="R149" s="2">
        <v>45</v>
      </c>
      <c r="S149" s="2">
        <v>45</v>
      </c>
    </row>
    <row r="150" spans="1:19" ht="14.1" customHeight="1" x14ac:dyDescent="0.2">
      <c r="A150" s="2" t="s">
        <v>535</v>
      </c>
      <c r="B150" s="2" t="s">
        <v>91</v>
      </c>
      <c r="C150" s="2" t="s">
        <v>9</v>
      </c>
      <c r="D150" s="2" t="s">
        <v>52</v>
      </c>
      <c r="E150" s="44" t="s">
        <v>864</v>
      </c>
      <c r="F150" s="2" t="s">
        <v>4</v>
      </c>
      <c r="G150" s="2" t="s">
        <v>4</v>
      </c>
      <c r="H150" s="15" t="s">
        <v>843</v>
      </c>
      <c r="I150" s="2">
        <v>200</v>
      </c>
      <c r="J150" s="2">
        <v>200</v>
      </c>
      <c r="K150" s="15" t="s">
        <v>844</v>
      </c>
      <c r="L150" s="47">
        <v>200</v>
      </c>
      <c r="M150" s="47">
        <v>200</v>
      </c>
      <c r="N150" s="15" t="s">
        <v>95</v>
      </c>
      <c r="O150" s="2">
        <v>195</v>
      </c>
      <c r="P150" s="2">
        <v>195</v>
      </c>
      <c r="Q150" s="15" t="s">
        <v>96</v>
      </c>
      <c r="R150" s="2">
        <v>75</v>
      </c>
      <c r="S150" s="2">
        <v>75</v>
      </c>
    </row>
    <row r="151" spans="1:19" ht="14.1" customHeight="1" x14ac:dyDescent="0.2">
      <c r="A151" s="2" t="s">
        <v>536</v>
      </c>
      <c r="B151" s="2" t="s">
        <v>91</v>
      </c>
      <c r="C151" s="2" t="s">
        <v>0</v>
      </c>
      <c r="D151" s="2" t="s">
        <v>9</v>
      </c>
      <c r="E151" s="44" t="s">
        <v>864</v>
      </c>
      <c r="F151" s="2" t="s">
        <v>1156</v>
      </c>
      <c r="G151" s="2" t="s">
        <v>1156</v>
      </c>
      <c r="H151" s="15"/>
      <c r="K151" s="15"/>
      <c r="L151" s="46"/>
      <c r="M151" s="46"/>
      <c r="N151" s="15"/>
      <c r="Q151" s="15"/>
    </row>
    <row r="152" spans="1:19" ht="14.1" customHeight="1" x14ac:dyDescent="0.2">
      <c r="A152" s="2" t="s">
        <v>537</v>
      </c>
      <c r="B152" s="2" t="s">
        <v>91</v>
      </c>
      <c r="C152" s="2" t="s">
        <v>0</v>
      </c>
      <c r="D152" s="2" t="s">
        <v>0</v>
      </c>
      <c r="E152" s="44" t="s">
        <v>864</v>
      </c>
      <c r="F152" s="2" t="s">
        <v>1156</v>
      </c>
      <c r="G152" s="2" t="s">
        <v>1156</v>
      </c>
      <c r="H152" s="15" t="s">
        <v>843</v>
      </c>
      <c r="I152" s="2">
        <v>9</v>
      </c>
      <c r="J152" s="2">
        <v>9</v>
      </c>
      <c r="K152" s="15"/>
      <c r="L152" s="46"/>
      <c r="M152" s="46"/>
      <c r="N152" s="15"/>
      <c r="Q152" s="15"/>
    </row>
    <row r="153" spans="1:19" ht="14.1" customHeight="1" x14ac:dyDescent="0.2">
      <c r="A153" s="2" t="s">
        <v>538</v>
      </c>
      <c r="B153" s="2" t="s">
        <v>91</v>
      </c>
      <c r="C153" s="2" t="s">
        <v>0</v>
      </c>
      <c r="D153" s="2" t="s">
        <v>34</v>
      </c>
      <c r="E153" s="44" t="s">
        <v>864</v>
      </c>
      <c r="F153" s="2" t="s">
        <v>1156</v>
      </c>
      <c r="G153" s="2" t="s">
        <v>1156</v>
      </c>
      <c r="H153" s="15" t="s">
        <v>843</v>
      </c>
      <c r="I153" s="2">
        <v>15</v>
      </c>
      <c r="J153" s="2">
        <v>15</v>
      </c>
      <c r="K153" s="15"/>
      <c r="L153" s="46"/>
      <c r="M153" s="46"/>
      <c r="N153" s="15"/>
      <c r="Q153" s="15"/>
    </row>
    <row r="154" spans="1:19" ht="14.1" customHeight="1" x14ac:dyDescent="0.2">
      <c r="A154" s="2" t="s">
        <v>539</v>
      </c>
      <c r="B154" s="2" t="s">
        <v>91</v>
      </c>
      <c r="C154" s="2" t="s">
        <v>0</v>
      </c>
      <c r="D154" s="2" t="s">
        <v>35</v>
      </c>
      <c r="E154" s="44" t="s">
        <v>864</v>
      </c>
      <c r="F154" s="2" t="s">
        <v>1156</v>
      </c>
      <c r="G154" s="2" t="s">
        <v>1156</v>
      </c>
      <c r="H154" s="15" t="s">
        <v>843</v>
      </c>
      <c r="I154" s="2">
        <v>23</v>
      </c>
      <c r="J154" s="2">
        <v>23</v>
      </c>
      <c r="K154" s="15"/>
      <c r="L154" s="46"/>
      <c r="M154" s="46"/>
      <c r="N154" s="15"/>
      <c r="Q154" s="15"/>
    </row>
    <row r="155" spans="1:19" ht="14.1" customHeight="1" x14ac:dyDescent="0.2">
      <c r="A155" s="2" t="s">
        <v>540</v>
      </c>
      <c r="B155" s="2" t="s">
        <v>91</v>
      </c>
      <c r="C155" s="2" t="s">
        <v>0</v>
      </c>
      <c r="D155" s="2" t="s">
        <v>36</v>
      </c>
      <c r="E155" s="44" t="s">
        <v>864</v>
      </c>
      <c r="F155" s="2" t="s">
        <v>1156</v>
      </c>
      <c r="G155" s="2" t="s">
        <v>1156</v>
      </c>
      <c r="H155" s="15" t="s">
        <v>843</v>
      </c>
      <c r="I155" s="2">
        <v>34</v>
      </c>
      <c r="J155" s="2">
        <v>34</v>
      </c>
      <c r="K155" s="15"/>
      <c r="L155" s="46"/>
      <c r="M155" s="46"/>
      <c r="N155" s="15"/>
      <c r="Q155" s="15"/>
    </row>
    <row r="156" spans="1:19" ht="14.1" customHeight="1" x14ac:dyDescent="0.2">
      <c r="A156" s="2" t="s">
        <v>541</v>
      </c>
      <c r="B156" s="2" t="s">
        <v>91</v>
      </c>
      <c r="C156" s="2" t="s">
        <v>0</v>
      </c>
      <c r="D156" s="2" t="s">
        <v>37</v>
      </c>
      <c r="E156" s="44" t="s">
        <v>864</v>
      </c>
      <c r="F156" s="2" t="s">
        <v>1156</v>
      </c>
      <c r="G156" s="2" t="s">
        <v>1156</v>
      </c>
      <c r="H156" s="15" t="s">
        <v>843</v>
      </c>
      <c r="I156" s="2">
        <v>47</v>
      </c>
      <c r="J156" s="2">
        <v>47</v>
      </c>
      <c r="K156" s="15"/>
      <c r="L156" s="46"/>
      <c r="M156" s="46"/>
      <c r="N156" s="15"/>
      <c r="Q156" s="15"/>
    </row>
    <row r="157" spans="1:19" ht="14.1" customHeight="1" x14ac:dyDescent="0.2">
      <c r="A157" s="2" t="s">
        <v>542</v>
      </c>
      <c r="B157" s="2" t="s">
        <v>91</v>
      </c>
      <c r="C157" s="2" t="s">
        <v>0</v>
      </c>
      <c r="D157" s="2" t="s">
        <v>38</v>
      </c>
      <c r="E157" s="44" t="s">
        <v>864</v>
      </c>
      <c r="F157" s="2" t="s">
        <v>1156</v>
      </c>
      <c r="G157" s="2" t="s">
        <v>1156</v>
      </c>
      <c r="H157" s="15" t="s">
        <v>843</v>
      </c>
      <c r="I157" s="2">
        <v>54</v>
      </c>
      <c r="J157" s="2">
        <v>54</v>
      </c>
      <c r="K157" s="15" t="s">
        <v>844</v>
      </c>
      <c r="L157" s="46">
        <v>4</v>
      </c>
      <c r="M157" s="46">
        <v>4</v>
      </c>
      <c r="N157" s="15"/>
      <c r="Q157" s="15"/>
    </row>
    <row r="158" spans="1:19" ht="14.1" customHeight="1" x14ac:dyDescent="0.2">
      <c r="A158" s="2" t="s">
        <v>543</v>
      </c>
      <c r="B158" s="2" t="s">
        <v>91</v>
      </c>
      <c r="C158" s="2" t="s">
        <v>0</v>
      </c>
      <c r="D158" s="2" t="s">
        <v>39</v>
      </c>
      <c r="E158" s="44" t="s">
        <v>864</v>
      </c>
      <c r="F158" s="2" t="s">
        <v>1156</v>
      </c>
      <c r="G158" s="2" t="s">
        <v>1156</v>
      </c>
      <c r="H158" s="15" t="s">
        <v>843</v>
      </c>
      <c r="I158" s="2">
        <v>62</v>
      </c>
      <c r="J158" s="2">
        <v>62</v>
      </c>
      <c r="K158" s="15" t="s">
        <v>844</v>
      </c>
      <c r="L158" s="46">
        <v>9</v>
      </c>
      <c r="M158" s="46">
        <v>9</v>
      </c>
      <c r="N158" s="15"/>
      <c r="Q158" s="15"/>
    </row>
    <row r="159" spans="1:19" ht="14.1" customHeight="1" x14ac:dyDescent="0.2">
      <c r="A159" s="2" t="s">
        <v>544</v>
      </c>
      <c r="B159" s="2" t="s">
        <v>91</v>
      </c>
      <c r="C159" s="2" t="s">
        <v>0</v>
      </c>
      <c r="D159" s="2" t="s">
        <v>40</v>
      </c>
      <c r="E159" s="44" t="s">
        <v>864</v>
      </c>
      <c r="F159" s="2" t="s">
        <v>1156</v>
      </c>
      <c r="G159" s="2" t="s">
        <v>1156</v>
      </c>
      <c r="H159" s="15" t="s">
        <v>843</v>
      </c>
      <c r="I159" s="2">
        <v>85</v>
      </c>
      <c r="J159" s="2">
        <v>85</v>
      </c>
      <c r="K159" s="15" t="s">
        <v>844</v>
      </c>
      <c r="L159" s="46">
        <v>12</v>
      </c>
      <c r="M159" s="46">
        <v>12</v>
      </c>
      <c r="N159" s="15"/>
      <c r="Q159" s="15"/>
    </row>
    <row r="160" spans="1:19" ht="14.1" customHeight="1" x14ac:dyDescent="0.2">
      <c r="A160" s="2" t="s">
        <v>545</v>
      </c>
      <c r="B160" s="2" t="s">
        <v>91</v>
      </c>
      <c r="C160" s="2" t="s">
        <v>0</v>
      </c>
      <c r="D160" s="2" t="s">
        <v>41</v>
      </c>
      <c r="E160" s="44" t="s">
        <v>864</v>
      </c>
      <c r="F160" s="2" t="s">
        <v>1156</v>
      </c>
      <c r="G160" s="2" t="s">
        <v>1156</v>
      </c>
      <c r="H160" s="15" t="s">
        <v>843</v>
      </c>
      <c r="I160" s="2">
        <v>115</v>
      </c>
      <c r="J160" s="2">
        <v>115</v>
      </c>
      <c r="K160" s="15" t="s">
        <v>844</v>
      </c>
      <c r="L160" s="46">
        <v>16</v>
      </c>
      <c r="M160" s="46">
        <v>16</v>
      </c>
      <c r="N160" s="15"/>
      <c r="Q160" s="15"/>
    </row>
    <row r="161" spans="1:19" ht="14.1" customHeight="1" x14ac:dyDescent="0.2">
      <c r="A161" s="2" t="s">
        <v>546</v>
      </c>
      <c r="B161" s="2" t="s">
        <v>91</v>
      </c>
      <c r="C161" s="2" t="s">
        <v>0</v>
      </c>
      <c r="D161" s="2" t="s">
        <v>42</v>
      </c>
      <c r="E161" s="44" t="s">
        <v>864</v>
      </c>
      <c r="F161" s="2" t="s">
        <v>1156</v>
      </c>
      <c r="G161" s="2" t="s">
        <v>1156</v>
      </c>
      <c r="H161" s="15" t="s">
        <v>843</v>
      </c>
      <c r="I161" s="2">
        <v>150</v>
      </c>
      <c r="J161" s="2">
        <v>150</v>
      </c>
      <c r="K161" s="15" t="s">
        <v>844</v>
      </c>
      <c r="L161" s="46">
        <v>22</v>
      </c>
      <c r="M161" s="46">
        <v>22</v>
      </c>
      <c r="N161" s="15"/>
      <c r="Q161" s="15"/>
    </row>
    <row r="162" spans="1:19" ht="14.1" customHeight="1" x14ac:dyDescent="0.2">
      <c r="A162" s="2" t="s">
        <v>547</v>
      </c>
      <c r="B162" s="2" t="s">
        <v>91</v>
      </c>
      <c r="C162" s="2" t="s">
        <v>0</v>
      </c>
      <c r="D162" s="2" t="s">
        <v>43</v>
      </c>
      <c r="E162" s="44" t="s">
        <v>864</v>
      </c>
      <c r="F162" s="2" t="s">
        <v>1156</v>
      </c>
      <c r="G162" s="2" t="s">
        <v>1156</v>
      </c>
      <c r="H162" s="15" t="s">
        <v>843</v>
      </c>
      <c r="I162" s="2">
        <v>150</v>
      </c>
      <c r="J162" s="2">
        <v>150</v>
      </c>
      <c r="K162" s="15" t="s">
        <v>844</v>
      </c>
      <c r="L162" s="46">
        <v>25</v>
      </c>
      <c r="M162" s="46">
        <v>25</v>
      </c>
      <c r="N162" s="15" t="s">
        <v>95</v>
      </c>
      <c r="O162" s="2">
        <v>11</v>
      </c>
      <c r="P162" s="2">
        <v>11</v>
      </c>
      <c r="Q162" s="15"/>
    </row>
    <row r="163" spans="1:19" ht="14.1" customHeight="1" x14ac:dyDescent="0.2">
      <c r="A163" s="2" t="s">
        <v>548</v>
      </c>
      <c r="B163" s="2" t="s">
        <v>91</v>
      </c>
      <c r="C163" s="2" t="s">
        <v>0</v>
      </c>
      <c r="D163" s="2" t="s">
        <v>44</v>
      </c>
      <c r="E163" s="44" t="s">
        <v>864</v>
      </c>
      <c r="F163" s="2" t="s">
        <v>1156</v>
      </c>
      <c r="G163" s="2" t="s">
        <v>1156</v>
      </c>
      <c r="H163" s="15" t="s">
        <v>843</v>
      </c>
      <c r="I163" s="2">
        <v>150</v>
      </c>
      <c r="J163" s="2">
        <v>150</v>
      </c>
      <c r="K163" s="15" t="s">
        <v>844</v>
      </c>
      <c r="L163" s="47">
        <v>41</v>
      </c>
      <c r="M163" s="47">
        <v>41</v>
      </c>
      <c r="N163" s="15" t="s">
        <v>95</v>
      </c>
      <c r="O163" s="2">
        <v>20</v>
      </c>
      <c r="P163" s="2">
        <v>20</v>
      </c>
      <c r="Q163" s="15"/>
    </row>
    <row r="164" spans="1:19" ht="14.1" customHeight="1" x14ac:dyDescent="0.2">
      <c r="A164" s="2" t="s">
        <v>549</v>
      </c>
      <c r="B164" s="2" t="s">
        <v>91</v>
      </c>
      <c r="C164" s="2" t="s">
        <v>0</v>
      </c>
      <c r="D164" s="2" t="s">
        <v>45</v>
      </c>
      <c r="E164" s="44" t="s">
        <v>864</v>
      </c>
      <c r="F164" s="2" t="s">
        <v>1156</v>
      </c>
      <c r="G164" s="2" t="s">
        <v>1156</v>
      </c>
      <c r="H164" s="15" t="s">
        <v>843</v>
      </c>
      <c r="I164" s="2">
        <v>150</v>
      </c>
      <c r="J164" s="2">
        <v>150</v>
      </c>
      <c r="K164" s="15" t="s">
        <v>844</v>
      </c>
      <c r="L164" s="47">
        <v>69</v>
      </c>
      <c r="M164" s="47">
        <v>69</v>
      </c>
      <c r="N164" s="15" t="s">
        <v>95</v>
      </c>
      <c r="O164" s="2">
        <v>35</v>
      </c>
      <c r="P164" s="2">
        <v>35</v>
      </c>
      <c r="Q164" s="15"/>
    </row>
    <row r="165" spans="1:19" ht="14.1" customHeight="1" x14ac:dyDescent="0.2">
      <c r="A165" s="2" t="s">
        <v>550</v>
      </c>
      <c r="B165" s="2" t="s">
        <v>91</v>
      </c>
      <c r="C165" s="2" t="s">
        <v>0</v>
      </c>
      <c r="D165" s="2" t="s">
        <v>46</v>
      </c>
      <c r="E165" s="44" t="s">
        <v>864</v>
      </c>
      <c r="F165" s="2" t="s">
        <v>1156</v>
      </c>
      <c r="G165" s="2" t="s">
        <v>1156</v>
      </c>
      <c r="H165" s="15" t="s">
        <v>843</v>
      </c>
      <c r="I165" s="2">
        <v>150</v>
      </c>
      <c r="J165" s="2">
        <v>150</v>
      </c>
      <c r="K165" s="15" t="s">
        <v>844</v>
      </c>
      <c r="L165" s="47">
        <v>80</v>
      </c>
      <c r="M165" s="47">
        <v>80</v>
      </c>
      <c r="N165" s="15" t="s">
        <v>95</v>
      </c>
      <c r="O165" s="2">
        <v>45</v>
      </c>
      <c r="P165" s="2">
        <v>45</v>
      </c>
      <c r="Q165" s="15"/>
    </row>
    <row r="166" spans="1:19" ht="14.1" customHeight="1" x14ac:dyDescent="0.2">
      <c r="A166" s="2" t="s">
        <v>551</v>
      </c>
      <c r="B166" s="2" t="s">
        <v>91</v>
      </c>
      <c r="C166" s="2" t="s">
        <v>0</v>
      </c>
      <c r="D166" s="2" t="s">
        <v>47</v>
      </c>
      <c r="E166" s="44" t="s">
        <v>864</v>
      </c>
      <c r="F166" s="2" t="s">
        <v>1156</v>
      </c>
      <c r="G166" s="2" t="s">
        <v>1156</v>
      </c>
      <c r="H166" s="15" t="s">
        <v>843</v>
      </c>
      <c r="I166" s="2">
        <v>150</v>
      </c>
      <c r="J166" s="2">
        <v>150</v>
      </c>
      <c r="K166" s="15" t="s">
        <v>844</v>
      </c>
      <c r="L166" s="47">
        <v>107</v>
      </c>
      <c r="M166" s="47">
        <v>107</v>
      </c>
      <c r="N166" s="15" t="s">
        <v>95</v>
      </c>
      <c r="O166" s="2">
        <v>70</v>
      </c>
      <c r="P166" s="2">
        <v>70</v>
      </c>
      <c r="Q166" s="15"/>
    </row>
    <row r="167" spans="1:19" ht="14.1" customHeight="1" x14ac:dyDescent="0.2">
      <c r="A167" s="2" t="s">
        <v>552</v>
      </c>
      <c r="B167" s="2" t="s">
        <v>91</v>
      </c>
      <c r="C167" s="2" t="s">
        <v>0</v>
      </c>
      <c r="D167" s="2" t="s">
        <v>48</v>
      </c>
      <c r="E167" s="44" t="s">
        <v>864</v>
      </c>
      <c r="F167" s="2" t="s">
        <v>1156</v>
      </c>
      <c r="G167" s="2" t="s">
        <v>1156</v>
      </c>
      <c r="H167" s="15" t="s">
        <v>843</v>
      </c>
      <c r="I167" s="2">
        <v>200</v>
      </c>
      <c r="J167" s="2">
        <v>200</v>
      </c>
      <c r="K167" s="15" t="s">
        <v>844</v>
      </c>
      <c r="L167" s="47">
        <v>120</v>
      </c>
      <c r="M167" s="47">
        <v>120</v>
      </c>
      <c r="N167" s="15" t="s">
        <v>95</v>
      </c>
      <c r="O167" s="2">
        <v>77</v>
      </c>
      <c r="P167" s="2">
        <v>77</v>
      </c>
      <c r="Q167" s="15" t="s">
        <v>96</v>
      </c>
      <c r="R167" s="2">
        <v>5</v>
      </c>
      <c r="S167" s="2">
        <v>5</v>
      </c>
    </row>
    <row r="168" spans="1:19" ht="14.1" customHeight="1" x14ac:dyDescent="0.2">
      <c r="A168" s="2" t="s">
        <v>553</v>
      </c>
      <c r="B168" s="2" t="s">
        <v>91</v>
      </c>
      <c r="C168" s="2" t="s">
        <v>0</v>
      </c>
      <c r="D168" s="2" t="s">
        <v>49</v>
      </c>
      <c r="E168" s="44" t="s">
        <v>864</v>
      </c>
      <c r="F168" s="2" t="s">
        <v>1156</v>
      </c>
      <c r="G168" s="2" t="s">
        <v>1156</v>
      </c>
      <c r="H168" s="15" t="s">
        <v>843</v>
      </c>
      <c r="I168" s="2">
        <v>200</v>
      </c>
      <c r="J168" s="2">
        <v>200</v>
      </c>
      <c r="K168" s="15" t="s">
        <v>844</v>
      </c>
      <c r="L168" s="47">
        <v>150</v>
      </c>
      <c r="M168" s="47">
        <v>150</v>
      </c>
      <c r="N168" s="15" t="s">
        <v>95</v>
      </c>
      <c r="O168" s="2">
        <v>95</v>
      </c>
      <c r="P168" s="2">
        <v>95</v>
      </c>
      <c r="Q168" s="15" t="s">
        <v>96</v>
      </c>
      <c r="R168" s="2">
        <v>15</v>
      </c>
      <c r="S168" s="2">
        <v>15</v>
      </c>
    </row>
    <row r="169" spans="1:19" ht="14.1" customHeight="1" x14ac:dyDescent="0.2">
      <c r="A169" s="2" t="s">
        <v>554</v>
      </c>
      <c r="B169" s="2" t="s">
        <v>91</v>
      </c>
      <c r="C169" s="2" t="s">
        <v>0</v>
      </c>
      <c r="D169" s="2" t="s">
        <v>50</v>
      </c>
      <c r="E169" s="44" t="s">
        <v>864</v>
      </c>
      <c r="F169" s="2" t="s">
        <v>1156</v>
      </c>
      <c r="G169" s="2" t="s">
        <v>1156</v>
      </c>
      <c r="H169" s="15" t="s">
        <v>843</v>
      </c>
      <c r="I169" s="2">
        <v>200</v>
      </c>
      <c r="J169" s="2">
        <v>200</v>
      </c>
      <c r="K169" s="15" t="s">
        <v>844</v>
      </c>
      <c r="L169" s="47">
        <v>200</v>
      </c>
      <c r="M169" s="47">
        <v>200</v>
      </c>
      <c r="N169" s="15" t="s">
        <v>95</v>
      </c>
      <c r="O169" s="2">
        <v>113</v>
      </c>
      <c r="P169" s="2">
        <v>113</v>
      </c>
      <c r="Q169" s="15" t="s">
        <v>96</v>
      </c>
      <c r="R169" s="2">
        <v>25</v>
      </c>
      <c r="S169" s="2">
        <v>25</v>
      </c>
    </row>
    <row r="170" spans="1:19" ht="14.1" customHeight="1" x14ac:dyDescent="0.2">
      <c r="A170" s="2" t="s">
        <v>555</v>
      </c>
      <c r="B170" s="2" t="s">
        <v>91</v>
      </c>
      <c r="C170" s="2" t="s">
        <v>0</v>
      </c>
      <c r="D170" s="2" t="s">
        <v>51</v>
      </c>
      <c r="E170" s="44" t="s">
        <v>864</v>
      </c>
      <c r="F170" s="2" t="s">
        <v>1156</v>
      </c>
      <c r="G170" s="2" t="s">
        <v>1156</v>
      </c>
      <c r="H170" s="15" t="s">
        <v>843</v>
      </c>
      <c r="I170" s="2">
        <v>200</v>
      </c>
      <c r="J170" s="2">
        <v>200</v>
      </c>
      <c r="K170" s="15" t="s">
        <v>844</v>
      </c>
      <c r="L170" s="47">
        <v>200</v>
      </c>
      <c r="M170" s="47">
        <v>200</v>
      </c>
      <c r="N170" s="15" t="s">
        <v>95</v>
      </c>
      <c r="O170" s="2">
        <v>155</v>
      </c>
      <c r="P170" s="2">
        <v>155</v>
      </c>
      <c r="Q170" s="15" t="s">
        <v>96</v>
      </c>
      <c r="R170" s="2">
        <v>45</v>
      </c>
      <c r="S170" s="2">
        <v>45</v>
      </c>
    </row>
    <row r="171" spans="1:19" ht="14.1" customHeight="1" x14ac:dyDescent="0.2">
      <c r="A171" s="2" t="s">
        <v>556</v>
      </c>
      <c r="B171" s="2" t="s">
        <v>91</v>
      </c>
      <c r="C171" s="2" t="s">
        <v>0</v>
      </c>
      <c r="D171" s="2" t="s">
        <v>52</v>
      </c>
      <c r="E171" s="44" t="s">
        <v>864</v>
      </c>
      <c r="F171" s="2" t="s">
        <v>1156</v>
      </c>
      <c r="G171" s="2" t="s">
        <v>1156</v>
      </c>
      <c r="H171" s="15" t="s">
        <v>843</v>
      </c>
      <c r="I171" s="2">
        <v>200</v>
      </c>
      <c r="J171" s="2">
        <v>200</v>
      </c>
      <c r="K171" s="15" t="s">
        <v>844</v>
      </c>
      <c r="L171" s="47">
        <v>200</v>
      </c>
      <c r="M171" s="47">
        <v>200</v>
      </c>
      <c r="N171" s="15" t="s">
        <v>95</v>
      </c>
      <c r="O171" s="2">
        <v>195</v>
      </c>
      <c r="P171" s="2">
        <v>195</v>
      </c>
      <c r="Q171" s="15" t="s">
        <v>96</v>
      </c>
      <c r="R171" s="2">
        <v>75</v>
      </c>
      <c r="S171" s="2">
        <v>75</v>
      </c>
    </row>
    <row r="172" spans="1:19" ht="14.1" customHeight="1" x14ac:dyDescent="0.2">
      <c r="A172" s="2" t="s">
        <v>557</v>
      </c>
      <c r="B172" s="2" t="s">
        <v>91</v>
      </c>
      <c r="C172" s="2">
        <v>2</v>
      </c>
      <c r="D172" s="2" t="s">
        <v>9</v>
      </c>
      <c r="E172" s="44" t="s">
        <v>864</v>
      </c>
      <c r="F172" s="2" t="s">
        <v>1157</v>
      </c>
      <c r="G172" s="2" t="s">
        <v>1157</v>
      </c>
      <c r="H172" s="15"/>
      <c r="K172" s="15"/>
      <c r="L172" s="46"/>
      <c r="M172" s="46"/>
      <c r="N172" s="15"/>
      <c r="Q172" s="15"/>
    </row>
    <row r="173" spans="1:19" ht="14.1" customHeight="1" x14ac:dyDescent="0.2">
      <c r="A173" s="2" t="s">
        <v>558</v>
      </c>
      <c r="B173" s="2" t="s">
        <v>91</v>
      </c>
      <c r="C173" s="2">
        <v>2</v>
      </c>
      <c r="D173" s="2" t="s">
        <v>0</v>
      </c>
      <c r="E173" s="44" t="s">
        <v>864</v>
      </c>
      <c r="F173" s="2" t="s">
        <v>1157</v>
      </c>
      <c r="G173" s="2" t="s">
        <v>1157</v>
      </c>
      <c r="H173" s="15" t="s">
        <v>843</v>
      </c>
      <c r="I173" s="2">
        <v>9</v>
      </c>
      <c r="J173" s="2">
        <v>9</v>
      </c>
      <c r="K173" s="15"/>
      <c r="L173" s="46"/>
      <c r="M173" s="46"/>
      <c r="N173" s="15"/>
      <c r="Q173" s="15"/>
    </row>
    <row r="174" spans="1:19" ht="14.1" customHeight="1" x14ac:dyDescent="0.2">
      <c r="A174" s="2" t="s">
        <v>559</v>
      </c>
      <c r="B174" s="2" t="s">
        <v>91</v>
      </c>
      <c r="C174" s="2">
        <v>2</v>
      </c>
      <c r="D174" s="2" t="s">
        <v>34</v>
      </c>
      <c r="E174" s="44" t="s">
        <v>864</v>
      </c>
      <c r="F174" s="2" t="s">
        <v>1157</v>
      </c>
      <c r="G174" s="2" t="s">
        <v>1157</v>
      </c>
      <c r="H174" s="15" t="s">
        <v>843</v>
      </c>
      <c r="I174" s="2">
        <v>15</v>
      </c>
      <c r="J174" s="2">
        <v>15</v>
      </c>
      <c r="K174" s="15"/>
      <c r="L174" s="46"/>
      <c r="M174" s="46"/>
      <c r="N174" s="15"/>
      <c r="Q174" s="15"/>
    </row>
    <row r="175" spans="1:19" ht="14.1" customHeight="1" x14ac:dyDescent="0.2">
      <c r="A175" s="2" t="s">
        <v>560</v>
      </c>
      <c r="B175" s="2" t="s">
        <v>91</v>
      </c>
      <c r="C175" s="2">
        <v>2</v>
      </c>
      <c r="D175" s="2" t="s">
        <v>35</v>
      </c>
      <c r="E175" s="44" t="s">
        <v>864</v>
      </c>
      <c r="F175" s="2" t="s">
        <v>1157</v>
      </c>
      <c r="G175" s="2" t="s">
        <v>1157</v>
      </c>
      <c r="H175" s="15" t="s">
        <v>843</v>
      </c>
      <c r="I175" s="2">
        <v>23</v>
      </c>
      <c r="J175" s="2">
        <v>23</v>
      </c>
      <c r="K175" s="15"/>
      <c r="L175" s="46"/>
      <c r="M175" s="46"/>
      <c r="N175" s="15"/>
      <c r="Q175" s="15"/>
    </row>
    <row r="176" spans="1:19" ht="14.1" customHeight="1" x14ac:dyDescent="0.2">
      <c r="A176" s="2" t="s">
        <v>561</v>
      </c>
      <c r="B176" s="2" t="s">
        <v>91</v>
      </c>
      <c r="C176" s="2">
        <v>2</v>
      </c>
      <c r="D176" s="2" t="s">
        <v>36</v>
      </c>
      <c r="E176" s="44" t="s">
        <v>864</v>
      </c>
      <c r="F176" s="2" t="s">
        <v>1157</v>
      </c>
      <c r="G176" s="2" t="s">
        <v>1157</v>
      </c>
      <c r="H176" s="15" t="s">
        <v>843</v>
      </c>
      <c r="I176" s="2">
        <v>34</v>
      </c>
      <c r="J176" s="2">
        <v>34</v>
      </c>
      <c r="K176" s="15"/>
      <c r="L176" s="46"/>
      <c r="M176" s="46"/>
      <c r="N176" s="15"/>
      <c r="Q176" s="15"/>
    </row>
    <row r="177" spans="1:19" ht="14.1" customHeight="1" x14ac:dyDescent="0.2">
      <c r="A177" s="2" t="s">
        <v>562</v>
      </c>
      <c r="B177" s="2" t="s">
        <v>91</v>
      </c>
      <c r="C177" s="2">
        <v>2</v>
      </c>
      <c r="D177" s="2" t="s">
        <v>37</v>
      </c>
      <c r="E177" s="44" t="s">
        <v>864</v>
      </c>
      <c r="F177" s="2" t="s">
        <v>1157</v>
      </c>
      <c r="G177" s="2" t="s">
        <v>1157</v>
      </c>
      <c r="H177" s="15" t="s">
        <v>843</v>
      </c>
      <c r="I177" s="2">
        <v>47</v>
      </c>
      <c r="J177" s="2">
        <v>47</v>
      </c>
      <c r="K177" s="15"/>
      <c r="L177" s="46"/>
      <c r="M177" s="46"/>
      <c r="N177" s="15"/>
      <c r="Q177" s="15"/>
    </row>
    <row r="178" spans="1:19" ht="14.1" customHeight="1" x14ac:dyDescent="0.2">
      <c r="A178" s="2" t="s">
        <v>563</v>
      </c>
      <c r="B178" s="2" t="s">
        <v>91</v>
      </c>
      <c r="C178" s="2">
        <v>2</v>
      </c>
      <c r="D178" s="2" t="s">
        <v>38</v>
      </c>
      <c r="E178" s="44" t="s">
        <v>864</v>
      </c>
      <c r="F178" s="2" t="s">
        <v>1157</v>
      </c>
      <c r="G178" s="2" t="s">
        <v>1157</v>
      </c>
      <c r="H178" s="15" t="s">
        <v>843</v>
      </c>
      <c r="I178" s="2">
        <v>54</v>
      </c>
      <c r="J178" s="2">
        <v>54</v>
      </c>
      <c r="K178" s="15" t="s">
        <v>844</v>
      </c>
      <c r="L178" s="46">
        <v>4</v>
      </c>
      <c r="M178" s="46">
        <v>4</v>
      </c>
      <c r="N178" s="15"/>
      <c r="Q178" s="15"/>
    </row>
    <row r="179" spans="1:19" ht="14.1" customHeight="1" x14ac:dyDescent="0.2">
      <c r="A179" s="2" t="s">
        <v>564</v>
      </c>
      <c r="B179" s="2" t="s">
        <v>91</v>
      </c>
      <c r="C179" s="2">
        <v>2</v>
      </c>
      <c r="D179" s="2" t="s">
        <v>39</v>
      </c>
      <c r="E179" s="44" t="s">
        <v>864</v>
      </c>
      <c r="F179" s="2" t="s">
        <v>1157</v>
      </c>
      <c r="G179" s="2" t="s">
        <v>1157</v>
      </c>
      <c r="H179" s="15" t="s">
        <v>843</v>
      </c>
      <c r="I179" s="2">
        <v>62</v>
      </c>
      <c r="J179" s="2">
        <v>62</v>
      </c>
      <c r="K179" s="15" t="s">
        <v>844</v>
      </c>
      <c r="L179" s="46">
        <v>9</v>
      </c>
      <c r="M179" s="46">
        <v>9</v>
      </c>
      <c r="N179" s="15"/>
      <c r="Q179" s="15"/>
    </row>
    <row r="180" spans="1:19" ht="14.1" customHeight="1" x14ac:dyDescent="0.2">
      <c r="A180" s="2" t="s">
        <v>565</v>
      </c>
      <c r="B180" s="2" t="s">
        <v>91</v>
      </c>
      <c r="C180" s="2">
        <v>2</v>
      </c>
      <c r="D180" s="2" t="s">
        <v>40</v>
      </c>
      <c r="E180" s="44" t="s">
        <v>864</v>
      </c>
      <c r="F180" s="2" t="s">
        <v>1157</v>
      </c>
      <c r="G180" s="2" t="s">
        <v>1157</v>
      </c>
      <c r="H180" s="15" t="s">
        <v>843</v>
      </c>
      <c r="I180" s="2">
        <v>85</v>
      </c>
      <c r="J180" s="2">
        <v>85</v>
      </c>
      <c r="K180" s="15" t="s">
        <v>844</v>
      </c>
      <c r="L180" s="46">
        <v>12</v>
      </c>
      <c r="M180" s="46">
        <v>12</v>
      </c>
      <c r="N180" s="15"/>
      <c r="Q180" s="15"/>
    </row>
    <row r="181" spans="1:19" ht="14.1" customHeight="1" x14ac:dyDescent="0.2">
      <c r="A181" s="2" t="s">
        <v>566</v>
      </c>
      <c r="B181" s="2" t="s">
        <v>91</v>
      </c>
      <c r="C181" s="2">
        <v>2</v>
      </c>
      <c r="D181" s="2" t="s">
        <v>41</v>
      </c>
      <c r="E181" s="44" t="s">
        <v>864</v>
      </c>
      <c r="F181" s="2" t="s">
        <v>1157</v>
      </c>
      <c r="G181" s="2" t="s">
        <v>1157</v>
      </c>
      <c r="H181" s="15" t="s">
        <v>843</v>
      </c>
      <c r="I181" s="2">
        <v>115</v>
      </c>
      <c r="J181" s="2">
        <v>115</v>
      </c>
      <c r="K181" s="15" t="s">
        <v>844</v>
      </c>
      <c r="L181" s="46">
        <v>16</v>
      </c>
      <c r="M181" s="46">
        <v>16</v>
      </c>
      <c r="N181" s="15"/>
      <c r="Q181" s="15"/>
    </row>
    <row r="182" spans="1:19" ht="14.1" customHeight="1" x14ac:dyDescent="0.2">
      <c r="A182" s="2" t="s">
        <v>567</v>
      </c>
      <c r="B182" s="2" t="s">
        <v>91</v>
      </c>
      <c r="C182" s="2">
        <v>2</v>
      </c>
      <c r="D182" s="2" t="s">
        <v>42</v>
      </c>
      <c r="E182" s="44" t="s">
        <v>864</v>
      </c>
      <c r="F182" s="2" t="s">
        <v>1157</v>
      </c>
      <c r="G182" s="2" t="s">
        <v>1157</v>
      </c>
      <c r="H182" s="15" t="s">
        <v>843</v>
      </c>
      <c r="I182" s="2">
        <v>150</v>
      </c>
      <c r="J182" s="2">
        <v>150</v>
      </c>
      <c r="K182" s="15" t="s">
        <v>844</v>
      </c>
      <c r="L182" s="46">
        <v>22</v>
      </c>
      <c r="M182" s="46">
        <v>22</v>
      </c>
      <c r="N182" s="15"/>
      <c r="Q182" s="15"/>
    </row>
    <row r="183" spans="1:19" ht="14.1" customHeight="1" x14ac:dyDescent="0.2">
      <c r="A183" s="2" t="s">
        <v>568</v>
      </c>
      <c r="B183" s="2" t="s">
        <v>91</v>
      </c>
      <c r="C183" s="2">
        <v>2</v>
      </c>
      <c r="D183" s="2" t="s">
        <v>43</v>
      </c>
      <c r="E183" s="44" t="s">
        <v>864</v>
      </c>
      <c r="F183" s="2" t="s">
        <v>1157</v>
      </c>
      <c r="G183" s="2" t="s">
        <v>1157</v>
      </c>
      <c r="H183" s="15" t="s">
        <v>843</v>
      </c>
      <c r="I183" s="2">
        <v>150</v>
      </c>
      <c r="J183" s="2">
        <v>150</v>
      </c>
      <c r="K183" s="15" t="s">
        <v>844</v>
      </c>
      <c r="L183" s="46">
        <v>25</v>
      </c>
      <c r="M183" s="46">
        <v>25</v>
      </c>
      <c r="N183" s="15" t="s">
        <v>95</v>
      </c>
      <c r="O183" s="2">
        <v>11</v>
      </c>
      <c r="P183" s="2">
        <v>11</v>
      </c>
      <c r="Q183" s="15"/>
    </row>
    <row r="184" spans="1:19" ht="14.1" customHeight="1" x14ac:dyDescent="0.2">
      <c r="A184" s="2" t="s">
        <v>569</v>
      </c>
      <c r="B184" s="2" t="s">
        <v>91</v>
      </c>
      <c r="C184" s="2">
        <v>2</v>
      </c>
      <c r="D184" s="2" t="s">
        <v>44</v>
      </c>
      <c r="E184" s="44" t="s">
        <v>864</v>
      </c>
      <c r="F184" s="2" t="s">
        <v>1157</v>
      </c>
      <c r="G184" s="2" t="s">
        <v>1157</v>
      </c>
      <c r="H184" s="15" t="s">
        <v>843</v>
      </c>
      <c r="I184" s="2">
        <v>150</v>
      </c>
      <c r="J184" s="2">
        <v>150</v>
      </c>
      <c r="K184" s="15" t="s">
        <v>844</v>
      </c>
      <c r="L184" s="47">
        <v>41</v>
      </c>
      <c r="M184" s="47">
        <v>41</v>
      </c>
      <c r="N184" s="15" t="s">
        <v>95</v>
      </c>
      <c r="O184" s="2">
        <v>20</v>
      </c>
      <c r="P184" s="2">
        <v>20</v>
      </c>
      <c r="Q184" s="15"/>
    </row>
    <row r="185" spans="1:19" ht="14.1" customHeight="1" x14ac:dyDescent="0.2">
      <c r="A185" s="2" t="s">
        <v>570</v>
      </c>
      <c r="B185" s="2" t="s">
        <v>91</v>
      </c>
      <c r="C185" s="2">
        <v>2</v>
      </c>
      <c r="D185" s="2" t="s">
        <v>45</v>
      </c>
      <c r="E185" s="44" t="s">
        <v>864</v>
      </c>
      <c r="F185" s="2" t="s">
        <v>1157</v>
      </c>
      <c r="G185" s="2" t="s">
        <v>1157</v>
      </c>
      <c r="H185" s="15" t="s">
        <v>843</v>
      </c>
      <c r="I185" s="2">
        <v>150</v>
      </c>
      <c r="J185" s="2">
        <v>150</v>
      </c>
      <c r="K185" s="15" t="s">
        <v>844</v>
      </c>
      <c r="L185" s="47">
        <v>69</v>
      </c>
      <c r="M185" s="47">
        <v>69</v>
      </c>
      <c r="N185" s="15" t="s">
        <v>95</v>
      </c>
      <c r="O185" s="2">
        <v>35</v>
      </c>
      <c r="P185" s="2">
        <v>35</v>
      </c>
      <c r="Q185" s="15"/>
    </row>
    <row r="186" spans="1:19" ht="14.1" customHeight="1" x14ac:dyDescent="0.2">
      <c r="A186" s="2" t="s">
        <v>571</v>
      </c>
      <c r="B186" s="2" t="s">
        <v>91</v>
      </c>
      <c r="C186" s="2">
        <v>2</v>
      </c>
      <c r="D186" s="2" t="s">
        <v>46</v>
      </c>
      <c r="E186" s="44" t="s">
        <v>864</v>
      </c>
      <c r="F186" s="2" t="s">
        <v>1157</v>
      </c>
      <c r="G186" s="2" t="s">
        <v>1157</v>
      </c>
      <c r="H186" s="15" t="s">
        <v>843</v>
      </c>
      <c r="I186" s="2">
        <v>150</v>
      </c>
      <c r="J186" s="2">
        <v>150</v>
      </c>
      <c r="K186" s="15" t="s">
        <v>844</v>
      </c>
      <c r="L186" s="47">
        <v>80</v>
      </c>
      <c r="M186" s="47">
        <v>80</v>
      </c>
      <c r="N186" s="15" t="s">
        <v>95</v>
      </c>
      <c r="O186" s="2">
        <v>45</v>
      </c>
      <c r="P186" s="2">
        <v>45</v>
      </c>
      <c r="Q186" s="15"/>
    </row>
    <row r="187" spans="1:19" ht="14.1" customHeight="1" x14ac:dyDescent="0.2">
      <c r="A187" s="2" t="s">
        <v>572</v>
      </c>
      <c r="B187" s="2" t="s">
        <v>91</v>
      </c>
      <c r="C187" s="2">
        <v>2</v>
      </c>
      <c r="D187" s="2" t="s">
        <v>47</v>
      </c>
      <c r="E187" s="44" t="s">
        <v>864</v>
      </c>
      <c r="F187" s="2" t="s">
        <v>1157</v>
      </c>
      <c r="G187" s="2" t="s">
        <v>1157</v>
      </c>
      <c r="H187" s="15" t="s">
        <v>843</v>
      </c>
      <c r="I187" s="2">
        <v>150</v>
      </c>
      <c r="J187" s="2">
        <v>150</v>
      </c>
      <c r="K187" s="15" t="s">
        <v>844</v>
      </c>
      <c r="L187" s="47">
        <v>107</v>
      </c>
      <c r="M187" s="47">
        <v>107</v>
      </c>
      <c r="N187" s="15" t="s">
        <v>95</v>
      </c>
      <c r="O187" s="2">
        <v>70</v>
      </c>
      <c r="P187" s="2">
        <v>70</v>
      </c>
      <c r="Q187" s="15"/>
    </row>
    <row r="188" spans="1:19" ht="14.1" customHeight="1" x14ac:dyDescent="0.2">
      <c r="A188" s="2" t="s">
        <v>573</v>
      </c>
      <c r="B188" s="2" t="s">
        <v>91</v>
      </c>
      <c r="C188" s="2">
        <v>2</v>
      </c>
      <c r="D188" s="2" t="s">
        <v>48</v>
      </c>
      <c r="E188" s="44" t="s">
        <v>864</v>
      </c>
      <c r="F188" s="2" t="s">
        <v>1157</v>
      </c>
      <c r="G188" s="2" t="s">
        <v>1157</v>
      </c>
      <c r="H188" s="15" t="s">
        <v>843</v>
      </c>
      <c r="I188" s="2">
        <v>200</v>
      </c>
      <c r="J188" s="2">
        <v>200</v>
      </c>
      <c r="K188" s="15" t="s">
        <v>844</v>
      </c>
      <c r="L188" s="47">
        <v>120</v>
      </c>
      <c r="M188" s="47">
        <v>120</v>
      </c>
      <c r="N188" s="15" t="s">
        <v>95</v>
      </c>
      <c r="O188" s="2">
        <v>77</v>
      </c>
      <c r="P188" s="2">
        <v>77</v>
      </c>
      <c r="Q188" s="15" t="s">
        <v>96</v>
      </c>
      <c r="R188" s="2">
        <v>5</v>
      </c>
      <c r="S188" s="2">
        <v>5</v>
      </c>
    </row>
    <row r="189" spans="1:19" ht="14.1" customHeight="1" x14ac:dyDescent="0.2">
      <c r="A189" s="2" t="s">
        <v>574</v>
      </c>
      <c r="B189" s="2" t="s">
        <v>91</v>
      </c>
      <c r="C189" s="2">
        <v>2</v>
      </c>
      <c r="D189" s="2" t="s">
        <v>49</v>
      </c>
      <c r="E189" s="44" t="s">
        <v>864</v>
      </c>
      <c r="F189" s="2" t="s">
        <v>1157</v>
      </c>
      <c r="G189" s="2" t="s">
        <v>1157</v>
      </c>
      <c r="H189" s="15" t="s">
        <v>843</v>
      </c>
      <c r="I189" s="2">
        <v>200</v>
      </c>
      <c r="J189" s="2">
        <v>200</v>
      </c>
      <c r="K189" s="15" t="s">
        <v>844</v>
      </c>
      <c r="L189" s="47">
        <v>150</v>
      </c>
      <c r="M189" s="47">
        <v>150</v>
      </c>
      <c r="N189" s="15" t="s">
        <v>95</v>
      </c>
      <c r="O189" s="2">
        <v>95</v>
      </c>
      <c r="P189" s="2">
        <v>95</v>
      </c>
      <c r="Q189" s="15" t="s">
        <v>96</v>
      </c>
      <c r="R189" s="2">
        <v>15</v>
      </c>
      <c r="S189" s="2">
        <v>15</v>
      </c>
    </row>
    <row r="190" spans="1:19" ht="14.1" customHeight="1" x14ac:dyDescent="0.2">
      <c r="A190" s="2" t="s">
        <v>575</v>
      </c>
      <c r="B190" s="2" t="s">
        <v>91</v>
      </c>
      <c r="C190" s="2">
        <v>2</v>
      </c>
      <c r="D190" s="2" t="s">
        <v>50</v>
      </c>
      <c r="E190" s="44" t="s">
        <v>864</v>
      </c>
      <c r="F190" s="2" t="s">
        <v>1157</v>
      </c>
      <c r="G190" s="2" t="s">
        <v>1157</v>
      </c>
      <c r="H190" s="15" t="s">
        <v>843</v>
      </c>
      <c r="I190" s="2">
        <v>200</v>
      </c>
      <c r="J190" s="2">
        <v>200</v>
      </c>
      <c r="K190" s="15" t="s">
        <v>844</v>
      </c>
      <c r="L190" s="47">
        <v>200</v>
      </c>
      <c r="M190" s="47">
        <v>200</v>
      </c>
      <c r="N190" s="15" t="s">
        <v>95</v>
      </c>
      <c r="O190" s="2">
        <v>113</v>
      </c>
      <c r="P190" s="2">
        <v>113</v>
      </c>
      <c r="Q190" s="15" t="s">
        <v>96</v>
      </c>
      <c r="R190" s="2">
        <v>25</v>
      </c>
      <c r="S190" s="2">
        <v>25</v>
      </c>
    </row>
    <row r="191" spans="1:19" ht="14.1" customHeight="1" x14ac:dyDescent="0.2">
      <c r="A191" s="2" t="s">
        <v>576</v>
      </c>
      <c r="B191" s="2" t="s">
        <v>91</v>
      </c>
      <c r="C191" s="2">
        <v>2</v>
      </c>
      <c r="D191" s="2" t="s">
        <v>51</v>
      </c>
      <c r="E191" s="44" t="s">
        <v>864</v>
      </c>
      <c r="F191" s="2" t="s">
        <v>1157</v>
      </c>
      <c r="G191" s="2" t="s">
        <v>1157</v>
      </c>
      <c r="H191" s="15" t="s">
        <v>843</v>
      </c>
      <c r="I191" s="2">
        <v>200</v>
      </c>
      <c r="J191" s="2">
        <v>200</v>
      </c>
      <c r="K191" s="15" t="s">
        <v>844</v>
      </c>
      <c r="L191" s="47">
        <v>200</v>
      </c>
      <c r="M191" s="47">
        <v>200</v>
      </c>
      <c r="N191" s="15" t="s">
        <v>95</v>
      </c>
      <c r="O191" s="2">
        <v>155</v>
      </c>
      <c r="P191" s="2">
        <v>155</v>
      </c>
      <c r="Q191" s="15" t="s">
        <v>96</v>
      </c>
      <c r="R191" s="2">
        <v>45</v>
      </c>
      <c r="S191" s="2">
        <v>45</v>
      </c>
    </row>
    <row r="192" spans="1:19" ht="14.1" customHeight="1" x14ac:dyDescent="0.2">
      <c r="A192" s="2" t="s">
        <v>577</v>
      </c>
      <c r="B192" s="2" t="s">
        <v>91</v>
      </c>
      <c r="C192" s="2">
        <v>2</v>
      </c>
      <c r="D192" s="2" t="s">
        <v>52</v>
      </c>
      <c r="E192" s="44" t="s">
        <v>864</v>
      </c>
      <c r="F192" s="2" t="s">
        <v>1157</v>
      </c>
      <c r="G192" s="2" t="s">
        <v>1157</v>
      </c>
      <c r="H192" s="15" t="s">
        <v>843</v>
      </c>
      <c r="I192" s="2">
        <v>200</v>
      </c>
      <c r="J192" s="2">
        <v>200</v>
      </c>
      <c r="K192" s="15" t="s">
        <v>844</v>
      </c>
      <c r="L192" s="47">
        <v>200</v>
      </c>
      <c r="M192" s="47">
        <v>200</v>
      </c>
      <c r="N192" s="15" t="s">
        <v>95</v>
      </c>
      <c r="O192" s="2">
        <v>195</v>
      </c>
      <c r="P192" s="2">
        <v>195</v>
      </c>
      <c r="Q192" s="15" t="s">
        <v>96</v>
      </c>
      <c r="R192" s="2">
        <v>75</v>
      </c>
      <c r="S192" s="2">
        <v>75</v>
      </c>
    </row>
    <row r="193" spans="1:17" ht="14.1" customHeight="1" x14ac:dyDescent="0.2">
      <c r="A193" s="2" t="s">
        <v>578</v>
      </c>
      <c r="B193" s="2" t="s">
        <v>92</v>
      </c>
      <c r="C193" s="2" t="s">
        <v>9</v>
      </c>
      <c r="D193" s="2" t="s">
        <v>9</v>
      </c>
      <c r="E193" s="44" t="s">
        <v>865</v>
      </c>
      <c r="F193" s="2" t="s">
        <v>4</v>
      </c>
      <c r="G193" s="2" t="s">
        <v>4</v>
      </c>
      <c r="H193" s="15"/>
      <c r="K193" s="15"/>
      <c r="L193" s="46"/>
      <c r="M193" s="46"/>
      <c r="N193" s="15"/>
      <c r="Q193" s="15"/>
    </row>
    <row r="194" spans="1:17" ht="14.1" customHeight="1" x14ac:dyDescent="0.2">
      <c r="A194" s="2" t="s">
        <v>579</v>
      </c>
      <c r="B194" s="2" t="s">
        <v>92</v>
      </c>
      <c r="C194" s="2" t="s">
        <v>9</v>
      </c>
      <c r="D194" s="2" t="s">
        <v>0</v>
      </c>
      <c r="E194" s="44" t="s">
        <v>865</v>
      </c>
      <c r="F194" s="2" t="s">
        <v>4</v>
      </c>
      <c r="G194" s="2" t="s">
        <v>4</v>
      </c>
      <c r="H194" s="15" t="s">
        <v>843</v>
      </c>
      <c r="I194" s="2">
        <v>9</v>
      </c>
      <c r="J194" s="2">
        <v>9</v>
      </c>
      <c r="K194" s="15"/>
      <c r="L194" s="46"/>
      <c r="M194" s="46"/>
      <c r="N194" s="15"/>
      <c r="Q194" s="15"/>
    </row>
    <row r="195" spans="1:17" ht="14.1" customHeight="1" x14ac:dyDescent="0.2">
      <c r="A195" s="2" t="s">
        <v>580</v>
      </c>
      <c r="B195" s="2" t="s">
        <v>92</v>
      </c>
      <c r="C195" s="2" t="s">
        <v>9</v>
      </c>
      <c r="D195" s="2" t="s">
        <v>34</v>
      </c>
      <c r="E195" s="44" t="s">
        <v>865</v>
      </c>
      <c r="F195" s="2" t="s">
        <v>4</v>
      </c>
      <c r="G195" s="2" t="s">
        <v>4</v>
      </c>
      <c r="H195" s="15" t="s">
        <v>843</v>
      </c>
      <c r="I195" s="2">
        <v>15</v>
      </c>
      <c r="J195" s="2">
        <v>15</v>
      </c>
      <c r="K195" s="15"/>
      <c r="L195" s="46"/>
      <c r="M195" s="46"/>
      <c r="N195" s="15"/>
      <c r="Q195" s="15"/>
    </row>
    <row r="196" spans="1:17" ht="14.1" customHeight="1" x14ac:dyDescent="0.2">
      <c r="A196" s="2" t="s">
        <v>581</v>
      </c>
      <c r="B196" s="2" t="s">
        <v>92</v>
      </c>
      <c r="C196" s="2" t="s">
        <v>9</v>
      </c>
      <c r="D196" s="2" t="s">
        <v>35</v>
      </c>
      <c r="E196" s="44" t="s">
        <v>865</v>
      </c>
      <c r="F196" s="2" t="s">
        <v>4</v>
      </c>
      <c r="G196" s="2" t="s">
        <v>4</v>
      </c>
      <c r="H196" s="15" t="s">
        <v>843</v>
      </c>
      <c r="I196" s="2">
        <v>23</v>
      </c>
      <c r="J196" s="2">
        <v>23</v>
      </c>
      <c r="K196" s="15"/>
      <c r="L196" s="46"/>
      <c r="M196" s="46"/>
      <c r="N196" s="15"/>
      <c r="Q196" s="15"/>
    </row>
    <row r="197" spans="1:17" ht="14.1" customHeight="1" x14ac:dyDescent="0.2">
      <c r="A197" s="2" t="s">
        <v>582</v>
      </c>
      <c r="B197" s="2" t="s">
        <v>92</v>
      </c>
      <c r="C197" s="2" t="s">
        <v>9</v>
      </c>
      <c r="D197" s="2" t="s">
        <v>36</v>
      </c>
      <c r="E197" s="44" t="s">
        <v>865</v>
      </c>
      <c r="F197" s="2" t="s">
        <v>4</v>
      </c>
      <c r="G197" s="2" t="s">
        <v>4</v>
      </c>
      <c r="H197" s="15" t="s">
        <v>843</v>
      </c>
      <c r="I197" s="2">
        <v>34</v>
      </c>
      <c r="J197" s="2">
        <v>34</v>
      </c>
      <c r="K197" s="15"/>
      <c r="L197" s="46"/>
      <c r="M197" s="46"/>
      <c r="N197" s="15"/>
      <c r="Q197" s="15"/>
    </row>
    <row r="198" spans="1:17" ht="14.1" customHeight="1" x14ac:dyDescent="0.2">
      <c r="A198" s="2" t="s">
        <v>583</v>
      </c>
      <c r="B198" s="2" t="s">
        <v>92</v>
      </c>
      <c r="C198" s="2" t="s">
        <v>9</v>
      </c>
      <c r="D198" s="2" t="s">
        <v>37</v>
      </c>
      <c r="E198" s="44" t="s">
        <v>865</v>
      </c>
      <c r="F198" s="2" t="s">
        <v>4</v>
      </c>
      <c r="G198" s="2" t="s">
        <v>4</v>
      </c>
      <c r="H198" s="15" t="s">
        <v>843</v>
      </c>
      <c r="I198" s="2">
        <v>47</v>
      </c>
      <c r="J198" s="2">
        <v>47</v>
      </c>
      <c r="K198" s="15"/>
      <c r="L198" s="46"/>
      <c r="M198" s="46"/>
      <c r="N198" s="15"/>
      <c r="Q198" s="15"/>
    </row>
    <row r="199" spans="1:17" ht="14.1" customHeight="1" x14ac:dyDescent="0.2">
      <c r="A199" s="2" t="s">
        <v>584</v>
      </c>
      <c r="B199" s="2" t="s">
        <v>92</v>
      </c>
      <c r="C199" s="2" t="s">
        <v>9</v>
      </c>
      <c r="D199" s="2" t="s">
        <v>38</v>
      </c>
      <c r="E199" s="44" t="s">
        <v>865</v>
      </c>
      <c r="F199" s="2" t="s">
        <v>4</v>
      </c>
      <c r="G199" s="2" t="s">
        <v>4</v>
      </c>
      <c r="H199" s="15" t="s">
        <v>843</v>
      </c>
      <c r="I199" s="2">
        <v>54</v>
      </c>
      <c r="J199" s="2">
        <v>54</v>
      </c>
      <c r="K199" s="15" t="s">
        <v>844</v>
      </c>
      <c r="L199" s="46">
        <v>4</v>
      </c>
      <c r="M199" s="46">
        <v>4</v>
      </c>
      <c r="N199" s="15"/>
      <c r="Q199" s="15"/>
    </row>
    <row r="200" spans="1:17" ht="14.1" customHeight="1" x14ac:dyDescent="0.2">
      <c r="A200" s="2" t="s">
        <v>585</v>
      </c>
      <c r="B200" s="2" t="s">
        <v>92</v>
      </c>
      <c r="C200" s="2" t="s">
        <v>9</v>
      </c>
      <c r="D200" s="2" t="s">
        <v>39</v>
      </c>
      <c r="E200" s="44" t="s">
        <v>865</v>
      </c>
      <c r="F200" s="2" t="s">
        <v>4</v>
      </c>
      <c r="G200" s="2" t="s">
        <v>4</v>
      </c>
      <c r="H200" s="15" t="s">
        <v>843</v>
      </c>
      <c r="I200" s="2">
        <v>62</v>
      </c>
      <c r="J200" s="2">
        <v>62</v>
      </c>
      <c r="K200" s="15" t="s">
        <v>844</v>
      </c>
      <c r="L200" s="46">
        <v>9</v>
      </c>
      <c r="M200" s="46">
        <v>9</v>
      </c>
      <c r="N200" s="15"/>
      <c r="Q200" s="15"/>
    </row>
    <row r="201" spans="1:17" ht="14.1" customHeight="1" x14ac:dyDescent="0.2">
      <c r="A201" s="2" t="s">
        <v>586</v>
      </c>
      <c r="B201" s="2" t="s">
        <v>92</v>
      </c>
      <c r="C201" s="2" t="s">
        <v>9</v>
      </c>
      <c r="D201" s="2" t="s">
        <v>40</v>
      </c>
      <c r="E201" s="44" t="s">
        <v>865</v>
      </c>
      <c r="F201" s="2" t="s">
        <v>4</v>
      </c>
      <c r="G201" s="2" t="s">
        <v>4</v>
      </c>
      <c r="H201" s="15" t="s">
        <v>843</v>
      </c>
      <c r="I201" s="2">
        <v>85</v>
      </c>
      <c r="J201" s="2">
        <v>85</v>
      </c>
      <c r="K201" s="15" t="s">
        <v>844</v>
      </c>
      <c r="L201" s="46">
        <v>12</v>
      </c>
      <c r="M201" s="46">
        <v>12</v>
      </c>
      <c r="N201" s="15"/>
      <c r="Q201" s="15"/>
    </row>
    <row r="202" spans="1:17" ht="14.1" customHeight="1" x14ac:dyDescent="0.2">
      <c r="A202" s="2" t="s">
        <v>587</v>
      </c>
      <c r="B202" s="2" t="s">
        <v>92</v>
      </c>
      <c r="C202" s="2" t="s">
        <v>9</v>
      </c>
      <c r="D202" s="2" t="s">
        <v>41</v>
      </c>
      <c r="E202" s="44" t="s">
        <v>865</v>
      </c>
      <c r="F202" s="2" t="s">
        <v>4</v>
      </c>
      <c r="G202" s="2" t="s">
        <v>4</v>
      </c>
      <c r="H202" s="15" t="s">
        <v>843</v>
      </c>
      <c r="I202" s="2">
        <v>115</v>
      </c>
      <c r="J202" s="2">
        <v>115</v>
      </c>
      <c r="K202" s="15" t="s">
        <v>844</v>
      </c>
      <c r="L202" s="46">
        <v>16</v>
      </c>
      <c r="M202" s="46">
        <v>16</v>
      </c>
      <c r="N202" s="15"/>
      <c r="Q202" s="15"/>
    </row>
    <row r="203" spans="1:17" ht="14.1" customHeight="1" x14ac:dyDescent="0.2">
      <c r="A203" s="2" t="s">
        <v>588</v>
      </c>
      <c r="B203" s="2" t="s">
        <v>92</v>
      </c>
      <c r="C203" s="2" t="s">
        <v>9</v>
      </c>
      <c r="D203" s="2" t="s">
        <v>42</v>
      </c>
      <c r="E203" s="44" t="s">
        <v>865</v>
      </c>
      <c r="F203" s="2" t="s">
        <v>4</v>
      </c>
      <c r="G203" s="2" t="s">
        <v>4</v>
      </c>
      <c r="H203" s="15" t="s">
        <v>843</v>
      </c>
      <c r="I203" s="2">
        <v>150</v>
      </c>
      <c r="J203" s="2">
        <v>150</v>
      </c>
      <c r="K203" s="15" t="s">
        <v>844</v>
      </c>
      <c r="L203" s="46">
        <v>22</v>
      </c>
      <c r="M203" s="46">
        <v>22</v>
      </c>
      <c r="N203" s="15"/>
      <c r="Q203" s="15"/>
    </row>
    <row r="204" spans="1:17" ht="14.1" customHeight="1" x14ac:dyDescent="0.2">
      <c r="A204" s="2" t="s">
        <v>589</v>
      </c>
      <c r="B204" s="2" t="s">
        <v>92</v>
      </c>
      <c r="C204" s="2" t="s">
        <v>9</v>
      </c>
      <c r="D204" s="2" t="s">
        <v>43</v>
      </c>
      <c r="E204" s="44" t="s">
        <v>865</v>
      </c>
      <c r="F204" s="2" t="s">
        <v>4</v>
      </c>
      <c r="G204" s="2" t="s">
        <v>4</v>
      </c>
      <c r="H204" s="15" t="s">
        <v>843</v>
      </c>
      <c r="I204" s="2">
        <v>150</v>
      </c>
      <c r="J204" s="2">
        <v>150</v>
      </c>
      <c r="K204" s="15" t="s">
        <v>844</v>
      </c>
      <c r="L204" s="46">
        <v>25</v>
      </c>
      <c r="M204" s="46">
        <v>25</v>
      </c>
      <c r="N204" s="15" t="s">
        <v>95</v>
      </c>
      <c r="O204" s="2">
        <v>11</v>
      </c>
      <c r="P204" s="2">
        <v>11</v>
      </c>
      <c r="Q204" s="15"/>
    </row>
    <row r="205" spans="1:17" ht="14.1" customHeight="1" x14ac:dyDescent="0.2">
      <c r="A205" s="2" t="s">
        <v>590</v>
      </c>
      <c r="B205" s="2" t="s">
        <v>92</v>
      </c>
      <c r="C205" s="2" t="s">
        <v>9</v>
      </c>
      <c r="D205" s="2" t="s">
        <v>44</v>
      </c>
      <c r="E205" s="44" t="s">
        <v>865</v>
      </c>
      <c r="F205" s="2" t="s">
        <v>4</v>
      </c>
      <c r="G205" s="2" t="s">
        <v>4</v>
      </c>
      <c r="H205" s="15" t="s">
        <v>843</v>
      </c>
      <c r="I205" s="2">
        <v>150</v>
      </c>
      <c r="J205" s="2">
        <v>150</v>
      </c>
      <c r="K205" s="15" t="s">
        <v>844</v>
      </c>
      <c r="L205" s="47">
        <v>41</v>
      </c>
      <c r="M205" s="47">
        <v>41</v>
      </c>
      <c r="N205" s="15" t="s">
        <v>95</v>
      </c>
      <c r="O205" s="2">
        <v>20</v>
      </c>
      <c r="P205" s="2">
        <v>20</v>
      </c>
      <c r="Q205" s="15"/>
    </row>
    <row r="206" spans="1:17" ht="14.1" customHeight="1" x14ac:dyDescent="0.2">
      <c r="A206" s="2" t="s">
        <v>591</v>
      </c>
      <c r="B206" s="2" t="s">
        <v>92</v>
      </c>
      <c r="C206" s="2" t="s">
        <v>9</v>
      </c>
      <c r="D206" s="2" t="s">
        <v>45</v>
      </c>
      <c r="E206" s="44" t="s">
        <v>865</v>
      </c>
      <c r="F206" s="2" t="s">
        <v>4</v>
      </c>
      <c r="G206" s="2" t="s">
        <v>4</v>
      </c>
      <c r="H206" s="15" t="s">
        <v>843</v>
      </c>
      <c r="I206" s="2">
        <v>150</v>
      </c>
      <c r="J206" s="2">
        <v>150</v>
      </c>
      <c r="K206" s="15" t="s">
        <v>844</v>
      </c>
      <c r="L206" s="47">
        <v>69</v>
      </c>
      <c r="M206" s="47">
        <v>69</v>
      </c>
      <c r="N206" s="15" t="s">
        <v>95</v>
      </c>
      <c r="O206" s="2">
        <v>35</v>
      </c>
      <c r="P206" s="2">
        <v>35</v>
      </c>
      <c r="Q206" s="15"/>
    </row>
    <row r="207" spans="1:17" ht="14.1" customHeight="1" x14ac:dyDescent="0.2">
      <c r="A207" s="2" t="s">
        <v>592</v>
      </c>
      <c r="B207" s="2" t="s">
        <v>92</v>
      </c>
      <c r="C207" s="2" t="s">
        <v>9</v>
      </c>
      <c r="D207" s="2" t="s">
        <v>46</v>
      </c>
      <c r="E207" s="44" t="s">
        <v>865</v>
      </c>
      <c r="F207" s="2" t="s">
        <v>4</v>
      </c>
      <c r="G207" s="2" t="s">
        <v>4</v>
      </c>
      <c r="H207" s="15" t="s">
        <v>843</v>
      </c>
      <c r="I207" s="2">
        <v>150</v>
      </c>
      <c r="J207" s="2">
        <v>150</v>
      </c>
      <c r="K207" s="15" t="s">
        <v>844</v>
      </c>
      <c r="L207" s="47">
        <v>80</v>
      </c>
      <c r="M207" s="47">
        <v>80</v>
      </c>
      <c r="N207" s="15" t="s">
        <v>95</v>
      </c>
      <c r="O207" s="2">
        <v>45</v>
      </c>
      <c r="P207" s="2">
        <v>45</v>
      </c>
      <c r="Q207" s="15"/>
    </row>
    <row r="208" spans="1:17" ht="14.1" customHeight="1" x14ac:dyDescent="0.2">
      <c r="A208" s="2" t="s">
        <v>593</v>
      </c>
      <c r="B208" s="2" t="s">
        <v>92</v>
      </c>
      <c r="C208" s="7" t="s">
        <v>9</v>
      </c>
      <c r="D208" s="2" t="s">
        <v>47</v>
      </c>
      <c r="E208" s="44" t="s">
        <v>865</v>
      </c>
      <c r="F208" s="2" t="s">
        <v>4</v>
      </c>
      <c r="G208" s="2" t="s">
        <v>4</v>
      </c>
      <c r="H208" s="15" t="s">
        <v>843</v>
      </c>
      <c r="I208" s="2">
        <v>150</v>
      </c>
      <c r="J208" s="2">
        <v>150</v>
      </c>
      <c r="K208" s="15" t="s">
        <v>844</v>
      </c>
      <c r="L208" s="47">
        <v>107</v>
      </c>
      <c r="M208" s="47">
        <v>107</v>
      </c>
      <c r="N208" s="15" t="s">
        <v>95</v>
      </c>
      <c r="O208" s="2">
        <v>70</v>
      </c>
      <c r="P208" s="2">
        <v>70</v>
      </c>
      <c r="Q208" s="15"/>
    </row>
    <row r="209" spans="1:19" ht="14.1" customHeight="1" x14ac:dyDescent="0.2">
      <c r="A209" s="2" t="s">
        <v>594</v>
      </c>
      <c r="B209" s="2" t="s">
        <v>92</v>
      </c>
      <c r="C209" s="7" t="s">
        <v>9</v>
      </c>
      <c r="D209" s="2" t="s">
        <v>48</v>
      </c>
      <c r="E209" s="44" t="s">
        <v>865</v>
      </c>
      <c r="F209" s="2" t="s">
        <v>4</v>
      </c>
      <c r="G209" s="2" t="s">
        <v>4</v>
      </c>
      <c r="H209" s="15" t="s">
        <v>843</v>
      </c>
      <c r="I209" s="2">
        <v>200</v>
      </c>
      <c r="J209" s="2">
        <v>200</v>
      </c>
      <c r="K209" s="15" t="s">
        <v>844</v>
      </c>
      <c r="L209" s="47">
        <v>120</v>
      </c>
      <c r="M209" s="47">
        <v>120</v>
      </c>
      <c r="N209" s="15" t="s">
        <v>95</v>
      </c>
      <c r="O209" s="2">
        <v>77</v>
      </c>
      <c r="P209" s="2">
        <v>77</v>
      </c>
      <c r="Q209" s="15" t="s">
        <v>96</v>
      </c>
      <c r="R209" s="2">
        <v>5</v>
      </c>
      <c r="S209" s="2">
        <v>5</v>
      </c>
    </row>
    <row r="210" spans="1:19" ht="14.1" customHeight="1" x14ac:dyDescent="0.2">
      <c r="A210" s="2" t="s">
        <v>595</v>
      </c>
      <c r="B210" s="2" t="s">
        <v>92</v>
      </c>
      <c r="C210" s="7" t="s">
        <v>9</v>
      </c>
      <c r="D210" s="2" t="s">
        <v>49</v>
      </c>
      <c r="E210" s="44" t="s">
        <v>865</v>
      </c>
      <c r="F210" s="2" t="s">
        <v>4</v>
      </c>
      <c r="G210" s="2" t="s">
        <v>4</v>
      </c>
      <c r="H210" s="15" t="s">
        <v>843</v>
      </c>
      <c r="I210" s="2">
        <v>200</v>
      </c>
      <c r="J210" s="2">
        <v>200</v>
      </c>
      <c r="K210" s="15" t="s">
        <v>844</v>
      </c>
      <c r="L210" s="47">
        <v>150</v>
      </c>
      <c r="M210" s="47">
        <v>150</v>
      </c>
      <c r="N210" s="15" t="s">
        <v>95</v>
      </c>
      <c r="O210" s="2">
        <v>95</v>
      </c>
      <c r="P210" s="2">
        <v>95</v>
      </c>
      <c r="Q210" s="15" t="s">
        <v>96</v>
      </c>
      <c r="R210" s="2">
        <v>15</v>
      </c>
      <c r="S210" s="2">
        <v>15</v>
      </c>
    </row>
    <row r="211" spans="1:19" ht="14.1" customHeight="1" x14ac:dyDescent="0.2">
      <c r="A211" s="2" t="s">
        <v>596</v>
      </c>
      <c r="B211" s="2" t="s">
        <v>92</v>
      </c>
      <c r="C211" s="7" t="s">
        <v>9</v>
      </c>
      <c r="D211" s="2" t="s">
        <v>50</v>
      </c>
      <c r="E211" s="44" t="s">
        <v>865</v>
      </c>
      <c r="F211" s="2" t="s">
        <v>4</v>
      </c>
      <c r="G211" s="2" t="s">
        <v>4</v>
      </c>
      <c r="H211" s="15" t="s">
        <v>843</v>
      </c>
      <c r="I211" s="2">
        <v>200</v>
      </c>
      <c r="J211" s="2">
        <v>200</v>
      </c>
      <c r="K211" s="15" t="s">
        <v>844</v>
      </c>
      <c r="L211" s="47">
        <v>200</v>
      </c>
      <c r="M211" s="47">
        <v>200</v>
      </c>
      <c r="N211" s="15" t="s">
        <v>95</v>
      </c>
      <c r="O211" s="2">
        <v>113</v>
      </c>
      <c r="P211" s="2">
        <v>113</v>
      </c>
      <c r="Q211" s="15" t="s">
        <v>96</v>
      </c>
      <c r="R211" s="2">
        <v>25</v>
      </c>
      <c r="S211" s="2">
        <v>25</v>
      </c>
    </row>
    <row r="212" spans="1:19" ht="14.1" customHeight="1" x14ac:dyDescent="0.2">
      <c r="A212" s="2" t="s">
        <v>597</v>
      </c>
      <c r="B212" s="2" t="s">
        <v>92</v>
      </c>
      <c r="C212" s="2" t="s">
        <v>9</v>
      </c>
      <c r="D212" s="2" t="s">
        <v>51</v>
      </c>
      <c r="E212" s="44" t="s">
        <v>865</v>
      </c>
      <c r="F212" s="2" t="s">
        <v>4</v>
      </c>
      <c r="G212" s="2" t="s">
        <v>4</v>
      </c>
      <c r="H212" s="15" t="s">
        <v>843</v>
      </c>
      <c r="I212" s="2">
        <v>200</v>
      </c>
      <c r="J212" s="2">
        <v>200</v>
      </c>
      <c r="K212" s="15" t="s">
        <v>844</v>
      </c>
      <c r="L212" s="47">
        <v>200</v>
      </c>
      <c r="M212" s="47">
        <v>200</v>
      </c>
      <c r="N212" s="15" t="s">
        <v>95</v>
      </c>
      <c r="O212" s="2">
        <v>155</v>
      </c>
      <c r="P212" s="2">
        <v>155</v>
      </c>
      <c r="Q212" s="15" t="s">
        <v>96</v>
      </c>
      <c r="R212" s="2">
        <v>45</v>
      </c>
      <c r="S212" s="2">
        <v>45</v>
      </c>
    </row>
    <row r="213" spans="1:19" ht="14.1" customHeight="1" x14ac:dyDescent="0.2">
      <c r="A213" s="2" t="s">
        <v>598</v>
      </c>
      <c r="B213" s="2" t="s">
        <v>92</v>
      </c>
      <c r="C213" s="2" t="s">
        <v>9</v>
      </c>
      <c r="D213" s="2" t="s">
        <v>52</v>
      </c>
      <c r="E213" s="44" t="s">
        <v>865</v>
      </c>
      <c r="F213" s="2" t="s">
        <v>4</v>
      </c>
      <c r="G213" s="2" t="s">
        <v>4</v>
      </c>
      <c r="H213" s="15" t="s">
        <v>843</v>
      </c>
      <c r="I213" s="2">
        <v>200</v>
      </c>
      <c r="J213" s="2">
        <v>200</v>
      </c>
      <c r="K213" s="15" t="s">
        <v>844</v>
      </c>
      <c r="L213" s="47">
        <v>200</v>
      </c>
      <c r="M213" s="47">
        <v>200</v>
      </c>
      <c r="N213" s="15" t="s">
        <v>95</v>
      </c>
      <c r="O213" s="2">
        <v>195</v>
      </c>
      <c r="P213" s="2">
        <v>195</v>
      </c>
      <c r="Q213" s="15" t="s">
        <v>96</v>
      </c>
      <c r="R213" s="2">
        <v>75</v>
      </c>
      <c r="S213" s="2">
        <v>75</v>
      </c>
    </row>
    <row r="214" spans="1:19" ht="14.1" customHeight="1" x14ac:dyDescent="0.2">
      <c r="A214" s="2" t="s">
        <v>599</v>
      </c>
      <c r="B214" s="2" t="s">
        <v>92</v>
      </c>
      <c r="C214" s="2" t="s">
        <v>0</v>
      </c>
      <c r="D214" s="2" t="s">
        <v>9</v>
      </c>
      <c r="E214" s="44" t="s">
        <v>865</v>
      </c>
      <c r="F214" s="2" t="s">
        <v>1156</v>
      </c>
      <c r="G214" s="2" t="s">
        <v>1156</v>
      </c>
      <c r="H214" s="15"/>
      <c r="K214" s="15"/>
      <c r="L214" s="46"/>
      <c r="M214" s="46"/>
      <c r="N214" s="15"/>
      <c r="Q214" s="15"/>
    </row>
    <row r="215" spans="1:19" ht="14.1" customHeight="1" x14ac:dyDescent="0.2">
      <c r="A215" s="2" t="s">
        <v>600</v>
      </c>
      <c r="B215" s="2" t="s">
        <v>92</v>
      </c>
      <c r="C215" s="2" t="s">
        <v>0</v>
      </c>
      <c r="D215" s="2" t="s">
        <v>0</v>
      </c>
      <c r="E215" s="44" t="s">
        <v>865</v>
      </c>
      <c r="F215" s="2" t="s">
        <v>1156</v>
      </c>
      <c r="G215" s="2" t="s">
        <v>1156</v>
      </c>
      <c r="H215" s="15" t="s">
        <v>843</v>
      </c>
      <c r="I215" s="2">
        <v>9</v>
      </c>
      <c r="J215" s="2">
        <v>9</v>
      </c>
      <c r="K215" s="15"/>
      <c r="L215" s="46"/>
      <c r="M215" s="46"/>
      <c r="N215" s="15"/>
      <c r="Q215" s="15"/>
    </row>
    <row r="216" spans="1:19" ht="14.1" customHeight="1" x14ac:dyDescent="0.2">
      <c r="A216" s="2" t="s">
        <v>601</v>
      </c>
      <c r="B216" s="2" t="s">
        <v>92</v>
      </c>
      <c r="C216" s="2" t="s">
        <v>0</v>
      </c>
      <c r="D216" s="2" t="s">
        <v>34</v>
      </c>
      <c r="E216" s="44" t="s">
        <v>865</v>
      </c>
      <c r="F216" s="2" t="s">
        <v>1156</v>
      </c>
      <c r="G216" s="2" t="s">
        <v>1156</v>
      </c>
      <c r="H216" s="15" t="s">
        <v>843</v>
      </c>
      <c r="I216" s="2">
        <v>15</v>
      </c>
      <c r="J216" s="2">
        <v>15</v>
      </c>
      <c r="K216" s="15"/>
      <c r="L216" s="46"/>
      <c r="M216" s="46"/>
      <c r="N216" s="15"/>
      <c r="Q216" s="15"/>
    </row>
    <row r="217" spans="1:19" ht="14.1" customHeight="1" x14ac:dyDescent="0.2">
      <c r="A217" s="2" t="s">
        <v>602</v>
      </c>
      <c r="B217" s="2" t="s">
        <v>92</v>
      </c>
      <c r="C217" s="2" t="s">
        <v>0</v>
      </c>
      <c r="D217" s="2" t="s">
        <v>35</v>
      </c>
      <c r="E217" s="44" t="s">
        <v>865</v>
      </c>
      <c r="F217" s="2" t="s">
        <v>1156</v>
      </c>
      <c r="G217" s="2" t="s">
        <v>1156</v>
      </c>
      <c r="H217" s="15" t="s">
        <v>843</v>
      </c>
      <c r="I217" s="2">
        <v>23</v>
      </c>
      <c r="J217" s="2">
        <v>23</v>
      </c>
      <c r="K217" s="15"/>
      <c r="L217" s="46"/>
      <c r="M217" s="46"/>
      <c r="N217" s="15"/>
      <c r="Q217" s="15"/>
    </row>
    <row r="218" spans="1:19" ht="14.1" customHeight="1" x14ac:dyDescent="0.2">
      <c r="A218" s="2" t="s">
        <v>603</v>
      </c>
      <c r="B218" s="2" t="s">
        <v>92</v>
      </c>
      <c r="C218" s="2" t="s">
        <v>0</v>
      </c>
      <c r="D218" s="2" t="s">
        <v>36</v>
      </c>
      <c r="E218" s="44" t="s">
        <v>865</v>
      </c>
      <c r="F218" s="2" t="s">
        <v>1156</v>
      </c>
      <c r="G218" s="2" t="s">
        <v>1156</v>
      </c>
      <c r="H218" s="15" t="s">
        <v>843</v>
      </c>
      <c r="I218" s="2">
        <v>34</v>
      </c>
      <c r="J218" s="2">
        <v>34</v>
      </c>
      <c r="K218" s="15"/>
      <c r="L218" s="46"/>
      <c r="M218" s="46"/>
      <c r="N218" s="15"/>
      <c r="Q218" s="15"/>
    </row>
    <row r="219" spans="1:19" ht="14.1" customHeight="1" x14ac:dyDescent="0.2">
      <c r="A219" s="2" t="s">
        <v>604</v>
      </c>
      <c r="B219" s="2" t="s">
        <v>92</v>
      </c>
      <c r="C219" s="2" t="s">
        <v>0</v>
      </c>
      <c r="D219" s="2" t="s">
        <v>37</v>
      </c>
      <c r="E219" s="44" t="s">
        <v>865</v>
      </c>
      <c r="F219" s="2" t="s">
        <v>1156</v>
      </c>
      <c r="G219" s="2" t="s">
        <v>1156</v>
      </c>
      <c r="H219" s="15" t="s">
        <v>843</v>
      </c>
      <c r="I219" s="2">
        <v>47</v>
      </c>
      <c r="J219" s="2">
        <v>47</v>
      </c>
      <c r="K219" s="15"/>
      <c r="L219" s="46"/>
      <c r="M219" s="46"/>
      <c r="N219" s="15"/>
      <c r="Q219" s="15"/>
    </row>
    <row r="220" spans="1:19" ht="14.1" customHeight="1" x14ac:dyDescent="0.2">
      <c r="A220" s="2" t="s">
        <v>605</v>
      </c>
      <c r="B220" s="2" t="s">
        <v>92</v>
      </c>
      <c r="C220" s="2" t="s">
        <v>0</v>
      </c>
      <c r="D220" s="2" t="s">
        <v>38</v>
      </c>
      <c r="E220" s="44" t="s">
        <v>865</v>
      </c>
      <c r="F220" s="2" t="s">
        <v>1156</v>
      </c>
      <c r="G220" s="2" t="s">
        <v>1156</v>
      </c>
      <c r="H220" s="15" t="s">
        <v>843</v>
      </c>
      <c r="I220" s="2">
        <v>54</v>
      </c>
      <c r="J220" s="2">
        <v>54</v>
      </c>
      <c r="K220" s="15" t="s">
        <v>844</v>
      </c>
      <c r="L220" s="46">
        <v>4</v>
      </c>
      <c r="M220" s="46">
        <v>4</v>
      </c>
      <c r="N220" s="15"/>
      <c r="Q220" s="15"/>
    </row>
    <row r="221" spans="1:19" ht="14.1" customHeight="1" x14ac:dyDescent="0.2">
      <c r="A221" s="2" t="s">
        <v>606</v>
      </c>
      <c r="B221" s="2" t="s">
        <v>92</v>
      </c>
      <c r="C221" s="2" t="s">
        <v>0</v>
      </c>
      <c r="D221" s="2" t="s">
        <v>39</v>
      </c>
      <c r="E221" s="44" t="s">
        <v>865</v>
      </c>
      <c r="F221" s="2" t="s">
        <v>1156</v>
      </c>
      <c r="G221" s="2" t="s">
        <v>1156</v>
      </c>
      <c r="H221" s="15" t="s">
        <v>843</v>
      </c>
      <c r="I221" s="2">
        <v>62</v>
      </c>
      <c r="J221" s="2">
        <v>62</v>
      </c>
      <c r="K221" s="15" t="s">
        <v>844</v>
      </c>
      <c r="L221" s="46">
        <v>9</v>
      </c>
      <c r="M221" s="46">
        <v>9</v>
      </c>
      <c r="N221" s="15"/>
      <c r="Q221" s="15"/>
    </row>
    <row r="222" spans="1:19" ht="14.1" customHeight="1" x14ac:dyDescent="0.2">
      <c r="A222" s="2" t="s">
        <v>607</v>
      </c>
      <c r="B222" s="2" t="s">
        <v>92</v>
      </c>
      <c r="C222" s="2" t="s">
        <v>0</v>
      </c>
      <c r="D222" s="2" t="s">
        <v>40</v>
      </c>
      <c r="E222" s="44" t="s">
        <v>865</v>
      </c>
      <c r="F222" s="2" t="s">
        <v>1156</v>
      </c>
      <c r="G222" s="2" t="s">
        <v>1156</v>
      </c>
      <c r="H222" s="15" t="s">
        <v>843</v>
      </c>
      <c r="I222" s="2">
        <v>85</v>
      </c>
      <c r="J222" s="2">
        <v>85</v>
      </c>
      <c r="K222" s="15" t="s">
        <v>844</v>
      </c>
      <c r="L222" s="46">
        <v>12</v>
      </c>
      <c r="M222" s="46">
        <v>12</v>
      </c>
      <c r="N222" s="15"/>
      <c r="Q222" s="15"/>
    </row>
    <row r="223" spans="1:19" ht="14.1" customHeight="1" x14ac:dyDescent="0.2">
      <c r="A223" s="2" t="s">
        <v>608</v>
      </c>
      <c r="B223" s="2" t="s">
        <v>92</v>
      </c>
      <c r="C223" s="2" t="s">
        <v>0</v>
      </c>
      <c r="D223" s="2" t="s">
        <v>41</v>
      </c>
      <c r="E223" s="44" t="s">
        <v>865</v>
      </c>
      <c r="F223" s="2" t="s">
        <v>1156</v>
      </c>
      <c r="G223" s="2" t="s">
        <v>1156</v>
      </c>
      <c r="H223" s="15" t="s">
        <v>843</v>
      </c>
      <c r="I223" s="2">
        <v>115</v>
      </c>
      <c r="J223" s="2">
        <v>115</v>
      </c>
      <c r="K223" s="15" t="s">
        <v>844</v>
      </c>
      <c r="L223" s="46">
        <v>16</v>
      </c>
      <c r="M223" s="46">
        <v>16</v>
      </c>
      <c r="N223" s="15"/>
      <c r="Q223" s="15"/>
    </row>
    <row r="224" spans="1:19" ht="14.1" customHeight="1" x14ac:dyDescent="0.2">
      <c r="A224" s="2" t="s">
        <v>609</v>
      </c>
      <c r="B224" s="2" t="s">
        <v>92</v>
      </c>
      <c r="C224" s="2" t="s">
        <v>0</v>
      </c>
      <c r="D224" s="2" t="s">
        <v>42</v>
      </c>
      <c r="E224" s="44" t="s">
        <v>865</v>
      </c>
      <c r="F224" s="2" t="s">
        <v>1156</v>
      </c>
      <c r="G224" s="2" t="s">
        <v>1156</v>
      </c>
      <c r="H224" s="15" t="s">
        <v>843</v>
      </c>
      <c r="I224" s="2">
        <v>150</v>
      </c>
      <c r="J224" s="2">
        <v>150</v>
      </c>
      <c r="K224" s="15" t="s">
        <v>844</v>
      </c>
      <c r="L224" s="46">
        <v>22</v>
      </c>
      <c r="M224" s="46">
        <v>22</v>
      </c>
      <c r="N224" s="15"/>
      <c r="Q224" s="15"/>
    </row>
    <row r="225" spans="1:19" ht="14.1" customHeight="1" x14ac:dyDescent="0.2">
      <c r="A225" s="2" t="s">
        <v>610</v>
      </c>
      <c r="B225" s="2" t="s">
        <v>92</v>
      </c>
      <c r="C225" s="2" t="s">
        <v>0</v>
      </c>
      <c r="D225" s="2" t="s">
        <v>43</v>
      </c>
      <c r="E225" s="44" t="s">
        <v>865</v>
      </c>
      <c r="F225" s="2" t="s">
        <v>1156</v>
      </c>
      <c r="G225" s="2" t="s">
        <v>1156</v>
      </c>
      <c r="H225" s="15" t="s">
        <v>843</v>
      </c>
      <c r="I225" s="2">
        <v>150</v>
      </c>
      <c r="J225" s="2">
        <v>150</v>
      </c>
      <c r="K225" s="15" t="s">
        <v>844</v>
      </c>
      <c r="L225" s="46">
        <v>25</v>
      </c>
      <c r="M225" s="46">
        <v>25</v>
      </c>
      <c r="N225" s="15" t="s">
        <v>95</v>
      </c>
      <c r="O225" s="2">
        <v>11</v>
      </c>
      <c r="P225" s="2">
        <v>11</v>
      </c>
      <c r="Q225" s="15"/>
    </row>
    <row r="226" spans="1:19" ht="14.1" customHeight="1" x14ac:dyDescent="0.2">
      <c r="A226" s="2" t="s">
        <v>611</v>
      </c>
      <c r="B226" s="2" t="s">
        <v>92</v>
      </c>
      <c r="C226" s="2" t="s">
        <v>0</v>
      </c>
      <c r="D226" s="2" t="s">
        <v>44</v>
      </c>
      <c r="E226" s="44" t="s">
        <v>865</v>
      </c>
      <c r="F226" s="2" t="s">
        <v>1156</v>
      </c>
      <c r="G226" s="2" t="s">
        <v>1156</v>
      </c>
      <c r="H226" s="15" t="s">
        <v>843</v>
      </c>
      <c r="I226" s="2">
        <v>150</v>
      </c>
      <c r="J226" s="2">
        <v>150</v>
      </c>
      <c r="K226" s="15" t="s">
        <v>844</v>
      </c>
      <c r="L226" s="47">
        <v>41</v>
      </c>
      <c r="M226" s="47">
        <v>41</v>
      </c>
      <c r="N226" s="15" t="s">
        <v>95</v>
      </c>
      <c r="O226" s="2">
        <v>20</v>
      </c>
      <c r="P226" s="2">
        <v>20</v>
      </c>
      <c r="Q226" s="15"/>
    </row>
    <row r="227" spans="1:19" ht="14.1" customHeight="1" x14ac:dyDescent="0.2">
      <c r="A227" s="2" t="s">
        <v>612</v>
      </c>
      <c r="B227" s="2" t="s">
        <v>92</v>
      </c>
      <c r="C227" s="2" t="s">
        <v>0</v>
      </c>
      <c r="D227" s="2" t="s">
        <v>45</v>
      </c>
      <c r="E227" s="44" t="s">
        <v>865</v>
      </c>
      <c r="F227" s="2" t="s">
        <v>1156</v>
      </c>
      <c r="G227" s="2" t="s">
        <v>1156</v>
      </c>
      <c r="H227" s="15" t="s">
        <v>843</v>
      </c>
      <c r="I227" s="2">
        <v>150</v>
      </c>
      <c r="J227" s="2">
        <v>150</v>
      </c>
      <c r="K227" s="15" t="s">
        <v>844</v>
      </c>
      <c r="L227" s="47">
        <v>69</v>
      </c>
      <c r="M227" s="47">
        <v>69</v>
      </c>
      <c r="N227" s="15" t="s">
        <v>95</v>
      </c>
      <c r="O227" s="2">
        <v>35</v>
      </c>
      <c r="P227" s="2">
        <v>35</v>
      </c>
      <c r="Q227" s="15"/>
    </row>
    <row r="228" spans="1:19" ht="14.1" customHeight="1" x14ac:dyDescent="0.2">
      <c r="A228" s="2" t="s">
        <v>613</v>
      </c>
      <c r="B228" s="2" t="s">
        <v>92</v>
      </c>
      <c r="C228" s="2" t="s">
        <v>0</v>
      </c>
      <c r="D228" s="2" t="s">
        <v>46</v>
      </c>
      <c r="E228" s="44" t="s">
        <v>865</v>
      </c>
      <c r="F228" s="2" t="s">
        <v>1156</v>
      </c>
      <c r="G228" s="2" t="s">
        <v>1156</v>
      </c>
      <c r="H228" s="15" t="s">
        <v>843</v>
      </c>
      <c r="I228" s="2">
        <v>150</v>
      </c>
      <c r="J228" s="2">
        <v>150</v>
      </c>
      <c r="K228" s="15" t="s">
        <v>844</v>
      </c>
      <c r="L228" s="47">
        <v>80</v>
      </c>
      <c r="M228" s="47">
        <v>80</v>
      </c>
      <c r="N228" s="15" t="s">
        <v>95</v>
      </c>
      <c r="O228" s="2">
        <v>45</v>
      </c>
      <c r="P228" s="2">
        <v>45</v>
      </c>
      <c r="Q228" s="15"/>
    </row>
    <row r="229" spans="1:19" ht="14.1" customHeight="1" x14ac:dyDescent="0.2">
      <c r="A229" s="2" t="s">
        <v>614</v>
      </c>
      <c r="B229" s="2" t="s">
        <v>92</v>
      </c>
      <c r="C229" s="2" t="s">
        <v>0</v>
      </c>
      <c r="D229" s="2" t="s">
        <v>47</v>
      </c>
      <c r="E229" s="44" t="s">
        <v>865</v>
      </c>
      <c r="F229" s="2" t="s">
        <v>1156</v>
      </c>
      <c r="G229" s="2" t="s">
        <v>1156</v>
      </c>
      <c r="H229" s="15" t="s">
        <v>843</v>
      </c>
      <c r="I229" s="2">
        <v>150</v>
      </c>
      <c r="J229" s="2">
        <v>150</v>
      </c>
      <c r="K229" s="15" t="s">
        <v>844</v>
      </c>
      <c r="L229" s="47">
        <v>107</v>
      </c>
      <c r="M229" s="47">
        <v>107</v>
      </c>
      <c r="N229" s="15" t="s">
        <v>95</v>
      </c>
      <c r="O229" s="2">
        <v>70</v>
      </c>
      <c r="P229" s="2">
        <v>70</v>
      </c>
      <c r="Q229" s="15"/>
    </row>
    <row r="230" spans="1:19" ht="14.1" customHeight="1" x14ac:dyDescent="0.2">
      <c r="A230" s="2" t="s">
        <v>615</v>
      </c>
      <c r="B230" s="2" t="s">
        <v>92</v>
      </c>
      <c r="C230" s="2" t="s">
        <v>0</v>
      </c>
      <c r="D230" s="2" t="s">
        <v>48</v>
      </c>
      <c r="E230" s="44" t="s">
        <v>865</v>
      </c>
      <c r="F230" s="2" t="s">
        <v>1156</v>
      </c>
      <c r="G230" s="2" t="s">
        <v>1156</v>
      </c>
      <c r="H230" s="15" t="s">
        <v>843</v>
      </c>
      <c r="I230" s="2">
        <v>200</v>
      </c>
      <c r="J230" s="2">
        <v>200</v>
      </c>
      <c r="K230" s="15" t="s">
        <v>844</v>
      </c>
      <c r="L230" s="47">
        <v>120</v>
      </c>
      <c r="M230" s="47">
        <v>120</v>
      </c>
      <c r="N230" s="15" t="s">
        <v>95</v>
      </c>
      <c r="O230" s="2">
        <v>77</v>
      </c>
      <c r="P230" s="2">
        <v>77</v>
      </c>
      <c r="Q230" s="15" t="s">
        <v>96</v>
      </c>
      <c r="R230" s="2">
        <v>5</v>
      </c>
      <c r="S230" s="2">
        <v>5</v>
      </c>
    </row>
    <row r="231" spans="1:19" ht="14.1" customHeight="1" x14ac:dyDescent="0.2">
      <c r="A231" s="2" t="s">
        <v>616</v>
      </c>
      <c r="B231" s="2" t="s">
        <v>92</v>
      </c>
      <c r="C231" s="2" t="s">
        <v>0</v>
      </c>
      <c r="D231" s="2" t="s">
        <v>49</v>
      </c>
      <c r="E231" s="44" t="s">
        <v>865</v>
      </c>
      <c r="F231" s="2" t="s">
        <v>1156</v>
      </c>
      <c r="G231" s="2" t="s">
        <v>1156</v>
      </c>
      <c r="H231" s="15" t="s">
        <v>843</v>
      </c>
      <c r="I231" s="2">
        <v>200</v>
      </c>
      <c r="J231" s="2">
        <v>200</v>
      </c>
      <c r="K231" s="15" t="s">
        <v>844</v>
      </c>
      <c r="L231" s="47">
        <v>150</v>
      </c>
      <c r="M231" s="47">
        <v>150</v>
      </c>
      <c r="N231" s="15" t="s">
        <v>95</v>
      </c>
      <c r="O231" s="2">
        <v>95</v>
      </c>
      <c r="P231" s="2">
        <v>95</v>
      </c>
      <c r="Q231" s="15" t="s">
        <v>96</v>
      </c>
      <c r="R231" s="2">
        <v>15</v>
      </c>
      <c r="S231" s="2">
        <v>15</v>
      </c>
    </row>
    <row r="232" spans="1:19" ht="14.1" customHeight="1" x14ac:dyDescent="0.2">
      <c r="A232" s="2" t="s">
        <v>617</v>
      </c>
      <c r="B232" s="2" t="s">
        <v>92</v>
      </c>
      <c r="C232" s="2" t="s">
        <v>0</v>
      </c>
      <c r="D232" s="2" t="s">
        <v>50</v>
      </c>
      <c r="E232" s="44" t="s">
        <v>865</v>
      </c>
      <c r="F232" s="2" t="s">
        <v>1156</v>
      </c>
      <c r="G232" s="2" t="s">
        <v>1156</v>
      </c>
      <c r="H232" s="15" t="s">
        <v>843</v>
      </c>
      <c r="I232" s="2">
        <v>200</v>
      </c>
      <c r="J232" s="2">
        <v>200</v>
      </c>
      <c r="K232" s="15" t="s">
        <v>844</v>
      </c>
      <c r="L232" s="47">
        <v>200</v>
      </c>
      <c r="M232" s="47">
        <v>200</v>
      </c>
      <c r="N232" s="15" t="s">
        <v>95</v>
      </c>
      <c r="O232" s="2">
        <v>113</v>
      </c>
      <c r="P232" s="2">
        <v>113</v>
      </c>
      <c r="Q232" s="15" t="s">
        <v>96</v>
      </c>
      <c r="R232" s="2">
        <v>25</v>
      </c>
      <c r="S232" s="2">
        <v>25</v>
      </c>
    </row>
    <row r="233" spans="1:19" ht="14.1" customHeight="1" x14ac:dyDescent="0.2">
      <c r="A233" s="2" t="s">
        <v>618</v>
      </c>
      <c r="B233" s="2" t="s">
        <v>92</v>
      </c>
      <c r="C233" s="2" t="s">
        <v>0</v>
      </c>
      <c r="D233" s="2" t="s">
        <v>51</v>
      </c>
      <c r="E233" s="44" t="s">
        <v>865</v>
      </c>
      <c r="F233" s="2" t="s">
        <v>1156</v>
      </c>
      <c r="G233" s="2" t="s">
        <v>1156</v>
      </c>
      <c r="H233" s="15" t="s">
        <v>843</v>
      </c>
      <c r="I233" s="2">
        <v>200</v>
      </c>
      <c r="J233" s="2">
        <v>200</v>
      </c>
      <c r="K233" s="15" t="s">
        <v>844</v>
      </c>
      <c r="L233" s="47">
        <v>200</v>
      </c>
      <c r="M233" s="47">
        <v>200</v>
      </c>
      <c r="N233" s="15" t="s">
        <v>95</v>
      </c>
      <c r="O233" s="2">
        <v>155</v>
      </c>
      <c r="P233" s="2">
        <v>155</v>
      </c>
      <c r="Q233" s="15" t="s">
        <v>96</v>
      </c>
      <c r="R233" s="2">
        <v>45</v>
      </c>
      <c r="S233" s="2">
        <v>45</v>
      </c>
    </row>
    <row r="234" spans="1:19" ht="14.1" customHeight="1" x14ac:dyDescent="0.2">
      <c r="A234" s="2" t="s">
        <v>619</v>
      </c>
      <c r="B234" s="2" t="s">
        <v>92</v>
      </c>
      <c r="C234" s="2" t="s">
        <v>0</v>
      </c>
      <c r="D234" s="2" t="s">
        <v>52</v>
      </c>
      <c r="E234" s="44" t="s">
        <v>865</v>
      </c>
      <c r="F234" s="2" t="s">
        <v>1156</v>
      </c>
      <c r="G234" s="2" t="s">
        <v>1156</v>
      </c>
      <c r="H234" s="15" t="s">
        <v>843</v>
      </c>
      <c r="I234" s="2">
        <v>200</v>
      </c>
      <c r="J234" s="2">
        <v>200</v>
      </c>
      <c r="K234" s="15" t="s">
        <v>844</v>
      </c>
      <c r="L234" s="47">
        <v>200</v>
      </c>
      <c r="M234" s="47">
        <v>200</v>
      </c>
      <c r="N234" s="15" t="s">
        <v>95</v>
      </c>
      <c r="O234" s="2">
        <v>195</v>
      </c>
      <c r="P234" s="2">
        <v>195</v>
      </c>
      <c r="Q234" s="15" t="s">
        <v>96</v>
      </c>
      <c r="R234" s="2">
        <v>75</v>
      </c>
      <c r="S234" s="2">
        <v>75</v>
      </c>
    </row>
    <row r="235" spans="1:19" ht="14.1" customHeight="1" x14ac:dyDescent="0.2">
      <c r="A235" s="2" t="s">
        <v>620</v>
      </c>
      <c r="B235" s="2" t="s">
        <v>92</v>
      </c>
      <c r="C235" s="2">
        <v>2</v>
      </c>
      <c r="D235" s="2" t="s">
        <v>9</v>
      </c>
      <c r="E235" s="44" t="s">
        <v>865</v>
      </c>
      <c r="F235" s="2" t="s">
        <v>1157</v>
      </c>
      <c r="G235" s="2" t="s">
        <v>1157</v>
      </c>
      <c r="H235" s="15"/>
      <c r="K235" s="15"/>
      <c r="L235" s="46"/>
      <c r="M235" s="46"/>
      <c r="N235" s="15"/>
      <c r="Q235" s="15"/>
    </row>
    <row r="236" spans="1:19" ht="14.1" customHeight="1" x14ac:dyDescent="0.2">
      <c r="A236" s="2" t="s">
        <v>621</v>
      </c>
      <c r="B236" s="2" t="s">
        <v>92</v>
      </c>
      <c r="C236" s="2">
        <v>2</v>
      </c>
      <c r="D236" s="2" t="s">
        <v>0</v>
      </c>
      <c r="E236" s="44" t="s">
        <v>865</v>
      </c>
      <c r="F236" s="2" t="s">
        <v>1157</v>
      </c>
      <c r="G236" s="2" t="s">
        <v>1157</v>
      </c>
      <c r="H236" s="15" t="s">
        <v>843</v>
      </c>
      <c r="I236" s="2">
        <v>9</v>
      </c>
      <c r="J236" s="2">
        <v>9</v>
      </c>
      <c r="K236" s="15"/>
      <c r="L236" s="46"/>
      <c r="M236" s="46"/>
      <c r="N236" s="15"/>
      <c r="Q236" s="15"/>
    </row>
    <row r="237" spans="1:19" ht="14.1" customHeight="1" x14ac:dyDescent="0.2">
      <c r="A237" s="2" t="s">
        <v>622</v>
      </c>
      <c r="B237" s="2" t="s">
        <v>92</v>
      </c>
      <c r="C237" s="2">
        <v>2</v>
      </c>
      <c r="D237" s="2" t="s">
        <v>34</v>
      </c>
      <c r="E237" s="44" t="s">
        <v>865</v>
      </c>
      <c r="F237" s="2" t="s">
        <v>1157</v>
      </c>
      <c r="G237" s="2" t="s">
        <v>1157</v>
      </c>
      <c r="H237" s="15" t="s">
        <v>843</v>
      </c>
      <c r="I237" s="2">
        <v>15</v>
      </c>
      <c r="J237" s="2">
        <v>15</v>
      </c>
      <c r="K237" s="15"/>
      <c r="L237" s="46"/>
      <c r="M237" s="46"/>
      <c r="N237" s="15"/>
      <c r="Q237" s="15"/>
    </row>
    <row r="238" spans="1:19" ht="14.1" customHeight="1" x14ac:dyDescent="0.2">
      <c r="A238" s="2" t="s">
        <v>623</v>
      </c>
      <c r="B238" s="2" t="s">
        <v>92</v>
      </c>
      <c r="C238" s="2">
        <v>2</v>
      </c>
      <c r="D238" s="2" t="s">
        <v>35</v>
      </c>
      <c r="E238" s="44" t="s">
        <v>865</v>
      </c>
      <c r="F238" s="2" t="s">
        <v>1157</v>
      </c>
      <c r="G238" s="2" t="s">
        <v>1157</v>
      </c>
      <c r="H238" s="15" t="s">
        <v>843</v>
      </c>
      <c r="I238" s="2">
        <v>23</v>
      </c>
      <c r="J238" s="2">
        <v>23</v>
      </c>
      <c r="K238" s="15"/>
      <c r="L238" s="46"/>
      <c r="M238" s="46"/>
      <c r="N238" s="15"/>
      <c r="Q238" s="15"/>
    </row>
    <row r="239" spans="1:19" ht="14.1" customHeight="1" x14ac:dyDescent="0.2">
      <c r="A239" s="2" t="s">
        <v>624</v>
      </c>
      <c r="B239" s="2" t="s">
        <v>92</v>
      </c>
      <c r="C239" s="2">
        <v>2</v>
      </c>
      <c r="D239" s="2" t="s">
        <v>36</v>
      </c>
      <c r="E239" s="44" t="s">
        <v>865</v>
      </c>
      <c r="F239" s="2" t="s">
        <v>1157</v>
      </c>
      <c r="G239" s="2" t="s">
        <v>1157</v>
      </c>
      <c r="H239" s="15" t="s">
        <v>843</v>
      </c>
      <c r="I239" s="2">
        <v>34</v>
      </c>
      <c r="J239" s="2">
        <v>34</v>
      </c>
      <c r="K239" s="15"/>
      <c r="L239" s="46"/>
      <c r="M239" s="46"/>
      <c r="N239" s="15"/>
      <c r="Q239" s="15"/>
    </row>
    <row r="240" spans="1:19" ht="14.1" customHeight="1" x14ac:dyDescent="0.2">
      <c r="A240" s="2" t="s">
        <v>625</v>
      </c>
      <c r="B240" s="2" t="s">
        <v>92</v>
      </c>
      <c r="C240" s="2">
        <v>2</v>
      </c>
      <c r="D240" s="2" t="s">
        <v>37</v>
      </c>
      <c r="E240" s="44" t="s">
        <v>865</v>
      </c>
      <c r="F240" s="2" t="s">
        <v>1157</v>
      </c>
      <c r="G240" s="2" t="s">
        <v>1157</v>
      </c>
      <c r="H240" s="15" t="s">
        <v>843</v>
      </c>
      <c r="I240" s="2">
        <v>47</v>
      </c>
      <c r="J240" s="2">
        <v>47</v>
      </c>
      <c r="K240" s="15"/>
      <c r="L240" s="46"/>
      <c r="M240" s="46"/>
      <c r="N240" s="15"/>
      <c r="Q240" s="15"/>
    </row>
    <row r="241" spans="1:19" ht="14.1" customHeight="1" x14ac:dyDescent="0.2">
      <c r="A241" s="2" t="s">
        <v>626</v>
      </c>
      <c r="B241" s="2" t="s">
        <v>92</v>
      </c>
      <c r="C241" s="2">
        <v>2</v>
      </c>
      <c r="D241" s="2" t="s">
        <v>38</v>
      </c>
      <c r="E241" s="44" t="s">
        <v>865</v>
      </c>
      <c r="F241" s="2" t="s">
        <v>1157</v>
      </c>
      <c r="G241" s="2" t="s">
        <v>1157</v>
      </c>
      <c r="H241" s="15" t="s">
        <v>843</v>
      </c>
      <c r="I241" s="2">
        <v>54</v>
      </c>
      <c r="J241" s="2">
        <v>54</v>
      </c>
      <c r="K241" s="15" t="s">
        <v>844</v>
      </c>
      <c r="L241" s="46">
        <v>4</v>
      </c>
      <c r="M241" s="46">
        <v>4</v>
      </c>
      <c r="N241" s="15"/>
      <c r="Q241" s="15"/>
    </row>
    <row r="242" spans="1:19" ht="14.1" customHeight="1" x14ac:dyDescent="0.2">
      <c r="A242" s="2" t="s">
        <v>627</v>
      </c>
      <c r="B242" s="2" t="s">
        <v>92</v>
      </c>
      <c r="C242" s="2">
        <v>2</v>
      </c>
      <c r="D242" s="2" t="s">
        <v>39</v>
      </c>
      <c r="E242" s="44" t="s">
        <v>865</v>
      </c>
      <c r="F242" s="2" t="s">
        <v>1157</v>
      </c>
      <c r="G242" s="2" t="s">
        <v>1157</v>
      </c>
      <c r="H242" s="15" t="s">
        <v>843</v>
      </c>
      <c r="I242" s="2">
        <v>62</v>
      </c>
      <c r="J242" s="2">
        <v>62</v>
      </c>
      <c r="K242" s="15" t="s">
        <v>844</v>
      </c>
      <c r="L242" s="46">
        <v>9</v>
      </c>
      <c r="M242" s="46">
        <v>9</v>
      </c>
      <c r="N242" s="15"/>
      <c r="Q242" s="15"/>
    </row>
    <row r="243" spans="1:19" ht="14.1" customHeight="1" x14ac:dyDescent="0.2">
      <c r="A243" s="2" t="s">
        <v>628</v>
      </c>
      <c r="B243" s="2" t="s">
        <v>92</v>
      </c>
      <c r="C243" s="2">
        <v>2</v>
      </c>
      <c r="D243" s="2" t="s">
        <v>40</v>
      </c>
      <c r="E243" s="44" t="s">
        <v>865</v>
      </c>
      <c r="F243" s="2" t="s">
        <v>1157</v>
      </c>
      <c r="G243" s="2" t="s">
        <v>1157</v>
      </c>
      <c r="H243" s="15" t="s">
        <v>843</v>
      </c>
      <c r="I243" s="2">
        <v>85</v>
      </c>
      <c r="J243" s="2">
        <v>85</v>
      </c>
      <c r="K243" s="15" t="s">
        <v>844</v>
      </c>
      <c r="L243" s="46">
        <v>12</v>
      </c>
      <c r="M243" s="46">
        <v>12</v>
      </c>
      <c r="N243" s="15"/>
      <c r="Q243" s="15"/>
    </row>
    <row r="244" spans="1:19" ht="14.1" customHeight="1" x14ac:dyDescent="0.2">
      <c r="A244" s="2" t="s">
        <v>629</v>
      </c>
      <c r="B244" s="2" t="s">
        <v>92</v>
      </c>
      <c r="C244" s="2">
        <v>2</v>
      </c>
      <c r="D244" s="2" t="s">
        <v>41</v>
      </c>
      <c r="E244" s="44" t="s">
        <v>865</v>
      </c>
      <c r="F244" s="2" t="s">
        <v>1157</v>
      </c>
      <c r="G244" s="2" t="s">
        <v>1157</v>
      </c>
      <c r="H244" s="15" t="s">
        <v>843</v>
      </c>
      <c r="I244" s="2">
        <v>115</v>
      </c>
      <c r="J244" s="2">
        <v>115</v>
      </c>
      <c r="K244" s="15" t="s">
        <v>844</v>
      </c>
      <c r="L244" s="46">
        <v>16</v>
      </c>
      <c r="M244" s="46">
        <v>16</v>
      </c>
      <c r="N244" s="15"/>
      <c r="Q244" s="15"/>
    </row>
    <row r="245" spans="1:19" ht="14.1" customHeight="1" x14ac:dyDescent="0.2">
      <c r="A245" s="2" t="s">
        <v>630</v>
      </c>
      <c r="B245" s="2" t="s">
        <v>92</v>
      </c>
      <c r="C245" s="2">
        <v>2</v>
      </c>
      <c r="D245" s="2" t="s">
        <v>42</v>
      </c>
      <c r="E245" s="44" t="s">
        <v>865</v>
      </c>
      <c r="F245" s="2" t="s">
        <v>1157</v>
      </c>
      <c r="G245" s="2" t="s">
        <v>1157</v>
      </c>
      <c r="H245" s="15" t="s">
        <v>843</v>
      </c>
      <c r="I245" s="2">
        <v>150</v>
      </c>
      <c r="J245" s="2">
        <v>150</v>
      </c>
      <c r="K245" s="15" t="s">
        <v>844</v>
      </c>
      <c r="L245" s="46">
        <v>22</v>
      </c>
      <c r="M245" s="46">
        <v>22</v>
      </c>
      <c r="N245" s="15"/>
      <c r="Q245" s="15"/>
    </row>
    <row r="246" spans="1:19" ht="14.1" customHeight="1" x14ac:dyDescent="0.2">
      <c r="A246" s="2" t="s">
        <v>631</v>
      </c>
      <c r="B246" s="2" t="s">
        <v>92</v>
      </c>
      <c r="C246" s="2">
        <v>2</v>
      </c>
      <c r="D246" s="2" t="s">
        <v>43</v>
      </c>
      <c r="E246" s="44" t="s">
        <v>865</v>
      </c>
      <c r="F246" s="2" t="s">
        <v>1157</v>
      </c>
      <c r="G246" s="2" t="s">
        <v>1157</v>
      </c>
      <c r="H246" s="15" t="s">
        <v>843</v>
      </c>
      <c r="I246" s="2">
        <v>150</v>
      </c>
      <c r="J246" s="2">
        <v>150</v>
      </c>
      <c r="K246" s="15" t="s">
        <v>844</v>
      </c>
      <c r="L246" s="46">
        <v>25</v>
      </c>
      <c r="M246" s="46">
        <v>25</v>
      </c>
      <c r="N246" s="15" t="s">
        <v>95</v>
      </c>
      <c r="O246" s="2">
        <v>11</v>
      </c>
      <c r="P246" s="2">
        <v>11</v>
      </c>
      <c r="Q246" s="15"/>
    </row>
    <row r="247" spans="1:19" ht="14.1" customHeight="1" x14ac:dyDescent="0.2">
      <c r="A247" s="2" t="s">
        <v>632</v>
      </c>
      <c r="B247" s="2" t="s">
        <v>92</v>
      </c>
      <c r="C247" s="2">
        <v>2</v>
      </c>
      <c r="D247" s="2" t="s">
        <v>44</v>
      </c>
      <c r="E247" s="44" t="s">
        <v>865</v>
      </c>
      <c r="F247" s="2" t="s">
        <v>1157</v>
      </c>
      <c r="G247" s="2" t="s">
        <v>1157</v>
      </c>
      <c r="H247" s="15" t="s">
        <v>843</v>
      </c>
      <c r="I247" s="2">
        <v>150</v>
      </c>
      <c r="J247" s="2">
        <v>150</v>
      </c>
      <c r="K247" s="15" t="s">
        <v>844</v>
      </c>
      <c r="L247" s="47">
        <v>41</v>
      </c>
      <c r="M247" s="47">
        <v>41</v>
      </c>
      <c r="N247" s="15" t="s">
        <v>95</v>
      </c>
      <c r="O247" s="2">
        <v>20</v>
      </c>
      <c r="P247" s="2">
        <v>20</v>
      </c>
      <c r="Q247" s="15"/>
    </row>
    <row r="248" spans="1:19" ht="14.1" customHeight="1" x14ac:dyDescent="0.2">
      <c r="A248" s="2" t="s">
        <v>633</v>
      </c>
      <c r="B248" s="2" t="s">
        <v>92</v>
      </c>
      <c r="C248" s="2">
        <v>2</v>
      </c>
      <c r="D248" s="2" t="s">
        <v>45</v>
      </c>
      <c r="E248" s="44" t="s">
        <v>865</v>
      </c>
      <c r="F248" s="2" t="s">
        <v>1157</v>
      </c>
      <c r="G248" s="2" t="s">
        <v>1157</v>
      </c>
      <c r="H248" s="15" t="s">
        <v>843</v>
      </c>
      <c r="I248" s="2">
        <v>150</v>
      </c>
      <c r="J248" s="2">
        <v>150</v>
      </c>
      <c r="K248" s="15" t="s">
        <v>844</v>
      </c>
      <c r="L248" s="47">
        <v>69</v>
      </c>
      <c r="M248" s="47">
        <v>69</v>
      </c>
      <c r="N248" s="15" t="s">
        <v>95</v>
      </c>
      <c r="O248" s="2">
        <v>35</v>
      </c>
      <c r="P248" s="2">
        <v>35</v>
      </c>
      <c r="Q248" s="15"/>
    </row>
    <row r="249" spans="1:19" ht="14.1" customHeight="1" x14ac:dyDescent="0.2">
      <c r="A249" s="2" t="s">
        <v>634</v>
      </c>
      <c r="B249" s="2" t="s">
        <v>92</v>
      </c>
      <c r="C249" s="2">
        <v>2</v>
      </c>
      <c r="D249" s="2" t="s">
        <v>46</v>
      </c>
      <c r="E249" s="44" t="s">
        <v>865</v>
      </c>
      <c r="F249" s="2" t="s">
        <v>1157</v>
      </c>
      <c r="G249" s="2" t="s">
        <v>1157</v>
      </c>
      <c r="H249" s="15" t="s">
        <v>843</v>
      </c>
      <c r="I249" s="2">
        <v>150</v>
      </c>
      <c r="J249" s="2">
        <v>150</v>
      </c>
      <c r="K249" s="15" t="s">
        <v>844</v>
      </c>
      <c r="L249" s="47">
        <v>80</v>
      </c>
      <c r="M249" s="47">
        <v>80</v>
      </c>
      <c r="N249" s="15" t="s">
        <v>95</v>
      </c>
      <c r="O249" s="2">
        <v>45</v>
      </c>
      <c r="P249" s="2">
        <v>45</v>
      </c>
      <c r="Q249" s="15"/>
    </row>
    <row r="250" spans="1:19" ht="14.1" customHeight="1" x14ac:dyDescent="0.2">
      <c r="A250" s="2" t="s">
        <v>635</v>
      </c>
      <c r="B250" s="2" t="s">
        <v>92</v>
      </c>
      <c r="C250" s="2">
        <v>2</v>
      </c>
      <c r="D250" s="2" t="s">
        <v>47</v>
      </c>
      <c r="E250" s="44" t="s">
        <v>865</v>
      </c>
      <c r="F250" s="2" t="s">
        <v>1157</v>
      </c>
      <c r="G250" s="2" t="s">
        <v>1157</v>
      </c>
      <c r="H250" s="15" t="s">
        <v>843</v>
      </c>
      <c r="I250" s="2">
        <v>150</v>
      </c>
      <c r="J250" s="2">
        <v>150</v>
      </c>
      <c r="K250" s="15" t="s">
        <v>844</v>
      </c>
      <c r="L250" s="47">
        <v>107</v>
      </c>
      <c r="M250" s="47">
        <v>107</v>
      </c>
      <c r="N250" s="15" t="s">
        <v>95</v>
      </c>
      <c r="O250" s="2">
        <v>70</v>
      </c>
      <c r="P250" s="2">
        <v>70</v>
      </c>
      <c r="Q250" s="15"/>
    </row>
    <row r="251" spans="1:19" ht="14.1" customHeight="1" x14ac:dyDescent="0.2">
      <c r="A251" s="2" t="s">
        <v>636</v>
      </c>
      <c r="B251" s="2" t="s">
        <v>92</v>
      </c>
      <c r="C251" s="2">
        <v>2</v>
      </c>
      <c r="D251" s="2" t="s">
        <v>48</v>
      </c>
      <c r="E251" s="44" t="s">
        <v>865</v>
      </c>
      <c r="F251" s="2" t="s">
        <v>1157</v>
      </c>
      <c r="G251" s="2" t="s">
        <v>1157</v>
      </c>
      <c r="H251" s="15" t="s">
        <v>843</v>
      </c>
      <c r="I251" s="2">
        <v>200</v>
      </c>
      <c r="J251" s="2">
        <v>200</v>
      </c>
      <c r="K251" s="15" t="s">
        <v>844</v>
      </c>
      <c r="L251" s="47">
        <v>120</v>
      </c>
      <c r="M251" s="47">
        <v>120</v>
      </c>
      <c r="N251" s="15" t="s">
        <v>95</v>
      </c>
      <c r="O251" s="2">
        <v>77</v>
      </c>
      <c r="P251" s="2">
        <v>77</v>
      </c>
      <c r="Q251" s="15" t="s">
        <v>96</v>
      </c>
      <c r="R251" s="2">
        <v>5</v>
      </c>
      <c r="S251" s="2">
        <v>5</v>
      </c>
    </row>
    <row r="252" spans="1:19" ht="14.1" customHeight="1" x14ac:dyDescent="0.2">
      <c r="A252" s="2" t="s">
        <v>637</v>
      </c>
      <c r="B252" s="2" t="s">
        <v>92</v>
      </c>
      <c r="C252" s="2">
        <v>2</v>
      </c>
      <c r="D252" s="2" t="s">
        <v>49</v>
      </c>
      <c r="E252" s="44" t="s">
        <v>865</v>
      </c>
      <c r="F252" s="2" t="s">
        <v>1157</v>
      </c>
      <c r="G252" s="2" t="s">
        <v>1157</v>
      </c>
      <c r="H252" s="15" t="s">
        <v>843</v>
      </c>
      <c r="I252" s="2">
        <v>200</v>
      </c>
      <c r="J252" s="2">
        <v>200</v>
      </c>
      <c r="K252" s="15" t="s">
        <v>844</v>
      </c>
      <c r="L252" s="47">
        <v>150</v>
      </c>
      <c r="M252" s="47">
        <v>150</v>
      </c>
      <c r="N252" s="15" t="s">
        <v>95</v>
      </c>
      <c r="O252" s="2">
        <v>95</v>
      </c>
      <c r="P252" s="2">
        <v>95</v>
      </c>
      <c r="Q252" s="15" t="s">
        <v>96</v>
      </c>
      <c r="R252" s="2">
        <v>15</v>
      </c>
      <c r="S252" s="2">
        <v>15</v>
      </c>
    </row>
    <row r="253" spans="1:19" ht="14.1" customHeight="1" x14ac:dyDescent="0.2">
      <c r="A253" s="2" t="s">
        <v>638</v>
      </c>
      <c r="B253" s="2" t="s">
        <v>92</v>
      </c>
      <c r="C253" s="2">
        <v>2</v>
      </c>
      <c r="D253" s="2" t="s">
        <v>50</v>
      </c>
      <c r="E253" s="44" t="s">
        <v>865</v>
      </c>
      <c r="F253" s="2" t="s">
        <v>1157</v>
      </c>
      <c r="G253" s="2" t="s">
        <v>1157</v>
      </c>
      <c r="H253" s="15" t="s">
        <v>843</v>
      </c>
      <c r="I253" s="2">
        <v>200</v>
      </c>
      <c r="J253" s="2">
        <v>200</v>
      </c>
      <c r="K253" s="15" t="s">
        <v>844</v>
      </c>
      <c r="L253" s="47">
        <v>200</v>
      </c>
      <c r="M253" s="47">
        <v>200</v>
      </c>
      <c r="N253" s="15" t="s">
        <v>95</v>
      </c>
      <c r="O253" s="2">
        <v>113</v>
      </c>
      <c r="P253" s="2">
        <v>113</v>
      </c>
      <c r="Q253" s="15" t="s">
        <v>96</v>
      </c>
      <c r="R253" s="2">
        <v>25</v>
      </c>
      <c r="S253" s="2">
        <v>25</v>
      </c>
    </row>
    <row r="254" spans="1:19" ht="14.1" customHeight="1" x14ac:dyDescent="0.2">
      <c r="A254" s="2" t="s">
        <v>639</v>
      </c>
      <c r="B254" s="2" t="s">
        <v>92</v>
      </c>
      <c r="C254" s="2">
        <v>2</v>
      </c>
      <c r="D254" s="2" t="s">
        <v>51</v>
      </c>
      <c r="E254" s="44" t="s">
        <v>865</v>
      </c>
      <c r="F254" s="2" t="s">
        <v>1157</v>
      </c>
      <c r="G254" s="2" t="s">
        <v>1157</v>
      </c>
      <c r="H254" s="15" t="s">
        <v>843</v>
      </c>
      <c r="I254" s="2">
        <v>200</v>
      </c>
      <c r="J254" s="2">
        <v>200</v>
      </c>
      <c r="K254" s="15" t="s">
        <v>844</v>
      </c>
      <c r="L254" s="47">
        <v>200</v>
      </c>
      <c r="M254" s="47">
        <v>200</v>
      </c>
      <c r="N254" s="15" t="s">
        <v>95</v>
      </c>
      <c r="O254" s="2">
        <v>155</v>
      </c>
      <c r="P254" s="2">
        <v>155</v>
      </c>
      <c r="Q254" s="15" t="s">
        <v>96</v>
      </c>
      <c r="R254" s="2">
        <v>45</v>
      </c>
      <c r="S254" s="2">
        <v>45</v>
      </c>
    </row>
    <row r="255" spans="1:19" ht="14.1" customHeight="1" x14ac:dyDescent="0.2">
      <c r="A255" s="2" t="s">
        <v>640</v>
      </c>
      <c r="B255" s="2" t="s">
        <v>92</v>
      </c>
      <c r="C255" s="2">
        <v>2</v>
      </c>
      <c r="D255" s="2" t="s">
        <v>52</v>
      </c>
      <c r="E255" s="44" t="s">
        <v>865</v>
      </c>
      <c r="F255" s="2" t="s">
        <v>1157</v>
      </c>
      <c r="G255" s="2" t="s">
        <v>1157</v>
      </c>
      <c r="H255" s="15" t="s">
        <v>843</v>
      </c>
      <c r="I255" s="2">
        <v>200</v>
      </c>
      <c r="J255" s="2">
        <v>200</v>
      </c>
      <c r="K255" s="15" t="s">
        <v>844</v>
      </c>
      <c r="L255" s="47">
        <v>200</v>
      </c>
      <c r="M255" s="47">
        <v>200</v>
      </c>
      <c r="N255" s="15" t="s">
        <v>95</v>
      </c>
      <c r="O255" s="2">
        <v>195</v>
      </c>
      <c r="P255" s="2">
        <v>195</v>
      </c>
      <c r="Q255" s="15" t="s">
        <v>96</v>
      </c>
      <c r="R255" s="2">
        <v>75</v>
      </c>
      <c r="S255" s="2">
        <v>75</v>
      </c>
    </row>
    <row r="256" spans="1:19" ht="14.1" customHeight="1" x14ac:dyDescent="0.2">
      <c r="A256" s="2" t="s">
        <v>641</v>
      </c>
      <c r="B256" s="2" t="s">
        <v>90</v>
      </c>
      <c r="C256" s="2" t="s">
        <v>9</v>
      </c>
      <c r="D256" s="2" t="s">
        <v>9</v>
      </c>
      <c r="E256" s="44" t="s">
        <v>866</v>
      </c>
      <c r="F256" s="2" t="s">
        <v>4</v>
      </c>
      <c r="G256" s="2" t="s">
        <v>4</v>
      </c>
      <c r="H256" s="15"/>
      <c r="K256" s="15"/>
      <c r="L256" s="46"/>
      <c r="M256" s="46"/>
      <c r="N256" s="15"/>
      <c r="Q256" s="15"/>
    </row>
    <row r="257" spans="1:19" ht="14.1" customHeight="1" x14ac:dyDescent="0.2">
      <c r="A257" s="2" t="s">
        <v>642</v>
      </c>
      <c r="B257" s="2" t="s">
        <v>90</v>
      </c>
      <c r="C257" s="2" t="s">
        <v>9</v>
      </c>
      <c r="D257" s="2" t="s">
        <v>0</v>
      </c>
      <c r="E257" s="44" t="s">
        <v>866</v>
      </c>
      <c r="F257" s="2" t="s">
        <v>4</v>
      </c>
      <c r="G257" s="2" t="s">
        <v>4</v>
      </c>
      <c r="H257" s="15" t="s">
        <v>843</v>
      </c>
      <c r="I257" s="2">
        <v>9</v>
      </c>
      <c r="J257" s="2">
        <v>9</v>
      </c>
      <c r="K257" s="15"/>
      <c r="L257" s="46"/>
      <c r="M257" s="46"/>
      <c r="N257" s="15"/>
      <c r="Q257" s="15"/>
    </row>
    <row r="258" spans="1:19" ht="14.1" customHeight="1" x14ac:dyDescent="0.2">
      <c r="A258" s="2" t="s">
        <v>643</v>
      </c>
      <c r="B258" s="2" t="s">
        <v>90</v>
      </c>
      <c r="C258" s="2" t="s">
        <v>9</v>
      </c>
      <c r="D258" s="2" t="s">
        <v>34</v>
      </c>
      <c r="E258" s="44" t="s">
        <v>866</v>
      </c>
      <c r="F258" s="2" t="s">
        <v>4</v>
      </c>
      <c r="G258" s="2" t="s">
        <v>4</v>
      </c>
      <c r="H258" s="15" t="s">
        <v>843</v>
      </c>
      <c r="I258" s="2">
        <v>15</v>
      </c>
      <c r="J258" s="2">
        <v>15</v>
      </c>
      <c r="K258" s="15"/>
      <c r="L258" s="46"/>
      <c r="M258" s="46"/>
      <c r="N258" s="15"/>
      <c r="Q258" s="15"/>
    </row>
    <row r="259" spans="1:19" ht="14.1" customHeight="1" x14ac:dyDescent="0.2">
      <c r="A259" s="2" t="s">
        <v>644</v>
      </c>
      <c r="B259" s="2" t="s">
        <v>90</v>
      </c>
      <c r="C259" s="2" t="s">
        <v>9</v>
      </c>
      <c r="D259" s="2" t="s">
        <v>35</v>
      </c>
      <c r="E259" s="44" t="s">
        <v>866</v>
      </c>
      <c r="F259" s="2" t="s">
        <v>4</v>
      </c>
      <c r="G259" s="2" t="s">
        <v>4</v>
      </c>
      <c r="H259" s="15" t="s">
        <v>843</v>
      </c>
      <c r="I259" s="2">
        <v>23</v>
      </c>
      <c r="J259" s="2">
        <v>23</v>
      </c>
      <c r="K259" s="15"/>
      <c r="L259" s="46"/>
      <c r="M259" s="46"/>
      <c r="N259" s="15"/>
      <c r="Q259" s="15"/>
    </row>
    <row r="260" spans="1:19" ht="14.1" customHeight="1" x14ac:dyDescent="0.2">
      <c r="A260" s="2" t="s">
        <v>645</v>
      </c>
      <c r="B260" s="2" t="s">
        <v>90</v>
      </c>
      <c r="C260" s="2" t="s">
        <v>9</v>
      </c>
      <c r="D260" s="2" t="s">
        <v>36</v>
      </c>
      <c r="E260" s="44" t="s">
        <v>866</v>
      </c>
      <c r="F260" s="2" t="s">
        <v>4</v>
      </c>
      <c r="G260" s="2" t="s">
        <v>4</v>
      </c>
      <c r="H260" s="15" t="s">
        <v>843</v>
      </c>
      <c r="I260" s="2">
        <v>34</v>
      </c>
      <c r="J260" s="2">
        <v>34</v>
      </c>
      <c r="K260" s="15"/>
      <c r="L260" s="46"/>
      <c r="M260" s="46"/>
      <c r="N260" s="15"/>
      <c r="Q260" s="15"/>
    </row>
    <row r="261" spans="1:19" ht="14.1" customHeight="1" x14ac:dyDescent="0.2">
      <c r="A261" s="2" t="s">
        <v>646</v>
      </c>
      <c r="B261" s="2" t="s">
        <v>90</v>
      </c>
      <c r="C261" s="2" t="s">
        <v>9</v>
      </c>
      <c r="D261" s="2" t="s">
        <v>37</v>
      </c>
      <c r="E261" s="44" t="s">
        <v>866</v>
      </c>
      <c r="F261" s="2" t="s">
        <v>4</v>
      </c>
      <c r="G261" s="2" t="s">
        <v>4</v>
      </c>
      <c r="H261" s="15" t="s">
        <v>843</v>
      </c>
      <c r="I261" s="2">
        <v>47</v>
      </c>
      <c r="J261" s="2">
        <v>47</v>
      </c>
      <c r="K261" s="15"/>
      <c r="L261" s="46"/>
      <c r="M261" s="46"/>
      <c r="N261" s="15"/>
      <c r="Q261" s="15"/>
    </row>
    <row r="262" spans="1:19" ht="14.1" customHeight="1" x14ac:dyDescent="0.2">
      <c r="A262" s="2" t="s">
        <v>647</v>
      </c>
      <c r="B262" s="2" t="s">
        <v>90</v>
      </c>
      <c r="C262" s="2" t="s">
        <v>9</v>
      </c>
      <c r="D262" s="2" t="s">
        <v>38</v>
      </c>
      <c r="E262" s="44" t="s">
        <v>866</v>
      </c>
      <c r="F262" s="2" t="s">
        <v>4</v>
      </c>
      <c r="G262" s="2" t="s">
        <v>4</v>
      </c>
      <c r="H262" s="15" t="s">
        <v>843</v>
      </c>
      <c r="I262" s="2">
        <v>54</v>
      </c>
      <c r="J262" s="2">
        <v>54</v>
      </c>
      <c r="K262" s="15" t="s">
        <v>844</v>
      </c>
      <c r="L262" s="46">
        <v>4</v>
      </c>
      <c r="M262" s="46">
        <v>4</v>
      </c>
      <c r="N262" s="15"/>
      <c r="Q262" s="15"/>
    </row>
    <row r="263" spans="1:19" ht="14.1" customHeight="1" x14ac:dyDescent="0.2">
      <c r="A263" s="2" t="s">
        <v>648</v>
      </c>
      <c r="B263" s="2" t="s">
        <v>90</v>
      </c>
      <c r="C263" s="2" t="s">
        <v>9</v>
      </c>
      <c r="D263" s="2" t="s">
        <v>39</v>
      </c>
      <c r="E263" s="44" t="s">
        <v>866</v>
      </c>
      <c r="F263" s="2" t="s">
        <v>4</v>
      </c>
      <c r="G263" s="2" t="s">
        <v>4</v>
      </c>
      <c r="H263" s="15" t="s">
        <v>843</v>
      </c>
      <c r="I263" s="2">
        <v>62</v>
      </c>
      <c r="J263" s="2">
        <v>62</v>
      </c>
      <c r="K263" s="15" t="s">
        <v>844</v>
      </c>
      <c r="L263" s="46">
        <v>9</v>
      </c>
      <c r="M263" s="46">
        <v>9</v>
      </c>
      <c r="N263" s="15"/>
      <c r="Q263" s="15"/>
    </row>
    <row r="264" spans="1:19" ht="14.1" customHeight="1" x14ac:dyDescent="0.2">
      <c r="A264" s="2" t="s">
        <v>649</v>
      </c>
      <c r="B264" s="2" t="s">
        <v>90</v>
      </c>
      <c r="C264" s="2" t="s">
        <v>9</v>
      </c>
      <c r="D264" s="2" t="s">
        <v>40</v>
      </c>
      <c r="E264" s="44" t="s">
        <v>866</v>
      </c>
      <c r="F264" s="2" t="s">
        <v>4</v>
      </c>
      <c r="G264" s="2" t="s">
        <v>4</v>
      </c>
      <c r="H264" s="15" t="s">
        <v>843</v>
      </c>
      <c r="I264" s="2">
        <v>85</v>
      </c>
      <c r="J264" s="2">
        <v>85</v>
      </c>
      <c r="K264" s="15" t="s">
        <v>844</v>
      </c>
      <c r="L264" s="46">
        <v>12</v>
      </c>
      <c r="M264" s="46">
        <v>12</v>
      </c>
      <c r="N264" s="15"/>
      <c r="Q264" s="15"/>
    </row>
    <row r="265" spans="1:19" ht="14.1" customHeight="1" x14ac:dyDescent="0.2">
      <c r="A265" s="2" t="s">
        <v>650</v>
      </c>
      <c r="B265" s="2" t="s">
        <v>90</v>
      </c>
      <c r="C265" s="2" t="s">
        <v>9</v>
      </c>
      <c r="D265" s="2" t="s">
        <v>41</v>
      </c>
      <c r="E265" s="44" t="s">
        <v>866</v>
      </c>
      <c r="F265" s="2" t="s">
        <v>4</v>
      </c>
      <c r="G265" s="2" t="s">
        <v>4</v>
      </c>
      <c r="H265" s="15" t="s">
        <v>843</v>
      </c>
      <c r="I265" s="2">
        <v>115</v>
      </c>
      <c r="J265" s="2">
        <v>115</v>
      </c>
      <c r="K265" s="15" t="s">
        <v>844</v>
      </c>
      <c r="L265" s="46">
        <v>16</v>
      </c>
      <c r="M265" s="46">
        <v>16</v>
      </c>
      <c r="N265" s="15"/>
      <c r="Q265" s="15"/>
    </row>
    <row r="266" spans="1:19" ht="14.1" customHeight="1" x14ac:dyDescent="0.2">
      <c r="A266" s="2" t="s">
        <v>651</v>
      </c>
      <c r="B266" s="2" t="s">
        <v>90</v>
      </c>
      <c r="C266" s="2" t="s">
        <v>9</v>
      </c>
      <c r="D266" s="2" t="s">
        <v>42</v>
      </c>
      <c r="E266" s="44" t="s">
        <v>866</v>
      </c>
      <c r="F266" s="2" t="s">
        <v>4</v>
      </c>
      <c r="G266" s="2" t="s">
        <v>4</v>
      </c>
      <c r="H266" s="15" t="s">
        <v>843</v>
      </c>
      <c r="I266" s="2">
        <v>150</v>
      </c>
      <c r="J266" s="2">
        <v>150</v>
      </c>
      <c r="K266" s="15" t="s">
        <v>844</v>
      </c>
      <c r="L266" s="46">
        <v>22</v>
      </c>
      <c r="M266" s="46">
        <v>22</v>
      </c>
      <c r="N266" s="15"/>
      <c r="Q266" s="15"/>
    </row>
    <row r="267" spans="1:19" ht="14.1" customHeight="1" x14ac:dyDescent="0.2">
      <c r="A267" s="2" t="s">
        <v>652</v>
      </c>
      <c r="B267" s="2" t="s">
        <v>90</v>
      </c>
      <c r="C267" s="2" t="s">
        <v>9</v>
      </c>
      <c r="D267" s="2" t="s">
        <v>43</v>
      </c>
      <c r="E267" s="44" t="s">
        <v>866</v>
      </c>
      <c r="F267" s="2" t="s">
        <v>4</v>
      </c>
      <c r="G267" s="2" t="s">
        <v>4</v>
      </c>
      <c r="H267" s="15" t="s">
        <v>843</v>
      </c>
      <c r="I267" s="2">
        <v>150</v>
      </c>
      <c r="J267" s="2">
        <v>150</v>
      </c>
      <c r="K267" s="15" t="s">
        <v>844</v>
      </c>
      <c r="L267" s="46">
        <v>25</v>
      </c>
      <c r="M267" s="46">
        <v>25</v>
      </c>
      <c r="N267" s="15" t="s">
        <v>95</v>
      </c>
      <c r="O267" s="2">
        <v>11</v>
      </c>
      <c r="P267" s="2">
        <v>11</v>
      </c>
      <c r="Q267" s="15"/>
    </row>
    <row r="268" spans="1:19" ht="14.1" customHeight="1" x14ac:dyDescent="0.2">
      <c r="A268" s="2" t="s">
        <v>653</v>
      </c>
      <c r="B268" s="2" t="s">
        <v>90</v>
      </c>
      <c r="C268" s="2" t="s">
        <v>9</v>
      </c>
      <c r="D268" s="2" t="s">
        <v>44</v>
      </c>
      <c r="E268" s="44" t="s">
        <v>866</v>
      </c>
      <c r="F268" s="2" t="s">
        <v>4</v>
      </c>
      <c r="G268" s="2" t="s">
        <v>4</v>
      </c>
      <c r="H268" s="15" t="s">
        <v>843</v>
      </c>
      <c r="I268" s="2">
        <v>150</v>
      </c>
      <c r="J268" s="2">
        <v>150</v>
      </c>
      <c r="K268" s="15" t="s">
        <v>844</v>
      </c>
      <c r="L268" s="47">
        <v>41</v>
      </c>
      <c r="M268" s="47">
        <v>41</v>
      </c>
      <c r="N268" s="15" t="s">
        <v>95</v>
      </c>
      <c r="O268" s="2">
        <v>20</v>
      </c>
      <c r="P268" s="2">
        <v>20</v>
      </c>
      <c r="Q268" s="15"/>
    </row>
    <row r="269" spans="1:19" ht="14.1" customHeight="1" x14ac:dyDescent="0.2">
      <c r="A269" s="2" t="s">
        <v>654</v>
      </c>
      <c r="B269" s="2" t="s">
        <v>90</v>
      </c>
      <c r="C269" s="2" t="s">
        <v>9</v>
      </c>
      <c r="D269" s="2" t="s">
        <v>45</v>
      </c>
      <c r="E269" s="44" t="s">
        <v>866</v>
      </c>
      <c r="F269" s="2" t="s">
        <v>4</v>
      </c>
      <c r="G269" s="2" t="s">
        <v>4</v>
      </c>
      <c r="H269" s="15" t="s">
        <v>843</v>
      </c>
      <c r="I269" s="2">
        <v>150</v>
      </c>
      <c r="J269" s="2">
        <v>150</v>
      </c>
      <c r="K269" s="15" t="s">
        <v>844</v>
      </c>
      <c r="L269" s="47">
        <v>69</v>
      </c>
      <c r="M269" s="47">
        <v>69</v>
      </c>
      <c r="N269" s="15" t="s">
        <v>95</v>
      </c>
      <c r="O269" s="2">
        <v>35</v>
      </c>
      <c r="P269" s="2">
        <v>35</v>
      </c>
      <c r="Q269" s="15"/>
    </row>
    <row r="270" spans="1:19" ht="14.1" customHeight="1" x14ac:dyDescent="0.2">
      <c r="A270" s="2" t="s">
        <v>655</v>
      </c>
      <c r="B270" s="2" t="s">
        <v>90</v>
      </c>
      <c r="C270" s="2" t="s">
        <v>9</v>
      </c>
      <c r="D270" s="2" t="s">
        <v>46</v>
      </c>
      <c r="E270" s="44" t="s">
        <v>866</v>
      </c>
      <c r="F270" s="2" t="s">
        <v>4</v>
      </c>
      <c r="G270" s="2" t="s">
        <v>4</v>
      </c>
      <c r="H270" s="15" t="s">
        <v>843</v>
      </c>
      <c r="I270" s="2">
        <v>150</v>
      </c>
      <c r="J270" s="2">
        <v>150</v>
      </c>
      <c r="K270" s="15" t="s">
        <v>844</v>
      </c>
      <c r="L270" s="47">
        <v>80</v>
      </c>
      <c r="M270" s="47">
        <v>80</v>
      </c>
      <c r="N270" s="15" t="s">
        <v>95</v>
      </c>
      <c r="O270" s="2">
        <v>45</v>
      </c>
      <c r="P270" s="2">
        <v>45</v>
      </c>
      <c r="Q270" s="15"/>
    </row>
    <row r="271" spans="1:19" ht="14.1" customHeight="1" x14ac:dyDescent="0.2">
      <c r="A271" s="2" t="s">
        <v>656</v>
      </c>
      <c r="B271" s="2" t="s">
        <v>90</v>
      </c>
      <c r="C271" s="7" t="s">
        <v>9</v>
      </c>
      <c r="D271" s="2" t="s">
        <v>47</v>
      </c>
      <c r="E271" s="44" t="s">
        <v>866</v>
      </c>
      <c r="F271" s="2" t="s">
        <v>4</v>
      </c>
      <c r="G271" s="2" t="s">
        <v>4</v>
      </c>
      <c r="H271" s="15" t="s">
        <v>843</v>
      </c>
      <c r="I271" s="2">
        <v>150</v>
      </c>
      <c r="J271" s="2">
        <v>150</v>
      </c>
      <c r="K271" s="15" t="s">
        <v>844</v>
      </c>
      <c r="L271" s="47">
        <v>107</v>
      </c>
      <c r="M271" s="47">
        <v>107</v>
      </c>
      <c r="N271" s="15" t="s">
        <v>95</v>
      </c>
      <c r="O271" s="2">
        <v>70</v>
      </c>
      <c r="P271" s="2">
        <v>70</v>
      </c>
      <c r="Q271" s="15"/>
    </row>
    <row r="272" spans="1:19" ht="14.1" customHeight="1" x14ac:dyDescent="0.2">
      <c r="A272" s="2" t="s">
        <v>657</v>
      </c>
      <c r="B272" s="2" t="s">
        <v>90</v>
      </c>
      <c r="C272" s="7" t="s">
        <v>9</v>
      </c>
      <c r="D272" s="2" t="s">
        <v>48</v>
      </c>
      <c r="E272" s="44" t="s">
        <v>866</v>
      </c>
      <c r="F272" s="2" t="s">
        <v>4</v>
      </c>
      <c r="G272" s="2" t="s">
        <v>4</v>
      </c>
      <c r="H272" s="15" t="s">
        <v>843</v>
      </c>
      <c r="I272" s="2">
        <v>200</v>
      </c>
      <c r="J272" s="2">
        <v>200</v>
      </c>
      <c r="K272" s="15" t="s">
        <v>844</v>
      </c>
      <c r="L272" s="47">
        <v>120</v>
      </c>
      <c r="M272" s="47">
        <v>120</v>
      </c>
      <c r="N272" s="15" t="s">
        <v>95</v>
      </c>
      <c r="O272" s="2">
        <v>77</v>
      </c>
      <c r="P272" s="2">
        <v>77</v>
      </c>
      <c r="Q272" s="15" t="s">
        <v>96</v>
      </c>
      <c r="R272" s="2">
        <v>5</v>
      </c>
      <c r="S272" s="2">
        <v>5</v>
      </c>
    </row>
    <row r="273" spans="1:19" ht="14.1" customHeight="1" x14ac:dyDescent="0.2">
      <c r="A273" s="2" t="s">
        <v>658</v>
      </c>
      <c r="B273" s="2" t="s">
        <v>90</v>
      </c>
      <c r="C273" s="7" t="s">
        <v>9</v>
      </c>
      <c r="D273" s="2" t="s">
        <v>49</v>
      </c>
      <c r="E273" s="44" t="s">
        <v>866</v>
      </c>
      <c r="F273" s="2" t="s">
        <v>4</v>
      </c>
      <c r="G273" s="2" t="s">
        <v>4</v>
      </c>
      <c r="H273" s="15" t="s">
        <v>843</v>
      </c>
      <c r="I273" s="2">
        <v>200</v>
      </c>
      <c r="J273" s="2">
        <v>200</v>
      </c>
      <c r="K273" s="15" t="s">
        <v>844</v>
      </c>
      <c r="L273" s="47">
        <v>150</v>
      </c>
      <c r="M273" s="47">
        <v>150</v>
      </c>
      <c r="N273" s="15" t="s">
        <v>95</v>
      </c>
      <c r="O273" s="2">
        <v>95</v>
      </c>
      <c r="P273" s="2">
        <v>95</v>
      </c>
      <c r="Q273" s="15" t="s">
        <v>96</v>
      </c>
      <c r="R273" s="2">
        <v>15</v>
      </c>
      <c r="S273" s="2">
        <v>15</v>
      </c>
    </row>
    <row r="274" spans="1:19" ht="14.1" customHeight="1" x14ac:dyDescent="0.2">
      <c r="A274" s="2" t="s">
        <v>659</v>
      </c>
      <c r="B274" s="2" t="s">
        <v>90</v>
      </c>
      <c r="C274" s="7" t="s">
        <v>9</v>
      </c>
      <c r="D274" s="2" t="s">
        <v>50</v>
      </c>
      <c r="E274" s="44" t="s">
        <v>866</v>
      </c>
      <c r="F274" s="2" t="s">
        <v>4</v>
      </c>
      <c r="G274" s="2" t="s">
        <v>4</v>
      </c>
      <c r="H274" s="15" t="s">
        <v>843</v>
      </c>
      <c r="I274" s="2">
        <v>200</v>
      </c>
      <c r="J274" s="2">
        <v>200</v>
      </c>
      <c r="K274" s="15" t="s">
        <v>844</v>
      </c>
      <c r="L274" s="47">
        <v>200</v>
      </c>
      <c r="M274" s="47">
        <v>200</v>
      </c>
      <c r="N274" s="15" t="s">
        <v>95</v>
      </c>
      <c r="O274" s="2">
        <v>113</v>
      </c>
      <c r="P274" s="2">
        <v>113</v>
      </c>
      <c r="Q274" s="15" t="s">
        <v>96</v>
      </c>
      <c r="R274" s="2">
        <v>25</v>
      </c>
      <c r="S274" s="2">
        <v>25</v>
      </c>
    </row>
    <row r="275" spans="1:19" ht="14.1" customHeight="1" x14ac:dyDescent="0.2">
      <c r="A275" s="2" t="s">
        <v>660</v>
      </c>
      <c r="B275" s="2" t="s">
        <v>90</v>
      </c>
      <c r="C275" s="2" t="s">
        <v>9</v>
      </c>
      <c r="D275" s="2" t="s">
        <v>51</v>
      </c>
      <c r="E275" s="44" t="s">
        <v>866</v>
      </c>
      <c r="F275" s="2" t="s">
        <v>4</v>
      </c>
      <c r="G275" s="2" t="s">
        <v>4</v>
      </c>
      <c r="H275" s="15" t="s">
        <v>843</v>
      </c>
      <c r="I275" s="2">
        <v>200</v>
      </c>
      <c r="J275" s="2">
        <v>200</v>
      </c>
      <c r="K275" s="15" t="s">
        <v>844</v>
      </c>
      <c r="L275" s="47">
        <v>200</v>
      </c>
      <c r="M275" s="47">
        <v>200</v>
      </c>
      <c r="N275" s="15" t="s">
        <v>95</v>
      </c>
      <c r="O275" s="2">
        <v>155</v>
      </c>
      <c r="P275" s="2">
        <v>155</v>
      </c>
      <c r="Q275" s="15" t="s">
        <v>96</v>
      </c>
      <c r="R275" s="2">
        <v>45</v>
      </c>
      <c r="S275" s="2">
        <v>45</v>
      </c>
    </row>
    <row r="276" spans="1:19" ht="14.1" customHeight="1" x14ac:dyDescent="0.2">
      <c r="A276" s="2" t="s">
        <v>661</v>
      </c>
      <c r="B276" s="2" t="s">
        <v>90</v>
      </c>
      <c r="C276" s="2" t="s">
        <v>9</v>
      </c>
      <c r="D276" s="2" t="s">
        <v>52</v>
      </c>
      <c r="E276" s="44" t="s">
        <v>866</v>
      </c>
      <c r="F276" s="2" t="s">
        <v>4</v>
      </c>
      <c r="G276" s="2" t="s">
        <v>4</v>
      </c>
      <c r="H276" s="15" t="s">
        <v>843</v>
      </c>
      <c r="I276" s="2">
        <v>200</v>
      </c>
      <c r="J276" s="2">
        <v>200</v>
      </c>
      <c r="K276" s="15" t="s">
        <v>844</v>
      </c>
      <c r="L276" s="47">
        <v>200</v>
      </c>
      <c r="M276" s="47">
        <v>200</v>
      </c>
      <c r="N276" s="15" t="s">
        <v>95</v>
      </c>
      <c r="O276" s="2">
        <v>195</v>
      </c>
      <c r="P276" s="2">
        <v>195</v>
      </c>
      <c r="Q276" s="15" t="s">
        <v>96</v>
      </c>
      <c r="R276" s="2">
        <v>75</v>
      </c>
      <c r="S276" s="2">
        <v>75</v>
      </c>
    </row>
    <row r="277" spans="1:19" ht="14.1" customHeight="1" x14ac:dyDescent="0.2">
      <c r="A277" s="2" t="s">
        <v>662</v>
      </c>
      <c r="B277" s="2" t="s">
        <v>90</v>
      </c>
      <c r="C277" s="2" t="s">
        <v>0</v>
      </c>
      <c r="D277" s="2" t="s">
        <v>9</v>
      </c>
      <c r="E277" s="44" t="s">
        <v>866</v>
      </c>
      <c r="F277" s="2" t="s">
        <v>1156</v>
      </c>
      <c r="G277" s="2" t="s">
        <v>1156</v>
      </c>
      <c r="H277" s="15"/>
      <c r="K277" s="15"/>
      <c r="L277" s="46"/>
      <c r="M277" s="46"/>
      <c r="N277" s="15"/>
      <c r="Q277" s="15"/>
    </row>
    <row r="278" spans="1:19" ht="14.1" customHeight="1" x14ac:dyDescent="0.2">
      <c r="A278" s="2" t="s">
        <v>663</v>
      </c>
      <c r="B278" s="2" t="s">
        <v>90</v>
      </c>
      <c r="C278" s="2" t="s">
        <v>0</v>
      </c>
      <c r="D278" s="2" t="s">
        <v>0</v>
      </c>
      <c r="E278" s="44" t="s">
        <v>866</v>
      </c>
      <c r="F278" s="2" t="s">
        <v>1156</v>
      </c>
      <c r="G278" s="2" t="s">
        <v>1156</v>
      </c>
      <c r="H278" s="15" t="s">
        <v>843</v>
      </c>
      <c r="I278" s="2">
        <v>9</v>
      </c>
      <c r="J278" s="2">
        <v>9</v>
      </c>
      <c r="K278" s="15"/>
      <c r="L278" s="46"/>
      <c r="M278" s="46"/>
      <c r="N278" s="15"/>
      <c r="Q278" s="15"/>
    </row>
    <row r="279" spans="1:19" ht="14.1" customHeight="1" x14ac:dyDescent="0.2">
      <c r="A279" s="2" t="s">
        <v>664</v>
      </c>
      <c r="B279" s="2" t="s">
        <v>90</v>
      </c>
      <c r="C279" s="2" t="s">
        <v>0</v>
      </c>
      <c r="D279" s="2" t="s">
        <v>34</v>
      </c>
      <c r="E279" s="44" t="s">
        <v>866</v>
      </c>
      <c r="F279" s="2" t="s">
        <v>1156</v>
      </c>
      <c r="G279" s="2" t="s">
        <v>1156</v>
      </c>
      <c r="H279" s="15" t="s">
        <v>843</v>
      </c>
      <c r="I279" s="2">
        <v>15</v>
      </c>
      <c r="J279" s="2">
        <v>15</v>
      </c>
      <c r="K279" s="15"/>
      <c r="L279" s="46"/>
      <c r="M279" s="46"/>
      <c r="N279" s="15"/>
      <c r="Q279" s="15"/>
    </row>
    <row r="280" spans="1:19" ht="14.1" customHeight="1" x14ac:dyDescent="0.2">
      <c r="A280" s="2" t="s">
        <v>665</v>
      </c>
      <c r="B280" s="2" t="s">
        <v>90</v>
      </c>
      <c r="C280" s="2" t="s">
        <v>0</v>
      </c>
      <c r="D280" s="2" t="s">
        <v>35</v>
      </c>
      <c r="E280" s="44" t="s">
        <v>866</v>
      </c>
      <c r="F280" s="2" t="s">
        <v>1156</v>
      </c>
      <c r="G280" s="2" t="s">
        <v>1156</v>
      </c>
      <c r="H280" s="15" t="s">
        <v>843</v>
      </c>
      <c r="I280" s="2">
        <v>23</v>
      </c>
      <c r="J280" s="2">
        <v>23</v>
      </c>
      <c r="K280" s="15"/>
      <c r="L280" s="46"/>
      <c r="M280" s="46"/>
      <c r="N280" s="15"/>
      <c r="Q280" s="15"/>
    </row>
    <row r="281" spans="1:19" ht="14.1" customHeight="1" x14ac:dyDescent="0.2">
      <c r="A281" s="2" t="s">
        <v>666</v>
      </c>
      <c r="B281" s="2" t="s">
        <v>90</v>
      </c>
      <c r="C281" s="2" t="s">
        <v>0</v>
      </c>
      <c r="D281" s="2" t="s">
        <v>36</v>
      </c>
      <c r="E281" s="44" t="s">
        <v>866</v>
      </c>
      <c r="F281" s="2" t="s">
        <v>1156</v>
      </c>
      <c r="G281" s="2" t="s">
        <v>1156</v>
      </c>
      <c r="H281" s="15" t="s">
        <v>843</v>
      </c>
      <c r="I281" s="2">
        <v>34</v>
      </c>
      <c r="J281" s="2">
        <v>34</v>
      </c>
      <c r="K281" s="15"/>
      <c r="L281" s="46"/>
      <c r="M281" s="46"/>
      <c r="N281" s="15"/>
      <c r="Q281" s="15"/>
    </row>
    <row r="282" spans="1:19" ht="14.1" customHeight="1" x14ac:dyDescent="0.2">
      <c r="A282" s="2" t="s">
        <v>667</v>
      </c>
      <c r="B282" s="2" t="s">
        <v>90</v>
      </c>
      <c r="C282" s="2" t="s">
        <v>0</v>
      </c>
      <c r="D282" s="2" t="s">
        <v>37</v>
      </c>
      <c r="E282" s="44" t="s">
        <v>866</v>
      </c>
      <c r="F282" s="2" t="s">
        <v>1156</v>
      </c>
      <c r="G282" s="2" t="s">
        <v>1156</v>
      </c>
      <c r="H282" s="15" t="s">
        <v>843</v>
      </c>
      <c r="I282" s="2">
        <v>47</v>
      </c>
      <c r="J282" s="2">
        <v>47</v>
      </c>
      <c r="K282" s="15"/>
      <c r="L282" s="46"/>
      <c r="M282" s="46"/>
      <c r="N282" s="15"/>
      <c r="Q282" s="15"/>
    </row>
    <row r="283" spans="1:19" ht="14.1" customHeight="1" x14ac:dyDescent="0.2">
      <c r="A283" s="2" t="s">
        <v>668</v>
      </c>
      <c r="B283" s="2" t="s">
        <v>90</v>
      </c>
      <c r="C283" s="2" t="s">
        <v>0</v>
      </c>
      <c r="D283" s="2" t="s">
        <v>38</v>
      </c>
      <c r="E283" s="44" t="s">
        <v>866</v>
      </c>
      <c r="F283" s="2" t="s">
        <v>1156</v>
      </c>
      <c r="G283" s="2" t="s">
        <v>1156</v>
      </c>
      <c r="H283" s="15" t="s">
        <v>843</v>
      </c>
      <c r="I283" s="2">
        <v>54</v>
      </c>
      <c r="J283" s="2">
        <v>54</v>
      </c>
      <c r="K283" s="15" t="s">
        <v>844</v>
      </c>
      <c r="L283" s="46">
        <v>4</v>
      </c>
      <c r="M283" s="46">
        <v>4</v>
      </c>
      <c r="N283" s="15"/>
      <c r="Q283" s="15"/>
    </row>
    <row r="284" spans="1:19" ht="14.1" customHeight="1" x14ac:dyDescent="0.2">
      <c r="A284" s="2" t="s">
        <v>669</v>
      </c>
      <c r="B284" s="2" t="s">
        <v>90</v>
      </c>
      <c r="C284" s="2" t="s">
        <v>0</v>
      </c>
      <c r="D284" s="2" t="s">
        <v>39</v>
      </c>
      <c r="E284" s="44" t="s">
        <v>866</v>
      </c>
      <c r="F284" s="2" t="s">
        <v>1156</v>
      </c>
      <c r="G284" s="2" t="s">
        <v>1156</v>
      </c>
      <c r="H284" s="15" t="s">
        <v>843</v>
      </c>
      <c r="I284" s="2">
        <v>62</v>
      </c>
      <c r="J284" s="2">
        <v>62</v>
      </c>
      <c r="K284" s="15" t="s">
        <v>844</v>
      </c>
      <c r="L284" s="46">
        <v>9</v>
      </c>
      <c r="M284" s="46">
        <v>9</v>
      </c>
      <c r="N284" s="15"/>
      <c r="Q284" s="15"/>
    </row>
    <row r="285" spans="1:19" ht="14.1" customHeight="1" x14ac:dyDescent="0.2">
      <c r="A285" s="2" t="s">
        <v>670</v>
      </c>
      <c r="B285" s="2" t="s">
        <v>90</v>
      </c>
      <c r="C285" s="2" t="s">
        <v>0</v>
      </c>
      <c r="D285" s="2" t="s">
        <v>40</v>
      </c>
      <c r="E285" s="44" t="s">
        <v>866</v>
      </c>
      <c r="F285" s="2" t="s">
        <v>1156</v>
      </c>
      <c r="G285" s="2" t="s">
        <v>1156</v>
      </c>
      <c r="H285" s="15" t="s">
        <v>843</v>
      </c>
      <c r="I285" s="2">
        <v>85</v>
      </c>
      <c r="J285" s="2">
        <v>85</v>
      </c>
      <c r="K285" s="15" t="s">
        <v>844</v>
      </c>
      <c r="L285" s="46">
        <v>12</v>
      </c>
      <c r="M285" s="46">
        <v>12</v>
      </c>
      <c r="N285" s="15"/>
      <c r="Q285" s="15"/>
    </row>
    <row r="286" spans="1:19" ht="14.1" customHeight="1" x14ac:dyDescent="0.2">
      <c r="A286" s="2" t="s">
        <v>671</v>
      </c>
      <c r="B286" s="2" t="s">
        <v>90</v>
      </c>
      <c r="C286" s="2" t="s">
        <v>0</v>
      </c>
      <c r="D286" s="2" t="s">
        <v>41</v>
      </c>
      <c r="E286" s="44" t="s">
        <v>866</v>
      </c>
      <c r="F286" s="2" t="s">
        <v>1156</v>
      </c>
      <c r="G286" s="2" t="s">
        <v>1156</v>
      </c>
      <c r="H286" s="15" t="s">
        <v>843</v>
      </c>
      <c r="I286" s="2">
        <v>115</v>
      </c>
      <c r="J286" s="2">
        <v>115</v>
      </c>
      <c r="K286" s="15" t="s">
        <v>844</v>
      </c>
      <c r="L286" s="46">
        <v>16</v>
      </c>
      <c r="M286" s="46">
        <v>16</v>
      </c>
      <c r="N286" s="15"/>
      <c r="Q286" s="15"/>
    </row>
    <row r="287" spans="1:19" ht="14.1" customHeight="1" x14ac:dyDescent="0.2">
      <c r="A287" s="2" t="s">
        <v>672</v>
      </c>
      <c r="B287" s="2" t="s">
        <v>90</v>
      </c>
      <c r="C287" s="2" t="s">
        <v>0</v>
      </c>
      <c r="D287" s="2" t="s">
        <v>42</v>
      </c>
      <c r="E287" s="44" t="s">
        <v>866</v>
      </c>
      <c r="F287" s="2" t="s">
        <v>1156</v>
      </c>
      <c r="G287" s="2" t="s">
        <v>1156</v>
      </c>
      <c r="H287" s="15" t="s">
        <v>843</v>
      </c>
      <c r="I287" s="2">
        <v>150</v>
      </c>
      <c r="J287" s="2">
        <v>150</v>
      </c>
      <c r="K287" s="15" t="s">
        <v>844</v>
      </c>
      <c r="L287" s="46">
        <v>22</v>
      </c>
      <c r="M287" s="46">
        <v>22</v>
      </c>
      <c r="N287" s="15"/>
      <c r="Q287" s="15"/>
    </row>
    <row r="288" spans="1:19" ht="14.1" customHeight="1" x14ac:dyDescent="0.2">
      <c r="A288" s="2" t="s">
        <v>673</v>
      </c>
      <c r="B288" s="2" t="s">
        <v>90</v>
      </c>
      <c r="C288" s="2" t="s">
        <v>0</v>
      </c>
      <c r="D288" s="2" t="s">
        <v>43</v>
      </c>
      <c r="E288" s="44" t="s">
        <v>866</v>
      </c>
      <c r="F288" s="2" t="s">
        <v>1156</v>
      </c>
      <c r="G288" s="2" t="s">
        <v>1156</v>
      </c>
      <c r="H288" s="15" t="s">
        <v>843</v>
      </c>
      <c r="I288" s="2">
        <v>150</v>
      </c>
      <c r="J288" s="2">
        <v>150</v>
      </c>
      <c r="K288" s="15" t="s">
        <v>844</v>
      </c>
      <c r="L288" s="46">
        <v>25</v>
      </c>
      <c r="M288" s="46">
        <v>25</v>
      </c>
      <c r="N288" s="15" t="s">
        <v>95</v>
      </c>
      <c r="O288" s="2">
        <v>11</v>
      </c>
      <c r="P288" s="2">
        <v>11</v>
      </c>
      <c r="Q288" s="15"/>
    </row>
    <row r="289" spans="1:19" ht="14.1" customHeight="1" x14ac:dyDescent="0.2">
      <c r="A289" s="2" t="s">
        <v>674</v>
      </c>
      <c r="B289" s="2" t="s">
        <v>90</v>
      </c>
      <c r="C289" s="2" t="s">
        <v>0</v>
      </c>
      <c r="D289" s="2" t="s">
        <v>44</v>
      </c>
      <c r="E289" s="44" t="s">
        <v>866</v>
      </c>
      <c r="F289" s="2" t="s">
        <v>1156</v>
      </c>
      <c r="G289" s="2" t="s">
        <v>1156</v>
      </c>
      <c r="H289" s="15" t="s">
        <v>843</v>
      </c>
      <c r="I289" s="2">
        <v>150</v>
      </c>
      <c r="J289" s="2">
        <v>150</v>
      </c>
      <c r="K289" s="15" t="s">
        <v>844</v>
      </c>
      <c r="L289" s="47">
        <v>41</v>
      </c>
      <c r="M289" s="47">
        <v>41</v>
      </c>
      <c r="N289" s="15" t="s">
        <v>95</v>
      </c>
      <c r="O289" s="2">
        <v>20</v>
      </c>
      <c r="P289" s="2">
        <v>20</v>
      </c>
      <c r="Q289" s="15"/>
    </row>
    <row r="290" spans="1:19" ht="14.1" customHeight="1" x14ac:dyDescent="0.2">
      <c r="A290" s="2" t="s">
        <v>675</v>
      </c>
      <c r="B290" s="2" t="s">
        <v>90</v>
      </c>
      <c r="C290" s="2" t="s">
        <v>0</v>
      </c>
      <c r="D290" s="2" t="s">
        <v>45</v>
      </c>
      <c r="E290" s="44" t="s">
        <v>866</v>
      </c>
      <c r="F290" s="2" t="s">
        <v>1156</v>
      </c>
      <c r="G290" s="2" t="s">
        <v>1156</v>
      </c>
      <c r="H290" s="15" t="s">
        <v>843</v>
      </c>
      <c r="I290" s="2">
        <v>150</v>
      </c>
      <c r="J290" s="2">
        <v>150</v>
      </c>
      <c r="K290" s="15" t="s">
        <v>844</v>
      </c>
      <c r="L290" s="47">
        <v>69</v>
      </c>
      <c r="M290" s="47">
        <v>69</v>
      </c>
      <c r="N290" s="15" t="s">
        <v>95</v>
      </c>
      <c r="O290" s="2">
        <v>35</v>
      </c>
      <c r="P290" s="2">
        <v>35</v>
      </c>
      <c r="Q290" s="15"/>
    </row>
    <row r="291" spans="1:19" ht="14.1" customHeight="1" x14ac:dyDescent="0.2">
      <c r="A291" s="2" t="s">
        <v>676</v>
      </c>
      <c r="B291" s="2" t="s">
        <v>90</v>
      </c>
      <c r="C291" s="2" t="s">
        <v>0</v>
      </c>
      <c r="D291" s="2" t="s">
        <v>46</v>
      </c>
      <c r="E291" s="44" t="s">
        <v>866</v>
      </c>
      <c r="F291" s="2" t="s">
        <v>1156</v>
      </c>
      <c r="G291" s="2" t="s">
        <v>1156</v>
      </c>
      <c r="H291" s="15" t="s">
        <v>843</v>
      </c>
      <c r="I291" s="2">
        <v>150</v>
      </c>
      <c r="J291" s="2">
        <v>150</v>
      </c>
      <c r="K291" s="15" t="s">
        <v>844</v>
      </c>
      <c r="L291" s="47">
        <v>80</v>
      </c>
      <c r="M291" s="47">
        <v>80</v>
      </c>
      <c r="N291" s="15" t="s">
        <v>95</v>
      </c>
      <c r="O291" s="2">
        <v>45</v>
      </c>
      <c r="P291" s="2">
        <v>45</v>
      </c>
      <c r="Q291" s="15"/>
    </row>
    <row r="292" spans="1:19" ht="14.1" customHeight="1" x14ac:dyDescent="0.2">
      <c r="A292" s="2" t="s">
        <v>677</v>
      </c>
      <c r="B292" s="2" t="s">
        <v>90</v>
      </c>
      <c r="C292" s="2" t="s">
        <v>0</v>
      </c>
      <c r="D292" s="2" t="s">
        <v>47</v>
      </c>
      <c r="E292" s="44" t="s">
        <v>866</v>
      </c>
      <c r="F292" s="2" t="s">
        <v>1156</v>
      </c>
      <c r="G292" s="2" t="s">
        <v>1156</v>
      </c>
      <c r="H292" s="15" t="s">
        <v>843</v>
      </c>
      <c r="I292" s="2">
        <v>150</v>
      </c>
      <c r="J292" s="2">
        <v>150</v>
      </c>
      <c r="K292" s="15" t="s">
        <v>844</v>
      </c>
      <c r="L292" s="47">
        <v>107</v>
      </c>
      <c r="M292" s="47">
        <v>107</v>
      </c>
      <c r="N292" s="15" t="s">
        <v>95</v>
      </c>
      <c r="O292" s="2">
        <v>70</v>
      </c>
      <c r="P292" s="2">
        <v>70</v>
      </c>
      <c r="Q292" s="15"/>
    </row>
    <row r="293" spans="1:19" ht="14.1" customHeight="1" x14ac:dyDescent="0.2">
      <c r="A293" s="2" t="s">
        <v>678</v>
      </c>
      <c r="B293" s="2" t="s">
        <v>90</v>
      </c>
      <c r="C293" s="2" t="s">
        <v>0</v>
      </c>
      <c r="D293" s="2" t="s">
        <v>48</v>
      </c>
      <c r="E293" s="44" t="s">
        <v>866</v>
      </c>
      <c r="F293" s="2" t="s">
        <v>1156</v>
      </c>
      <c r="G293" s="2" t="s">
        <v>1156</v>
      </c>
      <c r="H293" s="15" t="s">
        <v>843</v>
      </c>
      <c r="I293" s="2">
        <v>200</v>
      </c>
      <c r="J293" s="2">
        <v>200</v>
      </c>
      <c r="K293" s="15" t="s">
        <v>844</v>
      </c>
      <c r="L293" s="47">
        <v>120</v>
      </c>
      <c r="M293" s="47">
        <v>120</v>
      </c>
      <c r="N293" s="15" t="s">
        <v>95</v>
      </c>
      <c r="O293" s="2">
        <v>77</v>
      </c>
      <c r="P293" s="2">
        <v>77</v>
      </c>
      <c r="Q293" s="15" t="s">
        <v>96</v>
      </c>
      <c r="R293" s="2">
        <v>5</v>
      </c>
      <c r="S293" s="2">
        <v>5</v>
      </c>
    </row>
    <row r="294" spans="1:19" ht="14.1" customHeight="1" x14ac:dyDescent="0.2">
      <c r="A294" s="2" t="s">
        <v>679</v>
      </c>
      <c r="B294" s="2" t="s">
        <v>90</v>
      </c>
      <c r="C294" s="2" t="s">
        <v>0</v>
      </c>
      <c r="D294" s="2" t="s">
        <v>49</v>
      </c>
      <c r="E294" s="44" t="s">
        <v>866</v>
      </c>
      <c r="F294" s="2" t="s">
        <v>1156</v>
      </c>
      <c r="G294" s="2" t="s">
        <v>1156</v>
      </c>
      <c r="H294" s="15" t="s">
        <v>843</v>
      </c>
      <c r="I294" s="2">
        <v>200</v>
      </c>
      <c r="J294" s="2">
        <v>200</v>
      </c>
      <c r="K294" s="15" t="s">
        <v>844</v>
      </c>
      <c r="L294" s="47">
        <v>150</v>
      </c>
      <c r="M294" s="47">
        <v>150</v>
      </c>
      <c r="N294" s="15" t="s">
        <v>95</v>
      </c>
      <c r="O294" s="2">
        <v>95</v>
      </c>
      <c r="P294" s="2">
        <v>95</v>
      </c>
      <c r="Q294" s="15" t="s">
        <v>96</v>
      </c>
      <c r="R294" s="2">
        <v>15</v>
      </c>
      <c r="S294" s="2">
        <v>15</v>
      </c>
    </row>
    <row r="295" spans="1:19" ht="14.1" customHeight="1" x14ac:dyDescent="0.2">
      <c r="A295" s="2" t="s">
        <v>680</v>
      </c>
      <c r="B295" s="2" t="s">
        <v>90</v>
      </c>
      <c r="C295" s="2" t="s">
        <v>0</v>
      </c>
      <c r="D295" s="2" t="s">
        <v>50</v>
      </c>
      <c r="E295" s="44" t="s">
        <v>866</v>
      </c>
      <c r="F295" s="2" t="s">
        <v>1156</v>
      </c>
      <c r="G295" s="2" t="s">
        <v>1156</v>
      </c>
      <c r="H295" s="15" t="s">
        <v>843</v>
      </c>
      <c r="I295" s="2">
        <v>200</v>
      </c>
      <c r="J295" s="2">
        <v>200</v>
      </c>
      <c r="K295" s="15" t="s">
        <v>844</v>
      </c>
      <c r="L295" s="47">
        <v>200</v>
      </c>
      <c r="M295" s="47">
        <v>200</v>
      </c>
      <c r="N295" s="15" t="s">
        <v>95</v>
      </c>
      <c r="O295" s="2">
        <v>113</v>
      </c>
      <c r="P295" s="2">
        <v>113</v>
      </c>
      <c r="Q295" s="15" t="s">
        <v>96</v>
      </c>
      <c r="R295" s="2">
        <v>25</v>
      </c>
      <c r="S295" s="2">
        <v>25</v>
      </c>
    </row>
    <row r="296" spans="1:19" ht="14.1" customHeight="1" x14ac:dyDescent="0.2">
      <c r="A296" s="2" t="s">
        <v>681</v>
      </c>
      <c r="B296" s="2" t="s">
        <v>90</v>
      </c>
      <c r="C296" s="2" t="s">
        <v>0</v>
      </c>
      <c r="D296" s="2" t="s">
        <v>51</v>
      </c>
      <c r="E296" s="44" t="s">
        <v>866</v>
      </c>
      <c r="F296" s="2" t="s">
        <v>1156</v>
      </c>
      <c r="G296" s="2" t="s">
        <v>1156</v>
      </c>
      <c r="H296" s="15" t="s">
        <v>843</v>
      </c>
      <c r="I296" s="2">
        <v>200</v>
      </c>
      <c r="J296" s="2">
        <v>200</v>
      </c>
      <c r="K296" s="15" t="s">
        <v>844</v>
      </c>
      <c r="L296" s="47">
        <v>200</v>
      </c>
      <c r="M296" s="47">
        <v>200</v>
      </c>
      <c r="N296" s="15" t="s">
        <v>95</v>
      </c>
      <c r="O296" s="2">
        <v>155</v>
      </c>
      <c r="P296" s="2">
        <v>155</v>
      </c>
      <c r="Q296" s="15" t="s">
        <v>96</v>
      </c>
      <c r="R296" s="2">
        <v>45</v>
      </c>
      <c r="S296" s="2">
        <v>45</v>
      </c>
    </row>
    <row r="297" spans="1:19" ht="14.1" customHeight="1" x14ac:dyDescent="0.2">
      <c r="A297" s="2" t="s">
        <v>682</v>
      </c>
      <c r="B297" s="2" t="s">
        <v>90</v>
      </c>
      <c r="C297" s="2" t="s">
        <v>0</v>
      </c>
      <c r="D297" s="2" t="s">
        <v>52</v>
      </c>
      <c r="E297" s="44" t="s">
        <v>866</v>
      </c>
      <c r="F297" s="2" t="s">
        <v>1156</v>
      </c>
      <c r="G297" s="2" t="s">
        <v>1156</v>
      </c>
      <c r="H297" s="15" t="s">
        <v>843</v>
      </c>
      <c r="I297" s="2">
        <v>200</v>
      </c>
      <c r="J297" s="2">
        <v>200</v>
      </c>
      <c r="K297" s="15" t="s">
        <v>844</v>
      </c>
      <c r="L297" s="47">
        <v>200</v>
      </c>
      <c r="M297" s="47">
        <v>200</v>
      </c>
      <c r="N297" s="15" t="s">
        <v>95</v>
      </c>
      <c r="O297" s="2">
        <v>195</v>
      </c>
      <c r="P297" s="2">
        <v>195</v>
      </c>
      <c r="Q297" s="15" t="s">
        <v>96</v>
      </c>
      <c r="R297" s="2">
        <v>75</v>
      </c>
      <c r="S297" s="2">
        <v>75</v>
      </c>
    </row>
    <row r="298" spans="1:19" ht="14.1" customHeight="1" x14ac:dyDescent="0.2">
      <c r="A298" s="2" t="s">
        <v>683</v>
      </c>
      <c r="B298" s="2" t="s">
        <v>90</v>
      </c>
      <c r="C298" s="2">
        <v>2</v>
      </c>
      <c r="D298" s="2" t="s">
        <v>9</v>
      </c>
      <c r="E298" s="44" t="s">
        <v>866</v>
      </c>
      <c r="F298" s="2" t="s">
        <v>1157</v>
      </c>
      <c r="G298" s="2" t="s">
        <v>1157</v>
      </c>
      <c r="H298" s="15"/>
      <c r="K298" s="15"/>
      <c r="L298" s="46"/>
      <c r="M298" s="46"/>
      <c r="N298" s="15"/>
      <c r="Q298" s="15"/>
    </row>
    <row r="299" spans="1:19" ht="14.1" customHeight="1" x14ac:dyDescent="0.2">
      <c r="A299" s="2" t="s">
        <v>684</v>
      </c>
      <c r="B299" s="2" t="s">
        <v>90</v>
      </c>
      <c r="C299" s="2">
        <v>2</v>
      </c>
      <c r="D299" s="2" t="s">
        <v>0</v>
      </c>
      <c r="E299" s="44" t="s">
        <v>866</v>
      </c>
      <c r="F299" s="2" t="s">
        <v>1157</v>
      </c>
      <c r="G299" s="2" t="s">
        <v>1157</v>
      </c>
      <c r="H299" s="15" t="s">
        <v>843</v>
      </c>
      <c r="I299" s="2">
        <v>9</v>
      </c>
      <c r="J299" s="2">
        <v>9</v>
      </c>
      <c r="K299" s="15"/>
      <c r="L299" s="46"/>
      <c r="M299" s="46"/>
      <c r="N299" s="15"/>
      <c r="Q299" s="15"/>
    </row>
    <row r="300" spans="1:19" ht="14.1" customHeight="1" x14ac:dyDescent="0.2">
      <c r="A300" s="2" t="s">
        <v>685</v>
      </c>
      <c r="B300" s="2" t="s">
        <v>90</v>
      </c>
      <c r="C300" s="2">
        <v>2</v>
      </c>
      <c r="D300" s="2" t="s">
        <v>34</v>
      </c>
      <c r="E300" s="44" t="s">
        <v>866</v>
      </c>
      <c r="F300" s="2" t="s">
        <v>1157</v>
      </c>
      <c r="G300" s="2" t="s">
        <v>1157</v>
      </c>
      <c r="H300" s="15" t="s">
        <v>843</v>
      </c>
      <c r="I300" s="2">
        <v>15</v>
      </c>
      <c r="J300" s="2">
        <v>15</v>
      </c>
      <c r="K300" s="15"/>
      <c r="L300" s="46"/>
      <c r="M300" s="46"/>
      <c r="N300" s="15"/>
      <c r="Q300" s="15"/>
    </row>
    <row r="301" spans="1:19" ht="14.1" customHeight="1" x14ac:dyDescent="0.2">
      <c r="A301" s="2" t="s">
        <v>686</v>
      </c>
      <c r="B301" s="2" t="s">
        <v>90</v>
      </c>
      <c r="C301" s="2">
        <v>2</v>
      </c>
      <c r="D301" s="2" t="s">
        <v>35</v>
      </c>
      <c r="E301" s="44" t="s">
        <v>866</v>
      </c>
      <c r="F301" s="2" t="s">
        <v>1157</v>
      </c>
      <c r="G301" s="2" t="s">
        <v>1157</v>
      </c>
      <c r="H301" s="15" t="s">
        <v>843</v>
      </c>
      <c r="I301" s="2">
        <v>23</v>
      </c>
      <c r="J301" s="2">
        <v>23</v>
      </c>
      <c r="K301" s="15"/>
      <c r="L301" s="46"/>
      <c r="M301" s="46"/>
      <c r="N301" s="15"/>
      <c r="Q301" s="15"/>
    </row>
    <row r="302" spans="1:19" ht="14.1" customHeight="1" x14ac:dyDescent="0.2">
      <c r="A302" s="2" t="s">
        <v>687</v>
      </c>
      <c r="B302" s="2" t="s">
        <v>90</v>
      </c>
      <c r="C302" s="2">
        <v>2</v>
      </c>
      <c r="D302" s="2" t="s">
        <v>36</v>
      </c>
      <c r="E302" s="44" t="s">
        <v>866</v>
      </c>
      <c r="F302" s="2" t="s">
        <v>1157</v>
      </c>
      <c r="G302" s="2" t="s">
        <v>1157</v>
      </c>
      <c r="H302" s="15" t="s">
        <v>843</v>
      </c>
      <c r="I302" s="2">
        <v>34</v>
      </c>
      <c r="J302" s="2">
        <v>34</v>
      </c>
      <c r="K302" s="15"/>
      <c r="L302" s="46"/>
      <c r="M302" s="46"/>
      <c r="N302" s="15"/>
      <c r="Q302" s="15"/>
    </row>
    <row r="303" spans="1:19" ht="14.1" customHeight="1" x14ac:dyDescent="0.2">
      <c r="A303" s="2" t="s">
        <v>688</v>
      </c>
      <c r="B303" s="2" t="s">
        <v>90</v>
      </c>
      <c r="C303" s="2">
        <v>2</v>
      </c>
      <c r="D303" s="2" t="s">
        <v>37</v>
      </c>
      <c r="E303" s="44" t="s">
        <v>866</v>
      </c>
      <c r="F303" s="2" t="s">
        <v>1157</v>
      </c>
      <c r="G303" s="2" t="s">
        <v>1157</v>
      </c>
      <c r="H303" s="15" t="s">
        <v>843</v>
      </c>
      <c r="I303" s="2">
        <v>47</v>
      </c>
      <c r="J303" s="2">
        <v>47</v>
      </c>
      <c r="K303" s="15"/>
      <c r="L303" s="46"/>
      <c r="M303" s="46"/>
      <c r="N303" s="15"/>
      <c r="Q303" s="15"/>
    </row>
    <row r="304" spans="1:19" ht="14.1" customHeight="1" x14ac:dyDescent="0.2">
      <c r="A304" s="2" t="s">
        <v>689</v>
      </c>
      <c r="B304" s="2" t="s">
        <v>90</v>
      </c>
      <c r="C304" s="2">
        <v>2</v>
      </c>
      <c r="D304" s="2" t="s">
        <v>38</v>
      </c>
      <c r="E304" s="44" t="s">
        <v>866</v>
      </c>
      <c r="F304" s="2" t="s">
        <v>1157</v>
      </c>
      <c r="G304" s="2" t="s">
        <v>1157</v>
      </c>
      <c r="H304" s="15" t="s">
        <v>843</v>
      </c>
      <c r="I304" s="2">
        <v>54</v>
      </c>
      <c r="J304" s="2">
        <v>54</v>
      </c>
      <c r="K304" s="15" t="s">
        <v>844</v>
      </c>
      <c r="L304" s="46">
        <v>4</v>
      </c>
      <c r="M304" s="46">
        <v>4</v>
      </c>
      <c r="N304" s="15"/>
      <c r="Q304" s="15"/>
    </row>
    <row r="305" spans="1:19" ht="14.1" customHeight="1" x14ac:dyDescent="0.2">
      <c r="A305" s="2" t="s">
        <v>690</v>
      </c>
      <c r="B305" s="2" t="s">
        <v>90</v>
      </c>
      <c r="C305" s="2">
        <v>2</v>
      </c>
      <c r="D305" s="2" t="s">
        <v>39</v>
      </c>
      <c r="E305" s="44" t="s">
        <v>866</v>
      </c>
      <c r="F305" s="2" t="s">
        <v>1157</v>
      </c>
      <c r="G305" s="2" t="s">
        <v>1157</v>
      </c>
      <c r="H305" s="15" t="s">
        <v>843</v>
      </c>
      <c r="I305" s="2">
        <v>62</v>
      </c>
      <c r="J305" s="2">
        <v>62</v>
      </c>
      <c r="K305" s="15" t="s">
        <v>844</v>
      </c>
      <c r="L305" s="46">
        <v>9</v>
      </c>
      <c r="M305" s="46">
        <v>9</v>
      </c>
      <c r="N305" s="15"/>
      <c r="Q305" s="15"/>
    </row>
    <row r="306" spans="1:19" ht="14.1" customHeight="1" x14ac:dyDescent="0.2">
      <c r="A306" s="2" t="s">
        <v>691</v>
      </c>
      <c r="B306" s="2" t="s">
        <v>90</v>
      </c>
      <c r="C306" s="2">
        <v>2</v>
      </c>
      <c r="D306" s="2" t="s">
        <v>40</v>
      </c>
      <c r="E306" s="44" t="s">
        <v>866</v>
      </c>
      <c r="F306" s="2" t="s">
        <v>1157</v>
      </c>
      <c r="G306" s="2" t="s">
        <v>1157</v>
      </c>
      <c r="H306" s="15" t="s">
        <v>843</v>
      </c>
      <c r="I306" s="2">
        <v>85</v>
      </c>
      <c r="J306" s="2">
        <v>85</v>
      </c>
      <c r="K306" s="15" t="s">
        <v>844</v>
      </c>
      <c r="L306" s="46">
        <v>12</v>
      </c>
      <c r="M306" s="46">
        <v>12</v>
      </c>
      <c r="N306" s="15"/>
      <c r="Q306" s="15"/>
    </row>
    <row r="307" spans="1:19" ht="14.1" customHeight="1" x14ac:dyDescent="0.2">
      <c r="A307" s="2" t="s">
        <v>692</v>
      </c>
      <c r="B307" s="2" t="s">
        <v>90</v>
      </c>
      <c r="C307" s="2">
        <v>2</v>
      </c>
      <c r="D307" s="2" t="s">
        <v>41</v>
      </c>
      <c r="E307" s="44" t="s">
        <v>866</v>
      </c>
      <c r="F307" s="2" t="s">
        <v>1157</v>
      </c>
      <c r="G307" s="2" t="s">
        <v>1157</v>
      </c>
      <c r="H307" s="15" t="s">
        <v>843</v>
      </c>
      <c r="I307" s="2">
        <v>115</v>
      </c>
      <c r="J307" s="2">
        <v>115</v>
      </c>
      <c r="K307" s="15" t="s">
        <v>844</v>
      </c>
      <c r="L307" s="46">
        <v>16</v>
      </c>
      <c r="M307" s="46">
        <v>16</v>
      </c>
      <c r="N307" s="15"/>
      <c r="Q307" s="15"/>
    </row>
    <row r="308" spans="1:19" ht="14.1" customHeight="1" x14ac:dyDescent="0.2">
      <c r="A308" s="2" t="s">
        <v>693</v>
      </c>
      <c r="B308" s="2" t="s">
        <v>90</v>
      </c>
      <c r="C308" s="2">
        <v>2</v>
      </c>
      <c r="D308" s="2" t="s">
        <v>42</v>
      </c>
      <c r="E308" s="44" t="s">
        <v>866</v>
      </c>
      <c r="F308" s="2" t="s">
        <v>1157</v>
      </c>
      <c r="G308" s="2" t="s">
        <v>1157</v>
      </c>
      <c r="H308" s="15" t="s">
        <v>843</v>
      </c>
      <c r="I308" s="2">
        <v>150</v>
      </c>
      <c r="J308" s="2">
        <v>150</v>
      </c>
      <c r="K308" s="15" t="s">
        <v>844</v>
      </c>
      <c r="L308" s="46">
        <v>22</v>
      </c>
      <c r="M308" s="46">
        <v>22</v>
      </c>
      <c r="N308" s="15"/>
      <c r="Q308" s="15"/>
    </row>
    <row r="309" spans="1:19" ht="14.1" customHeight="1" x14ac:dyDescent="0.2">
      <c r="A309" s="2" t="s">
        <v>694</v>
      </c>
      <c r="B309" s="2" t="s">
        <v>90</v>
      </c>
      <c r="C309" s="2">
        <v>2</v>
      </c>
      <c r="D309" s="2" t="s">
        <v>43</v>
      </c>
      <c r="E309" s="44" t="s">
        <v>866</v>
      </c>
      <c r="F309" s="2" t="s">
        <v>1157</v>
      </c>
      <c r="G309" s="2" t="s">
        <v>1157</v>
      </c>
      <c r="H309" s="15" t="s">
        <v>843</v>
      </c>
      <c r="I309" s="2">
        <v>150</v>
      </c>
      <c r="J309" s="2">
        <v>150</v>
      </c>
      <c r="K309" s="15" t="s">
        <v>844</v>
      </c>
      <c r="L309" s="46">
        <v>25</v>
      </c>
      <c r="M309" s="46">
        <v>25</v>
      </c>
      <c r="N309" s="15" t="s">
        <v>95</v>
      </c>
      <c r="O309" s="2">
        <v>11</v>
      </c>
      <c r="P309" s="2">
        <v>11</v>
      </c>
      <c r="Q309" s="15"/>
    </row>
    <row r="310" spans="1:19" ht="14.1" customHeight="1" x14ac:dyDescent="0.2">
      <c r="A310" s="2" t="s">
        <v>695</v>
      </c>
      <c r="B310" s="2" t="s">
        <v>90</v>
      </c>
      <c r="C310" s="2">
        <v>2</v>
      </c>
      <c r="D310" s="2" t="s">
        <v>44</v>
      </c>
      <c r="E310" s="44" t="s">
        <v>866</v>
      </c>
      <c r="F310" s="2" t="s">
        <v>1157</v>
      </c>
      <c r="G310" s="2" t="s">
        <v>1157</v>
      </c>
      <c r="H310" s="15" t="s">
        <v>843</v>
      </c>
      <c r="I310" s="2">
        <v>150</v>
      </c>
      <c r="J310" s="2">
        <v>150</v>
      </c>
      <c r="K310" s="15" t="s">
        <v>844</v>
      </c>
      <c r="L310" s="47">
        <v>41</v>
      </c>
      <c r="M310" s="47">
        <v>41</v>
      </c>
      <c r="N310" s="15" t="s">
        <v>95</v>
      </c>
      <c r="O310" s="2">
        <v>20</v>
      </c>
      <c r="P310" s="2">
        <v>20</v>
      </c>
      <c r="Q310" s="15"/>
    </row>
    <row r="311" spans="1:19" ht="14.1" customHeight="1" x14ac:dyDescent="0.2">
      <c r="A311" s="2" t="s">
        <v>696</v>
      </c>
      <c r="B311" s="2" t="s">
        <v>90</v>
      </c>
      <c r="C311" s="2">
        <v>2</v>
      </c>
      <c r="D311" s="2" t="s">
        <v>45</v>
      </c>
      <c r="E311" s="44" t="s">
        <v>866</v>
      </c>
      <c r="F311" s="2" t="s">
        <v>1157</v>
      </c>
      <c r="G311" s="2" t="s">
        <v>1157</v>
      </c>
      <c r="H311" s="15" t="s">
        <v>843</v>
      </c>
      <c r="I311" s="2">
        <v>150</v>
      </c>
      <c r="J311" s="2">
        <v>150</v>
      </c>
      <c r="K311" s="15" t="s">
        <v>844</v>
      </c>
      <c r="L311" s="47">
        <v>69</v>
      </c>
      <c r="M311" s="47">
        <v>69</v>
      </c>
      <c r="N311" s="15" t="s">
        <v>95</v>
      </c>
      <c r="O311" s="2">
        <v>35</v>
      </c>
      <c r="P311" s="2">
        <v>35</v>
      </c>
      <c r="Q311" s="15"/>
    </row>
    <row r="312" spans="1:19" ht="14.1" customHeight="1" x14ac:dyDescent="0.2">
      <c r="A312" s="2" t="s">
        <v>697</v>
      </c>
      <c r="B312" s="2" t="s">
        <v>90</v>
      </c>
      <c r="C312" s="2">
        <v>2</v>
      </c>
      <c r="D312" s="2" t="s">
        <v>46</v>
      </c>
      <c r="E312" s="44" t="s">
        <v>866</v>
      </c>
      <c r="F312" s="2" t="s">
        <v>1157</v>
      </c>
      <c r="G312" s="2" t="s">
        <v>1157</v>
      </c>
      <c r="H312" s="15" t="s">
        <v>843</v>
      </c>
      <c r="I312" s="2">
        <v>150</v>
      </c>
      <c r="J312" s="2">
        <v>150</v>
      </c>
      <c r="K312" s="15" t="s">
        <v>844</v>
      </c>
      <c r="L312" s="47">
        <v>80</v>
      </c>
      <c r="M312" s="47">
        <v>80</v>
      </c>
      <c r="N312" s="15" t="s">
        <v>95</v>
      </c>
      <c r="O312" s="2">
        <v>45</v>
      </c>
      <c r="P312" s="2">
        <v>45</v>
      </c>
      <c r="Q312" s="15"/>
    </row>
    <row r="313" spans="1:19" ht="14.1" customHeight="1" x14ac:dyDescent="0.2">
      <c r="A313" s="2" t="s">
        <v>698</v>
      </c>
      <c r="B313" s="2" t="s">
        <v>90</v>
      </c>
      <c r="C313" s="2">
        <v>2</v>
      </c>
      <c r="D313" s="2" t="s">
        <v>47</v>
      </c>
      <c r="E313" s="44" t="s">
        <v>866</v>
      </c>
      <c r="F313" s="2" t="s">
        <v>1157</v>
      </c>
      <c r="G313" s="2" t="s">
        <v>1157</v>
      </c>
      <c r="H313" s="15" t="s">
        <v>843</v>
      </c>
      <c r="I313" s="2">
        <v>150</v>
      </c>
      <c r="J313" s="2">
        <v>150</v>
      </c>
      <c r="K313" s="15" t="s">
        <v>844</v>
      </c>
      <c r="L313" s="47">
        <v>107</v>
      </c>
      <c r="M313" s="47">
        <v>107</v>
      </c>
      <c r="N313" s="15" t="s">
        <v>95</v>
      </c>
      <c r="O313" s="2">
        <v>70</v>
      </c>
      <c r="P313" s="2">
        <v>70</v>
      </c>
      <c r="Q313" s="15"/>
    </row>
    <row r="314" spans="1:19" ht="14.1" customHeight="1" x14ac:dyDescent="0.2">
      <c r="A314" s="2" t="s">
        <v>699</v>
      </c>
      <c r="B314" s="2" t="s">
        <v>90</v>
      </c>
      <c r="C314" s="2">
        <v>2</v>
      </c>
      <c r="D314" s="2" t="s">
        <v>48</v>
      </c>
      <c r="E314" s="44" t="s">
        <v>866</v>
      </c>
      <c r="F314" s="2" t="s">
        <v>1157</v>
      </c>
      <c r="G314" s="2" t="s">
        <v>1157</v>
      </c>
      <c r="H314" s="15" t="s">
        <v>843</v>
      </c>
      <c r="I314" s="2">
        <v>200</v>
      </c>
      <c r="J314" s="2">
        <v>200</v>
      </c>
      <c r="K314" s="15" t="s">
        <v>844</v>
      </c>
      <c r="L314" s="47">
        <v>120</v>
      </c>
      <c r="M314" s="47">
        <v>120</v>
      </c>
      <c r="N314" s="15" t="s">
        <v>95</v>
      </c>
      <c r="O314" s="2">
        <v>77</v>
      </c>
      <c r="P314" s="2">
        <v>77</v>
      </c>
      <c r="Q314" s="15" t="s">
        <v>96</v>
      </c>
      <c r="R314" s="2">
        <v>5</v>
      </c>
      <c r="S314" s="2">
        <v>5</v>
      </c>
    </row>
    <row r="315" spans="1:19" ht="14.1" customHeight="1" x14ac:dyDescent="0.2">
      <c r="A315" s="2" t="s">
        <v>700</v>
      </c>
      <c r="B315" s="2" t="s">
        <v>90</v>
      </c>
      <c r="C315" s="2">
        <v>2</v>
      </c>
      <c r="D315" s="2" t="s">
        <v>49</v>
      </c>
      <c r="E315" s="44" t="s">
        <v>866</v>
      </c>
      <c r="F315" s="2" t="s">
        <v>1157</v>
      </c>
      <c r="G315" s="2" t="s">
        <v>1157</v>
      </c>
      <c r="H315" s="15" t="s">
        <v>843</v>
      </c>
      <c r="I315" s="2">
        <v>200</v>
      </c>
      <c r="J315" s="2">
        <v>200</v>
      </c>
      <c r="K315" s="15" t="s">
        <v>844</v>
      </c>
      <c r="L315" s="47">
        <v>150</v>
      </c>
      <c r="M315" s="47">
        <v>150</v>
      </c>
      <c r="N315" s="15" t="s">
        <v>95</v>
      </c>
      <c r="O315" s="2">
        <v>95</v>
      </c>
      <c r="P315" s="2">
        <v>95</v>
      </c>
      <c r="Q315" s="15" t="s">
        <v>96</v>
      </c>
      <c r="R315" s="2">
        <v>15</v>
      </c>
      <c r="S315" s="2">
        <v>15</v>
      </c>
    </row>
    <row r="316" spans="1:19" ht="14.1" customHeight="1" x14ac:dyDescent="0.2">
      <c r="A316" s="2" t="s">
        <v>701</v>
      </c>
      <c r="B316" s="2" t="s">
        <v>90</v>
      </c>
      <c r="C316" s="2">
        <v>2</v>
      </c>
      <c r="D316" s="2" t="s">
        <v>50</v>
      </c>
      <c r="E316" s="44" t="s">
        <v>866</v>
      </c>
      <c r="F316" s="2" t="s">
        <v>1157</v>
      </c>
      <c r="G316" s="2" t="s">
        <v>1157</v>
      </c>
      <c r="H316" s="15" t="s">
        <v>843</v>
      </c>
      <c r="I316" s="2">
        <v>200</v>
      </c>
      <c r="J316" s="2">
        <v>200</v>
      </c>
      <c r="K316" s="15" t="s">
        <v>844</v>
      </c>
      <c r="L316" s="47">
        <v>200</v>
      </c>
      <c r="M316" s="47">
        <v>200</v>
      </c>
      <c r="N316" s="15" t="s">
        <v>95</v>
      </c>
      <c r="O316" s="2">
        <v>113</v>
      </c>
      <c r="P316" s="2">
        <v>113</v>
      </c>
      <c r="Q316" s="15" t="s">
        <v>96</v>
      </c>
      <c r="R316" s="2">
        <v>25</v>
      </c>
      <c r="S316" s="2">
        <v>25</v>
      </c>
    </row>
    <row r="317" spans="1:19" ht="14.1" customHeight="1" x14ac:dyDescent="0.2">
      <c r="A317" s="2" t="s">
        <v>702</v>
      </c>
      <c r="B317" s="2" t="s">
        <v>90</v>
      </c>
      <c r="C317" s="2">
        <v>2</v>
      </c>
      <c r="D317" s="2" t="s">
        <v>51</v>
      </c>
      <c r="E317" s="44" t="s">
        <v>866</v>
      </c>
      <c r="F317" s="2" t="s">
        <v>1157</v>
      </c>
      <c r="G317" s="2" t="s">
        <v>1157</v>
      </c>
      <c r="H317" s="15" t="s">
        <v>843</v>
      </c>
      <c r="I317" s="2">
        <v>200</v>
      </c>
      <c r="J317" s="2">
        <v>200</v>
      </c>
      <c r="K317" s="15" t="s">
        <v>844</v>
      </c>
      <c r="L317" s="47">
        <v>200</v>
      </c>
      <c r="M317" s="47">
        <v>200</v>
      </c>
      <c r="N317" s="15" t="s">
        <v>95</v>
      </c>
      <c r="O317" s="2">
        <v>155</v>
      </c>
      <c r="P317" s="2">
        <v>155</v>
      </c>
      <c r="Q317" s="15" t="s">
        <v>96</v>
      </c>
      <c r="R317" s="2">
        <v>45</v>
      </c>
      <c r="S317" s="2">
        <v>45</v>
      </c>
    </row>
    <row r="318" spans="1:19" ht="14.1" customHeight="1" x14ac:dyDescent="0.2">
      <c r="A318" s="2" t="s">
        <v>703</v>
      </c>
      <c r="B318" s="2" t="s">
        <v>90</v>
      </c>
      <c r="C318" s="2">
        <v>2</v>
      </c>
      <c r="D318" s="2" t="s">
        <v>52</v>
      </c>
      <c r="E318" s="44" t="s">
        <v>866</v>
      </c>
      <c r="F318" s="2" t="s">
        <v>1157</v>
      </c>
      <c r="G318" s="2" t="s">
        <v>1157</v>
      </c>
      <c r="H318" s="15" t="s">
        <v>843</v>
      </c>
      <c r="I318" s="2">
        <v>200</v>
      </c>
      <c r="J318" s="2">
        <v>200</v>
      </c>
      <c r="K318" s="15" t="s">
        <v>844</v>
      </c>
      <c r="L318" s="47">
        <v>200</v>
      </c>
      <c r="M318" s="47">
        <v>200</v>
      </c>
      <c r="N318" s="15" t="s">
        <v>95</v>
      </c>
      <c r="O318" s="2">
        <v>195</v>
      </c>
      <c r="P318" s="2">
        <v>195</v>
      </c>
      <c r="Q318" s="15" t="s">
        <v>96</v>
      </c>
      <c r="R318" s="2">
        <v>75</v>
      </c>
      <c r="S318" s="2">
        <v>75</v>
      </c>
    </row>
    <row r="319" spans="1:19" ht="14.1" customHeight="1" x14ac:dyDescent="0.2">
      <c r="A319" s="2" t="s">
        <v>704</v>
      </c>
      <c r="B319" s="2" t="s">
        <v>839</v>
      </c>
      <c r="C319" s="2" t="s">
        <v>9</v>
      </c>
      <c r="D319" s="2" t="s">
        <v>9</v>
      </c>
      <c r="E319" s="44" t="s">
        <v>867</v>
      </c>
      <c r="F319" s="2" t="s">
        <v>4</v>
      </c>
      <c r="G319" s="2" t="s">
        <v>4</v>
      </c>
      <c r="H319" s="15"/>
      <c r="K319" s="15"/>
      <c r="L319" s="46"/>
      <c r="M319" s="46"/>
      <c r="N319" s="15"/>
      <c r="Q319" s="15"/>
    </row>
    <row r="320" spans="1:19" ht="14.1" customHeight="1" x14ac:dyDescent="0.2">
      <c r="A320" s="2" t="s">
        <v>705</v>
      </c>
      <c r="B320" s="2" t="s">
        <v>839</v>
      </c>
      <c r="C320" s="2" t="s">
        <v>9</v>
      </c>
      <c r="D320" s="2" t="s">
        <v>0</v>
      </c>
      <c r="E320" s="44" t="s">
        <v>867</v>
      </c>
      <c r="F320" s="2" t="s">
        <v>4</v>
      </c>
      <c r="G320" s="2" t="s">
        <v>4</v>
      </c>
      <c r="H320" s="15" t="s">
        <v>843</v>
      </c>
      <c r="I320" s="2">
        <v>9</v>
      </c>
      <c r="J320" s="2">
        <v>9</v>
      </c>
      <c r="K320" s="15"/>
      <c r="L320" s="46"/>
      <c r="M320" s="46"/>
      <c r="N320" s="15"/>
      <c r="Q320" s="15"/>
    </row>
    <row r="321" spans="1:19" ht="14.1" customHeight="1" x14ac:dyDescent="0.2">
      <c r="A321" s="2" t="s">
        <v>706</v>
      </c>
      <c r="B321" s="2" t="s">
        <v>839</v>
      </c>
      <c r="C321" s="2" t="s">
        <v>9</v>
      </c>
      <c r="D321" s="2" t="s">
        <v>34</v>
      </c>
      <c r="E321" s="44" t="s">
        <v>867</v>
      </c>
      <c r="F321" s="2" t="s">
        <v>4</v>
      </c>
      <c r="G321" s="2" t="s">
        <v>4</v>
      </c>
      <c r="H321" s="15" t="s">
        <v>843</v>
      </c>
      <c r="I321" s="2">
        <v>15</v>
      </c>
      <c r="J321" s="2">
        <v>15</v>
      </c>
      <c r="K321" s="15"/>
      <c r="L321" s="46"/>
      <c r="M321" s="46"/>
      <c r="N321" s="15"/>
      <c r="Q321" s="15"/>
    </row>
    <row r="322" spans="1:19" ht="14.1" customHeight="1" x14ac:dyDescent="0.2">
      <c r="A322" s="2" t="s">
        <v>707</v>
      </c>
      <c r="B322" s="2" t="s">
        <v>839</v>
      </c>
      <c r="C322" s="2" t="s">
        <v>9</v>
      </c>
      <c r="D322" s="2" t="s">
        <v>35</v>
      </c>
      <c r="E322" s="44" t="s">
        <v>867</v>
      </c>
      <c r="F322" s="2" t="s">
        <v>4</v>
      </c>
      <c r="G322" s="2" t="s">
        <v>4</v>
      </c>
      <c r="H322" s="15" t="s">
        <v>843</v>
      </c>
      <c r="I322" s="2">
        <v>23</v>
      </c>
      <c r="J322" s="2">
        <v>23</v>
      </c>
      <c r="K322" s="15"/>
      <c r="L322" s="46"/>
      <c r="M322" s="46"/>
      <c r="N322" s="15"/>
      <c r="Q322" s="15"/>
    </row>
    <row r="323" spans="1:19" ht="14.1" customHeight="1" x14ac:dyDescent="0.2">
      <c r="A323" s="2" t="s">
        <v>708</v>
      </c>
      <c r="B323" s="2" t="s">
        <v>839</v>
      </c>
      <c r="C323" s="2" t="s">
        <v>9</v>
      </c>
      <c r="D323" s="2" t="s">
        <v>36</v>
      </c>
      <c r="E323" s="44" t="s">
        <v>867</v>
      </c>
      <c r="F323" s="2" t="s">
        <v>4</v>
      </c>
      <c r="G323" s="2" t="s">
        <v>4</v>
      </c>
      <c r="H323" s="15" t="s">
        <v>843</v>
      </c>
      <c r="I323" s="2">
        <v>34</v>
      </c>
      <c r="J323" s="2">
        <v>34</v>
      </c>
      <c r="K323" s="15"/>
      <c r="L323" s="46"/>
      <c r="M323" s="46"/>
      <c r="N323" s="15"/>
      <c r="Q323" s="15"/>
    </row>
    <row r="324" spans="1:19" ht="14.1" customHeight="1" x14ac:dyDescent="0.2">
      <c r="A324" s="2" t="s">
        <v>709</v>
      </c>
      <c r="B324" s="2" t="s">
        <v>839</v>
      </c>
      <c r="C324" s="2" t="s">
        <v>9</v>
      </c>
      <c r="D324" s="2" t="s">
        <v>37</v>
      </c>
      <c r="E324" s="44" t="s">
        <v>867</v>
      </c>
      <c r="F324" s="2" t="s">
        <v>4</v>
      </c>
      <c r="G324" s="2" t="s">
        <v>4</v>
      </c>
      <c r="H324" s="15" t="s">
        <v>843</v>
      </c>
      <c r="I324" s="2">
        <v>47</v>
      </c>
      <c r="J324" s="2">
        <v>47</v>
      </c>
      <c r="K324" s="15"/>
      <c r="L324" s="46"/>
      <c r="M324" s="46"/>
      <c r="N324" s="15"/>
      <c r="Q324" s="15"/>
    </row>
    <row r="325" spans="1:19" ht="14.1" customHeight="1" x14ac:dyDescent="0.2">
      <c r="A325" s="2" t="s">
        <v>710</v>
      </c>
      <c r="B325" s="2" t="s">
        <v>839</v>
      </c>
      <c r="C325" s="2" t="s">
        <v>9</v>
      </c>
      <c r="D325" s="2" t="s">
        <v>38</v>
      </c>
      <c r="E325" s="44" t="s">
        <v>867</v>
      </c>
      <c r="F325" s="2" t="s">
        <v>4</v>
      </c>
      <c r="G325" s="2" t="s">
        <v>4</v>
      </c>
      <c r="H325" s="15" t="s">
        <v>843</v>
      </c>
      <c r="I325" s="2">
        <v>54</v>
      </c>
      <c r="J325" s="2">
        <v>54</v>
      </c>
      <c r="K325" s="15" t="s">
        <v>844</v>
      </c>
      <c r="L325" s="46">
        <v>4</v>
      </c>
      <c r="M325" s="46">
        <v>4</v>
      </c>
      <c r="N325" s="15"/>
      <c r="Q325" s="15"/>
    </row>
    <row r="326" spans="1:19" ht="14.1" customHeight="1" x14ac:dyDescent="0.2">
      <c r="A326" s="2" t="s">
        <v>711</v>
      </c>
      <c r="B326" s="2" t="s">
        <v>839</v>
      </c>
      <c r="C326" s="2" t="s">
        <v>9</v>
      </c>
      <c r="D326" s="2" t="s">
        <v>39</v>
      </c>
      <c r="E326" s="44" t="s">
        <v>867</v>
      </c>
      <c r="F326" s="2" t="s">
        <v>4</v>
      </c>
      <c r="G326" s="2" t="s">
        <v>4</v>
      </c>
      <c r="H326" s="15" t="s">
        <v>843</v>
      </c>
      <c r="I326" s="2">
        <v>62</v>
      </c>
      <c r="J326" s="2">
        <v>62</v>
      </c>
      <c r="K326" s="15" t="s">
        <v>844</v>
      </c>
      <c r="L326" s="46">
        <v>9</v>
      </c>
      <c r="M326" s="46">
        <v>9</v>
      </c>
      <c r="N326" s="15"/>
      <c r="Q326" s="15"/>
    </row>
    <row r="327" spans="1:19" ht="14.1" customHeight="1" x14ac:dyDescent="0.2">
      <c r="A327" s="2" t="s">
        <v>712</v>
      </c>
      <c r="B327" s="2" t="s">
        <v>839</v>
      </c>
      <c r="C327" s="2" t="s">
        <v>9</v>
      </c>
      <c r="D327" s="2" t="s">
        <v>40</v>
      </c>
      <c r="E327" s="44" t="s">
        <v>867</v>
      </c>
      <c r="F327" s="2" t="s">
        <v>4</v>
      </c>
      <c r="G327" s="2" t="s">
        <v>4</v>
      </c>
      <c r="H327" s="15" t="s">
        <v>843</v>
      </c>
      <c r="I327" s="2">
        <v>85</v>
      </c>
      <c r="J327" s="2">
        <v>85</v>
      </c>
      <c r="K327" s="15" t="s">
        <v>844</v>
      </c>
      <c r="L327" s="46">
        <v>12</v>
      </c>
      <c r="M327" s="46">
        <v>12</v>
      </c>
      <c r="N327" s="15"/>
      <c r="Q327" s="15"/>
    </row>
    <row r="328" spans="1:19" ht="14.1" customHeight="1" x14ac:dyDescent="0.2">
      <c r="A328" s="2" t="s">
        <v>713</v>
      </c>
      <c r="B328" s="2" t="s">
        <v>839</v>
      </c>
      <c r="C328" s="2" t="s">
        <v>9</v>
      </c>
      <c r="D328" s="2" t="s">
        <v>41</v>
      </c>
      <c r="E328" s="44" t="s">
        <v>867</v>
      </c>
      <c r="F328" s="2" t="s">
        <v>4</v>
      </c>
      <c r="G328" s="2" t="s">
        <v>4</v>
      </c>
      <c r="H328" s="15" t="s">
        <v>843</v>
      </c>
      <c r="I328" s="2">
        <v>115</v>
      </c>
      <c r="J328" s="2">
        <v>115</v>
      </c>
      <c r="K328" s="15" t="s">
        <v>844</v>
      </c>
      <c r="L328" s="46">
        <v>16</v>
      </c>
      <c r="M328" s="46">
        <v>16</v>
      </c>
      <c r="N328" s="15"/>
      <c r="Q328" s="15"/>
    </row>
    <row r="329" spans="1:19" ht="14.1" customHeight="1" x14ac:dyDescent="0.2">
      <c r="A329" s="2" t="s">
        <v>714</v>
      </c>
      <c r="B329" s="2" t="s">
        <v>839</v>
      </c>
      <c r="C329" s="2" t="s">
        <v>9</v>
      </c>
      <c r="D329" s="2" t="s">
        <v>42</v>
      </c>
      <c r="E329" s="44" t="s">
        <v>867</v>
      </c>
      <c r="F329" s="2" t="s">
        <v>4</v>
      </c>
      <c r="G329" s="2" t="s">
        <v>4</v>
      </c>
      <c r="H329" s="15" t="s">
        <v>843</v>
      </c>
      <c r="I329" s="2">
        <v>150</v>
      </c>
      <c r="J329" s="2">
        <v>150</v>
      </c>
      <c r="K329" s="15" t="s">
        <v>844</v>
      </c>
      <c r="L329" s="46">
        <v>22</v>
      </c>
      <c r="M329" s="46">
        <v>22</v>
      </c>
      <c r="N329" s="15"/>
      <c r="Q329" s="15"/>
    </row>
    <row r="330" spans="1:19" ht="14.1" customHeight="1" x14ac:dyDescent="0.2">
      <c r="A330" s="2" t="s">
        <v>715</v>
      </c>
      <c r="B330" s="2" t="s">
        <v>839</v>
      </c>
      <c r="C330" s="2" t="s">
        <v>9</v>
      </c>
      <c r="D330" s="2" t="s">
        <v>43</v>
      </c>
      <c r="E330" s="44" t="s">
        <v>867</v>
      </c>
      <c r="F330" s="2" t="s">
        <v>4</v>
      </c>
      <c r="G330" s="2" t="s">
        <v>4</v>
      </c>
      <c r="H330" s="15" t="s">
        <v>843</v>
      </c>
      <c r="I330" s="2">
        <v>150</v>
      </c>
      <c r="J330" s="2">
        <v>150</v>
      </c>
      <c r="K330" s="15" t="s">
        <v>844</v>
      </c>
      <c r="L330" s="46">
        <v>25</v>
      </c>
      <c r="M330" s="46">
        <v>25</v>
      </c>
      <c r="N330" s="15" t="s">
        <v>95</v>
      </c>
      <c r="O330" s="2">
        <v>11</v>
      </c>
      <c r="P330" s="2">
        <v>11</v>
      </c>
      <c r="Q330" s="15"/>
    </row>
    <row r="331" spans="1:19" ht="14.1" customHeight="1" x14ac:dyDescent="0.2">
      <c r="A331" s="2" t="s">
        <v>716</v>
      </c>
      <c r="B331" s="2" t="s">
        <v>839</v>
      </c>
      <c r="C331" s="2" t="s">
        <v>9</v>
      </c>
      <c r="D331" s="2" t="s">
        <v>44</v>
      </c>
      <c r="E331" s="44" t="s">
        <v>867</v>
      </c>
      <c r="F331" s="2" t="s">
        <v>4</v>
      </c>
      <c r="G331" s="2" t="s">
        <v>4</v>
      </c>
      <c r="H331" s="15" t="s">
        <v>843</v>
      </c>
      <c r="I331" s="2">
        <v>150</v>
      </c>
      <c r="J331" s="2">
        <v>150</v>
      </c>
      <c r="K331" s="15" t="s">
        <v>844</v>
      </c>
      <c r="L331" s="47">
        <v>41</v>
      </c>
      <c r="M331" s="47">
        <v>41</v>
      </c>
      <c r="N331" s="15" t="s">
        <v>95</v>
      </c>
      <c r="O331" s="2">
        <v>20</v>
      </c>
      <c r="P331" s="2">
        <v>20</v>
      </c>
      <c r="Q331" s="15"/>
    </row>
    <row r="332" spans="1:19" ht="14.1" customHeight="1" x14ac:dyDescent="0.2">
      <c r="A332" s="2" t="s">
        <v>717</v>
      </c>
      <c r="B332" s="2" t="s">
        <v>839</v>
      </c>
      <c r="C332" s="2" t="s">
        <v>9</v>
      </c>
      <c r="D332" s="2" t="s">
        <v>45</v>
      </c>
      <c r="E332" s="44" t="s">
        <v>867</v>
      </c>
      <c r="F332" s="2" t="s">
        <v>4</v>
      </c>
      <c r="G332" s="2" t="s">
        <v>4</v>
      </c>
      <c r="H332" s="15" t="s">
        <v>843</v>
      </c>
      <c r="I332" s="2">
        <v>150</v>
      </c>
      <c r="J332" s="2">
        <v>150</v>
      </c>
      <c r="K332" s="15" t="s">
        <v>844</v>
      </c>
      <c r="L332" s="47">
        <v>69</v>
      </c>
      <c r="M332" s="47">
        <v>69</v>
      </c>
      <c r="N332" s="15" t="s">
        <v>95</v>
      </c>
      <c r="O332" s="2">
        <v>35</v>
      </c>
      <c r="P332" s="2">
        <v>35</v>
      </c>
      <c r="Q332" s="15"/>
    </row>
    <row r="333" spans="1:19" ht="14.1" customHeight="1" x14ac:dyDescent="0.2">
      <c r="A333" s="2" t="s">
        <v>718</v>
      </c>
      <c r="B333" s="2" t="s">
        <v>839</v>
      </c>
      <c r="C333" s="2" t="s">
        <v>9</v>
      </c>
      <c r="D333" s="2" t="s">
        <v>46</v>
      </c>
      <c r="E333" s="44" t="s">
        <v>867</v>
      </c>
      <c r="F333" s="2" t="s">
        <v>4</v>
      </c>
      <c r="G333" s="2" t="s">
        <v>4</v>
      </c>
      <c r="H333" s="15" t="s">
        <v>843</v>
      </c>
      <c r="I333" s="2">
        <v>150</v>
      </c>
      <c r="J333" s="2">
        <v>150</v>
      </c>
      <c r="K333" s="15" t="s">
        <v>844</v>
      </c>
      <c r="L333" s="47">
        <v>80</v>
      </c>
      <c r="M333" s="47">
        <v>80</v>
      </c>
      <c r="N333" s="15" t="s">
        <v>95</v>
      </c>
      <c r="O333" s="2">
        <v>45</v>
      </c>
      <c r="P333" s="2">
        <v>45</v>
      </c>
      <c r="Q333" s="15"/>
    </row>
    <row r="334" spans="1:19" ht="14.1" customHeight="1" x14ac:dyDescent="0.2">
      <c r="A334" s="2" t="s">
        <v>719</v>
      </c>
      <c r="B334" s="2" t="s">
        <v>839</v>
      </c>
      <c r="C334" s="7" t="s">
        <v>9</v>
      </c>
      <c r="D334" s="2" t="s">
        <v>47</v>
      </c>
      <c r="E334" s="44" t="s">
        <v>867</v>
      </c>
      <c r="F334" s="2" t="s">
        <v>4</v>
      </c>
      <c r="G334" s="2" t="s">
        <v>4</v>
      </c>
      <c r="H334" s="15" t="s">
        <v>843</v>
      </c>
      <c r="I334" s="2">
        <v>150</v>
      </c>
      <c r="J334" s="2">
        <v>150</v>
      </c>
      <c r="K334" s="15" t="s">
        <v>844</v>
      </c>
      <c r="L334" s="47">
        <v>107</v>
      </c>
      <c r="M334" s="47">
        <v>107</v>
      </c>
      <c r="N334" s="15" t="s">
        <v>95</v>
      </c>
      <c r="O334" s="2">
        <v>70</v>
      </c>
      <c r="P334" s="2">
        <v>70</v>
      </c>
      <c r="Q334" s="15"/>
    </row>
    <row r="335" spans="1:19" ht="14.1" customHeight="1" x14ac:dyDescent="0.2">
      <c r="A335" s="2" t="s">
        <v>720</v>
      </c>
      <c r="B335" s="2" t="s">
        <v>839</v>
      </c>
      <c r="C335" s="7" t="s">
        <v>9</v>
      </c>
      <c r="D335" s="2" t="s">
        <v>48</v>
      </c>
      <c r="E335" s="44" t="s">
        <v>867</v>
      </c>
      <c r="F335" s="2" t="s">
        <v>4</v>
      </c>
      <c r="G335" s="2" t="s">
        <v>4</v>
      </c>
      <c r="H335" s="15" t="s">
        <v>843</v>
      </c>
      <c r="I335" s="2">
        <v>200</v>
      </c>
      <c r="J335" s="2">
        <v>200</v>
      </c>
      <c r="K335" s="15" t="s">
        <v>844</v>
      </c>
      <c r="L335" s="47">
        <v>120</v>
      </c>
      <c r="M335" s="47">
        <v>120</v>
      </c>
      <c r="N335" s="15" t="s">
        <v>95</v>
      </c>
      <c r="O335" s="2">
        <v>77</v>
      </c>
      <c r="P335" s="2">
        <v>77</v>
      </c>
      <c r="Q335" s="15" t="s">
        <v>96</v>
      </c>
      <c r="R335" s="2">
        <v>5</v>
      </c>
      <c r="S335" s="2">
        <v>5</v>
      </c>
    </row>
    <row r="336" spans="1:19" ht="14.1" customHeight="1" x14ac:dyDescent="0.2">
      <c r="A336" s="2" t="s">
        <v>721</v>
      </c>
      <c r="B336" s="2" t="s">
        <v>839</v>
      </c>
      <c r="C336" s="7" t="s">
        <v>9</v>
      </c>
      <c r="D336" s="2" t="s">
        <v>49</v>
      </c>
      <c r="E336" s="44" t="s">
        <v>867</v>
      </c>
      <c r="F336" s="2" t="s">
        <v>4</v>
      </c>
      <c r="G336" s="2" t="s">
        <v>4</v>
      </c>
      <c r="H336" s="15" t="s">
        <v>843</v>
      </c>
      <c r="I336" s="2">
        <v>200</v>
      </c>
      <c r="J336" s="2">
        <v>200</v>
      </c>
      <c r="K336" s="15" t="s">
        <v>844</v>
      </c>
      <c r="L336" s="47">
        <v>150</v>
      </c>
      <c r="M336" s="47">
        <v>150</v>
      </c>
      <c r="N336" s="15" t="s">
        <v>95</v>
      </c>
      <c r="O336" s="2">
        <v>95</v>
      </c>
      <c r="P336" s="2">
        <v>95</v>
      </c>
      <c r="Q336" s="15" t="s">
        <v>96</v>
      </c>
      <c r="R336" s="2">
        <v>15</v>
      </c>
      <c r="S336" s="2">
        <v>15</v>
      </c>
    </row>
    <row r="337" spans="1:19" ht="14.1" customHeight="1" x14ac:dyDescent="0.2">
      <c r="A337" s="2" t="s">
        <v>722</v>
      </c>
      <c r="B337" s="2" t="s">
        <v>839</v>
      </c>
      <c r="C337" s="7" t="s">
        <v>9</v>
      </c>
      <c r="D337" s="2" t="s">
        <v>50</v>
      </c>
      <c r="E337" s="44" t="s">
        <v>867</v>
      </c>
      <c r="F337" s="2" t="s">
        <v>4</v>
      </c>
      <c r="G337" s="2" t="s">
        <v>4</v>
      </c>
      <c r="H337" s="15" t="s">
        <v>843</v>
      </c>
      <c r="I337" s="2">
        <v>200</v>
      </c>
      <c r="J337" s="2">
        <v>200</v>
      </c>
      <c r="K337" s="15" t="s">
        <v>844</v>
      </c>
      <c r="L337" s="47">
        <v>200</v>
      </c>
      <c r="M337" s="47">
        <v>200</v>
      </c>
      <c r="N337" s="15" t="s">
        <v>95</v>
      </c>
      <c r="O337" s="2">
        <v>113</v>
      </c>
      <c r="P337" s="2">
        <v>113</v>
      </c>
      <c r="Q337" s="15" t="s">
        <v>96</v>
      </c>
      <c r="R337" s="2">
        <v>25</v>
      </c>
      <c r="S337" s="2">
        <v>25</v>
      </c>
    </row>
    <row r="338" spans="1:19" ht="14.1" customHeight="1" x14ac:dyDescent="0.2">
      <c r="A338" s="2" t="s">
        <v>723</v>
      </c>
      <c r="B338" s="2" t="s">
        <v>839</v>
      </c>
      <c r="C338" s="2" t="s">
        <v>9</v>
      </c>
      <c r="D338" s="2" t="s">
        <v>51</v>
      </c>
      <c r="E338" s="44" t="s">
        <v>867</v>
      </c>
      <c r="F338" s="2" t="s">
        <v>4</v>
      </c>
      <c r="G338" s="2" t="s">
        <v>4</v>
      </c>
      <c r="H338" s="15" t="s">
        <v>843</v>
      </c>
      <c r="I338" s="2">
        <v>200</v>
      </c>
      <c r="J338" s="2">
        <v>200</v>
      </c>
      <c r="K338" s="15" t="s">
        <v>844</v>
      </c>
      <c r="L338" s="47">
        <v>200</v>
      </c>
      <c r="M338" s="47">
        <v>200</v>
      </c>
      <c r="N338" s="15" t="s">
        <v>95</v>
      </c>
      <c r="O338" s="2">
        <v>155</v>
      </c>
      <c r="P338" s="2">
        <v>155</v>
      </c>
      <c r="Q338" s="15" t="s">
        <v>96</v>
      </c>
      <c r="R338" s="2">
        <v>45</v>
      </c>
      <c r="S338" s="2">
        <v>45</v>
      </c>
    </row>
    <row r="339" spans="1:19" ht="14.1" customHeight="1" x14ac:dyDescent="0.2">
      <c r="A339" s="2" t="s">
        <v>724</v>
      </c>
      <c r="B339" s="2" t="s">
        <v>839</v>
      </c>
      <c r="C339" s="2" t="s">
        <v>9</v>
      </c>
      <c r="D339" s="2" t="s">
        <v>52</v>
      </c>
      <c r="E339" s="44" t="s">
        <v>867</v>
      </c>
      <c r="F339" s="2" t="s">
        <v>4</v>
      </c>
      <c r="G339" s="2" t="s">
        <v>4</v>
      </c>
      <c r="H339" s="15" t="s">
        <v>843</v>
      </c>
      <c r="I339" s="2">
        <v>200</v>
      </c>
      <c r="J339" s="2">
        <v>200</v>
      </c>
      <c r="K339" s="15" t="s">
        <v>844</v>
      </c>
      <c r="L339" s="47">
        <v>200</v>
      </c>
      <c r="M339" s="47">
        <v>200</v>
      </c>
      <c r="N339" s="15" t="s">
        <v>95</v>
      </c>
      <c r="O339" s="2">
        <v>195</v>
      </c>
      <c r="P339" s="2">
        <v>195</v>
      </c>
      <c r="Q339" s="15" t="s">
        <v>96</v>
      </c>
      <c r="R339" s="2">
        <v>75</v>
      </c>
      <c r="S339" s="2">
        <v>75</v>
      </c>
    </row>
    <row r="340" spans="1:19" ht="14.1" customHeight="1" x14ac:dyDescent="0.2">
      <c r="A340" s="2" t="s">
        <v>725</v>
      </c>
      <c r="B340" s="2" t="s">
        <v>839</v>
      </c>
      <c r="C340" s="2" t="s">
        <v>0</v>
      </c>
      <c r="D340" s="2" t="s">
        <v>9</v>
      </c>
      <c r="E340" s="44" t="s">
        <v>867</v>
      </c>
      <c r="F340" s="2" t="s">
        <v>1156</v>
      </c>
      <c r="G340" s="2" t="s">
        <v>1156</v>
      </c>
      <c r="H340" s="15"/>
      <c r="K340" s="15"/>
      <c r="L340" s="46"/>
      <c r="M340" s="46"/>
      <c r="N340" s="15"/>
      <c r="Q340" s="15"/>
    </row>
    <row r="341" spans="1:19" ht="14.1" customHeight="1" x14ac:dyDescent="0.2">
      <c r="A341" s="2" t="s">
        <v>726</v>
      </c>
      <c r="B341" s="2" t="s">
        <v>839</v>
      </c>
      <c r="C341" s="2" t="s">
        <v>0</v>
      </c>
      <c r="D341" s="2" t="s">
        <v>0</v>
      </c>
      <c r="E341" s="44" t="s">
        <v>867</v>
      </c>
      <c r="F341" s="2" t="s">
        <v>1156</v>
      </c>
      <c r="G341" s="2" t="s">
        <v>1156</v>
      </c>
      <c r="H341" s="15" t="s">
        <v>843</v>
      </c>
      <c r="I341" s="2">
        <v>9</v>
      </c>
      <c r="J341" s="2">
        <v>9</v>
      </c>
      <c r="K341" s="15"/>
      <c r="L341" s="46"/>
      <c r="M341" s="46"/>
      <c r="N341" s="15"/>
      <c r="Q341" s="15"/>
    </row>
    <row r="342" spans="1:19" ht="14.1" customHeight="1" x14ac:dyDescent="0.2">
      <c r="A342" s="2" t="s">
        <v>727</v>
      </c>
      <c r="B342" s="2" t="s">
        <v>839</v>
      </c>
      <c r="C342" s="2" t="s">
        <v>0</v>
      </c>
      <c r="D342" s="2" t="s">
        <v>34</v>
      </c>
      <c r="E342" s="44" t="s">
        <v>867</v>
      </c>
      <c r="F342" s="2" t="s">
        <v>1156</v>
      </c>
      <c r="G342" s="2" t="s">
        <v>1156</v>
      </c>
      <c r="H342" s="15" t="s">
        <v>843</v>
      </c>
      <c r="I342" s="2">
        <v>15</v>
      </c>
      <c r="J342" s="2">
        <v>15</v>
      </c>
      <c r="K342" s="15"/>
      <c r="L342" s="46"/>
      <c r="M342" s="46"/>
      <c r="N342" s="15"/>
      <c r="Q342" s="15"/>
    </row>
    <row r="343" spans="1:19" ht="14.1" customHeight="1" x14ac:dyDescent="0.2">
      <c r="A343" s="2" t="s">
        <v>728</v>
      </c>
      <c r="B343" s="2" t="s">
        <v>839</v>
      </c>
      <c r="C343" s="2" t="s">
        <v>0</v>
      </c>
      <c r="D343" s="2" t="s">
        <v>35</v>
      </c>
      <c r="E343" s="44" t="s">
        <v>867</v>
      </c>
      <c r="F343" s="2" t="s">
        <v>1156</v>
      </c>
      <c r="G343" s="2" t="s">
        <v>1156</v>
      </c>
      <c r="H343" s="15" t="s">
        <v>843</v>
      </c>
      <c r="I343" s="2">
        <v>23</v>
      </c>
      <c r="J343" s="2">
        <v>23</v>
      </c>
      <c r="K343" s="15"/>
      <c r="L343" s="46"/>
      <c r="M343" s="46"/>
      <c r="N343" s="15"/>
      <c r="Q343" s="15"/>
    </row>
    <row r="344" spans="1:19" ht="14.1" customHeight="1" x14ac:dyDescent="0.2">
      <c r="A344" s="2" t="s">
        <v>729</v>
      </c>
      <c r="B344" s="2" t="s">
        <v>839</v>
      </c>
      <c r="C344" s="2" t="s">
        <v>0</v>
      </c>
      <c r="D344" s="2" t="s">
        <v>36</v>
      </c>
      <c r="E344" s="44" t="s">
        <v>867</v>
      </c>
      <c r="F344" s="2" t="s">
        <v>1156</v>
      </c>
      <c r="G344" s="2" t="s">
        <v>1156</v>
      </c>
      <c r="H344" s="15" t="s">
        <v>843</v>
      </c>
      <c r="I344" s="2">
        <v>34</v>
      </c>
      <c r="J344" s="2">
        <v>34</v>
      </c>
      <c r="K344" s="15"/>
      <c r="L344" s="46"/>
      <c r="M344" s="46"/>
      <c r="N344" s="15"/>
      <c r="Q344" s="15"/>
    </row>
    <row r="345" spans="1:19" ht="14.1" customHeight="1" x14ac:dyDescent="0.2">
      <c r="A345" s="2" t="s">
        <v>730</v>
      </c>
      <c r="B345" s="2" t="s">
        <v>839</v>
      </c>
      <c r="C345" s="2" t="s">
        <v>0</v>
      </c>
      <c r="D345" s="2" t="s">
        <v>37</v>
      </c>
      <c r="E345" s="44" t="s">
        <v>867</v>
      </c>
      <c r="F345" s="2" t="s">
        <v>1156</v>
      </c>
      <c r="G345" s="2" t="s">
        <v>1156</v>
      </c>
      <c r="H345" s="15" t="s">
        <v>843</v>
      </c>
      <c r="I345" s="2">
        <v>47</v>
      </c>
      <c r="J345" s="2">
        <v>47</v>
      </c>
      <c r="K345" s="15"/>
      <c r="L345" s="46"/>
      <c r="M345" s="46"/>
      <c r="N345" s="15"/>
      <c r="Q345" s="15"/>
    </row>
    <row r="346" spans="1:19" ht="14.1" customHeight="1" x14ac:dyDescent="0.2">
      <c r="A346" s="2" t="s">
        <v>731</v>
      </c>
      <c r="B346" s="2" t="s">
        <v>839</v>
      </c>
      <c r="C346" s="2" t="s">
        <v>0</v>
      </c>
      <c r="D346" s="2" t="s">
        <v>38</v>
      </c>
      <c r="E346" s="44" t="s">
        <v>867</v>
      </c>
      <c r="F346" s="2" t="s">
        <v>1156</v>
      </c>
      <c r="G346" s="2" t="s">
        <v>1156</v>
      </c>
      <c r="H346" s="15" t="s">
        <v>843</v>
      </c>
      <c r="I346" s="2">
        <v>54</v>
      </c>
      <c r="J346" s="2">
        <v>54</v>
      </c>
      <c r="K346" s="15" t="s">
        <v>844</v>
      </c>
      <c r="L346" s="46">
        <v>4</v>
      </c>
      <c r="M346" s="46">
        <v>4</v>
      </c>
      <c r="N346" s="15"/>
      <c r="Q346" s="15"/>
    </row>
    <row r="347" spans="1:19" ht="14.1" customHeight="1" x14ac:dyDescent="0.2">
      <c r="A347" s="2" t="s">
        <v>732</v>
      </c>
      <c r="B347" s="2" t="s">
        <v>839</v>
      </c>
      <c r="C347" s="2" t="s">
        <v>0</v>
      </c>
      <c r="D347" s="2" t="s">
        <v>39</v>
      </c>
      <c r="E347" s="44" t="s">
        <v>867</v>
      </c>
      <c r="F347" s="2" t="s">
        <v>1156</v>
      </c>
      <c r="G347" s="2" t="s">
        <v>1156</v>
      </c>
      <c r="H347" s="15" t="s">
        <v>843</v>
      </c>
      <c r="I347" s="2">
        <v>62</v>
      </c>
      <c r="J347" s="2">
        <v>62</v>
      </c>
      <c r="K347" s="15" t="s">
        <v>844</v>
      </c>
      <c r="L347" s="46">
        <v>9</v>
      </c>
      <c r="M347" s="46">
        <v>9</v>
      </c>
      <c r="N347" s="15"/>
      <c r="Q347" s="15"/>
    </row>
    <row r="348" spans="1:19" ht="14.1" customHeight="1" x14ac:dyDescent="0.2">
      <c r="A348" s="2" t="s">
        <v>733</v>
      </c>
      <c r="B348" s="2" t="s">
        <v>839</v>
      </c>
      <c r="C348" s="2" t="s">
        <v>0</v>
      </c>
      <c r="D348" s="2" t="s">
        <v>40</v>
      </c>
      <c r="E348" s="44" t="s">
        <v>867</v>
      </c>
      <c r="F348" s="2" t="s">
        <v>1156</v>
      </c>
      <c r="G348" s="2" t="s">
        <v>1156</v>
      </c>
      <c r="H348" s="15" t="s">
        <v>843</v>
      </c>
      <c r="I348" s="2">
        <v>85</v>
      </c>
      <c r="J348" s="2">
        <v>85</v>
      </c>
      <c r="K348" s="15" t="s">
        <v>844</v>
      </c>
      <c r="L348" s="46">
        <v>12</v>
      </c>
      <c r="M348" s="46">
        <v>12</v>
      </c>
      <c r="N348" s="15"/>
      <c r="Q348" s="15"/>
    </row>
    <row r="349" spans="1:19" ht="14.1" customHeight="1" x14ac:dyDescent="0.2">
      <c r="A349" s="2" t="s">
        <v>734</v>
      </c>
      <c r="B349" s="2" t="s">
        <v>839</v>
      </c>
      <c r="C349" s="2" t="s">
        <v>0</v>
      </c>
      <c r="D349" s="2" t="s">
        <v>41</v>
      </c>
      <c r="E349" s="44" t="s">
        <v>867</v>
      </c>
      <c r="F349" s="2" t="s">
        <v>1156</v>
      </c>
      <c r="G349" s="2" t="s">
        <v>1156</v>
      </c>
      <c r="H349" s="15" t="s">
        <v>843</v>
      </c>
      <c r="I349" s="2">
        <v>115</v>
      </c>
      <c r="J349" s="2">
        <v>115</v>
      </c>
      <c r="K349" s="15" t="s">
        <v>844</v>
      </c>
      <c r="L349" s="46">
        <v>16</v>
      </c>
      <c r="M349" s="46">
        <v>16</v>
      </c>
      <c r="N349" s="15"/>
      <c r="Q349" s="15"/>
    </row>
    <row r="350" spans="1:19" ht="14.1" customHeight="1" x14ac:dyDescent="0.2">
      <c r="A350" s="2" t="s">
        <v>735</v>
      </c>
      <c r="B350" s="2" t="s">
        <v>839</v>
      </c>
      <c r="C350" s="2" t="s">
        <v>0</v>
      </c>
      <c r="D350" s="2" t="s">
        <v>42</v>
      </c>
      <c r="E350" s="44" t="s">
        <v>867</v>
      </c>
      <c r="F350" s="2" t="s">
        <v>1156</v>
      </c>
      <c r="G350" s="2" t="s">
        <v>1156</v>
      </c>
      <c r="H350" s="15" t="s">
        <v>843</v>
      </c>
      <c r="I350" s="2">
        <v>150</v>
      </c>
      <c r="J350" s="2">
        <v>150</v>
      </c>
      <c r="K350" s="15" t="s">
        <v>844</v>
      </c>
      <c r="L350" s="46">
        <v>22</v>
      </c>
      <c r="M350" s="46">
        <v>22</v>
      </c>
      <c r="N350" s="15"/>
      <c r="Q350" s="15"/>
    </row>
    <row r="351" spans="1:19" ht="14.1" customHeight="1" x14ac:dyDescent="0.2">
      <c r="A351" s="2" t="s">
        <v>736</v>
      </c>
      <c r="B351" s="2" t="s">
        <v>839</v>
      </c>
      <c r="C351" s="2" t="s">
        <v>0</v>
      </c>
      <c r="D351" s="2" t="s">
        <v>43</v>
      </c>
      <c r="E351" s="44" t="s">
        <v>867</v>
      </c>
      <c r="F351" s="2" t="s">
        <v>1156</v>
      </c>
      <c r="G351" s="2" t="s">
        <v>1156</v>
      </c>
      <c r="H351" s="15" t="s">
        <v>843</v>
      </c>
      <c r="I351" s="2">
        <v>150</v>
      </c>
      <c r="J351" s="2">
        <v>150</v>
      </c>
      <c r="K351" s="15" t="s">
        <v>844</v>
      </c>
      <c r="L351" s="46">
        <v>25</v>
      </c>
      <c r="M351" s="46">
        <v>25</v>
      </c>
      <c r="N351" s="15" t="s">
        <v>95</v>
      </c>
      <c r="O351" s="2">
        <v>11</v>
      </c>
      <c r="P351" s="2">
        <v>11</v>
      </c>
      <c r="Q351" s="15"/>
    </row>
    <row r="352" spans="1:19" ht="14.1" customHeight="1" x14ac:dyDescent="0.2">
      <c r="A352" s="2" t="s">
        <v>737</v>
      </c>
      <c r="B352" s="2" t="s">
        <v>839</v>
      </c>
      <c r="C352" s="2" t="s">
        <v>0</v>
      </c>
      <c r="D352" s="2" t="s">
        <v>44</v>
      </c>
      <c r="E352" s="44" t="s">
        <v>867</v>
      </c>
      <c r="F352" s="2" t="s">
        <v>1156</v>
      </c>
      <c r="G352" s="2" t="s">
        <v>1156</v>
      </c>
      <c r="H352" s="15" t="s">
        <v>843</v>
      </c>
      <c r="I352" s="2">
        <v>150</v>
      </c>
      <c r="J352" s="2">
        <v>150</v>
      </c>
      <c r="K352" s="15" t="s">
        <v>844</v>
      </c>
      <c r="L352" s="47">
        <v>41</v>
      </c>
      <c r="M352" s="47">
        <v>41</v>
      </c>
      <c r="N352" s="15" t="s">
        <v>95</v>
      </c>
      <c r="O352" s="2">
        <v>20</v>
      </c>
      <c r="P352" s="2">
        <v>20</v>
      </c>
      <c r="Q352" s="15"/>
    </row>
    <row r="353" spans="1:19" ht="14.1" customHeight="1" x14ac:dyDescent="0.2">
      <c r="A353" s="2" t="s">
        <v>738</v>
      </c>
      <c r="B353" s="2" t="s">
        <v>839</v>
      </c>
      <c r="C353" s="2" t="s">
        <v>0</v>
      </c>
      <c r="D353" s="2" t="s">
        <v>45</v>
      </c>
      <c r="E353" s="44" t="s">
        <v>867</v>
      </c>
      <c r="F353" s="2" t="s">
        <v>1156</v>
      </c>
      <c r="G353" s="2" t="s">
        <v>1156</v>
      </c>
      <c r="H353" s="15" t="s">
        <v>843</v>
      </c>
      <c r="I353" s="2">
        <v>150</v>
      </c>
      <c r="J353" s="2">
        <v>150</v>
      </c>
      <c r="K353" s="15" t="s">
        <v>844</v>
      </c>
      <c r="L353" s="47">
        <v>69</v>
      </c>
      <c r="M353" s="47">
        <v>69</v>
      </c>
      <c r="N353" s="15" t="s">
        <v>95</v>
      </c>
      <c r="O353" s="2">
        <v>35</v>
      </c>
      <c r="P353" s="2">
        <v>35</v>
      </c>
      <c r="Q353" s="15"/>
    </row>
    <row r="354" spans="1:19" ht="14.1" customHeight="1" x14ac:dyDescent="0.2">
      <c r="A354" s="2" t="s">
        <v>739</v>
      </c>
      <c r="B354" s="2" t="s">
        <v>839</v>
      </c>
      <c r="C354" s="2" t="s">
        <v>0</v>
      </c>
      <c r="D354" s="2" t="s">
        <v>46</v>
      </c>
      <c r="E354" s="44" t="s">
        <v>867</v>
      </c>
      <c r="F354" s="2" t="s">
        <v>1156</v>
      </c>
      <c r="G354" s="2" t="s">
        <v>1156</v>
      </c>
      <c r="H354" s="15" t="s">
        <v>843</v>
      </c>
      <c r="I354" s="2">
        <v>150</v>
      </c>
      <c r="J354" s="2">
        <v>150</v>
      </c>
      <c r="K354" s="15" t="s">
        <v>844</v>
      </c>
      <c r="L354" s="47">
        <v>80</v>
      </c>
      <c r="M354" s="47">
        <v>80</v>
      </c>
      <c r="N354" s="15" t="s">
        <v>95</v>
      </c>
      <c r="O354" s="2">
        <v>45</v>
      </c>
      <c r="P354" s="2">
        <v>45</v>
      </c>
      <c r="Q354" s="15"/>
    </row>
    <row r="355" spans="1:19" ht="14.1" customHeight="1" x14ac:dyDescent="0.2">
      <c r="A355" s="2" t="s">
        <v>740</v>
      </c>
      <c r="B355" s="2" t="s">
        <v>839</v>
      </c>
      <c r="C355" s="2" t="s">
        <v>0</v>
      </c>
      <c r="D355" s="2" t="s">
        <v>47</v>
      </c>
      <c r="E355" s="44" t="s">
        <v>867</v>
      </c>
      <c r="F355" s="2" t="s">
        <v>1156</v>
      </c>
      <c r="G355" s="2" t="s">
        <v>1156</v>
      </c>
      <c r="H355" s="15" t="s">
        <v>843</v>
      </c>
      <c r="I355" s="2">
        <v>150</v>
      </c>
      <c r="J355" s="2">
        <v>150</v>
      </c>
      <c r="K355" s="15" t="s">
        <v>844</v>
      </c>
      <c r="L355" s="47">
        <v>107</v>
      </c>
      <c r="M355" s="47">
        <v>107</v>
      </c>
      <c r="N355" s="15" t="s">
        <v>95</v>
      </c>
      <c r="O355" s="2">
        <v>70</v>
      </c>
      <c r="P355" s="2">
        <v>70</v>
      </c>
      <c r="Q355" s="15"/>
    </row>
    <row r="356" spans="1:19" ht="14.1" customHeight="1" x14ac:dyDescent="0.2">
      <c r="A356" s="2" t="s">
        <v>741</v>
      </c>
      <c r="B356" s="2" t="s">
        <v>839</v>
      </c>
      <c r="C356" s="2" t="s">
        <v>0</v>
      </c>
      <c r="D356" s="2" t="s">
        <v>48</v>
      </c>
      <c r="E356" s="44" t="s">
        <v>867</v>
      </c>
      <c r="F356" s="2" t="s">
        <v>1156</v>
      </c>
      <c r="G356" s="2" t="s">
        <v>1156</v>
      </c>
      <c r="H356" s="15" t="s">
        <v>843</v>
      </c>
      <c r="I356" s="2">
        <v>200</v>
      </c>
      <c r="J356" s="2">
        <v>200</v>
      </c>
      <c r="K356" s="15" t="s">
        <v>844</v>
      </c>
      <c r="L356" s="47">
        <v>120</v>
      </c>
      <c r="M356" s="47">
        <v>120</v>
      </c>
      <c r="N356" s="15" t="s">
        <v>95</v>
      </c>
      <c r="O356" s="2">
        <v>77</v>
      </c>
      <c r="P356" s="2">
        <v>77</v>
      </c>
      <c r="Q356" s="15" t="s">
        <v>96</v>
      </c>
      <c r="R356" s="2">
        <v>5</v>
      </c>
      <c r="S356" s="2">
        <v>5</v>
      </c>
    </row>
    <row r="357" spans="1:19" ht="14.1" customHeight="1" x14ac:dyDescent="0.2">
      <c r="A357" s="2" t="s">
        <v>742</v>
      </c>
      <c r="B357" s="2" t="s">
        <v>839</v>
      </c>
      <c r="C357" s="2" t="s">
        <v>0</v>
      </c>
      <c r="D357" s="2" t="s">
        <v>49</v>
      </c>
      <c r="E357" s="44" t="s">
        <v>867</v>
      </c>
      <c r="F357" s="2" t="s">
        <v>1156</v>
      </c>
      <c r="G357" s="2" t="s">
        <v>1156</v>
      </c>
      <c r="H357" s="15" t="s">
        <v>843</v>
      </c>
      <c r="I357" s="2">
        <v>200</v>
      </c>
      <c r="J357" s="2">
        <v>200</v>
      </c>
      <c r="K357" s="15" t="s">
        <v>844</v>
      </c>
      <c r="L357" s="47">
        <v>150</v>
      </c>
      <c r="M357" s="47">
        <v>150</v>
      </c>
      <c r="N357" s="15" t="s">
        <v>95</v>
      </c>
      <c r="O357" s="2">
        <v>95</v>
      </c>
      <c r="P357" s="2">
        <v>95</v>
      </c>
      <c r="Q357" s="15" t="s">
        <v>96</v>
      </c>
      <c r="R357" s="2">
        <v>15</v>
      </c>
      <c r="S357" s="2">
        <v>15</v>
      </c>
    </row>
    <row r="358" spans="1:19" ht="14.1" customHeight="1" x14ac:dyDescent="0.2">
      <c r="A358" s="2" t="s">
        <v>743</v>
      </c>
      <c r="B358" s="2" t="s">
        <v>839</v>
      </c>
      <c r="C358" s="2" t="s">
        <v>0</v>
      </c>
      <c r="D358" s="2" t="s">
        <v>50</v>
      </c>
      <c r="E358" s="44" t="s">
        <v>867</v>
      </c>
      <c r="F358" s="2" t="s">
        <v>1156</v>
      </c>
      <c r="G358" s="2" t="s">
        <v>1156</v>
      </c>
      <c r="H358" s="15" t="s">
        <v>843</v>
      </c>
      <c r="I358" s="2">
        <v>200</v>
      </c>
      <c r="J358" s="2">
        <v>200</v>
      </c>
      <c r="K358" s="15" t="s">
        <v>844</v>
      </c>
      <c r="L358" s="47">
        <v>200</v>
      </c>
      <c r="M358" s="47">
        <v>200</v>
      </c>
      <c r="N358" s="15" t="s">
        <v>95</v>
      </c>
      <c r="O358" s="2">
        <v>113</v>
      </c>
      <c r="P358" s="2">
        <v>113</v>
      </c>
      <c r="Q358" s="15" t="s">
        <v>96</v>
      </c>
      <c r="R358" s="2">
        <v>25</v>
      </c>
      <c r="S358" s="2">
        <v>25</v>
      </c>
    </row>
    <row r="359" spans="1:19" ht="14.1" customHeight="1" x14ac:dyDescent="0.2">
      <c r="A359" s="2" t="s">
        <v>744</v>
      </c>
      <c r="B359" s="2" t="s">
        <v>839</v>
      </c>
      <c r="C359" s="2" t="s">
        <v>0</v>
      </c>
      <c r="D359" s="2" t="s">
        <v>51</v>
      </c>
      <c r="E359" s="44" t="s">
        <v>867</v>
      </c>
      <c r="F359" s="2" t="s">
        <v>1156</v>
      </c>
      <c r="G359" s="2" t="s">
        <v>1156</v>
      </c>
      <c r="H359" s="15" t="s">
        <v>843</v>
      </c>
      <c r="I359" s="2">
        <v>200</v>
      </c>
      <c r="J359" s="2">
        <v>200</v>
      </c>
      <c r="K359" s="15" t="s">
        <v>844</v>
      </c>
      <c r="L359" s="47">
        <v>200</v>
      </c>
      <c r="M359" s="47">
        <v>200</v>
      </c>
      <c r="N359" s="15" t="s">
        <v>95</v>
      </c>
      <c r="O359" s="2">
        <v>155</v>
      </c>
      <c r="P359" s="2">
        <v>155</v>
      </c>
      <c r="Q359" s="15" t="s">
        <v>96</v>
      </c>
      <c r="R359" s="2">
        <v>45</v>
      </c>
      <c r="S359" s="2">
        <v>45</v>
      </c>
    </row>
    <row r="360" spans="1:19" ht="14.1" customHeight="1" x14ac:dyDescent="0.2">
      <c r="A360" s="2" t="s">
        <v>745</v>
      </c>
      <c r="B360" s="2" t="s">
        <v>839</v>
      </c>
      <c r="C360" s="2" t="s">
        <v>0</v>
      </c>
      <c r="D360" s="2" t="s">
        <v>52</v>
      </c>
      <c r="E360" s="44" t="s">
        <v>867</v>
      </c>
      <c r="F360" s="2" t="s">
        <v>1156</v>
      </c>
      <c r="G360" s="2" t="s">
        <v>1156</v>
      </c>
      <c r="H360" s="15" t="s">
        <v>843</v>
      </c>
      <c r="I360" s="2">
        <v>200</v>
      </c>
      <c r="J360" s="2">
        <v>200</v>
      </c>
      <c r="K360" s="15" t="s">
        <v>844</v>
      </c>
      <c r="L360" s="47">
        <v>200</v>
      </c>
      <c r="M360" s="47">
        <v>200</v>
      </c>
      <c r="N360" s="15" t="s">
        <v>95</v>
      </c>
      <c r="O360" s="2">
        <v>195</v>
      </c>
      <c r="P360" s="2">
        <v>195</v>
      </c>
      <c r="Q360" s="15" t="s">
        <v>96</v>
      </c>
      <c r="R360" s="2">
        <v>75</v>
      </c>
      <c r="S360" s="2">
        <v>75</v>
      </c>
    </row>
    <row r="361" spans="1:19" ht="14.1" customHeight="1" x14ac:dyDescent="0.2">
      <c r="A361" s="2" t="s">
        <v>746</v>
      </c>
      <c r="B361" s="2" t="s">
        <v>839</v>
      </c>
      <c r="C361" s="2">
        <v>2</v>
      </c>
      <c r="D361" s="2" t="s">
        <v>9</v>
      </c>
      <c r="E361" s="44" t="s">
        <v>867</v>
      </c>
      <c r="F361" s="2" t="s">
        <v>1157</v>
      </c>
      <c r="G361" s="2" t="s">
        <v>1157</v>
      </c>
      <c r="H361" s="15"/>
      <c r="K361" s="15"/>
      <c r="L361" s="46"/>
      <c r="M361" s="46"/>
      <c r="N361" s="15"/>
      <c r="Q361" s="15"/>
    </row>
    <row r="362" spans="1:19" ht="14.1" customHeight="1" x14ac:dyDescent="0.2">
      <c r="A362" s="2" t="s">
        <v>747</v>
      </c>
      <c r="B362" s="2" t="s">
        <v>839</v>
      </c>
      <c r="C362" s="2">
        <v>2</v>
      </c>
      <c r="D362" s="2" t="s">
        <v>0</v>
      </c>
      <c r="E362" s="44" t="s">
        <v>867</v>
      </c>
      <c r="F362" s="2" t="s">
        <v>1157</v>
      </c>
      <c r="G362" s="2" t="s">
        <v>1157</v>
      </c>
      <c r="H362" s="15" t="s">
        <v>843</v>
      </c>
      <c r="I362" s="2">
        <v>9</v>
      </c>
      <c r="J362" s="2">
        <v>9</v>
      </c>
      <c r="K362" s="15"/>
      <c r="L362" s="46"/>
      <c r="M362" s="46"/>
      <c r="N362" s="15"/>
      <c r="Q362" s="15"/>
    </row>
    <row r="363" spans="1:19" ht="14.1" customHeight="1" x14ac:dyDescent="0.2">
      <c r="A363" s="2" t="s">
        <v>748</v>
      </c>
      <c r="B363" s="2" t="s">
        <v>839</v>
      </c>
      <c r="C363" s="2">
        <v>2</v>
      </c>
      <c r="D363" s="2" t="s">
        <v>34</v>
      </c>
      <c r="E363" s="44" t="s">
        <v>867</v>
      </c>
      <c r="F363" s="2" t="s">
        <v>1157</v>
      </c>
      <c r="G363" s="2" t="s">
        <v>1157</v>
      </c>
      <c r="H363" s="15" t="s">
        <v>843</v>
      </c>
      <c r="I363" s="2">
        <v>15</v>
      </c>
      <c r="J363" s="2">
        <v>15</v>
      </c>
      <c r="K363" s="15"/>
      <c r="L363" s="46"/>
      <c r="M363" s="46"/>
      <c r="N363" s="15"/>
      <c r="Q363" s="15"/>
    </row>
    <row r="364" spans="1:19" ht="14.1" customHeight="1" x14ac:dyDescent="0.2">
      <c r="A364" s="2" t="s">
        <v>749</v>
      </c>
      <c r="B364" s="2" t="s">
        <v>839</v>
      </c>
      <c r="C364" s="2">
        <v>2</v>
      </c>
      <c r="D364" s="2" t="s">
        <v>35</v>
      </c>
      <c r="E364" s="44" t="s">
        <v>867</v>
      </c>
      <c r="F364" s="2" t="s">
        <v>1157</v>
      </c>
      <c r="G364" s="2" t="s">
        <v>1157</v>
      </c>
      <c r="H364" s="15" t="s">
        <v>843</v>
      </c>
      <c r="I364" s="2">
        <v>23</v>
      </c>
      <c r="J364" s="2">
        <v>23</v>
      </c>
      <c r="K364" s="15"/>
      <c r="L364" s="46"/>
      <c r="M364" s="46"/>
      <c r="N364" s="15"/>
      <c r="Q364" s="15"/>
    </row>
    <row r="365" spans="1:19" ht="14.1" customHeight="1" x14ac:dyDescent="0.2">
      <c r="A365" s="2" t="s">
        <v>750</v>
      </c>
      <c r="B365" s="2" t="s">
        <v>839</v>
      </c>
      <c r="C365" s="2">
        <v>2</v>
      </c>
      <c r="D365" s="2" t="s">
        <v>36</v>
      </c>
      <c r="E365" s="44" t="s">
        <v>867</v>
      </c>
      <c r="F365" s="2" t="s">
        <v>1157</v>
      </c>
      <c r="G365" s="2" t="s">
        <v>1157</v>
      </c>
      <c r="H365" s="15" t="s">
        <v>843</v>
      </c>
      <c r="I365" s="2">
        <v>34</v>
      </c>
      <c r="J365" s="2">
        <v>34</v>
      </c>
      <c r="K365" s="15"/>
      <c r="L365" s="46"/>
      <c r="M365" s="46"/>
      <c r="N365" s="15"/>
      <c r="Q365" s="15"/>
    </row>
    <row r="366" spans="1:19" ht="14.1" customHeight="1" x14ac:dyDescent="0.2">
      <c r="A366" s="2" t="s">
        <v>751</v>
      </c>
      <c r="B366" s="2" t="s">
        <v>839</v>
      </c>
      <c r="C366" s="2">
        <v>2</v>
      </c>
      <c r="D366" s="2" t="s">
        <v>37</v>
      </c>
      <c r="E366" s="44" t="s">
        <v>867</v>
      </c>
      <c r="F366" s="2" t="s">
        <v>1157</v>
      </c>
      <c r="G366" s="2" t="s">
        <v>1157</v>
      </c>
      <c r="H366" s="15" t="s">
        <v>843</v>
      </c>
      <c r="I366" s="2">
        <v>47</v>
      </c>
      <c r="J366" s="2">
        <v>47</v>
      </c>
      <c r="K366" s="15"/>
      <c r="L366" s="46"/>
      <c r="M366" s="46"/>
      <c r="N366" s="15"/>
      <c r="Q366" s="15"/>
    </row>
    <row r="367" spans="1:19" ht="14.1" customHeight="1" x14ac:dyDescent="0.2">
      <c r="A367" s="2" t="s">
        <v>752</v>
      </c>
      <c r="B367" s="2" t="s">
        <v>839</v>
      </c>
      <c r="C367" s="2">
        <v>2</v>
      </c>
      <c r="D367" s="2" t="s">
        <v>38</v>
      </c>
      <c r="E367" s="44" t="s">
        <v>867</v>
      </c>
      <c r="F367" s="2" t="s">
        <v>1157</v>
      </c>
      <c r="G367" s="2" t="s">
        <v>1157</v>
      </c>
      <c r="H367" s="15" t="s">
        <v>843</v>
      </c>
      <c r="I367" s="2">
        <v>54</v>
      </c>
      <c r="J367" s="2">
        <v>54</v>
      </c>
      <c r="K367" s="15" t="s">
        <v>844</v>
      </c>
      <c r="L367" s="46">
        <v>4</v>
      </c>
      <c r="M367" s="46">
        <v>4</v>
      </c>
      <c r="N367" s="15"/>
      <c r="Q367" s="15"/>
    </row>
    <row r="368" spans="1:19" ht="14.1" customHeight="1" x14ac:dyDescent="0.2">
      <c r="A368" s="2" t="s">
        <v>753</v>
      </c>
      <c r="B368" s="2" t="s">
        <v>839</v>
      </c>
      <c r="C368" s="2">
        <v>2</v>
      </c>
      <c r="D368" s="2" t="s">
        <v>39</v>
      </c>
      <c r="E368" s="44" t="s">
        <v>867</v>
      </c>
      <c r="F368" s="2" t="s">
        <v>1157</v>
      </c>
      <c r="G368" s="2" t="s">
        <v>1157</v>
      </c>
      <c r="H368" s="15" t="s">
        <v>843</v>
      </c>
      <c r="I368" s="2">
        <v>62</v>
      </c>
      <c r="J368" s="2">
        <v>62</v>
      </c>
      <c r="K368" s="15" t="s">
        <v>844</v>
      </c>
      <c r="L368" s="46">
        <v>9</v>
      </c>
      <c r="M368" s="46">
        <v>9</v>
      </c>
      <c r="N368" s="15"/>
      <c r="Q368" s="15"/>
    </row>
    <row r="369" spans="1:19" ht="14.1" customHeight="1" x14ac:dyDescent="0.2">
      <c r="A369" s="2" t="s">
        <v>754</v>
      </c>
      <c r="B369" s="2" t="s">
        <v>839</v>
      </c>
      <c r="C369" s="2">
        <v>2</v>
      </c>
      <c r="D369" s="2" t="s">
        <v>40</v>
      </c>
      <c r="E369" s="44" t="s">
        <v>867</v>
      </c>
      <c r="F369" s="2" t="s">
        <v>1157</v>
      </c>
      <c r="G369" s="2" t="s">
        <v>1157</v>
      </c>
      <c r="H369" s="15" t="s">
        <v>843</v>
      </c>
      <c r="I369" s="2">
        <v>85</v>
      </c>
      <c r="J369" s="2">
        <v>85</v>
      </c>
      <c r="K369" s="15" t="s">
        <v>844</v>
      </c>
      <c r="L369" s="46">
        <v>12</v>
      </c>
      <c r="M369" s="46">
        <v>12</v>
      </c>
      <c r="N369" s="15"/>
      <c r="Q369" s="15"/>
    </row>
    <row r="370" spans="1:19" ht="14.1" customHeight="1" x14ac:dyDescent="0.2">
      <c r="A370" s="2" t="s">
        <v>755</v>
      </c>
      <c r="B370" s="2" t="s">
        <v>839</v>
      </c>
      <c r="C370" s="2">
        <v>2</v>
      </c>
      <c r="D370" s="2" t="s">
        <v>41</v>
      </c>
      <c r="E370" s="44" t="s">
        <v>867</v>
      </c>
      <c r="F370" s="2" t="s">
        <v>1157</v>
      </c>
      <c r="G370" s="2" t="s">
        <v>1157</v>
      </c>
      <c r="H370" s="15" t="s">
        <v>843</v>
      </c>
      <c r="I370" s="2">
        <v>115</v>
      </c>
      <c r="J370" s="2">
        <v>115</v>
      </c>
      <c r="K370" s="15" t="s">
        <v>844</v>
      </c>
      <c r="L370" s="46">
        <v>16</v>
      </c>
      <c r="M370" s="46">
        <v>16</v>
      </c>
      <c r="N370" s="15"/>
      <c r="Q370" s="15"/>
    </row>
    <row r="371" spans="1:19" ht="14.1" customHeight="1" x14ac:dyDescent="0.2">
      <c r="A371" s="2" t="s">
        <v>756</v>
      </c>
      <c r="B371" s="2" t="s">
        <v>839</v>
      </c>
      <c r="C371" s="2">
        <v>2</v>
      </c>
      <c r="D371" s="2" t="s">
        <v>42</v>
      </c>
      <c r="E371" s="44" t="s">
        <v>867</v>
      </c>
      <c r="F371" s="2" t="s">
        <v>1157</v>
      </c>
      <c r="G371" s="2" t="s">
        <v>1157</v>
      </c>
      <c r="H371" s="15" t="s">
        <v>843</v>
      </c>
      <c r="I371" s="2">
        <v>150</v>
      </c>
      <c r="J371" s="2">
        <v>150</v>
      </c>
      <c r="K371" s="15" t="s">
        <v>844</v>
      </c>
      <c r="L371" s="46">
        <v>22</v>
      </c>
      <c r="M371" s="46">
        <v>22</v>
      </c>
      <c r="N371" s="15"/>
      <c r="Q371" s="15"/>
    </row>
    <row r="372" spans="1:19" ht="14.1" customHeight="1" x14ac:dyDescent="0.2">
      <c r="A372" s="2" t="s">
        <v>757</v>
      </c>
      <c r="B372" s="2" t="s">
        <v>839</v>
      </c>
      <c r="C372" s="2">
        <v>2</v>
      </c>
      <c r="D372" s="2" t="s">
        <v>43</v>
      </c>
      <c r="E372" s="44" t="s">
        <v>867</v>
      </c>
      <c r="F372" s="2" t="s">
        <v>1157</v>
      </c>
      <c r="G372" s="2" t="s">
        <v>1157</v>
      </c>
      <c r="H372" s="15" t="s">
        <v>843</v>
      </c>
      <c r="I372" s="2">
        <v>150</v>
      </c>
      <c r="J372" s="2">
        <v>150</v>
      </c>
      <c r="K372" s="15" t="s">
        <v>844</v>
      </c>
      <c r="L372" s="46">
        <v>25</v>
      </c>
      <c r="M372" s="46">
        <v>25</v>
      </c>
      <c r="N372" s="15" t="s">
        <v>95</v>
      </c>
      <c r="O372" s="2">
        <v>11</v>
      </c>
      <c r="P372" s="2">
        <v>11</v>
      </c>
      <c r="Q372" s="15"/>
    </row>
    <row r="373" spans="1:19" ht="14.1" customHeight="1" x14ac:dyDescent="0.2">
      <c r="A373" s="2" t="s">
        <v>758</v>
      </c>
      <c r="B373" s="2" t="s">
        <v>839</v>
      </c>
      <c r="C373" s="2">
        <v>2</v>
      </c>
      <c r="D373" s="2" t="s">
        <v>44</v>
      </c>
      <c r="E373" s="44" t="s">
        <v>867</v>
      </c>
      <c r="F373" s="2" t="s">
        <v>1157</v>
      </c>
      <c r="G373" s="2" t="s">
        <v>1157</v>
      </c>
      <c r="H373" s="15" t="s">
        <v>843</v>
      </c>
      <c r="I373" s="2">
        <v>150</v>
      </c>
      <c r="J373" s="2">
        <v>150</v>
      </c>
      <c r="K373" s="15" t="s">
        <v>844</v>
      </c>
      <c r="L373" s="47">
        <v>41</v>
      </c>
      <c r="M373" s="47">
        <v>41</v>
      </c>
      <c r="N373" s="15" t="s">
        <v>95</v>
      </c>
      <c r="O373" s="2">
        <v>20</v>
      </c>
      <c r="P373" s="2">
        <v>20</v>
      </c>
      <c r="Q373" s="15"/>
    </row>
    <row r="374" spans="1:19" ht="14.1" customHeight="1" x14ac:dyDescent="0.2">
      <c r="A374" s="2" t="s">
        <v>759</v>
      </c>
      <c r="B374" s="2" t="s">
        <v>839</v>
      </c>
      <c r="C374" s="2">
        <v>2</v>
      </c>
      <c r="D374" s="2" t="s">
        <v>45</v>
      </c>
      <c r="E374" s="44" t="s">
        <v>867</v>
      </c>
      <c r="F374" s="2" t="s">
        <v>1157</v>
      </c>
      <c r="G374" s="2" t="s">
        <v>1157</v>
      </c>
      <c r="H374" s="15" t="s">
        <v>843</v>
      </c>
      <c r="I374" s="2">
        <v>150</v>
      </c>
      <c r="J374" s="2">
        <v>150</v>
      </c>
      <c r="K374" s="15" t="s">
        <v>844</v>
      </c>
      <c r="L374" s="47">
        <v>69</v>
      </c>
      <c r="M374" s="47">
        <v>69</v>
      </c>
      <c r="N374" s="15" t="s">
        <v>95</v>
      </c>
      <c r="O374" s="2">
        <v>35</v>
      </c>
      <c r="P374" s="2">
        <v>35</v>
      </c>
      <c r="Q374" s="15"/>
    </row>
    <row r="375" spans="1:19" ht="14.1" customHeight="1" x14ac:dyDescent="0.2">
      <c r="A375" s="2" t="s">
        <v>760</v>
      </c>
      <c r="B375" s="2" t="s">
        <v>839</v>
      </c>
      <c r="C375" s="2">
        <v>2</v>
      </c>
      <c r="D375" s="2" t="s">
        <v>46</v>
      </c>
      <c r="E375" s="44" t="s">
        <v>867</v>
      </c>
      <c r="F375" s="2" t="s">
        <v>1157</v>
      </c>
      <c r="G375" s="2" t="s">
        <v>1157</v>
      </c>
      <c r="H375" s="15" t="s">
        <v>843</v>
      </c>
      <c r="I375" s="2">
        <v>150</v>
      </c>
      <c r="J375" s="2">
        <v>150</v>
      </c>
      <c r="K375" s="15" t="s">
        <v>844</v>
      </c>
      <c r="L375" s="47">
        <v>80</v>
      </c>
      <c r="M375" s="47">
        <v>80</v>
      </c>
      <c r="N375" s="15" t="s">
        <v>95</v>
      </c>
      <c r="O375" s="2">
        <v>45</v>
      </c>
      <c r="P375" s="2">
        <v>45</v>
      </c>
      <c r="Q375" s="15"/>
    </row>
    <row r="376" spans="1:19" ht="14.1" customHeight="1" x14ac:dyDescent="0.2">
      <c r="A376" s="2" t="s">
        <v>761</v>
      </c>
      <c r="B376" s="2" t="s">
        <v>839</v>
      </c>
      <c r="C376" s="2">
        <v>2</v>
      </c>
      <c r="D376" s="2" t="s">
        <v>47</v>
      </c>
      <c r="E376" s="44" t="s">
        <v>867</v>
      </c>
      <c r="F376" s="2" t="s">
        <v>1157</v>
      </c>
      <c r="G376" s="2" t="s">
        <v>1157</v>
      </c>
      <c r="H376" s="15" t="s">
        <v>843</v>
      </c>
      <c r="I376" s="2">
        <v>150</v>
      </c>
      <c r="J376" s="2">
        <v>150</v>
      </c>
      <c r="K376" s="15" t="s">
        <v>844</v>
      </c>
      <c r="L376" s="47">
        <v>107</v>
      </c>
      <c r="M376" s="47">
        <v>107</v>
      </c>
      <c r="N376" s="15" t="s">
        <v>95</v>
      </c>
      <c r="O376" s="2">
        <v>70</v>
      </c>
      <c r="P376" s="2">
        <v>70</v>
      </c>
      <c r="Q376" s="15"/>
    </row>
    <row r="377" spans="1:19" ht="14.1" customHeight="1" x14ac:dyDescent="0.2">
      <c r="A377" s="2" t="s">
        <v>762</v>
      </c>
      <c r="B377" s="2" t="s">
        <v>839</v>
      </c>
      <c r="C377" s="2">
        <v>2</v>
      </c>
      <c r="D377" s="2" t="s">
        <v>48</v>
      </c>
      <c r="E377" s="44" t="s">
        <v>867</v>
      </c>
      <c r="F377" s="2" t="s">
        <v>1157</v>
      </c>
      <c r="G377" s="2" t="s">
        <v>1157</v>
      </c>
      <c r="H377" s="15" t="s">
        <v>843</v>
      </c>
      <c r="I377" s="2">
        <v>200</v>
      </c>
      <c r="J377" s="2">
        <v>200</v>
      </c>
      <c r="K377" s="15" t="s">
        <v>844</v>
      </c>
      <c r="L377" s="47">
        <v>120</v>
      </c>
      <c r="M377" s="47">
        <v>120</v>
      </c>
      <c r="N377" s="15" t="s">
        <v>95</v>
      </c>
      <c r="O377" s="2">
        <v>77</v>
      </c>
      <c r="P377" s="2">
        <v>77</v>
      </c>
      <c r="Q377" s="15" t="s">
        <v>96</v>
      </c>
      <c r="R377" s="2">
        <v>5</v>
      </c>
      <c r="S377" s="2">
        <v>5</v>
      </c>
    </row>
    <row r="378" spans="1:19" ht="14.1" customHeight="1" x14ac:dyDescent="0.2">
      <c r="A378" s="2" t="s">
        <v>763</v>
      </c>
      <c r="B378" s="2" t="s">
        <v>839</v>
      </c>
      <c r="C378" s="2">
        <v>2</v>
      </c>
      <c r="D378" s="2" t="s">
        <v>49</v>
      </c>
      <c r="E378" s="44" t="s">
        <v>867</v>
      </c>
      <c r="F378" s="2" t="s">
        <v>1157</v>
      </c>
      <c r="G378" s="2" t="s">
        <v>1157</v>
      </c>
      <c r="H378" s="15" t="s">
        <v>843</v>
      </c>
      <c r="I378" s="2">
        <v>200</v>
      </c>
      <c r="J378" s="2">
        <v>200</v>
      </c>
      <c r="K378" s="15" t="s">
        <v>844</v>
      </c>
      <c r="L378" s="47">
        <v>150</v>
      </c>
      <c r="M378" s="47">
        <v>150</v>
      </c>
      <c r="N378" s="15" t="s">
        <v>95</v>
      </c>
      <c r="O378" s="2">
        <v>95</v>
      </c>
      <c r="P378" s="2">
        <v>95</v>
      </c>
      <c r="Q378" s="15" t="s">
        <v>96</v>
      </c>
      <c r="R378" s="2">
        <v>15</v>
      </c>
      <c r="S378" s="2">
        <v>15</v>
      </c>
    </row>
    <row r="379" spans="1:19" ht="14.1" customHeight="1" x14ac:dyDescent="0.2">
      <c r="A379" s="2" t="s">
        <v>764</v>
      </c>
      <c r="B379" s="2" t="s">
        <v>839</v>
      </c>
      <c r="C379" s="2">
        <v>2</v>
      </c>
      <c r="D379" s="2" t="s">
        <v>50</v>
      </c>
      <c r="E379" s="44" t="s">
        <v>867</v>
      </c>
      <c r="F379" s="2" t="s">
        <v>1157</v>
      </c>
      <c r="G379" s="2" t="s">
        <v>1157</v>
      </c>
      <c r="H379" s="15" t="s">
        <v>843</v>
      </c>
      <c r="I379" s="2">
        <v>200</v>
      </c>
      <c r="J379" s="2">
        <v>200</v>
      </c>
      <c r="K379" s="15" t="s">
        <v>844</v>
      </c>
      <c r="L379" s="47">
        <v>200</v>
      </c>
      <c r="M379" s="47">
        <v>200</v>
      </c>
      <c r="N379" s="15" t="s">
        <v>95</v>
      </c>
      <c r="O379" s="2">
        <v>113</v>
      </c>
      <c r="P379" s="2">
        <v>113</v>
      </c>
      <c r="Q379" s="15" t="s">
        <v>96</v>
      </c>
      <c r="R379" s="2">
        <v>25</v>
      </c>
      <c r="S379" s="2">
        <v>25</v>
      </c>
    </row>
    <row r="380" spans="1:19" ht="14.1" customHeight="1" x14ac:dyDescent="0.2">
      <c r="A380" s="2" t="s">
        <v>765</v>
      </c>
      <c r="B380" s="2" t="s">
        <v>839</v>
      </c>
      <c r="C380" s="2">
        <v>2</v>
      </c>
      <c r="D380" s="2" t="s">
        <v>51</v>
      </c>
      <c r="E380" s="44" t="s">
        <v>867</v>
      </c>
      <c r="F380" s="2" t="s">
        <v>1157</v>
      </c>
      <c r="G380" s="2" t="s">
        <v>1157</v>
      </c>
      <c r="H380" s="15" t="s">
        <v>843</v>
      </c>
      <c r="I380" s="2">
        <v>200</v>
      </c>
      <c r="J380" s="2">
        <v>200</v>
      </c>
      <c r="K380" s="15" t="s">
        <v>844</v>
      </c>
      <c r="L380" s="47">
        <v>200</v>
      </c>
      <c r="M380" s="47">
        <v>200</v>
      </c>
      <c r="N380" s="15" t="s">
        <v>95</v>
      </c>
      <c r="O380" s="2">
        <v>155</v>
      </c>
      <c r="P380" s="2">
        <v>155</v>
      </c>
      <c r="Q380" s="15" t="s">
        <v>96</v>
      </c>
      <c r="R380" s="2">
        <v>45</v>
      </c>
      <c r="S380" s="2">
        <v>45</v>
      </c>
    </row>
    <row r="381" spans="1:19" ht="14.1" customHeight="1" x14ac:dyDescent="0.2">
      <c r="A381" s="2" t="s">
        <v>766</v>
      </c>
      <c r="B381" s="2" t="s">
        <v>839</v>
      </c>
      <c r="C381" s="2">
        <v>2</v>
      </c>
      <c r="D381" s="2" t="s">
        <v>52</v>
      </c>
      <c r="E381" s="44" t="s">
        <v>867</v>
      </c>
      <c r="F381" s="2" t="s">
        <v>1157</v>
      </c>
      <c r="G381" s="2" t="s">
        <v>1157</v>
      </c>
      <c r="H381" s="15" t="s">
        <v>843</v>
      </c>
      <c r="I381" s="2">
        <v>200</v>
      </c>
      <c r="J381" s="2">
        <v>200</v>
      </c>
      <c r="K381" s="15" t="s">
        <v>844</v>
      </c>
      <c r="L381" s="47">
        <v>200</v>
      </c>
      <c r="M381" s="47">
        <v>200</v>
      </c>
      <c r="N381" s="15" t="s">
        <v>95</v>
      </c>
      <c r="O381" s="2">
        <v>195</v>
      </c>
      <c r="P381" s="2">
        <v>195</v>
      </c>
      <c r="Q381" s="15" t="s">
        <v>96</v>
      </c>
      <c r="R381" s="2">
        <v>75</v>
      </c>
      <c r="S381" s="2">
        <v>75</v>
      </c>
    </row>
    <row r="382" spans="1:19" ht="14.1" customHeight="1" x14ac:dyDescent="0.2">
      <c r="A382" s="2" t="s">
        <v>767</v>
      </c>
      <c r="B382" s="2" t="s">
        <v>89</v>
      </c>
      <c r="C382" s="2" t="s">
        <v>9</v>
      </c>
      <c r="D382" s="2" t="s">
        <v>9</v>
      </c>
      <c r="E382" s="44" t="s">
        <v>868</v>
      </c>
      <c r="F382" s="2" t="s">
        <v>4</v>
      </c>
      <c r="G382" s="2" t="s">
        <v>4</v>
      </c>
      <c r="H382" s="15"/>
      <c r="K382" s="15"/>
      <c r="L382" s="46"/>
      <c r="M382" s="46"/>
      <c r="N382" s="15"/>
      <c r="Q382" s="15"/>
    </row>
    <row r="383" spans="1:19" ht="14.1" customHeight="1" x14ac:dyDescent="0.2">
      <c r="A383" s="2" t="s">
        <v>768</v>
      </c>
      <c r="B383" s="2" t="s">
        <v>89</v>
      </c>
      <c r="C383" s="2" t="s">
        <v>9</v>
      </c>
      <c r="D383" s="2" t="s">
        <v>0</v>
      </c>
      <c r="E383" s="44" t="s">
        <v>868</v>
      </c>
      <c r="F383" s="2" t="s">
        <v>4</v>
      </c>
      <c r="G383" s="2" t="s">
        <v>4</v>
      </c>
      <c r="H383" s="15" t="s">
        <v>843</v>
      </c>
      <c r="I383" s="2">
        <v>9</v>
      </c>
      <c r="J383" s="2">
        <v>9</v>
      </c>
      <c r="K383" s="15"/>
      <c r="L383" s="46"/>
      <c r="M383" s="46"/>
      <c r="N383" s="15"/>
      <c r="Q383" s="15"/>
    </row>
    <row r="384" spans="1:19" ht="14.1" customHeight="1" x14ac:dyDescent="0.2">
      <c r="A384" s="2" t="s">
        <v>769</v>
      </c>
      <c r="B384" s="2" t="s">
        <v>89</v>
      </c>
      <c r="C384" s="2" t="s">
        <v>9</v>
      </c>
      <c r="D384" s="2" t="s">
        <v>34</v>
      </c>
      <c r="E384" s="44" t="s">
        <v>868</v>
      </c>
      <c r="F384" s="2" t="s">
        <v>4</v>
      </c>
      <c r="G384" s="2" t="s">
        <v>4</v>
      </c>
      <c r="H384" s="15" t="s">
        <v>843</v>
      </c>
      <c r="I384" s="2">
        <v>15</v>
      </c>
      <c r="J384" s="2">
        <v>15</v>
      </c>
      <c r="K384" s="15"/>
      <c r="L384" s="46"/>
      <c r="M384" s="46"/>
      <c r="N384" s="15"/>
      <c r="Q384" s="15"/>
    </row>
    <row r="385" spans="1:19" ht="14.1" customHeight="1" x14ac:dyDescent="0.2">
      <c r="A385" s="2" t="s">
        <v>770</v>
      </c>
      <c r="B385" s="2" t="s">
        <v>89</v>
      </c>
      <c r="C385" s="2" t="s">
        <v>9</v>
      </c>
      <c r="D385" s="2" t="s">
        <v>35</v>
      </c>
      <c r="E385" s="44" t="s">
        <v>868</v>
      </c>
      <c r="F385" s="2" t="s">
        <v>4</v>
      </c>
      <c r="G385" s="2" t="s">
        <v>4</v>
      </c>
      <c r="H385" s="15" t="s">
        <v>843</v>
      </c>
      <c r="I385" s="2">
        <v>23</v>
      </c>
      <c r="J385" s="2">
        <v>23</v>
      </c>
      <c r="K385" s="15"/>
      <c r="L385" s="46"/>
      <c r="M385" s="46"/>
      <c r="N385" s="15"/>
      <c r="Q385" s="15"/>
    </row>
    <row r="386" spans="1:19" ht="14.1" customHeight="1" x14ac:dyDescent="0.2">
      <c r="A386" s="2" t="s">
        <v>771</v>
      </c>
      <c r="B386" s="2" t="s">
        <v>89</v>
      </c>
      <c r="C386" s="2" t="s">
        <v>9</v>
      </c>
      <c r="D386" s="2" t="s">
        <v>36</v>
      </c>
      <c r="E386" s="44" t="s">
        <v>868</v>
      </c>
      <c r="F386" s="2" t="s">
        <v>4</v>
      </c>
      <c r="G386" s="2" t="s">
        <v>4</v>
      </c>
      <c r="H386" s="15" t="s">
        <v>843</v>
      </c>
      <c r="I386" s="2">
        <v>34</v>
      </c>
      <c r="J386" s="2">
        <v>34</v>
      </c>
      <c r="K386" s="15"/>
      <c r="L386" s="46"/>
      <c r="M386" s="46"/>
      <c r="N386" s="15"/>
      <c r="Q386" s="15"/>
    </row>
    <row r="387" spans="1:19" ht="14.1" customHeight="1" x14ac:dyDescent="0.2">
      <c r="A387" s="2" t="s">
        <v>772</v>
      </c>
      <c r="B387" s="2" t="s">
        <v>89</v>
      </c>
      <c r="C387" s="2" t="s">
        <v>9</v>
      </c>
      <c r="D387" s="2" t="s">
        <v>37</v>
      </c>
      <c r="E387" s="44" t="s">
        <v>868</v>
      </c>
      <c r="F387" s="2" t="s">
        <v>4</v>
      </c>
      <c r="G387" s="2" t="s">
        <v>4</v>
      </c>
      <c r="H387" s="15" t="s">
        <v>843</v>
      </c>
      <c r="I387" s="2">
        <v>47</v>
      </c>
      <c r="J387" s="2">
        <v>47</v>
      </c>
      <c r="K387" s="15"/>
      <c r="L387" s="46"/>
      <c r="M387" s="46"/>
      <c r="N387" s="15"/>
      <c r="Q387" s="15"/>
    </row>
    <row r="388" spans="1:19" ht="14.1" customHeight="1" x14ac:dyDescent="0.2">
      <c r="A388" s="2" t="s">
        <v>773</v>
      </c>
      <c r="B388" s="2" t="s">
        <v>89</v>
      </c>
      <c r="C388" s="2" t="s">
        <v>9</v>
      </c>
      <c r="D388" s="2" t="s">
        <v>38</v>
      </c>
      <c r="E388" s="44" t="s">
        <v>868</v>
      </c>
      <c r="F388" s="2" t="s">
        <v>4</v>
      </c>
      <c r="G388" s="2" t="s">
        <v>4</v>
      </c>
      <c r="H388" s="15" t="s">
        <v>843</v>
      </c>
      <c r="I388" s="2">
        <v>54</v>
      </c>
      <c r="J388" s="2">
        <v>54</v>
      </c>
      <c r="K388" s="15" t="s">
        <v>844</v>
      </c>
      <c r="L388" s="46">
        <v>4</v>
      </c>
      <c r="M388" s="46">
        <v>4</v>
      </c>
      <c r="N388" s="15"/>
      <c r="Q388" s="15"/>
    </row>
    <row r="389" spans="1:19" ht="14.1" customHeight="1" x14ac:dyDescent="0.2">
      <c r="A389" s="2" t="s">
        <v>774</v>
      </c>
      <c r="B389" s="2" t="s">
        <v>89</v>
      </c>
      <c r="C389" s="2" t="s">
        <v>9</v>
      </c>
      <c r="D389" s="2" t="s">
        <v>39</v>
      </c>
      <c r="E389" s="44" t="s">
        <v>868</v>
      </c>
      <c r="F389" s="2" t="s">
        <v>4</v>
      </c>
      <c r="G389" s="2" t="s">
        <v>4</v>
      </c>
      <c r="H389" s="15" t="s">
        <v>843</v>
      </c>
      <c r="I389" s="2">
        <v>62</v>
      </c>
      <c r="J389" s="2">
        <v>62</v>
      </c>
      <c r="K389" s="15" t="s">
        <v>844</v>
      </c>
      <c r="L389" s="46">
        <v>9</v>
      </c>
      <c r="M389" s="46">
        <v>9</v>
      </c>
      <c r="N389" s="15"/>
      <c r="Q389" s="15"/>
    </row>
    <row r="390" spans="1:19" ht="14.1" customHeight="1" x14ac:dyDescent="0.2">
      <c r="A390" s="2" t="s">
        <v>775</v>
      </c>
      <c r="B390" s="2" t="s">
        <v>89</v>
      </c>
      <c r="C390" s="2" t="s">
        <v>9</v>
      </c>
      <c r="D390" s="2" t="s">
        <v>40</v>
      </c>
      <c r="E390" s="44" t="s">
        <v>868</v>
      </c>
      <c r="F390" s="2" t="s">
        <v>4</v>
      </c>
      <c r="G390" s="2" t="s">
        <v>4</v>
      </c>
      <c r="H390" s="15" t="s">
        <v>843</v>
      </c>
      <c r="I390" s="2">
        <v>85</v>
      </c>
      <c r="J390" s="2">
        <v>85</v>
      </c>
      <c r="K390" s="15" t="s">
        <v>844</v>
      </c>
      <c r="L390" s="46">
        <v>12</v>
      </c>
      <c r="M390" s="46">
        <v>12</v>
      </c>
      <c r="N390" s="15"/>
      <c r="Q390" s="15"/>
    </row>
    <row r="391" spans="1:19" ht="14.1" customHeight="1" x14ac:dyDescent="0.2">
      <c r="A391" s="2" t="s">
        <v>776</v>
      </c>
      <c r="B391" s="2" t="s">
        <v>89</v>
      </c>
      <c r="C391" s="2" t="s">
        <v>9</v>
      </c>
      <c r="D391" s="2" t="s">
        <v>41</v>
      </c>
      <c r="E391" s="44" t="s">
        <v>868</v>
      </c>
      <c r="F391" s="2" t="s">
        <v>4</v>
      </c>
      <c r="G391" s="2" t="s">
        <v>4</v>
      </c>
      <c r="H391" s="15" t="s">
        <v>843</v>
      </c>
      <c r="I391" s="2">
        <v>115</v>
      </c>
      <c r="J391" s="2">
        <v>115</v>
      </c>
      <c r="K391" s="15" t="s">
        <v>844</v>
      </c>
      <c r="L391" s="46">
        <v>16</v>
      </c>
      <c r="M391" s="46">
        <v>16</v>
      </c>
      <c r="N391" s="15"/>
      <c r="Q391" s="15"/>
    </row>
    <row r="392" spans="1:19" ht="14.1" customHeight="1" x14ac:dyDescent="0.2">
      <c r="A392" s="2" t="s">
        <v>777</v>
      </c>
      <c r="B392" s="2" t="s">
        <v>89</v>
      </c>
      <c r="C392" s="2" t="s">
        <v>9</v>
      </c>
      <c r="D392" s="2" t="s">
        <v>42</v>
      </c>
      <c r="E392" s="44" t="s">
        <v>868</v>
      </c>
      <c r="F392" s="2" t="s">
        <v>4</v>
      </c>
      <c r="G392" s="2" t="s">
        <v>4</v>
      </c>
      <c r="H392" s="15" t="s">
        <v>843</v>
      </c>
      <c r="I392" s="2">
        <v>150</v>
      </c>
      <c r="J392" s="2">
        <v>150</v>
      </c>
      <c r="K392" s="15" t="s">
        <v>844</v>
      </c>
      <c r="L392" s="46">
        <v>22</v>
      </c>
      <c r="M392" s="46">
        <v>22</v>
      </c>
      <c r="N392" s="15"/>
      <c r="Q392" s="15"/>
    </row>
    <row r="393" spans="1:19" ht="14.1" customHeight="1" x14ac:dyDescent="0.2">
      <c r="A393" s="2" t="s">
        <v>778</v>
      </c>
      <c r="B393" s="2" t="s">
        <v>89</v>
      </c>
      <c r="C393" s="2" t="s">
        <v>9</v>
      </c>
      <c r="D393" s="2" t="s">
        <v>43</v>
      </c>
      <c r="E393" s="44" t="s">
        <v>868</v>
      </c>
      <c r="F393" s="2" t="s">
        <v>4</v>
      </c>
      <c r="G393" s="2" t="s">
        <v>4</v>
      </c>
      <c r="H393" s="15" t="s">
        <v>843</v>
      </c>
      <c r="I393" s="2">
        <v>150</v>
      </c>
      <c r="J393" s="2">
        <v>150</v>
      </c>
      <c r="K393" s="15" t="s">
        <v>844</v>
      </c>
      <c r="L393" s="46">
        <v>25</v>
      </c>
      <c r="M393" s="46">
        <v>25</v>
      </c>
      <c r="N393" s="15" t="s">
        <v>95</v>
      </c>
      <c r="O393" s="2">
        <v>11</v>
      </c>
      <c r="P393" s="2">
        <v>11</v>
      </c>
      <c r="Q393" s="15"/>
    </row>
    <row r="394" spans="1:19" ht="14.1" customHeight="1" x14ac:dyDescent="0.2">
      <c r="A394" s="2" t="s">
        <v>779</v>
      </c>
      <c r="B394" s="2" t="s">
        <v>89</v>
      </c>
      <c r="C394" s="2" t="s">
        <v>9</v>
      </c>
      <c r="D394" s="2" t="s">
        <v>44</v>
      </c>
      <c r="E394" s="44" t="s">
        <v>868</v>
      </c>
      <c r="F394" s="2" t="s">
        <v>4</v>
      </c>
      <c r="G394" s="2" t="s">
        <v>4</v>
      </c>
      <c r="H394" s="15" t="s">
        <v>843</v>
      </c>
      <c r="I394" s="2">
        <v>150</v>
      </c>
      <c r="J394" s="2">
        <v>150</v>
      </c>
      <c r="K394" s="15" t="s">
        <v>844</v>
      </c>
      <c r="L394" s="47">
        <v>41</v>
      </c>
      <c r="M394" s="47">
        <v>41</v>
      </c>
      <c r="N394" s="15" t="s">
        <v>95</v>
      </c>
      <c r="O394" s="2">
        <v>20</v>
      </c>
      <c r="P394" s="2">
        <v>20</v>
      </c>
      <c r="Q394" s="15"/>
    </row>
    <row r="395" spans="1:19" ht="14.1" customHeight="1" x14ac:dyDescent="0.2">
      <c r="A395" s="2" t="s">
        <v>780</v>
      </c>
      <c r="B395" s="2" t="s">
        <v>89</v>
      </c>
      <c r="C395" s="2" t="s">
        <v>9</v>
      </c>
      <c r="D395" s="2" t="s">
        <v>45</v>
      </c>
      <c r="E395" s="44" t="s">
        <v>868</v>
      </c>
      <c r="F395" s="2" t="s">
        <v>4</v>
      </c>
      <c r="G395" s="2" t="s">
        <v>4</v>
      </c>
      <c r="H395" s="15" t="s">
        <v>843</v>
      </c>
      <c r="I395" s="2">
        <v>150</v>
      </c>
      <c r="J395" s="2">
        <v>150</v>
      </c>
      <c r="K395" s="15" t="s">
        <v>844</v>
      </c>
      <c r="L395" s="47">
        <v>69</v>
      </c>
      <c r="M395" s="47">
        <v>69</v>
      </c>
      <c r="N395" s="15" t="s">
        <v>95</v>
      </c>
      <c r="O395" s="2">
        <v>35</v>
      </c>
      <c r="P395" s="2">
        <v>35</v>
      </c>
      <c r="Q395" s="15"/>
    </row>
    <row r="396" spans="1:19" ht="14.1" customHeight="1" x14ac:dyDescent="0.2">
      <c r="A396" s="2" t="s">
        <v>781</v>
      </c>
      <c r="B396" s="2" t="s">
        <v>89</v>
      </c>
      <c r="C396" s="2" t="s">
        <v>9</v>
      </c>
      <c r="D396" s="2" t="s">
        <v>46</v>
      </c>
      <c r="E396" s="44" t="s">
        <v>868</v>
      </c>
      <c r="F396" s="2" t="s">
        <v>4</v>
      </c>
      <c r="G396" s="2" t="s">
        <v>4</v>
      </c>
      <c r="H396" s="15" t="s">
        <v>843</v>
      </c>
      <c r="I396" s="2">
        <v>150</v>
      </c>
      <c r="J396" s="2">
        <v>150</v>
      </c>
      <c r="K396" s="15" t="s">
        <v>844</v>
      </c>
      <c r="L396" s="47">
        <v>80</v>
      </c>
      <c r="M396" s="47">
        <v>80</v>
      </c>
      <c r="N396" s="15" t="s">
        <v>95</v>
      </c>
      <c r="O396" s="2">
        <v>45</v>
      </c>
      <c r="P396" s="2">
        <v>45</v>
      </c>
      <c r="Q396" s="15"/>
    </row>
    <row r="397" spans="1:19" ht="14.1" customHeight="1" x14ac:dyDescent="0.2">
      <c r="A397" s="2" t="s">
        <v>782</v>
      </c>
      <c r="B397" s="2" t="s">
        <v>89</v>
      </c>
      <c r="C397" s="7" t="s">
        <v>9</v>
      </c>
      <c r="D397" s="2" t="s">
        <v>47</v>
      </c>
      <c r="E397" s="44" t="s">
        <v>868</v>
      </c>
      <c r="F397" s="2" t="s">
        <v>4</v>
      </c>
      <c r="G397" s="2" t="s">
        <v>4</v>
      </c>
      <c r="H397" s="15" t="s">
        <v>843</v>
      </c>
      <c r="I397" s="2">
        <v>150</v>
      </c>
      <c r="J397" s="2">
        <v>150</v>
      </c>
      <c r="K397" s="15" t="s">
        <v>844</v>
      </c>
      <c r="L397" s="47">
        <v>107</v>
      </c>
      <c r="M397" s="47">
        <v>107</v>
      </c>
      <c r="N397" s="15" t="s">
        <v>95</v>
      </c>
      <c r="O397" s="2">
        <v>70</v>
      </c>
      <c r="P397" s="2">
        <v>70</v>
      </c>
      <c r="Q397" s="15"/>
    </row>
    <row r="398" spans="1:19" ht="14.1" customHeight="1" x14ac:dyDescent="0.2">
      <c r="A398" s="2" t="s">
        <v>783</v>
      </c>
      <c r="B398" s="2" t="s">
        <v>89</v>
      </c>
      <c r="C398" s="7" t="s">
        <v>9</v>
      </c>
      <c r="D398" s="2" t="s">
        <v>48</v>
      </c>
      <c r="E398" s="44" t="s">
        <v>868</v>
      </c>
      <c r="F398" s="2" t="s">
        <v>4</v>
      </c>
      <c r="G398" s="2" t="s">
        <v>4</v>
      </c>
      <c r="H398" s="15" t="s">
        <v>843</v>
      </c>
      <c r="I398" s="2">
        <v>200</v>
      </c>
      <c r="J398" s="2">
        <v>200</v>
      </c>
      <c r="K398" s="15" t="s">
        <v>844</v>
      </c>
      <c r="L398" s="47">
        <v>120</v>
      </c>
      <c r="M398" s="47">
        <v>120</v>
      </c>
      <c r="N398" s="15" t="s">
        <v>95</v>
      </c>
      <c r="O398" s="2">
        <v>77</v>
      </c>
      <c r="P398" s="2">
        <v>77</v>
      </c>
      <c r="Q398" s="15" t="s">
        <v>96</v>
      </c>
      <c r="R398" s="2">
        <v>5</v>
      </c>
      <c r="S398" s="2">
        <v>5</v>
      </c>
    </row>
    <row r="399" spans="1:19" ht="14.1" customHeight="1" x14ac:dyDescent="0.2">
      <c r="A399" s="2" t="s">
        <v>784</v>
      </c>
      <c r="B399" s="2" t="s">
        <v>89</v>
      </c>
      <c r="C399" s="7" t="s">
        <v>9</v>
      </c>
      <c r="D399" s="2" t="s">
        <v>49</v>
      </c>
      <c r="E399" s="44" t="s">
        <v>868</v>
      </c>
      <c r="F399" s="2" t="s">
        <v>4</v>
      </c>
      <c r="G399" s="2" t="s">
        <v>4</v>
      </c>
      <c r="H399" s="15" t="s">
        <v>843</v>
      </c>
      <c r="I399" s="2">
        <v>200</v>
      </c>
      <c r="J399" s="2">
        <v>200</v>
      </c>
      <c r="K399" s="15" t="s">
        <v>844</v>
      </c>
      <c r="L399" s="47">
        <v>150</v>
      </c>
      <c r="M399" s="47">
        <v>150</v>
      </c>
      <c r="N399" s="15" t="s">
        <v>95</v>
      </c>
      <c r="O399" s="2">
        <v>95</v>
      </c>
      <c r="P399" s="2">
        <v>95</v>
      </c>
      <c r="Q399" s="15" t="s">
        <v>96</v>
      </c>
      <c r="R399" s="2">
        <v>15</v>
      </c>
      <c r="S399" s="2">
        <v>15</v>
      </c>
    </row>
    <row r="400" spans="1:19" ht="14.1" customHeight="1" x14ac:dyDescent="0.2">
      <c r="A400" s="2" t="s">
        <v>785</v>
      </c>
      <c r="B400" s="2" t="s">
        <v>89</v>
      </c>
      <c r="C400" s="7" t="s">
        <v>9</v>
      </c>
      <c r="D400" s="2" t="s">
        <v>50</v>
      </c>
      <c r="E400" s="44" t="s">
        <v>868</v>
      </c>
      <c r="F400" s="2" t="s">
        <v>4</v>
      </c>
      <c r="G400" s="2" t="s">
        <v>4</v>
      </c>
      <c r="H400" s="15" t="s">
        <v>843</v>
      </c>
      <c r="I400" s="2">
        <v>200</v>
      </c>
      <c r="J400" s="2">
        <v>200</v>
      </c>
      <c r="K400" s="15" t="s">
        <v>844</v>
      </c>
      <c r="L400" s="47">
        <v>200</v>
      </c>
      <c r="M400" s="47">
        <v>200</v>
      </c>
      <c r="N400" s="15" t="s">
        <v>95</v>
      </c>
      <c r="O400" s="2">
        <v>113</v>
      </c>
      <c r="P400" s="2">
        <v>113</v>
      </c>
      <c r="Q400" s="15" t="s">
        <v>96</v>
      </c>
      <c r="R400" s="2">
        <v>25</v>
      </c>
      <c r="S400" s="2">
        <v>25</v>
      </c>
    </row>
    <row r="401" spans="1:19" ht="14.1" customHeight="1" x14ac:dyDescent="0.2">
      <c r="A401" s="2" t="s">
        <v>786</v>
      </c>
      <c r="B401" s="2" t="s">
        <v>89</v>
      </c>
      <c r="C401" s="2" t="s">
        <v>9</v>
      </c>
      <c r="D401" s="2" t="s">
        <v>51</v>
      </c>
      <c r="E401" s="44" t="s">
        <v>868</v>
      </c>
      <c r="F401" s="2" t="s">
        <v>4</v>
      </c>
      <c r="G401" s="2" t="s">
        <v>4</v>
      </c>
      <c r="H401" s="15" t="s">
        <v>843</v>
      </c>
      <c r="I401" s="2">
        <v>200</v>
      </c>
      <c r="J401" s="2">
        <v>200</v>
      </c>
      <c r="K401" s="15" t="s">
        <v>844</v>
      </c>
      <c r="L401" s="47">
        <v>200</v>
      </c>
      <c r="M401" s="47">
        <v>200</v>
      </c>
      <c r="N401" s="15" t="s">
        <v>95</v>
      </c>
      <c r="O401" s="2">
        <v>155</v>
      </c>
      <c r="P401" s="2">
        <v>155</v>
      </c>
      <c r="Q401" s="15" t="s">
        <v>96</v>
      </c>
      <c r="R401" s="2">
        <v>45</v>
      </c>
      <c r="S401" s="2">
        <v>45</v>
      </c>
    </row>
    <row r="402" spans="1:19" ht="14.1" customHeight="1" x14ac:dyDescent="0.2">
      <c r="A402" s="2" t="s">
        <v>787</v>
      </c>
      <c r="B402" s="2" t="s">
        <v>89</v>
      </c>
      <c r="C402" s="2" t="s">
        <v>9</v>
      </c>
      <c r="D402" s="2" t="s">
        <v>52</v>
      </c>
      <c r="E402" s="44" t="s">
        <v>868</v>
      </c>
      <c r="F402" s="2" t="s">
        <v>4</v>
      </c>
      <c r="G402" s="2" t="s">
        <v>4</v>
      </c>
      <c r="H402" s="15" t="s">
        <v>843</v>
      </c>
      <c r="I402" s="2">
        <v>200</v>
      </c>
      <c r="J402" s="2">
        <v>200</v>
      </c>
      <c r="K402" s="15" t="s">
        <v>844</v>
      </c>
      <c r="L402" s="47">
        <v>200</v>
      </c>
      <c r="M402" s="47">
        <v>200</v>
      </c>
      <c r="N402" s="15" t="s">
        <v>95</v>
      </c>
      <c r="O402" s="2">
        <v>195</v>
      </c>
      <c r="P402" s="2">
        <v>195</v>
      </c>
      <c r="Q402" s="15" t="s">
        <v>96</v>
      </c>
      <c r="R402" s="2">
        <v>75</v>
      </c>
      <c r="S402" s="2">
        <v>75</v>
      </c>
    </row>
    <row r="403" spans="1:19" ht="14.1" customHeight="1" x14ac:dyDescent="0.2">
      <c r="A403" s="2" t="s">
        <v>788</v>
      </c>
      <c r="B403" s="2" t="s">
        <v>89</v>
      </c>
      <c r="C403" s="2" t="s">
        <v>0</v>
      </c>
      <c r="D403" s="2" t="s">
        <v>9</v>
      </c>
      <c r="E403" s="44" t="s">
        <v>868</v>
      </c>
      <c r="F403" s="2" t="s">
        <v>1156</v>
      </c>
      <c r="G403" s="2" t="s">
        <v>1156</v>
      </c>
      <c r="H403" s="15"/>
      <c r="K403" s="15"/>
      <c r="L403" s="46"/>
      <c r="M403" s="46"/>
      <c r="N403" s="15"/>
      <c r="Q403" s="15"/>
    </row>
    <row r="404" spans="1:19" ht="14.1" customHeight="1" x14ac:dyDescent="0.2">
      <c r="A404" s="2" t="s">
        <v>789</v>
      </c>
      <c r="B404" s="2" t="s">
        <v>89</v>
      </c>
      <c r="C404" s="2" t="s">
        <v>0</v>
      </c>
      <c r="D404" s="2" t="s">
        <v>0</v>
      </c>
      <c r="E404" s="44" t="s">
        <v>868</v>
      </c>
      <c r="F404" s="2" t="s">
        <v>1156</v>
      </c>
      <c r="G404" s="2" t="s">
        <v>1156</v>
      </c>
      <c r="H404" s="15" t="s">
        <v>843</v>
      </c>
      <c r="I404" s="2">
        <v>9</v>
      </c>
      <c r="J404" s="2">
        <v>9</v>
      </c>
      <c r="K404" s="15"/>
      <c r="L404" s="46"/>
      <c r="M404" s="46"/>
      <c r="N404" s="15"/>
      <c r="Q404" s="15"/>
    </row>
    <row r="405" spans="1:19" ht="14.1" customHeight="1" x14ac:dyDescent="0.2">
      <c r="A405" s="2" t="s">
        <v>790</v>
      </c>
      <c r="B405" s="2" t="s">
        <v>89</v>
      </c>
      <c r="C405" s="2" t="s">
        <v>0</v>
      </c>
      <c r="D405" s="2" t="s">
        <v>34</v>
      </c>
      <c r="E405" s="44" t="s">
        <v>868</v>
      </c>
      <c r="F405" s="2" t="s">
        <v>1156</v>
      </c>
      <c r="G405" s="2" t="s">
        <v>1156</v>
      </c>
      <c r="H405" s="15" t="s">
        <v>843</v>
      </c>
      <c r="I405" s="2">
        <v>15</v>
      </c>
      <c r="J405" s="2">
        <v>15</v>
      </c>
      <c r="K405" s="15"/>
      <c r="L405" s="46"/>
      <c r="M405" s="46"/>
      <c r="N405" s="15"/>
      <c r="Q405" s="15"/>
    </row>
    <row r="406" spans="1:19" ht="14.1" customHeight="1" x14ac:dyDescent="0.2">
      <c r="A406" s="2" t="s">
        <v>791</v>
      </c>
      <c r="B406" s="2" t="s">
        <v>89</v>
      </c>
      <c r="C406" s="2" t="s">
        <v>0</v>
      </c>
      <c r="D406" s="2" t="s">
        <v>35</v>
      </c>
      <c r="E406" s="44" t="s">
        <v>868</v>
      </c>
      <c r="F406" s="2" t="s">
        <v>1156</v>
      </c>
      <c r="G406" s="2" t="s">
        <v>1156</v>
      </c>
      <c r="H406" s="15" t="s">
        <v>843</v>
      </c>
      <c r="I406" s="2">
        <v>23</v>
      </c>
      <c r="J406" s="2">
        <v>23</v>
      </c>
      <c r="K406" s="15"/>
      <c r="L406" s="46"/>
      <c r="M406" s="46"/>
      <c r="N406" s="15"/>
      <c r="Q406" s="15"/>
    </row>
    <row r="407" spans="1:19" ht="14.1" customHeight="1" x14ac:dyDescent="0.2">
      <c r="A407" s="2" t="s">
        <v>792</v>
      </c>
      <c r="B407" s="2" t="s">
        <v>89</v>
      </c>
      <c r="C407" s="2" t="s">
        <v>0</v>
      </c>
      <c r="D407" s="2" t="s">
        <v>36</v>
      </c>
      <c r="E407" s="44" t="s">
        <v>868</v>
      </c>
      <c r="F407" s="2" t="s">
        <v>1156</v>
      </c>
      <c r="G407" s="2" t="s">
        <v>1156</v>
      </c>
      <c r="H407" s="15" t="s">
        <v>843</v>
      </c>
      <c r="I407" s="2">
        <v>34</v>
      </c>
      <c r="J407" s="2">
        <v>34</v>
      </c>
      <c r="K407" s="15"/>
      <c r="L407" s="46"/>
      <c r="M407" s="46"/>
      <c r="N407" s="15"/>
      <c r="Q407" s="15"/>
    </row>
    <row r="408" spans="1:19" ht="14.1" customHeight="1" x14ac:dyDescent="0.2">
      <c r="A408" s="2" t="s">
        <v>793</v>
      </c>
      <c r="B408" s="2" t="s">
        <v>89</v>
      </c>
      <c r="C408" s="2" t="s">
        <v>0</v>
      </c>
      <c r="D408" s="2" t="s">
        <v>37</v>
      </c>
      <c r="E408" s="44" t="s">
        <v>868</v>
      </c>
      <c r="F408" s="2" t="s">
        <v>1156</v>
      </c>
      <c r="G408" s="2" t="s">
        <v>1156</v>
      </c>
      <c r="H408" s="15" t="s">
        <v>843</v>
      </c>
      <c r="I408" s="2">
        <v>47</v>
      </c>
      <c r="J408" s="2">
        <v>47</v>
      </c>
      <c r="K408" s="15"/>
      <c r="L408" s="46"/>
      <c r="M408" s="46"/>
      <c r="N408" s="15"/>
      <c r="Q408" s="15"/>
    </row>
    <row r="409" spans="1:19" ht="14.1" customHeight="1" x14ac:dyDescent="0.2">
      <c r="A409" s="2" t="s">
        <v>794</v>
      </c>
      <c r="B409" s="2" t="s">
        <v>89</v>
      </c>
      <c r="C409" s="2" t="s">
        <v>0</v>
      </c>
      <c r="D409" s="2" t="s">
        <v>38</v>
      </c>
      <c r="E409" s="44" t="s">
        <v>868</v>
      </c>
      <c r="F409" s="2" t="s">
        <v>1156</v>
      </c>
      <c r="G409" s="2" t="s">
        <v>1156</v>
      </c>
      <c r="H409" s="15" t="s">
        <v>843</v>
      </c>
      <c r="I409" s="2">
        <v>54</v>
      </c>
      <c r="J409" s="2">
        <v>54</v>
      </c>
      <c r="K409" s="15" t="s">
        <v>844</v>
      </c>
      <c r="L409" s="46">
        <v>4</v>
      </c>
      <c r="M409" s="46">
        <v>4</v>
      </c>
      <c r="N409" s="15"/>
      <c r="Q409" s="15"/>
    </row>
    <row r="410" spans="1:19" ht="14.1" customHeight="1" x14ac:dyDescent="0.2">
      <c r="A410" s="2" t="s">
        <v>795</v>
      </c>
      <c r="B410" s="2" t="s">
        <v>89</v>
      </c>
      <c r="C410" s="2" t="s">
        <v>0</v>
      </c>
      <c r="D410" s="2" t="s">
        <v>39</v>
      </c>
      <c r="E410" s="44" t="s">
        <v>868</v>
      </c>
      <c r="F410" s="2" t="s">
        <v>1156</v>
      </c>
      <c r="G410" s="2" t="s">
        <v>1156</v>
      </c>
      <c r="H410" s="15" t="s">
        <v>843</v>
      </c>
      <c r="I410" s="2">
        <v>62</v>
      </c>
      <c r="J410" s="2">
        <v>62</v>
      </c>
      <c r="K410" s="15" t="s">
        <v>844</v>
      </c>
      <c r="L410" s="46">
        <v>9</v>
      </c>
      <c r="M410" s="46">
        <v>9</v>
      </c>
      <c r="N410" s="15"/>
      <c r="Q410" s="15"/>
    </row>
    <row r="411" spans="1:19" ht="14.1" customHeight="1" x14ac:dyDescent="0.2">
      <c r="A411" s="2" t="s">
        <v>796</v>
      </c>
      <c r="B411" s="2" t="s">
        <v>89</v>
      </c>
      <c r="C411" s="2" t="s">
        <v>0</v>
      </c>
      <c r="D411" s="2" t="s">
        <v>40</v>
      </c>
      <c r="E411" s="44" t="s">
        <v>868</v>
      </c>
      <c r="F411" s="2" t="s">
        <v>1156</v>
      </c>
      <c r="G411" s="2" t="s">
        <v>1156</v>
      </c>
      <c r="H411" s="15" t="s">
        <v>843</v>
      </c>
      <c r="I411" s="2">
        <v>85</v>
      </c>
      <c r="J411" s="2">
        <v>85</v>
      </c>
      <c r="K411" s="15" t="s">
        <v>844</v>
      </c>
      <c r="L411" s="46">
        <v>12</v>
      </c>
      <c r="M411" s="46">
        <v>12</v>
      </c>
      <c r="N411" s="15"/>
      <c r="Q411" s="15"/>
    </row>
    <row r="412" spans="1:19" ht="14.1" customHeight="1" x14ac:dyDescent="0.2">
      <c r="A412" s="2" t="s">
        <v>797</v>
      </c>
      <c r="B412" s="2" t="s">
        <v>89</v>
      </c>
      <c r="C412" s="2" t="s">
        <v>0</v>
      </c>
      <c r="D412" s="2" t="s">
        <v>41</v>
      </c>
      <c r="E412" s="44" t="s">
        <v>868</v>
      </c>
      <c r="F412" s="2" t="s">
        <v>1156</v>
      </c>
      <c r="G412" s="2" t="s">
        <v>1156</v>
      </c>
      <c r="H412" s="15" t="s">
        <v>843</v>
      </c>
      <c r="I412" s="2">
        <v>115</v>
      </c>
      <c r="J412" s="2">
        <v>115</v>
      </c>
      <c r="K412" s="15" t="s">
        <v>844</v>
      </c>
      <c r="L412" s="46">
        <v>16</v>
      </c>
      <c r="M412" s="46">
        <v>16</v>
      </c>
      <c r="N412" s="15"/>
      <c r="Q412" s="15"/>
    </row>
    <row r="413" spans="1:19" ht="14.1" customHeight="1" x14ac:dyDescent="0.2">
      <c r="A413" s="2" t="s">
        <v>798</v>
      </c>
      <c r="B413" s="2" t="s">
        <v>89</v>
      </c>
      <c r="C413" s="2" t="s">
        <v>0</v>
      </c>
      <c r="D413" s="2" t="s">
        <v>42</v>
      </c>
      <c r="E413" s="44" t="s">
        <v>868</v>
      </c>
      <c r="F413" s="2" t="s">
        <v>1156</v>
      </c>
      <c r="G413" s="2" t="s">
        <v>1156</v>
      </c>
      <c r="H413" s="15" t="s">
        <v>843</v>
      </c>
      <c r="I413" s="2">
        <v>150</v>
      </c>
      <c r="J413" s="2">
        <v>150</v>
      </c>
      <c r="K413" s="15" t="s">
        <v>844</v>
      </c>
      <c r="L413" s="46">
        <v>22</v>
      </c>
      <c r="M413" s="46">
        <v>22</v>
      </c>
      <c r="N413" s="15"/>
      <c r="Q413" s="15"/>
    </row>
    <row r="414" spans="1:19" ht="14.1" customHeight="1" x14ac:dyDescent="0.2">
      <c r="A414" s="2" t="s">
        <v>799</v>
      </c>
      <c r="B414" s="2" t="s">
        <v>89</v>
      </c>
      <c r="C414" s="2" t="s">
        <v>0</v>
      </c>
      <c r="D414" s="2" t="s">
        <v>43</v>
      </c>
      <c r="E414" s="44" t="s">
        <v>868</v>
      </c>
      <c r="F414" s="2" t="s">
        <v>1156</v>
      </c>
      <c r="G414" s="2" t="s">
        <v>1156</v>
      </c>
      <c r="H414" s="15" t="s">
        <v>843</v>
      </c>
      <c r="I414" s="2">
        <v>150</v>
      </c>
      <c r="J414" s="2">
        <v>150</v>
      </c>
      <c r="K414" s="15" t="s">
        <v>844</v>
      </c>
      <c r="L414" s="46">
        <v>25</v>
      </c>
      <c r="M414" s="46">
        <v>25</v>
      </c>
      <c r="N414" s="15" t="s">
        <v>95</v>
      </c>
      <c r="O414" s="2">
        <v>11</v>
      </c>
      <c r="P414" s="2">
        <v>11</v>
      </c>
      <c r="Q414" s="15"/>
    </row>
    <row r="415" spans="1:19" ht="14.1" customHeight="1" x14ac:dyDescent="0.2">
      <c r="A415" s="2" t="s">
        <v>800</v>
      </c>
      <c r="B415" s="2" t="s">
        <v>89</v>
      </c>
      <c r="C415" s="2" t="s">
        <v>0</v>
      </c>
      <c r="D415" s="2" t="s">
        <v>44</v>
      </c>
      <c r="E415" s="44" t="s">
        <v>868</v>
      </c>
      <c r="F415" s="2" t="s">
        <v>1156</v>
      </c>
      <c r="G415" s="2" t="s">
        <v>1156</v>
      </c>
      <c r="H415" s="15" t="s">
        <v>843</v>
      </c>
      <c r="I415" s="2">
        <v>150</v>
      </c>
      <c r="J415" s="2">
        <v>150</v>
      </c>
      <c r="K415" s="15" t="s">
        <v>844</v>
      </c>
      <c r="L415" s="47">
        <v>41</v>
      </c>
      <c r="M415" s="47">
        <v>41</v>
      </c>
      <c r="N415" s="15" t="s">
        <v>95</v>
      </c>
      <c r="O415" s="2">
        <v>20</v>
      </c>
      <c r="P415" s="2">
        <v>20</v>
      </c>
      <c r="Q415" s="15"/>
    </row>
    <row r="416" spans="1:19" ht="14.1" customHeight="1" x14ac:dyDescent="0.2">
      <c r="A416" s="2" t="s">
        <v>801</v>
      </c>
      <c r="B416" s="2" t="s">
        <v>89</v>
      </c>
      <c r="C416" s="2" t="s">
        <v>0</v>
      </c>
      <c r="D416" s="2" t="s">
        <v>45</v>
      </c>
      <c r="E416" s="44" t="s">
        <v>868</v>
      </c>
      <c r="F416" s="2" t="s">
        <v>1156</v>
      </c>
      <c r="G416" s="2" t="s">
        <v>1156</v>
      </c>
      <c r="H416" s="15" t="s">
        <v>843</v>
      </c>
      <c r="I416" s="2">
        <v>150</v>
      </c>
      <c r="J416" s="2">
        <v>150</v>
      </c>
      <c r="K416" s="15" t="s">
        <v>844</v>
      </c>
      <c r="L416" s="47">
        <v>69</v>
      </c>
      <c r="M416" s="47">
        <v>69</v>
      </c>
      <c r="N416" s="15" t="s">
        <v>95</v>
      </c>
      <c r="O416" s="2">
        <v>35</v>
      </c>
      <c r="P416" s="2">
        <v>35</v>
      </c>
      <c r="Q416" s="15"/>
    </row>
    <row r="417" spans="1:19" ht="14.1" customHeight="1" x14ac:dyDescent="0.2">
      <c r="A417" s="2" t="s">
        <v>802</v>
      </c>
      <c r="B417" s="2" t="s">
        <v>89</v>
      </c>
      <c r="C417" s="2" t="s">
        <v>0</v>
      </c>
      <c r="D417" s="2" t="s">
        <v>46</v>
      </c>
      <c r="E417" s="44" t="s">
        <v>868</v>
      </c>
      <c r="F417" s="2" t="s">
        <v>1156</v>
      </c>
      <c r="G417" s="2" t="s">
        <v>1156</v>
      </c>
      <c r="H417" s="15" t="s">
        <v>843</v>
      </c>
      <c r="I417" s="2">
        <v>150</v>
      </c>
      <c r="J417" s="2">
        <v>150</v>
      </c>
      <c r="K417" s="15" t="s">
        <v>844</v>
      </c>
      <c r="L417" s="47">
        <v>80</v>
      </c>
      <c r="M417" s="47">
        <v>80</v>
      </c>
      <c r="N417" s="15" t="s">
        <v>95</v>
      </c>
      <c r="O417" s="2">
        <v>45</v>
      </c>
      <c r="P417" s="2">
        <v>45</v>
      </c>
      <c r="Q417" s="15"/>
    </row>
    <row r="418" spans="1:19" ht="14.1" customHeight="1" x14ac:dyDescent="0.2">
      <c r="A418" s="2" t="s">
        <v>803</v>
      </c>
      <c r="B418" s="2" t="s">
        <v>89</v>
      </c>
      <c r="C418" s="2" t="s">
        <v>0</v>
      </c>
      <c r="D418" s="2" t="s">
        <v>47</v>
      </c>
      <c r="E418" s="44" t="s">
        <v>868</v>
      </c>
      <c r="F418" s="2" t="s">
        <v>1156</v>
      </c>
      <c r="G418" s="2" t="s">
        <v>1156</v>
      </c>
      <c r="H418" s="15" t="s">
        <v>843</v>
      </c>
      <c r="I418" s="2">
        <v>150</v>
      </c>
      <c r="J418" s="2">
        <v>150</v>
      </c>
      <c r="K418" s="15" t="s">
        <v>844</v>
      </c>
      <c r="L418" s="47">
        <v>107</v>
      </c>
      <c r="M418" s="47">
        <v>107</v>
      </c>
      <c r="N418" s="15" t="s">
        <v>95</v>
      </c>
      <c r="O418" s="2">
        <v>70</v>
      </c>
      <c r="P418" s="2">
        <v>70</v>
      </c>
      <c r="Q418" s="15"/>
    </row>
    <row r="419" spans="1:19" ht="14.1" customHeight="1" x14ac:dyDescent="0.2">
      <c r="A419" s="2" t="s">
        <v>804</v>
      </c>
      <c r="B419" s="2" t="s">
        <v>89</v>
      </c>
      <c r="C419" s="2" t="s">
        <v>0</v>
      </c>
      <c r="D419" s="2" t="s">
        <v>48</v>
      </c>
      <c r="E419" s="44" t="s">
        <v>868</v>
      </c>
      <c r="F419" s="2" t="s">
        <v>1156</v>
      </c>
      <c r="G419" s="2" t="s">
        <v>1156</v>
      </c>
      <c r="H419" s="15" t="s">
        <v>843</v>
      </c>
      <c r="I419" s="2">
        <v>200</v>
      </c>
      <c r="J419" s="2">
        <v>200</v>
      </c>
      <c r="K419" s="15" t="s">
        <v>844</v>
      </c>
      <c r="L419" s="47">
        <v>120</v>
      </c>
      <c r="M419" s="47">
        <v>120</v>
      </c>
      <c r="N419" s="15" t="s">
        <v>95</v>
      </c>
      <c r="O419" s="2">
        <v>77</v>
      </c>
      <c r="P419" s="2">
        <v>77</v>
      </c>
      <c r="Q419" s="15" t="s">
        <v>96</v>
      </c>
      <c r="R419" s="2">
        <v>5</v>
      </c>
      <c r="S419" s="2">
        <v>5</v>
      </c>
    </row>
    <row r="420" spans="1:19" ht="14.1" customHeight="1" x14ac:dyDescent="0.2">
      <c r="A420" s="2" t="s">
        <v>805</v>
      </c>
      <c r="B420" s="2" t="s">
        <v>89</v>
      </c>
      <c r="C420" s="2" t="s">
        <v>0</v>
      </c>
      <c r="D420" s="2" t="s">
        <v>49</v>
      </c>
      <c r="E420" s="44" t="s">
        <v>868</v>
      </c>
      <c r="F420" s="2" t="s">
        <v>1156</v>
      </c>
      <c r="G420" s="2" t="s">
        <v>1156</v>
      </c>
      <c r="H420" s="15" t="s">
        <v>843</v>
      </c>
      <c r="I420" s="2">
        <v>200</v>
      </c>
      <c r="J420" s="2">
        <v>200</v>
      </c>
      <c r="K420" s="15" t="s">
        <v>844</v>
      </c>
      <c r="L420" s="47">
        <v>150</v>
      </c>
      <c r="M420" s="47">
        <v>150</v>
      </c>
      <c r="N420" s="15" t="s">
        <v>95</v>
      </c>
      <c r="O420" s="2">
        <v>95</v>
      </c>
      <c r="P420" s="2">
        <v>95</v>
      </c>
      <c r="Q420" s="15" t="s">
        <v>96</v>
      </c>
      <c r="R420" s="2">
        <v>15</v>
      </c>
      <c r="S420" s="2">
        <v>15</v>
      </c>
    </row>
    <row r="421" spans="1:19" ht="14.1" customHeight="1" x14ac:dyDescent="0.2">
      <c r="A421" s="2" t="s">
        <v>806</v>
      </c>
      <c r="B421" s="2" t="s">
        <v>89</v>
      </c>
      <c r="C421" s="2" t="s">
        <v>0</v>
      </c>
      <c r="D421" s="2" t="s">
        <v>50</v>
      </c>
      <c r="E421" s="44" t="s">
        <v>868</v>
      </c>
      <c r="F421" s="2" t="s">
        <v>1156</v>
      </c>
      <c r="G421" s="2" t="s">
        <v>1156</v>
      </c>
      <c r="H421" s="15" t="s">
        <v>843</v>
      </c>
      <c r="I421" s="2">
        <v>200</v>
      </c>
      <c r="J421" s="2">
        <v>200</v>
      </c>
      <c r="K421" s="15" t="s">
        <v>844</v>
      </c>
      <c r="L421" s="47">
        <v>200</v>
      </c>
      <c r="M421" s="47">
        <v>200</v>
      </c>
      <c r="N421" s="15" t="s">
        <v>95</v>
      </c>
      <c r="O421" s="2">
        <v>113</v>
      </c>
      <c r="P421" s="2">
        <v>113</v>
      </c>
      <c r="Q421" s="15" t="s">
        <v>96</v>
      </c>
      <c r="R421" s="2">
        <v>25</v>
      </c>
      <c r="S421" s="2">
        <v>25</v>
      </c>
    </row>
    <row r="422" spans="1:19" ht="14.1" customHeight="1" x14ac:dyDescent="0.2">
      <c r="A422" s="2" t="s">
        <v>807</v>
      </c>
      <c r="B422" s="2" t="s">
        <v>89</v>
      </c>
      <c r="C422" s="2" t="s">
        <v>0</v>
      </c>
      <c r="D422" s="2" t="s">
        <v>51</v>
      </c>
      <c r="E422" s="44" t="s">
        <v>868</v>
      </c>
      <c r="F422" s="2" t="s">
        <v>1156</v>
      </c>
      <c r="G422" s="2" t="s">
        <v>1156</v>
      </c>
      <c r="H422" s="15" t="s">
        <v>843</v>
      </c>
      <c r="I422" s="2">
        <v>200</v>
      </c>
      <c r="J422" s="2">
        <v>200</v>
      </c>
      <c r="K422" s="15" t="s">
        <v>844</v>
      </c>
      <c r="L422" s="47">
        <v>200</v>
      </c>
      <c r="M422" s="47">
        <v>200</v>
      </c>
      <c r="N422" s="15" t="s">
        <v>95</v>
      </c>
      <c r="O422" s="2">
        <v>155</v>
      </c>
      <c r="P422" s="2">
        <v>155</v>
      </c>
      <c r="Q422" s="15" t="s">
        <v>96</v>
      </c>
      <c r="R422" s="2">
        <v>45</v>
      </c>
      <c r="S422" s="2">
        <v>45</v>
      </c>
    </row>
    <row r="423" spans="1:19" ht="14.1" customHeight="1" x14ac:dyDescent="0.2">
      <c r="A423" s="2" t="s">
        <v>808</v>
      </c>
      <c r="B423" s="2" t="s">
        <v>89</v>
      </c>
      <c r="C423" s="2" t="s">
        <v>0</v>
      </c>
      <c r="D423" s="2" t="s">
        <v>52</v>
      </c>
      <c r="E423" s="44" t="s">
        <v>868</v>
      </c>
      <c r="F423" s="2" t="s">
        <v>1156</v>
      </c>
      <c r="G423" s="2" t="s">
        <v>1156</v>
      </c>
      <c r="H423" s="15" t="s">
        <v>843</v>
      </c>
      <c r="I423" s="2">
        <v>200</v>
      </c>
      <c r="J423" s="2">
        <v>200</v>
      </c>
      <c r="K423" s="15" t="s">
        <v>844</v>
      </c>
      <c r="L423" s="47">
        <v>200</v>
      </c>
      <c r="M423" s="47">
        <v>200</v>
      </c>
      <c r="N423" s="15" t="s">
        <v>95</v>
      </c>
      <c r="O423" s="2">
        <v>195</v>
      </c>
      <c r="P423" s="2">
        <v>195</v>
      </c>
      <c r="Q423" s="15" t="s">
        <v>96</v>
      </c>
      <c r="R423" s="2">
        <v>75</v>
      </c>
      <c r="S423" s="2">
        <v>75</v>
      </c>
    </row>
    <row r="424" spans="1:19" ht="14.1" customHeight="1" x14ac:dyDescent="0.2">
      <c r="A424" s="2" t="s">
        <v>809</v>
      </c>
      <c r="B424" s="2" t="s">
        <v>89</v>
      </c>
      <c r="C424" s="2">
        <v>2</v>
      </c>
      <c r="D424" s="2" t="s">
        <v>9</v>
      </c>
      <c r="E424" s="44" t="s">
        <v>868</v>
      </c>
      <c r="F424" s="2" t="s">
        <v>1157</v>
      </c>
      <c r="G424" s="2" t="s">
        <v>1157</v>
      </c>
      <c r="H424" s="15"/>
      <c r="K424" s="15"/>
      <c r="L424" s="46"/>
      <c r="M424" s="46"/>
      <c r="N424" s="15"/>
      <c r="Q424" s="15"/>
    </row>
    <row r="425" spans="1:19" ht="14.1" customHeight="1" x14ac:dyDescent="0.2">
      <c r="A425" s="2" t="s">
        <v>810</v>
      </c>
      <c r="B425" s="2" t="s">
        <v>89</v>
      </c>
      <c r="C425" s="2">
        <v>2</v>
      </c>
      <c r="D425" s="2" t="s">
        <v>0</v>
      </c>
      <c r="E425" s="44" t="s">
        <v>868</v>
      </c>
      <c r="F425" s="2" t="s">
        <v>1157</v>
      </c>
      <c r="G425" s="2" t="s">
        <v>1157</v>
      </c>
      <c r="H425" s="15" t="s">
        <v>843</v>
      </c>
      <c r="I425" s="2">
        <v>9</v>
      </c>
      <c r="J425" s="2">
        <v>9</v>
      </c>
      <c r="K425" s="15"/>
      <c r="L425" s="46"/>
      <c r="M425" s="46"/>
      <c r="N425" s="15"/>
      <c r="Q425" s="15"/>
    </row>
    <row r="426" spans="1:19" ht="14.1" customHeight="1" x14ac:dyDescent="0.2">
      <c r="A426" s="2" t="s">
        <v>811</v>
      </c>
      <c r="B426" s="2" t="s">
        <v>89</v>
      </c>
      <c r="C426" s="2">
        <v>2</v>
      </c>
      <c r="D426" s="2" t="s">
        <v>34</v>
      </c>
      <c r="E426" s="44" t="s">
        <v>868</v>
      </c>
      <c r="F426" s="2" t="s">
        <v>1157</v>
      </c>
      <c r="G426" s="2" t="s">
        <v>1157</v>
      </c>
      <c r="H426" s="15" t="s">
        <v>843</v>
      </c>
      <c r="I426" s="2">
        <v>15</v>
      </c>
      <c r="J426" s="2">
        <v>15</v>
      </c>
      <c r="K426" s="15"/>
      <c r="L426" s="46"/>
      <c r="M426" s="46"/>
      <c r="N426" s="15"/>
      <c r="Q426" s="15"/>
    </row>
    <row r="427" spans="1:19" ht="14.1" customHeight="1" x14ac:dyDescent="0.2">
      <c r="A427" s="2" t="s">
        <v>812</v>
      </c>
      <c r="B427" s="2" t="s">
        <v>89</v>
      </c>
      <c r="C427" s="2">
        <v>2</v>
      </c>
      <c r="D427" s="2" t="s">
        <v>35</v>
      </c>
      <c r="E427" s="44" t="s">
        <v>868</v>
      </c>
      <c r="F427" s="2" t="s">
        <v>1157</v>
      </c>
      <c r="G427" s="2" t="s">
        <v>1157</v>
      </c>
      <c r="H427" s="15" t="s">
        <v>843</v>
      </c>
      <c r="I427" s="2">
        <v>23</v>
      </c>
      <c r="J427" s="2">
        <v>23</v>
      </c>
      <c r="K427" s="15"/>
      <c r="L427" s="46"/>
      <c r="M427" s="46"/>
      <c r="N427" s="15"/>
      <c r="Q427" s="15"/>
    </row>
    <row r="428" spans="1:19" ht="14.1" customHeight="1" x14ac:dyDescent="0.2">
      <c r="A428" s="2" t="s">
        <v>813</v>
      </c>
      <c r="B428" s="2" t="s">
        <v>89</v>
      </c>
      <c r="C428" s="2">
        <v>2</v>
      </c>
      <c r="D428" s="2" t="s">
        <v>36</v>
      </c>
      <c r="E428" s="44" t="s">
        <v>868</v>
      </c>
      <c r="F428" s="2" t="s">
        <v>1157</v>
      </c>
      <c r="G428" s="2" t="s">
        <v>1157</v>
      </c>
      <c r="H428" s="15" t="s">
        <v>843</v>
      </c>
      <c r="I428" s="2">
        <v>34</v>
      </c>
      <c r="J428" s="2">
        <v>34</v>
      </c>
      <c r="K428" s="15"/>
      <c r="L428" s="46"/>
      <c r="M428" s="46"/>
      <c r="N428" s="15"/>
      <c r="Q428" s="15"/>
    </row>
    <row r="429" spans="1:19" ht="14.1" customHeight="1" x14ac:dyDescent="0.2">
      <c r="A429" s="2" t="s">
        <v>814</v>
      </c>
      <c r="B429" s="2" t="s">
        <v>89</v>
      </c>
      <c r="C429" s="2">
        <v>2</v>
      </c>
      <c r="D429" s="2" t="s">
        <v>37</v>
      </c>
      <c r="E429" s="44" t="s">
        <v>868</v>
      </c>
      <c r="F429" s="2" t="s">
        <v>1157</v>
      </c>
      <c r="G429" s="2" t="s">
        <v>1157</v>
      </c>
      <c r="H429" s="15" t="s">
        <v>843</v>
      </c>
      <c r="I429" s="2">
        <v>47</v>
      </c>
      <c r="J429" s="2">
        <v>47</v>
      </c>
      <c r="K429" s="15"/>
      <c r="L429" s="46"/>
      <c r="M429" s="46"/>
      <c r="N429" s="15"/>
      <c r="Q429" s="15"/>
    </row>
    <row r="430" spans="1:19" ht="14.1" customHeight="1" x14ac:dyDescent="0.2">
      <c r="A430" s="2" t="s">
        <v>815</v>
      </c>
      <c r="B430" s="2" t="s">
        <v>89</v>
      </c>
      <c r="C430" s="2">
        <v>2</v>
      </c>
      <c r="D430" s="2" t="s">
        <v>38</v>
      </c>
      <c r="E430" s="44" t="s">
        <v>868</v>
      </c>
      <c r="F430" s="2" t="s">
        <v>1157</v>
      </c>
      <c r="G430" s="2" t="s">
        <v>1157</v>
      </c>
      <c r="H430" s="15" t="s">
        <v>843</v>
      </c>
      <c r="I430" s="2">
        <v>54</v>
      </c>
      <c r="J430" s="2">
        <v>54</v>
      </c>
      <c r="K430" s="15" t="s">
        <v>844</v>
      </c>
      <c r="L430" s="46">
        <v>4</v>
      </c>
      <c r="M430" s="46">
        <v>4</v>
      </c>
      <c r="N430" s="15"/>
      <c r="Q430" s="15"/>
    </row>
    <row r="431" spans="1:19" ht="14.1" customHeight="1" x14ac:dyDescent="0.2">
      <c r="A431" s="2" t="s">
        <v>816</v>
      </c>
      <c r="B431" s="2" t="s">
        <v>89</v>
      </c>
      <c r="C431" s="2">
        <v>2</v>
      </c>
      <c r="D431" s="2" t="s">
        <v>39</v>
      </c>
      <c r="E431" s="44" t="s">
        <v>868</v>
      </c>
      <c r="F431" s="2" t="s">
        <v>1157</v>
      </c>
      <c r="G431" s="2" t="s">
        <v>1157</v>
      </c>
      <c r="H431" s="15" t="s">
        <v>843</v>
      </c>
      <c r="I431" s="2">
        <v>62</v>
      </c>
      <c r="J431" s="2">
        <v>62</v>
      </c>
      <c r="K431" s="15" t="s">
        <v>844</v>
      </c>
      <c r="L431" s="46">
        <v>9</v>
      </c>
      <c r="M431" s="46">
        <v>9</v>
      </c>
      <c r="N431" s="15"/>
      <c r="Q431" s="15"/>
    </row>
    <row r="432" spans="1:19" ht="14.1" customHeight="1" x14ac:dyDescent="0.2">
      <c r="A432" s="2" t="s">
        <v>817</v>
      </c>
      <c r="B432" s="2" t="s">
        <v>89</v>
      </c>
      <c r="C432" s="2">
        <v>2</v>
      </c>
      <c r="D432" s="2" t="s">
        <v>40</v>
      </c>
      <c r="E432" s="44" t="s">
        <v>868</v>
      </c>
      <c r="F432" s="2" t="s">
        <v>1157</v>
      </c>
      <c r="G432" s="2" t="s">
        <v>1157</v>
      </c>
      <c r="H432" s="15" t="s">
        <v>843</v>
      </c>
      <c r="I432" s="2">
        <v>85</v>
      </c>
      <c r="J432" s="2">
        <v>85</v>
      </c>
      <c r="K432" s="15" t="s">
        <v>844</v>
      </c>
      <c r="L432" s="46">
        <v>12</v>
      </c>
      <c r="M432" s="46">
        <v>12</v>
      </c>
      <c r="N432" s="15"/>
      <c r="Q432" s="15"/>
    </row>
    <row r="433" spans="1:19" ht="14.1" customHeight="1" x14ac:dyDescent="0.2">
      <c r="A433" s="2" t="s">
        <v>818</v>
      </c>
      <c r="B433" s="2" t="s">
        <v>89</v>
      </c>
      <c r="C433" s="2">
        <v>2</v>
      </c>
      <c r="D433" s="2" t="s">
        <v>41</v>
      </c>
      <c r="E433" s="44" t="s">
        <v>868</v>
      </c>
      <c r="F433" s="2" t="s">
        <v>1157</v>
      </c>
      <c r="G433" s="2" t="s">
        <v>1157</v>
      </c>
      <c r="H433" s="15" t="s">
        <v>843</v>
      </c>
      <c r="I433" s="2">
        <v>115</v>
      </c>
      <c r="J433" s="2">
        <v>115</v>
      </c>
      <c r="K433" s="15" t="s">
        <v>844</v>
      </c>
      <c r="L433" s="46">
        <v>16</v>
      </c>
      <c r="M433" s="46">
        <v>16</v>
      </c>
      <c r="N433" s="15"/>
      <c r="Q433" s="15"/>
    </row>
    <row r="434" spans="1:19" ht="14.1" customHeight="1" x14ac:dyDescent="0.2">
      <c r="A434" s="2" t="s">
        <v>819</v>
      </c>
      <c r="B434" s="2" t="s">
        <v>89</v>
      </c>
      <c r="C434" s="2">
        <v>2</v>
      </c>
      <c r="D434" s="2" t="s">
        <v>42</v>
      </c>
      <c r="E434" s="44" t="s">
        <v>868</v>
      </c>
      <c r="F434" s="2" t="s">
        <v>1157</v>
      </c>
      <c r="G434" s="2" t="s">
        <v>1157</v>
      </c>
      <c r="H434" s="15" t="s">
        <v>843</v>
      </c>
      <c r="I434" s="2">
        <v>150</v>
      </c>
      <c r="J434" s="2">
        <v>150</v>
      </c>
      <c r="K434" s="15" t="s">
        <v>844</v>
      </c>
      <c r="L434" s="46">
        <v>22</v>
      </c>
      <c r="M434" s="46">
        <v>22</v>
      </c>
      <c r="N434" s="15"/>
      <c r="Q434" s="15"/>
    </row>
    <row r="435" spans="1:19" ht="14.1" customHeight="1" x14ac:dyDescent="0.2">
      <c r="A435" s="2" t="s">
        <v>820</v>
      </c>
      <c r="B435" s="2" t="s">
        <v>89</v>
      </c>
      <c r="C435" s="2">
        <v>2</v>
      </c>
      <c r="D435" s="2" t="s">
        <v>43</v>
      </c>
      <c r="E435" s="44" t="s">
        <v>868</v>
      </c>
      <c r="F435" s="2" t="s">
        <v>1157</v>
      </c>
      <c r="G435" s="2" t="s">
        <v>1157</v>
      </c>
      <c r="H435" s="15" t="s">
        <v>843</v>
      </c>
      <c r="I435" s="2">
        <v>150</v>
      </c>
      <c r="J435" s="2">
        <v>150</v>
      </c>
      <c r="K435" s="15" t="s">
        <v>844</v>
      </c>
      <c r="L435" s="46">
        <v>25</v>
      </c>
      <c r="M435" s="46">
        <v>25</v>
      </c>
      <c r="N435" s="15" t="s">
        <v>95</v>
      </c>
      <c r="O435" s="2">
        <v>11</v>
      </c>
      <c r="P435" s="2">
        <v>11</v>
      </c>
      <c r="Q435" s="15"/>
    </row>
    <row r="436" spans="1:19" ht="14.1" customHeight="1" x14ac:dyDescent="0.2">
      <c r="A436" s="2" t="s">
        <v>821</v>
      </c>
      <c r="B436" s="2" t="s">
        <v>89</v>
      </c>
      <c r="C436" s="2">
        <v>2</v>
      </c>
      <c r="D436" s="2" t="s">
        <v>44</v>
      </c>
      <c r="E436" s="44" t="s">
        <v>868</v>
      </c>
      <c r="F436" s="2" t="s">
        <v>1157</v>
      </c>
      <c r="G436" s="2" t="s">
        <v>1157</v>
      </c>
      <c r="H436" s="15" t="s">
        <v>843</v>
      </c>
      <c r="I436" s="2">
        <v>150</v>
      </c>
      <c r="J436" s="2">
        <v>150</v>
      </c>
      <c r="K436" s="15" t="s">
        <v>844</v>
      </c>
      <c r="L436" s="47">
        <v>41</v>
      </c>
      <c r="M436" s="47">
        <v>41</v>
      </c>
      <c r="N436" s="15" t="s">
        <v>95</v>
      </c>
      <c r="O436" s="2">
        <v>20</v>
      </c>
      <c r="P436" s="2">
        <v>20</v>
      </c>
      <c r="Q436" s="15"/>
    </row>
    <row r="437" spans="1:19" ht="14.1" customHeight="1" x14ac:dyDescent="0.2">
      <c r="A437" s="2" t="s">
        <v>822</v>
      </c>
      <c r="B437" s="2" t="s">
        <v>89</v>
      </c>
      <c r="C437" s="2">
        <v>2</v>
      </c>
      <c r="D437" s="2" t="s">
        <v>45</v>
      </c>
      <c r="E437" s="44" t="s">
        <v>868</v>
      </c>
      <c r="F437" s="2" t="s">
        <v>1157</v>
      </c>
      <c r="G437" s="2" t="s">
        <v>1157</v>
      </c>
      <c r="H437" s="15" t="s">
        <v>843</v>
      </c>
      <c r="I437" s="2">
        <v>150</v>
      </c>
      <c r="J437" s="2">
        <v>150</v>
      </c>
      <c r="K437" s="15" t="s">
        <v>844</v>
      </c>
      <c r="L437" s="47">
        <v>69</v>
      </c>
      <c r="M437" s="47">
        <v>69</v>
      </c>
      <c r="N437" s="15" t="s">
        <v>95</v>
      </c>
      <c r="O437" s="2">
        <v>35</v>
      </c>
      <c r="P437" s="2">
        <v>35</v>
      </c>
      <c r="Q437" s="15"/>
    </row>
    <row r="438" spans="1:19" ht="14.1" customHeight="1" x14ac:dyDescent="0.2">
      <c r="A438" s="2" t="s">
        <v>823</v>
      </c>
      <c r="B438" s="2" t="s">
        <v>89</v>
      </c>
      <c r="C438" s="2">
        <v>2</v>
      </c>
      <c r="D438" s="2" t="s">
        <v>46</v>
      </c>
      <c r="E438" s="44" t="s">
        <v>868</v>
      </c>
      <c r="F438" s="2" t="s">
        <v>1157</v>
      </c>
      <c r="G438" s="2" t="s">
        <v>1157</v>
      </c>
      <c r="H438" s="15" t="s">
        <v>843</v>
      </c>
      <c r="I438" s="2">
        <v>150</v>
      </c>
      <c r="J438" s="2">
        <v>150</v>
      </c>
      <c r="K438" s="15" t="s">
        <v>844</v>
      </c>
      <c r="L438" s="47">
        <v>80</v>
      </c>
      <c r="M438" s="47">
        <v>80</v>
      </c>
      <c r="N438" s="15" t="s">
        <v>95</v>
      </c>
      <c r="O438" s="2">
        <v>45</v>
      </c>
      <c r="P438" s="2">
        <v>45</v>
      </c>
      <c r="Q438" s="15"/>
    </row>
    <row r="439" spans="1:19" ht="14.1" customHeight="1" x14ac:dyDescent="0.2">
      <c r="A439" s="2" t="s">
        <v>824</v>
      </c>
      <c r="B439" s="2" t="s">
        <v>89</v>
      </c>
      <c r="C439" s="2">
        <v>2</v>
      </c>
      <c r="D439" s="2" t="s">
        <v>47</v>
      </c>
      <c r="E439" s="44" t="s">
        <v>868</v>
      </c>
      <c r="F439" s="2" t="s">
        <v>1157</v>
      </c>
      <c r="G439" s="2" t="s">
        <v>1157</v>
      </c>
      <c r="H439" s="15" t="s">
        <v>843</v>
      </c>
      <c r="I439" s="2">
        <v>150</v>
      </c>
      <c r="J439" s="2">
        <v>150</v>
      </c>
      <c r="K439" s="15" t="s">
        <v>844</v>
      </c>
      <c r="L439" s="47">
        <v>107</v>
      </c>
      <c r="M439" s="47">
        <v>107</v>
      </c>
      <c r="N439" s="15" t="s">
        <v>95</v>
      </c>
      <c r="O439" s="2">
        <v>70</v>
      </c>
      <c r="P439" s="2">
        <v>70</v>
      </c>
      <c r="Q439" s="15"/>
    </row>
    <row r="440" spans="1:19" ht="14.1" customHeight="1" x14ac:dyDescent="0.2">
      <c r="A440" s="2" t="s">
        <v>825</v>
      </c>
      <c r="B440" s="2" t="s">
        <v>89</v>
      </c>
      <c r="C440" s="2">
        <v>2</v>
      </c>
      <c r="D440" s="2" t="s">
        <v>48</v>
      </c>
      <c r="E440" s="44" t="s">
        <v>868</v>
      </c>
      <c r="F440" s="2" t="s">
        <v>1157</v>
      </c>
      <c r="G440" s="2" t="s">
        <v>1157</v>
      </c>
      <c r="H440" s="15" t="s">
        <v>843</v>
      </c>
      <c r="I440" s="2">
        <v>200</v>
      </c>
      <c r="J440" s="2">
        <v>200</v>
      </c>
      <c r="K440" s="15" t="s">
        <v>844</v>
      </c>
      <c r="L440" s="47">
        <v>120</v>
      </c>
      <c r="M440" s="47">
        <v>120</v>
      </c>
      <c r="N440" s="15" t="s">
        <v>95</v>
      </c>
      <c r="O440" s="2">
        <v>77</v>
      </c>
      <c r="P440" s="2">
        <v>77</v>
      </c>
      <c r="Q440" s="15" t="s">
        <v>96</v>
      </c>
      <c r="R440" s="2">
        <v>5</v>
      </c>
      <c r="S440" s="2">
        <v>5</v>
      </c>
    </row>
    <row r="441" spans="1:19" ht="14.1" customHeight="1" x14ac:dyDescent="0.2">
      <c r="A441" s="2" t="s">
        <v>826</v>
      </c>
      <c r="B441" s="2" t="s">
        <v>89</v>
      </c>
      <c r="C441" s="2">
        <v>2</v>
      </c>
      <c r="D441" s="2" t="s">
        <v>49</v>
      </c>
      <c r="E441" s="44" t="s">
        <v>868</v>
      </c>
      <c r="F441" s="2" t="s">
        <v>1157</v>
      </c>
      <c r="G441" s="2" t="s">
        <v>1157</v>
      </c>
      <c r="H441" s="15" t="s">
        <v>843</v>
      </c>
      <c r="I441" s="2">
        <v>200</v>
      </c>
      <c r="J441" s="2">
        <v>200</v>
      </c>
      <c r="K441" s="15" t="s">
        <v>844</v>
      </c>
      <c r="L441" s="47">
        <v>150</v>
      </c>
      <c r="M441" s="47">
        <v>150</v>
      </c>
      <c r="N441" s="15" t="s">
        <v>95</v>
      </c>
      <c r="O441" s="2">
        <v>95</v>
      </c>
      <c r="P441" s="2">
        <v>95</v>
      </c>
      <c r="Q441" s="15" t="s">
        <v>96</v>
      </c>
      <c r="R441" s="2">
        <v>15</v>
      </c>
      <c r="S441" s="2">
        <v>15</v>
      </c>
    </row>
    <row r="442" spans="1:19" ht="14.1" customHeight="1" x14ac:dyDescent="0.2">
      <c r="A442" s="2" t="s">
        <v>827</v>
      </c>
      <c r="B442" s="2" t="s">
        <v>89</v>
      </c>
      <c r="C442" s="2">
        <v>2</v>
      </c>
      <c r="D442" s="2" t="s">
        <v>50</v>
      </c>
      <c r="E442" s="44" t="s">
        <v>868</v>
      </c>
      <c r="F442" s="2" t="s">
        <v>1157</v>
      </c>
      <c r="G442" s="2" t="s">
        <v>1157</v>
      </c>
      <c r="H442" s="15" t="s">
        <v>843</v>
      </c>
      <c r="I442" s="2">
        <v>200</v>
      </c>
      <c r="J442" s="2">
        <v>200</v>
      </c>
      <c r="K442" s="15" t="s">
        <v>844</v>
      </c>
      <c r="L442" s="47">
        <v>200</v>
      </c>
      <c r="M442" s="47">
        <v>200</v>
      </c>
      <c r="N442" s="15" t="s">
        <v>95</v>
      </c>
      <c r="O442" s="2">
        <v>113</v>
      </c>
      <c r="P442" s="2">
        <v>113</v>
      </c>
      <c r="Q442" s="15" t="s">
        <v>96</v>
      </c>
      <c r="R442" s="2">
        <v>25</v>
      </c>
      <c r="S442" s="2">
        <v>25</v>
      </c>
    </row>
    <row r="443" spans="1:19" ht="14.1" customHeight="1" x14ac:dyDescent="0.2">
      <c r="A443" s="2" t="s">
        <v>828</v>
      </c>
      <c r="B443" s="2" t="s">
        <v>89</v>
      </c>
      <c r="C443" s="2">
        <v>2</v>
      </c>
      <c r="D443" s="2" t="s">
        <v>51</v>
      </c>
      <c r="E443" s="44" t="s">
        <v>868</v>
      </c>
      <c r="F443" s="2" t="s">
        <v>1157</v>
      </c>
      <c r="G443" s="2" t="s">
        <v>1157</v>
      </c>
      <c r="H443" s="15" t="s">
        <v>843</v>
      </c>
      <c r="I443" s="2">
        <v>200</v>
      </c>
      <c r="J443" s="2">
        <v>200</v>
      </c>
      <c r="K443" s="15" t="s">
        <v>844</v>
      </c>
      <c r="L443" s="47">
        <v>200</v>
      </c>
      <c r="M443" s="47">
        <v>200</v>
      </c>
      <c r="N443" s="15" t="s">
        <v>95</v>
      </c>
      <c r="O443" s="2">
        <v>155</v>
      </c>
      <c r="P443" s="2">
        <v>155</v>
      </c>
      <c r="Q443" s="15" t="s">
        <v>96</v>
      </c>
      <c r="R443" s="2">
        <v>45</v>
      </c>
      <c r="S443" s="2">
        <v>45</v>
      </c>
    </row>
    <row r="444" spans="1:19" ht="14.1" customHeight="1" x14ac:dyDescent="0.2">
      <c r="A444" s="2" t="s">
        <v>829</v>
      </c>
      <c r="B444" s="2" t="s">
        <v>89</v>
      </c>
      <c r="C444" s="2">
        <v>2</v>
      </c>
      <c r="D444" s="2" t="s">
        <v>52</v>
      </c>
      <c r="E444" s="44" t="s">
        <v>868</v>
      </c>
      <c r="F444" s="2" t="s">
        <v>1157</v>
      </c>
      <c r="G444" s="2" t="s">
        <v>1157</v>
      </c>
      <c r="H444" s="15" t="s">
        <v>843</v>
      </c>
      <c r="I444" s="2">
        <v>200</v>
      </c>
      <c r="J444" s="2">
        <v>200</v>
      </c>
      <c r="K444" s="15" t="s">
        <v>844</v>
      </c>
      <c r="L444" s="47">
        <v>200</v>
      </c>
      <c r="M444" s="47">
        <v>200</v>
      </c>
      <c r="N444" s="15" t="s">
        <v>95</v>
      </c>
      <c r="O444" s="2">
        <v>195</v>
      </c>
      <c r="P444" s="2">
        <v>195</v>
      </c>
      <c r="Q444" s="15" t="s">
        <v>96</v>
      </c>
      <c r="R444" s="2">
        <v>75</v>
      </c>
      <c r="S444" s="2">
        <v>75</v>
      </c>
    </row>
  </sheetData>
  <mergeCells count="6">
    <mergeCell ref="Q1:S1"/>
    <mergeCell ref="A1:D1"/>
    <mergeCell ref="E1:G1"/>
    <mergeCell ref="H1:J1"/>
    <mergeCell ref="K1:M1"/>
    <mergeCell ref="N1:P1"/>
  </mergeCells>
  <phoneticPr fontId="10" type="noConversion"/>
  <conditionalFormatting sqref="E4">
    <cfRule type="duplicateValues" dxfId="1454" priority="1325"/>
  </conditionalFormatting>
  <conditionalFormatting sqref="E4">
    <cfRule type="duplicateValues" dxfId="1453" priority="1326"/>
  </conditionalFormatting>
  <conditionalFormatting sqref="E4">
    <cfRule type="duplicateValues" dxfId="1452" priority="1327"/>
  </conditionalFormatting>
  <conditionalFormatting sqref="E5">
    <cfRule type="duplicateValues" dxfId="1451" priority="1322"/>
  </conditionalFormatting>
  <conditionalFormatting sqref="E5">
    <cfRule type="duplicateValues" dxfId="1450" priority="1323"/>
  </conditionalFormatting>
  <conditionalFormatting sqref="E5">
    <cfRule type="duplicateValues" dxfId="1449" priority="1324"/>
  </conditionalFormatting>
  <conditionalFormatting sqref="E6">
    <cfRule type="duplicateValues" dxfId="1448" priority="1319"/>
  </conditionalFormatting>
  <conditionalFormatting sqref="E6">
    <cfRule type="duplicateValues" dxfId="1447" priority="1320"/>
  </conditionalFormatting>
  <conditionalFormatting sqref="E6">
    <cfRule type="duplicateValues" dxfId="1446" priority="1321"/>
  </conditionalFormatting>
  <conditionalFormatting sqref="E7">
    <cfRule type="duplicateValues" dxfId="1445" priority="1316"/>
  </conditionalFormatting>
  <conditionalFormatting sqref="E7">
    <cfRule type="duplicateValues" dxfId="1444" priority="1317"/>
  </conditionalFormatting>
  <conditionalFormatting sqref="E7">
    <cfRule type="duplicateValues" dxfId="1443" priority="1318"/>
  </conditionalFormatting>
  <conditionalFormatting sqref="E8">
    <cfRule type="duplicateValues" dxfId="1442" priority="1313"/>
  </conditionalFormatting>
  <conditionalFormatting sqref="E8">
    <cfRule type="duplicateValues" dxfId="1441" priority="1314"/>
  </conditionalFormatting>
  <conditionalFormatting sqref="E8">
    <cfRule type="duplicateValues" dxfId="1440" priority="1315"/>
  </conditionalFormatting>
  <conditionalFormatting sqref="E9">
    <cfRule type="duplicateValues" dxfId="1439" priority="1310"/>
  </conditionalFormatting>
  <conditionalFormatting sqref="E9">
    <cfRule type="duplicateValues" dxfId="1438" priority="1311"/>
  </conditionalFormatting>
  <conditionalFormatting sqref="E9">
    <cfRule type="duplicateValues" dxfId="1437" priority="1312"/>
  </conditionalFormatting>
  <conditionalFormatting sqref="E10">
    <cfRule type="duplicateValues" dxfId="1436" priority="1307"/>
  </conditionalFormatting>
  <conditionalFormatting sqref="E10">
    <cfRule type="duplicateValues" dxfId="1435" priority="1308"/>
  </conditionalFormatting>
  <conditionalFormatting sqref="E10">
    <cfRule type="duplicateValues" dxfId="1434" priority="1309"/>
  </conditionalFormatting>
  <conditionalFormatting sqref="E11">
    <cfRule type="duplicateValues" dxfId="1433" priority="1304"/>
  </conditionalFormatting>
  <conditionalFormatting sqref="E11">
    <cfRule type="duplicateValues" dxfId="1432" priority="1305"/>
  </conditionalFormatting>
  <conditionalFormatting sqref="E11">
    <cfRule type="duplicateValues" dxfId="1431" priority="1306"/>
  </conditionalFormatting>
  <conditionalFormatting sqref="E12">
    <cfRule type="duplicateValues" dxfId="1430" priority="1301"/>
  </conditionalFormatting>
  <conditionalFormatting sqref="E12">
    <cfRule type="duplicateValues" dxfId="1429" priority="1302"/>
  </conditionalFormatting>
  <conditionalFormatting sqref="E12">
    <cfRule type="duplicateValues" dxfId="1428" priority="1303"/>
  </conditionalFormatting>
  <conditionalFormatting sqref="E13">
    <cfRule type="duplicateValues" dxfId="1427" priority="1298"/>
  </conditionalFormatting>
  <conditionalFormatting sqref="E13">
    <cfRule type="duplicateValues" dxfId="1426" priority="1299"/>
  </conditionalFormatting>
  <conditionalFormatting sqref="E13">
    <cfRule type="duplicateValues" dxfId="1425" priority="1300"/>
  </conditionalFormatting>
  <conditionalFormatting sqref="E14">
    <cfRule type="duplicateValues" dxfId="1424" priority="1295"/>
  </conditionalFormatting>
  <conditionalFormatting sqref="E14">
    <cfRule type="duplicateValues" dxfId="1423" priority="1296"/>
  </conditionalFormatting>
  <conditionalFormatting sqref="E14">
    <cfRule type="duplicateValues" dxfId="1422" priority="1297"/>
  </conditionalFormatting>
  <conditionalFormatting sqref="E15">
    <cfRule type="duplicateValues" dxfId="1421" priority="1292"/>
  </conditionalFormatting>
  <conditionalFormatting sqref="E15">
    <cfRule type="duplicateValues" dxfId="1420" priority="1293"/>
  </conditionalFormatting>
  <conditionalFormatting sqref="E15">
    <cfRule type="duplicateValues" dxfId="1419" priority="1294"/>
  </conditionalFormatting>
  <conditionalFormatting sqref="E16">
    <cfRule type="duplicateValues" dxfId="1418" priority="1289"/>
  </conditionalFormatting>
  <conditionalFormatting sqref="E16">
    <cfRule type="duplicateValues" dxfId="1417" priority="1290"/>
  </conditionalFormatting>
  <conditionalFormatting sqref="E16">
    <cfRule type="duplicateValues" dxfId="1416" priority="1291"/>
  </conditionalFormatting>
  <conditionalFormatting sqref="E17">
    <cfRule type="duplicateValues" dxfId="1415" priority="1286"/>
  </conditionalFormatting>
  <conditionalFormatting sqref="E17">
    <cfRule type="duplicateValues" dxfId="1414" priority="1287"/>
  </conditionalFormatting>
  <conditionalFormatting sqref="E17">
    <cfRule type="duplicateValues" dxfId="1413" priority="1288"/>
  </conditionalFormatting>
  <conditionalFormatting sqref="E18">
    <cfRule type="duplicateValues" dxfId="1412" priority="1283"/>
  </conditionalFormatting>
  <conditionalFormatting sqref="E18">
    <cfRule type="duplicateValues" dxfId="1411" priority="1284"/>
  </conditionalFormatting>
  <conditionalFormatting sqref="E18">
    <cfRule type="duplicateValues" dxfId="1410" priority="1285"/>
  </conditionalFormatting>
  <conditionalFormatting sqref="E19">
    <cfRule type="duplicateValues" dxfId="1409" priority="1280"/>
  </conditionalFormatting>
  <conditionalFormatting sqref="E19">
    <cfRule type="duplicateValues" dxfId="1408" priority="1281"/>
  </conditionalFormatting>
  <conditionalFormatting sqref="E19">
    <cfRule type="duplicateValues" dxfId="1407" priority="1282"/>
  </conditionalFormatting>
  <conditionalFormatting sqref="E20">
    <cfRule type="duplicateValues" dxfId="1406" priority="1277"/>
  </conditionalFormatting>
  <conditionalFormatting sqref="E20">
    <cfRule type="duplicateValues" dxfId="1405" priority="1278"/>
  </conditionalFormatting>
  <conditionalFormatting sqref="E20">
    <cfRule type="duplicateValues" dxfId="1404" priority="1279"/>
  </conditionalFormatting>
  <conditionalFormatting sqref="E21">
    <cfRule type="duplicateValues" dxfId="1403" priority="1274"/>
  </conditionalFormatting>
  <conditionalFormatting sqref="E21">
    <cfRule type="duplicateValues" dxfId="1402" priority="1275"/>
  </conditionalFormatting>
  <conditionalFormatting sqref="E21">
    <cfRule type="duplicateValues" dxfId="1401" priority="1276"/>
  </conditionalFormatting>
  <conditionalFormatting sqref="E22">
    <cfRule type="duplicateValues" dxfId="1400" priority="1271"/>
  </conditionalFormatting>
  <conditionalFormatting sqref="E22">
    <cfRule type="duplicateValues" dxfId="1399" priority="1272"/>
  </conditionalFormatting>
  <conditionalFormatting sqref="E22">
    <cfRule type="duplicateValues" dxfId="1398" priority="1273"/>
  </conditionalFormatting>
  <conditionalFormatting sqref="E23">
    <cfRule type="duplicateValues" dxfId="1397" priority="1268"/>
  </conditionalFormatting>
  <conditionalFormatting sqref="E23">
    <cfRule type="duplicateValues" dxfId="1396" priority="1269"/>
  </conditionalFormatting>
  <conditionalFormatting sqref="E23">
    <cfRule type="duplicateValues" dxfId="1395" priority="1270"/>
  </conditionalFormatting>
  <conditionalFormatting sqref="E24">
    <cfRule type="duplicateValues" dxfId="1394" priority="1265"/>
  </conditionalFormatting>
  <conditionalFormatting sqref="E24">
    <cfRule type="duplicateValues" dxfId="1393" priority="1266"/>
  </conditionalFormatting>
  <conditionalFormatting sqref="E24">
    <cfRule type="duplicateValues" dxfId="1392" priority="1267"/>
  </conditionalFormatting>
  <conditionalFormatting sqref="E25">
    <cfRule type="duplicateValues" dxfId="1391" priority="1259"/>
  </conditionalFormatting>
  <conditionalFormatting sqref="E25">
    <cfRule type="duplicateValues" dxfId="1390" priority="1260"/>
  </conditionalFormatting>
  <conditionalFormatting sqref="E25">
    <cfRule type="duplicateValues" dxfId="1389" priority="1261"/>
  </conditionalFormatting>
  <conditionalFormatting sqref="E26">
    <cfRule type="duplicateValues" dxfId="1388" priority="1256"/>
  </conditionalFormatting>
  <conditionalFormatting sqref="E26">
    <cfRule type="duplicateValues" dxfId="1387" priority="1257"/>
  </conditionalFormatting>
  <conditionalFormatting sqref="E26">
    <cfRule type="duplicateValues" dxfId="1386" priority="1258"/>
  </conditionalFormatting>
  <conditionalFormatting sqref="E27">
    <cfRule type="duplicateValues" dxfId="1385" priority="1253"/>
  </conditionalFormatting>
  <conditionalFormatting sqref="E27">
    <cfRule type="duplicateValues" dxfId="1384" priority="1254"/>
  </conditionalFormatting>
  <conditionalFormatting sqref="E27">
    <cfRule type="duplicateValues" dxfId="1383" priority="1255"/>
  </conditionalFormatting>
  <conditionalFormatting sqref="E28">
    <cfRule type="duplicateValues" dxfId="1382" priority="1250"/>
  </conditionalFormatting>
  <conditionalFormatting sqref="E28">
    <cfRule type="duplicateValues" dxfId="1381" priority="1251"/>
  </conditionalFormatting>
  <conditionalFormatting sqref="E28">
    <cfRule type="duplicateValues" dxfId="1380" priority="1252"/>
  </conditionalFormatting>
  <conditionalFormatting sqref="E29">
    <cfRule type="duplicateValues" dxfId="1379" priority="1247"/>
  </conditionalFormatting>
  <conditionalFormatting sqref="E29">
    <cfRule type="duplicateValues" dxfId="1378" priority="1248"/>
  </conditionalFormatting>
  <conditionalFormatting sqref="E29">
    <cfRule type="duplicateValues" dxfId="1377" priority="1249"/>
  </conditionalFormatting>
  <conditionalFormatting sqref="E30">
    <cfRule type="duplicateValues" dxfId="1376" priority="1244"/>
  </conditionalFormatting>
  <conditionalFormatting sqref="E30">
    <cfRule type="duplicateValues" dxfId="1375" priority="1245"/>
  </conditionalFormatting>
  <conditionalFormatting sqref="E30">
    <cfRule type="duplicateValues" dxfId="1374" priority="1246"/>
  </conditionalFormatting>
  <conditionalFormatting sqref="E31">
    <cfRule type="duplicateValues" dxfId="1373" priority="1241"/>
  </conditionalFormatting>
  <conditionalFormatting sqref="E31">
    <cfRule type="duplicateValues" dxfId="1372" priority="1242"/>
  </conditionalFormatting>
  <conditionalFormatting sqref="E31">
    <cfRule type="duplicateValues" dxfId="1371" priority="1243"/>
  </conditionalFormatting>
  <conditionalFormatting sqref="E32">
    <cfRule type="duplicateValues" dxfId="1370" priority="1238"/>
  </conditionalFormatting>
  <conditionalFormatting sqref="E32">
    <cfRule type="duplicateValues" dxfId="1369" priority="1239"/>
  </conditionalFormatting>
  <conditionalFormatting sqref="E32">
    <cfRule type="duplicateValues" dxfId="1368" priority="1240"/>
  </conditionalFormatting>
  <conditionalFormatting sqref="E33">
    <cfRule type="duplicateValues" dxfId="1367" priority="1235"/>
  </conditionalFormatting>
  <conditionalFormatting sqref="E33">
    <cfRule type="duplicateValues" dxfId="1366" priority="1236"/>
  </conditionalFormatting>
  <conditionalFormatting sqref="E33">
    <cfRule type="duplicateValues" dxfId="1365" priority="1237"/>
  </conditionalFormatting>
  <conditionalFormatting sqref="E34">
    <cfRule type="duplicateValues" dxfId="1364" priority="1232"/>
  </conditionalFormatting>
  <conditionalFormatting sqref="E34">
    <cfRule type="duplicateValues" dxfId="1363" priority="1233"/>
  </conditionalFormatting>
  <conditionalFormatting sqref="E34">
    <cfRule type="duplicateValues" dxfId="1362" priority="1234"/>
  </conditionalFormatting>
  <conditionalFormatting sqref="E35">
    <cfRule type="duplicateValues" dxfId="1361" priority="1229"/>
  </conditionalFormatting>
  <conditionalFormatting sqref="E35">
    <cfRule type="duplicateValues" dxfId="1360" priority="1230"/>
  </conditionalFormatting>
  <conditionalFormatting sqref="E35">
    <cfRule type="duplicateValues" dxfId="1359" priority="1231"/>
  </conditionalFormatting>
  <conditionalFormatting sqref="E36">
    <cfRule type="duplicateValues" dxfId="1358" priority="1226"/>
  </conditionalFormatting>
  <conditionalFormatting sqref="E36">
    <cfRule type="duplicateValues" dxfId="1357" priority="1227"/>
  </conditionalFormatting>
  <conditionalFormatting sqref="E36">
    <cfRule type="duplicateValues" dxfId="1356" priority="1228"/>
  </conditionalFormatting>
  <conditionalFormatting sqref="E37">
    <cfRule type="duplicateValues" dxfId="1355" priority="1223"/>
  </conditionalFormatting>
  <conditionalFormatting sqref="E37">
    <cfRule type="duplicateValues" dxfId="1354" priority="1224"/>
  </conditionalFormatting>
  <conditionalFormatting sqref="E37">
    <cfRule type="duplicateValues" dxfId="1353" priority="1225"/>
  </conditionalFormatting>
  <conditionalFormatting sqref="E38">
    <cfRule type="duplicateValues" dxfId="1352" priority="1220"/>
  </conditionalFormatting>
  <conditionalFormatting sqref="E38">
    <cfRule type="duplicateValues" dxfId="1351" priority="1221"/>
  </conditionalFormatting>
  <conditionalFormatting sqref="E38">
    <cfRule type="duplicateValues" dxfId="1350" priority="1222"/>
  </conditionalFormatting>
  <conditionalFormatting sqref="E39">
    <cfRule type="duplicateValues" dxfId="1349" priority="1217"/>
  </conditionalFormatting>
  <conditionalFormatting sqref="E39">
    <cfRule type="duplicateValues" dxfId="1348" priority="1218"/>
  </conditionalFormatting>
  <conditionalFormatting sqref="E39">
    <cfRule type="duplicateValues" dxfId="1347" priority="1219"/>
  </conditionalFormatting>
  <conditionalFormatting sqref="E40">
    <cfRule type="duplicateValues" dxfId="1346" priority="1214"/>
  </conditionalFormatting>
  <conditionalFormatting sqref="E40">
    <cfRule type="duplicateValues" dxfId="1345" priority="1215"/>
  </conditionalFormatting>
  <conditionalFormatting sqref="E40">
    <cfRule type="duplicateValues" dxfId="1344" priority="1216"/>
  </conditionalFormatting>
  <conditionalFormatting sqref="E41">
    <cfRule type="duplicateValues" dxfId="1343" priority="1211"/>
  </conditionalFormatting>
  <conditionalFormatting sqref="E41">
    <cfRule type="duplicateValues" dxfId="1342" priority="1212"/>
  </conditionalFormatting>
  <conditionalFormatting sqref="E41">
    <cfRule type="duplicateValues" dxfId="1341" priority="1213"/>
  </conditionalFormatting>
  <conditionalFormatting sqref="E42">
    <cfRule type="duplicateValues" dxfId="1340" priority="1208"/>
  </conditionalFormatting>
  <conditionalFormatting sqref="E42">
    <cfRule type="duplicateValues" dxfId="1339" priority="1209"/>
  </conditionalFormatting>
  <conditionalFormatting sqref="E42">
    <cfRule type="duplicateValues" dxfId="1338" priority="1210"/>
  </conditionalFormatting>
  <conditionalFormatting sqref="E43">
    <cfRule type="duplicateValues" dxfId="1337" priority="1205"/>
  </conditionalFormatting>
  <conditionalFormatting sqref="E43">
    <cfRule type="duplicateValues" dxfId="1336" priority="1206"/>
  </conditionalFormatting>
  <conditionalFormatting sqref="E43">
    <cfRule type="duplicateValues" dxfId="1335" priority="1207"/>
  </conditionalFormatting>
  <conditionalFormatting sqref="E44">
    <cfRule type="duplicateValues" dxfId="1334" priority="1202"/>
  </conditionalFormatting>
  <conditionalFormatting sqref="E44">
    <cfRule type="duplicateValues" dxfId="1333" priority="1203"/>
  </conditionalFormatting>
  <conditionalFormatting sqref="E44">
    <cfRule type="duplicateValues" dxfId="1332" priority="1204"/>
  </conditionalFormatting>
  <conditionalFormatting sqref="E45">
    <cfRule type="duplicateValues" dxfId="1331" priority="1199"/>
  </conditionalFormatting>
  <conditionalFormatting sqref="E45">
    <cfRule type="duplicateValues" dxfId="1330" priority="1200"/>
  </conditionalFormatting>
  <conditionalFormatting sqref="E45">
    <cfRule type="duplicateValues" dxfId="1329" priority="1201"/>
  </conditionalFormatting>
  <conditionalFormatting sqref="E46">
    <cfRule type="duplicateValues" dxfId="1328" priority="1196"/>
  </conditionalFormatting>
  <conditionalFormatting sqref="E46">
    <cfRule type="duplicateValues" dxfId="1327" priority="1197"/>
  </conditionalFormatting>
  <conditionalFormatting sqref="E46">
    <cfRule type="duplicateValues" dxfId="1326" priority="1198"/>
  </conditionalFormatting>
  <conditionalFormatting sqref="E47">
    <cfRule type="duplicateValues" dxfId="1325" priority="1193"/>
  </conditionalFormatting>
  <conditionalFormatting sqref="E47">
    <cfRule type="duplicateValues" dxfId="1324" priority="1194"/>
  </conditionalFormatting>
  <conditionalFormatting sqref="E47">
    <cfRule type="duplicateValues" dxfId="1323" priority="1195"/>
  </conditionalFormatting>
  <conditionalFormatting sqref="E48">
    <cfRule type="duplicateValues" dxfId="1322" priority="1190"/>
  </conditionalFormatting>
  <conditionalFormatting sqref="E48">
    <cfRule type="duplicateValues" dxfId="1321" priority="1191"/>
  </conditionalFormatting>
  <conditionalFormatting sqref="E48">
    <cfRule type="duplicateValues" dxfId="1320" priority="1192"/>
  </conditionalFormatting>
  <conditionalFormatting sqref="E49">
    <cfRule type="duplicateValues" dxfId="1319" priority="1187"/>
  </conditionalFormatting>
  <conditionalFormatting sqref="E49">
    <cfRule type="duplicateValues" dxfId="1318" priority="1188"/>
  </conditionalFormatting>
  <conditionalFormatting sqref="E49">
    <cfRule type="duplicateValues" dxfId="1317" priority="1189"/>
  </conditionalFormatting>
  <conditionalFormatting sqref="E50">
    <cfRule type="duplicateValues" dxfId="1316" priority="1184"/>
  </conditionalFormatting>
  <conditionalFormatting sqref="E50">
    <cfRule type="duplicateValues" dxfId="1315" priority="1185"/>
  </conditionalFormatting>
  <conditionalFormatting sqref="E50">
    <cfRule type="duplicateValues" dxfId="1314" priority="1186"/>
  </conditionalFormatting>
  <conditionalFormatting sqref="E51">
    <cfRule type="duplicateValues" dxfId="1313" priority="1181"/>
  </conditionalFormatting>
  <conditionalFormatting sqref="E51">
    <cfRule type="duplicateValues" dxfId="1312" priority="1182"/>
  </conditionalFormatting>
  <conditionalFormatting sqref="E51">
    <cfRule type="duplicateValues" dxfId="1311" priority="1183"/>
  </conditionalFormatting>
  <conditionalFormatting sqref="E52">
    <cfRule type="duplicateValues" dxfId="1310" priority="1178"/>
  </conditionalFormatting>
  <conditionalFormatting sqref="E52">
    <cfRule type="duplicateValues" dxfId="1309" priority="1179"/>
  </conditionalFormatting>
  <conditionalFormatting sqref="E52">
    <cfRule type="duplicateValues" dxfId="1308" priority="1180"/>
  </conditionalFormatting>
  <conditionalFormatting sqref="E53">
    <cfRule type="duplicateValues" dxfId="1307" priority="1175"/>
  </conditionalFormatting>
  <conditionalFormatting sqref="E53">
    <cfRule type="duplicateValues" dxfId="1306" priority="1176"/>
  </conditionalFormatting>
  <conditionalFormatting sqref="E53">
    <cfRule type="duplicateValues" dxfId="1305" priority="1177"/>
  </conditionalFormatting>
  <conditionalFormatting sqref="E54">
    <cfRule type="duplicateValues" dxfId="1304" priority="1172"/>
  </conditionalFormatting>
  <conditionalFormatting sqref="E54">
    <cfRule type="duplicateValues" dxfId="1303" priority="1173"/>
  </conditionalFormatting>
  <conditionalFormatting sqref="E54">
    <cfRule type="duplicateValues" dxfId="1302" priority="1174"/>
  </conditionalFormatting>
  <conditionalFormatting sqref="E55">
    <cfRule type="duplicateValues" dxfId="1301" priority="1169"/>
  </conditionalFormatting>
  <conditionalFormatting sqref="E55">
    <cfRule type="duplicateValues" dxfId="1300" priority="1170"/>
  </conditionalFormatting>
  <conditionalFormatting sqref="E55">
    <cfRule type="duplicateValues" dxfId="1299" priority="1171"/>
  </conditionalFormatting>
  <conditionalFormatting sqref="E56">
    <cfRule type="duplicateValues" dxfId="1298" priority="1166"/>
  </conditionalFormatting>
  <conditionalFormatting sqref="E56">
    <cfRule type="duplicateValues" dxfId="1297" priority="1167"/>
  </conditionalFormatting>
  <conditionalFormatting sqref="E56">
    <cfRule type="duplicateValues" dxfId="1296" priority="1168"/>
  </conditionalFormatting>
  <conditionalFormatting sqref="E57">
    <cfRule type="duplicateValues" dxfId="1295" priority="1163"/>
  </conditionalFormatting>
  <conditionalFormatting sqref="E57">
    <cfRule type="duplicateValues" dxfId="1294" priority="1164"/>
  </conditionalFormatting>
  <conditionalFormatting sqref="E57">
    <cfRule type="duplicateValues" dxfId="1293" priority="1165"/>
  </conditionalFormatting>
  <conditionalFormatting sqref="E58">
    <cfRule type="duplicateValues" dxfId="1292" priority="1160"/>
  </conditionalFormatting>
  <conditionalFormatting sqref="E58">
    <cfRule type="duplicateValues" dxfId="1291" priority="1161"/>
  </conditionalFormatting>
  <conditionalFormatting sqref="E58">
    <cfRule type="duplicateValues" dxfId="1290" priority="1162"/>
  </conditionalFormatting>
  <conditionalFormatting sqref="E59">
    <cfRule type="duplicateValues" dxfId="1289" priority="1157"/>
  </conditionalFormatting>
  <conditionalFormatting sqref="E59">
    <cfRule type="duplicateValues" dxfId="1288" priority="1158"/>
  </conditionalFormatting>
  <conditionalFormatting sqref="E59">
    <cfRule type="duplicateValues" dxfId="1287" priority="1159"/>
  </conditionalFormatting>
  <conditionalFormatting sqref="E60">
    <cfRule type="duplicateValues" dxfId="1286" priority="1154"/>
  </conditionalFormatting>
  <conditionalFormatting sqref="E60">
    <cfRule type="duplicateValues" dxfId="1285" priority="1155"/>
  </conditionalFormatting>
  <conditionalFormatting sqref="E60">
    <cfRule type="duplicateValues" dxfId="1284" priority="1156"/>
  </conditionalFormatting>
  <conditionalFormatting sqref="E61">
    <cfRule type="duplicateValues" dxfId="1283" priority="1151"/>
  </conditionalFormatting>
  <conditionalFormatting sqref="E61">
    <cfRule type="duplicateValues" dxfId="1282" priority="1152"/>
  </conditionalFormatting>
  <conditionalFormatting sqref="E61">
    <cfRule type="duplicateValues" dxfId="1281" priority="1153"/>
  </conditionalFormatting>
  <conditionalFormatting sqref="E62">
    <cfRule type="duplicateValues" dxfId="1280" priority="1148"/>
  </conditionalFormatting>
  <conditionalFormatting sqref="E62">
    <cfRule type="duplicateValues" dxfId="1279" priority="1149"/>
  </conditionalFormatting>
  <conditionalFormatting sqref="E62">
    <cfRule type="duplicateValues" dxfId="1278" priority="1150"/>
  </conditionalFormatting>
  <conditionalFormatting sqref="E63">
    <cfRule type="duplicateValues" dxfId="1277" priority="1145"/>
  </conditionalFormatting>
  <conditionalFormatting sqref="E63">
    <cfRule type="duplicateValues" dxfId="1276" priority="1146"/>
  </conditionalFormatting>
  <conditionalFormatting sqref="E63">
    <cfRule type="duplicateValues" dxfId="1275" priority="1147"/>
  </conditionalFormatting>
  <conditionalFormatting sqref="E64">
    <cfRule type="duplicateValues" dxfId="1274" priority="1142"/>
  </conditionalFormatting>
  <conditionalFormatting sqref="E64">
    <cfRule type="duplicateValues" dxfId="1273" priority="1143"/>
  </conditionalFormatting>
  <conditionalFormatting sqref="E64">
    <cfRule type="duplicateValues" dxfId="1272" priority="1144"/>
  </conditionalFormatting>
  <conditionalFormatting sqref="E65">
    <cfRule type="duplicateValues" dxfId="1271" priority="1139"/>
  </conditionalFormatting>
  <conditionalFormatting sqref="E65">
    <cfRule type="duplicateValues" dxfId="1270" priority="1140"/>
  </conditionalFormatting>
  <conditionalFormatting sqref="E65">
    <cfRule type="duplicateValues" dxfId="1269" priority="1141"/>
  </conditionalFormatting>
  <conditionalFormatting sqref="E66">
    <cfRule type="duplicateValues" dxfId="1268" priority="1136"/>
  </conditionalFormatting>
  <conditionalFormatting sqref="E66">
    <cfRule type="duplicateValues" dxfId="1267" priority="1137"/>
  </conditionalFormatting>
  <conditionalFormatting sqref="E66">
    <cfRule type="duplicateValues" dxfId="1266" priority="1138"/>
  </conditionalFormatting>
  <conditionalFormatting sqref="E67">
    <cfRule type="duplicateValues" dxfId="1265" priority="1133"/>
  </conditionalFormatting>
  <conditionalFormatting sqref="E67">
    <cfRule type="duplicateValues" dxfId="1264" priority="1134"/>
  </conditionalFormatting>
  <conditionalFormatting sqref="E67">
    <cfRule type="duplicateValues" dxfId="1263" priority="1135"/>
  </conditionalFormatting>
  <conditionalFormatting sqref="E68">
    <cfRule type="duplicateValues" dxfId="1262" priority="1130"/>
  </conditionalFormatting>
  <conditionalFormatting sqref="E68">
    <cfRule type="duplicateValues" dxfId="1261" priority="1131"/>
  </conditionalFormatting>
  <conditionalFormatting sqref="E68">
    <cfRule type="duplicateValues" dxfId="1260" priority="1132"/>
  </conditionalFormatting>
  <conditionalFormatting sqref="E69">
    <cfRule type="duplicateValues" dxfId="1259" priority="1127"/>
  </conditionalFormatting>
  <conditionalFormatting sqref="E69">
    <cfRule type="duplicateValues" dxfId="1258" priority="1128"/>
  </conditionalFormatting>
  <conditionalFormatting sqref="E69">
    <cfRule type="duplicateValues" dxfId="1257" priority="1129"/>
  </conditionalFormatting>
  <conditionalFormatting sqref="E70">
    <cfRule type="duplicateValues" dxfId="1256" priority="1124"/>
  </conditionalFormatting>
  <conditionalFormatting sqref="E70">
    <cfRule type="duplicateValues" dxfId="1255" priority="1125"/>
  </conditionalFormatting>
  <conditionalFormatting sqref="E70">
    <cfRule type="duplicateValues" dxfId="1254" priority="1126"/>
  </conditionalFormatting>
  <conditionalFormatting sqref="E71">
    <cfRule type="duplicateValues" dxfId="1253" priority="1121"/>
  </conditionalFormatting>
  <conditionalFormatting sqref="E71">
    <cfRule type="duplicateValues" dxfId="1252" priority="1122"/>
  </conditionalFormatting>
  <conditionalFormatting sqref="E71">
    <cfRule type="duplicateValues" dxfId="1251" priority="1123"/>
  </conditionalFormatting>
  <conditionalFormatting sqref="E72">
    <cfRule type="duplicateValues" dxfId="1250" priority="1118"/>
  </conditionalFormatting>
  <conditionalFormatting sqref="E72">
    <cfRule type="duplicateValues" dxfId="1249" priority="1119"/>
  </conditionalFormatting>
  <conditionalFormatting sqref="E72">
    <cfRule type="duplicateValues" dxfId="1248" priority="1120"/>
  </conditionalFormatting>
  <conditionalFormatting sqref="E73">
    <cfRule type="duplicateValues" dxfId="1247" priority="1115"/>
  </conditionalFormatting>
  <conditionalFormatting sqref="E73">
    <cfRule type="duplicateValues" dxfId="1246" priority="1116"/>
  </conditionalFormatting>
  <conditionalFormatting sqref="E73">
    <cfRule type="duplicateValues" dxfId="1245" priority="1117"/>
  </conditionalFormatting>
  <conditionalFormatting sqref="E74">
    <cfRule type="duplicateValues" dxfId="1244" priority="1112"/>
  </conditionalFormatting>
  <conditionalFormatting sqref="E74">
    <cfRule type="duplicateValues" dxfId="1243" priority="1113"/>
  </conditionalFormatting>
  <conditionalFormatting sqref="E74">
    <cfRule type="duplicateValues" dxfId="1242" priority="1114"/>
  </conditionalFormatting>
  <conditionalFormatting sqref="E75">
    <cfRule type="duplicateValues" dxfId="1241" priority="1109"/>
  </conditionalFormatting>
  <conditionalFormatting sqref="E75">
    <cfRule type="duplicateValues" dxfId="1240" priority="1110"/>
  </conditionalFormatting>
  <conditionalFormatting sqref="E75">
    <cfRule type="duplicateValues" dxfId="1239" priority="1111"/>
  </conditionalFormatting>
  <conditionalFormatting sqref="E76">
    <cfRule type="duplicateValues" dxfId="1238" priority="1106"/>
  </conditionalFormatting>
  <conditionalFormatting sqref="E76">
    <cfRule type="duplicateValues" dxfId="1237" priority="1107"/>
  </conditionalFormatting>
  <conditionalFormatting sqref="E76">
    <cfRule type="duplicateValues" dxfId="1236" priority="1108"/>
  </conditionalFormatting>
  <conditionalFormatting sqref="E77">
    <cfRule type="duplicateValues" dxfId="1235" priority="1103"/>
  </conditionalFormatting>
  <conditionalFormatting sqref="E77">
    <cfRule type="duplicateValues" dxfId="1234" priority="1104"/>
  </conditionalFormatting>
  <conditionalFormatting sqref="E77">
    <cfRule type="duplicateValues" dxfId="1233" priority="1105"/>
  </conditionalFormatting>
  <conditionalFormatting sqref="E78">
    <cfRule type="duplicateValues" dxfId="1232" priority="1100"/>
  </conditionalFormatting>
  <conditionalFormatting sqref="E78">
    <cfRule type="duplicateValues" dxfId="1231" priority="1101"/>
  </conditionalFormatting>
  <conditionalFormatting sqref="E78">
    <cfRule type="duplicateValues" dxfId="1230" priority="1102"/>
  </conditionalFormatting>
  <conditionalFormatting sqref="E79">
    <cfRule type="duplicateValues" dxfId="1229" priority="1097"/>
  </conditionalFormatting>
  <conditionalFormatting sqref="E79">
    <cfRule type="duplicateValues" dxfId="1228" priority="1098"/>
  </conditionalFormatting>
  <conditionalFormatting sqref="E79">
    <cfRule type="duplicateValues" dxfId="1227" priority="1099"/>
  </conditionalFormatting>
  <conditionalFormatting sqref="E80">
    <cfRule type="duplicateValues" dxfId="1226" priority="1094"/>
  </conditionalFormatting>
  <conditionalFormatting sqref="E80">
    <cfRule type="duplicateValues" dxfId="1225" priority="1095"/>
  </conditionalFormatting>
  <conditionalFormatting sqref="E80">
    <cfRule type="duplicateValues" dxfId="1224" priority="1096"/>
  </conditionalFormatting>
  <conditionalFormatting sqref="E81">
    <cfRule type="duplicateValues" dxfId="1223" priority="1091"/>
  </conditionalFormatting>
  <conditionalFormatting sqref="E81">
    <cfRule type="duplicateValues" dxfId="1222" priority="1092"/>
  </conditionalFormatting>
  <conditionalFormatting sqref="E81">
    <cfRule type="duplicateValues" dxfId="1221" priority="1093"/>
  </conditionalFormatting>
  <conditionalFormatting sqref="E82">
    <cfRule type="duplicateValues" dxfId="1220" priority="1088"/>
  </conditionalFormatting>
  <conditionalFormatting sqref="E82">
    <cfRule type="duplicateValues" dxfId="1219" priority="1089"/>
  </conditionalFormatting>
  <conditionalFormatting sqref="E82">
    <cfRule type="duplicateValues" dxfId="1218" priority="1090"/>
  </conditionalFormatting>
  <conditionalFormatting sqref="E83">
    <cfRule type="duplicateValues" dxfId="1217" priority="1085"/>
  </conditionalFormatting>
  <conditionalFormatting sqref="E83">
    <cfRule type="duplicateValues" dxfId="1216" priority="1086"/>
  </conditionalFormatting>
  <conditionalFormatting sqref="E83">
    <cfRule type="duplicateValues" dxfId="1215" priority="1087"/>
  </conditionalFormatting>
  <conditionalFormatting sqref="E84">
    <cfRule type="duplicateValues" dxfId="1214" priority="1082"/>
  </conditionalFormatting>
  <conditionalFormatting sqref="E84">
    <cfRule type="duplicateValues" dxfId="1213" priority="1083"/>
  </conditionalFormatting>
  <conditionalFormatting sqref="E84">
    <cfRule type="duplicateValues" dxfId="1212" priority="1084"/>
  </conditionalFormatting>
  <conditionalFormatting sqref="E85">
    <cfRule type="duplicateValues" dxfId="1211" priority="1079"/>
  </conditionalFormatting>
  <conditionalFormatting sqref="E85">
    <cfRule type="duplicateValues" dxfId="1210" priority="1080"/>
  </conditionalFormatting>
  <conditionalFormatting sqref="E85">
    <cfRule type="duplicateValues" dxfId="1209" priority="1081"/>
  </conditionalFormatting>
  <conditionalFormatting sqref="E86">
    <cfRule type="duplicateValues" dxfId="1208" priority="1076"/>
  </conditionalFormatting>
  <conditionalFormatting sqref="E86">
    <cfRule type="duplicateValues" dxfId="1207" priority="1077"/>
  </conditionalFormatting>
  <conditionalFormatting sqref="E86">
    <cfRule type="duplicateValues" dxfId="1206" priority="1078"/>
  </conditionalFormatting>
  <conditionalFormatting sqref="E87">
    <cfRule type="duplicateValues" dxfId="1205" priority="1073"/>
  </conditionalFormatting>
  <conditionalFormatting sqref="E87">
    <cfRule type="duplicateValues" dxfId="1204" priority="1074"/>
  </conditionalFormatting>
  <conditionalFormatting sqref="E87">
    <cfRule type="duplicateValues" dxfId="1203" priority="1075"/>
  </conditionalFormatting>
  <conditionalFormatting sqref="E88">
    <cfRule type="duplicateValues" dxfId="1202" priority="1070"/>
  </conditionalFormatting>
  <conditionalFormatting sqref="E88">
    <cfRule type="duplicateValues" dxfId="1201" priority="1071"/>
  </conditionalFormatting>
  <conditionalFormatting sqref="E88">
    <cfRule type="duplicateValues" dxfId="1200" priority="1072"/>
  </conditionalFormatting>
  <conditionalFormatting sqref="E89">
    <cfRule type="duplicateValues" dxfId="1199" priority="1067"/>
  </conditionalFormatting>
  <conditionalFormatting sqref="E89">
    <cfRule type="duplicateValues" dxfId="1198" priority="1068"/>
  </conditionalFormatting>
  <conditionalFormatting sqref="E89">
    <cfRule type="duplicateValues" dxfId="1197" priority="1069"/>
  </conditionalFormatting>
  <conditionalFormatting sqref="E90">
    <cfRule type="duplicateValues" dxfId="1196" priority="1064"/>
  </conditionalFormatting>
  <conditionalFormatting sqref="E90">
    <cfRule type="duplicateValues" dxfId="1195" priority="1065"/>
  </conditionalFormatting>
  <conditionalFormatting sqref="E90">
    <cfRule type="duplicateValues" dxfId="1194" priority="1066"/>
  </conditionalFormatting>
  <conditionalFormatting sqref="E91">
    <cfRule type="duplicateValues" dxfId="1193" priority="1061"/>
  </conditionalFormatting>
  <conditionalFormatting sqref="E91">
    <cfRule type="duplicateValues" dxfId="1192" priority="1062"/>
  </conditionalFormatting>
  <conditionalFormatting sqref="E91">
    <cfRule type="duplicateValues" dxfId="1191" priority="1063"/>
  </conditionalFormatting>
  <conditionalFormatting sqref="E92">
    <cfRule type="duplicateValues" dxfId="1190" priority="1058"/>
  </conditionalFormatting>
  <conditionalFormatting sqref="E92">
    <cfRule type="duplicateValues" dxfId="1189" priority="1059"/>
  </conditionalFormatting>
  <conditionalFormatting sqref="E92">
    <cfRule type="duplicateValues" dxfId="1188" priority="1060"/>
  </conditionalFormatting>
  <conditionalFormatting sqref="E93">
    <cfRule type="duplicateValues" dxfId="1187" priority="1055"/>
  </conditionalFormatting>
  <conditionalFormatting sqref="E93">
    <cfRule type="duplicateValues" dxfId="1186" priority="1056"/>
  </conditionalFormatting>
  <conditionalFormatting sqref="E93">
    <cfRule type="duplicateValues" dxfId="1185" priority="1057"/>
  </conditionalFormatting>
  <conditionalFormatting sqref="E94">
    <cfRule type="duplicateValues" dxfId="1184" priority="1052"/>
  </conditionalFormatting>
  <conditionalFormatting sqref="E94">
    <cfRule type="duplicateValues" dxfId="1183" priority="1053"/>
  </conditionalFormatting>
  <conditionalFormatting sqref="E94">
    <cfRule type="duplicateValues" dxfId="1182" priority="1054"/>
  </conditionalFormatting>
  <conditionalFormatting sqref="E95">
    <cfRule type="duplicateValues" dxfId="1181" priority="1049"/>
  </conditionalFormatting>
  <conditionalFormatting sqref="E95">
    <cfRule type="duplicateValues" dxfId="1180" priority="1050"/>
  </conditionalFormatting>
  <conditionalFormatting sqref="E95">
    <cfRule type="duplicateValues" dxfId="1179" priority="1051"/>
  </conditionalFormatting>
  <conditionalFormatting sqref="E96">
    <cfRule type="duplicateValues" dxfId="1178" priority="1046"/>
  </conditionalFormatting>
  <conditionalFormatting sqref="E96">
    <cfRule type="duplicateValues" dxfId="1177" priority="1047"/>
  </conditionalFormatting>
  <conditionalFormatting sqref="E96">
    <cfRule type="duplicateValues" dxfId="1176" priority="1048"/>
  </conditionalFormatting>
  <conditionalFormatting sqref="E97">
    <cfRule type="duplicateValues" dxfId="1175" priority="1043"/>
  </conditionalFormatting>
  <conditionalFormatting sqref="E97">
    <cfRule type="duplicateValues" dxfId="1174" priority="1044"/>
  </conditionalFormatting>
  <conditionalFormatting sqref="E97">
    <cfRule type="duplicateValues" dxfId="1173" priority="1045"/>
  </conditionalFormatting>
  <conditionalFormatting sqref="E98">
    <cfRule type="duplicateValues" dxfId="1172" priority="1040"/>
  </conditionalFormatting>
  <conditionalFormatting sqref="E98">
    <cfRule type="duplicateValues" dxfId="1171" priority="1041"/>
  </conditionalFormatting>
  <conditionalFormatting sqref="E98">
    <cfRule type="duplicateValues" dxfId="1170" priority="1042"/>
  </conditionalFormatting>
  <conditionalFormatting sqref="E99">
    <cfRule type="duplicateValues" dxfId="1169" priority="1037"/>
  </conditionalFormatting>
  <conditionalFormatting sqref="E99">
    <cfRule type="duplicateValues" dxfId="1168" priority="1038"/>
  </conditionalFormatting>
  <conditionalFormatting sqref="E99">
    <cfRule type="duplicateValues" dxfId="1167" priority="1039"/>
  </conditionalFormatting>
  <conditionalFormatting sqref="E100">
    <cfRule type="duplicateValues" dxfId="1166" priority="1034"/>
  </conditionalFormatting>
  <conditionalFormatting sqref="E100">
    <cfRule type="duplicateValues" dxfId="1165" priority="1035"/>
  </conditionalFormatting>
  <conditionalFormatting sqref="E100">
    <cfRule type="duplicateValues" dxfId="1164" priority="1036"/>
  </conditionalFormatting>
  <conditionalFormatting sqref="E101">
    <cfRule type="duplicateValues" dxfId="1163" priority="1031"/>
  </conditionalFormatting>
  <conditionalFormatting sqref="E101">
    <cfRule type="duplicateValues" dxfId="1162" priority="1032"/>
  </conditionalFormatting>
  <conditionalFormatting sqref="E101">
    <cfRule type="duplicateValues" dxfId="1161" priority="1033"/>
  </conditionalFormatting>
  <conditionalFormatting sqref="E102">
    <cfRule type="duplicateValues" dxfId="1160" priority="1028"/>
  </conditionalFormatting>
  <conditionalFormatting sqref="E102">
    <cfRule type="duplicateValues" dxfId="1159" priority="1029"/>
  </conditionalFormatting>
  <conditionalFormatting sqref="E102">
    <cfRule type="duplicateValues" dxfId="1158" priority="1030"/>
  </conditionalFormatting>
  <conditionalFormatting sqref="E103">
    <cfRule type="duplicateValues" dxfId="1157" priority="1025"/>
  </conditionalFormatting>
  <conditionalFormatting sqref="E103">
    <cfRule type="duplicateValues" dxfId="1156" priority="1026"/>
  </conditionalFormatting>
  <conditionalFormatting sqref="E103">
    <cfRule type="duplicateValues" dxfId="1155" priority="1027"/>
  </conditionalFormatting>
  <conditionalFormatting sqref="E104">
    <cfRule type="duplicateValues" dxfId="1154" priority="1022"/>
  </conditionalFormatting>
  <conditionalFormatting sqref="E104">
    <cfRule type="duplicateValues" dxfId="1153" priority="1023"/>
  </conditionalFormatting>
  <conditionalFormatting sqref="E104">
    <cfRule type="duplicateValues" dxfId="1152" priority="1024"/>
  </conditionalFormatting>
  <conditionalFormatting sqref="E105">
    <cfRule type="duplicateValues" dxfId="1151" priority="1019"/>
  </conditionalFormatting>
  <conditionalFormatting sqref="E105">
    <cfRule type="duplicateValues" dxfId="1150" priority="1020"/>
  </conditionalFormatting>
  <conditionalFormatting sqref="E105">
    <cfRule type="duplicateValues" dxfId="1149" priority="1021"/>
  </conditionalFormatting>
  <conditionalFormatting sqref="E106">
    <cfRule type="duplicateValues" dxfId="1148" priority="1016"/>
  </conditionalFormatting>
  <conditionalFormatting sqref="E106">
    <cfRule type="duplicateValues" dxfId="1147" priority="1017"/>
  </conditionalFormatting>
  <conditionalFormatting sqref="E106">
    <cfRule type="duplicateValues" dxfId="1146" priority="1018"/>
  </conditionalFormatting>
  <conditionalFormatting sqref="E107">
    <cfRule type="duplicateValues" dxfId="1145" priority="1013"/>
  </conditionalFormatting>
  <conditionalFormatting sqref="E107">
    <cfRule type="duplicateValues" dxfId="1144" priority="1014"/>
  </conditionalFormatting>
  <conditionalFormatting sqref="E107">
    <cfRule type="duplicateValues" dxfId="1143" priority="1015"/>
  </conditionalFormatting>
  <conditionalFormatting sqref="E108">
    <cfRule type="duplicateValues" dxfId="1142" priority="1010"/>
  </conditionalFormatting>
  <conditionalFormatting sqref="E108">
    <cfRule type="duplicateValues" dxfId="1141" priority="1011"/>
  </conditionalFormatting>
  <conditionalFormatting sqref="E108">
    <cfRule type="duplicateValues" dxfId="1140" priority="1012"/>
  </conditionalFormatting>
  <conditionalFormatting sqref="E109">
    <cfRule type="duplicateValues" dxfId="1139" priority="1007"/>
  </conditionalFormatting>
  <conditionalFormatting sqref="E109">
    <cfRule type="duplicateValues" dxfId="1138" priority="1008"/>
  </conditionalFormatting>
  <conditionalFormatting sqref="E109">
    <cfRule type="duplicateValues" dxfId="1137" priority="1009"/>
  </conditionalFormatting>
  <conditionalFormatting sqref="E110">
    <cfRule type="duplicateValues" dxfId="1136" priority="1004"/>
  </conditionalFormatting>
  <conditionalFormatting sqref="E110">
    <cfRule type="duplicateValues" dxfId="1135" priority="1005"/>
  </conditionalFormatting>
  <conditionalFormatting sqref="E110">
    <cfRule type="duplicateValues" dxfId="1134" priority="1006"/>
  </conditionalFormatting>
  <conditionalFormatting sqref="E111">
    <cfRule type="duplicateValues" dxfId="1133" priority="1001"/>
  </conditionalFormatting>
  <conditionalFormatting sqref="E111">
    <cfRule type="duplicateValues" dxfId="1132" priority="1002"/>
  </conditionalFormatting>
  <conditionalFormatting sqref="E111">
    <cfRule type="duplicateValues" dxfId="1131" priority="1003"/>
  </conditionalFormatting>
  <conditionalFormatting sqref="E112">
    <cfRule type="duplicateValues" dxfId="1130" priority="998"/>
  </conditionalFormatting>
  <conditionalFormatting sqref="E112">
    <cfRule type="duplicateValues" dxfId="1129" priority="999"/>
  </conditionalFormatting>
  <conditionalFormatting sqref="E112">
    <cfRule type="duplicateValues" dxfId="1128" priority="1000"/>
  </conditionalFormatting>
  <conditionalFormatting sqref="E113">
    <cfRule type="duplicateValues" dxfId="1127" priority="995"/>
  </conditionalFormatting>
  <conditionalFormatting sqref="E113">
    <cfRule type="duplicateValues" dxfId="1126" priority="996"/>
  </conditionalFormatting>
  <conditionalFormatting sqref="E113">
    <cfRule type="duplicateValues" dxfId="1125" priority="997"/>
  </conditionalFormatting>
  <conditionalFormatting sqref="E114">
    <cfRule type="duplicateValues" dxfId="1124" priority="992"/>
  </conditionalFormatting>
  <conditionalFormatting sqref="E114">
    <cfRule type="duplicateValues" dxfId="1123" priority="993"/>
  </conditionalFormatting>
  <conditionalFormatting sqref="E114">
    <cfRule type="duplicateValues" dxfId="1122" priority="994"/>
  </conditionalFormatting>
  <conditionalFormatting sqref="E115">
    <cfRule type="duplicateValues" dxfId="1121" priority="989"/>
  </conditionalFormatting>
  <conditionalFormatting sqref="E115">
    <cfRule type="duplicateValues" dxfId="1120" priority="990"/>
  </conditionalFormatting>
  <conditionalFormatting sqref="E115">
    <cfRule type="duplicateValues" dxfId="1119" priority="991"/>
  </conditionalFormatting>
  <conditionalFormatting sqref="E116">
    <cfRule type="duplicateValues" dxfId="1118" priority="986"/>
  </conditionalFormatting>
  <conditionalFormatting sqref="E116">
    <cfRule type="duplicateValues" dxfId="1117" priority="987"/>
  </conditionalFormatting>
  <conditionalFormatting sqref="E116">
    <cfRule type="duplicateValues" dxfId="1116" priority="988"/>
  </conditionalFormatting>
  <conditionalFormatting sqref="E117">
    <cfRule type="duplicateValues" dxfId="1115" priority="983"/>
  </conditionalFormatting>
  <conditionalFormatting sqref="E117">
    <cfRule type="duplicateValues" dxfId="1114" priority="984"/>
  </conditionalFormatting>
  <conditionalFormatting sqref="E117">
    <cfRule type="duplicateValues" dxfId="1113" priority="985"/>
  </conditionalFormatting>
  <conditionalFormatting sqref="E118">
    <cfRule type="duplicateValues" dxfId="1112" priority="980"/>
  </conditionalFormatting>
  <conditionalFormatting sqref="E118">
    <cfRule type="duplicateValues" dxfId="1111" priority="981"/>
  </conditionalFormatting>
  <conditionalFormatting sqref="E118">
    <cfRule type="duplicateValues" dxfId="1110" priority="982"/>
  </conditionalFormatting>
  <conditionalFormatting sqref="E119">
    <cfRule type="duplicateValues" dxfId="1109" priority="977"/>
  </conditionalFormatting>
  <conditionalFormatting sqref="E119">
    <cfRule type="duplicateValues" dxfId="1108" priority="978"/>
  </conditionalFormatting>
  <conditionalFormatting sqref="E119">
    <cfRule type="duplicateValues" dxfId="1107" priority="979"/>
  </conditionalFormatting>
  <conditionalFormatting sqref="E120">
    <cfRule type="duplicateValues" dxfId="1106" priority="974"/>
  </conditionalFormatting>
  <conditionalFormatting sqref="E120">
    <cfRule type="duplicateValues" dxfId="1105" priority="975"/>
  </conditionalFormatting>
  <conditionalFormatting sqref="E120">
    <cfRule type="duplicateValues" dxfId="1104" priority="976"/>
  </conditionalFormatting>
  <conditionalFormatting sqref="E121">
    <cfRule type="duplicateValues" dxfId="1103" priority="971"/>
  </conditionalFormatting>
  <conditionalFormatting sqref="E121">
    <cfRule type="duplicateValues" dxfId="1102" priority="972"/>
  </conditionalFormatting>
  <conditionalFormatting sqref="E121">
    <cfRule type="duplicateValues" dxfId="1101" priority="973"/>
  </conditionalFormatting>
  <conditionalFormatting sqref="E122">
    <cfRule type="duplicateValues" dxfId="1100" priority="968"/>
  </conditionalFormatting>
  <conditionalFormatting sqref="E122">
    <cfRule type="duplicateValues" dxfId="1099" priority="969"/>
  </conditionalFormatting>
  <conditionalFormatting sqref="E122">
    <cfRule type="duplicateValues" dxfId="1098" priority="970"/>
  </conditionalFormatting>
  <conditionalFormatting sqref="E123">
    <cfRule type="duplicateValues" dxfId="1097" priority="965"/>
  </conditionalFormatting>
  <conditionalFormatting sqref="E123">
    <cfRule type="duplicateValues" dxfId="1096" priority="966"/>
  </conditionalFormatting>
  <conditionalFormatting sqref="E123">
    <cfRule type="duplicateValues" dxfId="1095" priority="967"/>
  </conditionalFormatting>
  <conditionalFormatting sqref="E124">
    <cfRule type="duplicateValues" dxfId="1094" priority="962"/>
  </conditionalFormatting>
  <conditionalFormatting sqref="E124">
    <cfRule type="duplicateValues" dxfId="1093" priority="963"/>
  </conditionalFormatting>
  <conditionalFormatting sqref="E124">
    <cfRule type="duplicateValues" dxfId="1092" priority="964"/>
  </conditionalFormatting>
  <conditionalFormatting sqref="E125">
    <cfRule type="duplicateValues" dxfId="1091" priority="959"/>
  </conditionalFormatting>
  <conditionalFormatting sqref="E125">
    <cfRule type="duplicateValues" dxfId="1090" priority="960"/>
  </conditionalFormatting>
  <conditionalFormatting sqref="E125">
    <cfRule type="duplicateValues" dxfId="1089" priority="961"/>
  </conditionalFormatting>
  <conditionalFormatting sqref="E126">
    <cfRule type="duplicateValues" dxfId="1088" priority="956"/>
  </conditionalFormatting>
  <conditionalFormatting sqref="E126">
    <cfRule type="duplicateValues" dxfId="1087" priority="957"/>
  </conditionalFormatting>
  <conditionalFormatting sqref="E126">
    <cfRule type="duplicateValues" dxfId="1086" priority="958"/>
  </conditionalFormatting>
  <conditionalFormatting sqref="E127">
    <cfRule type="duplicateValues" dxfId="1085" priority="953"/>
  </conditionalFormatting>
  <conditionalFormatting sqref="E127">
    <cfRule type="duplicateValues" dxfId="1084" priority="954"/>
  </conditionalFormatting>
  <conditionalFormatting sqref="E127">
    <cfRule type="duplicateValues" dxfId="1083" priority="955"/>
  </conditionalFormatting>
  <conditionalFormatting sqref="E128">
    <cfRule type="duplicateValues" dxfId="1082" priority="950"/>
  </conditionalFormatting>
  <conditionalFormatting sqref="E128">
    <cfRule type="duplicateValues" dxfId="1081" priority="951"/>
  </conditionalFormatting>
  <conditionalFormatting sqref="E128">
    <cfRule type="duplicateValues" dxfId="1080" priority="952"/>
  </conditionalFormatting>
  <conditionalFormatting sqref="E129">
    <cfRule type="duplicateValues" dxfId="1079" priority="947"/>
  </conditionalFormatting>
  <conditionalFormatting sqref="E129">
    <cfRule type="duplicateValues" dxfId="1078" priority="948"/>
  </conditionalFormatting>
  <conditionalFormatting sqref="E129">
    <cfRule type="duplicateValues" dxfId="1077" priority="949"/>
  </conditionalFormatting>
  <conditionalFormatting sqref="E130">
    <cfRule type="duplicateValues" dxfId="1076" priority="944"/>
  </conditionalFormatting>
  <conditionalFormatting sqref="E130">
    <cfRule type="duplicateValues" dxfId="1075" priority="945"/>
  </conditionalFormatting>
  <conditionalFormatting sqref="E130">
    <cfRule type="duplicateValues" dxfId="1074" priority="946"/>
  </conditionalFormatting>
  <conditionalFormatting sqref="E131">
    <cfRule type="duplicateValues" dxfId="1073" priority="941"/>
  </conditionalFormatting>
  <conditionalFormatting sqref="E131">
    <cfRule type="duplicateValues" dxfId="1072" priority="942"/>
  </conditionalFormatting>
  <conditionalFormatting sqref="E131">
    <cfRule type="duplicateValues" dxfId="1071" priority="943"/>
  </conditionalFormatting>
  <conditionalFormatting sqref="E132">
    <cfRule type="duplicateValues" dxfId="1070" priority="938"/>
  </conditionalFormatting>
  <conditionalFormatting sqref="E132">
    <cfRule type="duplicateValues" dxfId="1069" priority="939"/>
  </conditionalFormatting>
  <conditionalFormatting sqref="E132">
    <cfRule type="duplicateValues" dxfId="1068" priority="940"/>
  </conditionalFormatting>
  <conditionalFormatting sqref="E133">
    <cfRule type="duplicateValues" dxfId="1067" priority="935"/>
  </conditionalFormatting>
  <conditionalFormatting sqref="E133">
    <cfRule type="duplicateValues" dxfId="1066" priority="936"/>
  </conditionalFormatting>
  <conditionalFormatting sqref="E133">
    <cfRule type="duplicateValues" dxfId="1065" priority="937"/>
  </conditionalFormatting>
  <conditionalFormatting sqref="E134">
    <cfRule type="duplicateValues" dxfId="1064" priority="932"/>
  </conditionalFormatting>
  <conditionalFormatting sqref="E134">
    <cfRule type="duplicateValues" dxfId="1063" priority="933"/>
  </conditionalFormatting>
  <conditionalFormatting sqref="E134">
    <cfRule type="duplicateValues" dxfId="1062" priority="934"/>
  </conditionalFormatting>
  <conditionalFormatting sqref="E135">
    <cfRule type="duplicateValues" dxfId="1061" priority="929"/>
  </conditionalFormatting>
  <conditionalFormatting sqref="E135">
    <cfRule type="duplicateValues" dxfId="1060" priority="930"/>
  </conditionalFormatting>
  <conditionalFormatting sqref="E135">
    <cfRule type="duplicateValues" dxfId="1059" priority="931"/>
  </conditionalFormatting>
  <conditionalFormatting sqref="E136">
    <cfRule type="duplicateValues" dxfId="1058" priority="926"/>
  </conditionalFormatting>
  <conditionalFormatting sqref="E136">
    <cfRule type="duplicateValues" dxfId="1057" priority="927"/>
  </conditionalFormatting>
  <conditionalFormatting sqref="E136">
    <cfRule type="duplicateValues" dxfId="1056" priority="928"/>
  </conditionalFormatting>
  <conditionalFormatting sqref="E137">
    <cfRule type="duplicateValues" dxfId="1055" priority="923"/>
  </conditionalFormatting>
  <conditionalFormatting sqref="E137">
    <cfRule type="duplicateValues" dxfId="1054" priority="924"/>
  </conditionalFormatting>
  <conditionalFormatting sqref="E137">
    <cfRule type="duplicateValues" dxfId="1053" priority="925"/>
  </conditionalFormatting>
  <conditionalFormatting sqref="E138">
    <cfRule type="duplicateValues" dxfId="1052" priority="920"/>
  </conditionalFormatting>
  <conditionalFormatting sqref="E138">
    <cfRule type="duplicateValues" dxfId="1051" priority="921"/>
  </conditionalFormatting>
  <conditionalFormatting sqref="E138">
    <cfRule type="duplicateValues" dxfId="1050" priority="922"/>
  </conditionalFormatting>
  <conditionalFormatting sqref="E139">
    <cfRule type="duplicateValues" dxfId="1049" priority="917"/>
  </conditionalFormatting>
  <conditionalFormatting sqref="E139">
    <cfRule type="duplicateValues" dxfId="1048" priority="918"/>
  </conditionalFormatting>
  <conditionalFormatting sqref="E139">
    <cfRule type="duplicateValues" dxfId="1047" priority="919"/>
  </conditionalFormatting>
  <conditionalFormatting sqref="E140">
    <cfRule type="duplicateValues" dxfId="1046" priority="914"/>
  </conditionalFormatting>
  <conditionalFormatting sqref="E140">
    <cfRule type="duplicateValues" dxfId="1045" priority="915"/>
  </conditionalFormatting>
  <conditionalFormatting sqref="E140">
    <cfRule type="duplicateValues" dxfId="1044" priority="916"/>
  </conditionalFormatting>
  <conditionalFormatting sqref="E141">
    <cfRule type="duplicateValues" dxfId="1043" priority="911"/>
  </conditionalFormatting>
  <conditionalFormatting sqref="E141">
    <cfRule type="duplicateValues" dxfId="1042" priority="912"/>
  </conditionalFormatting>
  <conditionalFormatting sqref="E141">
    <cfRule type="duplicateValues" dxfId="1041" priority="913"/>
  </conditionalFormatting>
  <conditionalFormatting sqref="E142">
    <cfRule type="duplicateValues" dxfId="1040" priority="908"/>
  </conditionalFormatting>
  <conditionalFormatting sqref="E142">
    <cfRule type="duplicateValues" dxfId="1039" priority="909"/>
  </conditionalFormatting>
  <conditionalFormatting sqref="E142">
    <cfRule type="duplicateValues" dxfId="1038" priority="910"/>
  </conditionalFormatting>
  <conditionalFormatting sqref="E143">
    <cfRule type="duplicateValues" dxfId="1037" priority="905"/>
  </conditionalFormatting>
  <conditionalFormatting sqref="E143">
    <cfRule type="duplicateValues" dxfId="1036" priority="906"/>
  </conditionalFormatting>
  <conditionalFormatting sqref="E143">
    <cfRule type="duplicateValues" dxfId="1035" priority="907"/>
  </conditionalFormatting>
  <conditionalFormatting sqref="E144">
    <cfRule type="duplicateValues" dxfId="1034" priority="902"/>
  </conditionalFormatting>
  <conditionalFormatting sqref="E144">
    <cfRule type="duplicateValues" dxfId="1033" priority="903"/>
  </conditionalFormatting>
  <conditionalFormatting sqref="E144">
    <cfRule type="duplicateValues" dxfId="1032" priority="904"/>
  </conditionalFormatting>
  <conditionalFormatting sqref="E145">
    <cfRule type="duplicateValues" dxfId="1031" priority="899"/>
  </conditionalFormatting>
  <conditionalFormatting sqref="E145">
    <cfRule type="duplicateValues" dxfId="1030" priority="900"/>
  </conditionalFormatting>
  <conditionalFormatting sqref="E145">
    <cfRule type="duplicateValues" dxfId="1029" priority="901"/>
  </conditionalFormatting>
  <conditionalFormatting sqref="E146">
    <cfRule type="duplicateValues" dxfId="1028" priority="896"/>
  </conditionalFormatting>
  <conditionalFormatting sqref="E146">
    <cfRule type="duplicateValues" dxfId="1027" priority="897"/>
  </conditionalFormatting>
  <conditionalFormatting sqref="E146">
    <cfRule type="duplicateValues" dxfId="1026" priority="898"/>
  </conditionalFormatting>
  <conditionalFormatting sqref="E147">
    <cfRule type="duplicateValues" dxfId="1025" priority="893"/>
  </conditionalFormatting>
  <conditionalFormatting sqref="E147">
    <cfRule type="duplicateValues" dxfId="1024" priority="894"/>
  </conditionalFormatting>
  <conditionalFormatting sqref="E147">
    <cfRule type="duplicateValues" dxfId="1023" priority="895"/>
  </conditionalFormatting>
  <conditionalFormatting sqref="E148">
    <cfRule type="duplicateValues" dxfId="1022" priority="890"/>
  </conditionalFormatting>
  <conditionalFormatting sqref="E148">
    <cfRule type="duplicateValues" dxfId="1021" priority="891"/>
  </conditionalFormatting>
  <conditionalFormatting sqref="E148">
    <cfRule type="duplicateValues" dxfId="1020" priority="892"/>
  </conditionalFormatting>
  <conditionalFormatting sqref="E149">
    <cfRule type="duplicateValues" dxfId="1019" priority="887"/>
  </conditionalFormatting>
  <conditionalFormatting sqref="E149">
    <cfRule type="duplicateValues" dxfId="1018" priority="888"/>
  </conditionalFormatting>
  <conditionalFormatting sqref="E149">
    <cfRule type="duplicateValues" dxfId="1017" priority="889"/>
  </conditionalFormatting>
  <conditionalFormatting sqref="E150">
    <cfRule type="duplicateValues" dxfId="1016" priority="884"/>
  </conditionalFormatting>
  <conditionalFormatting sqref="E150">
    <cfRule type="duplicateValues" dxfId="1015" priority="885"/>
  </conditionalFormatting>
  <conditionalFormatting sqref="E150">
    <cfRule type="duplicateValues" dxfId="1014" priority="886"/>
  </conditionalFormatting>
  <conditionalFormatting sqref="E151">
    <cfRule type="duplicateValues" dxfId="1013" priority="881"/>
  </conditionalFormatting>
  <conditionalFormatting sqref="E151">
    <cfRule type="duplicateValues" dxfId="1012" priority="882"/>
  </conditionalFormatting>
  <conditionalFormatting sqref="E151">
    <cfRule type="duplicateValues" dxfId="1011" priority="883"/>
  </conditionalFormatting>
  <conditionalFormatting sqref="E152">
    <cfRule type="duplicateValues" dxfId="1010" priority="878"/>
  </conditionalFormatting>
  <conditionalFormatting sqref="E152">
    <cfRule type="duplicateValues" dxfId="1009" priority="879"/>
  </conditionalFormatting>
  <conditionalFormatting sqref="E152">
    <cfRule type="duplicateValues" dxfId="1008" priority="880"/>
  </conditionalFormatting>
  <conditionalFormatting sqref="E153">
    <cfRule type="duplicateValues" dxfId="1007" priority="875"/>
  </conditionalFormatting>
  <conditionalFormatting sqref="E153">
    <cfRule type="duplicateValues" dxfId="1006" priority="876"/>
  </conditionalFormatting>
  <conditionalFormatting sqref="E153">
    <cfRule type="duplicateValues" dxfId="1005" priority="877"/>
  </conditionalFormatting>
  <conditionalFormatting sqref="E154">
    <cfRule type="duplicateValues" dxfId="1004" priority="872"/>
  </conditionalFormatting>
  <conditionalFormatting sqref="E154">
    <cfRule type="duplicateValues" dxfId="1003" priority="873"/>
  </conditionalFormatting>
  <conditionalFormatting sqref="E154">
    <cfRule type="duplicateValues" dxfId="1002" priority="874"/>
  </conditionalFormatting>
  <conditionalFormatting sqref="E155">
    <cfRule type="duplicateValues" dxfId="1001" priority="869"/>
  </conditionalFormatting>
  <conditionalFormatting sqref="E155">
    <cfRule type="duplicateValues" dxfId="1000" priority="870"/>
  </conditionalFormatting>
  <conditionalFormatting sqref="E155">
    <cfRule type="duplicateValues" dxfId="999" priority="871"/>
  </conditionalFormatting>
  <conditionalFormatting sqref="E156">
    <cfRule type="duplicateValues" dxfId="998" priority="866"/>
  </conditionalFormatting>
  <conditionalFormatting sqref="E156">
    <cfRule type="duplicateValues" dxfId="997" priority="867"/>
  </conditionalFormatting>
  <conditionalFormatting sqref="E156">
    <cfRule type="duplicateValues" dxfId="996" priority="868"/>
  </conditionalFormatting>
  <conditionalFormatting sqref="E157">
    <cfRule type="duplicateValues" dxfId="995" priority="863"/>
  </conditionalFormatting>
  <conditionalFormatting sqref="E157">
    <cfRule type="duplicateValues" dxfId="994" priority="864"/>
  </conditionalFormatting>
  <conditionalFormatting sqref="E157">
    <cfRule type="duplicateValues" dxfId="993" priority="865"/>
  </conditionalFormatting>
  <conditionalFormatting sqref="E158">
    <cfRule type="duplicateValues" dxfId="992" priority="860"/>
  </conditionalFormatting>
  <conditionalFormatting sqref="E158">
    <cfRule type="duplicateValues" dxfId="991" priority="861"/>
  </conditionalFormatting>
  <conditionalFormatting sqref="E158">
    <cfRule type="duplicateValues" dxfId="990" priority="862"/>
  </conditionalFormatting>
  <conditionalFormatting sqref="E159">
    <cfRule type="duplicateValues" dxfId="989" priority="857"/>
  </conditionalFormatting>
  <conditionalFormatting sqref="E159">
    <cfRule type="duplicateValues" dxfId="988" priority="858"/>
  </conditionalFormatting>
  <conditionalFormatting sqref="E159">
    <cfRule type="duplicateValues" dxfId="987" priority="859"/>
  </conditionalFormatting>
  <conditionalFormatting sqref="E160">
    <cfRule type="duplicateValues" dxfId="986" priority="854"/>
  </conditionalFormatting>
  <conditionalFormatting sqref="E160">
    <cfRule type="duplicateValues" dxfId="985" priority="855"/>
  </conditionalFormatting>
  <conditionalFormatting sqref="E160">
    <cfRule type="duplicateValues" dxfId="984" priority="856"/>
  </conditionalFormatting>
  <conditionalFormatting sqref="E161">
    <cfRule type="duplicateValues" dxfId="983" priority="851"/>
  </conditionalFormatting>
  <conditionalFormatting sqref="E161">
    <cfRule type="duplicateValues" dxfId="982" priority="852"/>
  </conditionalFormatting>
  <conditionalFormatting sqref="E161">
    <cfRule type="duplicateValues" dxfId="981" priority="853"/>
  </conditionalFormatting>
  <conditionalFormatting sqref="E162">
    <cfRule type="duplicateValues" dxfId="980" priority="848"/>
  </conditionalFormatting>
  <conditionalFormatting sqref="E162">
    <cfRule type="duplicateValues" dxfId="979" priority="849"/>
  </conditionalFormatting>
  <conditionalFormatting sqref="E162">
    <cfRule type="duplicateValues" dxfId="978" priority="850"/>
  </conditionalFormatting>
  <conditionalFormatting sqref="E163">
    <cfRule type="duplicateValues" dxfId="977" priority="845"/>
  </conditionalFormatting>
  <conditionalFormatting sqref="E163">
    <cfRule type="duplicateValues" dxfId="976" priority="846"/>
  </conditionalFormatting>
  <conditionalFormatting sqref="E163">
    <cfRule type="duplicateValues" dxfId="975" priority="847"/>
  </conditionalFormatting>
  <conditionalFormatting sqref="E164">
    <cfRule type="duplicateValues" dxfId="974" priority="842"/>
  </conditionalFormatting>
  <conditionalFormatting sqref="E164">
    <cfRule type="duplicateValues" dxfId="973" priority="843"/>
  </conditionalFormatting>
  <conditionalFormatting sqref="E164">
    <cfRule type="duplicateValues" dxfId="972" priority="844"/>
  </conditionalFormatting>
  <conditionalFormatting sqref="E165">
    <cfRule type="duplicateValues" dxfId="971" priority="839"/>
  </conditionalFormatting>
  <conditionalFormatting sqref="E165">
    <cfRule type="duplicateValues" dxfId="970" priority="840"/>
  </conditionalFormatting>
  <conditionalFormatting sqref="E165">
    <cfRule type="duplicateValues" dxfId="969" priority="841"/>
  </conditionalFormatting>
  <conditionalFormatting sqref="E166">
    <cfRule type="duplicateValues" dxfId="968" priority="836"/>
  </conditionalFormatting>
  <conditionalFormatting sqref="E166">
    <cfRule type="duplicateValues" dxfId="967" priority="837"/>
  </conditionalFormatting>
  <conditionalFormatting sqref="E166">
    <cfRule type="duplicateValues" dxfId="966" priority="838"/>
  </conditionalFormatting>
  <conditionalFormatting sqref="E167">
    <cfRule type="duplicateValues" dxfId="965" priority="833"/>
  </conditionalFormatting>
  <conditionalFormatting sqref="E167">
    <cfRule type="duplicateValues" dxfId="964" priority="834"/>
  </conditionalFormatting>
  <conditionalFormatting sqref="E167">
    <cfRule type="duplicateValues" dxfId="963" priority="835"/>
  </conditionalFormatting>
  <conditionalFormatting sqref="E168">
    <cfRule type="duplicateValues" dxfId="962" priority="830"/>
  </conditionalFormatting>
  <conditionalFormatting sqref="E168">
    <cfRule type="duplicateValues" dxfId="961" priority="831"/>
  </conditionalFormatting>
  <conditionalFormatting sqref="E168">
    <cfRule type="duplicateValues" dxfId="960" priority="832"/>
  </conditionalFormatting>
  <conditionalFormatting sqref="E169">
    <cfRule type="duplicateValues" dxfId="959" priority="827"/>
  </conditionalFormatting>
  <conditionalFormatting sqref="E169">
    <cfRule type="duplicateValues" dxfId="958" priority="828"/>
  </conditionalFormatting>
  <conditionalFormatting sqref="E169">
    <cfRule type="duplicateValues" dxfId="957" priority="829"/>
  </conditionalFormatting>
  <conditionalFormatting sqref="E170">
    <cfRule type="duplicateValues" dxfId="956" priority="824"/>
  </conditionalFormatting>
  <conditionalFormatting sqref="E170">
    <cfRule type="duplicateValues" dxfId="955" priority="825"/>
  </conditionalFormatting>
  <conditionalFormatting sqref="E170">
    <cfRule type="duplicateValues" dxfId="954" priority="826"/>
  </conditionalFormatting>
  <conditionalFormatting sqref="E171">
    <cfRule type="duplicateValues" dxfId="953" priority="821"/>
  </conditionalFormatting>
  <conditionalFormatting sqref="E171">
    <cfRule type="duplicateValues" dxfId="952" priority="822"/>
  </conditionalFormatting>
  <conditionalFormatting sqref="E171">
    <cfRule type="duplicateValues" dxfId="951" priority="823"/>
  </conditionalFormatting>
  <conditionalFormatting sqref="E172">
    <cfRule type="duplicateValues" dxfId="950" priority="818"/>
  </conditionalFormatting>
  <conditionalFormatting sqref="E172">
    <cfRule type="duplicateValues" dxfId="949" priority="819"/>
  </conditionalFormatting>
  <conditionalFormatting sqref="E172">
    <cfRule type="duplicateValues" dxfId="948" priority="820"/>
  </conditionalFormatting>
  <conditionalFormatting sqref="E173">
    <cfRule type="duplicateValues" dxfId="947" priority="815"/>
  </conditionalFormatting>
  <conditionalFormatting sqref="E173">
    <cfRule type="duplicateValues" dxfId="946" priority="816"/>
  </conditionalFormatting>
  <conditionalFormatting sqref="E173">
    <cfRule type="duplicateValues" dxfId="945" priority="817"/>
  </conditionalFormatting>
  <conditionalFormatting sqref="E174">
    <cfRule type="duplicateValues" dxfId="944" priority="812"/>
  </conditionalFormatting>
  <conditionalFormatting sqref="E174">
    <cfRule type="duplicateValues" dxfId="943" priority="813"/>
  </conditionalFormatting>
  <conditionalFormatting sqref="E174">
    <cfRule type="duplicateValues" dxfId="942" priority="814"/>
  </conditionalFormatting>
  <conditionalFormatting sqref="E175">
    <cfRule type="duplicateValues" dxfId="941" priority="809"/>
  </conditionalFormatting>
  <conditionalFormatting sqref="E175">
    <cfRule type="duplicateValues" dxfId="940" priority="810"/>
  </conditionalFormatting>
  <conditionalFormatting sqref="E175">
    <cfRule type="duplicateValues" dxfId="939" priority="811"/>
  </conditionalFormatting>
  <conditionalFormatting sqref="E176">
    <cfRule type="duplicateValues" dxfId="938" priority="806"/>
  </conditionalFormatting>
  <conditionalFormatting sqref="E176">
    <cfRule type="duplicateValues" dxfId="937" priority="807"/>
  </conditionalFormatting>
  <conditionalFormatting sqref="E176">
    <cfRule type="duplicateValues" dxfId="936" priority="808"/>
  </conditionalFormatting>
  <conditionalFormatting sqref="E177">
    <cfRule type="duplicateValues" dxfId="935" priority="803"/>
  </conditionalFormatting>
  <conditionalFormatting sqref="E177">
    <cfRule type="duplicateValues" dxfId="934" priority="804"/>
  </conditionalFormatting>
  <conditionalFormatting sqref="E177">
    <cfRule type="duplicateValues" dxfId="933" priority="805"/>
  </conditionalFormatting>
  <conditionalFormatting sqref="E178">
    <cfRule type="duplicateValues" dxfId="932" priority="800"/>
  </conditionalFormatting>
  <conditionalFormatting sqref="E178">
    <cfRule type="duplicateValues" dxfId="931" priority="801"/>
  </conditionalFormatting>
  <conditionalFormatting sqref="E178">
    <cfRule type="duplicateValues" dxfId="930" priority="802"/>
  </conditionalFormatting>
  <conditionalFormatting sqref="E179">
    <cfRule type="duplicateValues" dxfId="929" priority="797"/>
  </conditionalFormatting>
  <conditionalFormatting sqref="E179">
    <cfRule type="duplicateValues" dxfId="928" priority="798"/>
  </conditionalFormatting>
  <conditionalFormatting sqref="E179">
    <cfRule type="duplicateValues" dxfId="927" priority="799"/>
  </conditionalFormatting>
  <conditionalFormatting sqref="E180">
    <cfRule type="duplicateValues" dxfId="926" priority="794"/>
  </conditionalFormatting>
  <conditionalFormatting sqref="E180">
    <cfRule type="duplicateValues" dxfId="925" priority="795"/>
  </conditionalFormatting>
  <conditionalFormatting sqref="E180">
    <cfRule type="duplicateValues" dxfId="924" priority="796"/>
  </conditionalFormatting>
  <conditionalFormatting sqref="E181">
    <cfRule type="duplicateValues" dxfId="923" priority="791"/>
  </conditionalFormatting>
  <conditionalFormatting sqref="E181">
    <cfRule type="duplicateValues" dxfId="922" priority="792"/>
  </conditionalFormatting>
  <conditionalFormatting sqref="E181">
    <cfRule type="duplicateValues" dxfId="921" priority="793"/>
  </conditionalFormatting>
  <conditionalFormatting sqref="E182">
    <cfRule type="duplicateValues" dxfId="920" priority="788"/>
  </conditionalFormatting>
  <conditionalFormatting sqref="E182">
    <cfRule type="duplicateValues" dxfId="919" priority="789"/>
  </conditionalFormatting>
  <conditionalFormatting sqref="E182">
    <cfRule type="duplicateValues" dxfId="918" priority="790"/>
  </conditionalFormatting>
  <conditionalFormatting sqref="E183">
    <cfRule type="duplicateValues" dxfId="917" priority="785"/>
  </conditionalFormatting>
  <conditionalFormatting sqref="E183">
    <cfRule type="duplicateValues" dxfId="916" priority="786"/>
  </conditionalFormatting>
  <conditionalFormatting sqref="E183">
    <cfRule type="duplicateValues" dxfId="915" priority="787"/>
  </conditionalFormatting>
  <conditionalFormatting sqref="E184">
    <cfRule type="duplicateValues" dxfId="914" priority="782"/>
  </conditionalFormatting>
  <conditionalFormatting sqref="E184">
    <cfRule type="duplicateValues" dxfId="913" priority="783"/>
  </conditionalFormatting>
  <conditionalFormatting sqref="E184">
    <cfRule type="duplicateValues" dxfId="912" priority="784"/>
  </conditionalFormatting>
  <conditionalFormatting sqref="E185">
    <cfRule type="duplicateValues" dxfId="911" priority="779"/>
  </conditionalFormatting>
  <conditionalFormatting sqref="E185">
    <cfRule type="duplicateValues" dxfId="910" priority="780"/>
  </conditionalFormatting>
  <conditionalFormatting sqref="E185">
    <cfRule type="duplicateValues" dxfId="909" priority="781"/>
  </conditionalFormatting>
  <conditionalFormatting sqref="E186">
    <cfRule type="duplicateValues" dxfId="908" priority="776"/>
  </conditionalFormatting>
  <conditionalFormatting sqref="E186">
    <cfRule type="duplicateValues" dxfId="907" priority="777"/>
  </conditionalFormatting>
  <conditionalFormatting sqref="E186">
    <cfRule type="duplicateValues" dxfId="906" priority="778"/>
  </conditionalFormatting>
  <conditionalFormatting sqref="E187">
    <cfRule type="duplicateValues" dxfId="905" priority="773"/>
  </conditionalFormatting>
  <conditionalFormatting sqref="E187">
    <cfRule type="duplicateValues" dxfId="904" priority="774"/>
  </conditionalFormatting>
  <conditionalFormatting sqref="E187">
    <cfRule type="duplicateValues" dxfId="903" priority="775"/>
  </conditionalFormatting>
  <conditionalFormatting sqref="E188">
    <cfRule type="duplicateValues" dxfId="902" priority="770"/>
  </conditionalFormatting>
  <conditionalFormatting sqref="E188">
    <cfRule type="duplicateValues" dxfId="901" priority="771"/>
  </conditionalFormatting>
  <conditionalFormatting sqref="E188">
    <cfRule type="duplicateValues" dxfId="900" priority="772"/>
  </conditionalFormatting>
  <conditionalFormatting sqref="E189">
    <cfRule type="duplicateValues" dxfId="899" priority="767"/>
  </conditionalFormatting>
  <conditionalFormatting sqref="E189">
    <cfRule type="duplicateValues" dxfId="898" priority="768"/>
  </conditionalFormatting>
  <conditionalFormatting sqref="E189">
    <cfRule type="duplicateValues" dxfId="897" priority="769"/>
  </conditionalFormatting>
  <conditionalFormatting sqref="E190">
    <cfRule type="duplicateValues" dxfId="896" priority="764"/>
  </conditionalFormatting>
  <conditionalFormatting sqref="E190">
    <cfRule type="duplicateValues" dxfId="895" priority="765"/>
  </conditionalFormatting>
  <conditionalFormatting sqref="E190">
    <cfRule type="duplicateValues" dxfId="894" priority="766"/>
  </conditionalFormatting>
  <conditionalFormatting sqref="E191">
    <cfRule type="duplicateValues" dxfId="893" priority="761"/>
  </conditionalFormatting>
  <conditionalFormatting sqref="E191">
    <cfRule type="duplicateValues" dxfId="892" priority="762"/>
  </conditionalFormatting>
  <conditionalFormatting sqref="E191">
    <cfRule type="duplicateValues" dxfId="891" priority="763"/>
  </conditionalFormatting>
  <conditionalFormatting sqref="E192">
    <cfRule type="duplicateValues" dxfId="890" priority="758"/>
  </conditionalFormatting>
  <conditionalFormatting sqref="E192">
    <cfRule type="duplicateValues" dxfId="889" priority="759"/>
  </conditionalFormatting>
  <conditionalFormatting sqref="E192">
    <cfRule type="duplicateValues" dxfId="888" priority="760"/>
  </conditionalFormatting>
  <conditionalFormatting sqref="E193">
    <cfRule type="duplicateValues" dxfId="887" priority="755"/>
  </conditionalFormatting>
  <conditionalFormatting sqref="E193">
    <cfRule type="duplicateValues" dxfId="886" priority="756"/>
  </conditionalFormatting>
  <conditionalFormatting sqref="E193">
    <cfRule type="duplicateValues" dxfId="885" priority="757"/>
  </conditionalFormatting>
  <conditionalFormatting sqref="E194">
    <cfRule type="duplicateValues" dxfId="884" priority="752"/>
  </conditionalFormatting>
  <conditionalFormatting sqref="E194">
    <cfRule type="duplicateValues" dxfId="883" priority="753"/>
  </conditionalFormatting>
  <conditionalFormatting sqref="E194">
    <cfRule type="duplicateValues" dxfId="882" priority="754"/>
  </conditionalFormatting>
  <conditionalFormatting sqref="E195">
    <cfRule type="duplicateValues" dxfId="881" priority="749"/>
  </conditionalFormatting>
  <conditionalFormatting sqref="E195">
    <cfRule type="duplicateValues" dxfId="880" priority="750"/>
  </conditionalFormatting>
  <conditionalFormatting sqref="E195">
    <cfRule type="duplicateValues" dxfId="879" priority="751"/>
  </conditionalFormatting>
  <conditionalFormatting sqref="E196">
    <cfRule type="duplicateValues" dxfId="878" priority="746"/>
  </conditionalFormatting>
  <conditionalFormatting sqref="E196">
    <cfRule type="duplicateValues" dxfId="877" priority="747"/>
  </conditionalFormatting>
  <conditionalFormatting sqref="E196">
    <cfRule type="duplicateValues" dxfId="876" priority="748"/>
  </conditionalFormatting>
  <conditionalFormatting sqref="E197">
    <cfRule type="duplicateValues" dxfId="875" priority="743"/>
  </conditionalFormatting>
  <conditionalFormatting sqref="E197">
    <cfRule type="duplicateValues" dxfId="874" priority="744"/>
  </conditionalFormatting>
  <conditionalFormatting sqref="E197">
    <cfRule type="duplicateValues" dxfId="873" priority="745"/>
  </conditionalFormatting>
  <conditionalFormatting sqref="E198">
    <cfRule type="duplicateValues" dxfId="872" priority="740"/>
  </conditionalFormatting>
  <conditionalFormatting sqref="E198">
    <cfRule type="duplicateValues" dxfId="871" priority="741"/>
  </conditionalFormatting>
  <conditionalFormatting sqref="E198">
    <cfRule type="duplicateValues" dxfId="870" priority="742"/>
  </conditionalFormatting>
  <conditionalFormatting sqref="E199">
    <cfRule type="duplicateValues" dxfId="869" priority="737"/>
  </conditionalFormatting>
  <conditionalFormatting sqref="E199">
    <cfRule type="duplicateValues" dxfId="868" priority="738"/>
  </conditionalFormatting>
  <conditionalFormatting sqref="E199">
    <cfRule type="duplicateValues" dxfId="867" priority="739"/>
  </conditionalFormatting>
  <conditionalFormatting sqref="E200">
    <cfRule type="duplicateValues" dxfId="866" priority="734"/>
  </conditionalFormatting>
  <conditionalFormatting sqref="E200">
    <cfRule type="duplicateValues" dxfId="865" priority="735"/>
  </conditionalFormatting>
  <conditionalFormatting sqref="E200">
    <cfRule type="duplicateValues" dxfId="864" priority="736"/>
  </conditionalFormatting>
  <conditionalFormatting sqref="E201">
    <cfRule type="duplicateValues" dxfId="863" priority="731"/>
  </conditionalFormatting>
  <conditionalFormatting sqref="E201">
    <cfRule type="duplicateValues" dxfId="862" priority="732"/>
  </conditionalFormatting>
  <conditionalFormatting sqref="E201">
    <cfRule type="duplicateValues" dxfId="861" priority="733"/>
  </conditionalFormatting>
  <conditionalFormatting sqref="E202">
    <cfRule type="duplicateValues" dxfId="860" priority="728"/>
  </conditionalFormatting>
  <conditionalFormatting sqref="E202">
    <cfRule type="duplicateValues" dxfId="859" priority="729"/>
  </conditionalFormatting>
  <conditionalFormatting sqref="E202">
    <cfRule type="duplicateValues" dxfId="858" priority="730"/>
  </conditionalFormatting>
  <conditionalFormatting sqref="E203">
    <cfRule type="duplicateValues" dxfId="857" priority="725"/>
  </conditionalFormatting>
  <conditionalFormatting sqref="E203">
    <cfRule type="duplicateValues" dxfId="856" priority="726"/>
  </conditionalFormatting>
  <conditionalFormatting sqref="E203">
    <cfRule type="duplicateValues" dxfId="855" priority="727"/>
  </conditionalFormatting>
  <conditionalFormatting sqref="E204">
    <cfRule type="duplicateValues" dxfId="854" priority="722"/>
  </conditionalFormatting>
  <conditionalFormatting sqref="E204">
    <cfRule type="duplicateValues" dxfId="853" priority="723"/>
  </conditionalFormatting>
  <conditionalFormatting sqref="E204">
    <cfRule type="duplicateValues" dxfId="852" priority="724"/>
  </conditionalFormatting>
  <conditionalFormatting sqref="E205">
    <cfRule type="duplicateValues" dxfId="851" priority="719"/>
  </conditionalFormatting>
  <conditionalFormatting sqref="E205">
    <cfRule type="duplicateValues" dxfId="850" priority="720"/>
  </conditionalFormatting>
  <conditionalFormatting sqref="E205">
    <cfRule type="duplicateValues" dxfId="849" priority="721"/>
  </conditionalFormatting>
  <conditionalFormatting sqref="E206">
    <cfRule type="duplicateValues" dxfId="848" priority="716"/>
  </conditionalFormatting>
  <conditionalFormatting sqref="E206">
    <cfRule type="duplicateValues" dxfId="847" priority="717"/>
  </conditionalFormatting>
  <conditionalFormatting sqref="E206">
    <cfRule type="duplicateValues" dxfId="846" priority="718"/>
  </conditionalFormatting>
  <conditionalFormatting sqref="E207">
    <cfRule type="duplicateValues" dxfId="845" priority="713"/>
  </conditionalFormatting>
  <conditionalFormatting sqref="E207">
    <cfRule type="duplicateValues" dxfId="844" priority="714"/>
  </conditionalFormatting>
  <conditionalFormatting sqref="E207">
    <cfRule type="duplicateValues" dxfId="843" priority="715"/>
  </conditionalFormatting>
  <conditionalFormatting sqref="E208">
    <cfRule type="duplicateValues" dxfId="842" priority="710"/>
  </conditionalFormatting>
  <conditionalFormatting sqref="E208">
    <cfRule type="duplicateValues" dxfId="841" priority="711"/>
  </conditionalFormatting>
  <conditionalFormatting sqref="E208">
    <cfRule type="duplicateValues" dxfId="840" priority="712"/>
  </conditionalFormatting>
  <conditionalFormatting sqref="E209">
    <cfRule type="duplicateValues" dxfId="839" priority="707"/>
  </conditionalFormatting>
  <conditionalFormatting sqref="E209">
    <cfRule type="duplicateValues" dxfId="838" priority="708"/>
  </conditionalFormatting>
  <conditionalFormatting sqref="E209">
    <cfRule type="duplicateValues" dxfId="837" priority="709"/>
  </conditionalFormatting>
  <conditionalFormatting sqref="E210">
    <cfRule type="duplicateValues" dxfId="836" priority="704"/>
  </conditionalFormatting>
  <conditionalFormatting sqref="E210">
    <cfRule type="duplicateValues" dxfId="835" priority="705"/>
  </conditionalFormatting>
  <conditionalFormatting sqref="E210">
    <cfRule type="duplicateValues" dxfId="834" priority="706"/>
  </conditionalFormatting>
  <conditionalFormatting sqref="E211">
    <cfRule type="duplicateValues" dxfId="833" priority="701"/>
  </conditionalFormatting>
  <conditionalFormatting sqref="E211">
    <cfRule type="duplicateValues" dxfId="832" priority="702"/>
  </conditionalFormatting>
  <conditionalFormatting sqref="E211">
    <cfRule type="duplicateValues" dxfId="831" priority="703"/>
  </conditionalFormatting>
  <conditionalFormatting sqref="E212">
    <cfRule type="duplicateValues" dxfId="830" priority="698"/>
  </conditionalFormatting>
  <conditionalFormatting sqref="E212">
    <cfRule type="duplicateValues" dxfId="829" priority="699"/>
  </conditionalFormatting>
  <conditionalFormatting sqref="E212">
    <cfRule type="duplicateValues" dxfId="828" priority="700"/>
  </conditionalFormatting>
  <conditionalFormatting sqref="E213">
    <cfRule type="duplicateValues" dxfId="827" priority="695"/>
  </conditionalFormatting>
  <conditionalFormatting sqref="E213">
    <cfRule type="duplicateValues" dxfId="826" priority="696"/>
  </conditionalFormatting>
  <conditionalFormatting sqref="E213">
    <cfRule type="duplicateValues" dxfId="825" priority="697"/>
  </conditionalFormatting>
  <conditionalFormatting sqref="E214">
    <cfRule type="duplicateValues" dxfId="824" priority="692"/>
  </conditionalFormatting>
  <conditionalFormatting sqref="E214">
    <cfRule type="duplicateValues" dxfId="823" priority="693"/>
  </conditionalFormatting>
  <conditionalFormatting sqref="E214">
    <cfRule type="duplicateValues" dxfId="822" priority="694"/>
  </conditionalFormatting>
  <conditionalFormatting sqref="E215">
    <cfRule type="duplicateValues" dxfId="821" priority="689"/>
  </conditionalFormatting>
  <conditionalFormatting sqref="E215">
    <cfRule type="duplicateValues" dxfId="820" priority="690"/>
  </conditionalFormatting>
  <conditionalFormatting sqref="E215">
    <cfRule type="duplicateValues" dxfId="819" priority="691"/>
  </conditionalFormatting>
  <conditionalFormatting sqref="E216">
    <cfRule type="duplicateValues" dxfId="818" priority="686"/>
  </conditionalFormatting>
  <conditionalFormatting sqref="E216">
    <cfRule type="duplicateValues" dxfId="817" priority="687"/>
  </conditionalFormatting>
  <conditionalFormatting sqref="E216">
    <cfRule type="duplicateValues" dxfId="816" priority="688"/>
  </conditionalFormatting>
  <conditionalFormatting sqref="E217">
    <cfRule type="duplicateValues" dxfId="815" priority="683"/>
  </conditionalFormatting>
  <conditionalFormatting sqref="E217">
    <cfRule type="duplicateValues" dxfId="814" priority="684"/>
  </conditionalFormatting>
  <conditionalFormatting sqref="E217">
    <cfRule type="duplicateValues" dxfId="813" priority="685"/>
  </conditionalFormatting>
  <conditionalFormatting sqref="E218">
    <cfRule type="duplicateValues" dxfId="812" priority="680"/>
  </conditionalFormatting>
  <conditionalFormatting sqref="E218">
    <cfRule type="duplicateValues" dxfId="811" priority="681"/>
  </conditionalFormatting>
  <conditionalFormatting sqref="E218">
    <cfRule type="duplicateValues" dxfId="810" priority="682"/>
  </conditionalFormatting>
  <conditionalFormatting sqref="E219">
    <cfRule type="duplicateValues" dxfId="809" priority="677"/>
  </conditionalFormatting>
  <conditionalFormatting sqref="E219">
    <cfRule type="duplicateValues" dxfId="808" priority="678"/>
  </conditionalFormatting>
  <conditionalFormatting sqref="E219">
    <cfRule type="duplicateValues" dxfId="807" priority="679"/>
  </conditionalFormatting>
  <conditionalFormatting sqref="E220">
    <cfRule type="duplicateValues" dxfId="806" priority="674"/>
  </conditionalFormatting>
  <conditionalFormatting sqref="E220">
    <cfRule type="duplicateValues" dxfId="805" priority="675"/>
  </conditionalFormatting>
  <conditionalFormatting sqref="E220">
    <cfRule type="duplicateValues" dxfId="804" priority="676"/>
  </conditionalFormatting>
  <conditionalFormatting sqref="E221">
    <cfRule type="duplicateValues" dxfId="803" priority="671"/>
  </conditionalFormatting>
  <conditionalFormatting sqref="E221">
    <cfRule type="duplicateValues" dxfId="802" priority="672"/>
  </conditionalFormatting>
  <conditionalFormatting sqref="E221">
    <cfRule type="duplicateValues" dxfId="801" priority="673"/>
  </conditionalFormatting>
  <conditionalFormatting sqref="E222">
    <cfRule type="duplicateValues" dxfId="800" priority="668"/>
  </conditionalFormatting>
  <conditionalFormatting sqref="E222">
    <cfRule type="duplicateValues" dxfId="799" priority="669"/>
  </conditionalFormatting>
  <conditionalFormatting sqref="E222">
    <cfRule type="duplicateValues" dxfId="798" priority="670"/>
  </conditionalFormatting>
  <conditionalFormatting sqref="E223">
    <cfRule type="duplicateValues" dxfId="797" priority="665"/>
  </conditionalFormatting>
  <conditionalFormatting sqref="E223">
    <cfRule type="duplicateValues" dxfId="796" priority="666"/>
  </conditionalFormatting>
  <conditionalFormatting sqref="E223">
    <cfRule type="duplicateValues" dxfId="795" priority="667"/>
  </conditionalFormatting>
  <conditionalFormatting sqref="E224">
    <cfRule type="duplicateValues" dxfId="794" priority="662"/>
  </conditionalFormatting>
  <conditionalFormatting sqref="E224">
    <cfRule type="duplicateValues" dxfId="793" priority="663"/>
  </conditionalFormatting>
  <conditionalFormatting sqref="E224">
    <cfRule type="duplicateValues" dxfId="792" priority="664"/>
  </conditionalFormatting>
  <conditionalFormatting sqref="E225">
    <cfRule type="duplicateValues" dxfId="791" priority="659"/>
  </conditionalFormatting>
  <conditionalFormatting sqref="E225">
    <cfRule type="duplicateValues" dxfId="790" priority="660"/>
  </conditionalFormatting>
  <conditionalFormatting sqref="E225">
    <cfRule type="duplicateValues" dxfId="789" priority="661"/>
  </conditionalFormatting>
  <conditionalFormatting sqref="E226">
    <cfRule type="duplicateValues" dxfId="788" priority="656"/>
  </conditionalFormatting>
  <conditionalFormatting sqref="E226">
    <cfRule type="duplicateValues" dxfId="787" priority="657"/>
  </conditionalFormatting>
  <conditionalFormatting sqref="E226">
    <cfRule type="duplicateValues" dxfId="786" priority="658"/>
  </conditionalFormatting>
  <conditionalFormatting sqref="E227">
    <cfRule type="duplicateValues" dxfId="785" priority="653"/>
  </conditionalFormatting>
  <conditionalFormatting sqref="E227">
    <cfRule type="duplicateValues" dxfId="784" priority="654"/>
  </conditionalFormatting>
  <conditionalFormatting sqref="E227">
    <cfRule type="duplicateValues" dxfId="783" priority="655"/>
  </conditionalFormatting>
  <conditionalFormatting sqref="E228">
    <cfRule type="duplicateValues" dxfId="782" priority="650"/>
  </conditionalFormatting>
  <conditionalFormatting sqref="E228">
    <cfRule type="duplicateValues" dxfId="781" priority="651"/>
  </conditionalFormatting>
  <conditionalFormatting sqref="E228">
    <cfRule type="duplicateValues" dxfId="780" priority="652"/>
  </conditionalFormatting>
  <conditionalFormatting sqref="E229">
    <cfRule type="duplicateValues" dxfId="779" priority="647"/>
  </conditionalFormatting>
  <conditionalFormatting sqref="E229">
    <cfRule type="duplicateValues" dxfId="778" priority="648"/>
  </conditionalFormatting>
  <conditionalFormatting sqref="E229">
    <cfRule type="duplicateValues" dxfId="777" priority="649"/>
  </conditionalFormatting>
  <conditionalFormatting sqref="E230">
    <cfRule type="duplicateValues" dxfId="776" priority="644"/>
  </conditionalFormatting>
  <conditionalFormatting sqref="E230">
    <cfRule type="duplicateValues" dxfId="775" priority="645"/>
  </conditionalFormatting>
  <conditionalFormatting sqref="E230">
    <cfRule type="duplicateValues" dxfId="774" priority="646"/>
  </conditionalFormatting>
  <conditionalFormatting sqref="E231">
    <cfRule type="duplicateValues" dxfId="773" priority="641"/>
  </conditionalFormatting>
  <conditionalFormatting sqref="E231">
    <cfRule type="duplicateValues" dxfId="772" priority="642"/>
  </conditionalFormatting>
  <conditionalFormatting sqref="E231">
    <cfRule type="duplicateValues" dxfId="771" priority="643"/>
  </conditionalFormatting>
  <conditionalFormatting sqref="E232">
    <cfRule type="duplicateValues" dxfId="770" priority="638"/>
  </conditionalFormatting>
  <conditionalFormatting sqref="E232">
    <cfRule type="duplicateValues" dxfId="769" priority="639"/>
  </conditionalFormatting>
  <conditionalFormatting sqref="E232">
    <cfRule type="duplicateValues" dxfId="768" priority="640"/>
  </conditionalFormatting>
  <conditionalFormatting sqref="E233">
    <cfRule type="duplicateValues" dxfId="767" priority="635"/>
  </conditionalFormatting>
  <conditionalFormatting sqref="E233">
    <cfRule type="duplicateValues" dxfId="766" priority="636"/>
  </conditionalFormatting>
  <conditionalFormatting sqref="E233">
    <cfRule type="duplicateValues" dxfId="765" priority="637"/>
  </conditionalFormatting>
  <conditionalFormatting sqref="E234">
    <cfRule type="duplicateValues" dxfId="764" priority="632"/>
  </conditionalFormatting>
  <conditionalFormatting sqref="E234">
    <cfRule type="duplicateValues" dxfId="763" priority="633"/>
  </conditionalFormatting>
  <conditionalFormatting sqref="E234">
    <cfRule type="duplicateValues" dxfId="762" priority="634"/>
  </conditionalFormatting>
  <conditionalFormatting sqref="E235">
    <cfRule type="duplicateValues" dxfId="761" priority="629"/>
  </conditionalFormatting>
  <conditionalFormatting sqref="E235">
    <cfRule type="duplicateValues" dxfId="760" priority="630"/>
  </conditionalFormatting>
  <conditionalFormatting sqref="E235">
    <cfRule type="duplicateValues" dxfId="759" priority="631"/>
  </conditionalFormatting>
  <conditionalFormatting sqref="E236">
    <cfRule type="duplicateValues" dxfId="758" priority="626"/>
  </conditionalFormatting>
  <conditionalFormatting sqref="E236">
    <cfRule type="duplicateValues" dxfId="757" priority="627"/>
  </conditionalFormatting>
  <conditionalFormatting sqref="E236">
    <cfRule type="duplicateValues" dxfId="756" priority="628"/>
  </conditionalFormatting>
  <conditionalFormatting sqref="E237">
    <cfRule type="duplicateValues" dxfId="755" priority="623"/>
  </conditionalFormatting>
  <conditionalFormatting sqref="E237">
    <cfRule type="duplicateValues" dxfId="754" priority="624"/>
  </conditionalFormatting>
  <conditionalFormatting sqref="E237">
    <cfRule type="duplicateValues" dxfId="753" priority="625"/>
  </conditionalFormatting>
  <conditionalFormatting sqref="E238">
    <cfRule type="duplicateValues" dxfId="752" priority="620"/>
  </conditionalFormatting>
  <conditionalFormatting sqref="E238">
    <cfRule type="duplicateValues" dxfId="751" priority="621"/>
  </conditionalFormatting>
  <conditionalFormatting sqref="E238">
    <cfRule type="duplicateValues" dxfId="750" priority="622"/>
  </conditionalFormatting>
  <conditionalFormatting sqref="E239">
    <cfRule type="duplicateValues" dxfId="749" priority="617"/>
  </conditionalFormatting>
  <conditionalFormatting sqref="E239">
    <cfRule type="duplicateValues" dxfId="748" priority="618"/>
  </conditionalFormatting>
  <conditionalFormatting sqref="E239">
    <cfRule type="duplicateValues" dxfId="747" priority="619"/>
  </conditionalFormatting>
  <conditionalFormatting sqref="E240">
    <cfRule type="duplicateValues" dxfId="746" priority="614"/>
  </conditionalFormatting>
  <conditionalFormatting sqref="E240">
    <cfRule type="duplicateValues" dxfId="745" priority="615"/>
  </conditionalFormatting>
  <conditionalFormatting sqref="E240">
    <cfRule type="duplicateValues" dxfId="744" priority="616"/>
  </conditionalFormatting>
  <conditionalFormatting sqref="E241">
    <cfRule type="duplicateValues" dxfId="743" priority="611"/>
  </conditionalFormatting>
  <conditionalFormatting sqref="E241">
    <cfRule type="duplicateValues" dxfId="742" priority="612"/>
  </conditionalFormatting>
  <conditionalFormatting sqref="E241">
    <cfRule type="duplicateValues" dxfId="741" priority="613"/>
  </conditionalFormatting>
  <conditionalFormatting sqref="E242">
    <cfRule type="duplicateValues" dxfId="740" priority="608"/>
  </conditionalFormatting>
  <conditionalFormatting sqref="E242">
    <cfRule type="duplicateValues" dxfId="739" priority="609"/>
  </conditionalFormatting>
  <conditionalFormatting sqref="E242">
    <cfRule type="duplicateValues" dxfId="738" priority="610"/>
  </conditionalFormatting>
  <conditionalFormatting sqref="E243">
    <cfRule type="duplicateValues" dxfId="737" priority="605"/>
  </conditionalFormatting>
  <conditionalFormatting sqref="E243">
    <cfRule type="duplicateValues" dxfId="736" priority="606"/>
  </conditionalFormatting>
  <conditionalFormatting sqref="E243">
    <cfRule type="duplicateValues" dxfId="735" priority="607"/>
  </conditionalFormatting>
  <conditionalFormatting sqref="E244">
    <cfRule type="duplicateValues" dxfId="734" priority="602"/>
  </conditionalFormatting>
  <conditionalFormatting sqref="E244">
    <cfRule type="duplicateValues" dxfId="733" priority="603"/>
  </conditionalFormatting>
  <conditionalFormatting sqref="E244">
    <cfRule type="duplicateValues" dxfId="732" priority="604"/>
  </conditionalFormatting>
  <conditionalFormatting sqref="E245">
    <cfRule type="duplicateValues" dxfId="731" priority="599"/>
  </conditionalFormatting>
  <conditionalFormatting sqref="E245">
    <cfRule type="duplicateValues" dxfId="730" priority="600"/>
  </conditionalFormatting>
  <conditionalFormatting sqref="E245">
    <cfRule type="duplicateValues" dxfId="729" priority="601"/>
  </conditionalFormatting>
  <conditionalFormatting sqref="E246">
    <cfRule type="duplicateValues" dxfId="728" priority="596"/>
  </conditionalFormatting>
  <conditionalFormatting sqref="E246">
    <cfRule type="duplicateValues" dxfId="727" priority="597"/>
  </conditionalFormatting>
  <conditionalFormatting sqref="E246">
    <cfRule type="duplicateValues" dxfId="726" priority="598"/>
  </conditionalFormatting>
  <conditionalFormatting sqref="E247">
    <cfRule type="duplicateValues" dxfId="725" priority="593"/>
  </conditionalFormatting>
  <conditionalFormatting sqref="E247">
    <cfRule type="duplicateValues" dxfId="724" priority="594"/>
  </conditionalFormatting>
  <conditionalFormatting sqref="E247">
    <cfRule type="duplicateValues" dxfId="723" priority="595"/>
  </conditionalFormatting>
  <conditionalFormatting sqref="E248">
    <cfRule type="duplicateValues" dxfId="722" priority="590"/>
  </conditionalFormatting>
  <conditionalFormatting sqref="E248">
    <cfRule type="duplicateValues" dxfId="721" priority="591"/>
  </conditionalFormatting>
  <conditionalFormatting sqref="E248">
    <cfRule type="duplicateValues" dxfId="720" priority="592"/>
  </conditionalFormatting>
  <conditionalFormatting sqref="E249">
    <cfRule type="duplicateValues" dxfId="719" priority="587"/>
  </conditionalFormatting>
  <conditionalFormatting sqref="E249">
    <cfRule type="duplicateValues" dxfId="718" priority="588"/>
  </conditionalFormatting>
  <conditionalFormatting sqref="E249">
    <cfRule type="duplicateValues" dxfId="717" priority="589"/>
  </conditionalFormatting>
  <conditionalFormatting sqref="E250">
    <cfRule type="duplicateValues" dxfId="716" priority="584"/>
  </conditionalFormatting>
  <conditionalFormatting sqref="E250">
    <cfRule type="duplicateValues" dxfId="715" priority="585"/>
  </conditionalFormatting>
  <conditionalFormatting sqref="E250">
    <cfRule type="duplicateValues" dxfId="714" priority="586"/>
  </conditionalFormatting>
  <conditionalFormatting sqref="E251">
    <cfRule type="duplicateValues" dxfId="713" priority="581"/>
  </conditionalFormatting>
  <conditionalFormatting sqref="E251">
    <cfRule type="duplicateValues" dxfId="712" priority="582"/>
  </conditionalFormatting>
  <conditionalFormatting sqref="E251">
    <cfRule type="duplicateValues" dxfId="711" priority="583"/>
  </conditionalFormatting>
  <conditionalFormatting sqref="E252">
    <cfRule type="duplicateValues" dxfId="710" priority="578"/>
  </conditionalFormatting>
  <conditionalFormatting sqref="E252">
    <cfRule type="duplicateValues" dxfId="709" priority="579"/>
  </conditionalFormatting>
  <conditionalFormatting sqref="E252">
    <cfRule type="duplicateValues" dxfId="708" priority="580"/>
  </conditionalFormatting>
  <conditionalFormatting sqref="E253">
    <cfRule type="duplicateValues" dxfId="707" priority="575"/>
  </conditionalFormatting>
  <conditionalFormatting sqref="E253">
    <cfRule type="duplicateValues" dxfId="706" priority="576"/>
  </conditionalFormatting>
  <conditionalFormatting sqref="E253">
    <cfRule type="duplicateValues" dxfId="705" priority="577"/>
  </conditionalFormatting>
  <conditionalFormatting sqref="E254">
    <cfRule type="duplicateValues" dxfId="704" priority="572"/>
  </conditionalFormatting>
  <conditionalFormatting sqref="E254">
    <cfRule type="duplicateValues" dxfId="703" priority="573"/>
  </conditionalFormatting>
  <conditionalFormatting sqref="E254">
    <cfRule type="duplicateValues" dxfId="702" priority="574"/>
  </conditionalFormatting>
  <conditionalFormatting sqref="E255">
    <cfRule type="duplicateValues" dxfId="701" priority="569"/>
  </conditionalFormatting>
  <conditionalFormatting sqref="E255">
    <cfRule type="duplicateValues" dxfId="700" priority="570"/>
  </conditionalFormatting>
  <conditionalFormatting sqref="E255">
    <cfRule type="duplicateValues" dxfId="699" priority="571"/>
  </conditionalFormatting>
  <conditionalFormatting sqref="E256">
    <cfRule type="duplicateValues" dxfId="698" priority="566"/>
  </conditionalFormatting>
  <conditionalFormatting sqref="E256">
    <cfRule type="duplicateValues" dxfId="697" priority="567"/>
  </conditionalFormatting>
  <conditionalFormatting sqref="E256">
    <cfRule type="duplicateValues" dxfId="696" priority="568"/>
  </conditionalFormatting>
  <conditionalFormatting sqref="E257">
    <cfRule type="duplicateValues" dxfId="695" priority="563"/>
  </conditionalFormatting>
  <conditionalFormatting sqref="E257">
    <cfRule type="duplicateValues" dxfId="694" priority="564"/>
  </conditionalFormatting>
  <conditionalFormatting sqref="E257">
    <cfRule type="duplicateValues" dxfId="693" priority="565"/>
  </conditionalFormatting>
  <conditionalFormatting sqref="E258">
    <cfRule type="duplicateValues" dxfId="692" priority="560"/>
  </conditionalFormatting>
  <conditionalFormatting sqref="E258">
    <cfRule type="duplicateValues" dxfId="691" priority="561"/>
  </conditionalFormatting>
  <conditionalFormatting sqref="E258">
    <cfRule type="duplicateValues" dxfId="690" priority="562"/>
  </conditionalFormatting>
  <conditionalFormatting sqref="E259">
    <cfRule type="duplicateValues" dxfId="689" priority="557"/>
  </conditionalFormatting>
  <conditionalFormatting sqref="E259">
    <cfRule type="duplicateValues" dxfId="688" priority="558"/>
  </conditionalFormatting>
  <conditionalFormatting sqref="E259">
    <cfRule type="duplicateValues" dxfId="687" priority="559"/>
  </conditionalFormatting>
  <conditionalFormatting sqref="E260">
    <cfRule type="duplicateValues" dxfId="686" priority="554"/>
  </conditionalFormatting>
  <conditionalFormatting sqref="E260">
    <cfRule type="duplicateValues" dxfId="685" priority="555"/>
  </conditionalFormatting>
  <conditionalFormatting sqref="E260">
    <cfRule type="duplicateValues" dxfId="684" priority="556"/>
  </conditionalFormatting>
  <conditionalFormatting sqref="E261">
    <cfRule type="duplicateValues" dxfId="683" priority="551"/>
  </conditionalFormatting>
  <conditionalFormatting sqref="E261">
    <cfRule type="duplicateValues" dxfId="682" priority="552"/>
  </conditionalFormatting>
  <conditionalFormatting sqref="E261">
    <cfRule type="duplicateValues" dxfId="681" priority="553"/>
  </conditionalFormatting>
  <conditionalFormatting sqref="E262">
    <cfRule type="duplicateValues" dxfId="680" priority="548"/>
  </conditionalFormatting>
  <conditionalFormatting sqref="E262">
    <cfRule type="duplicateValues" dxfId="679" priority="549"/>
  </conditionalFormatting>
  <conditionalFormatting sqref="E262">
    <cfRule type="duplicateValues" dxfId="678" priority="550"/>
  </conditionalFormatting>
  <conditionalFormatting sqref="E263">
    <cfRule type="duplicateValues" dxfId="677" priority="545"/>
  </conditionalFormatting>
  <conditionalFormatting sqref="E263">
    <cfRule type="duplicateValues" dxfId="676" priority="546"/>
  </conditionalFormatting>
  <conditionalFormatting sqref="E263">
    <cfRule type="duplicateValues" dxfId="675" priority="547"/>
  </conditionalFormatting>
  <conditionalFormatting sqref="E264">
    <cfRule type="duplicateValues" dxfId="674" priority="542"/>
  </conditionalFormatting>
  <conditionalFormatting sqref="E264">
    <cfRule type="duplicateValues" dxfId="673" priority="543"/>
  </conditionalFormatting>
  <conditionalFormatting sqref="E264">
    <cfRule type="duplicateValues" dxfId="672" priority="544"/>
  </conditionalFormatting>
  <conditionalFormatting sqref="E265">
    <cfRule type="duplicateValues" dxfId="671" priority="539"/>
  </conditionalFormatting>
  <conditionalFormatting sqref="E265">
    <cfRule type="duplicateValues" dxfId="670" priority="540"/>
  </conditionalFormatting>
  <conditionalFormatting sqref="E265">
    <cfRule type="duplicateValues" dxfId="669" priority="541"/>
  </conditionalFormatting>
  <conditionalFormatting sqref="E266">
    <cfRule type="duplicateValues" dxfId="668" priority="536"/>
  </conditionalFormatting>
  <conditionalFormatting sqref="E266">
    <cfRule type="duplicateValues" dxfId="667" priority="537"/>
  </conditionalFormatting>
  <conditionalFormatting sqref="E266">
    <cfRule type="duplicateValues" dxfId="666" priority="538"/>
  </conditionalFormatting>
  <conditionalFormatting sqref="E267">
    <cfRule type="duplicateValues" dxfId="665" priority="533"/>
  </conditionalFormatting>
  <conditionalFormatting sqref="E267">
    <cfRule type="duplicateValues" dxfId="664" priority="534"/>
  </conditionalFormatting>
  <conditionalFormatting sqref="E267">
    <cfRule type="duplicateValues" dxfId="663" priority="535"/>
  </conditionalFormatting>
  <conditionalFormatting sqref="E268">
    <cfRule type="duplicateValues" dxfId="662" priority="530"/>
  </conditionalFormatting>
  <conditionalFormatting sqref="E268">
    <cfRule type="duplicateValues" dxfId="661" priority="531"/>
  </conditionalFormatting>
  <conditionalFormatting sqref="E268">
    <cfRule type="duplicateValues" dxfId="660" priority="532"/>
  </conditionalFormatting>
  <conditionalFormatting sqref="E269">
    <cfRule type="duplicateValues" dxfId="659" priority="527"/>
  </conditionalFormatting>
  <conditionalFormatting sqref="E269">
    <cfRule type="duplicateValues" dxfId="658" priority="528"/>
  </conditionalFormatting>
  <conditionalFormatting sqref="E269">
    <cfRule type="duplicateValues" dxfId="657" priority="529"/>
  </conditionalFormatting>
  <conditionalFormatting sqref="E270">
    <cfRule type="duplicateValues" dxfId="656" priority="524"/>
  </conditionalFormatting>
  <conditionalFormatting sqref="E270">
    <cfRule type="duplicateValues" dxfId="655" priority="525"/>
  </conditionalFormatting>
  <conditionalFormatting sqref="E270">
    <cfRule type="duplicateValues" dxfId="654" priority="526"/>
  </conditionalFormatting>
  <conditionalFormatting sqref="E271">
    <cfRule type="duplicateValues" dxfId="653" priority="521"/>
  </conditionalFormatting>
  <conditionalFormatting sqref="E271">
    <cfRule type="duplicateValues" dxfId="652" priority="522"/>
  </conditionalFormatting>
  <conditionalFormatting sqref="E271">
    <cfRule type="duplicateValues" dxfId="651" priority="523"/>
  </conditionalFormatting>
  <conditionalFormatting sqref="E272">
    <cfRule type="duplicateValues" dxfId="650" priority="518"/>
  </conditionalFormatting>
  <conditionalFormatting sqref="E272">
    <cfRule type="duplicateValues" dxfId="649" priority="519"/>
  </conditionalFormatting>
  <conditionalFormatting sqref="E272">
    <cfRule type="duplicateValues" dxfId="648" priority="520"/>
  </conditionalFormatting>
  <conditionalFormatting sqref="E273">
    <cfRule type="duplicateValues" dxfId="647" priority="515"/>
  </conditionalFormatting>
  <conditionalFormatting sqref="E273">
    <cfRule type="duplicateValues" dxfId="646" priority="516"/>
  </conditionalFormatting>
  <conditionalFormatting sqref="E273">
    <cfRule type="duplicateValues" dxfId="645" priority="517"/>
  </conditionalFormatting>
  <conditionalFormatting sqref="E274">
    <cfRule type="duplicateValues" dxfId="644" priority="512"/>
  </conditionalFormatting>
  <conditionalFormatting sqref="E274">
    <cfRule type="duplicateValues" dxfId="643" priority="513"/>
  </conditionalFormatting>
  <conditionalFormatting sqref="E274">
    <cfRule type="duplicateValues" dxfId="642" priority="514"/>
  </conditionalFormatting>
  <conditionalFormatting sqref="E275">
    <cfRule type="duplicateValues" dxfId="641" priority="509"/>
  </conditionalFormatting>
  <conditionalFormatting sqref="E275">
    <cfRule type="duplicateValues" dxfId="640" priority="510"/>
  </conditionalFormatting>
  <conditionalFormatting sqref="E275">
    <cfRule type="duplicateValues" dxfId="639" priority="511"/>
  </conditionalFormatting>
  <conditionalFormatting sqref="E276">
    <cfRule type="duplicateValues" dxfId="638" priority="506"/>
  </conditionalFormatting>
  <conditionalFormatting sqref="E276">
    <cfRule type="duplicateValues" dxfId="637" priority="507"/>
  </conditionalFormatting>
  <conditionalFormatting sqref="E276">
    <cfRule type="duplicateValues" dxfId="636" priority="508"/>
  </conditionalFormatting>
  <conditionalFormatting sqref="E277">
    <cfRule type="duplicateValues" dxfId="635" priority="503"/>
  </conditionalFormatting>
  <conditionalFormatting sqref="E277">
    <cfRule type="duplicateValues" dxfId="634" priority="504"/>
  </conditionalFormatting>
  <conditionalFormatting sqref="E277">
    <cfRule type="duplicateValues" dxfId="633" priority="505"/>
  </conditionalFormatting>
  <conditionalFormatting sqref="E278">
    <cfRule type="duplicateValues" dxfId="632" priority="500"/>
  </conditionalFormatting>
  <conditionalFormatting sqref="E278">
    <cfRule type="duplicateValues" dxfId="631" priority="501"/>
  </conditionalFormatting>
  <conditionalFormatting sqref="E278">
    <cfRule type="duplicateValues" dxfId="630" priority="502"/>
  </conditionalFormatting>
  <conditionalFormatting sqref="E279">
    <cfRule type="duplicateValues" dxfId="629" priority="497"/>
  </conditionalFormatting>
  <conditionalFormatting sqref="E279">
    <cfRule type="duplicateValues" dxfId="628" priority="498"/>
  </conditionalFormatting>
  <conditionalFormatting sqref="E279">
    <cfRule type="duplicateValues" dxfId="627" priority="499"/>
  </conditionalFormatting>
  <conditionalFormatting sqref="E280">
    <cfRule type="duplicateValues" dxfId="626" priority="494"/>
  </conditionalFormatting>
  <conditionalFormatting sqref="E280">
    <cfRule type="duplicateValues" dxfId="625" priority="495"/>
  </conditionalFormatting>
  <conditionalFormatting sqref="E280">
    <cfRule type="duplicateValues" dxfId="624" priority="496"/>
  </conditionalFormatting>
  <conditionalFormatting sqref="E281">
    <cfRule type="duplicateValues" dxfId="623" priority="491"/>
  </conditionalFormatting>
  <conditionalFormatting sqref="E281">
    <cfRule type="duplicateValues" dxfId="622" priority="492"/>
  </conditionalFormatting>
  <conditionalFormatting sqref="E281">
    <cfRule type="duplicateValues" dxfId="621" priority="493"/>
  </conditionalFormatting>
  <conditionalFormatting sqref="E282">
    <cfRule type="duplicateValues" dxfId="620" priority="488"/>
  </conditionalFormatting>
  <conditionalFormatting sqref="E282">
    <cfRule type="duplicateValues" dxfId="619" priority="489"/>
  </conditionalFormatting>
  <conditionalFormatting sqref="E282">
    <cfRule type="duplicateValues" dxfId="618" priority="490"/>
  </conditionalFormatting>
  <conditionalFormatting sqref="E283">
    <cfRule type="duplicateValues" dxfId="617" priority="485"/>
  </conditionalFormatting>
  <conditionalFormatting sqref="E283">
    <cfRule type="duplicateValues" dxfId="616" priority="486"/>
  </conditionalFormatting>
  <conditionalFormatting sqref="E283">
    <cfRule type="duplicateValues" dxfId="615" priority="487"/>
  </conditionalFormatting>
  <conditionalFormatting sqref="E284">
    <cfRule type="duplicateValues" dxfId="614" priority="482"/>
  </conditionalFormatting>
  <conditionalFormatting sqref="E284">
    <cfRule type="duplicateValues" dxfId="613" priority="483"/>
  </conditionalFormatting>
  <conditionalFormatting sqref="E284">
    <cfRule type="duplicateValues" dxfId="612" priority="484"/>
  </conditionalFormatting>
  <conditionalFormatting sqref="E285">
    <cfRule type="duplicateValues" dxfId="611" priority="479"/>
  </conditionalFormatting>
  <conditionalFormatting sqref="E285">
    <cfRule type="duplicateValues" dxfId="610" priority="480"/>
  </conditionalFormatting>
  <conditionalFormatting sqref="E285">
    <cfRule type="duplicateValues" dxfId="609" priority="481"/>
  </conditionalFormatting>
  <conditionalFormatting sqref="E286">
    <cfRule type="duplicateValues" dxfId="608" priority="476"/>
  </conditionalFormatting>
  <conditionalFormatting sqref="E286">
    <cfRule type="duplicateValues" dxfId="607" priority="477"/>
  </conditionalFormatting>
  <conditionalFormatting sqref="E286">
    <cfRule type="duplicateValues" dxfId="606" priority="478"/>
  </conditionalFormatting>
  <conditionalFormatting sqref="E287">
    <cfRule type="duplicateValues" dxfId="605" priority="473"/>
  </conditionalFormatting>
  <conditionalFormatting sqref="E287">
    <cfRule type="duplicateValues" dxfId="604" priority="474"/>
  </conditionalFormatting>
  <conditionalFormatting sqref="E287">
    <cfRule type="duplicateValues" dxfId="603" priority="475"/>
  </conditionalFormatting>
  <conditionalFormatting sqref="E288">
    <cfRule type="duplicateValues" dxfId="602" priority="470"/>
  </conditionalFormatting>
  <conditionalFormatting sqref="E288">
    <cfRule type="duplicateValues" dxfId="601" priority="471"/>
  </conditionalFormatting>
  <conditionalFormatting sqref="E288">
    <cfRule type="duplicateValues" dxfId="600" priority="472"/>
  </conditionalFormatting>
  <conditionalFormatting sqref="E289">
    <cfRule type="duplicateValues" dxfId="599" priority="467"/>
  </conditionalFormatting>
  <conditionalFormatting sqref="E289">
    <cfRule type="duplicateValues" dxfId="598" priority="468"/>
  </conditionalFormatting>
  <conditionalFormatting sqref="E289">
    <cfRule type="duplicateValues" dxfId="597" priority="469"/>
  </conditionalFormatting>
  <conditionalFormatting sqref="E290">
    <cfRule type="duplicateValues" dxfId="596" priority="464"/>
  </conditionalFormatting>
  <conditionalFormatting sqref="E290">
    <cfRule type="duplicateValues" dxfId="595" priority="465"/>
  </conditionalFormatting>
  <conditionalFormatting sqref="E290">
    <cfRule type="duplicateValues" dxfId="594" priority="466"/>
  </conditionalFormatting>
  <conditionalFormatting sqref="E291">
    <cfRule type="duplicateValues" dxfId="593" priority="461"/>
  </conditionalFormatting>
  <conditionalFormatting sqref="E291">
    <cfRule type="duplicateValues" dxfId="592" priority="462"/>
  </conditionalFormatting>
  <conditionalFormatting sqref="E291">
    <cfRule type="duplicateValues" dxfId="591" priority="463"/>
  </conditionalFormatting>
  <conditionalFormatting sqref="E292">
    <cfRule type="duplicateValues" dxfId="590" priority="458"/>
  </conditionalFormatting>
  <conditionalFormatting sqref="E292">
    <cfRule type="duplicateValues" dxfId="589" priority="459"/>
  </conditionalFormatting>
  <conditionalFormatting sqref="E292">
    <cfRule type="duplicateValues" dxfId="588" priority="460"/>
  </conditionalFormatting>
  <conditionalFormatting sqref="E293">
    <cfRule type="duplicateValues" dxfId="587" priority="455"/>
  </conditionalFormatting>
  <conditionalFormatting sqref="E293">
    <cfRule type="duplicateValues" dxfId="586" priority="456"/>
  </conditionalFormatting>
  <conditionalFormatting sqref="E293">
    <cfRule type="duplicateValues" dxfId="585" priority="457"/>
  </conditionalFormatting>
  <conditionalFormatting sqref="E294">
    <cfRule type="duplicateValues" dxfId="584" priority="452"/>
  </conditionalFormatting>
  <conditionalFormatting sqref="E294">
    <cfRule type="duplicateValues" dxfId="583" priority="453"/>
  </conditionalFormatting>
  <conditionalFormatting sqref="E294">
    <cfRule type="duplicateValues" dxfId="582" priority="454"/>
  </conditionalFormatting>
  <conditionalFormatting sqref="E295">
    <cfRule type="duplicateValues" dxfId="581" priority="449"/>
  </conditionalFormatting>
  <conditionalFormatting sqref="E295">
    <cfRule type="duplicateValues" dxfId="580" priority="450"/>
  </conditionalFormatting>
  <conditionalFormatting sqref="E295">
    <cfRule type="duplicateValues" dxfId="579" priority="451"/>
  </conditionalFormatting>
  <conditionalFormatting sqref="E296">
    <cfRule type="duplicateValues" dxfId="578" priority="446"/>
  </conditionalFormatting>
  <conditionalFormatting sqref="E296">
    <cfRule type="duplicateValues" dxfId="577" priority="447"/>
  </conditionalFormatting>
  <conditionalFormatting sqref="E296">
    <cfRule type="duplicateValues" dxfId="576" priority="448"/>
  </conditionalFormatting>
  <conditionalFormatting sqref="E297">
    <cfRule type="duplicateValues" dxfId="575" priority="443"/>
  </conditionalFormatting>
  <conditionalFormatting sqref="E297">
    <cfRule type="duplicateValues" dxfId="574" priority="444"/>
  </conditionalFormatting>
  <conditionalFormatting sqref="E297">
    <cfRule type="duplicateValues" dxfId="573" priority="445"/>
  </conditionalFormatting>
  <conditionalFormatting sqref="E298">
    <cfRule type="duplicateValues" dxfId="572" priority="440"/>
  </conditionalFormatting>
  <conditionalFormatting sqref="E298">
    <cfRule type="duplicateValues" dxfId="571" priority="441"/>
  </conditionalFormatting>
  <conditionalFormatting sqref="E298">
    <cfRule type="duplicateValues" dxfId="570" priority="442"/>
  </conditionalFormatting>
  <conditionalFormatting sqref="E299">
    <cfRule type="duplicateValues" dxfId="569" priority="437"/>
  </conditionalFormatting>
  <conditionalFormatting sqref="E299">
    <cfRule type="duplicateValues" dxfId="568" priority="438"/>
  </conditionalFormatting>
  <conditionalFormatting sqref="E299">
    <cfRule type="duplicateValues" dxfId="567" priority="439"/>
  </conditionalFormatting>
  <conditionalFormatting sqref="E300">
    <cfRule type="duplicateValues" dxfId="566" priority="434"/>
  </conditionalFormatting>
  <conditionalFormatting sqref="E300">
    <cfRule type="duplicateValues" dxfId="565" priority="435"/>
  </conditionalFormatting>
  <conditionalFormatting sqref="E300">
    <cfRule type="duplicateValues" dxfId="564" priority="436"/>
  </conditionalFormatting>
  <conditionalFormatting sqref="E301">
    <cfRule type="duplicateValues" dxfId="563" priority="431"/>
  </conditionalFormatting>
  <conditionalFormatting sqref="E301">
    <cfRule type="duplicateValues" dxfId="562" priority="432"/>
  </conditionalFormatting>
  <conditionalFormatting sqref="E301">
    <cfRule type="duplicateValues" dxfId="561" priority="433"/>
  </conditionalFormatting>
  <conditionalFormatting sqref="E302">
    <cfRule type="duplicateValues" dxfId="560" priority="428"/>
  </conditionalFormatting>
  <conditionalFormatting sqref="E302">
    <cfRule type="duplicateValues" dxfId="559" priority="429"/>
  </conditionalFormatting>
  <conditionalFormatting sqref="E302">
    <cfRule type="duplicateValues" dxfId="558" priority="430"/>
  </conditionalFormatting>
  <conditionalFormatting sqref="E303">
    <cfRule type="duplicateValues" dxfId="557" priority="425"/>
  </conditionalFormatting>
  <conditionalFormatting sqref="E303">
    <cfRule type="duplicateValues" dxfId="556" priority="426"/>
  </conditionalFormatting>
  <conditionalFormatting sqref="E303">
    <cfRule type="duplicateValues" dxfId="555" priority="427"/>
  </conditionalFormatting>
  <conditionalFormatting sqref="E304">
    <cfRule type="duplicateValues" dxfId="554" priority="422"/>
  </conditionalFormatting>
  <conditionalFormatting sqref="E304">
    <cfRule type="duplicateValues" dxfId="553" priority="423"/>
  </conditionalFormatting>
  <conditionalFormatting sqref="E304">
    <cfRule type="duplicateValues" dxfId="552" priority="424"/>
  </conditionalFormatting>
  <conditionalFormatting sqref="E305">
    <cfRule type="duplicateValues" dxfId="551" priority="419"/>
  </conditionalFormatting>
  <conditionalFormatting sqref="E305">
    <cfRule type="duplicateValues" dxfId="550" priority="420"/>
  </conditionalFormatting>
  <conditionalFormatting sqref="E305">
    <cfRule type="duplicateValues" dxfId="549" priority="421"/>
  </conditionalFormatting>
  <conditionalFormatting sqref="E306">
    <cfRule type="duplicateValues" dxfId="548" priority="416"/>
  </conditionalFormatting>
  <conditionalFormatting sqref="E306">
    <cfRule type="duplicateValues" dxfId="547" priority="417"/>
  </conditionalFormatting>
  <conditionalFormatting sqref="E306">
    <cfRule type="duplicateValues" dxfId="546" priority="418"/>
  </conditionalFormatting>
  <conditionalFormatting sqref="E307">
    <cfRule type="duplicateValues" dxfId="545" priority="413"/>
  </conditionalFormatting>
  <conditionalFormatting sqref="E307">
    <cfRule type="duplicateValues" dxfId="544" priority="414"/>
  </conditionalFormatting>
  <conditionalFormatting sqref="E307">
    <cfRule type="duplicateValues" dxfId="543" priority="415"/>
  </conditionalFormatting>
  <conditionalFormatting sqref="E308">
    <cfRule type="duplicateValues" dxfId="542" priority="410"/>
  </conditionalFormatting>
  <conditionalFormatting sqref="E308">
    <cfRule type="duplicateValues" dxfId="541" priority="411"/>
  </conditionalFormatting>
  <conditionalFormatting sqref="E308">
    <cfRule type="duplicateValues" dxfId="540" priority="412"/>
  </conditionalFormatting>
  <conditionalFormatting sqref="E309">
    <cfRule type="duplicateValues" dxfId="539" priority="407"/>
  </conditionalFormatting>
  <conditionalFormatting sqref="E309">
    <cfRule type="duplicateValues" dxfId="538" priority="408"/>
  </conditionalFormatting>
  <conditionalFormatting sqref="E309">
    <cfRule type="duplicateValues" dxfId="537" priority="409"/>
  </conditionalFormatting>
  <conditionalFormatting sqref="E310">
    <cfRule type="duplicateValues" dxfId="536" priority="404"/>
  </conditionalFormatting>
  <conditionalFormatting sqref="E310">
    <cfRule type="duplicateValues" dxfId="535" priority="405"/>
  </conditionalFormatting>
  <conditionalFormatting sqref="E310">
    <cfRule type="duplicateValues" dxfId="534" priority="406"/>
  </conditionalFormatting>
  <conditionalFormatting sqref="E311">
    <cfRule type="duplicateValues" dxfId="533" priority="401"/>
  </conditionalFormatting>
  <conditionalFormatting sqref="E311">
    <cfRule type="duplicateValues" dxfId="532" priority="402"/>
  </conditionalFormatting>
  <conditionalFormatting sqref="E311">
    <cfRule type="duplicateValues" dxfId="531" priority="403"/>
  </conditionalFormatting>
  <conditionalFormatting sqref="E312">
    <cfRule type="duplicateValues" dxfId="530" priority="398"/>
  </conditionalFormatting>
  <conditionalFormatting sqref="E312">
    <cfRule type="duplicateValues" dxfId="529" priority="399"/>
  </conditionalFormatting>
  <conditionalFormatting sqref="E312">
    <cfRule type="duplicateValues" dxfId="528" priority="400"/>
  </conditionalFormatting>
  <conditionalFormatting sqref="E313">
    <cfRule type="duplicateValues" dxfId="527" priority="395"/>
  </conditionalFormatting>
  <conditionalFormatting sqref="E313">
    <cfRule type="duplicateValues" dxfId="526" priority="396"/>
  </conditionalFormatting>
  <conditionalFormatting sqref="E313">
    <cfRule type="duplicateValues" dxfId="525" priority="397"/>
  </conditionalFormatting>
  <conditionalFormatting sqref="E314">
    <cfRule type="duplicateValues" dxfId="524" priority="392"/>
  </conditionalFormatting>
  <conditionalFormatting sqref="E314">
    <cfRule type="duplicateValues" dxfId="523" priority="393"/>
  </conditionalFormatting>
  <conditionalFormatting sqref="E314">
    <cfRule type="duplicateValues" dxfId="522" priority="394"/>
  </conditionalFormatting>
  <conditionalFormatting sqref="E315">
    <cfRule type="duplicateValues" dxfId="521" priority="389"/>
  </conditionalFormatting>
  <conditionalFormatting sqref="E315">
    <cfRule type="duplicateValues" dxfId="520" priority="390"/>
  </conditionalFormatting>
  <conditionalFormatting sqref="E315">
    <cfRule type="duplicateValues" dxfId="519" priority="391"/>
  </conditionalFormatting>
  <conditionalFormatting sqref="E316">
    <cfRule type="duplicateValues" dxfId="518" priority="386"/>
  </conditionalFormatting>
  <conditionalFormatting sqref="E316">
    <cfRule type="duplicateValues" dxfId="517" priority="387"/>
  </conditionalFormatting>
  <conditionalFormatting sqref="E316">
    <cfRule type="duplicateValues" dxfId="516" priority="388"/>
  </conditionalFormatting>
  <conditionalFormatting sqref="E317">
    <cfRule type="duplicateValues" dxfId="515" priority="383"/>
  </conditionalFormatting>
  <conditionalFormatting sqref="E317">
    <cfRule type="duplicateValues" dxfId="514" priority="384"/>
  </conditionalFormatting>
  <conditionalFormatting sqref="E317">
    <cfRule type="duplicateValues" dxfId="513" priority="385"/>
  </conditionalFormatting>
  <conditionalFormatting sqref="E318">
    <cfRule type="duplicateValues" dxfId="512" priority="380"/>
  </conditionalFormatting>
  <conditionalFormatting sqref="E318">
    <cfRule type="duplicateValues" dxfId="511" priority="381"/>
  </conditionalFormatting>
  <conditionalFormatting sqref="E318">
    <cfRule type="duplicateValues" dxfId="510" priority="382"/>
  </conditionalFormatting>
  <conditionalFormatting sqref="E319">
    <cfRule type="duplicateValues" dxfId="509" priority="377"/>
  </conditionalFormatting>
  <conditionalFormatting sqref="E319">
    <cfRule type="duplicateValues" dxfId="508" priority="378"/>
  </conditionalFormatting>
  <conditionalFormatting sqref="E319">
    <cfRule type="duplicateValues" dxfId="507" priority="379"/>
  </conditionalFormatting>
  <conditionalFormatting sqref="E320">
    <cfRule type="duplicateValues" dxfId="506" priority="374"/>
  </conditionalFormatting>
  <conditionalFormatting sqref="E320">
    <cfRule type="duplicateValues" dxfId="505" priority="375"/>
  </conditionalFormatting>
  <conditionalFormatting sqref="E320">
    <cfRule type="duplicateValues" dxfId="504" priority="376"/>
  </conditionalFormatting>
  <conditionalFormatting sqref="E321">
    <cfRule type="duplicateValues" dxfId="503" priority="371"/>
  </conditionalFormatting>
  <conditionalFormatting sqref="E321">
    <cfRule type="duplicateValues" dxfId="502" priority="372"/>
  </conditionalFormatting>
  <conditionalFormatting sqref="E321">
    <cfRule type="duplicateValues" dxfId="501" priority="373"/>
  </conditionalFormatting>
  <conditionalFormatting sqref="E322">
    <cfRule type="duplicateValues" dxfId="500" priority="368"/>
  </conditionalFormatting>
  <conditionalFormatting sqref="E322">
    <cfRule type="duplicateValues" dxfId="499" priority="369"/>
  </conditionalFormatting>
  <conditionalFormatting sqref="E322">
    <cfRule type="duplicateValues" dxfId="498" priority="370"/>
  </conditionalFormatting>
  <conditionalFormatting sqref="E323">
    <cfRule type="duplicateValues" dxfId="497" priority="365"/>
  </conditionalFormatting>
  <conditionalFormatting sqref="E323">
    <cfRule type="duplicateValues" dxfId="496" priority="366"/>
  </conditionalFormatting>
  <conditionalFormatting sqref="E323">
    <cfRule type="duplicateValues" dxfId="495" priority="367"/>
  </conditionalFormatting>
  <conditionalFormatting sqref="E324">
    <cfRule type="duplicateValues" dxfId="494" priority="362"/>
  </conditionalFormatting>
  <conditionalFormatting sqref="E324">
    <cfRule type="duplicateValues" dxfId="493" priority="363"/>
  </conditionalFormatting>
  <conditionalFormatting sqref="E324">
    <cfRule type="duplicateValues" dxfId="492" priority="364"/>
  </conditionalFormatting>
  <conditionalFormatting sqref="E325">
    <cfRule type="duplicateValues" dxfId="491" priority="359"/>
  </conditionalFormatting>
  <conditionalFormatting sqref="E325">
    <cfRule type="duplicateValues" dxfId="490" priority="360"/>
  </conditionalFormatting>
  <conditionalFormatting sqref="E325">
    <cfRule type="duplicateValues" dxfId="489" priority="361"/>
  </conditionalFormatting>
  <conditionalFormatting sqref="E326">
    <cfRule type="duplicateValues" dxfId="488" priority="356"/>
  </conditionalFormatting>
  <conditionalFormatting sqref="E326">
    <cfRule type="duplicateValues" dxfId="487" priority="357"/>
  </conditionalFormatting>
  <conditionalFormatting sqref="E326">
    <cfRule type="duplicateValues" dxfId="486" priority="358"/>
  </conditionalFormatting>
  <conditionalFormatting sqref="E327">
    <cfRule type="duplicateValues" dxfId="485" priority="353"/>
  </conditionalFormatting>
  <conditionalFormatting sqref="E327">
    <cfRule type="duplicateValues" dxfId="484" priority="354"/>
  </conditionalFormatting>
  <conditionalFormatting sqref="E327">
    <cfRule type="duplicateValues" dxfId="483" priority="355"/>
  </conditionalFormatting>
  <conditionalFormatting sqref="E328">
    <cfRule type="duplicateValues" dxfId="482" priority="350"/>
  </conditionalFormatting>
  <conditionalFormatting sqref="E328">
    <cfRule type="duplicateValues" dxfId="481" priority="351"/>
  </conditionalFormatting>
  <conditionalFormatting sqref="E328">
    <cfRule type="duplicateValues" dxfId="480" priority="352"/>
  </conditionalFormatting>
  <conditionalFormatting sqref="E329">
    <cfRule type="duplicateValues" dxfId="479" priority="347"/>
  </conditionalFormatting>
  <conditionalFormatting sqref="E329">
    <cfRule type="duplicateValues" dxfId="478" priority="348"/>
  </conditionalFormatting>
  <conditionalFormatting sqref="E329">
    <cfRule type="duplicateValues" dxfId="477" priority="349"/>
  </conditionalFormatting>
  <conditionalFormatting sqref="E330">
    <cfRule type="duplicateValues" dxfId="476" priority="344"/>
  </conditionalFormatting>
  <conditionalFormatting sqref="E330">
    <cfRule type="duplicateValues" dxfId="475" priority="345"/>
  </conditionalFormatting>
  <conditionalFormatting sqref="E330">
    <cfRule type="duplicateValues" dxfId="474" priority="346"/>
  </conditionalFormatting>
  <conditionalFormatting sqref="E331">
    <cfRule type="duplicateValues" dxfId="473" priority="341"/>
  </conditionalFormatting>
  <conditionalFormatting sqref="E331">
    <cfRule type="duplicateValues" dxfId="472" priority="342"/>
  </conditionalFormatting>
  <conditionalFormatting sqref="E331">
    <cfRule type="duplicateValues" dxfId="471" priority="343"/>
  </conditionalFormatting>
  <conditionalFormatting sqref="E332">
    <cfRule type="duplicateValues" dxfId="470" priority="338"/>
  </conditionalFormatting>
  <conditionalFormatting sqref="E332">
    <cfRule type="duplicateValues" dxfId="469" priority="339"/>
  </conditionalFormatting>
  <conditionalFormatting sqref="E332">
    <cfRule type="duplicateValues" dxfId="468" priority="340"/>
  </conditionalFormatting>
  <conditionalFormatting sqref="E333">
    <cfRule type="duplicateValues" dxfId="467" priority="335"/>
  </conditionalFormatting>
  <conditionalFormatting sqref="E333">
    <cfRule type="duplicateValues" dxfId="466" priority="336"/>
  </conditionalFormatting>
  <conditionalFormatting sqref="E333">
    <cfRule type="duplicateValues" dxfId="465" priority="337"/>
  </conditionalFormatting>
  <conditionalFormatting sqref="E334">
    <cfRule type="duplicateValues" dxfId="464" priority="332"/>
  </conditionalFormatting>
  <conditionalFormatting sqref="E334">
    <cfRule type="duplicateValues" dxfId="463" priority="333"/>
  </conditionalFormatting>
  <conditionalFormatting sqref="E334">
    <cfRule type="duplicateValues" dxfId="462" priority="334"/>
  </conditionalFormatting>
  <conditionalFormatting sqref="E335">
    <cfRule type="duplicateValues" dxfId="461" priority="329"/>
  </conditionalFormatting>
  <conditionalFormatting sqref="E335">
    <cfRule type="duplicateValues" dxfId="460" priority="330"/>
  </conditionalFormatting>
  <conditionalFormatting sqref="E335">
    <cfRule type="duplicateValues" dxfId="459" priority="331"/>
  </conditionalFormatting>
  <conditionalFormatting sqref="E336">
    <cfRule type="duplicateValues" dxfId="458" priority="326"/>
  </conditionalFormatting>
  <conditionalFormatting sqref="E336">
    <cfRule type="duplicateValues" dxfId="457" priority="327"/>
  </conditionalFormatting>
  <conditionalFormatting sqref="E336">
    <cfRule type="duplicateValues" dxfId="456" priority="328"/>
  </conditionalFormatting>
  <conditionalFormatting sqref="E337">
    <cfRule type="duplicateValues" dxfId="455" priority="323"/>
  </conditionalFormatting>
  <conditionalFormatting sqref="E337">
    <cfRule type="duplicateValues" dxfId="454" priority="324"/>
  </conditionalFormatting>
  <conditionalFormatting sqref="E337">
    <cfRule type="duplicateValues" dxfId="453" priority="325"/>
  </conditionalFormatting>
  <conditionalFormatting sqref="E338">
    <cfRule type="duplicateValues" dxfId="452" priority="320"/>
  </conditionalFormatting>
  <conditionalFormatting sqref="E338">
    <cfRule type="duplicateValues" dxfId="451" priority="321"/>
  </conditionalFormatting>
  <conditionalFormatting sqref="E338">
    <cfRule type="duplicateValues" dxfId="450" priority="322"/>
  </conditionalFormatting>
  <conditionalFormatting sqref="E339">
    <cfRule type="duplicateValues" dxfId="449" priority="317"/>
  </conditionalFormatting>
  <conditionalFormatting sqref="E339">
    <cfRule type="duplicateValues" dxfId="448" priority="318"/>
  </conditionalFormatting>
  <conditionalFormatting sqref="E339">
    <cfRule type="duplicateValues" dxfId="447" priority="319"/>
  </conditionalFormatting>
  <conditionalFormatting sqref="E340">
    <cfRule type="duplicateValues" dxfId="446" priority="314"/>
  </conditionalFormatting>
  <conditionalFormatting sqref="E340">
    <cfRule type="duplicateValues" dxfId="445" priority="315"/>
  </conditionalFormatting>
  <conditionalFormatting sqref="E340">
    <cfRule type="duplicateValues" dxfId="444" priority="316"/>
  </conditionalFormatting>
  <conditionalFormatting sqref="E341">
    <cfRule type="duplicateValues" dxfId="443" priority="311"/>
  </conditionalFormatting>
  <conditionalFormatting sqref="E341">
    <cfRule type="duplicateValues" dxfId="442" priority="312"/>
  </conditionalFormatting>
  <conditionalFormatting sqref="E341">
    <cfRule type="duplicateValues" dxfId="441" priority="313"/>
  </conditionalFormatting>
  <conditionalFormatting sqref="E342">
    <cfRule type="duplicateValues" dxfId="440" priority="308"/>
  </conditionalFormatting>
  <conditionalFormatting sqref="E342">
    <cfRule type="duplicateValues" dxfId="439" priority="309"/>
  </conditionalFormatting>
  <conditionalFormatting sqref="E342">
    <cfRule type="duplicateValues" dxfId="438" priority="310"/>
  </conditionalFormatting>
  <conditionalFormatting sqref="E343">
    <cfRule type="duplicateValues" dxfId="437" priority="305"/>
  </conditionalFormatting>
  <conditionalFormatting sqref="E343">
    <cfRule type="duplicateValues" dxfId="436" priority="306"/>
  </conditionalFormatting>
  <conditionalFormatting sqref="E343">
    <cfRule type="duplicateValues" dxfId="435" priority="307"/>
  </conditionalFormatting>
  <conditionalFormatting sqref="E344">
    <cfRule type="duplicateValues" dxfId="434" priority="302"/>
  </conditionalFormatting>
  <conditionalFormatting sqref="E344">
    <cfRule type="duplicateValues" dxfId="433" priority="303"/>
  </conditionalFormatting>
  <conditionalFormatting sqref="E344">
    <cfRule type="duplicateValues" dxfId="432" priority="304"/>
  </conditionalFormatting>
  <conditionalFormatting sqref="E345">
    <cfRule type="duplicateValues" dxfId="431" priority="299"/>
  </conditionalFormatting>
  <conditionalFormatting sqref="E345">
    <cfRule type="duplicateValues" dxfId="430" priority="300"/>
  </conditionalFormatting>
  <conditionalFormatting sqref="E345">
    <cfRule type="duplicateValues" dxfId="429" priority="301"/>
  </conditionalFormatting>
  <conditionalFormatting sqref="E346">
    <cfRule type="duplicateValues" dxfId="428" priority="296"/>
  </conditionalFormatting>
  <conditionalFormatting sqref="E346">
    <cfRule type="duplicateValues" dxfId="427" priority="297"/>
  </conditionalFormatting>
  <conditionalFormatting sqref="E346">
    <cfRule type="duplicateValues" dxfId="426" priority="298"/>
  </conditionalFormatting>
  <conditionalFormatting sqref="E347">
    <cfRule type="duplicateValues" dxfId="425" priority="293"/>
  </conditionalFormatting>
  <conditionalFormatting sqref="E347">
    <cfRule type="duplicateValues" dxfId="424" priority="294"/>
  </conditionalFormatting>
  <conditionalFormatting sqref="E347">
    <cfRule type="duplicateValues" dxfId="423" priority="295"/>
  </conditionalFormatting>
  <conditionalFormatting sqref="E348">
    <cfRule type="duplicateValues" dxfId="422" priority="290"/>
  </conditionalFormatting>
  <conditionalFormatting sqref="E348">
    <cfRule type="duplicateValues" dxfId="421" priority="291"/>
  </conditionalFormatting>
  <conditionalFormatting sqref="E348">
    <cfRule type="duplicateValues" dxfId="420" priority="292"/>
  </conditionalFormatting>
  <conditionalFormatting sqref="E349">
    <cfRule type="duplicateValues" dxfId="419" priority="287"/>
  </conditionalFormatting>
  <conditionalFormatting sqref="E349">
    <cfRule type="duplicateValues" dxfId="418" priority="288"/>
  </conditionalFormatting>
  <conditionalFormatting sqref="E349">
    <cfRule type="duplicateValues" dxfId="417" priority="289"/>
  </conditionalFormatting>
  <conditionalFormatting sqref="E350">
    <cfRule type="duplicateValues" dxfId="416" priority="284"/>
  </conditionalFormatting>
  <conditionalFormatting sqref="E350">
    <cfRule type="duplicateValues" dxfId="415" priority="285"/>
  </conditionalFormatting>
  <conditionalFormatting sqref="E350">
    <cfRule type="duplicateValues" dxfId="414" priority="286"/>
  </conditionalFormatting>
  <conditionalFormatting sqref="E351">
    <cfRule type="duplicateValues" dxfId="413" priority="281"/>
  </conditionalFormatting>
  <conditionalFormatting sqref="E351">
    <cfRule type="duplicateValues" dxfId="412" priority="282"/>
  </conditionalFormatting>
  <conditionalFormatting sqref="E351">
    <cfRule type="duplicateValues" dxfId="411" priority="283"/>
  </conditionalFormatting>
  <conditionalFormatting sqref="E352">
    <cfRule type="duplicateValues" dxfId="410" priority="278"/>
  </conditionalFormatting>
  <conditionalFormatting sqref="E352">
    <cfRule type="duplicateValues" dxfId="409" priority="279"/>
  </conditionalFormatting>
  <conditionalFormatting sqref="E352">
    <cfRule type="duplicateValues" dxfId="408" priority="280"/>
  </conditionalFormatting>
  <conditionalFormatting sqref="E353">
    <cfRule type="duplicateValues" dxfId="407" priority="275"/>
  </conditionalFormatting>
  <conditionalFormatting sqref="E353">
    <cfRule type="duplicateValues" dxfId="406" priority="276"/>
  </conditionalFormatting>
  <conditionalFormatting sqref="E353">
    <cfRule type="duplicateValues" dxfId="405" priority="277"/>
  </conditionalFormatting>
  <conditionalFormatting sqref="E354">
    <cfRule type="duplicateValues" dxfId="404" priority="272"/>
  </conditionalFormatting>
  <conditionalFormatting sqref="E354">
    <cfRule type="duplicateValues" dxfId="403" priority="273"/>
  </conditionalFormatting>
  <conditionalFormatting sqref="E354">
    <cfRule type="duplicateValues" dxfId="402" priority="274"/>
  </conditionalFormatting>
  <conditionalFormatting sqref="E355">
    <cfRule type="duplicateValues" dxfId="401" priority="269"/>
  </conditionalFormatting>
  <conditionalFormatting sqref="E355">
    <cfRule type="duplicateValues" dxfId="400" priority="270"/>
  </conditionalFormatting>
  <conditionalFormatting sqref="E355">
    <cfRule type="duplicateValues" dxfId="399" priority="271"/>
  </conditionalFormatting>
  <conditionalFormatting sqref="E356">
    <cfRule type="duplicateValues" dxfId="398" priority="266"/>
  </conditionalFormatting>
  <conditionalFormatting sqref="E356">
    <cfRule type="duplicateValues" dxfId="397" priority="267"/>
  </conditionalFormatting>
  <conditionalFormatting sqref="E356">
    <cfRule type="duplicateValues" dxfId="396" priority="268"/>
  </conditionalFormatting>
  <conditionalFormatting sqref="E357">
    <cfRule type="duplicateValues" dxfId="395" priority="263"/>
  </conditionalFormatting>
  <conditionalFormatting sqref="E357">
    <cfRule type="duplicateValues" dxfId="394" priority="264"/>
  </conditionalFormatting>
  <conditionalFormatting sqref="E357">
    <cfRule type="duplicateValues" dxfId="393" priority="265"/>
  </conditionalFormatting>
  <conditionalFormatting sqref="E358">
    <cfRule type="duplicateValues" dxfId="392" priority="260"/>
  </conditionalFormatting>
  <conditionalFormatting sqref="E358">
    <cfRule type="duplicateValues" dxfId="391" priority="261"/>
  </conditionalFormatting>
  <conditionalFormatting sqref="E358">
    <cfRule type="duplicateValues" dxfId="390" priority="262"/>
  </conditionalFormatting>
  <conditionalFormatting sqref="E359">
    <cfRule type="duplicateValues" dxfId="389" priority="257"/>
  </conditionalFormatting>
  <conditionalFormatting sqref="E359">
    <cfRule type="duplicateValues" dxfId="388" priority="258"/>
  </conditionalFormatting>
  <conditionalFormatting sqref="E359">
    <cfRule type="duplicateValues" dxfId="387" priority="259"/>
  </conditionalFormatting>
  <conditionalFormatting sqref="E360">
    <cfRule type="duplicateValues" dxfId="386" priority="254"/>
  </conditionalFormatting>
  <conditionalFormatting sqref="E360">
    <cfRule type="duplicateValues" dxfId="385" priority="255"/>
  </conditionalFormatting>
  <conditionalFormatting sqref="E360">
    <cfRule type="duplicateValues" dxfId="384" priority="256"/>
  </conditionalFormatting>
  <conditionalFormatting sqref="E361">
    <cfRule type="duplicateValues" dxfId="383" priority="251"/>
  </conditionalFormatting>
  <conditionalFormatting sqref="E361">
    <cfRule type="duplicateValues" dxfId="382" priority="252"/>
  </conditionalFormatting>
  <conditionalFormatting sqref="E361">
    <cfRule type="duplicateValues" dxfId="381" priority="253"/>
  </conditionalFormatting>
  <conditionalFormatting sqref="E362">
    <cfRule type="duplicateValues" dxfId="380" priority="248"/>
  </conditionalFormatting>
  <conditionalFormatting sqref="E362">
    <cfRule type="duplicateValues" dxfId="379" priority="249"/>
  </conditionalFormatting>
  <conditionalFormatting sqref="E362">
    <cfRule type="duplicateValues" dxfId="378" priority="250"/>
  </conditionalFormatting>
  <conditionalFormatting sqref="E363">
    <cfRule type="duplicateValues" dxfId="377" priority="245"/>
  </conditionalFormatting>
  <conditionalFormatting sqref="E363">
    <cfRule type="duplicateValues" dxfId="376" priority="246"/>
  </conditionalFormatting>
  <conditionalFormatting sqref="E363">
    <cfRule type="duplicateValues" dxfId="375" priority="247"/>
  </conditionalFormatting>
  <conditionalFormatting sqref="E364">
    <cfRule type="duplicateValues" dxfId="374" priority="242"/>
  </conditionalFormatting>
  <conditionalFormatting sqref="E364">
    <cfRule type="duplicateValues" dxfId="373" priority="243"/>
  </conditionalFormatting>
  <conditionalFormatting sqref="E364">
    <cfRule type="duplicateValues" dxfId="372" priority="244"/>
  </conditionalFormatting>
  <conditionalFormatting sqref="E365">
    <cfRule type="duplicateValues" dxfId="371" priority="239"/>
  </conditionalFormatting>
  <conditionalFormatting sqref="E365">
    <cfRule type="duplicateValues" dxfId="370" priority="240"/>
  </conditionalFormatting>
  <conditionalFormatting sqref="E365">
    <cfRule type="duplicateValues" dxfId="369" priority="241"/>
  </conditionalFormatting>
  <conditionalFormatting sqref="E366">
    <cfRule type="duplicateValues" dxfId="368" priority="236"/>
  </conditionalFormatting>
  <conditionalFormatting sqref="E366">
    <cfRule type="duplicateValues" dxfId="367" priority="237"/>
  </conditionalFormatting>
  <conditionalFormatting sqref="E366">
    <cfRule type="duplicateValues" dxfId="366" priority="238"/>
  </conditionalFormatting>
  <conditionalFormatting sqref="E367">
    <cfRule type="duplicateValues" dxfId="365" priority="233"/>
  </conditionalFormatting>
  <conditionalFormatting sqref="E367">
    <cfRule type="duplicateValues" dxfId="364" priority="234"/>
  </conditionalFormatting>
  <conditionalFormatting sqref="E367">
    <cfRule type="duplicateValues" dxfId="363" priority="235"/>
  </conditionalFormatting>
  <conditionalFormatting sqref="E368">
    <cfRule type="duplicateValues" dxfId="362" priority="230"/>
  </conditionalFormatting>
  <conditionalFormatting sqref="E368">
    <cfRule type="duplicateValues" dxfId="361" priority="231"/>
  </conditionalFormatting>
  <conditionalFormatting sqref="E368">
    <cfRule type="duplicateValues" dxfId="360" priority="232"/>
  </conditionalFormatting>
  <conditionalFormatting sqref="E369">
    <cfRule type="duplicateValues" dxfId="359" priority="227"/>
  </conditionalFormatting>
  <conditionalFormatting sqref="E369">
    <cfRule type="duplicateValues" dxfId="358" priority="228"/>
  </conditionalFormatting>
  <conditionalFormatting sqref="E369">
    <cfRule type="duplicateValues" dxfId="357" priority="229"/>
  </conditionalFormatting>
  <conditionalFormatting sqref="E370">
    <cfRule type="duplicateValues" dxfId="356" priority="224"/>
  </conditionalFormatting>
  <conditionalFormatting sqref="E370">
    <cfRule type="duplicateValues" dxfId="355" priority="225"/>
  </conditionalFormatting>
  <conditionalFormatting sqref="E370">
    <cfRule type="duplicateValues" dxfId="354" priority="226"/>
  </conditionalFormatting>
  <conditionalFormatting sqref="E371">
    <cfRule type="duplicateValues" dxfId="353" priority="221"/>
  </conditionalFormatting>
  <conditionalFormatting sqref="E371">
    <cfRule type="duplicateValues" dxfId="352" priority="222"/>
  </conditionalFormatting>
  <conditionalFormatting sqref="E371">
    <cfRule type="duplicateValues" dxfId="351" priority="223"/>
  </conditionalFormatting>
  <conditionalFormatting sqref="E372">
    <cfRule type="duplicateValues" dxfId="350" priority="218"/>
  </conditionalFormatting>
  <conditionalFormatting sqref="E372">
    <cfRule type="duplicateValues" dxfId="349" priority="219"/>
  </conditionalFormatting>
  <conditionalFormatting sqref="E372">
    <cfRule type="duplicateValues" dxfId="348" priority="220"/>
  </conditionalFormatting>
  <conditionalFormatting sqref="E373">
    <cfRule type="duplicateValues" dxfId="347" priority="215"/>
  </conditionalFormatting>
  <conditionalFormatting sqref="E373">
    <cfRule type="duplicateValues" dxfId="346" priority="216"/>
  </conditionalFormatting>
  <conditionalFormatting sqref="E373">
    <cfRule type="duplicateValues" dxfId="345" priority="217"/>
  </conditionalFormatting>
  <conditionalFormatting sqref="E374">
    <cfRule type="duplicateValues" dxfId="344" priority="212"/>
  </conditionalFormatting>
  <conditionalFormatting sqref="E374">
    <cfRule type="duplicateValues" dxfId="343" priority="213"/>
  </conditionalFormatting>
  <conditionalFormatting sqref="E374">
    <cfRule type="duplicateValues" dxfId="342" priority="214"/>
  </conditionalFormatting>
  <conditionalFormatting sqref="E375">
    <cfRule type="duplicateValues" dxfId="341" priority="209"/>
  </conditionalFormatting>
  <conditionalFormatting sqref="E375">
    <cfRule type="duplicateValues" dxfId="340" priority="210"/>
  </conditionalFormatting>
  <conditionalFormatting sqref="E375">
    <cfRule type="duplicateValues" dxfId="339" priority="211"/>
  </conditionalFormatting>
  <conditionalFormatting sqref="E376">
    <cfRule type="duplicateValues" dxfId="338" priority="206"/>
  </conditionalFormatting>
  <conditionalFormatting sqref="E376">
    <cfRule type="duplicateValues" dxfId="337" priority="207"/>
  </conditionalFormatting>
  <conditionalFormatting sqref="E376">
    <cfRule type="duplicateValues" dxfId="336" priority="208"/>
  </conditionalFormatting>
  <conditionalFormatting sqref="E377">
    <cfRule type="duplicateValues" dxfId="335" priority="203"/>
  </conditionalFormatting>
  <conditionalFormatting sqref="E377">
    <cfRule type="duplicateValues" dxfId="334" priority="204"/>
  </conditionalFormatting>
  <conditionalFormatting sqref="E377">
    <cfRule type="duplicateValues" dxfId="333" priority="205"/>
  </conditionalFormatting>
  <conditionalFormatting sqref="E378">
    <cfRule type="duplicateValues" dxfId="332" priority="200"/>
  </conditionalFormatting>
  <conditionalFormatting sqref="E378">
    <cfRule type="duplicateValues" dxfId="331" priority="201"/>
  </conditionalFormatting>
  <conditionalFormatting sqref="E378">
    <cfRule type="duplicateValues" dxfId="330" priority="202"/>
  </conditionalFormatting>
  <conditionalFormatting sqref="E379">
    <cfRule type="duplicateValues" dxfId="329" priority="197"/>
  </conditionalFormatting>
  <conditionalFormatting sqref="E379">
    <cfRule type="duplicateValues" dxfId="328" priority="198"/>
  </conditionalFormatting>
  <conditionalFormatting sqref="E379">
    <cfRule type="duplicateValues" dxfId="327" priority="199"/>
  </conditionalFormatting>
  <conditionalFormatting sqref="E380">
    <cfRule type="duplicateValues" dxfId="326" priority="194"/>
  </conditionalFormatting>
  <conditionalFormatting sqref="E380">
    <cfRule type="duplicateValues" dxfId="325" priority="195"/>
  </conditionalFormatting>
  <conditionalFormatting sqref="E380">
    <cfRule type="duplicateValues" dxfId="324" priority="196"/>
  </conditionalFormatting>
  <conditionalFormatting sqref="E381">
    <cfRule type="duplicateValues" dxfId="323" priority="191"/>
  </conditionalFormatting>
  <conditionalFormatting sqref="E381">
    <cfRule type="duplicateValues" dxfId="322" priority="192"/>
  </conditionalFormatting>
  <conditionalFormatting sqref="E381">
    <cfRule type="duplicateValues" dxfId="321" priority="193"/>
  </conditionalFormatting>
  <conditionalFormatting sqref="E382">
    <cfRule type="duplicateValues" dxfId="320" priority="188"/>
  </conditionalFormatting>
  <conditionalFormatting sqref="E382">
    <cfRule type="duplicateValues" dxfId="319" priority="189"/>
  </conditionalFormatting>
  <conditionalFormatting sqref="E382">
    <cfRule type="duplicateValues" dxfId="318" priority="190"/>
  </conditionalFormatting>
  <conditionalFormatting sqref="E383">
    <cfRule type="duplicateValues" dxfId="317" priority="185"/>
  </conditionalFormatting>
  <conditionalFormatting sqref="E383">
    <cfRule type="duplicateValues" dxfId="316" priority="186"/>
  </conditionalFormatting>
  <conditionalFormatting sqref="E383">
    <cfRule type="duplicateValues" dxfId="315" priority="187"/>
  </conditionalFormatting>
  <conditionalFormatting sqref="E384">
    <cfRule type="duplicateValues" dxfId="314" priority="182"/>
  </conditionalFormatting>
  <conditionalFormatting sqref="E384">
    <cfRule type="duplicateValues" dxfId="313" priority="183"/>
  </conditionalFormatting>
  <conditionalFormatting sqref="E384">
    <cfRule type="duplicateValues" dxfId="312" priority="184"/>
  </conditionalFormatting>
  <conditionalFormatting sqref="E385">
    <cfRule type="duplicateValues" dxfId="311" priority="179"/>
  </conditionalFormatting>
  <conditionalFormatting sqref="E385">
    <cfRule type="duplicateValues" dxfId="310" priority="180"/>
  </conditionalFormatting>
  <conditionalFormatting sqref="E385">
    <cfRule type="duplicateValues" dxfId="309" priority="181"/>
  </conditionalFormatting>
  <conditionalFormatting sqref="E386">
    <cfRule type="duplicateValues" dxfId="308" priority="176"/>
  </conditionalFormatting>
  <conditionalFormatting sqref="E386">
    <cfRule type="duplicateValues" dxfId="307" priority="177"/>
  </conditionalFormatting>
  <conditionalFormatting sqref="E386">
    <cfRule type="duplicateValues" dxfId="306" priority="178"/>
  </conditionalFormatting>
  <conditionalFormatting sqref="E387">
    <cfRule type="duplicateValues" dxfId="305" priority="173"/>
  </conditionalFormatting>
  <conditionalFormatting sqref="E387">
    <cfRule type="duplicateValues" dxfId="304" priority="174"/>
  </conditionalFormatting>
  <conditionalFormatting sqref="E387">
    <cfRule type="duplicateValues" dxfId="303" priority="175"/>
  </conditionalFormatting>
  <conditionalFormatting sqref="E388">
    <cfRule type="duplicateValues" dxfId="302" priority="170"/>
  </conditionalFormatting>
  <conditionalFormatting sqref="E388">
    <cfRule type="duplicateValues" dxfId="301" priority="171"/>
  </conditionalFormatting>
  <conditionalFormatting sqref="E388">
    <cfRule type="duplicateValues" dxfId="300" priority="172"/>
  </conditionalFormatting>
  <conditionalFormatting sqref="E389">
    <cfRule type="duplicateValues" dxfId="299" priority="167"/>
  </conditionalFormatting>
  <conditionalFormatting sqref="E389">
    <cfRule type="duplicateValues" dxfId="298" priority="168"/>
  </conditionalFormatting>
  <conditionalFormatting sqref="E389">
    <cfRule type="duplicateValues" dxfId="297" priority="169"/>
  </conditionalFormatting>
  <conditionalFormatting sqref="E390">
    <cfRule type="duplicateValues" dxfId="296" priority="164"/>
  </conditionalFormatting>
  <conditionalFormatting sqref="E390">
    <cfRule type="duplicateValues" dxfId="295" priority="165"/>
  </conditionalFormatting>
  <conditionalFormatting sqref="E390">
    <cfRule type="duplicateValues" dxfId="294" priority="166"/>
  </conditionalFormatting>
  <conditionalFormatting sqref="E391">
    <cfRule type="duplicateValues" dxfId="293" priority="161"/>
  </conditionalFormatting>
  <conditionalFormatting sqref="E391">
    <cfRule type="duplicateValues" dxfId="292" priority="162"/>
  </conditionalFormatting>
  <conditionalFormatting sqref="E391">
    <cfRule type="duplicateValues" dxfId="291" priority="163"/>
  </conditionalFormatting>
  <conditionalFormatting sqref="E392">
    <cfRule type="duplicateValues" dxfId="290" priority="158"/>
  </conditionalFormatting>
  <conditionalFormatting sqref="E392">
    <cfRule type="duplicateValues" dxfId="289" priority="159"/>
  </conditionalFormatting>
  <conditionalFormatting sqref="E392">
    <cfRule type="duplicateValues" dxfId="288" priority="160"/>
  </conditionalFormatting>
  <conditionalFormatting sqref="E393">
    <cfRule type="duplicateValues" dxfId="287" priority="155"/>
  </conditionalFormatting>
  <conditionalFormatting sqref="E393">
    <cfRule type="duplicateValues" dxfId="286" priority="156"/>
  </conditionalFormatting>
  <conditionalFormatting sqref="E393">
    <cfRule type="duplicateValues" dxfId="285" priority="157"/>
  </conditionalFormatting>
  <conditionalFormatting sqref="E394">
    <cfRule type="duplicateValues" dxfId="284" priority="152"/>
  </conditionalFormatting>
  <conditionalFormatting sqref="E394">
    <cfRule type="duplicateValues" dxfId="283" priority="153"/>
  </conditionalFormatting>
  <conditionalFormatting sqref="E394">
    <cfRule type="duplicateValues" dxfId="282" priority="154"/>
  </conditionalFormatting>
  <conditionalFormatting sqref="E395">
    <cfRule type="duplicateValues" dxfId="281" priority="149"/>
  </conditionalFormatting>
  <conditionalFormatting sqref="E395">
    <cfRule type="duplicateValues" dxfId="280" priority="150"/>
  </conditionalFormatting>
  <conditionalFormatting sqref="E395">
    <cfRule type="duplicateValues" dxfId="279" priority="151"/>
  </conditionalFormatting>
  <conditionalFormatting sqref="E396">
    <cfRule type="duplicateValues" dxfId="278" priority="146"/>
  </conditionalFormatting>
  <conditionalFormatting sqref="E396">
    <cfRule type="duplicateValues" dxfId="277" priority="147"/>
  </conditionalFormatting>
  <conditionalFormatting sqref="E396">
    <cfRule type="duplicateValues" dxfId="276" priority="148"/>
  </conditionalFormatting>
  <conditionalFormatting sqref="E397">
    <cfRule type="duplicateValues" dxfId="275" priority="143"/>
  </conditionalFormatting>
  <conditionalFormatting sqref="E397">
    <cfRule type="duplicateValues" dxfId="274" priority="144"/>
  </conditionalFormatting>
  <conditionalFormatting sqref="E397">
    <cfRule type="duplicateValues" dxfId="273" priority="145"/>
  </conditionalFormatting>
  <conditionalFormatting sqref="E398">
    <cfRule type="duplicateValues" dxfId="272" priority="140"/>
  </conditionalFormatting>
  <conditionalFormatting sqref="E398">
    <cfRule type="duplicateValues" dxfId="271" priority="141"/>
  </conditionalFormatting>
  <conditionalFormatting sqref="E398">
    <cfRule type="duplicateValues" dxfId="270" priority="142"/>
  </conditionalFormatting>
  <conditionalFormatting sqref="E399">
    <cfRule type="duplicateValues" dxfId="269" priority="137"/>
  </conditionalFormatting>
  <conditionalFormatting sqref="E399">
    <cfRule type="duplicateValues" dxfId="268" priority="138"/>
  </conditionalFormatting>
  <conditionalFormatting sqref="E399">
    <cfRule type="duplicateValues" dxfId="267" priority="139"/>
  </conditionalFormatting>
  <conditionalFormatting sqref="E400">
    <cfRule type="duplicateValues" dxfId="266" priority="134"/>
  </conditionalFormatting>
  <conditionalFormatting sqref="E400">
    <cfRule type="duplicateValues" dxfId="265" priority="135"/>
  </conditionalFormatting>
  <conditionalFormatting sqref="E400">
    <cfRule type="duplicateValues" dxfId="264" priority="136"/>
  </conditionalFormatting>
  <conditionalFormatting sqref="E401">
    <cfRule type="duplicateValues" dxfId="263" priority="131"/>
  </conditionalFormatting>
  <conditionalFormatting sqref="E401">
    <cfRule type="duplicateValues" dxfId="262" priority="132"/>
  </conditionalFormatting>
  <conditionalFormatting sqref="E401">
    <cfRule type="duplicateValues" dxfId="261" priority="133"/>
  </conditionalFormatting>
  <conditionalFormatting sqref="E402">
    <cfRule type="duplicateValues" dxfId="260" priority="128"/>
  </conditionalFormatting>
  <conditionalFormatting sqref="E402">
    <cfRule type="duplicateValues" dxfId="259" priority="129"/>
  </conditionalFormatting>
  <conditionalFormatting sqref="E402">
    <cfRule type="duplicateValues" dxfId="258" priority="130"/>
  </conditionalFormatting>
  <conditionalFormatting sqref="E403">
    <cfRule type="duplicateValues" dxfId="257" priority="125"/>
  </conditionalFormatting>
  <conditionalFormatting sqref="E403">
    <cfRule type="duplicateValues" dxfId="256" priority="126"/>
  </conditionalFormatting>
  <conditionalFormatting sqref="E403">
    <cfRule type="duplicateValues" dxfId="255" priority="127"/>
  </conditionalFormatting>
  <conditionalFormatting sqref="E404">
    <cfRule type="duplicateValues" dxfId="254" priority="122"/>
  </conditionalFormatting>
  <conditionalFormatting sqref="E404">
    <cfRule type="duplicateValues" dxfId="253" priority="123"/>
  </conditionalFormatting>
  <conditionalFormatting sqref="E404">
    <cfRule type="duplicateValues" dxfId="252" priority="124"/>
  </conditionalFormatting>
  <conditionalFormatting sqref="E405">
    <cfRule type="duplicateValues" dxfId="251" priority="119"/>
  </conditionalFormatting>
  <conditionalFormatting sqref="E405">
    <cfRule type="duplicateValues" dxfId="250" priority="120"/>
  </conditionalFormatting>
  <conditionalFormatting sqref="E405">
    <cfRule type="duplicateValues" dxfId="249" priority="121"/>
  </conditionalFormatting>
  <conditionalFormatting sqref="E406">
    <cfRule type="duplicateValues" dxfId="248" priority="116"/>
  </conditionalFormatting>
  <conditionalFormatting sqref="E406">
    <cfRule type="duplicateValues" dxfId="247" priority="117"/>
  </conditionalFormatting>
  <conditionalFormatting sqref="E406">
    <cfRule type="duplicateValues" dxfId="246" priority="118"/>
  </conditionalFormatting>
  <conditionalFormatting sqref="E407">
    <cfRule type="duplicateValues" dxfId="245" priority="113"/>
  </conditionalFormatting>
  <conditionalFormatting sqref="E407">
    <cfRule type="duplicateValues" dxfId="244" priority="114"/>
  </conditionalFormatting>
  <conditionalFormatting sqref="E407">
    <cfRule type="duplicateValues" dxfId="243" priority="115"/>
  </conditionalFormatting>
  <conditionalFormatting sqref="E408">
    <cfRule type="duplicateValues" dxfId="242" priority="110"/>
  </conditionalFormatting>
  <conditionalFormatting sqref="E408">
    <cfRule type="duplicateValues" dxfId="241" priority="111"/>
  </conditionalFormatting>
  <conditionalFormatting sqref="E408">
    <cfRule type="duplicateValues" dxfId="240" priority="112"/>
  </conditionalFormatting>
  <conditionalFormatting sqref="E409">
    <cfRule type="duplicateValues" dxfId="239" priority="107"/>
  </conditionalFormatting>
  <conditionalFormatting sqref="E409">
    <cfRule type="duplicateValues" dxfId="238" priority="108"/>
  </conditionalFormatting>
  <conditionalFormatting sqref="E409">
    <cfRule type="duplicateValues" dxfId="237" priority="109"/>
  </conditionalFormatting>
  <conditionalFormatting sqref="E410">
    <cfRule type="duplicateValues" dxfId="236" priority="104"/>
  </conditionalFormatting>
  <conditionalFormatting sqref="E410">
    <cfRule type="duplicateValues" dxfId="235" priority="105"/>
  </conditionalFormatting>
  <conditionalFormatting sqref="E410">
    <cfRule type="duplicateValues" dxfId="234" priority="106"/>
  </conditionalFormatting>
  <conditionalFormatting sqref="E411">
    <cfRule type="duplicateValues" dxfId="233" priority="101"/>
  </conditionalFormatting>
  <conditionalFormatting sqref="E411">
    <cfRule type="duplicateValues" dxfId="232" priority="102"/>
  </conditionalFormatting>
  <conditionalFormatting sqref="E411">
    <cfRule type="duplicateValues" dxfId="231" priority="103"/>
  </conditionalFormatting>
  <conditionalFormatting sqref="E412">
    <cfRule type="duplicateValues" dxfId="230" priority="98"/>
  </conditionalFormatting>
  <conditionalFormatting sqref="E412">
    <cfRule type="duplicateValues" dxfId="229" priority="99"/>
  </conditionalFormatting>
  <conditionalFormatting sqref="E412">
    <cfRule type="duplicateValues" dxfId="228" priority="100"/>
  </conditionalFormatting>
  <conditionalFormatting sqref="E413">
    <cfRule type="duplicateValues" dxfId="227" priority="95"/>
  </conditionalFormatting>
  <conditionalFormatting sqref="E413">
    <cfRule type="duplicateValues" dxfId="226" priority="96"/>
  </conditionalFormatting>
  <conditionalFormatting sqref="E413">
    <cfRule type="duplicateValues" dxfId="225" priority="97"/>
  </conditionalFormatting>
  <conditionalFormatting sqref="E414">
    <cfRule type="duplicateValues" dxfId="224" priority="92"/>
  </conditionalFormatting>
  <conditionalFormatting sqref="E414">
    <cfRule type="duplicateValues" dxfId="223" priority="93"/>
  </conditionalFormatting>
  <conditionalFormatting sqref="E414">
    <cfRule type="duplicateValues" dxfId="222" priority="94"/>
  </conditionalFormatting>
  <conditionalFormatting sqref="E415">
    <cfRule type="duplicateValues" dxfId="221" priority="89"/>
  </conditionalFormatting>
  <conditionalFormatting sqref="E415">
    <cfRule type="duplicateValues" dxfId="220" priority="90"/>
  </conditionalFormatting>
  <conditionalFormatting sqref="E415">
    <cfRule type="duplicateValues" dxfId="219" priority="91"/>
  </conditionalFormatting>
  <conditionalFormatting sqref="E416">
    <cfRule type="duplicateValues" dxfId="218" priority="86"/>
  </conditionalFormatting>
  <conditionalFormatting sqref="E416">
    <cfRule type="duplicateValues" dxfId="217" priority="87"/>
  </conditionalFormatting>
  <conditionalFormatting sqref="E416">
    <cfRule type="duplicateValues" dxfId="216" priority="88"/>
  </conditionalFormatting>
  <conditionalFormatting sqref="E417">
    <cfRule type="duplicateValues" dxfId="215" priority="83"/>
  </conditionalFormatting>
  <conditionalFormatting sqref="E417">
    <cfRule type="duplicateValues" dxfId="214" priority="84"/>
  </conditionalFormatting>
  <conditionalFormatting sqref="E417">
    <cfRule type="duplicateValues" dxfId="213" priority="85"/>
  </conditionalFormatting>
  <conditionalFormatting sqref="E418">
    <cfRule type="duplicateValues" dxfId="212" priority="80"/>
  </conditionalFormatting>
  <conditionalFormatting sqref="E418">
    <cfRule type="duplicateValues" dxfId="211" priority="81"/>
  </conditionalFormatting>
  <conditionalFormatting sqref="E418">
    <cfRule type="duplicateValues" dxfId="210" priority="82"/>
  </conditionalFormatting>
  <conditionalFormatting sqref="E419">
    <cfRule type="duplicateValues" dxfId="209" priority="77"/>
  </conditionalFormatting>
  <conditionalFormatting sqref="E419">
    <cfRule type="duplicateValues" dxfId="208" priority="78"/>
  </conditionalFormatting>
  <conditionalFormatting sqref="E419">
    <cfRule type="duplicateValues" dxfId="207" priority="79"/>
  </conditionalFormatting>
  <conditionalFormatting sqref="E420">
    <cfRule type="duplicateValues" dxfId="206" priority="74"/>
  </conditionalFormatting>
  <conditionalFormatting sqref="E420">
    <cfRule type="duplicateValues" dxfId="205" priority="75"/>
  </conditionalFormatting>
  <conditionalFormatting sqref="E420">
    <cfRule type="duplicateValues" dxfId="204" priority="76"/>
  </conditionalFormatting>
  <conditionalFormatting sqref="E421">
    <cfRule type="duplicateValues" dxfId="203" priority="71"/>
  </conditionalFormatting>
  <conditionalFormatting sqref="E421">
    <cfRule type="duplicateValues" dxfId="202" priority="72"/>
  </conditionalFormatting>
  <conditionalFormatting sqref="E421">
    <cfRule type="duplicateValues" dxfId="201" priority="73"/>
  </conditionalFormatting>
  <conditionalFormatting sqref="E422">
    <cfRule type="duplicateValues" dxfId="200" priority="68"/>
  </conditionalFormatting>
  <conditionalFormatting sqref="E422">
    <cfRule type="duplicateValues" dxfId="199" priority="69"/>
  </conditionalFormatting>
  <conditionalFormatting sqref="E422">
    <cfRule type="duplicateValues" dxfId="198" priority="70"/>
  </conditionalFormatting>
  <conditionalFormatting sqref="E423">
    <cfRule type="duplicateValues" dxfId="197" priority="65"/>
  </conditionalFormatting>
  <conditionalFormatting sqref="E423">
    <cfRule type="duplicateValues" dxfId="196" priority="66"/>
  </conditionalFormatting>
  <conditionalFormatting sqref="E423">
    <cfRule type="duplicateValues" dxfId="195" priority="67"/>
  </conditionalFormatting>
  <conditionalFormatting sqref="E424">
    <cfRule type="duplicateValues" dxfId="194" priority="62"/>
  </conditionalFormatting>
  <conditionalFormatting sqref="E424">
    <cfRule type="duplicateValues" dxfId="193" priority="63"/>
  </conditionalFormatting>
  <conditionalFormatting sqref="E424">
    <cfRule type="duplicateValues" dxfId="192" priority="64"/>
  </conditionalFormatting>
  <conditionalFormatting sqref="E425">
    <cfRule type="duplicateValues" dxfId="191" priority="59"/>
  </conditionalFormatting>
  <conditionalFormatting sqref="E425">
    <cfRule type="duplicateValues" dxfId="190" priority="60"/>
  </conditionalFormatting>
  <conditionalFormatting sqref="E425">
    <cfRule type="duplicateValues" dxfId="189" priority="61"/>
  </conditionalFormatting>
  <conditionalFormatting sqref="E426">
    <cfRule type="duplicateValues" dxfId="188" priority="56"/>
  </conditionalFormatting>
  <conditionalFormatting sqref="E426">
    <cfRule type="duplicateValues" dxfId="187" priority="57"/>
  </conditionalFormatting>
  <conditionalFormatting sqref="E426">
    <cfRule type="duplicateValues" dxfId="186" priority="58"/>
  </conditionalFormatting>
  <conditionalFormatting sqref="E427">
    <cfRule type="duplicateValues" dxfId="185" priority="53"/>
  </conditionalFormatting>
  <conditionalFormatting sqref="E427">
    <cfRule type="duplicateValues" dxfId="184" priority="54"/>
  </conditionalFormatting>
  <conditionalFormatting sqref="E427">
    <cfRule type="duplicateValues" dxfId="183" priority="55"/>
  </conditionalFormatting>
  <conditionalFormatting sqref="E428">
    <cfRule type="duplicateValues" dxfId="182" priority="50"/>
  </conditionalFormatting>
  <conditionalFormatting sqref="E428">
    <cfRule type="duplicateValues" dxfId="181" priority="51"/>
  </conditionalFormatting>
  <conditionalFormatting sqref="E428">
    <cfRule type="duplicateValues" dxfId="180" priority="52"/>
  </conditionalFormatting>
  <conditionalFormatting sqref="E429">
    <cfRule type="duplicateValues" dxfId="179" priority="47"/>
  </conditionalFormatting>
  <conditionalFormatting sqref="E429">
    <cfRule type="duplicateValues" dxfId="178" priority="48"/>
  </conditionalFormatting>
  <conditionalFormatting sqref="E429">
    <cfRule type="duplicateValues" dxfId="177" priority="49"/>
  </conditionalFormatting>
  <conditionalFormatting sqref="E430">
    <cfRule type="duplicateValues" dxfId="176" priority="44"/>
  </conditionalFormatting>
  <conditionalFormatting sqref="E430">
    <cfRule type="duplicateValues" dxfId="175" priority="45"/>
  </conditionalFormatting>
  <conditionalFormatting sqref="E430">
    <cfRule type="duplicateValues" dxfId="174" priority="46"/>
  </conditionalFormatting>
  <conditionalFormatting sqref="E431">
    <cfRule type="duplicateValues" dxfId="173" priority="41"/>
  </conditionalFormatting>
  <conditionalFormatting sqref="E431">
    <cfRule type="duplicateValues" dxfId="172" priority="42"/>
  </conditionalFormatting>
  <conditionalFormatting sqref="E431">
    <cfRule type="duplicateValues" dxfId="171" priority="43"/>
  </conditionalFormatting>
  <conditionalFormatting sqref="E432">
    <cfRule type="duplicateValues" dxfId="170" priority="38"/>
  </conditionalFormatting>
  <conditionalFormatting sqref="E432">
    <cfRule type="duplicateValues" dxfId="169" priority="39"/>
  </conditionalFormatting>
  <conditionalFormatting sqref="E432">
    <cfRule type="duplicateValues" dxfId="168" priority="40"/>
  </conditionalFormatting>
  <conditionalFormatting sqref="E433">
    <cfRule type="duplicateValues" dxfId="167" priority="35"/>
  </conditionalFormatting>
  <conditionalFormatting sqref="E433">
    <cfRule type="duplicateValues" dxfId="166" priority="36"/>
  </conditionalFormatting>
  <conditionalFormatting sqref="E433">
    <cfRule type="duplicateValues" dxfId="165" priority="37"/>
  </conditionalFormatting>
  <conditionalFormatting sqref="E434">
    <cfRule type="duplicateValues" dxfId="164" priority="32"/>
  </conditionalFormatting>
  <conditionalFormatting sqref="E434">
    <cfRule type="duplicateValues" dxfId="163" priority="33"/>
  </conditionalFormatting>
  <conditionalFormatting sqref="E434">
    <cfRule type="duplicateValues" dxfId="162" priority="34"/>
  </conditionalFormatting>
  <conditionalFormatting sqref="E435">
    <cfRule type="duplicateValues" dxfId="161" priority="29"/>
  </conditionalFormatting>
  <conditionalFormatting sqref="E435">
    <cfRule type="duplicateValues" dxfId="160" priority="30"/>
  </conditionalFormatting>
  <conditionalFormatting sqref="E435">
    <cfRule type="duplicateValues" dxfId="159" priority="31"/>
  </conditionalFormatting>
  <conditionalFormatting sqref="E436">
    <cfRule type="duplicateValues" dxfId="158" priority="26"/>
  </conditionalFormatting>
  <conditionalFormatting sqref="E436">
    <cfRule type="duplicateValues" dxfId="157" priority="27"/>
  </conditionalFormatting>
  <conditionalFormatting sqref="E436">
    <cfRule type="duplicateValues" dxfId="156" priority="28"/>
  </conditionalFormatting>
  <conditionalFormatting sqref="E437">
    <cfRule type="duplicateValues" dxfId="155" priority="23"/>
  </conditionalFormatting>
  <conditionalFormatting sqref="E437">
    <cfRule type="duplicateValues" dxfId="154" priority="24"/>
  </conditionalFormatting>
  <conditionalFormatting sqref="E437">
    <cfRule type="duplicateValues" dxfId="153" priority="25"/>
  </conditionalFormatting>
  <conditionalFormatting sqref="E438">
    <cfRule type="duplicateValues" dxfId="152" priority="20"/>
  </conditionalFormatting>
  <conditionalFormatting sqref="E438">
    <cfRule type="duplicateValues" dxfId="151" priority="21"/>
  </conditionalFormatting>
  <conditionalFormatting sqref="E438">
    <cfRule type="duplicateValues" dxfId="150" priority="22"/>
  </conditionalFormatting>
  <conditionalFormatting sqref="E439">
    <cfRule type="duplicateValues" dxfId="149" priority="17"/>
  </conditionalFormatting>
  <conditionalFormatting sqref="E439">
    <cfRule type="duplicateValues" dxfId="148" priority="18"/>
  </conditionalFormatting>
  <conditionalFormatting sqref="E439">
    <cfRule type="duplicateValues" dxfId="147" priority="19"/>
  </conditionalFormatting>
  <conditionalFormatting sqref="E440">
    <cfRule type="duplicateValues" dxfId="146" priority="14"/>
  </conditionalFormatting>
  <conditionalFormatting sqref="E440">
    <cfRule type="duplicateValues" dxfId="145" priority="15"/>
  </conditionalFormatting>
  <conditionalFormatting sqref="E440">
    <cfRule type="duplicateValues" dxfId="144" priority="16"/>
  </conditionalFormatting>
  <conditionalFormatting sqref="E441">
    <cfRule type="duplicateValues" dxfId="143" priority="11"/>
  </conditionalFormatting>
  <conditionalFormatting sqref="E441">
    <cfRule type="duplicateValues" dxfId="142" priority="12"/>
  </conditionalFormatting>
  <conditionalFormatting sqref="E441">
    <cfRule type="duplicateValues" dxfId="141" priority="13"/>
  </conditionalFormatting>
  <conditionalFormatting sqref="E442">
    <cfRule type="duplicateValues" dxfId="140" priority="8"/>
  </conditionalFormatting>
  <conditionalFormatting sqref="E442">
    <cfRule type="duplicateValues" dxfId="139" priority="9"/>
  </conditionalFormatting>
  <conditionalFormatting sqref="E442">
    <cfRule type="duplicateValues" dxfId="138" priority="10"/>
  </conditionalFormatting>
  <conditionalFormatting sqref="E443">
    <cfRule type="duplicateValues" dxfId="137" priority="5"/>
  </conditionalFormatting>
  <conditionalFormatting sqref="E443">
    <cfRule type="duplicateValues" dxfId="136" priority="6"/>
  </conditionalFormatting>
  <conditionalFormatting sqref="E443">
    <cfRule type="duplicateValues" dxfId="135" priority="7"/>
  </conditionalFormatting>
  <conditionalFormatting sqref="E444">
    <cfRule type="duplicateValues" dxfId="134" priority="2"/>
  </conditionalFormatting>
  <conditionalFormatting sqref="E444">
    <cfRule type="duplicateValues" dxfId="133" priority="3"/>
  </conditionalFormatting>
  <conditionalFormatting sqref="E444">
    <cfRule type="duplicateValues" dxfId="132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C40"/>
  <sheetViews>
    <sheetView workbookViewId="0">
      <selection activeCell="K21" sqref="K21"/>
    </sheetView>
  </sheetViews>
  <sheetFormatPr defaultColWidth="9" defaultRowHeight="16.5" x14ac:dyDescent="0.3"/>
  <cols>
    <col min="1" max="2" width="9" style="22"/>
    <col min="3" max="3" width="8.125" style="22" customWidth="1"/>
    <col min="4" max="4" width="9" style="22"/>
    <col min="5" max="5" width="26" style="22" customWidth="1"/>
    <col min="6" max="6" width="9" style="22"/>
    <col min="7" max="8" width="9" style="33"/>
    <col min="9" max="16384" width="9" style="22"/>
  </cols>
  <sheetData>
    <row r="1" spans="1:29" s="18" customFormat="1" ht="100.5" customHeight="1" x14ac:dyDescent="0.3">
      <c r="A1" s="26" t="s">
        <v>3</v>
      </c>
      <c r="B1" s="26" t="s">
        <v>77</v>
      </c>
      <c r="C1" s="26" t="s">
        <v>78</v>
      </c>
      <c r="D1" s="26" t="s">
        <v>79</v>
      </c>
      <c r="E1" s="26" t="s">
        <v>135</v>
      </c>
      <c r="F1" s="26" t="s">
        <v>100</v>
      </c>
      <c r="G1" s="28" t="s">
        <v>134</v>
      </c>
      <c r="H1" s="28" t="s">
        <v>101</v>
      </c>
      <c r="I1" s="23" t="s">
        <v>85</v>
      </c>
      <c r="J1" s="23" t="s">
        <v>86</v>
      </c>
      <c r="K1" s="23" t="s">
        <v>83</v>
      </c>
      <c r="L1" s="23" t="s">
        <v>84</v>
      </c>
      <c r="M1" s="23" t="s">
        <v>87</v>
      </c>
      <c r="N1" s="23" t="s">
        <v>88</v>
      </c>
    </row>
    <row r="2" spans="1:29" s="59" customFormat="1" ht="17.25" customHeight="1" x14ac:dyDescent="0.3">
      <c r="A2" s="56" t="s">
        <v>1314</v>
      </c>
      <c r="B2" s="57" t="s">
        <v>1315</v>
      </c>
      <c r="C2" s="56" t="s">
        <v>1314</v>
      </c>
      <c r="D2" s="56" t="s">
        <v>1314</v>
      </c>
      <c r="E2" s="57" t="s">
        <v>1316</v>
      </c>
      <c r="F2" s="56" t="s">
        <v>1314</v>
      </c>
      <c r="G2" s="57" t="s">
        <v>1316</v>
      </c>
      <c r="H2" s="56" t="s">
        <v>1314</v>
      </c>
      <c r="I2" s="56" t="s">
        <v>1314</v>
      </c>
      <c r="J2" s="56" t="s">
        <v>1314</v>
      </c>
      <c r="K2" s="56" t="s">
        <v>1314</v>
      </c>
      <c r="L2" s="56" t="s">
        <v>1314</v>
      </c>
      <c r="M2" s="56" t="s">
        <v>1314</v>
      </c>
      <c r="N2" s="56" t="s">
        <v>1314</v>
      </c>
      <c r="O2" s="57"/>
      <c r="P2" s="58"/>
      <c r="Q2" s="58"/>
      <c r="R2" s="57"/>
      <c r="S2" s="57"/>
      <c r="T2" s="57"/>
      <c r="U2" s="57"/>
      <c r="V2" s="58"/>
      <c r="W2" s="58"/>
      <c r="X2" s="57"/>
      <c r="Y2" s="57"/>
      <c r="Z2" s="57"/>
      <c r="AA2" s="57"/>
      <c r="AB2" s="58"/>
      <c r="AC2" s="58"/>
    </row>
    <row r="3" spans="1:29" x14ac:dyDescent="0.3">
      <c r="A3" s="24">
        <v>1</v>
      </c>
      <c r="B3" s="25" t="s">
        <v>81</v>
      </c>
      <c r="C3" s="24">
        <v>300</v>
      </c>
      <c r="D3" s="24">
        <v>700</v>
      </c>
      <c r="E3" s="24" t="s">
        <v>102</v>
      </c>
      <c r="F3" s="51">
        <v>7</v>
      </c>
      <c r="G3" s="29" t="s">
        <v>103</v>
      </c>
      <c r="H3" s="51">
        <v>250</v>
      </c>
      <c r="I3" s="24">
        <v>200</v>
      </c>
      <c r="J3" s="24">
        <v>200</v>
      </c>
      <c r="K3" s="24">
        <v>10</v>
      </c>
      <c r="L3" s="24">
        <v>200</v>
      </c>
      <c r="M3" s="24">
        <v>10</v>
      </c>
      <c r="N3" s="24">
        <v>200</v>
      </c>
    </row>
    <row r="4" spans="1:29" x14ac:dyDescent="0.3">
      <c r="A4" s="24">
        <v>2</v>
      </c>
      <c r="B4" s="24" t="s">
        <v>80</v>
      </c>
      <c r="C4" s="24">
        <v>300</v>
      </c>
      <c r="D4" s="24">
        <v>700</v>
      </c>
      <c r="E4" s="24" t="s">
        <v>102</v>
      </c>
      <c r="F4" s="51">
        <v>8</v>
      </c>
      <c r="G4" s="29" t="s">
        <v>103</v>
      </c>
      <c r="H4" s="51">
        <v>250</v>
      </c>
      <c r="I4" s="24">
        <v>200</v>
      </c>
      <c r="J4" s="24">
        <v>200</v>
      </c>
      <c r="K4" s="24">
        <v>10</v>
      </c>
      <c r="L4" s="24">
        <v>200</v>
      </c>
      <c r="M4" s="24">
        <v>10</v>
      </c>
      <c r="N4" s="24">
        <v>200</v>
      </c>
    </row>
    <row r="5" spans="1:29" x14ac:dyDescent="0.3">
      <c r="A5" s="24">
        <v>3</v>
      </c>
      <c r="B5" s="27" t="s">
        <v>91</v>
      </c>
      <c r="C5" s="24">
        <v>300</v>
      </c>
      <c r="D5" s="24">
        <v>700</v>
      </c>
      <c r="E5" s="24" t="s">
        <v>102</v>
      </c>
      <c r="F5" s="51">
        <v>8</v>
      </c>
      <c r="G5" s="29" t="s">
        <v>103</v>
      </c>
      <c r="H5" s="51">
        <v>250</v>
      </c>
      <c r="I5" s="24">
        <v>200</v>
      </c>
      <c r="J5" s="24">
        <v>200</v>
      </c>
      <c r="K5" s="24">
        <v>10</v>
      </c>
      <c r="L5" s="24">
        <v>200</v>
      </c>
      <c r="M5" s="24">
        <v>10</v>
      </c>
      <c r="N5" s="24">
        <v>200</v>
      </c>
    </row>
    <row r="6" spans="1:29" x14ac:dyDescent="0.3">
      <c r="A6" s="24">
        <v>4</v>
      </c>
      <c r="B6" s="24" t="s">
        <v>92</v>
      </c>
      <c r="C6" s="24">
        <v>300</v>
      </c>
      <c r="D6" s="24">
        <v>700</v>
      </c>
      <c r="E6" s="24" t="s">
        <v>102</v>
      </c>
      <c r="F6" s="51">
        <v>9</v>
      </c>
      <c r="G6" s="29" t="s">
        <v>103</v>
      </c>
      <c r="H6" s="51">
        <v>250</v>
      </c>
      <c r="I6" s="24">
        <v>200</v>
      </c>
      <c r="J6" s="24">
        <v>200</v>
      </c>
      <c r="K6" s="24">
        <v>10</v>
      </c>
      <c r="L6" s="24">
        <v>200</v>
      </c>
      <c r="M6" s="24">
        <v>10</v>
      </c>
      <c r="N6" s="24">
        <v>200</v>
      </c>
    </row>
    <row r="7" spans="1:29" x14ac:dyDescent="0.3">
      <c r="A7" s="24">
        <v>5</v>
      </c>
      <c r="B7" s="27" t="s">
        <v>90</v>
      </c>
      <c r="C7" s="24">
        <v>300</v>
      </c>
      <c r="D7" s="24">
        <v>700</v>
      </c>
      <c r="E7" s="24" t="s">
        <v>102</v>
      </c>
      <c r="F7" s="51">
        <v>9</v>
      </c>
      <c r="G7" s="29" t="s">
        <v>103</v>
      </c>
      <c r="H7" s="51">
        <v>250</v>
      </c>
      <c r="I7" s="24">
        <v>200</v>
      </c>
      <c r="J7" s="24">
        <v>200</v>
      </c>
      <c r="K7" s="24">
        <v>10</v>
      </c>
      <c r="L7" s="24">
        <v>200</v>
      </c>
      <c r="M7" s="24">
        <v>10</v>
      </c>
      <c r="N7" s="24">
        <v>200</v>
      </c>
    </row>
    <row r="8" spans="1:29" x14ac:dyDescent="0.3">
      <c r="A8" s="24">
        <v>6</v>
      </c>
      <c r="B8" s="24" t="s">
        <v>82</v>
      </c>
      <c r="C8" s="24">
        <v>300</v>
      </c>
      <c r="D8" s="24">
        <v>700</v>
      </c>
      <c r="E8" s="24" t="s">
        <v>102</v>
      </c>
      <c r="F8" s="51">
        <v>9</v>
      </c>
      <c r="G8" s="29" t="s">
        <v>103</v>
      </c>
      <c r="H8" s="51">
        <v>250</v>
      </c>
      <c r="I8" s="24">
        <v>200</v>
      </c>
      <c r="J8" s="24">
        <v>200</v>
      </c>
      <c r="K8" s="24">
        <v>10</v>
      </c>
      <c r="L8" s="24">
        <v>200</v>
      </c>
      <c r="M8" s="24">
        <v>10</v>
      </c>
      <c r="N8" s="24">
        <v>200</v>
      </c>
    </row>
    <row r="9" spans="1:29" x14ac:dyDescent="0.3">
      <c r="A9" s="24">
        <v>7</v>
      </c>
      <c r="B9" s="27" t="s">
        <v>89</v>
      </c>
      <c r="C9" s="24">
        <v>300</v>
      </c>
      <c r="D9" s="24">
        <v>700</v>
      </c>
      <c r="E9" s="24" t="s">
        <v>102</v>
      </c>
      <c r="F9" s="51">
        <v>9</v>
      </c>
      <c r="G9" s="29" t="s">
        <v>103</v>
      </c>
      <c r="H9" s="51">
        <v>250</v>
      </c>
      <c r="I9" s="24">
        <v>200</v>
      </c>
      <c r="J9" s="24">
        <v>200</v>
      </c>
      <c r="K9" s="24">
        <v>10</v>
      </c>
      <c r="L9" s="24">
        <v>200</v>
      </c>
      <c r="M9" s="24">
        <v>10</v>
      </c>
      <c r="N9" s="24">
        <v>200</v>
      </c>
    </row>
    <row r="10" spans="1:29" x14ac:dyDescent="0.3">
      <c r="A10" s="27"/>
      <c r="B10" s="27"/>
      <c r="C10" s="27"/>
      <c r="D10" s="27"/>
      <c r="E10" s="27"/>
      <c r="F10" s="27"/>
      <c r="G10" s="34"/>
      <c r="H10" s="34"/>
      <c r="I10" s="27"/>
      <c r="J10" s="27"/>
      <c r="K10" s="27"/>
      <c r="L10" s="27"/>
      <c r="M10" s="27"/>
      <c r="N10" s="27"/>
    </row>
    <row r="13" spans="1:29" x14ac:dyDescent="0.3">
      <c r="B13" s="24"/>
      <c r="H13" s="22"/>
    </row>
    <row r="14" spans="1:29" x14ac:dyDescent="0.3">
      <c r="B14" s="27"/>
      <c r="H14" s="22"/>
    </row>
    <row r="15" spans="1:29" x14ac:dyDescent="0.3">
      <c r="B15" s="25"/>
      <c r="H15" s="22"/>
    </row>
    <row r="16" spans="1:29" x14ac:dyDescent="0.3">
      <c r="B16" s="27"/>
      <c r="H16" s="22"/>
    </row>
    <row r="17" spans="2:9" x14ac:dyDescent="0.3">
      <c r="B17" s="27"/>
      <c r="H17" s="22"/>
    </row>
    <row r="18" spans="2:9" x14ac:dyDescent="0.3">
      <c r="B18" s="24"/>
      <c r="H18" s="22"/>
    </row>
    <row r="19" spans="2:9" x14ac:dyDescent="0.3">
      <c r="B19" s="24"/>
      <c r="H19" s="22"/>
    </row>
    <row r="20" spans="2:9" x14ac:dyDescent="0.3">
      <c r="H20" s="22"/>
    </row>
    <row r="21" spans="2:9" x14ac:dyDescent="0.3">
      <c r="H21" s="22"/>
    </row>
    <row r="22" spans="2:9" x14ac:dyDescent="0.3">
      <c r="G22" s="22"/>
      <c r="I22" s="33"/>
    </row>
    <row r="23" spans="2:9" x14ac:dyDescent="0.3">
      <c r="G23" s="22"/>
      <c r="I23" s="33"/>
    </row>
    <row r="24" spans="2:9" x14ac:dyDescent="0.3">
      <c r="G24" s="22"/>
      <c r="I24" s="29"/>
    </row>
    <row r="25" spans="2:9" x14ac:dyDescent="0.3">
      <c r="G25" s="22"/>
      <c r="I25" s="29"/>
    </row>
    <row r="26" spans="2:9" x14ac:dyDescent="0.3">
      <c r="G26" s="22"/>
      <c r="I26" s="29"/>
    </row>
    <row r="27" spans="2:9" x14ac:dyDescent="0.3">
      <c r="G27" s="22"/>
      <c r="I27" s="29"/>
    </row>
    <row r="28" spans="2:9" x14ac:dyDescent="0.3">
      <c r="G28" s="22"/>
      <c r="I28" s="29"/>
    </row>
    <row r="29" spans="2:9" x14ac:dyDescent="0.3">
      <c r="G29" s="22"/>
      <c r="I29" s="29"/>
    </row>
    <row r="30" spans="2:9" x14ac:dyDescent="0.3">
      <c r="G30" s="22"/>
      <c r="I30" s="29"/>
    </row>
    <row r="31" spans="2:9" x14ac:dyDescent="0.3">
      <c r="G31" s="22"/>
      <c r="I31" s="34"/>
    </row>
    <row r="32" spans="2:9" x14ac:dyDescent="0.3">
      <c r="G32" s="22"/>
      <c r="I32" s="33"/>
    </row>
    <row r="33" spans="7:9" x14ac:dyDescent="0.3">
      <c r="G33" s="22"/>
      <c r="I33" s="33"/>
    </row>
    <row r="34" spans="7:9" x14ac:dyDescent="0.3">
      <c r="G34" s="22"/>
    </row>
    <row r="35" spans="7:9" x14ac:dyDescent="0.3">
      <c r="G35" s="22"/>
    </row>
    <row r="36" spans="7:9" x14ac:dyDescent="0.3">
      <c r="G36" s="22"/>
    </row>
    <row r="37" spans="7:9" x14ac:dyDescent="0.3">
      <c r="G37" s="22"/>
    </row>
    <row r="38" spans="7:9" x14ac:dyDescent="0.3">
      <c r="G38" s="22"/>
    </row>
    <row r="39" spans="7:9" x14ac:dyDescent="0.3">
      <c r="G39" s="22"/>
    </row>
    <row r="40" spans="7:9" x14ac:dyDescent="0.3">
      <c r="G40" s="22"/>
    </row>
  </sheetData>
  <phoneticPr fontId="10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C105"/>
  <sheetViews>
    <sheetView zoomScale="85" zoomScaleNormal="85" workbookViewId="0">
      <pane ySplit="1" topLeftCell="A87" activePane="bottomLeft" state="frozen"/>
      <selection pane="bottomLeft" activeCell="B107" sqref="B107"/>
    </sheetView>
  </sheetViews>
  <sheetFormatPr defaultColWidth="9" defaultRowHeight="16.5" x14ac:dyDescent="0.3"/>
  <cols>
    <col min="1" max="1" width="46.75" style="22" customWidth="1"/>
    <col min="2" max="2" width="60.75" style="48" customWidth="1"/>
    <col min="3" max="3" width="10.5" style="22" bestFit="1" customWidth="1"/>
    <col min="4" max="4" width="9" style="22"/>
    <col min="5" max="6" width="10.5" style="22" bestFit="1" customWidth="1"/>
    <col min="7" max="7" width="9" style="22"/>
    <col min="8" max="8" width="9" style="22" customWidth="1"/>
    <col min="9" max="9" width="9" style="22"/>
    <col min="10" max="10" width="15.5" style="22" customWidth="1"/>
    <col min="11" max="16384" width="9" style="22"/>
  </cols>
  <sheetData>
    <row r="1" spans="1:29" s="30" customFormat="1" ht="118.5" x14ac:dyDescent="0.3">
      <c r="A1" s="35" t="s">
        <v>93</v>
      </c>
      <c r="B1" s="35" t="s">
        <v>384</v>
      </c>
      <c r="C1" s="35" t="s">
        <v>109</v>
      </c>
      <c r="D1" s="23" t="s">
        <v>137</v>
      </c>
      <c r="E1" s="23" t="s">
        <v>108</v>
      </c>
      <c r="F1" s="23" t="s">
        <v>107</v>
      </c>
      <c r="G1" s="23" t="s">
        <v>106</v>
      </c>
      <c r="H1" s="23" t="s">
        <v>105</v>
      </c>
      <c r="I1" s="23" t="s">
        <v>104</v>
      </c>
      <c r="J1" s="23" t="s">
        <v>136</v>
      </c>
      <c r="K1" s="23" t="s">
        <v>391</v>
      </c>
      <c r="L1" s="30" t="s">
        <v>840</v>
      </c>
      <c r="V1" s="31"/>
    </row>
    <row r="2" spans="1:29" s="59" customFormat="1" ht="17.25" customHeight="1" x14ac:dyDescent="0.3">
      <c r="A2" s="57" t="s">
        <v>1315</v>
      </c>
      <c r="B2" s="56"/>
      <c r="C2" s="56" t="s">
        <v>1314</v>
      </c>
      <c r="D2" s="56" t="s">
        <v>1314</v>
      </c>
      <c r="E2" s="56" t="s">
        <v>1314</v>
      </c>
      <c r="F2" s="56" t="s">
        <v>1314</v>
      </c>
      <c r="G2" s="56" t="s">
        <v>1314</v>
      </c>
      <c r="H2" s="56" t="s">
        <v>1314</v>
      </c>
      <c r="I2" s="56" t="s">
        <v>1314</v>
      </c>
      <c r="J2" s="57" t="s">
        <v>1315</v>
      </c>
      <c r="K2" s="57" t="s">
        <v>1315</v>
      </c>
      <c r="L2" s="57"/>
      <c r="M2" s="57"/>
      <c r="N2" s="57"/>
      <c r="O2" s="57"/>
      <c r="P2" s="58"/>
      <c r="Q2" s="58"/>
      <c r="R2" s="57"/>
      <c r="S2" s="57"/>
      <c r="T2" s="57"/>
      <c r="U2" s="57"/>
      <c r="V2" s="58"/>
      <c r="W2" s="58"/>
      <c r="X2" s="57"/>
      <c r="Y2" s="57"/>
      <c r="Z2" s="57"/>
      <c r="AA2" s="57"/>
      <c r="AB2" s="58"/>
      <c r="AC2" s="58"/>
    </row>
    <row r="3" spans="1:29" x14ac:dyDescent="0.3">
      <c r="A3" s="22" t="s">
        <v>138</v>
      </c>
      <c r="B3" s="45" t="s">
        <v>847</v>
      </c>
      <c r="C3" s="22">
        <v>93000100</v>
      </c>
      <c r="D3" s="22">
        <v>5</v>
      </c>
      <c r="E3" s="22">
        <v>93000101</v>
      </c>
      <c r="F3" s="22">
        <v>93000102</v>
      </c>
      <c r="J3" s="22" t="s">
        <v>139</v>
      </c>
      <c r="K3" s="22" t="s">
        <v>387</v>
      </c>
      <c r="L3" s="22" t="s">
        <v>385</v>
      </c>
    </row>
    <row r="4" spans="1:29" x14ac:dyDescent="0.3">
      <c r="A4" s="22" t="s">
        <v>140</v>
      </c>
      <c r="B4" s="45" t="s">
        <v>848</v>
      </c>
      <c r="C4" s="22">
        <v>93000200</v>
      </c>
      <c r="D4" s="22">
        <v>6</v>
      </c>
      <c r="E4" s="22">
        <v>93000201</v>
      </c>
      <c r="F4" s="22">
        <v>93000202</v>
      </c>
      <c r="J4" s="22" t="s">
        <v>141</v>
      </c>
      <c r="K4" s="40" t="s">
        <v>389</v>
      </c>
      <c r="L4" s="22" t="s">
        <v>386</v>
      </c>
    </row>
    <row r="5" spans="1:29" x14ac:dyDescent="0.3">
      <c r="A5" s="22" t="s">
        <v>142</v>
      </c>
      <c r="B5" s="45" t="s">
        <v>845</v>
      </c>
      <c r="C5" s="22">
        <v>93000300</v>
      </c>
      <c r="D5" s="22">
        <v>7</v>
      </c>
      <c r="E5" s="22">
        <v>93000301</v>
      </c>
      <c r="F5" s="22">
        <v>93000302</v>
      </c>
      <c r="J5" s="22" t="s">
        <v>143</v>
      </c>
      <c r="K5" s="40" t="s">
        <v>389</v>
      </c>
      <c r="L5" s="22" t="s">
        <v>387</v>
      </c>
    </row>
    <row r="6" spans="1:29" x14ac:dyDescent="0.3">
      <c r="A6" s="22" t="s">
        <v>144</v>
      </c>
      <c r="B6" s="45" t="s">
        <v>849</v>
      </c>
      <c r="C6" s="22">
        <v>93000400</v>
      </c>
      <c r="D6" s="22">
        <v>7</v>
      </c>
      <c r="E6" s="22">
        <v>93000401</v>
      </c>
      <c r="F6" s="22">
        <v>93000402</v>
      </c>
      <c r="J6" s="22" t="s">
        <v>145</v>
      </c>
      <c r="K6" s="22" t="s">
        <v>389</v>
      </c>
      <c r="L6" s="40" t="s">
        <v>388</v>
      </c>
    </row>
    <row r="7" spans="1:29" x14ac:dyDescent="0.3">
      <c r="A7" s="22" t="s">
        <v>146</v>
      </c>
      <c r="B7" s="45">
        <v>93000510</v>
      </c>
      <c r="C7" s="22">
        <v>93000500</v>
      </c>
      <c r="D7" s="22">
        <v>6</v>
      </c>
      <c r="E7" s="22">
        <v>93000501</v>
      </c>
      <c r="F7" s="22">
        <v>93000502</v>
      </c>
      <c r="J7" s="22" t="s">
        <v>147</v>
      </c>
      <c r="K7" s="22" t="s">
        <v>389</v>
      </c>
      <c r="L7" s="22" t="s">
        <v>389</v>
      </c>
    </row>
    <row r="8" spans="1:29" x14ac:dyDescent="0.3">
      <c r="A8" s="22" t="s">
        <v>148</v>
      </c>
      <c r="B8" s="45">
        <v>93000610</v>
      </c>
      <c r="C8" s="22">
        <v>93000600</v>
      </c>
      <c r="D8" s="22">
        <v>6</v>
      </c>
      <c r="E8" s="22">
        <v>93000601</v>
      </c>
      <c r="F8" s="22">
        <v>93000602</v>
      </c>
      <c r="J8" s="22" t="s">
        <v>149</v>
      </c>
      <c r="K8" s="22" t="s">
        <v>387</v>
      </c>
      <c r="L8" s="22" t="s">
        <v>390</v>
      </c>
    </row>
    <row r="9" spans="1:29" x14ac:dyDescent="0.3">
      <c r="A9" s="22" t="s">
        <v>150</v>
      </c>
      <c r="B9" s="45">
        <v>93000710</v>
      </c>
      <c r="C9" s="22">
        <v>93000700</v>
      </c>
      <c r="D9" s="22">
        <v>6</v>
      </c>
      <c r="E9" s="22">
        <v>93000701</v>
      </c>
      <c r="F9" s="22">
        <v>93000702</v>
      </c>
      <c r="J9" s="22" t="s">
        <v>151</v>
      </c>
      <c r="K9" s="22" t="s">
        <v>387</v>
      </c>
    </row>
    <row r="10" spans="1:29" x14ac:dyDescent="0.3">
      <c r="A10" s="22" t="s">
        <v>152</v>
      </c>
      <c r="B10" s="45">
        <v>93000810</v>
      </c>
      <c r="C10" s="22">
        <v>93000800</v>
      </c>
      <c r="D10" s="22">
        <v>7</v>
      </c>
      <c r="E10" s="22">
        <v>93000801</v>
      </c>
      <c r="F10" s="22">
        <v>93000802</v>
      </c>
      <c r="J10" s="22" t="s">
        <v>153</v>
      </c>
      <c r="K10" s="22" t="s">
        <v>387</v>
      </c>
    </row>
    <row r="11" spans="1:29" x14ac:dyDescent="0.3">
      <c r="A11" s="22" t="s">
        <v>154</v>
      </c>
      <c r="B11" s="45">
        <v>93000910</v>
      </c>
      <c r="C11" s="22">
        <v>93000900</v>
      </c>
      <c r="D11" s="22">
        <v>6</v>
      </c>
      <c r="E11" s="22">
        <v>93000901</v>
      </c>
      <c r="F11" s="22">
        <v>93000902</v>
      </c>
      <c r="J11" s="22" t="s">
        <v>155</v>
      </c>
      <c r="K11" s="22" t="s">
        <v>387</v>
      </c>
    </row>
    <row r="12" spans="1:29" x14ac:dyDescent="0.3">
      <c r="A12" s="22" t="s">
        <v>156</v>
      </c>
      <c r="B12" s="45">
        <v>93001010</v>
      </c>
      <c r="C12" s="22">
        <v>93001000</v>
      </c>
      <c r="D12" s="22">
        <v>8</v>
      </c>
      <c r="E12" s="22">
        <v>93001001</v>
      </c>
      <c r="F12" s="22">
        <v>93001002</v>
      </c>
      <c r="J12" s="22" t="s">
        <v>157</v>
      </c>
      <c r="K12" s="22" t="s">
        <v>1246</v>
      </c>
    </row>
    <row r="13" spans="1:29" x14ac:dyDescent="0.3">
      <c r="A13" s="22" t="s">
        <v>158</v>
      </c>
      <c r="B13" s="45">
        <v>93001110</v>
      </c>
      <c r="C13" s="22">
        <v>93001100</v>
      </c>
      <c r="D13" s="22">
        <v>8</v>
      </c>
      <c r="E13" s="22">
        <v>93001101</v>
      </c>
      <c r="F13" s="22">
        <v>93001102</v>
      </c>
      <c r="J13" s="22" t="s">
        <v>159</v>
      </c>
      <c r="K13" s="40" t="s">
        <v>389</v>
      </c>
    </row>
    <row r="14" spans="1:29" x14ac:dyDescent="0.3">
      <c r="A14" s="22" t="s">
        <v>160</v>
      </c>
      <c r="B14" s="45">
        <v>93001210</v>
      </c>
      <c r="C14" s="22">
        <v>93001200</v>
      </c>
      <c r="D14" s="22">
        <v>8</v>
      </c>
      <c r="E14" s="22">
        <v>93001201</v>
      </c>
      <c r="F14" s="22">
        <v>93001202</v>
      </c>
      <c r="J14" s="22" t="s">
        <v>161</v>
      </c>
      <c r="K14" s="22" t="s">
        <v>387</v>
      </c>
    </row>
    <row r="15" spans="1:29" x14ac:dyDescent="0.3">
      <c r="A15" s="22" t="s">
        <v>162</v>
      </c>
      <c r="B15" s="45">
        <v>93001310</v>
      </c>
      <c r="C15" s="22">
        <v>93001300</v>
      </c>
      <c r="D15" s="22">
        <v>7</v>
      </c>
      <c r="E15" s="22">
        <v>93001301</v>
      </c>
      <c r="F15" s="22">
        <v>93001302</v>
      </c>
      <c r="J15" s="22" t="s">
        <v>163</v>
      </c>
      <c r="K15" s="22" t="s">
        <v>387</v>
      </c>
    </row>
    <row r="16" spans="1:29" x14ac:dyDescent="0.3">
      <c r="A16" s="22" t="s">
        <v>164</v>
      </c>
      <c r="B16" s="45">
        <v>93001410</v>
      </c>
      <c r="C16" s="22">
        <v>93001400</v>
      </c>
      <c r="E16" s="22">
        <v>93001401</v>
      </c>
      <c r="F16" s="22">
        <v>93001402</v>
      </c>
      <c r="J16" s="22" t="s">
        <v>165</v>
      </c>
    </row>
    <row r="17" spans="1:12" x14ac:dyDescent="0.3">
      <c r="A17" s="22" t="s">
        <v>166</v>
      </c>
      <c r="B17" s="45" t="s">
        <v>1158</v>
      </c>
      <c r="C17" s="22">
        <v>93001500</v>
      </c>
      <c r="D17" s="22">
        <v>5</v>
      </c>
      <c r="E17" s="22">
        <v>93001501</v>
      </c>
      <c r="F17" s="22">
        <v>93001502</v>
      </c>
      <c r="J17" s="22" t="s">
        <v>167</v>
      </c>
      <c r="K17" s="22" t="s">
        <v>389</v>
      </c>
      <c r="L17" s="22" t="s">
        <v>1159</v>
      </c>
    </row>
    <row r="18" spans="1:12" x14ac:dyDescent="0.3">
      <c r="A18" s="22" t="s">
        <v>168</v>
      </c>
      <c r="B18" s="45">
        <v>93001610</v>
      </c>
      <c r="C18" s="22">
        <v>93001600</v>
      </c>
      <c r="D18" s="22">
        <v>6</v>
      </c>
      <c r="E18" s="22">
        <v>93001601</v>
      </c>
      <c r="F18" s="22">
        <v>93001602</v>
      </c>
      <c r="J18" s="22" t="s">
        <v>169</v>
      </c>
      <c r="K18" s="40" t="s">
        <v>389</v>
      </c>
    </row>
    <row r="19" spans="1:12" x14ac:dyDescent="0.3">
      <c r="A19" s="22" t="s">
        <v>170</v>
      </c>
      <c r="B19" s="45">
        <v>93001710</v>
      </c>
      <c r="C19" s="22">
        <v>93001700</v>
      </c>
      <c r="D19" s="22">
        <v>7</v>
      </c>
      <c r="E19" s="22">
        <v>93001701</v>
      </c>
      <c r="F19" s="22">
        <v>93001702</v>
      </c>
      <c r="J19" s="22" t="s">
        <v>171</v>
      </c>
      <c r="K19" s="40" t="s">
        <v>389</v>
      </c>
    </row>
    <row r="20" spans="1:12" x14ac:dyDescent="0.3">
      <c r="A20" s="22" t="s">
        <v>172</v>
      </c>
      <c r="B20" s="45">
        <v>93001810</v>
      </c>
      <c r="C20" s="22">
        <v>93001800</v>
      </c>
      <c r="D20" s="22">
        <v>7</v>
      </c>
      <c r="E20" s="22">
        <v>93001801</v>
      </c>
      <c r="F20" s="22">
        <v>93001802</v>
      </c>
      <c r="J20" s="22" t="s">
        <v>173</v>
      </c>
      <c r="K20" s="22" t="s">
        <v>389</v>
      </c>
    </row>
    <row r="21" spans="1:12" x14ac:dyDescent="0.3">
      <c r="A21" s="22" t="s">
        <v>174</v>
      </c>
      <c r="B21" s="45">
        <v>93001910</v>
      </c>
      <c r="C21" s="22">
        <v>93001900</v>
      </c>
      <c r="D21" s="22">
        <v>5</v>
      </c>
      <c r="E21" s="22">
        <v>93001901</v>
      </c>
      <c r="F21" s="22">
        <v>93001902</v>
      </c>
      <c r="J21" s="22" t="s">
        <v>175</v>
      </c>
      <c r="K21" s="22" t="s">
        <v>389</v>
      </c>
    </row>
    <row r="22" spans="1:12" x14ac:dyDescent="0.3">
      <c r="A22" s="22" t="s">
        <v>176</v>
      </c>
      <c r="B22" s="45">
        <v>93002010</v>
      </c>
      <c r="C22" s="22">
        <v>93002000</v>
      </c>
      <c r="D22" s="22">
        <v>7</v>
      </c>
      <c r="E22" s="22">
        <v>93002001</v>
      </c>
      <c r="F22" s="22">
        <v>93002002</v>
      </c>
      <c r="J22" s="22" t="s">
        <v>177</v>
      </c>
      <c r="K22" s="22" t="s">
        <v>389</v>
      </c>
    </row>
    <row r="23" spans="1:12" x14ac:dyDescent="0.3">
      <c r="A23" s="22" t="s">
        <v>178</v>
      </c>
      <c r="B23" s="45">
        <v>93002110</v>
      </c>
      <c r="C23" s="22">
        <v>93002100</v>
      </c>
      <c r="D23" s="22">
        <v>6</v>
      </c>
      <c r="E23" s="22">
        <v>93002101</v>
      </c>
      <c r="F23" s="22">
        <v>93002102</v>
      </c>
      <c r="J23" s="22" t="s">
        <v>179</v>
      </c>
      <c r="K23" s="22" t="s">
        <v>1214</v>
      </c>
    </row>
    <row r="24" spans="1:12" x14ac:dyDescent="0.3">
      <c r="A24" s="22" t="s">
        <v>180</v>
      </c>
      <c r="B24" s="45">
        <v>93002210</v>
      </c>
      <c r="C24" s="22">
        <v>93002200</v>
      </c>
      <c r="D24" s="22">
        <v>6</v>
      </c>
      <c r="E24" s="22">
        <v>93002201</v>
      </c>
      <c r="F24" s="22">
        <v>93002202</v>
      </c>
      <c r="J24" s="22" t="s">
        <v>181</v>
      </c>
      <c r="K24" s="22" t="s">
        <v>387</v>
      </c>
    </row>
    <row r="25" spans="1:12" x14ac:dyDescent="0.3">
      <c r="A25" s="22" t="s">
        <v>182</v>
      </c>
      <c r="B25" s="45">
        <v>93002310</v>
      </c>
      <c r="C25" s="22">
        <v>93002300</v>
      </c>
      <c r="D25" s="22">
        <v>6</v>
      </c>
      <c r="E25" s="22">
        <v>93002301</v>
      </c>
      <c r="F25" s="22">
        <v>93002302</v>
      </c>
      <c r="J25" s="22" t="s">
        <v>183</v>
      </c>
      <c r="K25" s="22" t="s">
        <v>387</v>
      </c>
    </row>
    <row r="26" spans="1:12" x14ac:dyDescent="0.3">
      <c r="A26" s="22" t="s">
        <v>184</v>
      </c>
      <c r="B26" s="45">
        <v>93002410</v>
      </c>
      <c r="C26" s="22">
        <v>93002400</v>
      </c>
      <c r="D26" s="22">
        <v>5</v>
      </c>
      <c r="E26" s="22">
        <v>93002401</v>
      </c>
      <c r="F26" s="22">
        <v>93002402</v>
      </c>
      <c r="J26" s="22" t="s">
        <v>185</v>
      </c>
      <c r="K26" s="22" t="s">
        <v>389</v>
      </c>
    </row>
    <row r="27" spans="1:12" x14ac:dyDescent="0.3">
      <c r="A27" s="22" t="s">
        <v>186</v>
      </c>
      <c r="B27" s="45" t="s">
        <v>850</v>
      </c>
      <c r="C27" s="22">
        <v>93002500</v>
      </c>
      <c r="D27" s="22">
        <v>6</v>
      </c>
      <c r="E27" s="22">
        <v>93002501</v>
      </c>
      <c r="F27" s="22">
        <v>93002502</v>
      </c>
      <c r="J27" s="22" t="s">
        <v>187</v>
      </c>
      <c r="K27" s="22" t="s">
        <v>385</v>
      </c>
    </row>
    <row r="28" spans="1:12" x14ac:dyDescent="0.3">
      <c r="A28" s="22" t="s">
        <v>188</v>
      </c>
      <c r="B28" s="45">
        <v>93002610</v>
      </c>
      <c r="C28" s="22">
        <v>93002600</v>
      </c>
      <c r="D28" s="22">
        <v>7</v>
      </c>
      <c r="E28" s="22">
        <v>93002601</v>
      </c>
      <c r="F28" s="22">
        <v>93002602</v>
      </c>
      <c r="J28" s="22" t="s">
        <v>189</v>
      </c>
      <c r="K28" s="22" t="s">
        <v>1161</v>
      </c>
    </row>
    <row r="29" spans="1:12" x14ac:dyDescent="0.3">
      <c r="A29" s="22" t="s">
        <v>190</v>
      </c>
      <c r="B29" s="45">
        <v>93002710</v>
      </c>
      <c r="C29" s="22">
        <v>93002700</v>
      </c>
      <c r="D29" s="22">
        <v>5</v>
      </c>
      <c r="E29" s="22">
        <v>93002701</v>
      </c>
      <c r="F29" s="22">
        <v>93002702</v>
      </c>
      <c r="J29" s="22" t="s">
        <v>191</v>
      </c>
      <c r="K29" s="40" t="s">
        <v>389</v>
      </c>
    </row>
    <row r="30" spans="1:12" x14ac:dyDescent="0.3">
      <c r="A30" s="22" t="s">
        <v>192</v>
      </c>
      <c r="B30" s="45">
        <v>93002810</v>
      </c>
      <c r="C30" s="22">
        <v>93002800</v>
      </c>
      <c r="D30" s="22">
        <v>6</v>
      </c>
      <c r="E30" s="22">
        <v>93002801</v>
      </c>
      <c r="F30" s="22">
        <v>93002802</v>
      </c>
      <c r="J30" s="22" t="s">
        <v>193</v>
      </c>
      <c r="K30" s="22" t="s">
        <v>385</v>
      </c>
    </row>
    <row r="31" spans="1:12" x14ac:dyDescent="0.3">
      <c r="A31" s="22" t="s">
        <v>194</v>
      </c>
      <c r="B31" s="45">
        <v>93002910</v>
      </c>
      <c r="C31" s="22">
        <v>93002900</v>
      </c>
      <c r="D31" s="22">
        <v>5</v>
      </c>
      <c r="E31" s="22">
        <v>93002901</v>
      </c>
      <c r="F31" s="22">
        <v>93002902</v>
      </c>
      <c r="J31" s="22" t="s">
        <v>195</v>
      </c>
      <c r="K31" s="22" t="s">
        <v>387</v>
      </c>
    </row>
    <row r="32" spans="1:12" x14ac:dyDescent="0.3">
      <c r="A32" s="22" t="s">
        <v>196</v>
      </c>
      <c r="B32" s="45" t="s">
        <v>851</v>
      </c>
      <c r="C32" s="22">
        <v>93003000</v>
      </c>
      <c r="D32" s="22">
        <v>6</v>
      </c>
      <c r="E32" s="22">
        <v>93003001</v>
      </c>
      <c r="F32" s="22">
        <v>93003002</v>
      </c>
      <c r="J32" s="22" t="s">
        <v>197</v>
      </c>
      <c r="K32" s="40" t="s">
        <v>389</v>
      </c>
    </row>
    <row r="33" spans="1:11" x14ac:dyDescent="0.3">
      <c r="A33" s="22" t="s">
        <v>198</v>
      </c>
      <c r="B33" s="45">
        <v>93003110</v>
      </c>
      <c r="C33" s="22">
        <v>93003100</v>
      </c>
      <c r="D33" s="22">
        <v>6</v>
      </c>
      <c r="E33" s="22">
        <v>93003101</v>
      </c>
      <c r="F33" s="22">
        <v>93003102</v>
      </c>
      <c r="J33" s="22" t="s">
        <v>199</v>
      </c>
      <c r="K33" s="22" t="s">
        <v>387</v>
      </c>
    </row>
    <row r="34" spans="1:11" x14ac:dyDescent="0.3">
      <c r="A34" s="22" t="s">
        <v>200</v>
      </c>
      <c r="B34" s="45">
        <v>93003210</v>
      </c>
      <c r="C34" s="22">
        <v>93003200</v>
      </c>
      <c r="D34" s="22">
        <v>7</v>
      </c>
      <c r="E34" s="22">
        <v>93003201</v>
      </c>
      <c r="F34" s="22">
        <v>93003202</v>
      </c>
      <c r="J34" s="22" t="s">
        <v>201</v>
      </c>
      <c r="K34" s="22" t="s">
        <v>385</v>
      </c>
    </row>
    <row r="35" spans="1:11" x14ac:dyDescent="0.3">
      <c r="A35" s="22" t="s">
        <v>202</v>
      </c>
      <c r="B35" s="45">
        <v>93003310</v>
      </c>
      <c r="C35" s="22">
        <v>93003300</v>
      </c>
      <c r="D35" s="22">
        <v>6</v>
      </c>
      <c r="E35" s="22">
        <v>93003301</v>
      </c>
      <c r="F35" s="22">
        <v>93003302</v>
      </c>
      <c r="J35" s="22" t="s">
        <v>203</v>
      </c>
      <c r="K35" s="22" t="s">
        <v>385</v>
      </c>
    </row>
    <row r="36" spans="1:11" x14ac:dyDescent="0.3">
      <c r="A36" s="22" t="s">
        <v>204</v>
      </c>
      <c r="B36" s="45" t="s">
        <v>852</v>
      </c>
      <c r="C36" s="22">
        <v>93003400</v>
      </c>
      <c r="D36" s="22">
        <v>6</v>
      </c>
      <c r="E36" s="22">
        <v>93003401</v>
      </c>
      <c r="F36" s="22">
        <v>93003402</v>
      </c>
      <c r="J36" s="22" t="s">
        <v>205</v>
      </c>
      <c r="K36" s="22" t="s">
        <v>387</v>
      </c>
    </row>
    <row r="37" spans="1:11" x14ac:dyDescent="0.3">
      <c r="A37" s="22" t="s">
        <v>206</v>
      </c>
      <c r="B37" s="45">
        <v>93003510</v>
      </c>
      <c r="C37" s="22">
        <v>93003500</v>
      </c>
      <c r="D37" s="22">
        <v>7</v>
      </c>
      <c r="E37" s="22">
        <v>93003501</v>
      </c>
      <c r="F37" s="22">
        <v>93003502</v>
      </c>
      <c r="J37" s="22" t="s">
        <v>207</v>
      </c>
      <c r="K37" s="22" t="s">
        <v>385</v>
      </c>
    </row>
    <row r="38" spans="1:11" x14ac:dyDescent="0.3">
      <c r="A38" s="22" t="s">
        <v>208</v>
      </c>
      <c r="B38" s="45" t="s">
        <v>853</v>
      </c>
      <c r="C38" s="22">
        <v>93003600</v>
      </c>
      <c r="D38" s="22">
        <v>5</v>
      </c>
      <c r="E38" s="22">
        <v>93003601</v>
      </c>
      <c r="F38" s="22">
        <v>93003602</v>
      </c>
      <c r="J38" s="22" t="s">
        <v>209</v>
      </c>
      <c r="K38" s="22" t="s">
        <v>386</v>
      </c>
    </row>
    <row r="39" spans="1:11" x14ac:dyDescent="0.3">
      <c r="A39" s="22" t="s">
        <v>210</v>
      </c>
      <c r="B39" s="45">
        <v>93003710</v>
      </c>
      <c r="C39" s="22">
        <v>93003700</v>
      </c>
      <c r="D39" s="22">
        <v>6</v>
      </c>
      <c r="E39" s="22">
        <v>93003701</v>
      </c>
      <c r="F39" s="22">
        <v>93003702</v>
      </c>
      <c r="J39" s="22" t="s">
        <v>211</v>
      </c>
      <c r="K39" s="22" t="s">
        <v>387</v>
      </c>
    </row>
    <row r="40" spans="1:11" x14ac:dyDescent="0.3">
      <c r="A40" s="22" t="s">
        <v>212</v>
      </c>
      <c r="B40" s="45">
        <v>93003810</v>
      </c>
      <c r="C40" s="22">
        <v>93003800</v>
      </c>
      <c r="D40" s="22">
        <v>6</v>
      </c>
      <c r="E40" s="22">
        <v>93003801</v>
      </c>
      <c r="F40" s="22">
        <v>93003802</v>
      </c>
      <c r="J40" s="22" t="s">
        <v>213</v>
      </c>
      <c r="K40" s="40" t="s">
        <v>389</v>
      </c>
    </row>
    <row r="41" spans="1:11" x14ac:dyDescent="0.3">
      <c r="A41" s="22" t="s">
        <v>214</v>
      </c>
      <c r="B41" s="45">
        <v>93003910</v>
      </c>
      <c r="C41" s="22">
        <v>93003900</v>
      </c>
      <c r="D41" s="22">
        <v>4</v>
      </c>
      <c r="E41" s="22">
        <v>93003901</v>
      </c>
      <c r="F41" s="22">
        <v>93003902</v>
      </c>
      <c r="J41" s="22" t="s">
        <v>215</v>
      </c>
      <c r="K41" s="40" t="s">
        <v>389</v>
      </c>
    </row>
    <row r="42" spans="1:11" x14ac:dyDescent="0.3">
      <c r="A42" s="22" t="s">
        <v>216</v>
      </c>
      <c r="B42" s="45" t="s">
        <v>854</v>
      </c>
      <c r="C42" s="22">
        <v>93004000</v>
      </c>
      <c r="D42" s="22">
        <v>6</v>
      </c>
      <c r="E42" s="22">
        <v>93004001</v>
      </c>
      <c r="F42" s="22">
        <v>93004002</v>
      </c>
      <c r="J42" s="22" t="s">
        <v>217</v>
      </c>
      <c r="K42" s="22" t="s">
        <v>385</v>
      </c>
    </row>
    <row r="43" spans="1:11" x14ac:dyDescent="0.3">
      <c r="A43" s="22" t="s">
        <v>218</v>
      </c>
      <c r="B43" s="45">
        <v>93004110</v>
      </c>
      <c r="C43" s="22">
        <v>93004100</v>
      </c>
      <c r="D43" s="22">
        <v>4</v>
      </c>
      <c r="E43" s="22">
        <v>93004101</v>
      </c>
      <c r="F43" s="22">
        <v>93004102</v>
      </c>
      <c r="J43" s="22" t="s">
        <v>219</v>
      </c>
      <c r="K43" s="22" t="s">
        <v>1191</v>
      </c>
    </row>
    <row r="44" spans="1:11" x14ac:dyDescent="0.3">
      <c r="A44" s="22" t="s">
        <v>220</v>
      </c>
      <c r="B44" s="45">
        <v>93004210</v>
      </c>
      <c r="C44" s="22">
        <v>93004200</v>
      </c>
      <c r="D44" s="22">
        <v>7</v>
      </c>
      <c r="E44" s="22">
        <v>93004201</v>
      </c>
      <c r="F44" s="22">
        <v>93004202</v>
      </c>
      <c r="J44" s="22" t="s">
        <v>221</v>
      </c>
      <c r="K44" s="22" t="s">
        <v>387</v>
      </c>
    </row>
    <row r="45" spans="1:11" x14ac:dyDescent="0.3">
      <c r="A45" s="22" t="s">
        <v>222</v>
      </c>
      <c r="B45" s="45" t="s">
        <v>1193</v>
      </c>
      <c r="C45" s="22">
        <v>93004300</v>
      </c>
      <c r="D45" s="22">
        <v>5</v>
      </c>
      <c r="E45" s="22">
        <v>93004301</v>
      </c>
      <c r="F45" s="22">
        <v>93004302</v>
      </c>
      <c r="J45" s="22" t="s">
        <v>223</v>
      </c>
      <c r="K45" s="22" t="s">
        <v>387</v>
      </c>
    </row>
    <row r="46" spans="1:11" x14ac:dyDescent="0.3">
      <c r="A46" s="22" t="s">
        <v>224</v>
      </c>
      <c r="B46" s="45">
        <v>93004410</v>
      </c>
      <c r="C46" s="22">
        <v>93004400</v>
      </c>
      <c r="D46" s="22">
        <v>6</v>
      </c>
      <c r="E46" s="22">
        <v>93004401</v>
      </c>
      <c r="F46" s="22">
        <v>93004402</v>
      </c>
      <c r="J46" s="22" t="s">
        <v>225</v>
      </c>
      <c r="K46" s="22" t="s">
        <v>387</v>
      </c>
    </row>
    <row r="47" spans="1:11" x14ac:dyDescent="0.3">
      <c r="A47" s="22" t="s">
        <v>226</v>
      </c>
      <c r="B47" s="45">
        <v>93004510</v>
      </c>
      <c r="C47" s="22">
        <v>93004500</v>
      </c>
      <c r="D47" s="22">
        <v>7</v>
      </c>
      <c r="E47" s="22">
        <v>93004501</v>
      </c>
      <c r="F47" s="22">
        <v>93004502</v>
      </c>
      <c r="J47" s="22" t="s">
        <v>227</v>
      </c>
      <c r="K47" s="22" t="s">
        <v>387</v>
      </c>
    </row>
    <row r="48" spans="1:11" x14ac:dyDescent="0.3">
      <c r="A48" s="22" t="s">
        <v>228</v>
      </c>
      <c r="B48" s="45" t="s">
        <v>855</v>
      </c>
      <c r="C48" s="22">
        <v>93004600</v>
      </c>
      <c r="D48" s="22">
        <v>6</v>
      </c>
      <c r="E48" s="22">
        <v>93004601</v>
      </c>
      <c r="F48" s="22">
        <v>93004602</v>
      </c>
      <c r="J48" s="22" t="s">
        <v>229</v>
      </c>
      <c r="K48" s="40" t="s">
        <v>389</v>
      </c>
    </row>
    <row r="49" spans="1:11" x14ac:dyDescent="0.3">
      <c r="A49" s="22" t="s">
        <v>230</v>
      </c>
      <c r="B49" s="45">
        <v>93004710</v>
      </c>
      <c r="C49" s="22">
        <v>93004700</v>
      </c>
      <c r="D49" s="22">
        <v>6</v>
      </c>
      <c r="E49" s="22">
        <v>93004701</v>
      </c>
      <c r="F49" s="22">
        <v>93004702</v>
      </c>
      <c r="J49" s="22" t="s">
        <v>231</v>
      </c>
      <c r="K49" s="22" t="s">
        <v>387</v>
      </c>
    </row>
    <row r="50" spans="1:11" x14ac:dyDescent="0.3">
      <c r="A50" s="22" t="s">
        <v>832</v>
      </c>
      <c r="B50" s="45">
        <v>93004810</v>
      </c>
      <c r="C50" s="22">
        <v>93004800</v>
      </c>
      <c r="D50" s="22">
        <v>6</v>
      </c>
      <c r="E50" s="22">
        <v>93004801</v>
      </c>
      <c r="F50" s="22">
        <v>93004802</v>
      </c>
      <c r="J50" s="22" t="s">
        <v>833</v>
      </c>
      <c r="K50" s="40" t="s">
        <v>389</v>
      </c>
    </row>
    <row r="51" spans="1:11" x14ac:dyDescent="0.3">
      <c r="A51" s="22" t="s">
        <v>232</v>
      </c>
      <c r="B51" s="45">
        <v>93004910</v>
      </c>
      <c r="C51" s="22">
        <v>93004900</v>
      </c>
      <c r="D51" s="22">
        <v>7</v>
      </c>
      <c r="E51" s="22">
        <v>93004901</v>
      </c>
      <c r="F51" s="22">
        <v>93004902</v>
      </c>
      <c r="J51" s="22" t="s">
        <v>233</v>
      </c>
      <c r="K51" s="40" t="s">
        <v>389</v>
      </c>
    </row>
    <row r="52" spans="1:11" x14ac:dyDescent="0.3">
      <c r="A52" s="22" t="s">
        <v>234</v>
      </c>
      <c r="B52" s="45">
        <v>93005010</v>
      </c>
      <c r="C52" s="22">
        <v>93005000</v>
      </c>
      <c r="D52" s="22">
        <v>6</v>
      </c>
      <c r="E52" s="22">
        <v>93005001</v>
      </c>
      <c r="F52" s="22">
        <v>93005002</v>
      </c>
      <c r="J52" s="22" t="s">
        <v>235</v>
      </c>
      <c r="K52" s="22" t="s">
        <v>385</v>
      </c>
    </row>
    <row r="53" spans="1:11" x14ac:dyDescent="0.3">
      <c r="A53" s="22" t="s">
        <v>236</v>
      </c>
      <c r="B53" s="45">
        <v>93005110</v>
      </c>
      <c r="C53" s="22">
        <v>93005100</v>
      </c>
      <c r="D53" s="22">
        <v>7</v>
      </c>
      <c r="E53" s="22">
        <v>93005101</v>
      </c>
      <c r="F53" s="22">
        <v>93005102</v>
      </c>
      <c r="J53" s="22" t="s">
        <v>237</v>
      </c>
      <c r="K53" s="22" t="s">
        <v>389</v>
      </c>
    </row>
    <row r="54" spans="1:11" x14ac:dyDescent="0.3">
      <c r="A54" s="22" t="s">
        <v>238</v>
      </c>
      <c r="B54" s="45" t="s">
        <v>1172</v>
      </c>
      <c r="C54" s="22">
        <v>93005200</v>
      </c>
      <c r="D54" s="22">
        <v>3</v>
      </c>
      <c r="E54" s="22">
        <v>93005201</v>
      </c>
      <c r="F54" s="22">
        <v>93005202</v>
      </c>
      <c r="J54" s="22" t="s">
        <v>239</v>
      </c>
      <c r="K54" s="40" t="s">
        <v>389</v>
      </c>
    </row>
    <row r="55" spans="1:11" x14ac:dyDescent="0.3">
      <c r="A55" s="22" t="s">
        <v>447</v>
      </c>
      <c r="B55" s="45" t="s">
        <v>846</v>
      </c>
      <c r="C55" s="22">
        <v>93005300</v>
      </c>
      <c r="D55" s="22">
        <v>6</v>
      </c>
      <c r="E55" s="22">
        <v>93005301</v>
      </c>
      <c r="F55" s="22">
        <v>93005302</v>
      </c>
      <c r="J55" s="22" t="s">
        <v>240</v>
      </c>
      <c r="K55" s="22" t="s">
        <v>387</v>
      </c>
    </row>
    <row r="56" spans="1:11" x14ac:dyDescent="0.3">
      <c r="A56" s="22" t="s">
        <v>241</v>
      </c>
      <c r="B56" s="45">
        <v>93005410</v>
      </c>
      <c r="C56" s="22">
        <v>93005400</v>
      </c>
      <c r="D56" s="22">
        <v>5</v>
      </c>
      <c r="E56" s="22">
        <v>93005401</v>
      </c>
      <c r="F56" s="22">
        <v>93005402</v>
      </c>
      <c r="J56" s="22" t="s">
        <v>242</v>
      </c>
      <c r="K56" s="22" t="s">
        <v>387</v>
      </c>
    </row>
    <row r="57" spans="1:11" x14ac:dyDescent="0.3">
      <c r="A57" s="22" t="s">
        <v>243</v>
      </c>
      <c r="B57" s="45">
        <v>93005510</v>
      </c>
      <c r="C57" s="22">
        <v>93005500</v>
      </c>
      <c r="D57" s="22">
        <v>5</v>
      </c>
      <c r="E57" s="22">
        <v>93005501</v>
      </c>
      <c r="F57" s="22">
        <v>93005502</v>
      </c>
      <c r="J57" s="22" t="s">
        <v>244</v>
      </c>
      <c r="K57" s="22" t="s">
        <v>387</v>
      </c>
    </row>
    <row r="58" spans="1:11" x14ac:dyDescent="0.3">
      <c r="A58" s="22" t="s">
        <v>245</v>
      </c>
      <c r="B58" s="45" t="s">
        <v>1433</v>
      </c>
      <c r="C58" s="22">
        <v>93005600</v>
      </c>
      <c r="D58" s="22">
        <v>6</v>
      </c>
      <c r="E58" s="22">
        <v>93005601</v>
      </c>
      <c r="F58" s="22">
        <v>93005602</v>
      </c>
      <c r="J58" s="22" t="s">
        <v>246</v>
      </c>
      <c r="K58" s="22" t="s">
        <v>1160</v>
      </c>
    </row>
    <row r="59" spans="1:11" x14ac:dyDescent="0.3">
      <c r="A59" s="22" t="s">
        <v>247</v>
      </c>
      <c r="B59" s="45" t="s">
        <v>856</v>
      </c>
      <c r="C59" s="22">
        <v>93005700</v>
      </c>
      <c r="D59" s="22">
        <v>6</v>
      </c>
      <c r="E59" s="22">
        <v>93005701</v>
      </c>
      <c r="F59" s="22">
        <v>93005702</v>
      </c>
      <c r="J59" s="22" t="s">
        <v>248</v>
      </c>
      <c r="K59" s="22" t="s">
        <v>385</v>
      </c>
    </row>
    <row r="60" spans="1:11" x14ac:dyDescent="0.3">
      <c r="A60" s="22" t="s">
        <v>249</v>
      </c>
      <c r="B60" s="45" t="s">
        <v>857</v>
      </c>
      <c r="C60" s="22">
        <v>93005800</v>
      </c>
      <c r="D60" s="22">
        <v>6</v>
      </c>
      <c r="E60" s="22">
        <v>93005801</v>
      </c>
      <c r="F60" s="22">
        <v>93005802</v>
      </c>
      <c r="J60" s="22" t="s">
        <v>250</v>
      </c>
      <c r="K60" s="22" t="s">
        <v>387</v>
      </c>
    </row>
    <row r="61" spans="1:11" x14ac:dyDescent="0.3">
      <c r="A61" s="22" t="s">
        <v>251</v>
      </c>
      <c r="B61" s="45">
        <v>93005910</v>
      </c>
      <c r="C61" s="22">
        <v>93005900</v>
      </c>
      <c r="D61" s="22">
        <v>7</v>
      </c>
      <c r="E61" s="22">
        <v>93005901</v>
      </c>
      <c r="F61" s="22">
        <v>93005902</v>
      </c>
      <c r="J61" s="22" t="s">
        <v>252</v>
      </c>
      <c r="K61" s="40" t="s">
        <v>389</v>
      </c>
    </row>
    <row r="62" spans="1:11" x14ac:dyDescent="0.3">
      <c r="A62" s="22" t="s">
        <v>253</v>
      </c>
      <c r="B62" s="45">
        <v>93006010</v>
      </c>
      <c r="C62" s="22">
        <v>93006000</v>
      </c>
      <c r="D62" s="22">
        <v>7</v>
      </c>
      <c r="E62" s="22">
        <v>93006001</v>
      </c>
      <c r="F62" s="22">
        <v>93006002</v>
      </c>
      <c r="J62" s="22" t="s">
        <v>254</v>
      </c>
      <c r="K62" s="40" t="s">
        <v>389</v>
      </c>
    </row>
    <row r="63" spans="1:11" x14ac:dyDescent="0.3">
      <c r="A63" s="22" t="s">
        <v>255</v>
      </c>
      <c r="B63" s="45" t="s">
        <v>1206</v>
      </c>
      <c r="C63" s="22">
        <v>93006100</v>
      </c>
      <c r="D63" s="22">
        <v>5</v>
      </c>
      <c r="E63" s="22">
        <v>93006101</v>
      </c>
      <c r="F63" s="22">
        <v>93006102</v>
      </c>
      <c r="J63" s="22" t="s">
        <v>256</v>
      </c>
      <c r="K63" s="22" t="s">
        <v>386</v>
      </c>
    </row>
    <row r="64" spans="1:11" x14ac:dyDescent="0.3">
      <c r="A64" s="22" t="s">
        <v>257</v>
      </c>
      <c r="B64" s="45">
        <v>93006210</v>
      </c>
      <c r="C64" s="22">
        <v>93006200</v>
      </c>
      <c r="D64" s="22">
        <v>6</v>
      </c>
      <c r="E64" s="22">
        <v>93006201</v>
      </c>
      <c r="F64" s="22">
        <v>93006202</v>
      </c>
      <c r="J64" s="22" t="s">
        <v>258</v>
      </c>
      <c r="K64" s="22" t="s">
        <v>1178</v>
      </c>
    </row>
    <row r="65" spans="1:11" x14ac:dyDescent="0.3">
      <c r="A65" s="22" t="s">
        <v>259</v>
      </c>
      <c r="B65" s="45" t="s">
        <v>1179</v>
      </c>
      <c r="C65" s="22">
        <v>93006300</v>
      </c>
      <c r="D65" s="22">
        <v>5</v>
      </c>
      <c r="E65" s="22">
        <v>93006301</v>
      </c>
      <c r="F65" s="22">
        <v>93006302</v>
      </c>
      <c r="J65" s="22" t="s">
        <v>260</v>
      </c>
      <c r="K65" s="22" t="s">
        <v>1190</v>
      </c>
    </row>
    <row r="66" spans="1:11" x14ac:dyDescent="0.3">
      <c r="A66" s="22" t="s">
        <v>261</v>
      </c>
      <c r="B66" s="45" t="s">
        <v>858</v>
      </c>
      <c r="C66" s="22">
        <v>93006400</v>
      </c>
      <c r="D66" s="22">
        <v>6</v>
      </c>
      <c r="E66" s="22">
        <v>93006401</v>
      </c>
      <c r="F66" s="22">
        <v>93006402</v>
      </c>
      <c r="J66" s="22" t="s">
        <v>262</v>
      </c>
      <c r="K66" s="22" t="s">
        <v>387</v>
      </c>
    </row>
    <row r="67" spans="1:11" x14ac:dyDescent="0.3">
      <c r="A67" s="22" t="s">
        <v>263</v>
      </c>
      <c r="B67" s="45" t="s">
        <v>859</v>
      </c>
      <c r="C67" s="22">
        <v>93006500</v>
      </c>
      <c r="D67" s="22">
        <v>6</v>
      </c>
      <c r="E67" s="22">
        <v>93006501</v>
      </c>
      <c r="F67" s="22">
        <v>93006502</v>
      </c>
      <c r="J67" s="22" t="s">
        <v>264</v>
      </c>
      <c r="K67" s="40" t="s">
        <v>389</v>
      </c>
    </row>
    <row r="68" spans="1:11" x14ac:dyDescent="0.3">
      <c r="A68" s="22" t="s">
        <v>265</v>
      </c>
      <c r="B68" s="45">
        <v>93006610</v>
      </c>
      <c r="C68" s="22">
        <v>93006600</v>
      </c>
      <c r="D68" s="22">
        <v>6</v>
      </c>
      <c r="E68" s="22">
        <v>93006601</v>
      </c>
      <c r="F68" s="22">
        <v>93006602</v>
      </c>
      <c r="J68" s="22" t="s">
        <v>266</v>
      </c>
      <c r="K68" s="40" t="s">
        <v>389</v>
      </c>
    </row>
    <row r="69" spans="1:11" x14ac:dyDescent="0.3">
      <c r="A69" s="22" t="s">
        <v>267</v>
      </c>
      <c r="B69" s="45">
        <v>93006710</v>
      </c>
      <c r="C69" s="22">
        <v>93006700</v>
      </c>
      <c r="D69" s="22">
        <v>7</v>
      </c>
      <c r="E69" s="22">
        <v>93006701</v>
      </c>
      <c r="F69" s="22">
        <v>93006702</v>
      </c>
      <c r="J69" s="22" t="s">
        <v>268</v>
      </c>
      <c r="K69" s="22" t="s">
        <v>387</v>
      </c>
    </row>
    <row r="70" spans="1:11" x14ac:dyDescent="0.3">
      <c r="A70" s="22" t="s">
        <v>269</v>
      </c>
      <c r="B70" s="45">
        <v>93006810</v>
      </c>
      <c r="C70" s="22">
        <v>93006800</v>
      </c>
      <c r="D70" s="22">
        <v>5</v>
      </c>
      <c r="E70" s="22">
        <v>93006801</v>
      </c>
      <c r="F70" s="22">
        <v>93006802</v>
      </c>
      <c r="J70" s="22" t="s">
        <v>270</v>
      </c>
      <c r="K70" s="40" t="s">
        <v>389</v>
      </c>
    </row>
    <row r="71" spans="1:11" x14ac:dyDescent="0.3">
      <c r="A71" s="22" t="s">
        <v>271</v>
      </c>
      <c r="B71" s="45">
        <v>93006910</v>
      </c>
      <c r="C71" s="22">
        <v>93006900</v>
      </c>
      <c r="D71" s="22">
        <v>7</v>
      </c>
      <c r="E71" s="22">
        <v>93006901</v>
      </c>
      <c r="F71" s="22">
        <v>93006902</v>
      </c>
      <c r="J71" s="22" t="s">
        <v>272</v>
      </c>
      <c r="K71" s="40" t="s">
        <v>389</v>
      </c>
    </row>
    <row r="72" spans="1:11" x14ac:dyDescent="0.3">
      <c r="A72" s="22" t="s">
        <v>273</v>
      </c>
      <c r="B72" s="45" t="s">
        <v>860</v>
      </c>
      <c r="C72" s="22">
        <v>93007000</v>
      </c>
      <c r="D72" s="22">
        <v>7</v>
      </c>
      <c r="E72" s="22">
        <v>93007001</v>
      </c>
      <c r="F72" s="22">
        <v>93007002</v>
      </c>
      <c r="J72" s="22" t="s">
        <v>274</v>
      </c>
      <c r="K72" s="40" t="s">
        <v>389</v>
      </c>
    </row>
    <row r="73" spans="1:11" x14ac:dyDescent="0.3">
      <c r="A73" s="22" t="s">
        <v>275</v>
      </c>
      <c r="B73" s="45">
        <v>93007110</v>
      </c>
      <c r="C73" s="22">
        <v>93007100</v>
      </c>
      <c r="D73" s="22">
        <v>7</v>
      </c>
      <c r="E73" s="22">
        <v>93007101</v>
      </c>
      <c r="F73" s="22">
        <v>93007102</v>
      </c>
      <c r="J73" s="22" t="s">
        <v>276</v>
      </c>
      <c r="K73" s="22" t="s">
        <v>385</v>
      </c>
    </row>
    <row r="74" spans="1:11" x14ac:dyDescent="0.3">
      <c r="A74" s="22" t="s">
        <v>1236</v>
      </c>
      <c r="B74" s="45" t="s">
        <v>1237</v>
      </c>
      <c r="C74" s="22">
        <v>93007200</v>
      </c>
      <c r="D74" s="22">
        <v>5</v>
      </c>
      <c r="E74" s="22">
        <v>93007201</v>
      </c>
      <c r="F74" s="22">
        <v>93007202</v>
      </c>
      <c r="J74" s="22" t="s">
        <v>1238</v>
      </c>
      <c r="K74" s="22" t="s">
        <v>385</v>
      </c>
    </row>
    <row r="75" spans="1:11" x14ac:dyDescent="0.3">
      <c r="A75" s="22" t="s">
        <v>277</v>
      </c>
      <c r="B75" s="45">
        <v>93007310</v>
      </c>
      <c r="C75" s="22">
        <v>93007300</v>
      </c>
      <c r="D75" s="22">
        <v>5</v>
      </c>
      <c r="E75" s="22">
        <v>93007301</v>
      </c>
      <c r="F75" s="22">
        <v>93007302</v>
      </c>
      <c r="J75" s="22" t="s">
        <v>278</v>
      </c>
      <c r="K75" s="22" t="s">
        <v>385</v>
      </c>
    </row>
    <row r="76" spans="1:11" x14ac:dyDescent="0.3">
      <c r="A76" s="22" t="s">
        <v>1280</v>
      </c>
      <c r="B76" s="45" t="s">
        <v>1282</v>
      </c>
      <c r="C76" s="22">
        <v>93007400</v>
      </c>
      <c r="D76" s="22">
        <v>7</v>
      </c>
      <c r="E76" s="22">
        <v>93007401</v>
      </c>
      <c r="F76" s="22">
        <v>93007402</v>
      </c>
      <c r="J76" s="22" t="s">
        <v>1281</v>
      </c>
      <c r="K76" s="22" t="s">
        <v>387</v>
      </c>
    </row>
    <row r="77" spans="1:11" x14ac:dyDescent="0.3">
      <c r="A77" s="22" t="s">
        <v>279</v>
      </c>
      <c r="B77" s="45">
        <v>93007510</v>
      </c>
      <c r="C77" s="22">
        <v>93007500</v>
      </c>
      <c r="D77" s="22">
        <v>6</v>
      </c>
      <c r="E77" s="22">
        <v>93007501</v>
      </c>
      <c r="F77" s="22">
        <v>93007502</v>
      </c>
      <c r="J77" s="22" t="s">
        <v>280</v>
      </c>
      <c r="K77" s="22" t="s">
        <v>389</v>
      </c>
    </row>
    <row r="78" spans="1:11" x14ac:dyDescent="0.3">
      <c r="A78" s="22" t="s">
        <v>1289</v>
      </c>
      <c r="B78" s="45" t="s">
        <v>1290</v>
      </c>
      <c r="C78" s="22">
        <v>93007600</v>
      </c>
      <c r="D78" s="22">
        <v>6</v>
      </c>
      <c r="E78" s="22">
        <v>93007601</v>
      </c>
      <c r="F78" s="22">
        <v>93007602</v>
      </c>
      <c r="J78" s="22" t="s">
        <v>1291</v>
      </c>
      <c r="K78" s="22" t="s">
        <v>389</v>
      </c>
    </row>
    <row r="79" spans="1:11" x14ac:dyDescent="0.3">
      <c r="A79" s="22" t="s">
        <v>1299</v>
      </c>
      <c r="B79" s="45" t="s">
        <v>1312</v>
      </c>
      <c r="C79" s="22">
        <v>93007700</v>
      </c>
      <c r="D79" s="22">
        <v>6</v>
      </c>
      <c r="E79" s="22">
        <v>93007701</v>
      </c>
      <c r="F79" s="22">
        <v>93007702</v>
      </c>
      <c r="J79" s="22" t="s">
        <v>1313</v>
      </c>
      <c r="K79" s="22" t="s">
        <v>389</v>
      </c>
    </row>
    <row r="80" spans="1:11" x14ac:dyDescent="0.3">
      <c r="A80" s="22" t="s">
        <v>281</v>
      </c>
      <c r="B80" s="45" t="s">
        <v>861</v>
      </c>
      <c r="C80" s="22">
        <v>93007800</v>
      </c>
      <c r="D80" s="22">
        <v>6</v>
      </c>
      <c r="E80" s="22">
        <v>93007801</v>
      </c>
      <c r="F80" s="22">
        <v>93007802</v>
      </c>
      <c r="J80" s="22" t="s">
        <v>282</v>
      </c>
      <c r="K80" s="22" t="s">
        <v>385</v>
      </c>
    </row>
    <row r="81" spans="1:11" x14ac:dyDescent="0.3">
      <c r="A81" s="22" t="s">
        <v>1318</v>
      </c>
      <c r="B81" s="45" t="s">
        <v>1319</v>
      </c>
      <c r="C81" s="22">
        <v>93007900</v>
      </c>
      <c r="D81" s="22">
        <v>6</v>
      </c>
      <c r="E81" s="22">
        <v>93007901</v>
      </c>
      <c r="F81" s="22">
        <v>93007902</v>
      </c>
      <c r="J81" s="22" t="s">
        <v>1320</v>
      </c>
      <c r="K81" s="22" t="s">
        <v>387</v>
      </c>
    </row>
    <row r="82" spans="1:11" x14ac:dyDescent="0.3">
      <c r="A82" s="22" t="s">
        <v>1478</v>
      </c>
      <c r="B82" s="45" t="s">
        <v>1487</v>
      </c>
      <c r="C82" s="22">
        <v>93008000</v>
      </c>
      <c r="D82" s="22">
        <v>6</v>
      </c>
      <c r="E82" s="22">
        <v>93008001</v>
      </c>
      <c r="F82" s="22">
        <v>93008002</v>
      </c>
      <c r="J82" s="22" t="s">
        <v>1479</v>
      </c>
      <c r="K82" s="22" t="s">
        <v>387</v>
      </c>
    </row>
    <row r="83" spans="1:11" x14ac:dyDescent="0.3">
      <c r="A83" s="22" t="s">
        <v>1376</v>
      </c>
      <c r="B83" s="45" t="s">
        <v>1395</v>
      </c>
      <c r="C83" s="22">
        <v>93008100</v>
      </c>
      <c r="D83" s="22">
        <v>6</v>
      </c>
      <c r="E83" s="22">
        <v>93008101</v>
      </c>
      <c r="F83" s="22">
        <v>93008102</v>
      </c>
      <c r="J83" s="22" t="s">
        <v>1396</v>
      </c>
      <c r="K83" s="22" t="s">
        <v>387</v>
      </c>
    </row>
    <row r="84" spans="1:11" x14ac:dyDescent="0.3">
      <c r="A84" s="22" t="s">
        <v>1404</v>
      </c>
      <c r="B84" s="45" t="s">
        <v>1407</v>
      </c>
      <c r="C84" s="22">
        <v>93008200</v>
      </c>
      <c r="D84" s="22">
        <v>5</v>
      </c>
      <c r="E84" s="22">
        <v>93008201</v>
      </c>
      <c r="F84" s="22">
        <v>93008202</v>
      </c>
      <c r="J84" s="22" t="s">
        <v>1405</v>
      </c>
      <c r="K84" s="40" t="s">
        <v>389</v>
      </c>
    </row>
    <row r="85" spans="1:11" x14ac:dyDescent="0.3">
      <c r="A85" s="22" t="s">
        <v>1422</v>
      </c>
      <c r="B85" s="45" t="s">
        <v>1423</v>
      </c>
      <c r="C85" s="22">
        <v>93008300</v>
      </c>
      <c r="D85" s="22">
        <v>5</v>
      </c>
      <c r="E85" s="22">
        <v>93008301</v>
      </c>
      <c r="F85" s="22">
        <v>93008302</v>
      </c>
      <c r="J85" s="22" t="s">
        <v>1424</v>
      </c>
      <c r="K85" s="40" t="s">
        <v>389</v>
      </c>
    </row>
    <row r="86" spans="1:11" x14ac:dyDescent="0.3">
      <c r="A86" s="22" t="s">
        <v>1346</v>
      </c>
      <c r="B86" s="45" t="s">
        <v>1347</v>
      </c>
      <c r="C86" s="22">
        <v>93008400</v>
      </c>
      <c r="D86" s="22">
        <v>6</v>
      </c>
      <c r="E86" s="22">
        <v>93008401</v>
      </c>
      <c r="F86" s="22">
        <v>93008402</v>
      </c>
      <c r="J86" s="22" t="s">
        <v>1348</v>
      </c>
      <c r="K86" s="22" t="s">
        <v>385</v>
      </c>
    </row>
    <row r="87" spans="1:11" x14ac:dyDescent="0.3">
      <c r="A87" s="22" t="s">
        <v>1349</v>
      </c>
      <c r="B87" s="45" t="s">
        <v>1350</v>
      </c>
      <c r="C87" s="22">
        <v>93008500</v>
      </c>
      <c r="D87" s="22">
        <v>6</v>
      </c>
      <c r="E87" s="22">
        <v>93008501</v>
      </c>
      <c r="F87" s="22">
        <v>93008502</v>
      </c>
      <c r="J87" s="22" t="s">
        <v>1351</v>
      </c>
      <c r="K87" s="22" t="s">
        <v>387</v>
      </c>
    </row>
    <row r="88" spans="1:11" x14ac:dyDescent="0.3">
      <c r="A88" s="22" t="s">
        <v>1426</v>
      </c>
      <c r="B88" s="45" t="s">
        <v>1428</v>
      </c>
      <c r="C88" s="22">
        <v>93008600</v>
      </c>
      <c r="D88" s="22">
        <v>8</v>
      </c>
      <c r="E88" s="22">
        <v>93008601</v>
      </c>
      <c r="F88" s="22">
        <v>93008602</v>
      </c>
      <c r="J88" s="22" t="s">
        <v>1427</v>
      </c>
      <c r="K88" s="22" t="s">
        <v>389</v>
      </c>
    </row>
    <row r="89" spans="1:11" x14ac:dyDescent="0.3">
      <c r="A89" s="22" t="s">
        <v>283</v>
      </c>
      <c r="B89" s="45" t="s">
        <v>1167</v>
      </c>
      <c r="C89" s="22">
        <v>93008700</v>
      </c>
      <c r="D89" s="22">
        <v>6</v>
      </c>
      <c r="E89" s="22">
        <v>93008701</v>
      </c>
      <c r="F89" s="22">
        <v>93008702</v>
      </c>
      <c r="J89" s="22" t="s">
        <v>1352</v>
      </c>
      <c r="K89" s="22" t="s">
        <v>386</v>
      </c>
    </row>
    <row r="90" spans="1:11" x14ac:dyDescent="0.3">
      <c r="A90" s="22" t="s">
        <v>1442</v>
      </c>
      <c r="B90" s="45" t="s">
        <v>1477</v>
      </c>
      <c r="C90" s="22">
        <v>93008800</v>
      </c>
      <c r="D90" s="22">
        <v>6</v>
      </c>
      <c r="E90" s="22">
        <v>93008801</v>
      </c>
      <c r="F90" s="22">
        <v>93008802</v>
      </c>
      <c r="J90" s="22" t="s">
        <v>1447</v>
      </c>
      <c r="K90" s="22" t="s">
        <v>387</v>
      </c>
    </row>
    <row r="91" spans="1:11" x14ac:dyDescent="0.3">
      <c r="A91" s="22" t="s">
        <v>1439</v>
      </c>
      <c r="B91" s="45" t="s">
        <v>1462</v>
      </c>
      <c r="C91" s="22">
        <v>93008900</v>
      </c>
      <c r="D91" s="22">
        <v>6</v>
      </c>
      <c r="E91" s="22">
        <v>93008901</v>
      </c>
      <c r="F91" s="22">
        <v>93008902</v>
      </c>
      <c r="J91" s="22" t="s">
        <v>1448</v>
      </c>
      <c r="K91" s="22" t="s">
        <v>387</v>
      </c>
    </row>
    <row r="92" spans="1:11" x14ac:dyDescent="0.3">
      <c r="A92" s="22" t="s">
        <v>284</v>
      </c>
      <c r="B92" s="45">
        <v>93009010</v>
      </c>
      <c r="C92" s="22">
        <v>93009000</v>
      </c>
      <c r="D92" s="22">
        <v>5</v>
      </c>
      <c r="E92" s="22">
        <v>93009001</v>
      </c>
      <c r="F92" s="22">
        <v>93009002</v>
      </c>
      <c r="J92" s="22" t="s">
        <v>285</v>
      </c>
      <c r="K92" s="22" t="s">
        <v>387</v>
      </c>
    </row>
    <row r="93" spans="1:11" x14ac:dyDescent="0.3">
      <c r="A93" s="22" t="s">
        <v>286</v>
      </c>
      <c r="B93" s="45">
        <v>93009110</v>
      </c>
      <c r="C93" s="22">
        <v>93009100</v>
      </c>
      <c r="D93" s="22">
        <v>6</v>
      </c>
      <c r="E93" s="22">
        <v>93009101</v>
      </c>
      <c r="F93" s="22">
        <v>93009102</v>
      </c>
      <c r="J93" s="22" t="s">
        <v>287</v>
      </c>
      <c r="K93" s="22" t="s">
        <v>389</v>
      </c>
    </row>
    <row r="94" spans="1:11" x14ac:dyDescent="0.3">
      <c r="A94" s="22" t="s">
        <v>288</v>
      </c>
      <c r="B94" s="45">
        <v>93009210</v>
      </c>
      <c r="C94" s="22">
        <v>93009200</v>
      </c>
      <c r="D94" s="22">
        <v>6</v>
      </c>
      <c r="E94" s="22">
        <v>93009201</v>
      </c>
      <c r="F94" s="22">
        <v>93009202</v>
      </c>
      <c r="J94" s="22" t="s">
        <v>289</v>
      </c>
      <c r="K94" s="22" t="s">
        <v>1194</v>
      </c>
    </row>
    <row r="95" spans="1:11" x14ac:dyDescent="0.3">
      <c r="A95" s="22" t="s">
        <v>290</v>
      </c>
      <c r="B95" s="45">
        <v>93009310</v>
      </c>
      <c r="C95" s="22">
        <v>93009300</v>
      </c>
      <c r="D95" s="22">
        <v>7</v>
      </c>
      <c r="E95" s="22">
        <v>93009301</v>
      </c>
      <c r="F95" s="22">
        <v>93009302</v>
      </c>
      <c r="J95" s="22" t="s">
        <v>291</v>
      </c>
      <c r="K95" s="22" t="s">
        <v>387</v>
      </c>
    </row>
    <row r="96" spans="1:11" x14ac:dyDescent="0.3">
      <c r="A96" s="22" t="s">
        <v>292</v>
      </c>
      <c r="B96" s="45">
        <v>93009410</v>
      </c>
      <c r="C96" s="22">
        <v>93009400</v>
      </c>
      <c r="D96" s="22">
        <v>5</v>
      </c>
      <c r="E96" s="22">
        <v>93009401</v>
      </c>
      <c r="F96" s="22">
        <v>93009402</v>
      </c>
      <c r="J96" s="22" t="s">
        <v>293</v>
      </c>
      <c r="K96" s="22" t="s">
        <v>389</v>
      </c>
    </row>
    <row r="97" spans="1:11" x14ac:dyDescent="0.3">
      <c r="A97" s="22" t="s">
        <v>294</v>
      </c>
      <c r="B97" s="45">
        <v>93009510</v>
      </c>
      <c r="C97" s="22">
        <v>93009500</v>
      </c>
      <c r="D97" s="22">
        <v>6</v>
      </c>
      <c r="E97" s="22">
        <v>93009501</v>
      </c>
      <c r="F97" s="22">
        <v>93009502</v>
      </c>
      <c r="J97" s="22" t="s">
        <v>295</v>
      </c>
      <c r="K97" s="22" t="s">
        <v>389</v>
      </c>
    </row>
    <row r="98" spans="1:11" x14ac:dyDescent="0.3">
      <c r="A98" s="22" t="s">
        <v>296</v>
      </c>
      <c r="B98" s="45">
        <v>93009610</v>
      </c>
      <c r="C98" s="22">
        <v>93009600</v>
      </c>
      <c r="D98" s="22">
        <v>6</v>
      </c>
      <c r="E98" s="22">
        <v>93009601</v>
      </c>
      <c r="F98" s="22">
        <v>93009602</v>
      </c>
      <c r="J98" s="22" t="s">
        <v>297</v>
      </c>
      <c r="K98" s="40" t="s">
        <v>389</v>
      </c>
    </row>
    <row r="99" spans="1:11" x14ac:dyDescent="0.3">
      <c r="A99" s="22" t="s">
        <v>298</v>
      </c>
      <c r="B99" s="45" t="s">
        <v>1511</v>
      </c>
      <c r="C99" s="22">
        <v>93009700</v>
      </c>
      <c r="D99" s="22">
        <v>7</v>
      </c>
      <c r="E99" s="22">
        <v>93009701</v>
      </c>
      <c r="F99" s="22">
        <v>93009702</v>
      </c>
      <c r="J99" s="22" t="s">
        <v>299</v>
      </c>
      <c r="K99" s="22" t="s">
        <v>387</v>
      </c>
    </row>
    <row r="100" spans="1:11" x14ac:dyDescent="0.3">
      <c r="A100" s="22" t="s">
        <v>382</v>
      </c>
      <c r="B100" s="45" t="s">
        <v>862</v>
      </c>
      <c r="C100" s="22">
        <v>93009800</v>
      </c>
      <c r="D100" s="22">
        <v>5</v>
      </c>
      <c r="E100" s="22">
        <v>93009801</v>
      </c>
      <c r="F100" s="22">
        <v>93009802</v>
      </c>
      <c r="J100" s="22" t="s">
        <v>383</v>
      </c>
      <c r="K100" s="40" t="s">
        <v>389</v>
      </c>
    </row>
    <row r="101" spans="1:11" x14ac:dyDescent="0.3">
      <c r="A101" s="22" t="s">
        <v>1369</v>
      </c>
      <c r="B101" s="45" t="s">
        <v>1374</v>
      </c>
      <c r="C101" s="22">
        <v>93009900</v>
      </c>
      <c r="D101" s="22">
        <v>7</v>
      </c>
      <c r="E101" s="22">
        <v>93009901</v>
      </c>
      <c r="F101" s="22">
        <v>93009902</v>
      </c>
      <c r="J101" s="22" t="s">
        <v>1375</v>
      </c>
      <c r="K101" s="40" t="s">
        <v>389</v>
      </c>
    </row>
    <row r="102" spans="1:11" x14ac:dyDescent="0.3">
      <c r="A102" s="22" t="s">
        <v>1472</v>
      </c>
      <c r="B102" s="45" t="s">
        <v>1476</v>
      </c>
      <c r="C102" s="22">
        <v>93010000</v>
      </c>
      <c r="D102" s="22">
        <v>6</v>
      </c>
      <c r="E102" s="22">
        <v>93010001</v>
      </c>
      <c r="F102" s="22">
        <v>93010002</v>
      </c>
      <c r="J102" s="22" t="s">
        <v>1466</v>
      </c>
      <c r="K102" s="40" t="s">
        <v>389</v>
      </c>
    </row>
    <row r="103" spans="1:11" x14ac:dyDescent="0.3">
      <c r="A103" s="22" t="s">
        <v>1494</v>
      </c>
      <c r="B103" s="45" t="s">
        <v>1500</v>
      </c>
      <c r="C103" s="22">
        <v>93010100</v>
      </c>
      <c r="D103" s="22">
        <v>6</v>
      </c>
      <c r="E103" s="22">
        <v>93010101</v>
      </c>
      <c r="F103" s="22">
        <v>93010102</v>
      </c>
      <c r="J103" s="22" t="s">
        <v>1495</v>
      </c>
      <c r="K103" s="40" t="s">
        <v>389</v>
      </c>
    </row>
    <row r="104" spans="1:11" x14ac:dyDescent="0.3">
      <c r="A104" s="22" t="s">
        <v>1502</v>
      </c>
      <c r="B104" s="45" t="s">
        <v>1508</v>
      </c>
      <c r="C104" s="22">
        <v>93010200</v>
      </c>
      <c r="D104" s="22">
        <v>4</v>
      </c>
      <c r="E104" s="22">
        <v>93010201</v>
      </c>
      <c r="F104" s="22">
        <v>93010202</v>
      </c>
      <c r="J104" s="22" t="s">
        <v>1501</v>
      </c>
      <c r="K104" s="22" t="s">
        <v>387</v>
      </c>
    </row>
    <row r="105" spans="1:11" x14ac:dyDescent="0.3">
      <c r="A105" s="22" t="s">
        <v>1518</v>
      </c>
      <c r="B105" s="45" t="s">
        <v>1524</v>
      </c>
      <c r="C105" s="22">
        <v>93011100</v>
      </c>
      <c r="D105" s="22">
        <v>6</v>
      </c>
      <c r="E105" s="22">
        <v>93011101</v>
      </c>
      <c r="F105" s="22">
        <v>93011102</v>
      </c>
      <c r="J105" s="22" t="s">
        <v>1519</v>
      </c>
      <c r="K105" s="22" t="s">
        <v>387</v>
      </c>
    </row>
  </sheetData>
  <phoneticPr fontId="10" type="noConversion"/>
  <conditionalFormatting sqref="A20">
    <cfRule type="duplicateValues" dxfId="131" priority="2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C10"/>
  <sheetViews>
    <sheetView workbookViewId="0">
      <selection activeCell="D25" sqref="D25"/>
    </sheetView>
  </sheetViews>
  <sheetFormatPr defaultRowHeight="16.5" x14ac:dyDescent="0.3"/>
  <cols>
    <col min="1" max="1" width="6.5" customWidth="1"/>
    <col min="2" max="2" width="18.75" bestFit="1" customWidth="1"/>
    <col min="3" max="3" width="8.125" customWidth="1"/>
  </cols>
  <sheetData>
    <row r="1" spans="1:29" s="18" customFormat="1" ht="100.5" customHeight="1" x14ac:dyDescent="0.3">
      <c r="A1" s="17" t="s">
        <v>3</v>
      </c>
      <c r="B1" s="17" t="s">
        <v>93</v>
      </c>
      <c r="C1" s="17" t="s">
        <v>94</v>
      </c>
      <c r="D1" s="17" t="s">
        <v>7</v>
      </c>
      <c r="E1" s="17" t="s">
        <v>1434</v>
      </c>
      <c r="F1" s="17"/>
      <c r="G1" s="17"/>
      <c r="H1" s="17"/>
      <c r="I1" s="17"/>
      <c r="J1" s="17"/>
      <c r="K1" s="17"/>
      <c r="L1" s="17"/>
    </row>
    <row r="2" spans="1:29" s="59" customFormat="1" ht="17.25" customHeight="1" x14ac:dyDescent="0.3">
      <c r="A2" s="56" t="s">
        <v>1314</v>
      </c>
      <c r="B2" s="57" t="s">
        <v>1315</v>
      </c>
      <c r="C2" s="56" t="s">
        <v>1314</v>
      </c>
      <c r="D2" s="56" t="s">
        <v>1314</v>
      </c>
      <c r="E2" s="57"/>
      <c r="F2" s="57"/>
      <c r="G2" s="57"/>
      <c r="H2" s="57"/>
      <c r="I2" s="57"/>
      <c r="J2" s="58"/>
      <c r="K2" s="58"/>
      <c r="L2" s="57"/>
      <c r="M2" s="57"/>
      <c r="N2" s="57"/>
      <c r="O2" s="57"/>
      <c r="P2" s="58"/>
      <c r="Q2" s="58"/>
      <c r="R2" s="57"/>
      <c r="S2" s="57"/>
      <c r="T2" s="57"/>
      <c r="U2" s="57"/>
      <c r="V2" s="58"/>
      <c r="W2" s="58"/>
      <c r="X2" s="57"/>
      <c r="Y2" s="57"/>
      <c r="Z2" s="57"/>
      <c r="AA2" s="57"/>
      <c r="AB2" s="58"/>
      <c r="AC2" s="58"/>
    </row>
    <row r="3" spans="1:29" x14ac:dyDescent="0.3">
      <c r="A3" s="16">
        <v>1</v>
      </c>
      <c r="B3" s="24" t="s">
        <v>132</v>
      </c>
      <c r="C3" s="24">
        <v>10</v>
      </c>
      <c r="D3" s="24">
        <f>E3*0.8</f>
        <v>80000</v>
      </c>
      <c r="E3" s="24">
        <v>100000</v>
      </c>
      <c r="F3" s="16"/>
      <c r="G3" s="16"/>
      <c r="H3" s="16"/>
      <c r="I3" s="16"/>
      <c r="J3" s="16"/>
      <c r="K3" s="16"/>
      <c r="L3" s="16"/>
    </row>
    <row r="4" spans="1:29" x14ac:dyDescent="0.3">
      <c r="A4" s="24">
        <v>2</v>
      </c>
      <c r="B4" s="24" t="s">
        <v>133</v>
      </c>
      <c r="C4" s="24">
        <v>30</v>
      </c>
      <c r="D4" s="24">
        <f t="shared" ref="D4:D6" si="0">E4*0.8</f>
        <v>200000</v>
      </c>
      <c r="E4" s="24">
        <v>250000</v>
      </c>
      <c r="F4" s="16"/>
      <c r="G4" s="16"/>
      <c r="H4" s="16"/>
      <c r="I4" s="16"/>
      <c r="J4" s="16"/>
      <c r="K4" s="16"/>
      <c r="L4" s="16"/>
    </row>
    <row r="5" spans="1:29" x14ac:dyDescent="0.3">
      <c r="A5" s="24">
        <v>3</v>
      </c>
      <c r="B5" s="24" t="s">
        <v>95</v>
      </c>
      <c r="C5" s="24">
        <v>50</v>
      </c>
      <c r="D5" s="24">
        <f t="shared" si="0"/>
        <v>280000</v>
      </c>
      <c r="E5" s="24">
        <v>350000</v>
      </c>
      <c r="F5" s="16"/>
      <c r="G5" s="16"/>
      <c r="H5" s="16"/>
      <c r="I5" s="16"/>
      <c r="J5" s="16"/>
      <c r="K5" s="16"/>
      <c r="L5" s="16"/>
    </row>
    <row r="6" spans="1:29" x14ac:dyDescent="0.3">
      <c r="A6" s="24">
        <v>4</v>
      </c>
      <c r="B6" s="24" t="s">
        <v>96</v>
      </c>
      <c r="C6" s="24">
        <v>100</v>
      </c>
      <c r="D6" s="24">
        <f t="shared" si="0"/>
        <v>400000</v>
      </c>
      <c r="E6" s="24">
        <v>500000</v>
      </c>
      <c r="F6" s="16"/>
      <c r="G6" s="16"/>
      <c r="H6" s="16"/>
      <c r="I6" s="16"/>
      <c r="J6" s="16"/>
      <c r="K6" s="16"/>
      <c r="L6" s="16"/>
    </row>
    <row r="7" spans="1:29" x14ac:dyDescent="0.3">
      <c r="A7" s="16"/>
      <c r="B7" s="19"/>
      <c r="C7" s="16"/>
      <c r="D7" s="16"/>
      <c r="E7" s="16"/>
      <c r="F7" s="16"/>
      <c r="G7" s="16"/>
      <c r="H7" s="16"/>
      <c r="I7" s="16"/>
      <c r="J7" s="16"/>
      <c r="K7" s="16"/>
      <c r="L7" s="16"/>
    </row>
    <row r="8" spans="1:29" x14ac:dyDescent="0.3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29" x14ac:dyDescent="0.3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29" x14ac:dyDescent="0.3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</sheetData>
  <phoneticPr fontId="10" type="noConversion"/>
  <conditionalFormatting sqref="F2">
    <cfRule type="expression" dxfId="130" priority="1">
      <formula>ISERROR(F2)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3D6DE-058D-47A8-8E63-B947EDAAEF3A}">
  <sheetPr>
    <tabColor rgb="FFFFFF00"/>
  </sheetPr>
  <dimension ref="A1:AC65"/>
  <sheetViews>
    <sheetView topLeftCell="A36" workbookViewId="0">
      <selection activeCell="H15" sqref="H15"/>
    </sheetView>
  </sheetViews>
  <sheetFormatPr defaultRowHeight="16.5" x14ac:dyDescent="0.3"/>
  <cols>
    <col min="1" max="1" width="15.5" customWidth="1"/>
    <col min="2" max="2" width="18.75" bestFit="1" customWidth="1"/>
    <col min="7" max="7" width="24.25" customWidth="1"/>
    <col min="8" max="8" width="20.875" customWidth="1"/>
  </cols>
  <sheetData>
    <row r="1" spans="1:29" ht="72" x14ac:dyDescent="0.3">
      <c r="A1" s="60" t="s">
        <v>1329</v>
      </c>
      <c r="B1" s="62" t="s">
        <v>93</v>
      </c>
      <c r="C1" s="60" t="s">
        <v>1330</v>
      </c>
      <c r="D1" s="62" t="s">
        <v>1331</v>
      </c>
      <c r="E1" s="62"/>
      <c r="F1" s="62"/>
      <c r="G1" s="62"/>
      <c r="H1" s="62"/>
      <c r="I1" s="62"/>
      <c r="J1" s="62"/>
      <c r="K1" s="62"/>
      <c r="L1" s="62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</row>
    <row r="2" spans="1:29" x14ac:dyDescent="0.3">
      <c r="A2" s="61" t="s">
        <v>1332</v>
      </c>
      <c r="B2" s="57" t="s">
        <v>1315</v>
      </c>
      <c r="C2" s="61" t="s">
        <v>1332</v>
      </c>
      <c r="D2" s="61"/>
      <c r="E2" s="61"/>
      <c r="F2" s="61"/>
      <c r="G2" s="61"/>
      <c r="H2" s="61"/>
      <c r="I2" s="61"/>
      <c r="J2" s="65"/>
      <c r="K2" s="65"/>
      <c r="L2" s="61"/>
      <c r="M2" s="61"/>
      <c r="N2" s="61"/>
      <c r="O2" s="61"/>
      <c r="P2" s="65"/>
      <c r="Q2" s="65"/>
      <c r="R2" s="61"/>
      <c r="S2" s="61"/>
      <c r="T2" s="61"/>
      <c r="U2" s="61"/>
      <c r="V2" s="65"/>
      <c r="W2" s="65"/>
      <c r="X2" s="61"/>
      <c r="Y2" s="61"/>
      <c r="Z2" s="61"/>
      <c r="AA2" s="61"/>
      <c r="AB2" s="65"/>
      <c r="AC2" s="65"/>
    </row>
    <row r="3" spans="1:29" s="22" customFormat="1" x14ac:dyDescent="0.3">
      <c r="A3" s="66">
        <v>0</v>
      </c>
      <c r="B3" s="24" t="s">
        <v>132</v>
      </c>
      <c r="C3" s="63">
        <v>2000</v>
      </c>
      <c r="D3" s="63" t="s">
        <v>1333</v>
      </c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</row>
    <row r="4" spans="1:29" s="22" customFormat="1" x14ac:dyDescent="0.3">
      <c r="A4" s="66">
        <v>0</v>
      </c>
      <c r="B4" s="24" t="s">
        <v>133</v>
      </c>
      <c r="C4" s="63">
        <f>C3*3</f>
        <v>6000</v>
      </c>
      <c r="D4" s="63"/>
      <c r="E4" s="63"/>
      <c r="F4" s="63"/>
      <c r="G4" s="49">
        <v>2000</v>
      </c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</row>
    <row r="5" spans="1:29" s="22" customFormat="1" x14ac:dyDescent="0.3">
      <c r="A5" s="66">
        <v>0</v>
      </c>
      <c r="B5" s="24" t="s">
        <v>95</v>
      </c>
      <c r="C5" s="63">
        <f>C3*5</f>
        <v>10000</v>
      </c>
      <c r="D5" s="63"/>
      <c r="E5" s="63"/>
      <c r="F5" s="63"/>
      <c r="G5" s="49">
        <v>1562.5</v>
      </c>
      <c r="H5" s="68">
        <v>5.6299999999999996E-3</v>
      </c>
      <c r="I5" s="67">
        <v>5</v>
      </c>
      <c r="J5" s="63"/>
      <c r="K5" s="67"/>
      <c r="L5" s="67"/>
      <c r="M5" s="67"/>
      <c r="N5" s="67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</row>
    <row r="6" spans="1:29" s="22" customFormat="1" x14ac:dyDescent="0.3">
      <c r="A6" s="66">
        <v>0</v>
      </c>
      <c r="B6" s="24" t="s">
        <v>96</v>
      </c>
      <c r="C6" s="63">
        <f>C3*10</f>
        <v>20000</v>
      </c>
      <c r="D6" s="63"/>
      <c r="E6" s="63"/>
      <c r="F6" s="63"/>
      <c r="G6" s="49">
        <v>1219.5121951219512</v>
      </c>
      <c r="H6" s="68">
        <v>4.1200000000000004E-3</v>
      </c>
      <c r="I6" s="67">
        <v>6</v>
      </c>
      <c r="J6" s="63"/>
      <c r="K6" s="67"/>
      <c r="L6" s="67">
        <v>563</v>
      </c>
      <c r="M6" s="67"/>
      <c r="N6" s="67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</row>
    <row r="7" spans="1:29" s="22" customFormat="1" x14ac:dyDescent="0.3">
      <c r="A7" s="66">
        <v>1</v>
      </c>
      <c r="B7" s="24" t="s">
        <v>132</v>
      </c>
      <c r="C7" s="63">
        <v>1563</v>
      </c>
      <c r="D7" s="63"/>
      <c r="E7" s="63"/>
      <c r="F7" s="63"/>
      <c r="G7" s="49">
        <v>961.53846153846155</v>
      </c>
      <c r="H7" s="68">
        <v>3.0200000000000001E-3</v>
      </c>
      <c r="I7" s="67">
        <v>7</v>
      </c>
      <c r="J7" s="63"/>
      <c r="K7" s="67"/>
      <c r="L7" s="67"/>
      <c r="M7" s="67"/>
      <c r="N7" s="67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</row>
    <row r="8" spans="1:29" s="22" customFormat="1" x14ac:dyDescent="0.3">
      <c r="A8" s="66">
        <v>1</v>
      </c>
      <c r="B8" s="24" t="s">
        <v>133</v>
      </c>
      <c r="C8" s="63">
        <f>C7*3</f>
        <v>4689</v>
      </c>
      <c r="D8" s="63"/>
      <c r="E8" s="63"/>
      <c r="F8" s="63"/>
      <c r="G8" s="49">
        <v>769.23076923076928</v>
      </c>
      <c r="H8" s="68">
        <v>2.3700000000000001E-3</v>
      </c>
      <c r="I8" s="67">
        <v>8</v>
      </c>
      <c r="J8" s="63"/>
      <c r="K8" s="67"/>
      <c r="L8" s="67"/>
      <c r="M8" s="67"/>
      <c r="N8" s="67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</row>
    <row r="9" spans="1:29" s="22" customFormat="1" x14ac:dyDescent="0.3">
      <c r="A9" s="66">
        <v>1</v>
      </c>
      <c r="B9" s="24" t="s">
        <v>95</v>
      </c>
      <c r="C9" s="63">
        <f>C7*5</f>
        <v>7815</v>
      </c>
      <c r="D9" s="63"/>
      <c r="E9" s="63"/>
      <c r="F9" s="63"/>
      <c r="G9" s="49">
        <v>562.5</v>
      </c>
      <c r="H9" s="24"/>
      <c r="I9" s="67">
        <v>9</v>
      </c>
      <c r="J9" s="63"/>
      <c r="K9" s="67"/>
      <c r="L9" s="67"/>
      <c r="M9" s="67"/>
      <c r="N9" s="67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</row>
    <row r="10" spans="1:29" s="22" customFormat="1" x14ac:dyDescent="0.3">
      <c r="A10" s="66">
        <v>1</v>
      </c>
      <c r="B10" s="24" t="s">
        <v>96</v>
      </c>
      <c r="C10" s="63">
        <f>C7*10</f>
        <v>15630</v>
      </c>
      <c r="D10" s="63"/>
      <c r="E10" s="63"/>
      <c r="F10" s="63"/>
      <c r="G10" s="49">
        <v>412.37113402061857</v>
      </c>
      <c r="H10" s="24"/>
      <c r="I10" s="67">
        <v>10</v>
      </c>
      <c r="J10" s="63"/>
      <c r="K10" s="67"/>
      <c r="L10" s="67"/>
      <c r="M10" s="67"/>
      <c r="N10" s="67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</row>
    <row r="11" spans="1:29" x14ac:dyDescent="0.3">
      <c r="A11" s="66">
        <v>2</v>
      </c>
      <c r="B11" s="24" t="s">
        <v>132</v>
      </c>
      <c r="C11" s="63">
        <v>1220</v>
      </c>
      <c r="D11" s="63"/>
      <c r="E11" s="63"/>
      <c r="F11" s="63"/>
      <c r="G11" s="49">
        <v>301.72413793103448</v>
      </c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</row>
    <row r="12" spans="1:29" x14ac:dyDescent="0.3">
      <c r="A12" s="66">
        <v>2</v>
      </c>
      <c r="B12" s="24" t="s">
        <v>133</v>
      </c>
      <c r="C12" s="63">
        <f>C11*3</f>
        <v>3660</v>
      </c>
      <c r="D12" s="63"/>
      <c r="E12" s="63"/>
      <c r="F12" s="63"/>
      <c r="G12" s="49">
        <v>237.22627737226276</v>
      </c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</row>
    <row r="13" spans="1:29" x14ac:dyDescent="0.3">
      <c r="A13" s="66">
        <v>2</v>
      </c>
      <c r="B13" s="24" t="s">
        <v>95</v>
      </c>
      <c r="C13" s="63">
        <f>C11*5</f>
        <v>6100</v>
      </c>
      <c r="D13" s="63"/>
      <c r="E13" s="63"/>
      <c r="F13" s="63"/>
      <c r="G13" s="49">
        <v>187.5</v>
      </c>
      <c r="H13" s="68">
        <v>5.6299999999999996E-3</v>
      </c>
      <c r="I13" s="67">
        <v>5</v>
      </c>
      <c r="J13" s="63"/>
      <c r="K13" s="67"/>
      <c r="L13" s="67"/>
      <c r="M13" s="67"/>
      <c r="N13" s="67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</row>
    <row r="14" spans="1:29" x14ac:dyDescent="0.3">
      <c r="A14" s="66">
        <v>2</v>
      </c>
      <c r="B14" s="24" t="s">
        <v>96</v>
      </c>
      <c r="C14" s="63">
        <f>C11*10</f>
        <v>12200</v>
      </c>
      <c r="D14" s="63"/>
      <c r="E14" s="63"/>
      <c r="F14" s="63"/>
      <c r="G14" s="49">
        <v>148.6486486486487</v>
      </c>
      <c r="H14" s="68">
        <v>4.1200000000000004E-3</v>
      </c>
      <c r="I14" s="67">
        <v>6</v>
      </c>
      <c r="J14" s="63"/>
      <c r="K14" s="67"/>
      <c r="L14" s="67">
        <v>563</v>
      </c>
      <c r="M14" s="67"/>
      <c r="N14" s="67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</row>
    <row r="15" spans="1:29" x14ac:dyDescent="0.3">
      <c r="A15" s="66">
        <v>3</v>
      </c>
      <c r="B15" s="24" t="s">
        <v>132</v>
      </c>
      <c r="C15" s="63">
        <v>962</v>
      </c>
      <c r="D15" s="63"/>
      <c r="E15" s="63"/>
      <c r="F15" s="63"/>
      <c r="G15" s="49">
        <v>117.9245283018868</v>
      </c>
      <c r="H15" s="68">
        <v>3.0200000000000001E-3</v>
      </c>
      <c r="I15" s="67">
        <v>7</v>
      </c>
      <c r="J15" s="63"/>
      <c r="K15" s="67"/>
      <c r="L15" s="67"/>
      <c r="M15" s="67"/>
      <c r="N15" s="67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</row>
    <row r="16" spans="1:29" x14ac:dyDescent="0.3">
      <c r="A16" s="66">
        <v>3</v>
      </c>
      <c r="B16" s="24" t="s">
        <v>133</v>
      </c>
      <c r="C16" s="63">
        <f>C15*3</f>
        <v>2886</v>
      </c>
      <c r="D16" s="63"/>
      <c r="E16" s="63"/>
      <c r="F16" s="63"/>
      <c r="G16" s="49">
        <v>93.360995850622402</v>
      </c>
      <c r="H16" s="68">
        <v>2.3700000000000001E-3</v>
      </c>
      <c r="I16" s="67">
        <v>8</v>
      </c>
      <c r="J16" s="63"/>
      <c r="K16" s="67"/>
      <c r="L16" s="67"/>
      <c r="M16" s="67"/>
      <c r="N16" s="67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</row>
    <row r="17" spans="1:29" x14ac:dyDescent="0.3">
      <c r="A17" s="66">
        <v>3</v>
      </c>
      <c r="B17" s="24" t="s">
        <v>95</v>
      </c>
      <c r="C17" s="63">
        <f>C15*5</f>
        <v>4810</v>
      </c>
      <c r="D17" s="63"/>
      <c r="E17" s="63"/>
      <c r="F17" s="63"/>
      <c r="G17" s="49">
        <v>73.529411764705884</v>
      </c>
      <c r="H17" s="24"/>
      <c r="I17" s="67">
        <v>9</v>
      </c>
      <c r="J17" s="63"/>
      <c r="K17" s="67"/>
      <c r="L17" s="67"/>
      <c r="M17" s="67"/>
      <c r="N17" s="67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</row>
    <row r="18" spans="1:29" x14ac:dyDescent="0.3">
      <c r="A18" s="66">
        <v>3</v>
      </c>
      <c r="B18" s="24" t="s">
        <v>96</v>
      </c>
      <c r="C18" s="63">
        <f>C15*10</f>
        <v>9620</v>
      </c>
      <c r="D18" s="63"/>
      <c r="E18" s="63"/>
      <c r="F18" s="63"/>
      <c r="G18" s="49">
        <v>59.016393442622963</v>
      </c>
      <c r="H18" s="24"/>
      <c r="I18" s="67">
        <v>10</v>
      </c>
      <c r="J18" s="63"/>
      <c r="K18" s="67"/>
      <c r="L18" s="67"/>
      <c r="M18" s="67"/>
      <c r="N18" s="67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</row>
    <row r="19" spans="1:29" x14ac:dyDescent="0.3">
      <c r="A19" s="66">
        <v>4</v>
      </c>
      <c r="B19" s="24" t="s">
        <v>132</v>
      </c>
      <c r="C19" s="63">
        <v>770</v>
      </c>
      <c r="D19" s="63"/>
      <c r="E19" s="63"/>
      <c r="F19" s="63"/>
      <c r="G19" s="49">
        <v>47.058823529411775</v>
      </c>
      <c r="H19" s="24"/>
      <c r="I19" s="67">
        <v>11</v>
      </c>
      <c r="J19" s="63"/>
      <c r="K19" s="67"/>
      <c r="L19" s="67"/>
      <c r="M19" s="67"/>
      <c r="N19" s="67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</row>
    <row r="20" spans="1:29" x14ac:dyDescent="0.3">
      <c r="A20" s="66">
        <v>4</v>
      </c>
      <c r="B20" s="24" t="s">
        <v>133</v>
      </c>
      <c r="C20" s="63">
        <f>C19*3</f>
        <v>2310</v>
      </c>
      <c r="D20" s="63"/>
      <c r="E20" s="63"/>
      <c r="F20" s="63"/>
      <c r="G20" s="49">
        <v>36.842105263157904</v>
      </c>
      <c r="H20" s="24"/>
      <c r="I20" s="67">
        <v>12</v>
      </c>
      <c r="J20" s="63"/>
      <c r="K20" s="67"/>
      <c r="L20" s="67"/>
      <c r="M20" s="67"/>
      <c r="N20" s="67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</row>
    <row r="21" spans="1:29" x14ac:dyDescent="0.3">
      <c r="A21" s="66">
        <v>4</v>
      </c>
      <c r="B21" s="24" t="s">
        <v>95</v>
      </c>
      <c r="C21" s="63">
        <f>C19*5</f>
        <v>3850</v>
      </c>
      <c r="D21" s="63"/>
      <c r="E21" s="63"/>
      <c r="F21" s="63"/>
      <c r="G21" s="49">
        <v>28.571428571428584</v>
      </c>
      <c r="H21" s="68"/>
      <c r="I21" s="67">
        <v>13</v>
      </c>
      <c r="J21" s="63"/>
      <c r="K21" s="67"/>
      <c r="L21" s="67"/>
      <c r="M21" s="67"/>
      <c r="N21" s="67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</row>
    <row r="22" spans="1:29" x14ac:dyDescent="0.3">
      <c r="A22" s="66">
        <v>4</v>
      </c>
      <c r="B22" s="24" t="s">
        <v>96</v>
      </c>
      <c r="C22" s="63">
        <f>C19*10</f>
        <v>7700</v>
      </c>
      <c r="D22" s="63"/>
      <c r="E22" s="63"/>
      <c r="F22" s="63"/>
      <c r="G22" s="49">
        <v>23.913043478260878</v>
      </c>
      <c r="H22" s="68">
        <v>5.9000000000000003E-4</v>
      </c>
      <c r="I22" s="67">
        <v>14</v>
      </c>
      <c r="J22" s="63"/>
      <c r="K22" s="67"/>
      <c r="L22" s="67"/>
      <c r="M22" s="67"/>
      <c r="N22" s="67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</row>
    <row r="23" spans="1:29" x14ac:dyDescent="0.3">
      <c r="A23" s="66">
        <v>5</v>
      </c>
      <c r="B23" s="24" t="s">
        <v>132</v>
      </c>
      <c r="C23" s="63">
        <v>563</v>
      </c>
      <c r="D23" s="63"/>
      <c r="E23" s="63"/>
      <c r="F23" s="63"/>
      <c r="G23" s="49">
        <v>20.000000000000011</v>
      </c>
      <c r="H23" s="68">
        <v>4.6999999999999999E-4</v>
      </c>
      <c r="I23" s="67">
        <v>15</v>
      </c>
      <c r="J23" s="63"/>
      <c r="K23" s="67"/>
      <c r="L23" s="67"/>
      <c r="M23" s="67"/>
      <c r="N23" s="67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</row>
    <row r="24" spans="1:29" x14ac:dyDescent="0.3">
      <c r="A24" s="66">
        <v>5</v>
      </c>
      <c r="B24" s="24" t="s">
        <v>133</v>
      </c>
      <c r="C24" s="63">
        <f>C23*3</f>
        <v>1689</v>
      </c>
      <c r="D24" s="63"/>
      <c r="E24" s="63"/>
      <c r="F24" s="63"/>
      <c r="G24" s="49">
        <v>16.363636363636367</v>
      </c>
      <c r="H24" s="68">
        <v>3.6999999999999999E-4</v>
      </c>
      <c r="I24" s="67">
        <v>16</v>
      </c>
      <c r="J24" s="63"/>
      <c r="K24" s="67"/>
      <c r="L24" s="67"/>
      <c r="M24" s="67"/>
      <c r="N24" s="67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</row>
    <row r="25" spans="1:29" x14ac:dyDescent="0.3">
      <c r="A25" s="66">
        <v>5</v>
      </c>
      <c r="B25" s="24" t="s">
        <v>95</v>
      </c>
      <c r="C25" s="63">
        <f>C23*5</f>
        <v>2815</v>
      </c>
      <c r="D25" s="63"/>
      <c r="E25" s="63"/>
      <c r="F25" s="63"/>
      <c r="G25" s="67"/>
      <c r="H25" s="68">
        <v>2.9E-4</v>
      </c>
      <c r="I25" s="67">
        <v>17</v>
      </c>
      <c r="J25" s="63"/>
      <c r="K25" s="67"/>
      <c r="L25" s="67">
        <v>10</v>
      </c>
      <c r="M25" s="67"/>
      <c r="N25" s="67">
        <v>562.5</v>
      </c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</row>
    <row r="26" spans="1:29" x14ac:dyDescent="0.3">
      <c r="A26" s="66">
        <v>5</v>
      </c>
      <c r="B26" s="24" t="s">
        <v>96</v>
      </c>
      <c r="C26" s="63">
        <f>C23*10</f>
        <v>5630</v>
      </c>
      <c r="D26" s="63"/>
      <c r="E26" s="63"/>
      <c r="F26" s="63"/>
      <c r="G26" s="67"/>
      <c r="H26" s="68">
        <v>2.4000000000000001E-4</v>
      </c>
      <c r="I26" s="67">
        <v>18</v>
      </c>
      <c r="J26" s="63"/>
      <c r="K26" s="67"/>
      <c r="L26" s="67">
        <v>30</v>
      </c>
      <c r="M26" s="67"/>
      <c r="N26" s="67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</row>
    <row r="27" spans="1:29" x14ac:dyDescent="0.3">
      <c r="A27" s="66">
        <v>6</v>
      </c>
      <c r="B27" s="24" t="s">
        <v>132</v>
      </c>
      <c r="C27" s="63">
        <v>413</v>
      </c>
      <c r="D27" s="63"/>
      <c r="E27" s="63"/>
      <c r="F27" s="63"/>
      <c r="G27" s="67"/>
      <c r="H27" s="68">
        <v>2.0000000000000001E-4</v>
      </c>
      <c r="I27" s="67">
        <v>19</v>
      </c>
      <c r="J27" s="63"/>
      <c r="K27" s="67"/>
      <c r="L27" s="67"/>
      <c r="M27" s="67"/>
      <c r="N27" s="67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</row>
    <row r="28" spans="1:29" x14ac:dyDescent="0.3">
      <c r="A28" s="66">
        <v>6</v>
      </c>
      <c r="B28" s="24" t="s">
        <v>133</v>
      </c>
      <c r="C28" s="63">
        <f>C27*3</f>
        <v>1239</v>
      </c>
      <c r="D28" s="63"/>
      <c r="E28" s="63"/>
      <c r="F28" s="63"/>
      <c r="G28" s="67"/>
      <c r="H28" s="67"/>
      <c r="I28" s="67"/>
      <c r="J28" s="63"/>
      <c r="K28" s="67"/>
      <c r="L28" s="67"/>
      <c r="M28" s="67"/>
      <c r="N28" s="67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</row>
    <row r="29" spans="1:29" x14ac:dyDescent="0.3">
      <c r="A29" s="66">
        <v>6</v>
      </c>
      <c r="B29" s="24" t="s">
        <v>95</v>
      </c>
      <c r="C29" s="63">
        <f>C27*5</f>
        <v>2065</v>
      </c>
      <c r="D29" s="63"/>
      <c r="E29" s="63"/>
      <c r="F29" s="63"/>
      <c r="G29" s="67" t="s">
        <v>1334</v>
      </c>
      <c r="H29" s="67"/>
      <c r="I29" s="67"/>
      <c r="J29" s="63"/>
      <c r="K29" s="67"/>
      <c r="L29" s="67"/>
      <c r="M29" s="67"/>
      <c r="N29" s="67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</row>
    <row r="30" spans="1:29" x14ac:dyDescent="0.3">
      <c r="A30" s="66">
        <v>6</v>
      </c>
      <c r="B30" s="24" t="s">
        <v>96</v>
      </c>
      <c r="C30" s="63">
        <f>C27*10</f>
        <v>4130</v>
      </c>
      <c r="D30" s="63"/>
      <c r="E30" s="63"/>
      <c r="F30" s="63"/>
      <c r="G30" s="67" t="s">
        <v>1335</v>
      </c>
      <c r="H30" s="67">
        <v>10</v>
      </c>
      <c r="I30" s="67"/>
      <c r="J30" s="63"/>
      <c r="K30" s="67"/>
      <c r="L30" s="67"/>
      <c r="M30" s="67"/>
      <c r="N30" s="67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</row>
    <row r="31" spans="1:29" x14ac:dyDescent="0.3">
      <c r="A31" s="66">
        <v>7</v>
      </c>
      <c r="B31" s="24" t="s">
        <v>132</v>
      </c>
      <c r="C31" s="63">
        <v>302</v>
      </c>
      <c r="D31" s="63"/>
      <c r="E31" s="63"/>
      <c r="F31" s="63"/>
      <c r="G31" s="67" t="s">
        <v>1336</v>
      </c>
      <c r="H31" s="67">
        <v>30</v>
      </c>
      <c r="I31" s="67"/>
      <c r="J31" s="63"/>
      <c r="K31" s="67"/>
      <c r="L31" s="67"/>
      <c r="M31" s="67"/>
      <c r="N31" s="67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</row>
    <row r="32" spans="1:29" x14ac:dyDescent="0.3">
      <c r="A32" s="66">
        <v>7</v>
      </c>
      <c r="B32" s="24" t="s">
        <v>133</v>
      </c>
      <c r="C32" s="63">
        <f>C31*3</f>
        <v>906</v>
      </c>
      <c r="D32" s="63"/>
      <c r="E32" s="63"/>
      <c r="F32" s="63"/>
      <c r="G32" s="67" t="s">
        <v>1337</v>
      </c>
      <c r="H32" s="67">
        <v>50</v>
      </c>
      <c r="I32" s="67"/>
      <c r="J32" s="63"/>
      <c r="K32" s="67"/>
      <c r="L32" s="67"/>
      <c r="M32" s="67"/>
      <c r="N32" s="67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</row>
    <row r="33" spans="1:29" x14ac:dyDescent="0.3">
      <c r="A33" s="66">
        <v>7</v>
      </c>
      <c r="B33" s="24" t="s">
        <v>95</v>
      </c>
      <c r="C33" s="63">
        <f>C31*5</f>
        <v>1510</v>
      </c>
      <c r="D33" s="63"/>
      <c r="E33" s="63"/>
      <c r="F33" s="63"/>
      <c r="G33" s="67" t="s">
        <v>1338</v>
      </c>
      <c r="H33" s="67">
        <v>100</v>
      </c>
      <c r="I33" s="67"/>
      <c r="J33" s="63"/>
      <c r="K33" s="67"/>
      <c r="L33" s="67"/>
      <c r="M33" s="67"/>
      <c r="N33" s="67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</row>
    <row r="34" spans="1:29" x14ac:dyDescent="0.3">
      <c r="A34" s="66">
        <v>7</v>
      </c>
      <c r="B34" s="24" t="s">
        <v>96</v>
      </c>
      <c r="C34" s="63">
        <f>C31*10</f>
        <v>3020</v>
      </c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</row>
    <row r="35" spans="1:29" x14ac:dyDescent="0.3">
      <c r="A35" s="66">
        <v>8</v>
      </c>
      <c r="B35" s="24" t="s">
        <v>132</v>
      </c>
      <c r="C35" s="63">
        <v>238</v>
      </c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</row>
    <row r="36" spans="1:29" x14ac:dyDescent="0.3">
      <c r="A36" s="66">
        <v>8</v>
      </c>
      <c r="B36" s="24" t="s">
        <v>133</v>
      </c>
      <c r="C36" s="63">
        <f>C35*3</f>
        <v>714</v>
      </c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</row>
    <row r="37" spans="1:29" x14ac:dyDescent="0.3">
      <c r="A37" s="66">
        <v>8</v>
      </c>
      <c r="B37" s="24" t="s">
        <v>95</v>
      </c>
      <c r="C37" s="63">
        <f>C35*5</f>
        <v>1190</v>
      </c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</row>
    <row r="38" spans="1:29" x14ac:dyDescent="0.3">
      <c r="A38" s="66">
        <v>8</v>
      </c>
      <c r="B38" s="24" t="s">
        <v>96</v>
      </c>
      <c r="C38" s="63">
        <f>C35*10</f>
        <v>2380</v>
      </c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</row>
    <row r="39" spans="1:29" s="22" customFormat="1" x14ac:dyDescent="0.3">
      <c r="A39" s="66">
        <v>9</v>
      </c>
      <c r="B39" s="24" t="s">
        <v>132</v>
      </c>
      <c r="C39" s="63">
        <v>188</v>
      </c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</row>
    <row r="40" spans="1:29" x14ac:dyDescent="0.3">
      <c r="A40" s="66">
        <v>9</v>
      </c>
      <c r="B40" s="24" t="s">
        <v>133</v>
      </c>
      <c r="C40" s="63">
        <f>188*3</f>
        <v>564</v>
      </c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</row>
    <row r="41" spans="1:29" x14ac:dyDescent="0.3">
      <c r="A41" s="66">
        <v>9</v>
      </c>
      <c r="B41" s="24" t="s">
        <v>95</v>
      </c>
      <c r="C41" s="63">
        <f>188*5</f>
        <v>940</v>
      </c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</row>
    <row r="42" spans="1:29" x14ac:dyDescent="0.3">
      <c r="A42" s="66">
        <v>9</v>
      </c>
      <c r="B42" s="24" t="s">
        <v>96</v>
      </c>
      <c r="C42" s="63">
        <f>188*10</f>
        <v>1880</v>
      </c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</row>
    <row r="43" spans="1:29" s="72" customFormat="1" x14ac:dyDescent="0.3">
      <c r="A43" s="69">
        <v>10</v>
      </c>
      <c r="B43" s="70" t="s">
        <v>133</v>
      </c>
      <c r="C43" s="71">
        <f>149*3</f>
        <v>447</v>
      </c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</row>
    <row r="44" spans="1:29" s="72" customFormat="1" x14ac:dyDescent="0.3">
      <c r="A44" s="69">
        <v>10</v>
      </c>
      <c r="B44" s="70" t="s">
        <v>95</v>
      </c>
      <c r="C44" s="71">
        <f>149*5</f>
        <v>745</v>
      </c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</row>
    <row r="45" spans="1:29" s="72" customFormat="1" x14ac:dyDescent="0.3">
      <c r="A45" s="69">
        <v>10</v>
      </c>
      <c r="B45" s="70" t="s">
        <v>96</v>
      </c>
      <c r="C45" s="71">
        <f>149*10</f>
        <v>1490</v>
      </c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</row>
    <row r="46" spans="1:29" s="72" customFormat="1" x14ac:dyDescent="0.3">
      <c r="A46" s="69">
        <v>11</v>
      </c>
      <c r="B46" s="70" t="s">
        <v>133</v>
      </c>
      <c r="C46" s="71">
        <f>118*3</f>
        <v>354</v>
      </c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</row>
    <row r="47" spans="1:29" s="72" customFormat="1" x14ac:dyDescent="0.3">
      <c r="A47" s="69">
        <v>11</v>
      </c>
      <c r="B47" s="70" t="s">
        <v>95</v>
      </c>
      <c r="C47" s="71">
        <f>118*5</f>
        <v>590</v>
      </c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</row>
    <row r="48" spans="1:29" s="72" customFormat="1" x14ac:dyDescent="0.3">
      <c r="A48" s="69">
        <v>11</v>
      </c>
      <c r="B48" s="70" t="s">
        <v>96</v>
      </c>
      <c r="C48" s="71">
        <f>118*10</f>
        <v>1180</v>
      </c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</row>
    <row r="49" spans="1:29" s="72" customFormat="1" x14ac:dyDescent="0.3">
      <c r="A49" s="69">
        <v>12</v>
      </c>
      <c r="B49" s="70" t="s">
        <v>133</v>
      </c>
      <c r="C49" s="71">
        <v>282</v>
      </c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</row>
    <row r="50" spans="1:29" s="72" customFormat="1" x14ac:dyDescent="0.3">
      <c r="A50" s="69">
        <v>12</v>
      </c>
      <c r="B50" s="70" t="s">
        <v>95</v>
      </c>
      <c r="C50" s="71">
        <v>470</v>
      </c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</row>
    <row r="51" spans="1:29" s="72" customFormat="1" x14ac:dyDescent="0.3">
      <c r="A51" s="69">
        <v>12</v>
      </c>
      <c r="B51" s="70" t="s">
        <v>96</v>
      </c>
      <c r="C51" s="71">
        <v>940</v>
      </c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</row>
    <row r="52" spans="1:29" s="72" customFormat="1" x14ac:dyDescent="0.3">
      <c r="A52" s="69">
        <v>13</v>
      </c>
      <c r="B52" s="70" t="s">
        <v>133</v>
      </c>
      <c r="C52" s="71">
        <f>74*3</f>
        <v>222</v>
      </c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</row>
    <row r="53" spans="1:29" s="72" customFormat="1" x14ac:dyDescent="0.3">
      <c r="A53" s="69">
        <v>13</v>
      </c>
      <c r="B53" s="70" t="s">
        <v>95</v>
      </c>
      <c r="C53" s="71">
        <f>74*5</f>
        <v>370</v>
      </c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</row>
    <row r="54" spans="1:29" s="72" customFormat="1" x14ac:dyDescent="0.3">
      <c r="A54" s="69">
        <v>13</v>
      </c>
      <c r="B54" s="70" t="s">
        <v>96</v>
      </c>
      <c r="C54" s="71">
        <f>74*10</f>
        <v>740</v>
      </c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</row>
    <row r="55" spans="1:29" s="72" customFormat="1" x14ac:dyDescent="0.3">
      <c r="A55" s="69">
        <v>14</v>
      </c>
      <c r="B55" s="70" t="s">
        <v>133</v>
      </c>
      <c r="C55" s="71">
        <v>178</v>
      </c>
      <c r="E55" s="72">
        <f>592/10</f>
        <v>59.2</v>
      </c>
      <c r="F55" s="72">
        <f>E55*3</f>
        <v>177.60000000000002</v>
      </c>
      <c r="J55" s="71"/>
    </row>
    <row r="56" spans="1:29" s="72" customFormat="1" x14ac:dyDescent="0.3">
      <c r="A56" s="69">
        <v>14</v>
      </c>
      <c r="B56" s="70" t="s">
        <v>95</v>
      </c>
      <c r="C56" s="71">
        <v>296</v>
      </c>
      <c r="J56" s="71"/>
    </row>
    <row r="57" spans="1:29" s="72" customFormat="1" x14ac:dyDescent="0.3">
      <c r="A57" s="69">
        <v>14</v>
      </c>
      <c r="B57" s="70" t="s">
        <v>96</v>
      </c>
      <c r="C57" s="71">
        <v>592</v>
      </c>
      <c r="J57" s="71"/>
    </row>
    <row r="58" spans="1:29" s="76" customFormat="1" x14ac:dyDescent="0.3">
      <c r="A58" s="73">
        <v>15</v>
      </c>
      <c r="B58" s="74" t="s">
        <v>95</v>
      </c>
      <c r="C58" s="75">
        <v>240</v>
      </c>
      <c r="J58" s="75"/>
    </row>
    <row r="59" spans="1:29" s="76" customFormat="1" x14ac:dyDescent="0.3">
      <c r="A59" s="73">
        <v>15</v>
      </c>
      <c r="B59" s="74" t="s">
        <v>96</v>
      </c>
      <c r="C59" s="75">
        <v>480</v>
      </c>
      <c r="J59" s="75"/>
    </row>
    <row r="60" spans="1:29" s="76" customFormat="1" x14ac:dyDescent="0.3">
      <c r="A60" s="73">
        <v>16</v>
      </c>
      <c r="B60" s="74" t="s">
        <v>1343</v>
      </c>
      <c r="C60" s="75">
        <v>185</v>
      </c>
      <c r="J60" s="75"/>
    </row>
    <row r="61" spans="1:29" s="76" customFormat="1" x14ac:dyDescent="0.3">
      <c r="A61" s="73">
        <v>16</v>
      </c>
      <c r="B61" s="74" t="s">
        <v>96</v>
      </c>
      <c r="C61" s="75">
        <v>370</v>
      </c>
      <c r="J61" s="75"/>
    </row>
    <row r="62" spans="1:29" x14ac:dyDescent="0.3">
      <c r="A62" s="66">
        <v>17</v>
      </c>
      <c r="B62" s="24" t="s">
        <v>96</v>
      </c>
      <c r="C62" s="63">
        <v>290</v>
      </c>
      <c r="J62" s="63"/>
    </row>
    <row r="63" spans="1:29" x14ac:dyDescent="0.3">
      <c r="A63" s="66">
        <v>18</v>
      </c>
      <c r="B63" s="24" t="s">
        <v>96</v>
      </c>
      <c r="C63" s="63">
        <v>240</v>
      </c>
      <c r="J63" s="63"/>
    </row>
    <row r="64" spans="1:29" x14ac:dyDescent="0.3">
      <c r="A64" s="66">
        <v>19</v>
      </c>
      <c r="B64" s="24" t="s">
        <v>96</v>
      </c>
      <c r="C64" s="63">
        <v>200</v>
      </c>
      <c r="J64" s="63"/>
    </row>
    <row r="65" spans="1:1" x14ac:dyDescent="0.3">
      <c r="A65" s="66"/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</sheetPr>
  <dimension ref="A1:AC24"/>
  <sheetViews>
    <sheetView tabSelected="1" workbookViewId="0">
      <selection activeCell="D18" sqref="D18"/>
    </sheetView>
  </sheetViews>
  <sheetFormatPr defaultRowHeight="16.5" x14ac:dyDescent="0.3"/>
  <cols>
    <col min="1" max="1" width="6.5" customWidth="1"/>
    <col min="2" max="2" width="8.75" customWidth="1"/>
    <col min="3" max="3" width="9.5" customWidth="1"/>
    <col min="5" max="5" width="13" bestFit="1" customWidth="1"/>
    <col min="6" max="6" width="21.5" bestFit="1" customWidth="1"/>
    <col min="13" max="13" width="13.125" bestFit="1" customWidth="1"/>
  </cols>
  <sheetData>
    <row r="1" spans="1:29" s="18" customFormat="1" ht="100.5" customHeight="1" x14ac:dyDescent="0.3">
      <c r="A1" s="17" t="s">
        <v>74</v>
      </c>
      <c r="B1" s="17" t="s">
        <v>97</v>
      </c>
      <c r="C1" s="17" t="s">
        <v>98</v>
      </c>
      <c r="D1" s="17" t="s">
        <v>1339</v>
      </c>
      <c r="E1" s="17" t="s">
        <v>7</v>
      </c>
      <c r="F1" s="17" t="s">
        <v>111</v>
      </c>
      <c r="G1" s="17" t="s">
        <v>1449</v>
      </c>
      <c r="H1" s="17"/>
      <c r="I1" s="17"/>
      <c r="J1" s="17"/>
      <c r="K1" s="17"/>
      <c r="L1" s="17"/>
    </row>
    <row r="2" spans="1:29" s="59" customFormat="1" ht="17.25" customHeight="1" x14ac:dyDescent="0.3">
      <c r="A2" s="56"/>
      <c r="B2" s="56"/>
      <c r="C2" s="56" t="s">
        <v>1314</v>
      </c>
      <c r="D2" s="56" t="s">
        <v>1314</v>
      </c>
      <c r="E2" s="56" t="s">
        <v>1314</v>
      </c>
      <c r="F2" s="57" t="s">
        <v>1316</v>
      </c>
      <c r="G2" s="57"/>
      <c r="H2" s="57"/>
      <c r="I2" s="57"/>
      <c r="J2" s="58"/>
      <c r="K2" s="58"/>
      <c r="L2" s="57"/>
      <c r="M2" s="57"/>
      <c r="N2" s="57"/>
      <c r="O2" s="57"/>
      <c r="P2" s="58"/>
      <c r="Q2" s="58"/>
      <c r="R2" s="57"/>
      <c r="S2" s="57"/>
      <c r="T2" s="57"/>
      <c r="U2" s="57"/>
      <c r="V2" s="58"/>
      <c r="W2" s="58"/>
      <c r="X2" s="57"/>
      <c r="Y2" s="57"/>
      <c r="Z2" s="57"/>
      <c r="AA2" s="57"/>
      <c r="AB2" s="58"/>
      <c r="AC2" s="58"/>
    </row>
    <row r="3" spans="1:29" x14ac:dyDescent="0.3">
      <c r="A3" s="16">
        <v>0</v>
      </c>
      <c r="B3" s="39">
        <v>0</v>
      </c>
      <c r="C3" s="24">
        <v>500</v>
      </c>
      <c r="D3" s="77">
        <v>10000</v>
      </c>
      <c r="E3" s="24">
        <f>G3*0.8</f>
        <v>400000</v>
      </c>
      <c r="F3" s="25"/>
      <c r="G3" s="24">
        <v>500000</v>
      </c>
      <c r="H3" s="32"/>
      <c r="I3" s="32"/>
      <c r="J3" s="22"/>
      <c r="K3" s="49"/>
      <c r="L3" s="49"/>
      <c r="M3" s="39"/>
    </row>
    <row r="4" spans="1:29" x14ac:dyDescent="0.3">
      <c r="A4" s="16">
        <v>1</v>
      </c>
      <c r="B4" s="39">
        <v>30</v>
      </c>
      <c r="C4" s="24">
        <v>640</v>
      </c>
      <c r="D4" s="77">
        <v>10000</v>
      </c>
      <c r="E4" s="24">
        <f t="shared" ref="E4:E23" si="0">G4*0.8</f>
        <v>800000</v>
      </c>
      <c r="F4" s="25"/>
      <c r="G4" s="24">
        <v>1000000</v>
      </c>
      <c r="H4" s="32"/>
      <c r="I4" s="32"/>
      <c r="J4" s="50"/>
      <c r="K4" s="24"/>
      <c r="L4" s="16"/>
      <c r="M4" s="39"/>
    </row>
    <row r="5" spans="1:29" x14ac:dyDescent="0.3">
      <c r="A5" s="16">
        <v>2</v>
      </c>
      <c r="B5" s="39">
        <v>60</v>
      </c>
      <c r="C5" s="24">
        <v>820</v>
      </c>
      <c r="D5" s="77">
        <v>10000</v>
      </c>
      <c r="E5" s="24">
        <f t="shared" si="0"/>
        <v>1200000</v>
      </c>
      <c r="F5" s="25"/>
      <c r="G5" s="24">
        <v>1500000</v>
      </c>
      <c r="H5" s="32"/>
      <c r="I5" s="32"/>
      <c r="J5" s="50"/>
      <c r="K5" s="24"/>
      <c r="L5" s="24"/>
      <c r="M5" s="39"/>
    </row>
    <row r="6" spans="1:29" x14ac:dyDescent="0.3">
      <c r="A6" s="16">
        <v>3</v>
      </c>
      <c r="B6" s="39">
        <v>90</v>
      </c>
      <c r="C6" s="24">
        <v>1040</v>
      </c>
      <c r="D6" s="77">
        <v>10000</v>
      </c>
      <c r="E6" s="24">
        <f t="shared" si="0"/>
        <v>1600000</v>
      </c>
      <c r="F6" s="25"/>
      <c r="G6" s="24">
        <v>2000000</v>
      </c>
      <c r="H6" s="32"/>
      <c r="I6" s="32"/>
      <c r="J6" s="50"/>
      <c r="K6" s="24"/>
      <c r="L6" s="24"/>
      <c r="M6" s="39"/>
    </row>
    <row r="7" spans="1:29" x14ac:dyDescent="0.3">
      <c r="A7" s="16">
        <v>4</v>
      </c>
      <c r="B7" s="39">
        <v>120</v>
      </c>
      <c r="C7" s="24">
        <v>1300</v>
      </c>
      <c r="D7" s="77">
        <v>10000</v>
      </c>
      <c r="E7" s="24">
        <f t="shared" si="0"/>
        <v>2000000</v>
      </c>
      <c r="F7" s="25"/>
      <c r="G7" s="24">
        <v>2500000</v>
      </c>
      <c r="H7" s="32"/>
      <c r="I7" s="32"/>
      <c r="J7" s="22"/>
      <c r="K7" s="24"/>
      <c r="L7" s="24"/>
      <c r="M7" s="39"/>
    </row>
    <row r="8" spans="1:29" x14ac:dyDescent="0.3">
      <c r="A8" s="16">
        <v>5</v>
      </c>
      <c r="B8" s="39">
        <v>160</v>
      </c>
      <c r="C8" s="24">
        <v>1600</v>
      </c>
      <c r="D8" s="77">
        <v>9008</v>
      </c>
      <c r="E8" s="24">
        <f t="shared" si="0"/>
        <v>2400000</v>
      </c>
      <c r="F8" s="25"/>
      <c r="G8" s="24">
        <v>3000000</v>
      </c>
      <c r="H8" s="32"/>
      <c r="I8" s="32"/>
      <c r="J8" s="22"/>
      <c r="K8" s="24"/>
      <c r="L8" s="24"/>
      <c r="M8" s="39"/>
    </row>
    <row r="9" spans="1:29" x14ac:dyDescent="0.3">
      <c r="A9" s="16">
        <v>6</v>
      </c>
      <c r="B9" s="39">
        <v>240</v>
      </c>
      <c r="C9" s="24">
        <v>1940</v>
      </c>
      <c r="D9" s="77">
        <v>8012</v>
      </c>
      <c r="E9" s="24">
        <f t="shared" si="0"/>
        <v>2800000</v>
      </c>
      <c r="F9" s="25"/>
      <c r="G9" s="24">
        <v>3500000</v>
      </c>
      <c r="H9" s="32"/>
      <c r="I9" s="32"/>
      <c r="J9" s="22"/>
      <c r="K9" s="24"/>
      <c r="L9" s="24"/>
      <c r="M9" s="39"/>
    </row>
    <row r="10" spans="1:29" x14ac:dyDescent="0.3">
      <c r="A10" s="19">
        <v>7</v>
      </c>
      <c r="B10" s="39">
        <v>320</v>
      </c>
      <c r="C10" s="24">
        <v>2320</v>
      </c>
      <c r="D10" s="77">
        <v>7006</v>
      </c>
      <c r="E10" s="24">
        <f t="shared" si="0"/>
        <v>3200000</v>
      </c>
      <c r="F10" s="25"/>
      <c r="G10" s="24">
        <v>4000000</v>
      </c>
      <c r="H10" s="32"/>
      <c r="I10" s="32"/>
      <c r="J10" s="22"/>
      <c r="K10" s="24"/>
      <c r="L10" s="24"/>
      <c r="M10" s="39"/>
    </row>
    <row r="11" spans="1:29" x14ac:dyDescent="0.3">
      <c r="A11" s="16">
        <v>8</v>
      </c>
      <c r="B11" s="39">
        <v>420</v>
      </c>
      <c r="C11" s="24">
        <v>2740</v>
      </c>
      <c r="D11" s="77">
        <v>6521</v>
      </c>
      <c r="E11" s="24">
        <f t="shared" si="0"/>
        <v>3600000</v>
      </c>
      <c r="F11" s="25"/>
      <c r="G11" s="24">
        <v>4500000</v>
      </c>
      <c r="H11" s="32"/>
      <c r="I11" s="32"/>
      <c r="J11" s="22"/>
      <c r="K11" s="24"/>
      <c r="L11" s="24"/>
      <c r="M11" s="39"/>
    </row>
    <row r="12" spans="1:29" x14ac:dyDescent="0.3">
      <c r="A12" s="16">
        <v>9</v>
      </c>
      <c r="B12" s="39">
        <v>520</v>
      </c>
      <c r="C12" s="24">
        <v>3200</v>
      </c>
      <c r="D12" s="77">
        <v>6016</v>
      </c>
      <c r="E12" s="24">
        <f t="shared" si="0"/>
        <v>4000000</v>
      </c>
      <c r="F12" s="25"/>
      <c r="G12" s="24">
        <v>5000000</v>
      </c>
      <c r="H12" s="32"/>
      <c r="I12" s="32"/>
      <c r="J12" s="22"/>
      <c r="K12" s="24"/>
      <c r="L12" s="24"/>
      <c r="M12" s="39"/>
    </row>
    <row r="13" spans="1:29" x14ac:dyDescent="0.3">
      <c r="A13" s="16">
        <v>10</v>
      </c>
      <c r="B13" s="39">
        <v>620</v>
      </c>
      <c r="C13" s="24">
        <v>3700</v>
      </c>
      <c r="D13" s="77">
        <v>5513</v>
      </c>
      <c r="E13" s="24">
        <f t="shared" si="0"/>
        <v>4400000</v>
      </c>
      <c r="F13" s="25" t="s">
        <v>843</v>
      </c>
      <c r="G13" s="24">
        <v>5500000</v>
      </c>
      <c r="H13" s="32"/>
      <c r="I13" s="32"/>
      <c r="J13" s="22"/>
      <c r="K13" s="24"/>
      <c r="L13" s="24"/>
      <c r="M13" s="39"/>
    </row>
    <row r="14" spans="1:29" x14ac:dyDescent="0.3">
      <c r="A14" s="16">
        <v>11</v>
      </c>
      <c r="B14" s="39">
        <v>820</v>
      </c>
      <c r="C14" s="24">
        <v>4240</v>
      </c>
      <c r="D14" s="77">
        <v>5003</v>
      </c>
      <c r="E14" s="24">
        <f t="shared" si="0"/>
        <v>4800000</v>
      </c>
      <c r="F14" s="25" t="s">
        <v>843</v>
      </c>
      <c r="G14" s="24">
        <v>6000000</v>
      </c>
      <c r="H14" s="32"/>
      <c r="I14" s="32"/>
      <c r="J14" s="22"/>
      <c r="K14" s="24"/>
      <c r="L14" s="24"/>
      <c r="M14" s="39"/>
    </row>
    <row r="15" spans="1:29" x14ac:dyDescent="0.3">
      <c r="A15" s="16">
        <v>12</v>
      </c>
      <c r="B15" s="39">
        <v>1040</v>
      </c>
      <c r="C15" s="24">
        <v>4820</v>
      </c>
      <c r="D15" s="77">
        <v>4530</v>
      </c>
      <c r="E15" s="24">
        <f t="shared" si="0"/>
        <v>5200000</v>
      </c>
      <c r="F15" s="25" t="s">
        <v>843</v>
      </c>
      <c r="G15" s="24">
        <v>6500000</v>
      </c>
      <c r="H15" s="32"/>
      <c r="I15" s="32"/>
      <c r="J15" s="22"/>
      <c r="K15" s="24"/>
      <c r="L15" s="24"/>
      <c r="M15" s="39"/>
    </row>
    <row r="16" spans="1:29" x14ac:dyDescent="0.3">
      <c r="A16" s="16">
        <v>13</v>
      </c>
      <c r="B16" s="39">
        <v>1280</v>
      </c>
      <c r="C16" s="24">
        <v>5440</v>
      </c>
      <c r="D16" s="77">
        <v>4025</v>
      </c>
      <c r="E16" s="24">
        <f t="shared" si="0"/>
        <v>5600000</v>
      </c>
      <c r="F16" s="25" t="s">
        <v>843</v>
      </c>
      <c r="G16" s="24">
        <v>7000000</v>
      </c>
      <c r="H16" s="32"/>
      <c r="I16" s="32"/>
      <c r="J16" s="22"/>
      <c r="K16" s="24"/>
      <c r="L16" s="24"/>
      <c r="M16" s="39"/>
    </row>
    <row r="17" spans="1:13" x14ac:dyDescent="0.3">
      <c r="A17" s="16">
        <v>14</v>
      </c>
      <c r="B17" s="39">
        <v>1550</v>
      </c>
      <c r="C17" s="24">
        <v>6100</v>
      </c>
      <c r="D17" s="77">
        <v>3612</v>
      </c>
      <c r="E17" s="24">
        <f t="shared" si="0"/>
        <v>6000000</v>
      </c>
      <c r="F17" s="25" t="s">
        <v>843</v>
      </c>
      <c r="G17" s="24">
        <v>7500000</v>
      </c>
      <c r="H17" s="32"/>
      <c r="I17" s="32"/>
      <c r="J17" s="22"/>
      <c r="K17" s="24"/>
      <c r="L17" s="24"/>
      <c r="M17" s="39"/>
    </row>
    <row r="18" spans="1:13" x14ac:dyDescent="0.3">
      <c r="A18" s="16">
        <v>15</v>
      </c>
      <c r="B18" s="39">
        <v>1860</v>
      </c>
      <c r="C18" s="24">
        <v>6800</v>
      </c>
      <c r="D18" s="77">
        <v>3264</v>
      </c>
      <c r="E18" s="24">
        <f t="shared" si="0"/>
        <v>6400000</v>
      </c>
      <c r="F18" s="25" t="s">
        <v>869</v>
      </c>
      <c r="G18" s="24">
        <v>8000000</v>
      </c>
      <c r="H18" s="32"/>
      <c r="I18" s="32"/>
      <c r="J18" s="22"/>
      <c r="K18" s="24"/>
      <c r="L18" s="24"/>
      <c r="M18" s="39"/>
    </row>
    <row r="19" spans="1:13" x14ac:dyDescent="0.3">
      <c r="A19" s="16">
        <v>16</v>
      </c>
      <c r="B19" s="39">
        <v>2430</v>
      </c>
      <c r="C19" s="24">
        <v>7600</v>
      </c>
      <c r="D19" s="77">
        <v>2812</v>
      </c>
      <c r="E19" s="24">
        <f t="shared" si="0"/>
        <v>6800000</v>
      </c>
      <c r="F19" s="25" t="s">
        <v>869</v>
      </c>
      <c r="G19" s="24">
        <v>8500000</v>
      </c>
      <c r="H19" s="32"/>
      <c r="I19" s="32"/>
      <c r="J19" s="22"/>
      <c r="K19" s="24"/>
      <c r="L19" s="24"/>
      <c r="M19" s="39"/>
    </row>
    <row r="20" spans="1:13" x14ac:dyDescent="0.3">
      <c r="A20" s="16">
        <v>17</v>
      </c>
      <c r="B20" s="39">
        <v>3120</v>
      </c>
      <c r="C20" s="24">
        <v>8400</v>
      </c>
      <c r="D20" s="77">
        <v>2436</v>
      </c>
      <c r="E20" s="24">
        <f t="shared" si="0"/>
        <v>7200000</v>
      </c>
      <c r="F20" s="25" t="s">
        <v>870</v>
      </c>
      <c r="G20" s="24">
        <v>9000000</v>
      </c>
      <c r="H20" s="32"/>
      <c r="I20" s="32"/>
      <c r="J20" s="22"/>
      <c r="K20" s="24"/>
      <c r="L20" s="24"/>
      <c r="M20" s="39"/>
    </row>
    <row r="21" spans="1:13" x14ac:dyDescent="0.3">
      <c r="A21" s="16">
        <v>18</v>
      </c>
      <c r="B21" s="39">
        <v>3950</v>
      </c>
      <c r="C21" s="24">
        <v>9200</v>
      </c>
      <c r="D21" s="77">
        <v>2208</v>
      </c>
      <c r="E21" s="24">
        <f t="shared" si="0"/>
        <v>7600000</v>
      </c>
      <c r="F21" s="25" t="s">
        <v>870</v>
      </c>
      <c r="G21" s="24">
        <v>9500000</v>
      </c>
      <c r="H21" s="32"/>
      <c r="I21" s="32"/>
      <c r="J21" s="22"/>
      <c r="K21" s="24"/>
      <c r="L21" s="24"/>
      <c r="M21" s="39"/>
    </row>
    <row r="22" spans="1:13" x14ac:dyDescent="0.3">
      <c r="A22" s="16">
        <v>19</v>
      </c>
      <c r="B22" s="39">
        <v>4940</v>
      </c>
      <c r="C22" s="24">
        <v>10000</v>
      </c>
      <c r="D22" s="77">
        <v>2000</v>
      </c>
      <c r="E22" s="24">
        <f t="shared" si="0"/>
        <v>8000000</v>
      </c>
      <c r="F22" s="25" t="s">
        <v>870</v>
      </c>
      <c r="G22" s="24">
        <v>10000000</v>
      </c>
      <c r="H22" s="32"/>
      <c r="I22" s="32"/>
      <c r="J22" s="22"/>
      <c r="K22" s="24"/>
      <c r="L22" s="24"/>
      <c r="M22" s="39"/>
    </row>
    <row r="23" spans="1:13" x14ac:dyDescent="0.3">
      <c r="A23" s="16">
        <v>20</v>
      </c>
      <c r="B23" s="39">
        <v>6130</v>
      </c>
      <c r="C23" s="16">
        <v>11000</v>
      </c>
      <c r="D23" s="77">
        <v>1800</v>
      </c>
      <c r="E23" s="24">
        <f t="shared" si="0"/>
        <v>8800000</v>
      </c>
      <c r="F23" s="25" t="s">
        <v>870</v>
      </c>
      <c r="G23" s="24">
        <v>11000000</v>
      </c>
      <c r="H23" s="32"/>
      <c r="I23" s="32"/>
      <c r="J23" s="22"/>
      <c r="K23" s="24"/>
      <c r="L23" s="24"/>
      <c r="M23" s="39"/>
    </row>
    <row r="24" spans="1:13" x14ac:dyDescent="0.3">
      <c r="A24" s="24"/>
      <c r="E24" s="41"/>
    </row>
  </sheetData>
  <phoneticPr fontId="10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C105"/>
  <sheetViews>
    <sheetView topLeftCell="A15" zoomScaleNormal="100" workbookViewId="0">
      <selection activeCell="O114" sqref="O114"/>
    </sheetView>
  </sheetViews>
  <sheetFormatPr defaultColWidth="9" defaultRowHeight="16.5" x14ac:dyDescent="0.3"/>
  <cols>
    <col min="1" max="1" width="25.125" style="22" customWidth="1"/>
    <col min="2" max="2" width="8.5" style="22" bestFit="1" customWidth="1"/>
    <col min="3" max="3" width="6.75" style="22" bestFit="1" customWidth="1"/>
    <col min="4" max="4" width="6.75" style="55" customWidth="1"/>
    <col min="5" max="5" width="8.75" style="22" customWidth="1"/>
    <col min="6" max="6" width="10" style="22" customWidth="1"/>
    <col min="7" max="13" width="6.75" style="22" customWidth="1"/>
    <col min="14" max="16" width="46.75" style="22" bestFit="1" customWidth="1"/>
    <col min="17" max="16384" width="9" style="22"/>
  </cols>
  <sheetData>
    <row r="1" spans="1:29" ht="134.25" x14ac:dyDescent="0.3">
      <c r="A1" s="42" t="s">
        <v>93</v>
      </c>
      <c r="B1" s="23" t="s">
        <v>876</v>
      </c>
      <c r="C1" s="23" t="s">
        <v>875</v>
      </c>
      <c r="D1" s="54" t="s">
        <v>1215</v>
      </c>
      <c r="E1" s="23" t="s">
        <v>1052</v>
      </c>
      <c r="F1" s="23" t="s">
        <v>1053</v>
      </c>
      <c r="G1" s="23" t="s">
        <v>1054</v>
      </c>
      <c r="H1" s="23" t="s">
        <v>1046</v>
      </c>
      <c r="I1" s="23" t="s">
        <v>1047</v>
      </c>
      <c r="J1" s="23" t="s">
        <v>1048</v>
      </c>
      <c r="K1" s="23" t="s">
        <v>1049</v>
      </c>
      <c r="L1" s="23" t="s">
        <v>1050</v>
      </c>
      <c r="M1" s="23" t="s">
        <v>1051</v>
      </c>
      <c r="N1" s="23" t="s">
        <v>392</v>
      </c>
      <c r="O1" s="23" t="s">
        <v>393</v>
      </c>
      <c r="P1" s="23" t="s">
        <v>394</v>
      </c>
      <c r="Q1" s="23" t="s">
        <v>1163</v>
      </c>
    </row>
    <row r="2" spans="1:29" s="59" customFormat="1" ht="17.25" customHeight="1" x14ac:dyDescent="0.3">
      <c r="A2" s="57" t="s">
        <v>1315</v>
      </c>
      <c r="B2" s="56" t="s">
        <v>1314</v>
      </c>
      <c r="C2" s="56" t="s">
        <v>1314</v>
      </c>
      <c r="D2" s="56" t="s">
        <v>1314</v>
      </c>
      <c r="E2" s="57"/>
      <c r="F2" s="57"/>
      <c r="G2" s="57"/>
      <c r="H2" s="57"/>
      <c r="I2" s="57"/>
      <c r="J2" s="58"/>
      <c r="K2" s="58"/>
      <c r="L2" s="57"/>
      <c r="M2" s="57"/>
      <c r="N2" s="57" t="s">
        <v>1316</v>
      </c>
      <c r="O2" s="57" t="s">
        <v>1316</v>
      </c>
      <c r="P2" s="57" t="s">
        <v>1316</v>
      </c>
      <c r="Q2" s="57" t="s">
        <v>1315</v>
      </c>
      <c r="R2" s="57"/>
      <c r="S2" s="57"/>
      <c r="T2" s="57"/>
      <c r="U2" s="57"/>
      <c r="V2" s="58"/>
      <c r="W2" s="58"/>
      <c r="X2" s="57"/>
      <c r="Y2" s="57"/>
      <c r="Z2" s="57"/>
      <c r="AA2" s="57"/>
      <c r="AB2" s="58"/>
      <c r="AC2" s="58"/>
    </row>
    <row r="3" spans="1:29" x14ac:dyDescent="0.3">
      <c r="A3" s="43" t="s">
        <v>138</v>
      </c>
      <c r="B3" s="36">
        <v>901001</v>
      </c>
      <c r="C3" s="36">
        <v>911001</v>
      </c>
      <c r="D3" s="53">
        <f>C3-800000</f>
        <v>111001</v>
      </c>
      <c r="E3" s="36" t="s">
        <v>1059</v>
      </c>
      <c r="F3" s="36" t="s">
        <v>878</v>
      </c>
      <c r="G3" s="36" t="s">
        <v>1055</v>
      </c>
      <c r="H3" s="36" t="s">
        <v>1059</v>
      </c>
      <c r="I3" s="36" t="s">
        <v>878</v>
      </c>
      <c r="J3" s="36" t="s">
        <v>1055</v>
      </c>
      <c r="K3" s="36" t="s">
        <v>1059</v>
      </c>
      <c r="L3" s="36" t="s">
        <v>878</v>
      </c>
      <c r="M3" s="36" t="s">
        <v>1055</v>
      </c>
      <c r="N3" s="36" t="s">
        <v>1076</v>
      </c>
      <c r="O3" s="36" t="s">
        <v>871</v>
      </c>
      <c r="P3" s="36" t="s">
        <v>872</v>
      </c>
      <c r="Q3" s="36" t="s">
        <v>1162</v>
      </c>
    </row>
    <row r="4" spans="1:29" x14ac:dyDescent="0.3">
      <c r="A4" s="43" t="s">
        <v>140</v>
      </c>
      <c r="B4" s="36">
        <v>901002</v>
      </c>
      <c r="C4" s="36">
        <v>911002</v>
      </c>
      <c r="D4" s="53">
        <f t="shared" ref="D4:D67" si="0">C4-800000</f>
        <v>111002</v>
      </c>
      <c r="E4" s="36" t="s">
        <v>1062</v>
      </c>
      <c r="F4" s="36" t="s">
        <v>878</v>
      </c>
      <c r="G4" s="36" t="s">
        <v>1055</v>
      </c>
      <c r="H4" s="36" t="s">
        <v>1062</v>
      </c>
      <c r="I4" s="36" t="s">
        <v>878</v>
      </c>
      <c r="J4" s="36" t="s">
        <v>1055</v>
      </c>
      <c r="K4" s="36" t="s">
        <v>1062</v>
      </c>
      <c r="L4" s="36" t="s">
        <v>878</v>
      </c>
      <c r="M4" s="36" t="s">
        <v>1055</v>
      </c>
      <c r="N4" s="36" t="s">
        <v>1077</v>
      </c>
      <c r="O4" s="36" t="s">
        <v>873</v>
      </c>
      <c r="P4" s="36" t="s">
        <v>874</v>
      </c>
      <c r="Q4" s="36" t="s">
        <v>1162</v>
      </c>
    </row>
    <row r="5" spans="1:29" x14ac:dyDescent="0.3">
      <c r="A5" s="43" t="s">
        <v>142</v>
      </c>
      <c r="B5" s="36">
        <v>901003</v>
      </c>
      <c r="C5" s="36">
        <v>911003</v>
      </c>
      <c r="D5" s="53">
        <f t="shared" si="0"/>
        <v>111003</v>
      </c>
      <c r="E5" s="36" t="s">
        <v>1060</v>
      </c>
      <c r="F5" s="36" t="s">
        <v>878</v>
      </c>
      <c r="G5" s="36" t="s">
        <v>1061</v>
      </c>
      <c r="H5" s="36" t="s">
        <v>1060</v>
      </c>
      <c r="I5" s="36" t="s">
        <v>878</v>
      </c>
      <c r="J5" s="36" t="s">
        <v>1061</v>
      </c>
      <c r="K5" s="36" t="s">
        <v>1060</v>
      </c>
      <c r="L5" s="36" t="s">
        <v>878</v>
      </c>
      <c r="M5" s="36" t="s">
        <v>1061</v>
      </c>
      <c r="N5" s="36" t="s">
        <v>1078</v>
      </c>
      <c r="O5" s="36" t="s">
        <v>881</v>
      </c>
      <c r="P5" s="36" t="s">
        <v>882</v>
      </c>
      <c r="Q5" s="36" t="s">
        <v>1162</v>
      </c>
    </row>
    <row r="6" spans="1:29" x14ac:dyDescent="0.3">
      <c r="A6" s="43" t="s">
        <v>144</v>
      </c>
      <c r="B6" s="36">
        <v>901004</v>
      </c>
      <c r="C6" s="36">
        <v>911004</v>
      </c>
      <c r="D6" s="53">
        <f t="shared" si="0"/>
        <v>111004</v>
      </c>
      <c r="E6" s="36" t="s">
        <v>879</v>
      </c>
      <c r="F6" s="36" t="s">
        <v>878</v>
      </c>
      <c r="G6" s="36" t="s">
        <v>11</v>
      </c>
      <c r="H6" s="36" t="s">
        <v>879</v>
      </c>
      <c r="I6" s="36" t="s">
        <v>878</v>
      </c>
      <c r="J6" s="36" t="s">
        <v>11</v>
      </c>
      <c r="K6" s="36" t="s">
        <v>879</v>
      </c>
      <c r="L6" s="36" t="s">
        <v>878</v>
      </c>
      <c r="M6" s="36" t="s">
        <v>11</v>
      </c>
      <c r="N6" s="36" t="s">
        <v>1079</v>
      </c>
      <c r="O6" s="36" t="s">
        <v>883</v>
      </c>
      <c r="P6" s="36" t="s">
        <v>884</v>
      </c>
      <c r="Q6" s="36" t="s">
        <v>1162</v>
      </c>
    </row>
    <row r="7" spans="1:29" x14ac:dyDescent="0.3">
      <c r="A7" s="43" t="s">
        <v>146</v>
      </c>
      <c r="B7" s="36">
        <v>901005</v>
      </c>
      <c r="C7" s="36">
        <v>911005</v>
      </c>
      <c r="D7" s="53">
        <f t="shared" si="0"/>
        <v>111005</v>
      </c>
      <c r="E7" s="36" t="s">
        <v>1247</v>
      </c>
      <c r="F7" s="36" t="s">
        <v>878</v>
      </c>
      <c r="G7" s="36" t="s">
        <v>1259</v>
      </c>
      <c r="H7" s="36" t="s">
        <v>1247</v>
      </c>
      <c r="I7" s="36" t="s">
        <v>878</v>
      </c>
      <c r="J7" s="36" t="s">
        <v>1069</v>
      </c>
      <c r="K7" s="36" t="s">
        <v>1247</v>
      </c>
      <c r="L7" s="36" t="s">
        <v>878</v>
      </c>
      <c r="M7" s="36" t="s">
        <v>1069</v>
      </c>
      <c r="N7" s="36" t="s">
        <v>1164</v>
      </c>
      <c r="O7" s="36" t="s">
        <v>885</v>
      </c>
      <c r="P7" s="36" t="s">
        <v>886</v>
      </c>
      <c r="Q7" s="36" t="s">
        <v>1162</v>
      </c>
    </row>
    <row r="8" spans="1:29" x14ac:dyDescent="0.3">
      <c r="A8" s="43" t="s">
        <v>148</v>
      </c>
      <c r="B8" s="36">
        <v>901006</v>
      </c>
      <c r="C8" s="36">
        <v>911006</v>
      </c>
      <c r="D8" s="53">
        <f t="shared" si="0"/>
        <v>111006</v>
      </c>
      <c r="E8" s="36" t="s">
        <v>1266</v>
      </c>
      <c r="F8" s="36" t="s">
        <v>878</v>
      </c>
      <c r="G8" s="36" t="s">
        <v>1265</v>
      </c>
      <c r="H8" s="36" t="s">
        <v>1266</v>
      </c>
      <c r="I8" s="36" t="s">
        <v>878</v>
      </c>
      <c r="J8" s="36" t="s">
        <v>1265</v>
      </c>
      <c r="K8" s="36" t="s">
        <v>1266</v>
      </c>
      <c r="L8" s="36" t="s">
        <v>878</v>
      </c>
      <c r="M8" s="36" t="s">
        <v>1265</v>
      </c>
      <c r="N8" s="36" t="s">
        <v>1080</v>
      </c>
      <c r="O8" s="36" t="s">
        <v>887</v>
      </c>
      <c r="P8" s="36" t="s">
        <v>888</v>
      </c>
    </row>
    <row r="9" spans="1:29" x14ac:dyDescent="0.3">
      <c r="A9" s="43" t="s">
        <v>150</v>
      </c>
      <c r="B9" s="36">
        <v>901007</v>
      </c>
      <c r="C9" s="36">
        <v>911007</v>
      </c>
      <c r="D9" s="53">
        <f t="shared" si="0"/>
        <v>111007</v>
      </c>
      <c r="E9" s="36" t="s">
        <v>1248</v>
      </c>
      <c r="F9" s="36" t="s">
        <v>878</v>
      </c>
      <c r="G9" s="36" t="s">
        <v>1184</v>
      </c>
      <c r="H9" s="36" t="s">
        <v>1248</v>
      </c>
      <c r="I9" s="36" t="s">
        <v>878</v>
      </c>
      <c r="J9" s="36" t="s">
        <v>1184</v>
      </c>
      <c r="K9" s="36" t="s">
        <v>1248</v>
      </c>
      <c r="L9" s="36" t="s">
        <v>878</v>
      </c>
      <c r="M9" s="36" t="s">
        <v>1184</v>
      </c>
      <c r="N9" s="36" t="s">
        <v>1081</v>
      </c>
      <c r="O9" s="36" t="s">
        <v>889</v>
      </c>
      <c r="P9" s="36" t="s">
        <v>890</v>
      </c>
      <c r="Q9" s="36" t="s">
        <v>1162</v>
      </c>
    </row>
    <row r="10" spans="1:29" x14ac:dyDescent="0.3">
      <c r="A10" s="43" t="s">
        <v>152</v>
      </c>
      <c r="B10" s="36">
        <v>901008</v>
      </c>
      <c r="C10" s="36">
        <v>911008</v>
      </c>
      <c r="D10" s="53">
        <f t="shared" si="0"/>
        <v>111008</v>
      </c>
      <c r="E10" s="36" t="s">
        <v>1260</v>
      </c>
      <c r="F10" s="36" t="s">
        <v>878</v>
      </c>
      <c r="G10" s="36" t="s">
        <v>1261</v>
      </c>
      <c r="H10" s="36" t="s">
        <v>1260</v>
      </c>
      <c r="I10" s="36" t="s">
        <v>878</v>
      </c>
      <c r="J10" s="36" t="s">
        <v>1261</v>
      </c>
      <c r="K10" s="36" t="s">
        <v>1260</v>
      </c>
      <c r="L10" s="36" t="s">
        <v>878</v>
      </c>
      <c r="M10" s="36" t="s">
        <v>1261</v>
      </c>
      <c r="N10" s="36" t="s">
        <v>1082</v>
      </c>
      <c r="O10" s="36" t="s">
        <v>891</v>
      </c>
      <c r="P10" s="36" t="s">
        <v>892</v>
      </c>
      <c r="Q10" s="36" t="s">
        <v>1162</v>
      </c>
    </row>
    <row r="11" spans="1:29" x14ac:dyDescent="0.3">
      <c r="A11" s="43" t="s">
        <v>154</v>
      </c>
      <c r="B11" s="36" t="s">
        <v>1180</v>
      </c>
      <c r="C11" s="36">
        <v>911009</v>
      </c>
      <c r="D11" s="53">
        <f t="shared" si="0"/>
        <v>111009</v>
      </c>
      <c r="E11" s="36" t="s">
        <v>1062</v>
      </c>
      <c r="F11" s="36" t="s">
        <v>878</v>
      </c>
      <c r="G11" s="36" t="s">
        <v>1057</v>
      </c>
      <c r="H11" s="36" t="s">
        <v>1062</v>
      </c>
      <c r="I11" s="36" t="s">
        <v>878</v>
      </c>
      <c r="J11" s="36" t="s">
        <v>1057</v>
      </c>
      <c r="K11" s="36" t="s">
        <v>1062</v>
      </c>
      <c r="L11" s="36" t="s">
        <v>878</v>
      </c>
      <c r="M11" s="36" t="s">
        <v>1057</v>
      </c>
      <c r="N11" s="36" t="s">
        <v>1083</v>
      </c>
      <c r="O11" s="36" t="s">
        <v>893</v>
      </c>
      <c r="P11" s="36" t="s">
        <v>894</v>
      </c>
      <c r="Q11" s="36" t="s">
        <v>1162</v>
      </c>
    </row>
    <row r="12" spans="1:29" x14ac:dyDescent="0.3">
      <c r="A12" s="43" t="s">
        <v>156</v>
      </c>
      <c r="B12" s="36">
        <v>901010</v>
      </c>
      <c r="C12" s="36">
        <v>911010</v>
      </c>
      <c r="D12" s="53">
        <f t="shared" si="0"/>
        <v>111010</v>
      </c>
      <c r="E12" s="36" t="s">
        <v>1249</v>
      </c>
      <c r="F12" s="36" t="s">
        <v>878</v>
      </c>
      <c r="G12" s="36" t="s">
        <v>1184</v>
      </c>
      <c r="H12" s="36" t="s">
        <v>1249</v>
      </c>
      <c r="I12" s="36" t="s">
        <v>878</v>
      </c>
      <c r="J12" s="36" t="s">
        <v>1184</v>
      </c>
      <c r="K12" s="36" t="s">
        <v>1249</v>
      </c>
      <c r="L12" s="36" t="s">
        <v>878</v>
      </c>
      <c r="M12" s="36" t="s">
        <v>1184</v>
      </c>
      <c r="N12" s="36" t="s">
        <v>1084</v>
      </c>
      <c r="O12" s="36" t="s">
        <v>895</v>
      </c>
      <c r="P12" s="36" t="s">
        <v>896</v>
      </c>
      <c r="Q12" s="36" t="s">
        <v>1162</v>
      </c>
    </row>
    <row r="13" spans="1:29" x14ac:dyDescent="0.3">
      <c r="A13" s="43" t="s">
        <v>158</v>
      </c>
      <c r="B13" s="36">
        <v>901011</v>
      </c>
      <c r="C13" s="36">
        <v>911011</v>
      </c>
      <c r="D13" s="53">
        <f t="shared" si="0"/>
        <v>111011</v>
      </c>
      <c r="E13" s="36" t="s">
        <v>1181</v>
      </c>
      <c r="F13" s="36" t="s">
        <v>878</v>
      </c>
      <c r="G13" s="36" t="s">
        <v>1173</v>
      </c>
      <c r="H13" s="36" t="s">
        <v>1181</v>
      </c>
      <c r="I13" s="36" t="s">
        <v>878</v>
      </c>
      <c r="J13" s="36" t="s">
        <v>1173</v>
      </c>
      <c r="K13" s="36" t="s">
        <v>1181</v>
      </c>
      <c r="L13" s="36" t="s">
        <v>878</v>
      </c>
      <c r="M13" s="36" t="s">
        <v>1173</v>
      </c>
      <c r="N13" s="36" t="s">
        <v>1085</v>
      </c>
      <c r="O13" s="36" t="s">
        <v>897</v>
      </c>
      <c r="P13" s="36" t="s">
        <v>898</v>
      </c>
      <c r="Q13" s="36" t="s">
        <v>1189</v>
      </c>
    </row>
    <row r="14" spans="1:29" x14ac:dyDescent="0.3">
      <c r="A14" s="43" t="s">
        <v>160</v>
      </c>
      <c r="B14" s="36">
        <v>901012</v>
      </c>
      <c r="C14" s="36">
        <v>911012</v>
      </c>
      <c r="D14" s="53">
        <f t="shared" si="0"/>
        <v>111012</v>
      </c>
      <c r="E14" s="36" t="s">
        <v>1195</v>
      </c>
      <c r="F14" s="36" t="s">
        <v>1196</v>
      </c>
      <c r="G14" s="36" t="s">
        <v>1184</v>
      </c>
      <c r="H14" s="36" t="s">
        <v>1209</v>
      </c>
      <c r="I14" s="36" t="s">
        <v>1196</v>
      </c>
      <c r="J14" s="36" t="s">
        <v>1061</v>
      </c>
      <c r="K14" s="36" t="s">
        <v>1209</v>
      </c>
      <c r="L14" s="36" t="s">
        <v>1196</v>
      </c>
      <c r="M14" s="36" t="s">
        <v>1061</v>
      </c>
      <c r="N14" s="36" t="s">
        <v>1086</v>
      </c>
      <c r="O14" s="36" t="s">
        <v>899</v>
      </c>
      <c r="P14" s="36" t="s">
        <v>900</v>
      </c>
      <c r="Q14" s="36" t="s">
        <v>1162</v>
      </c>
    </row>
    <row r="15" spans="1:29" x14ac:dyDescent="0.3">
      <c r="A15" s="43" t="s">
        <v>162</v>
      </c>
      <c r="B15" s="36">
        <v>901013</v>
      </c>
      <c r="C15" s="36">
        <v>911013</v>
      </c>
      <c r="D15" s="53">
        <f t="shared" si="0"/>
        <v>111013</v>
      </c>
      <c r="E15" s="36" t="s">
        <v>1250</v>
      </c>
      <c r="F15" s="36" t="s">
        <v>878</v>
      </c>
      <c r="G15" s="36" t="s">
        <v>1056</v>
      </c>
      <c r="H15" s="36" t="s">
        <v>1250</v>
      </c>
      <c r="I15" s="36" t="s">
        <v>878</v>
      </c>
      <c r="J15" s="36" t="s">
        <v>1056</v>
      </c>
      <c r="K15" s="36" t="s">
        <v>1250</v>
      </c>
      <c r="L15" s="36" t="s">
        <v>878</v>
      </c>
      <c r="M15" s="36" t="s">
        <v>1056</v>
      </c>
      <c r="N15" s="36" t="s">
        <v>1087</v>
      </c>
      <c r="O15" s="36" t="s">
        <v>901</v>
      </c>
      <c r="P15" s="36" t="s">
        <v>902</v>
      </c>
      <c r="Q15" s="36" t="s">
        <v>1162</v>
      </c>
    </row>
    <row r="16" spans="1:29" x14ac:dyDescent="0.3">
      <c r="A16" s="43" t="s">
        <v>164</v>
      </c>
      <c r="B16" s="36">
        <v>901014</v>
      </c>
      <c r="C16" s="36">
        <v>911014</v>
      </c>
      <c r="D16" s="53">
        <f t="shared" si="0"/>
        <v>111014</v>
      </c>
      <c r="E16" s="36" t="s">
        <v>1251</v>
      </c>
      <c r="F16" s="36" t="s">
        <v>878</v>
      </c>
      <c r="G16" s="36" t="s">
        <v>11</v>
      </c>
      <c r="H16" s="36" t="s">
        <v>877</v>
      </c>
      <c r="I16" s="36" t="s">
        <v>878</v>
      </c>
      <c r="J16" s="36" t="s">
        <v>11</v>
      </c>
      <c r="K16" s="36" t="s">
        <v>877</v>
      </c>
      <c r="L16" s="36" t="s">
        <v>878</v>
      </c>
      <c r="M16" s="36" t="s">
        <v>11</v>
      </c>
      <c r="N16" s="36" t="s">
        <v>1088</v>
      </c>
      <c r="O16" s="36" t="s">
        <v>903</v>
      </c>
      <c r="P16" s="36" t="s">
        <v>904</v>
      </c>
    </row>
    <row r="17" spans="1:17" x14ac:dyDescent="0.3">
      <c r="A17" s="43" t="s">
        <v>166</v>
      </c>
      <c r="B17" s="36">
        <v>901015</v>
      </c>
      <c r="C17" s="36">
        <v>911015</v>
      </c>
      <c r="D17" s="53">
        <f t="shared" si="0"/>
        <v>111015</v>
      </c>
      <c r="E17" s="36" t="s">
        <v>1177</v>
      </c>
      <c r="F17" s="36" t="s">
        <v>878</v>
      </c>
      <c r="G17" s="36" t="s">
        <v>10</v>
      </c>
      <c r="H17" s="36" t="s">
        <v>1177</v>
      </c>
      <c r="I17" s="36" t="s">
        <v>878</v>
      </c>
      <c r="J17" s="36" t="s">
        <v>10</v>
      </c>
      <c r="K17" s="36" t="s">
        <v>1177</v>
      </c>
      <c r="L17" s="36" t="s">
        <v>878</v>
      </c>
      <c r="M17" s="36" t="s">
        <v>10</v>
      </c>
      <c r="N17" s="36" t="s">
        <v>1089</v>
      </c>
      <c r="O17" s="36" t="s">
        <v>905</v>
      </c>
      <c r="P17" s="36" t="s">
        <v>906</v>
      </c>
      <c r="Q17" s="36" t="s">
        <v>1176</v>
      </c>
    </row>
    <row r="18" spans="1:17" x14ac:dyDescent="0.3">
      <c r="A18" s="43" t="s">
        <v>395</v>
      </c>
      <c r="B18" s="36">
        <v>901016</v>
      </c>
      <c r="C18" s="36">
        <v>911016</v>
      </c>
      <c r="D18" s="53">
        <f t="shared" si="0"/>
        <v>111016</v>
      </c>
      <c r="E18" s="36" t="s">
        <v>1174</v>
      </c>
      <c r="F18" s="36" t="s">
        <v>878</v>
      </c>
      <c r="G18" s="36" t="s">
        <v>1175</v>
      </c>
      <c r="H18" s="36" t="s">
        <v>1174</v>
      </c>
      <c r="I18" s="36" t="s">
        <v>878</v>
      </c>
      <c r="J18" s="36" t="s">
        <v>1175</v>
      </c>
      <c r="K18" s="36" t="s">
        <v>1174</v>
      </c>
      <c r="L18" s="36" t="s">
        <v>878</v>
      </c>
      <c r="M18" s="36" t="s">
        <v>1175</v>
      </c>
      <c r="N18" s="36" t="s">
        <v>1090</v>
      </c>
      <c r="O18" s="36" t="s">
        <v>907</v>
      </c>
      <c r="P18" s="36" t="s">
        <v>908</v>
      </c>
      <c r="Q18" s="36" t="s">
        <v>1176</v>
      </c>
    </row>
    <row r="19" spans="1:17" x14ac:dyDescent="0.3">
      <c r="A19" s="43" t="s">
        <v>170</v>
      </c>
      <c r="B19" s="36">
        <v>901017</v>
      </c>
      <c r="C19" s="36">
        <v>911017</v>
      </c>
      <c r="D19" s="53">
        <f t="shared" si="0"/>
        <v>111017</v>
      </c>
      <c r="E19" s="36" t="s">
        <v>1216</v>
      </c>
      <c r="F19" s="36" t="s">
        <v>878</v>
      </c>
      <c r="G19" s="36" t="s">
        <v>1061</v>
      </c>
      <c r="H19" s="36" t="s">
        <v>1216</v>
      </c>
      <c r="I19" s="36" t="s">
        <v>878</v>
      </c>
      <c r="J19" s="36" t="s">
        <v>1061</v>
      </c>
      <c r="K19" s="36" t="s">
        <v>1216</v>
      </c>
      <c r="L19" s="36" t="s">
        <v>878</v>
      </c>
      <c r="M19" s="36" t="s">
        <v>1061</v>
      </c>
      <c r="N19" s="36" t="s">
        <v>1091</v>
      </c>
      <c r="O19" s="36" t="s">
        <v>909</v>
      </c>
      <c r="P19" s="36" t="s">
        <v>910</v>
      </c>
    </row>
    <row r="20" spans="1:17" x14ac:dyDescent="0.3">
      <c r="A20" s="43" t="s">
        <v>172</v>
      </c>
      <c r="B20" s="36">
        <v>901018</v>
      </c>
      <c r="C20" s="36">
        <v>911018</v>
      </c>
      <c r="D20" s="53">
        <f t="shared" si="0"/>
        <v>111018</v>
      </c>
      <c r="E20" s="36" t="s">
        <v>1217</v>
      </c>
      <c r="F20" s="36" t="s">
        <v>878</v>
      </c>
      <c r="G20" s="36" t="s">
        <v>1184</v>
      </c>
      <c r="H20" s="36" t="s">
        <v>1217</v>
      </c>
      <c r="I20" s="36" t="s">
        <v>878</v>
      </c>
      <c r="J20" s="36" t="s">
        <v>1184</v>
      </c>
      <c r="K20" s="36" t="s">
        <v>1217</v>
      </c>
      <c r="L20" s="36" t="s">
        <v>878</v>
      </c>
      <c r="M20" s="36" t="s">
        <v>1184</v>
      </c>
      <c r="N20" s="36" t="s">
        <v>1092</v>
      </c>
      <c r="O20" s="36" t="s">
        <v>911</v>
      </c>
      <c r="P20" s="36" t="s">
        <v>912</v>
      </c>
      <c r="Q20" s="36" t="s">
        <v>1162</v>
      </c>
    </row>
    <row r="21" spans="1:17" x14ac:dyDescent="0.3">
      <c r="A21" s="43" t="s">
        <v>174</v>
      </c>
      <c r="B21" s="36">
        <v>901019</v>
      </c>
      <c r="C21" s="36">
        <v>911019</v>
      </c>
      <c r="D21" s="53">
        <f t="shared" si="0"/>
        <v>111019</v>
      </c>
      <c r="E21" s="36" t="s">
        <v>1252</v>
      </c>
      <c r="F21" s="36" t="s">
        <v>878</v>
      </c>
      <c r="G21" s="36" t="s">
        <v>11</v>
      </c>
      <c r="H21" s="36" t="s">
        <v>1252</v>
      </c>
      <c r="I21" s="36" t="s">
        <v>878</v>
      </c>
      <c r="J21" s="36" t="s">
        <v>1197</v>
      </c>
      <c r="K21" s="36" t="s">
        <v>1252</v>
      </c>
      <c r="L21" s="36" t="s">
        <v>878</v>
      </c>
      <c r="M21" s="36" t="s">
        <v>1197</v>
      </c>
      <c r="N21" s="36" t="s">
        <v>1093</v>
      </c>
      <c r="O21" s="36" t="s">
        <v>913</v>
      </c>
      <c r="P21" s="36" t="s">
        <v>914</v>
      </c>
      <c r="Q21" s="36" t="s">
        <v>1162</v>
      </c>
    </row>
    <row r="22" spans="1:17" x14ac:dyDescent="0.3">
      <c r="A22" s="43" t="s">
        <v>176</v>
      </c>
      <c r="B22" s="36">
        <v>901020</v>
      </c>
      <c r="C22" s="36">
        <v>911020</v>
      </c>
      <c r="D22" s="53">
        <f t="shared" si="0"/>
        <v>111020</v>
      </c>
      <c r="E22" s="36" t="s">
        <v>1253</v>
      </c>
      <c r="F22" s="36" t="s">
        <v>878</v>
      </c>
      <c r="G22" s="36" t="s">
        <v>1057</v>
      </c>
      <c r="H22" s="36" t="s">
        <v>1253</v>
      </c>
      <c r="I22" s="36" t="s">
        <v>878</v>
      </c>
      <c r="J22" s="36" t="s">
        <v>1057</v>
      </c>
      <c r="K22" s="36" t="s">
        <v>1253</v>
      </c>
      <c r="L22" s="36" t="s">
        <v>878</v>
      </c>
      <c r="M22" s="36" t="s">
        <v>1057</v>
      </c>
      <c r="N22" s="36" t="s">
        <v>1094</v>
      </c>
      <c r="O22" s="36" t="s">
        <v>915</v>
      </c>
      <c r="P22" s="36" t="s">
        <v>916</v>
      </c>
      <c r="Q22" s="36" t="s">
        <v>1162</v>
      </c>
    </row>
    <row r="23" spans="1:17" x14ac:dyDescent="0.3">
      <c r="A23" s="43" t="s">
        <v>178</v>
      </c>
      <c r="B23" s="36">
        <v>901021</v>
      </c>
      <c r="C23" s="36">
        <v>911021</v>
      </c>
      <c r="D23" s="53">
        <f t="shared" si="0"/>
        <v>111021</v>
      </c>
      <c r="E23" s="36" t="s">
        <v>1218</v>
      </c>
      <c r="F23" s="36" t="s">
        <v>878</v>
      </c>
      <c r="G23" s="36" t="s">
        <v>10</v>
      </c>
      <c r="H23" s="36" t="s">
        <v>1218</v>
      </c>
      <c r="I23" s="36" t="s">
        <v>878</v>
      </c>
      <c r="J23" s="36" t="s">
        <v>10</v>
      </c>
      <c r="K23" s="36" t="s">
        <v>1218</v>
      </c>
      <c r="L23" s="36" t="s">
        <v>878</v>
      </c>
      <c r="M23" s="36" t="s">
        <v>10</v>
      </c>
      <c r="N23" s="36" t="s">
        <v>1095</v>
      </c>
      <c r="O23" s="36" t="s">
        <v>917</v>
      </c>
      <c r="P23" s="36" t="s">
        <v>918</v>
      </c>
      <c r="Q23" s="36" t="s">
        <v>1162</v>
      </c>
    </row>
    <row r="24" spans="1:17" x14ac:dyDescent="0.3">
      <c r="A24" s="43" t="s">
        <v>180</v>
      </c>
      <c r="B24" s="36">
        <v>901022</v>
      </c>
      <c r="C24" s="36">
        <v>911022</v>
      </c>
      <c r="D24" s="53">
        <f t="shared" si="0"/>
        <v>111022</v>
      </c>
      <c r="E24" s="36" t="s">
        <v>1219</v>
      </c>
      <c r="F24" s="36" t="s">
        <v>878</v>
      </c>
      <c r="G24" s="36" t="s">
        <v>10</v>
      </c>
      <c r="H24" s="36" t="s">
        <v>1219</v>
      </c>
      <c r="I24" s="36" t="s">
        <v>878</v>
      </c>
      <c r="J24" s="36" t="s">
        <v>10</v>
      </c>
      <c r="K24" s="36" t="s">
        <v>1219</v>
      </c>
      <c r="L24" s="36" t="s">
        <v>878</v>
      </c>
      <c r="M24" s="36" t="s">
        <v>10</v>
      </c>
      <c r="N24" s="36" t="s">
        <v>1096</v>
      </c>
      <c r="O24" s="36" t="s">
        <v>919</v>
      </c>
      <c r="P24" s="36" t="s">
        <v>920</v>
      </c>
      <c r="Q24" s="36" t="s">
        <v>1162</v>
      </c>
    </row>
    <row r="25" spans="1:17" x14ac:dyDescent="0.3">
      <c r="A25" s="43" t="s">
        <v>182</v>
      </c>
      <c r="B25" s="36">
        <v>901023</v>
      </c>
      <c r="C25" s="36">
        <v>911023</v>
      </c>
      <c r="D25" s="53">
        <f t="shared" si="0"/>
        <v>111023</v>
      </c>
      <c r="E25" s="36" t="s">
        <v>1063</v>
      </c>
      <c r="F25" s="36" t="s">
        <v>878</v>
      </c>
      <c r="G25" s="36" t="s">
        <v>10</v>
      </c>
      <c r="H25" s="36" t="s">
        <v>1063</v>
      </c>
      <c r="I25" s="36" t="s">
        <v>878</v>
      </c>
      <c r="J25" s="36" t="s">
        <v>10</v>
      </c>
      <c r="K25" s="36" t="s">
        <v>1063</v>
      </c>
      <c r="L25" s="36" t="s">
        <v>878</v>
      </c>
      <c r="M25" s="36" t="s">
        <v>10</v>
      </c>
      <c r="N25" s="36" t="s">
        <v>1097</v>
      </c>
      <c r="O25" s="36" t="s">
        <v>921</v>
      </c>
      <c r="P25" s="36" t="s">
        <v>922</v>
      </c>
      <c r="Q25" s="36" t="s">
        <v>1162</v>
      </c>
    </row>
    <row r="26" spans="1:17" x14ac:dyDescent="0.3">
      <c r="A26" s="43" t="s">
        <v>184</v>
      </c>
      <c r="B26" s="36">
        <v>901024</v>
      </c>
      <c r="C26" s="36">
        <v>911024</v>
      </c>
      <c r="D26" s="53">
        <f t="shared" si="0"/>
        <v>111024</v>
      </c>
      <c r="E26" s="36" t="s">
        <v>1249</v>
      </c>
      <c r="F26" s="36" t="s">
        <v>878</v>
      </c>
      <c r="G26" s="36" t="s">
        <v>11</v>
      </c>
      <c r="H26" s="36" t="s">
        <v>1249</v>
      </c>
      <c r="I26" s="36" t="s">
        <v>878</v>
      </c>
      <c r="J26" s="36" t="s">
        <v>11</v>
      </c>
      <c r="K26" s="36" t="s">
        <v>1249</v>
      </c>
      <c r="L26" s="36" t="s">
        <v>878</v>
      </c>
      <c r="M26" s="36" t="s">
        <v>11</v>
      </c>
      <c r="N26" s="36" t="s">
        <v>1098</v>
      </c>
      <c r="O26" s="36" t="s">
        <v>923</v>
      </c>
      <c r="P26" s="36" t="s">
        <v>924</v>
      </c>
    </row>
    <row r="27" spans="1:17" x14ac:dyDescent="0.3">
      <c r="A27" s="43" t="s">
        <v>186</v>
      </c>
      <c r="B27" s="36">
        <v>901025</v>
      </c>
      <c r="C27" s="36">
        <v>911025</v>
      </c>
      <c r="D27" s="53">
        <f t="shared" si="0"/>
        <v>111025</v>
      </c>
      <c r="E27" s="36" t="s">
        <v>1064</v>
      </c>
      <c r="F27" s="36" t="s">
        <v>878</v>
      </c>
      <c r="G27" s="36" t="s">
        <v>1057</v>
      </c>
      <c r="H27" s="36" t="s">
        <v>1064</v>
      </c>
      <c r="I27" s="36" t="s">
        <v>878</v>
      </c>
      <c r="J27" s="36" t="s">
        <v>1057</v>
      </c>
      <c r="K27" s="36" t="s">
        <v>1064</v>
      </c>
      <c r="L27" s="36" t="s">
        <v>878</v>
      </c>
      <c r="M27" s="36" t="s">
        <v>1057</v>
      </c>
      <c r="N27" s="36" t="s">
        <v>1099</v>
      </c>
      <c r="O27" s="36" t="s">
        <v>925</v>
      </c>
      <c r="P27" s="36" t="s">
        <v>926</v>
      </c>
      <c r="Q27" s="36" t="s">
        <v>1162</v>
      </c>
    </row>
    <row r="28" spans="1:17" x14ac:dyDescent="0.3">
      <c r="A28" s="43" t="s">
        <v>396</v>
      </c>
      <c r="B28" s="36">
        <v>901026</v>
      </c>
      <c r="C28" s="36">
        <v>911026</v>
      </c>
      <c r="D28" s="53">
        <f t="shared" si="0"/>
        <v>111026</v>
      </c>
      <c r="E28" s="36" t="s">
        <v>1168</v>
      </c>
      <c r="F28" s="36" t="s">
        <v>878</v>
      </c>
      <c r="G28" s="36" t="s">
        <v>1169</v>
      </c>
      <c r="H28" s="36" t="s">
        <v>1168</v>
      </c>
      <c r="I28" s="36" t="s">
        <v>878</v>
      </c>
      <c r="J28" s="36" t="s">
        <v>1169</v>
      </c>
      <c r="K28" s="36" t="s">
        <v>1168</v>
      </c>
      <c r="L28" s="36" t="s">
        <v>878</v>
      </c>
      <c r="M28" s="36" t="s">
        <v>1169</v>
      </c>
      <c r="N28" s="36" t="s">
        <v>1100</v>
      </c>
      <c r="O28" s="36" t="s">
        <v>927</v>
      </c>
      <c r="P28" s="36" t="s">
        <v>928</v>
      </c>
      <c r="Q28" s="36" t="s">
        <v>1176</v>
      </c>
    </row>
    <row r="29" spans="1:17" x14ac:dyDescent="0.3">
      <c r="A29" s="43" t="s">
        <v>397</v>
      </c>
      <c r="B29" s="36">
        <v>901027</v>
      </c>
      <c r="C29" s="36">
        <v>911027</v>
      </c>
      <c r="D29" s="53">
        <f t="shared" si="0"/>
        <v>111027</v>
      </c>
      <c r="E29" s="36" t="s">
        <v>1254</v>
      </c>
      <c r="F29" s="36" t="s">
        <v>878</v>
      </c>
      <c r="G29" s="36" t="s">
        <v>1061</v>
      </c>
      <c r="H29" s="36" t="s">
        <v>1254</v>
      </c>
      <c r="I29" s="36" t="s">
        <v>878</v>
      </c>
      <c r="J29" s="36" t="s">
        <v>1061</v>
      </c>
      <c r="K29" s="36" t="s">
        <v>1254</v>
      </c>
      <c r="L29" s="36" t="s">
        <v>878</v>
      </c>
      <c r="M29" s="36" t="s">
        <v>1061</v>
      </c>
      <c r="N29" s="36" t="s">
        <v>1101</v>
      </c>
      <c r="O29" s="36" t="s">
        <v>929</v>
      </c>
      <c r="P29" s="36" t="s">
        <v>930</v>
      </c>
      <c r="Q29" s="36" t="s">
        <v>1162</v>
      </c>
    </row>
    <row r="30" spans="1:17" x14ac:dyDescent="0.3">
      <c r="A30" s="43" t="s">
        <v>398</v>
      </c>
      <c r="B30" s="36">
        <v>901028</v>
      </c>
      <c r="C30" s="36">
        <v>911028</v>
      </c>
      <c r="D30" s="53">
        <f t="shared" si="0"/>
        <v>111028</v>
      </c>
      <c r="E30" s="36" t="s">
        <v>1183</v>
      </c>
      <c r="F30" s="36" t="s">
        <v>878</v>
      </c>
      <c r="G30" s="36" t="s">
        <v>1197</v>
      </c>
      <c r="H30" s="36" t="s">
        <v>1183</v>
      </c>
      <c r="I30" s="36" t="s">
        <v>878</v>
      </c>
      <c r="J30" s="36" t="s">
        <v>1197</v>
      </c>
      <c r="K30" s="36" t="s">
        <v>1183</v>
      </c>
      <c r="L30" s="36" t="s">
        <v>878</v>
      </c>
      <c r="M30" s="36" t="s">
        <v>1197</v>
      </c>
      <c r="N30" s="36" t="s">
        <v>1102</v>
      </c>
      <c r="O30" s="36" t="s">
        <v>931</v>
      </c>
      <c r="P30" s="36" t="s">
        <v>932</v>
      </c>
      <c r="Q30" s="36" t="s">
        <v>1212</v>
      </c>
    </row>
    <row r="31" spans="1:17" x14ac:dyDescent="0.3">
      <c r="A31" s="43" t="s">
        <v>399</v>
      </c>
      <c r="B31" s="36">
        <v>901029</v>
      </c>
      <c r="C31" s="36">
        <v>911029</v>
      </c>
      <c r="D31" s="53">
        <f t="shared" si="0"/>
        <v>111029</v>
      </c>
      <c r="E31" s="36" t="s">
        <v>1068</v>
      </c>
      <c r="F31" s="36" t="s">
        <v>878</v>
      </c>
      <c r="G31" s="36" t="s">
        <v>1169</v>
      </c>
      <c r="H31" s="36" t="s">
        <v>1068</v>
      </c>
      <c r="I31" s="36" t="s">
        <v>878</v>
      </c>
      <c r="J31" s="36" t="s">
        <v>1169</v>
      </c>
      <c r="K31" s="36" t="s">
        <v>1068</v>
      </c>
      <c r="L31" s="36" t="s">
        <v>878</v>
      </c>
      <c r="M31" s="36" t="s">
        <v>1169</v>
      </c>
      <c r="N31" s="36" t="s">
        <v>1103</v>
      </c>
      <c r="O31" s="36" t="s">
        <v>933</v>
      </c>
      <c r="P31" s="36" t="s">
        <v>934</v>
      </c>
      <c r="Q31" s="36" t="s">
        <v>1189</v>
      </c>
    </row>
    <row r="32" spans="1:17" x14ac:dyDescent="0.3">
      <c r="A32" s="43" t="s">
        <v>400</v>
      </c>
      <c r="B32" s="36">
        <v>901030</v>
      </c>
      <c r="C32" s="36">
        <v>911030</v>
      </c>
      <c r="D32" s="53">
        <f t="shared" si="0"/>
        <v>111030</v>
      </c>
      <c r="E32" s="36" t="s">
        <v>879</v>
      </c>
      <c r="F32" s="36" t="s">
        <v>878</v>
      </c>
      <c r="G32" s="36" t="s">
        <v>10</v>
      </c>
      <c r="H32" s="36" t="s">
        <v>879</v>
      </c>
      <c r="I32" s="36" t="s">
        <v>878</v>
      </c>
      <c r="J32" s="36" t="s">
        <v>10</v>
      </c>
      <c r="K32" s="36" t="s">
        <v>879</v>
      </c>
      <c r="L32" s="36" t="s">
        <v>878</v>
      </c>
      <c r="M32" s="36" t="s">
        <v>10</v>
      </c>
      <c r="N32" s="36" t="s">
        <v>1104</v>
      </c>
      <c r="O32" s="36" t="s">
        <v>935</v>
      </c>
      <c r="P32" s="36" t="s">
        <v>936</v>
      </c>
      <c r="Q32" s="36" t="s">
        <v>1162</v>
      </c>
    </row>
    <row r="33" spans="1:17" x14ac:dyDescent="0.3">
      <c r="A33" s="43" t="s">
        <v>401</v>
      </c>
      <c r="B33" s="36">
        <v>901031</v>
      </c>
      <c r="C33" s="36">
        <v>911031</v>
      </c>
      <c r="D33" s="53">
        <f t="shared" si="0"/>
        <v>111031</v>
      </c>
      <c r="E33" s="36" t="s">
        <v>1062</v>
      </c>
      <c r="F33" s="36" t="s">
        <v>1198</v>
      </c>
      <c r="G33" s="36" t="s">
        <v>1061</v>
      </c>
      <c r="H33" s="36" t="s">
        <v>1062</v>
      </c>
      <c r="I33" s="36" t="s">
        <v>1198</v>
      </c>
      <c r="J33" s="36" t="s">
        <v>1061</v>
      </c>
      <c r="K33" s="36" t="s">
        <v>1062</v>
      </c>
      <c r="L33" s="36" t="s">
        <v>1198</v>
      </c>
      <c r="M33" s="36" t="s">
        <v>1061</v>
      </c>
      <c r="N33" s="36" t="s">
        <v>1105</v>
      </c>
      <c r="O33" s="36" t="s">
        <v>937</v>
      </c>
      <c r="P33" s="36" t="s">
        <v>938</v>
      </c>
      <c r="Q33" s="36" t="s">
        <v>1162</v>
      </c>
    </row>
    <row r="34" spans="1:17" x14ac:dyDescent="0.3">
      <c r="A34" s="43" t="s">
        <v>402</v>
      </c>
      <c r="B34" s="36">
        <v>901032</v>
      </c>
      <c r="C34" s="36">
        <v>911032</v>
      </c>
      <c r="D34" s="53">
        <f t="shared" si="0"/>
        <v>111032</v>
      </c>
      <c r="E34" s="36" t="s">
        <v>1228</v>
      </c>
      <c r="F34" s="36" t="s">
        <v>878</v>
      </c>
      <c r="G34" s="36" t="s">
        <v>1055</v>
      </c>
      <c r="H34" s="36" t="s">
        <v>1229</v>
      </c>
      <c r="I34" s="36" t="s">
        <v>878</v>
      </c>
      <c r="J34" s="36" t="s">
        <v>1055</v>
      </c>
      <c r="K34" s="36" t="s">
        <v>1229</v>
      </c>
      <c r="L34" s="36" t="s">
        <v>878</v>
      </c>
      <c r="M34" s="36" t="s">
        <v>1055</v>
      </c>
      <c r="N34" s="36" t="s">
        <v>1106</v>
      </c>
      <c r="O34" s="36" t="s">
        <v>939</v>
      </c>
      <c r="P34" s="36" t="s">
        <v>940</v>
      </c>
      <c r="Q34" s="36" t="s">
        <v>1162</v>
      </c>
    </row>
    <row r="35" spans="1:17" x14ac:dyDescent="0.3">
      <c r="A35" s="43" t="s">
        <v>403</v>
      </c>
      <c r="B35" s="36">
        <v>901033</v>
      </c>
      <c r="C35" s="36">
        <v>911033</v>
      </c>
      <c r="D35" s="53">
        <f t="shared" si="0"/>
        <v>111033</v>
      </c>
      <c r="E35" s="36" t="s">
        <v>1182</v>
      </c>
      <c r="F35" s="36" t="s">
        <v>878</v>
      </c>
      <c r="G35" s="36" t="s">
        <v>1169</v>
      </c>
      <c r="H35" s="36" t="s">
        <v>1182</v>
      </c>
      <c r="I35" s="36" t="s">
        <v>878</v>
      </c>
      <c r="J35" s="36" t="s">
        <v>1169</v>
      </c>
      <c r="K35" s="36" t="s">
        <v>1182</v>
      </c>
      <c r="L35" s="36" t="s">
        <v>878</v>
      </c>
      <c r="M35" s="36" t="s">
        <v>1169</v>
      </c>
      <c r="N35" s="36" t="s">
        <v>1107</v>
      </c>
      <c r="O35" s="36" t="s">
        <v>941</v>
      </c>
      <c r="P35" s="36" t="s">
        <v>942</v>
      </c>
    </row>
    <row r="36" spans="1:17" x14ac:dyDescent="0.3">
      <c r="A36" s="43" t="s">
        <v>404</v>
      </c>
      <c r="B36" s="36">
        <v>901034</v>
      </c>
      <c r="C36" s="36">
        <v>911034</v>
      </c>
      <c r="D36" s="53">
        <f t="shared" si="0"/>
        <v>111034</v>
      </c>
      <c r="E36" s="36" t="s">
        <v>880</v>
      </c>
      <c r="F36" s="36" t="s">
        <v>878</v>
      </c>
      <c r="G36" s="36" t="s">
        <v>11</v>
      </c>
      <c r="H36" s="36" t="s">
        <v>880</v>
      </c>
      <c r="I36" s="36" t="s">
        <v>878</v>
      </c>
      <c r="J36" s="36" t="s">
        <v>11</v>
      </c>
      <c r="K36" s="36" t="s">
        <v>880</v>
      </c>
      <c r="L36" s="36" t="s">
        <v>878</v>
      </c>
      <c r="M36" s="36" t="s">
        <v>11</v>
      </c>
      <c r="N36" s="36" t="s">
        <v>1045</v>
      </c>
      <c r="O36" s="36" t="s">
        <v>943</v>
      </c>
      <c r="P36" s="36" t="s">
        <v>944</v>
      </c>
      <c r="Q36" s="36" t="s">
        <v>1162</v>
      </c>
    </row>
    <row r="37" spans="1:17" x14ac:dyDescent="0.3">
      <c r="A37" s="43" t="s">
        <v>405</v>
      </c>
      <c r="B37" s="36">
        <v>901035</v>
      </c>
      <c r="C37" s="36">
        <v>911035</v>
      </c>
      <c r="D37" s="53">
        <f t="shared" si="0"/>
        <v>111035</v>
      </c>
      <c r="E37" s="36" t="s">
        <v>1065</v>
      </c>
      <c r="F37" s="36" t="s">
        <v>878</v>
      </c>
      <c r="G37" s="36" t="s">
        <v>301</v>
      </c>
      <c r="H37" s="36" t="s">
        <v>1208</v>
      </c>
      <c r="I37" s="36" t="s">
        <v>878</v>
      </c>
      <c r="J37" s="36" t="s">
        <v>11</v>
      </c>
      <c r="K37" s="36" t="s">
        <v>1208</v>
      </c>
      <c r="L37" s="36" t="s">
        <v>878</v>
      </c>
      <c r="M37" s="36" t="s">
        <v>11</v>
      </c>
      <c r="N37" s="36" t="s">
        <v>1108</v>
      </c>
      <c r="O37" s="36" t="s">
        <v>945</v>
      </c>
      <c r="P37" s="36" t="s">
        <v>946</v>
      </c>
      <c r="Q37" s="36" t="s">
        <v>1162</v>
      </c>
    </row>
    <row r="38" spans="1:17" x14ac:dyDescent="0.3">
      <c r="A38" s="43" t="s">
        <v>208</v>
      </c>
      <c r="B38" s="36">
        <v>901036</v>
      </c>
      <c r="C38" s="36">
        <v>911036</v>
      </c>
      <c r="D38" s="53">
        <f t="shared" si="0"/>
        <v>111036</v>
      </c>
      <c r="E38" s="36" t="s">
        <v>1062</v>
      </c>
      <c r="F38" s="36" t="s">
        <v>878</v>
      </c>
      <c r="G38" s="36" t="s">
        <v>1056</v>
      </c>
      <c r="H38" s="36" t="s">
        <v>1062</v>
      </c>
      <c r="I38" s="36" t="s">
        <v>878</v>
      </c>
      <c r="J38" s="36" t="s">
        <v>1056</v>
      </c>
      <c r="K38" s="36" t="s">
        <v>1062</v>
      </c>
      <c r="L38" s="36" t="s">
        <v>878</v>
      </c>
      <c r="M38" s="36" t="s">
        <v>1056</v>
      </c>
      <c r="N38" s="36" t="s">
        <v>1109</v>
      </c>
      <c r="O38" s="36" t="s">
        <v>947</v>
      </c>
      <c r="P38" s="36" t="s">
        <v>948</v>
      </c>
      <c r="Q38" s="36" t="s">
        <v>1162</v>
      </c>
    </row>
    <row r="39" spans="1:17" x14ac:dyDescent="0.3">
      <c r="A39" s="43" t="s">
        <v>406</v>
      </c>
      <c r="B39" s="36">
        <v>901037</v>
      </c>
      <c r="C39" s="36">
        <v>911037</v>
      </c>
      <c r="D39" s="53">
        <f t="shared" si="0"/>
        <v>111037</v>
      </c>
      <c r="E39" s="36" t="s">
        <v>1230</v>
      </c>
      <c r="F39" s="36" t="s">
        <v>878</v>
      </c>
      <c r="G39" s="36" t="s">
        <v>1197</v>
      </c>
      <c r="H39" s="36" t="s">
        <v>1230</v>
      </c>
      <c r="I39" s="36" t="s">
        <v>878</v>
      </c>
      <c r="J39" s="36" t="s">
        <v>1197</v>
      </c>
      <c r="K39" s="36" t="s">
        <v>1230</v>
      </c>
      <c r="L39" s="36" t="s">
        <v>878</v>
      </c>
      <c r="M39" s="36" t="s">
        <v>1197</v>
      </c>
      <c r="N39" s="36" t="s">
        <v>1110</v>
      </c>
      <c r="O39" s="36" t="s">
        <v>949</v>
      </c>
      <c r="P39" s="36" t="s">
        <v>950</v>
      </c>
    </row>
    <row r="40" spans="1:17" x14ac:dyDescent="0.3">
      <c r="A40" s="43" t="s">
        <v>407</v>
      </c>
      <c r="B40" s="36">
        <v>901038</v>
      </c>
      <c r="C40" s="36">
        <v>911038</v>
      </c>
      <c r="D40" s="53">
        <f t="shared" si="0"/>
        <v>111038</v>
      </c>
      <c r="E40" s="36" t="s">
        <v>1065</v>
      </c>
      <c r="F40" s="36" t="s">
        <v>878</v>
      </c>
      <c r="G40" s="36" t="s">
        <v>11</v>
      </c>
      <c r="H40" s="36" t="s">
        <v>1065</v>
      </c>
      <c r="I40" s="36" t="s">
        <v>878</v>
      </c>
      <c r="J40" s="36" t="s">
        <v>11</v>
      </c>
      <c r="K40" s="36" t="s">
        <v>1065</v>
      </c>
      <c r="L40" s="36" t="s">
        <v>878</v>
      </c>
      <c r="M40" s="36" t="s">
        <v>11</v>
      </c>
      <c r="N40" s="36" t="s">
        <v>1111</v>
      </c>
      <c r="O40" s="36" t="s">
        <v>951</v>
      </c>
      <c r="P40" s="36" t="s">
        <v>952</v>
      </c>
      <c r="Q40" s="36" t="s">
        <v>1189</v>
      </c>
    </row>
    <row r="41" spans="1:17" x14ac:dyDescent="0.3">
      <c r="A41" s="43" t="s">
        <v>214</v>
      </c>
      <c r="B41" s="36">
        <v>901039</v>
      </c>
      <c r="C41" s="36">
        <v>911039</v>
      </c>
      <c r="D41" s="53">
        <f t="shared" si="0"/>
        <v>111039</v>
      </c>
      <c r="E41" s="36" t="s">
        <v>1230</v>
      </c>
      <c r="F41" s="36" t="s">
        <v>878</v>
      </c>
      <c r="G41" s="36" t="s">
        <v>11</v>
      </c>
      <c r="H41" s="36" t="s">
        <v>1220</v>
      </c>
      <c r="I41" s="36" t="s">
        <v>878</v>
      </c>
      <c r="J41" s="36" t="s">
        <v>11</v>
      </c>
      <c r="K41" s="36" t="s">
        <v>1220</v>
      </c>
      <c r="L41" s="36" t="s">
        <v>878</v>
      </c>
      <c r="M41" s="36" t="s">
        <v>11</v>
      </c>
      <c r="N41" s="36" t="s">
        <v>1112</v>
      </c>
      <c r="O41" s="36" t="s">
        <v>953</v>
      </c>
      <c r="P41" s="36" t="s">
        <v>954</v>
      </c>
    </row>
    <row r="42" spans="1:17" x14ac:dyDescent="0.3">
      <c r="A42" s="43" t="s">
        <v>408</v>
      </c>
      <c r="B42" s="36">
        <v>901040</v>
      </c>
      <c r="C42" s="36">
        <v>911040</v>
      </c>
      <c r="D42" s="53">
        <f t="shared" si="0"/>
        <v>111040</v>
      </c>
      <c r="E42" s="36" t="s">
        <v>1065</v>
      </c>
      <c r="F42" s="36" t="s">
        <v>878</v>
      </c>
      <c r="G42" s="36" t="s">
        <v>1056</v>
      </c>
      <c r="H42" s="36" t="s">
        <v>1065</v>
      </c>
      <c r="I42" s="36" t="s">
        <v>878</v>
      </c>
      <c r="J42" s="36" t="s">
        <v>1056</v>
      </c>
      <c r="K42" s="36" t="s">
        <v>1065</v>
      </c>
      <c r="L42" s="36" t="s">
        <v>878</v>
      </c>
      <c r="M42" s="36" t="s">
        <v>1056</v>
      </c>
      <c r="N42" s="36" t="s">
        <v>1113</v>
      </c>
      <c r="O42" s="36" t="s">
        <v>955</v>
      </c>
      <c r="P42" s="36" t="s">
        <v>956</v>
      </c>
      <c r="Q42" s="36" t="s">
        <v>1162</v>
      </c>
    </row>
    <row r="43" spans="1:17" x14ac:dyDescent="0.3">
      <c r="A43" s="43" t="s">
        <v>409</v>
      </c>
      <c r="B43" s="36">
        <v>901041</v>
      </c>
      <c r="C43" s="36">
        <v>911041</v>
      </c>
      <c r="D43" s="53">
        <f t="shared" si="0"/>
        <v>111041</v>
      </c>
      <c r="E43" s="36" t="s">
        <v>1183</v>
      </c>
      <c r="F43" s="36" t="s">
        <v>878</v>
      </c>
      <c r="G43" s="36" t="s">
        <v>1184</v>
      </c>
      <c r="H43" s="36" t="s">
        <v>1183</v>
      </c>
      <c r="I43" s="36" t="s">
        <v>878</v>
      </c>
      <c r="J43" s="36" t="s">
        <v>1184</v>
      </c>
      <c r="K43" s="36" t="s">
        <v>1183</v>
      </c>
      <c r="L43" s="36" t="s">
        <v>878</v>
      </c>
      <c r="M43" s="36" t="s">
        <v>1184</v>
      </c>
      <c r="N43" s="36" t="s">
        <v>1114</v>
      </c>
      <c r="O43" s="36" t="s">
        <v>957</v>
      </c>
      <c r="P43" s="36" t="s">
        <v>958</v>
      </c>
      <c r="Q43" s="36" t="s">
        <v>1192</v>
      </c>
    </row>
    <row r="44" spans="1:17" x14ac:dyDescent="0.3">
      <c r="A44" s="43" t="s">
        <v>220</v>
      </c>
      <c r="B44" s="36">
        <v>901042</v>
      </c>
      <c r="C44" s="36">
        <v>911042</v>
      </c>
      <c r="D44" s="53">
        <f t="shared" si="0"/>
        <v>111042</v>
      </c>
      <c r="E44" s="36" t="s">
        <v>1221</v>
      </c>
      <c r="F44" s="36" t="s">
        <v>878</v>
      </c>
      <c r="G44" s="36" t="s">
        <v>10</v>
      </c>
      <c r="H44" s="36" t="s">
        <v>1221</v>
      </c>
      <c r="I44" s="36" t="s">
        <v>878</v>
      </c>
      <c r="J44" s="36" t="s">
        <v>10</v>
      </c>
      <c r="K44" s="36" t="s">
        <v>1221</v>
      </c>
      <c r="L44" s="36" t="s">
        <v>878</v>
      </c>
      <c r="M44" s="36" t="s">
        <v>10</v>
      </c>
      <c r="N44" s="36" t="s">
        <v>1115</v>
      </c>
      <c r="O44" s="36" t="s">
        <v>959</v>
      </c>
      <c r="P44" s="36" t="s">
        <v>960</v>
      </c>
      <c r="Q44" s="36" t="s">
        <v>1162</v>
      </c>
    </row>
    <row r="45" spans="1:17" x14ac:dyDescent="0.3">
      <c r="A45" s="43" t="s">
        <v>410</v>
      </c>
      <c r="B45" s="36">
        <v>901043</v>
      </c>
      <c r="C45" s="36">
        <v>911043</v>
      </c>
      <c r="D45" s="53">
        <f t="shared" si="0"/>
        <v>111043</v>
      </c>
      <c r="E45" s="36" t="s">
        <v>1185</v>
      </c>
      <c r="F45" s="36" t="s">
        <v>1186</v>
      </c>
      <c r="G45" s="36" t="s">
        <v>1061</v>
      </c>
      <c r="H45" s="36" t="s">
        <v>1185</v>
      </c>
      <c r="I45" s="36" t="s">
        <v>1186</v>
      </c>
      <c r="J45" s="36" t="s">
        <v>1061</v>
      </c>
      <c r="K45" s="36" t="s">
        <v>1185</v>
      </c>
      <c r="L45" s="36" t="s">
        <v>1186</v>
      </c>
      <c r="M45" s="36" t="s">
        <v>1061</v>
      </c>
      <c r="N45" s="36" t="s">
        <v>1116</v>
      </c>
      <c r="O45" s="36" t="s">
        <v>961</v>
      </c>
      <c r="P45" s="36" t="s">
        <v>962</v>
      </c>
    </row>
    <row r="46" spans="1:17" x14ac:dyDescent="0.3">
      <c r="A46" s="43" t="s">
        <v>411</v>
      </c>
      <c r="B46" s="36">
        <v>901044</v>
      </c>
      <c r="C46" s="36">
        <v>911044</v>
      </c>
      <c r="D46" s="53">
        <f t="shared" si="0"/>
        <v>111044</v>
      </c>
      <c r="E46" s="36" t="s">
        <v>880</v>
      </c>
      <c r="F46" s="36" t="s">
        <v>878</v>
      </c>
      <c r="G46" s="36" t="s">
        <v>1061</v>
      </c>
      <c r="H46" s="36" t="s">
        <v>1210</v>
      </c>
      <c r="I46" s="36" t="s">
        <v>878</v>
      </c>
      <c r="J46" s="36" t="s">
        <v>1057</v>
      </c>
      <c r="K46" s="36" t="s">
        <v>1210</v>
      </c>
      <c r="L46" s="36" t="s">
        <v>878</v>
      </c>
      <c r="M46" s="36" t="s">
        <v>1057</v>
      </c>
      <c r="N46" s="36" t="s">
        <v>1117</v>
      </c>
      <c r="O46" s="36" t="s">
        <v>963</v>
      </c>
      <c r="P46" s="36" t="s">
        <v>964</v>
      </c>
      <c r="Q46" s="36" t="s">
        <v>1162</v>
      </c>
    </row>
    <row r="47" spans="1:17" x14ac:dyDescent="0.3">
      <c r="A47" s="44" t="s">
        <v>226</v>
      </c>
      <c r="B47" s="36">
        <v>901045</v>
      </c>
      <c r="C47" s="36">
        <v>911045</v>
      </c>
      <c r="D47" s="53">
        <f t="shared" si="0"/>
        <v>111045</v>
      </c>
      <c r="E47" s="36" t="s">
        <v>1075</v>
      </c>
      <c r="F47" s="36" t="s">
        <v>878</v>
      </c>
      <c r="G47" s="36" t="s">
        <v>1057</v>
      </c>
      <c r="H47" s="36" t="s">
        <v>1075</v>
      </c>
      <c r="I47" s="36" t="s">
        <v>878</v>
      </c>
      <c r="J47" s="36" t="s">
        <v>1057</v>
      </c>
      <c r="K47" s="36" t="s">
        <v>1075</v>
      </c>
      <c r="L47" s="36" t="s">
        <v>878</v>
      </c>
      <c r="M47" s="36" t="s">
        <v>1057</v>
      </c>
      <c r="N47" s="36" t="s">
        <v>1118</v>
      </c>
      <c r="O47" s="36" t="s">
        <v>965</v>
      </c>
      <c r="P47" s="36" t="s">
        <v>966</v>
      </c>
      <c r="Q47" s="36" t="s">
        <v>1176</v>
      </c>
    </row>
    <row r="48" spans="1:17" x14ac:dyDescent="0.3">
      <c r="A48" s="44" t="s">
        <v>412</v>
      </c>
      <c r="B48" s="36">
        <v>901046</v>
      </c>
      <c r="C48" s="36">
        <v>911046</v>
      </c>
      <c r="D48" s="53">
        <f t="shared" si="0"/>
        <v>111046</v>
      </c>
      <c r="E48" s="36" t="s">
        <v>1066</v>
      </c>
      <c r="F48" s="36" t="s">
        <v>878</v>
      </c>
      <c r="G48" s="36" t="s">
        <v>1055</v>
      </c>
      <c r="H48" s="36" t="s">
        <v>1066</v>
      </c>
      <c r="I48" s="36" t="s">
        <v>878</v>
      </c>
      <c r="J48" s="36" t="s">
        <v>1055</v>
      </c>
      <c r="K48" s="36" t="s">
        <v>1066</v>
      </c>
      <c r="L48" s="36" t="s">
        <v>878</v>
      </c>
      <c r="M48" s="36" t="s">
        <v>1055</v>
      </c>
      <c r="N48" s="36" t="s">
        <v>1119</v>
      </c>
      <c r="O48" s="36" t="s">
        <v>967</v>
      </c>
      <c r="P48" s="36" t="s">
        <v>968</v>
      </c>
      <c r="Q48" s="36" t="s">
        <v>1162</v>
      </c>
    </row>
    <row r="49" spans="1:17" x14ac:dyDescent="0.3">
      <c r="A49" s="44" t="s">
        <v>413</v>
      </c>
      <c r="B49" s="36">
        <v>901047</v>
      </c>
      <c r="C49" s="36">
        <v>911047</v>
      </c>
      <c r="D49" s="53">
        <f t="shared" si="0"/>
        <v>111047</v>
      </c>
      <c r="E49" s="36" t="s">
        <v>1183</v>
      </c>
      <c r="F49" s="36" t="s">
        <v>878</v>
      </c>
      <c r="G49" s="36" t="s">
        <v>1199</v>
      </c>
      <c r="H49" s="36" t="s">
        <v>1183</v>
      </c>
      <c r="I49" s="36" t="s">
        <v>878</v>
      </c>
      <c r="J49" s="36" t="s">
        <v>1199</v>
      </c>
      <c r="K49" s="36" t="s">
        <v>1183</v>
      </c>
      <c r="L49" s="36" t="s">
        <v>878</v>
      </c>
      <c r="M49" s="36" t="s">
        <v>1199</v>
      </c>
      <c r="N49" s="36" t="s">
        <v>1120</v>
      </c>
      <c r="O49" s="36" t="s">
        <v>969</v>
      </c>
      <c r="P49" s="36" t="s">
        <v>970</v>
      </c>
      <c r="Q49" s="36"/>
    </row>
    <row r="50" spans="1:17" x14ac:dyDescent="0.3">
      <c r="A50" s="43" t="s">
        <v>414</v>
      </c>
      <c r="B50" s="36">
        <v>901048</v>
      </c>
      <c r="C50" s="36">
        <v>911048</v>
      </c>
      <c r="D50" s="53">
        <f t="shared" si="0"/>
        <v>111048</v>
      </c>
      <c r="E50" s="36" t="s">
        <v>1075</v>
      </c>
      <c r="F50" s="36" t="s">
        <v>878</v>
      </c>
      <c r="G50" s="36" t="s">
        <v>1173</v>
      </c>
      <c r="H50" s="36" t="s">
        <v>1075</v>
      </c>
      <c r="I50" s="36" t="s">
        <v>878</v>
      </c>
      <c r="J50" s="36" t="s">
        <v>1173</v>
      </c>
      <c r="K50" s="36" t="s">
        <v>1075</v>
      </c>
      <c r="L50" s="36" t="s">
        <v>878</v>
      </c>
      <c r="M50" s="36" t="s">
        <v>1173</v>
      </c>
      <c r="N50" s="36" t="s">
        <v>1121</v>
      </c>
      <c r="O50" s="36" t="s">
        <v>971</v>
      </c>
      <c r="P50" s="36" t="s">
        <v>972</v>
      </c>
    </row>
    <row r="51" spans="1:17" x14ac:dyDescent="0.3">
      <c r="A51" s="44" t="s">
        <v>232</v>
      </c>
      <c r="B51" s="36">
        <v>901049</v>
      </c>
      <c r="C51" s="36">
        <v>911049</v>
      </c>
      <c r="D51" s="53">
        <f t="shared" si="0"/>
        <v>111049</v>
      </c>
      <c r="E51" s="36" t="s">
        <v>1170</v>
      </c>
      <c r="F51" s="36" t="s">
        <v>878</v>
      </c>
      <c r="G51" s="36" t="s">
        <v>1200</v>
      </c>
      <c r="H51" s="36" t="s">
        <v>1170</v>
      </c>
      <c r="I51" s="36" t="s">
        <v>878</v>
      </c>
      <c r="J51" s="36" t="s">
        <v>1200</v>
      </c>
      <c r="K51" s="36" t="s">
        <v>1170</v>
      </c>
      <c r="L51" s="36" t="s">
        <v>878</v>
      </c>
      <c r="M51" s="36" t="s">
        <v>1200</v>
      </c>
      <c r="N51" s="36" t="s">
        <v>1122</v>
      </c>
      <c r="O51" s="36" t="s">
        <v>973</v>
      </c>
      <c r="P51" s="36" t="s">
        <v>974</v>
      </c>
    </row>
    <row r="52" spans="1:17" x14ac:dyDescent="0.3">
      <c r="A52" s="44" t="s">
        <v>234</v>
      </c>
      <c r="B52" s="36">
        <v>901050</v>
      </c>
      <c r="C52" s="36">
        <v>911050</v>
      </c>
      <c r="D52" s="53">
        <f t="shared" si="0"/>
        <v>111050</v>
      </c>
      <c r="E52" s="36" t="s">
        <v>1222</v>
      </c>
      <c r="F52" s="36" t="s">
        <v>878</v>
      </c>
      <c r="G52" s="36" t="s">
        <v>301</v>
      </c>
      <c r="H52" s="36" t="s">
        <v>1222</v>
      </c>
      <c r="I52" s="36" t="s">
        <v>878</v>
      </c>
      <c r="J52" s="36" t="s">
        <v>301</v>
      </c>
      <c r="K52" s="36" t="s">
        <v>1222</v>
      </c>
      <c r="L52" s="36" t="s">
        <v>878</v>
      </c>
      <c r="M52" s="36" t="s">
        <v>301</v>
      </c>
      <c r="N52" s="36" t="s">
        <v>1123</v>
      </c>
      <c r="O52" s="36" t="s">
        <v>975</v>
      </c>
      <c r="P52" s="36" t="s">
        <v>976</v>
      </c>
      <c r="Q52" s="36" t="s">
        <v>1162</v>
      </c>
    </row>
    <row r="53" spans="1:17" x14ac:dyDescent="0.3">
      <c r="A53" s="44" t="s">
        <v>415</v>
      </c>
      <c r="B53" s="36">
        <v>901051</v>
      </c>
      <c r="C53" s="36">
        <v>911051</v>
      </c>
      <c r="D53" s="53">
        <f t="shared" si="0"/>
        <v>111051</v>
      </c>
      <c r="E53" s="36" t="s">
        <v>1201</v>
      </c>
      <c r="F53" s="36" t="s">
        <v>878</v>
      </c>
      <c r="G53" s="36" t="s">
        <v>10</v>
      </c>
      <c r="H53" s="36" t="s">
        <v>1201</v>
      </c>
      <c r="I53" s="36" t="s">
        <v>878</v>
      </c>
      <c r="J53" s="36" t="s">
        <v>1055</v>
      </c>
      <c r="K53" s="36" t="s">
        <v>1201</v>
      </c>
      <c r="L53" s="36" t="s">
        <v>878</v>
      </c>
      <c r="M53" s="36" t="s">
        <v>1055</v>
      </c>
      <c r="N53" s="36" t="s">
        <v>1124</v>
      </c>
      <c r="O53" s="36" t="s">
        <v>977</v>
      </c>
      <c r="P53" s="36" t="s">
        <v>978</v>
      </c>
      <c r="Q53" s="36" t="s">
        <v>1162</v>
      </c>
    </row>
    <row r="54" spans="1:17" x14ac:dyDescent="0.3">
      <c r="A54" s="44" t="s">
        <v>416</v>
      </c>
      <c r="B54" s="36">
        <v>901052</v>
      </c>
      <c r="C54" s="36">
        <v>911052</v>
      </c>
      <c r="D54" s="53">
        <f t="shared" si="0"/>
        <v>111052</v>
      </c>
      <c r="E54" s="36" t="s">
        <v>1170</v>
      </c>
      <c r="F54" s="36" t="s">
        <v>878</v>
      </c>
      <c r="G54" s="36" t="s">
        <v>1057</v>
      </c>
      <c r="H54" s="36" t="s">
        <v>1170</v>
      </c>
      <c r="I54" s="36" t="s">
        <v>878</v>
      </c>
      <c r="J54" s="36" t="s">
        <v>1057</v>
      </c>
      <c r="K54" s="36" t="s">
        <v>1170</v>
      </c>
      <c r="L54" s="36" t="s">
        <v>878</v>
      </c>
      <c r="M54" s="36" t="s">
        <v>1057</v>
      </c>
      <c r="N54" s="36" t="s">
        <v>1125</v>
      </c>
      <c r="O54" s="36" t="s">
        <v>979</v>
      </c>
      <c r="P54" s="36" t="s">
        <v>980</v>
      </c>
      <c r="Q54" s="36" t="s">
        <v>1176</v>
      </c>
    </row>
    <row r="55" spans="1:17" x14ac:dyDescent="0.3">
      <c r="A55" s="44" t="s">
        <v>417</v>
      </c>
      <c r="B55" s="36">
        <v>901053</v>
      </c>
      <c r="C55" s="36">
        <v>911053</v>
      </c>
      <c r="D55" s="53">
        <f t="shared" si="0"/>
        <v>111053</v>
      </c>
      <c r="E55" s="36" t="s">
        <v>880</v>
      </c>
      <c r="F55" s="36" t="s">
        <v>878</v>
      </c>
      <c r="G55" s="36" t="s">
        <v>1056</v>
      </c>
      <c r="H55" s="36" t="s">
        <v>880</v>
      </c>
      <c r="I55" s="36" t="s">
        <v>878</v>
      </c>
      <c r="J55" s="36" t="s">
        <v>1056</v>
      </c>
      <c r="K55" s="36" t="s">
        <v>880</v>
      </c>
      <c r="L55" s="36" t="s">
        <v>878</v>
      </c>
      <c r="M55" s="36" t="s">
        <v>1056</v>
      </c>
      <c r="N55" s="36" t="s">
        <v>1126</v>
      </c>
      <c r="O55" s="36" t="s">
        <v>981</v>
      </c>
      <c r="P55" s="36" t="s">
        <v>982</v>
      </c>
      <c r="Q55" s="36" t="s">
        <v>1162</v>
      </c>
    </row>
    <row r="56" spans="1:17" x14ac:dyDescent="0.3">
      <c r="A56" s="44" t="s">
        <v>418</v>
      </c>
      <c r="B56" s="36">
        <v>901054</v>
      </c>
      <c r="C56" s="36">
        <v>911054</v>
      </c>
      <c r="D56" s="53">
        <f t="shared" si="0"/>
        <v>111054</v>
      </c>
      <c r="E56" s="36" t="s">
        <v>1223</v>
      </c>
      <c r="F56" s="36" t="s">
        <v>878</v>
      </c>
      <c r="G56" s="36" t="s">
        <v>1224</v>
      </c>
      <c r="H56" s="36" t="s">
        <v>1223</v>
      </c>
      <c r="I56" s="36" t="s">
        <v>878</v>
      </c>
      <c r="J56" s="36" t="s">
        <v>1224</v>
      </c>
      <c r="K56" s="36" t="s">
        <v>1223</v>
      </c>
      <c r="L56" s="36" t="s">
        <v>878</v>
      </c>
      <c r="M56" s="36" t="s">
        <v>1224</v>
      </c>
      <c r="N56" s="36" t="s">
        <v>1127</v>
      </c>
      <c r="O56" s="36" t="s">
        <v>983</v>
      </c>
      <c r="P56" s="36" t="s">
        <v>984</v>
      </c>
      <c r="Q56" s="36" t="s">
        <v>1162</v>
      </c>
    </row>
    <row r="57" spans="1:17" x14ac:dyDescent="0.3">
      <c r="A57" s="44" t="s">
        <v>419</v>
      </c>
      <c r="B57" s="36">
        <v>901055</v>
      </c>
      <c r="C57" s="36">
        <v>911055</v>
      </c>
      <c r="D57" s="53">
        <f t="shared" si="0"/>
        <v>111055</v>
      </c>
      <c r="E57" s="36" t="s">
        <v>1171</v>
      </c>
      <c r="F57" s="36" t="s">
        <v>878</v>
      </c>
      <c r="G57" s="36" t="s">
        <v>1169</v>
      </c>
      <c r="H57" s="36" t="s">
        <v>1171</v>
      </c>
      <c r="I57" s="36" t="s">
        <v>878</v>
      </c>
      <c r="J57" s="36" t="s">
        <v>1169</v>
      </c>
      <c r="K57" s="36" t="s">
        <v>1171</v>
      </c>
      <c r="L57" s="36" t="s">
        <v>878</v>
      </c>
      <c r="M57" s="36" t="s">
        <v>1169</v>
      </c>
      <c r="N57" s="36" t="s">
        <v>1128</v>
      </c>
      <c r="O57" s="36" t="s">
        <v>985</v>
      </c>
      <c r="P57" s="36" t="s">
        <v>986</v>
      </c>
      <c r="Q57" s="36"/>
    </row>
    <row r="58" spans="1:17" x14ac:dyDescent="0.3">
      <c r="A58" s="44" t="s">
        <v>420</v>
      </c>
      <c r="B58" s="36">
        <v>901056</v>
      </c>
      <c r="C58" s="36">
        <v>911056</v>
      </c>
      <c r="D58" s="53">
        <f t="shared" si="0"/>
        <v>111056</v>
      </c>
      <c r="E58" s="36" t="s">
        <v>880</v>
      </c>
      <c r="F58" s="36" t="s">
        <v>878</v>
      </c>
      <c r="G58" s="36" t="s">
        <v>301</v>
      </c>
      <c r="H58" s="36" t="s">
        <v>880</v>
      </c>
      <c r="I58" s="36" t="s">
        <v>878</v>
      </c>
      <c r="J58" s="36" t="s">
        <v>301</v>
      </c>
      <c r="K58" s="36" t="s">
        <v>880</v>
      </c>
      <c r="L58" s="36" t="s">
        <v>878</v>
      </c>
      <c r="M58" s="36" t="s">
        <v>301</v>
      </c>
      <c r="N58" s="36" t="s">
        <v>1129</v>
      </c>
      <c r="O58" s="36" t="s">
        <v>987</v>
      </c>
      <c r="P58" s="36" t="s">
        <v>988</v>
      </c>
      <c r="Q58" s="36" t="s">
        <v>1162</v>
      </c>
    </row>
    <row r="59" spans="1:17" x14ac:dyDescent="0.3">
      <c r="A59" s="44" t="s">
        <v>421</v>
      </c>
      <c r="B59" s="36">
        <v>901057</v>
      </c>
      <c r="C59" s="36">
        <v>911057</v>
      </c>
      <c r="D59" s="53">
        <f t="shared" si="0"/>
        <v>111057</v>
      </c>
      <c r="E59" s="36" t="s">
        <v>1067</v>
      </c>
      <c r="F59" s="36" t="s">
        <v>878</v>
      </c>
      <c r="G59" s="36" t="s">
        <v>11</v>
      </c>
      <c r="H59" s="36" t="s">
        <v>1067</v>
      </c>
      <c r="I59" s="36" t="s">
        <v>878</v>
      </c>
      <c r="J59" s="36" t="s">
        <v>11</v>
      </c>
      <c r="K59" s="36" t="s">
        <v>1067</v>
      </c>
      <c r="L59" s="36" t="s">
        <v>878</v>
      </c>
      <c r="M59" s="36" t="s">
        <v>11</v>
      </c>
      <c r="N59" s="36" t="s">
        <v>1130</v>
      </c>
      <c r="O59" s="36" t="s">
        <v>989</v>
      </c>
      <c r="P59" s="36" t="s">
        <v>990</v>
      </c>
      <c r="Q59" s="36" t="s">
        <v>1162</v>
      </c>
    </row>
    <row r="60" spans="1:17" x14ac:dyDescent="0.3">
      <c r="A60" s="44" t="s">
        <v>422</v>
      </c>
      <c r="B60" s="36">
        <v>901058</v>
      </c>
      <c r="C60" s="36">
        <v>911058</v>
      </c>
      <c r="D60" s="53">
        <f t="shared" si="0"/>
        <v>111058</v>
      </c>
      <c r="E60" s="36" t="s">
        <v>1068</v>
      </c>
      <c r="F60" s="36" t="s">
        <v>878</v>
      </c>
      <c r="G60" s="36" t="s">
        <v>11</v>
      </c>
      <c r="H60" s="36" t="s">
        <v>1068</v>
      </c>
      <c r="I60" s="36" t="s">
        <v>878</v>
      </c>
      <c r="J60" s="36" t="s">
        <v>11</v>
      </c>
      <c r="K60" s="36" t="s">
        <v>1068</v>
      </c>
      <c r="L60" s="36" t="s">
        <v>878</v>
      </c>
      <c r="M60" s="36" t="s">
        <v>11</v>
      </c>
      <c r="N60" s="36" t="s">
        <v>1131</v>
      </c>
      <c r="O60" s="36" t="s">
        <v>991</v>
      </c>
      <c r="P60" s="36" t="s">
        <v>992</v>
      </c>
      <c r="Q60" s="36" t="s">
        <v>1162</v>
      </c>
    </row>
    <row r="61" spans="1:17" x14ac:dyDescent="0.3">
      <c r="A61" s="44" t="s">
        <v>423</v>
      </c>
      <c r="B61" s="36">
        <v>901059</v>
      </c>
      <c r="C61" s="36">
        <v>911059</v>
      </c>
      <c r="D61" s="53">
        <f t="shared" si="0"/>
        <v>111059</v>
      </c>
      <c r="E61" s="36" t="s">
        <v>1071</v>
      </c>
      <c r="F61" s="36" t="s">
        <v>878</v>
      </c>
      <c r="G61" s="36" t="s">
        <v>1069</v>
      </c>
      <c r="H61" s="36" t="s">
        <v>1071</v>
      </c>
      <c r="I61" s="36" t="s">
        <v>878</v>
      </c>
      <c r="J61" s="36" t="s">
        <v>1069</v>
      </c>
      <c r="K61" s="36" t="s">
        <v>1071</v>
      </c>
      <c r="L61" s="36" t="s">
        <v>878</v>
      </c>
      <c r="M61" s="36" t="s">
        <v>1069</v>
      </c>
      <c r="N61" s="36" t="s">
        <v>1132</v>
      </c>
      <c r="O61" s="36" t="s">
        <v>993</v>
      </c>
      <c r="P61" s="36" t="s">
        <v>994</v>
      </c>
      <c r="Q61" s="36" t="s">
        <v>1162</v>
      </c>
    </row>
    <row r="62" spans="1:17" x14ac:dyDescent="0.3">
      <c r="A62" s="44" t="s">
        <v>424</v>
      </c>
      <c r="B62" s="36">
        <v>901060</v>
      </c>
      <c r="C62" s="36">
        <v>911060</v>
      </c>
      <c r="D62" s="53">
        <f t="shared" si="0"/>
        <v>111060</v>
      </c>
      <c r="E62" s="36" t="s">
        <v>1187</v>
      </c>
      <c r="F62" s="36" t="s">
        <v>878</v>
      </c>
      <c r="G62" s="36" t="s">
        <v>1055</v>
      </c>
      <c r="H62" s="36" t="s">
        <v>1187</v>
      </c>
      <c r="I62" s="36" t="s">
        <v>878</v>
      </c>
      <c r="J62" s="36" t="s">
        <v>1055</v>
      </c>
      <c r="K62" s="36" t="s">
        <v>1187</v>
      </c>
      <c r="L62" s="36" t="s">
        <v>878</v>
      </c>
      <c r="M62" s="36" t="s">
        <v>1055</v>
      </c>
      <c r="N62" s="36" t="s">
        <v>1133</v>
      </c>
      <c r="O62" s="36" t="s">
        <v>995</v>
      </c>
      <c r="P62" s="36" t="s">
        <v>996</v>
      </c>
    </row>
    <row r="63" spans="1:17" x14ac:dyDescent="0.3">
      <c r="A63" s="44" t="s">
        <v>425</v>
      </c>
      <c r="B63" s="36">
        <v>901061</v>
      </c>
      <c r="C63" s="36">
        <v>911061</v>
      </c>
      <c r="D63" s="53">
        <f t="shared" si="0"/>
        <v>111061</v>
      </c>
      <c r="E63" s="36" t="s">
        <v>1075</v>
      </c>
      <c r="F63" s="36" t="s">
        <v>878</v>
      </c>
      <c r="G63" s="36" t="s">
        <v>11</v>
      </c>
      <c r="H63" s="36" t="s">
        <v>1075</v>
      </c>
      <c r="I63" s="36" t="s">
        <v>878</v>
      </c>
      <c r="J63" s="36" t="s">
        <v>1197</v>
      </c>
      <c r="K63" s="36" t="s">
        <v>1075</v>
      </c>
      <c r="L63" s="36" t="s">
        <v>878</v>
      </c>
      <c r="M63" s="36" t="s">
        <v>1197</v>
      </c>
      <c r="N63" s="36" t="s">
        <v>1134</v>
      </c>
      <c r="O63" s="36" t="s">
        <v>997</v>
      </c>
      <c r="P63" s="36" t="s">
        <v>998</v>
      </c>
      <c r="Q63" s="36" t="s">
        <v>1162</v>
      </c>
    </row>
    <row r="64" spans="1:17" x14ac:dyDescent="0.3">
      <c r="A64" s="44" t="s">
        <v>426</v>
      </c>
      <c r="B64" s="36">
        <v>901062</v>
      </c>
      <c r="C64" s="36">
        <v>911062</v>
      </c>
      <c r="D64" s="53">
        <f t="shared" si="0"/>
        <v>111062</v>
      </c>
      <c r="E64" s="36" t="s">
        <v>1188</v>
      </c>
      <c r="F64" s="36" t="s">
        <v>878</v>
      </c>
      <c r="G64" s="36" t="s">
        <v>1061</v>
      </c>
      <c r="H64" s="36" t="s">
        <v>1188</v>
      </c>
      <c r="I64" s="36" t="s">
        <v>878</v>
      </c>
      <c r="J64" s="36" t="s">
        <v>1061</v>
      </c>
      <c r="K64" s="36" t="s">
        <v>1188</v>
      </c>
      <c r="L64" s="36" t="s">
        <v>878</v>
      </c>
      <c r="M64" s="36" t="s">
        <v>1061</v>
      </c>
      <c r="N64" s="36" t="s">
        <v>1135</v>
      </c>
      <c r="O64" s="36" t="s">
        <v>999</v>
      </c>
      <c r="P64" s="36" t="s">
        <v>1000</v>
      </c>
      <c r="Q64" s="36" t="s">
        <v>1189</v>
      </c>
    </row>
    <row r="65" spans="1:17" x14ac:dyDescent="0.3">
      <c r="A65" s="44" t="s">
        <v>427</v>
      </c>
      <c r="B65" s="36">
        <v>901063</v>
      </c>
      <c r="C65" s="36">
        <v>911063</v>
      </c>
      <c r="D65" s="53">
        <f t="shared" si="0"/>
        <v>111063</v>
      </c>
      <c r="E65" s="36" t="s">
        <v>1067</v>
      </c>
      <c r="F65" s="36" t="s">
        <v>878</v>
      </c>
      <c r="G65" s="36" t="s">
        <v>11</v>
      </c>
      <c r="H65" s="36" t="s">
        <v>1067</v>
      </c>
      <c r="I65" s="36" t="s">
        <v>878</v>
      </c>
      <c r="J65" s="36" t="s">
        <v>11</v>
      </c>
      <c r="K65" s="36" t="s">
        <v>1067</v>
      </c>
      <c r="L65" s="36" t="s">
        <v>878</v>
      </c>
      <c r="M65" s="36" t="s">
        <v>11</v>
      </c>
      <c r="N65" s="36" t="s">
        <v>1136</v>
      </c>
      <c r="O65" s="36" t="s">
        <v>1001</v>
      </c>
      <c r="P65" s="36" t="s">
        <v>1002</v>
      </c>
      <c r="Q65" s="36" t="s">
        <v>1189</v>
      </c>
    </row>
    <row r="66" spans="1:17" x14ac:dyDescent="0.3">
      <c r="A66" s="44" t="s">
        <v>428</v>
      </c>
      <c r="B66" s="36">
        <v>901064</v>
      </c>
      <c r="C66" s="36">
        <v>911064</v>
      </c>
      <c r="D66" s="53">
        <f t="shared" si="0"/>
        <v>111064</v>
      </c>
      <c r="E66" s="36" t="s">
        <v>1075</v>
      </c>
      <c r="F66" s="36" t="s">
        <v>878</v>
      </c>
      <c r="G66" s="36" t="s">
        <v>1055</v>
      </c>
      <c r="H66" s="36" t="s">
        <v>1075</v>
      </c>
      <c r="I66" s="36" t="s">
        <v>878</v>
      </c>
      <c r="J66" s="36" t="s">
        <v>1055</v>
      </c>
      <c r="K66" s="36" t="s">
        <v>1075</v>
      </c>
      <c r="L66" s="36" t="s">
        <v>878</v>
      </c>
      <c r="M66" s="36" t="s">
        <v>1055</v>
      </c>
      <c r="N66" s="36" t="s">
        <v>1137</v>
      </c>
      <c r="O66" s="36" t="s">
        <v>1003</v>
      </c>
      <c r="P66" s="36" t="s">
        <v>1004</v>
      </c>
      <c r="Q66" s="36" t="s">
        <v>1162</v>
      </c>
    </row>
    <row r="67" spans="1:17" x14ac:dyDescent="0.3">
      <c r="A67" s="44" t="s">
        <v>429</v>
      </c>
      <c r="B67" s="36">
        <v>901065</v>
      </c>
      <c r="C67" s="36">
        <v>911065</v>
      </c>
      <c r="D67" s="53">
        <f t="shared" si="0"/>
        <v>111065</v>
      </c>
      <c r="E67" s="36" t="s">
        <v>1070</v>
      </c>
      <c r="F67" s="36" t="s">
        <v>878</v>
      </c>
      <c r="G67" s="36" t="s">
        <v>1058</v>
      </c>
      <c r="H67" s="36" t="s">
        <v>1070</v>
      </c>
      <c r="I67" s="36" t="s">
        <v>878</v>
      </c>
      <c r="J67" s="36" t="s">
        <v>1058</v>
      </c>
      <c r="K67" s="36" t="s">
        <v>1070</v>
      </c>
      <c r="L67" s="36" t="s">
        <v>878</v>
      </c>
      <c r="M67" s="36" t="s">
        <v>1058</v>
      </c>
      <c r="N67" s="36" t="s">
        <v>1138</v>
      </c>
      <c r="O67" s="36" t="s">
        <v>1005</v>
      </c>
      <c r="P67" s="36" t="s">
        <v>1006</v>
      </c>
      <c r="Q67" s="36" t="s">
        <v>1162</v>
      </c>
    </row>
    <row r="68" spans="1:17" x14ac:dyDescent="0.3">
      <c r="A68" s="44" t="s">
        <v>430</v>
      </c>
      <c r="B68" s="36">
        <v>901066</v>
      </c>
      <c r="C68" s="36">
        <v>911066</v>
      </c>
      <c r="D68" s="53">
        <f t="shared" ref="D68:D100" si="1">C68-800000</f>
        <v>111066</v>
      </c>
      <c r="E68" s="36" t="s">
        <v>1202</v>
      </c>
      <c r="F68" s="36" t="s">
        <v>878</v>
      </c>
      <c r="G68" s="36" t="s">
        <v>11</v>
      </c>
      <c r="H68" s="36" t="s">
        <v>1202</v>
      </c>
      <c r="I68" s="36" t="s">
        <v>878</v>
      </c>
      <c r="J68" s="36" t="s">
        <v>11</v>
      </c>
      <c r="K68" s="36" t="s">
        <v>1202</v>
      </c>
      <c r="L68" s="36" t="s">
        <v>878</v>
      </c>
      <c r="M68" s="36" t="s">
        <v>11</v>
      </c>
      <c r="N68" s="36" t="s">
        <v>1139</v>
      </c>
      <c r="O68" s="36" t="s">
        <v>1007</v>
      </c>
      <c r="P68" s="36" t="s">
        <v>1008</v>
      </c>
      <c r="Q68" s="36" t="s">
        <v>1162</v>
      </c>
    </row>
    <row r="69" spans="1:17" x14ac:dyDescent="0.3">
      <c r="A69" s="44" t="s">
        <v>431</v>
      </c>
      <c r="B69" s="36">
        <v>901067</v>
      </c>
      <c r="C69" s="36">
        <v>911067</v>
      </c>
      <c r="D69" s="53">
        <f t="shared" si="1"/>
        <v>111067</v>
      </c>
      <c r="E69" s="36" t="s">
        <v>880</v>
      </c>
      <c r="F69" s="36" t="s">
        <v>878</v>
      </c>
      <c r="G69" s="36" t="s">
        <v>1169</v>
      </c>
      <c r="H69" s="36" t="s">
        <v>880</v>
      </c>
      <c r="I69" s="36" t="s">
        <v>878</v>
      </c>
      <c r="J69" s="36" t="s">
        <v>1169</v>
      </c>
      <c r="K69" s="36" t="s">
        <v>880</v>
      </c>
      <c r="L69" s="36" t="s">
        <v>878</v>
      </c>
      <c r="M69" s="36" t="s">
        <v>1169</v>
      </c>
      <c r="N69" s="36" t="s">
        <v>1140</v>
      </c>
      <c r="O69" s="36" t="s">
        <v>1009</v>
      </c>
      <c r="P69" s="36" t="s">
        <v>1010</v>
      </c>
    </row>
    <row r="70" spans="1:17" x14ac:dyDescent="0.3">
      <c r="A70" s="44" t="s">
        <v>432</v>
      </c>
      <c r="B70" s="36">
        <v>901068</v>
      </c>
      <c r="C70" s="36">
        <v>911068</v>
      </c>
      <c r="D70" s="53">
        <f t="shared" si="1"/>
        <v>111068</v>
      </c>
      <c r="E70" s="36" t="s">
        <v>1062</v>
      </c>
      <c r="F70" s="36" t="s">
        <v>878</v>
      </c>
      <c r="G70" s="36" t="s">
        <v>1197</v>
      </c>
      <c r="H70" s="36" t="s">
        <v>1065</v>
      </c>
      <c r="I70" s="36" t="s">
        <v>878</v>
      </c>
      <c r="J70" s="36" t="s">
        <v>10</v>
      </c>
      <c r="K70" s="36" t="s">
        <v>1065</v>
      </c>
      <c r="L70" s="36" t="s">
        <v>878</v>
      </c>
      <c r="M70" s="36" t="s">
        <v>10</v>
      </c>
      <c r="N70" s="36" t="s">
        <v>1141</v>
      </c>
      <c r="O70" s="36" t="s">
        <v>1011</v>
      </c>
      <c r="P70" s="36" t="s">
        <v>1012</v>
      </c>
      <c r="Q70" s="36" t="s">
        <v>1212</v>
      </c>
    </row>
    <row r="71" spans="1:17" x14ac:dyDescent="0.3">
      <c r="A71" s="44" t="s">
        <v>433</v>
      </c>
      <c r="B71" s="36">
        <v>901069</v>
      </c>
      <c r="C71" s="36">
        <v>911069</v>
      </c>
      <c r="D71" s="53">
        <f t="shared" si="1"/>
        <v>111069</v>
      </c>
      <c r="E71" s="36" t="s">
        <v>1225</v>
      </c>
      <c r="F71" s="36" t="s">
        <v>878</v>
      </c>
      <c r="G71" s="36" t="s">
        <v>11</v>
      </c>
      <c r="H71" s="36" t="s">
        <v>1225</v>
      </c>
      <c r="I71" s="36" t="s">
        <v>878</v>
      </c>
      <c r="J71" s="36" t="s">
        <v>11</v>
      </c>
      <c r="K71" s="36" t="s">
        <v>1225</v>
      </c>
      <c r="L71" s="36" t="s">
        <v>878</v>
      </c>
      <c r="M71" s="36" t="s">
        <v>11</v>
      </c>
      <c r="N71" s="36" t="s">
        <v>1142</v>
      </c>
      <c r="O71" s="36" t="s">
        <v>1013</v>
      </c>
      <c r="P71" s="36" t="s">
        <v>1014</v>
      </c>
      <c r="Q71" s="36" t="s">
        <v>1162</v>
      </c>
    </row>
    <row r="72" spans="1:17" x14ac:dyDescent="0.3">
      <c r="A72" s="44" t="s">
        <v>434</v>
      </c>
      <c r="B72" s="36">
        <v>901070</v>
      </c>
      <c r="C72" s="36">
        <v>911070</v>
      </c>
      <c r="D72" s="53">
        <f t="shared" si="1"/>
        <v>111070</v>
      </c>
      <c r="E72" s="36" t="s">
        <v>1070</v>
      </c>
      <c r="F72" s="36" t="s">
        <v>878</v>
      </c>
      <c r="G72" s="36" t="s">
        <v>301</v>
      </c>
      <c r="H72" s="36" t="s">
        <v>1070</v>
      </c>
      <c r="I72" s="36" t="s">
        <v>878</v>
      </c>
      <c r="J72" s="36" t="s">
        <v>301</v>
      </c>
      <c r="K72" s="36" t="s">
        <v>1070</v>
      </c>
      <c r="L72" s="36" t="s">
        <v>878</v>
      </c>
      <c r="M72" s="36" t="s">
        <v>301</v>
      </c>
      <c r="N72" s="36" t="s">
        <v>1143</v>
      </c>
      <c r="O72" s="36" t="s">
        <v>1015</v>
      </c>
      <c r="P72" s="36" t="s">
        <v>1016</v>
      </c>
      <c r="Q72" s="36" t="s">
        <v>1162</v>
      </c>
    </row>
    <row r="73" spans="1:17" x14ac:dyDescent="0.3">
      <c r="A73" s="44" t="s">
        <v>435</v>
      </c>
      <c r="B73" s="36">
        <v>901071</v>
      </c>
      <c r="C73" s="36">
        <v>911071</v>
      </c>
      <c r="D73" s="53">
        <f t="shared" si="1"/>
        <v>111071</v>
      </c>
      <c r="E73" s="36" t="s">
        <v>1203</v>
      </c>
      <c r="F73" s="36" t="s">
        <v>878</v>
      </c>
      <c r="G73" s="36" t="s">
        <v>10</v>
      </c>
      <c r="H73" s="36" t="s">
        <v>1211</v>
      </c>
      <c r="I73" s="36" t="s">
        <v>878</v>
      </c>
      <c r="J73" s="36" t="s">
        <v>1184</v>
      </c>
      <c r="K73" s="36" t="s">
        <v>1211</v>
      </c>
      <c r="L73" s="36" t="s">
        <v>878</v>
      </c>
      <c r="M73" s="36" t="s">
        <v>1184</v>
      </c>
      <c r="N73" s="36" t="s">
        <v>1144</v>
      </c>
      <c r="O73" s="36" t="s">
        <v>1017</v>
      </c>
      <c r="P73" s="36" t="s">
        <v>1018</v>
      </c>
      <c r="Q73" s="36" t="s">
        <v>1162</v>
      </c>
    </row>
    <row r="74" spans="1:17" x14ac:dyDescent="0.3">
      <c r="A74" s="44" t="s">
        <v>1239</v>
      </c>
      <c r="B74" s="36" t="s">
        <v>1240</v>
      </c>
      <c r="C74" s="36" t="s">
        <v>1241</v>
      </c>
      <c r="D74" s="53">
        <f t="shared" si="1"/>
        <v>111072</v>
      </c>
      <c r="E74" s="36" t="s">
        <v>1255</v>
      </c>
      <c r="F74" s="36" t="s">
        <v>878</v>
      </c>
      <c r="G74" s="36" t="s">
        <v>1262</v>
      </c>
      <c r="H74" s="36" t="s">
        <v>1255</v>
      </c>
      <c r="I74" s="36" t="s">
        <v>878</v>
      </c>
      <c r="J74" s="36" t="s">
        <v>1262</v>
      </c>
      <c r="K74" s="36" t="s">
        <v>1255</v>
      </c>
      <c r="L74" s="36" t="s">
        <v>878</v>
      </c>
      <c r="M74" s="36" t="s">
        <v>1262</v>
      </c>
      <c r="N74" s="36" t="s">
        <v>1242</v>
      </c>
      <c r="O74" s="36" t="s">
        <v>1243</v>
      </c>
      <c r="P74" s="36" t="s">
        <v>1244</v>
      </c>
      <c r="Q74" s="36" t="s">
        <v>1162</v>
      </c>
    </row>
    <row r="75" spans="1:17" x14ac:dyDescent="0.3">
      <c r="A75" s="44" t="s">
        <v>436</v>
      </c>
      <c r="B75" s="36">
        <v>901073</v>
      </c>
      <c r="C75" s="36">
        <v>911073</v>
      </c>
      <c r="D75" s="53">
        <f t="shared" si="1"/>
        <v>111073</v>
      </c>
      <c r="E75" s="36" t="s">
        <v>1204</v>
      </c>
      <c r="F75" s="36" t="s">
        <v>878</v>
      </c>
      <c r="G75" s="36" t="s">
        <v>0</v>
      </c>
      <c r="H75" s="36" t="s">
        <v>1204</v>
      </c>
      <c r="I75" s="36" t="s">
        <v>878</v>
      </c>
      <c r="J75" s="36" t="s">
        <v>0</v>
      </c>
      <c r="K75" s="36" t="s">
        <v>1204</v>
      </c>
      <c r="L75" s="36" t="s">
        <v>878</v>
      </c>
      <c r="M75" s="36" t="s">
        <v>0</v>
      </c>
      <c r="N75" s="36" t="s">
        <v>1145</v>
      </c>
      <c r="O75" s="36" t="s">
        <v>1019</v>
      </c>
      <c r="P75" s="36" t="s">
        <v>1020</v>
      </c>
      <c r="Q75" s="36" t="s">
        <v>1162</v>
      </c>
    </row>
    <row r="76" spans="1:17" x14ac:dyDescent="0.3">
      <c r="A76" s="44" t="s">
        <v>1268</v>
      </c>
      <c r="B76" s="36" t="s">
        <v>1267</v>
      </c>
      <c r="C76" s="36" t="s">
        <v>1269</v>
      </c>
      <c r="D76" s="53">
        <f t="shared" ref="D76" si="2">C76-800000</f>
        <v>111074</v>
      </c>
      <c r="E76" s="52" t="s">
        <v>1170</v>
      </c>
      <c r="F76" s="36" t="s">
        <v>878</v>
      </c>
      <c r="G76" s="36" t="s">
        <v>1061</v>
      </c>
      <c r="H76" s="52" t="s">
        <v>1279</v>
      </c>
      <c r="I76" s="36" t="s">
        <v>878</v>
      </c>
      <c r="J76" s="36" t="s">
        <v>1073</v>
      </c>
      <c r="K76" s="52" t="s">
        <v>1279</v>
      </c>
      <c r="L76" s="36" t="s">
        <v>878</v>
      </c>
      <c r="M76" s="36" t="s">
        <v>1073</v>
      </c>
      <c r="N76" s="36" t="s">
        <v>1270</v>
      </c>
      <c r="O76" s="36" t="s">
        <v>1271</v>
      </c>
      <c r="P76" s="36" t="s">
        <v>1272</v>
      </c>
      <c r="Q76" s="36" t="s">
        <v>1162</v>
      </c>
    </row>
    <row r="77" spans="1:17" x14ac:dyDescent="0.3">
      <c r="A77" s="44" t="s">
        <v>437</v>
      </c>
      <c r="B77" s="36">
        <v>901075</v>
      </c>
      <c r="C77" s="36">
        <v>911075</v>
      </c>
      <c r="D77" s="53">
        <f t="shared" si="1"/>
        <v>111075</v>
      </c>
      <c r="E77" s="52" t="s">
        <v>1256</v>
      </c>
      <c r="F77" s="36" t="s">
        <v>878</v>
      </c>
      <c r="G77" s="36" t="s">
        <v>1263</v>
      </c>
      <c r="H77" s="52" t="s">
        <v>1256</v>
      </c>
      <c r="I77" s="36" t="s">
        <v>878</v>
      </c>
      <c r="J77" s="36" t="s">
        <v>1263</v>
      </c>
      <c r="K77" s="52" t="s">
        <v>1256</v>
      </c>
      <c r="L77" s="36" t="s">
        <v>878</v>
      </c>
      <c r="M77" s="36" t="s">
        <v>1263</v>
      </c>
      <c r="N77" s="36" t="s">
        <v>1146</v>
      </c>
      <c r="O77" s="36" t="s">
        <v>1021</v>
      </c>
      <c r="P77" s="36" t="s">
        <v>1022</v>
      </c>
      <c r="Q77" s="36" t="s">
        <v>1162</v>
      </c>
    </row>
    <row r="78" spans="1:17" x14ac:dyDescent="0.3">
      <c r="A78" s="44" t="s">
        <v>1289</v>
      </c>
      <c r="B78" s="36" t="s">
        <v>1292</v>
      </c>
      <c r="C78" s="36" t="s">
        <v>1293</v>
      </c>
      <c r="D78" s="53">
        <f t="shared" ref="D78" si="3">C78-800000</f>
        <v>111076</v>
      </c>
      <c r="E78" s="52" t="s">
        <v>1297</v>
      </c>
      <c r="F78" s="36" t="s">
        <v>878</v>
      </c>
      <c r="G78" s="36" t="s">
        <v>1073</v>
      </c>
      <c r="H78" s="52" t="s">
        <v>1298</v>
      </c>
      <c r="I78" s="36" t="s">
        <v>878</v>
      </c>
      <c r="J78" s="36" t="s">
        <v>1073</v>
      </c>
      <c r="K78" s="52" t="s">
        <v>1298</v>
      </c>
      <c r="L78" s="36" t="s">
        <v>878</v>
      </c>
      <c r="M78" s="36" t="s">
        <v>1073</v>
      </c>
      <c r="N78" s="36" t="s">
        <v>1294</v>
      </c>
      <c r="O78" s="36" t="s">
        <v>1295</v>
      </c>
      <c r="P78" s="36" t="s">
        <v>1296</v>
      </c>
      <c r="Q78" s="36"/>
    </row>
    <row r="79" spans="1:17" x14ac:dyDescent="0.3">
      <c r="A79" s="44" t="s">
        <v>1299</v>
      </c>
      <c r="B79" s="36" t="s">
        <v>1300</v>
      </c>
      <c r="C79" s="36" t="s">
        <v>1301</v>
      </c>
      <c r="D79" s="53">
        <f t="shared" ref="D79" si="4">C79-800000</f>
        <v>111077</v>
      </c>
      <c r="E79" s="52" t="s">
        <v>1311</v>
      </c>
      <c r="F79" s="36" t="s">
        <v>878</v>
      </c>
      <c r="G79" s="36" t="s">
        <v>1264</v>
      </c>
      <c r="H79" s="52" t="s">
        <v>1311</v>
      </c>
      <c r="I79" s="36" t="s">
        <v>878</v>
      </c>
      <c r="J79" s="36" t="s">
        <v>1264</v>
      </c>
      <c r="K79" s="52" t="s">
        <v>1311</v>
      </c>
      <c r="L79" s="36" t="s">
        <v>878</v>
      </c>
      <c r="M79" s="36" t="s">
        <v>1264</v>
      </c>
      <c r="N79" s="36" t="s">
        <v>1302</v>
      </c>
      <c r="O79" s="36" t="s">
        <v>1303</v>
      </c>
      <c r="P79" s="36" t="s">
        <v>1304</v>
      </c>
      <c r="Q79" s="36"/>
    </row>
    <row r="80" spans="1:17" x14ac:dyDescent="0.3">
      <c r="A80" s="44" t="s">
        <v>438</v>
      </c>
      <c r="B80" s="36">
        <v>901078</v>
      </c>
      <c r="C80" s="36">
        <v>911078</v>
      </c>
      <c r="D80" s="53">
        <f t="shared" si="1"/>
        <v>111078</v>
      </c>
      <c r="E80" s="36" t="s">
        <v>1074</v>
      </c>
      <c r="F80" s="36" t="s">
        <v>878</v>
      </c>
      <c r="G80" s="36" t="s">
        <v>1056</v>
      </c>
      <c r="H80" s="36" t="s">
        <v>1074</v>
      </c>
      <c r="I80" s="36" t="s">
        <v>878</v>
      </c>
      <c r="J80" s="36" t="s">
        <v>1056</v>
      </c>
      <c r="K80" s="36" t="s">
        <v>1074</v>
      </c>
      <c r="L80" s="36" t="s">
        <v>878</v>
      </c>
      <c r="M80" s="36" t="s">
        <v>1056</v>
      </c>
      <c r="N80" s="36" t="s">
        <v>1147</v>
      </c>
      <c r="O80" s="36" t="s">
        <v>1023</v>
      </c>
      <c r="P80" s="36" t="s">
        <v>1024</v>
      </c>
      <c r="Q80" s="36" t="s">
        <v>1162</v>
      </c>
    </row>
    <row r="81" spans="1:17" x14ac:dyDescent="0.3">
      <c r="A81" s="44" t="s">
        <v>1321</v>
      </c>
      <c r="B81" s="36" t="s">
        <v>1322</v>
      </c>
      <c r="C81" s="36" t="s">
        <v>1323</v>
      </c>
      <c r="D81" s="53">
        <f t="shared" ref="D81:D83" si="5">C81-800000</f>
        <v>111079</v>
      </c>
      <c r="E81" s="36" t="s">
        <v>1328</v>
      </c>
      <c r="F81" s="36" t="s">
        <v>878</v>
      </c>
      <c r="G81" s="36" t="s">
        <v>11</v>
      </c>
      <c r="H81" s="36" t="s">
        <v>1327</v>
      </c>
      <c r="I81" s="36" t="s">
        <v>878</v>
      </c>
      <c r="J81" s="36" t="s">
        <v>11</v>
      </c>
      <c r="K81" s="36" t="s">
        <v>1327</v>
      </c>
      <c r="L81" s="36" t="s">
        <v>878</v>
      </c>
      <c r="M81" s="36" t="s">
        <v>11</v>
      </c>
      <c r="N81" s="36" t="s">
        <v>1324</v>
      </c>
      <c r="O81" s="36" t="s">
        <v>1325</v>
      </c>
      <c r="P81" s="36" t="s">
        <v>1326</v>
      </c>
      <c r="Q81" s="36" t="s">
        <v>1162</v>
      </c>
    </row>
    <row r="82" spans="1:17" x14ac:dyDescent="0.3">
      <c r="A82" s="44" t="s">
        <v>1478</v>
      </c>
      <c r="B82" s="36" t="s">
        <v>1480</v>
      </c>
      <c r="C82" s="36" t="s">
        <v>1481</v>
      </c>
      <c r="D82" s="53">
        <f t="shared" ref="D82" si="6">C82-800000</f>
        <v>111080</v>
      </c>
      <c r="E82" s="36" t="s">
        <v>1328</v>
      </c>
      <c r="F82" s="36" t="s">
        <v>878</v>
      </c>
      <c r="G82" s="36" t="s">
        <v>1197</v>
      </c>
      <c r="H82" s="36" t="s">
        <v>1486</v>
      </c>
      <c r="I82" s="36" t="s">
        <v>878</v>
      </c>
      <c r="J82" s="36" t="s">
        <v>1197</v>
      </c>
      <c r="K82" s="36" t="s">
        <v>1486</v>
      </c>
      <c r="L82" s="36" t="s">
        <v>878</v>
      </c>
      <c r="M82" s="36" t="s">
        <v>1197</v>
      </c>
      <c r="N82" s="36" t="s">
        <v>1482</v>
      </c>
      <c r="O82" s="36" t="s">
        <v>1483</v>
      </c>
      <c r="P82" s="36" t="s">
        <v>1484</v>
      </c>
      <c r="Q82" s="36" t="s">
        <v>1162</v>
      </c>
    </row>
    <row r="83" spans="1:17" x14ac:dyDescent="0.3">
      <c r="A83" s="44" t="s">
        <v>1376</v>
      </c>
      <c r="B83" s="36" t="s">
        <v>1377</v>
      </c>
      <c r="C83" s="36" t="s">
        <v>1378</v>
      </c>
      <c r="D83" s="53">
        <f t="shared" si="5"/>
        <v>111081</v>
      </c>
      <c r="E83" s="36" t="s">
        <v>880</v>
      </c>
      <c r="F83" s="36" t="s">
        <v>878</v>
      </c>
      <c r="G83" s="36" t="s">
        <v>1073</v>
      </c>
      <c r="H83" s="36" t="s">
        <v>1062</v>
      </c>
      <c r="I83" s="36" t="s">
        <v>878</v>
      </c>
      <c r="J83" s="36" t="s">
        <v>1057</v>
      </c>
      <c r="K83" s="36" t="s">
        <v>1062</v>
      </c>
      <c r="L83" s="36" t="s">
        <v>878</v>
      </c>
      <c r="M83" s="36" t="s">
        <v>1057</v>
      </c>
      <c r="N83" s="36" t="s">
        <v>1394</v>
      </c>
      <c r="O83" s="36" t="s">
        <v>1379</v>
      </c>
      <c r="P83" s="36" t="s">
        <v>1380</v>
      </c>
      <c r="Q83" s="36" t="s">
        <v>1162</v>
      </c>
    </row>
    <row r="84" spans="1:17" x14ac:dyDescent="0.3">
      <c r="A84" s="44" t="s">
        <v>1397</v>
      </c>
      <c r="B84" s="36" t="s">
        <v>1398</v>
      </c>
      <c r="C84" s="36" t="s">
        <v>1399</v>
      </c>
      <c r="D84" s="53">
        <f t="shared" ref="D84" si="7">C84-800000</f>
        <v>111082</v>
      </c>
      <c r="E84" s="36" t="s">
        <v>880</v>
      </c>
      <c r="F84" s="36" t="s">
        <v>878</v>
      </c>
      <c r="G84" s="36" t="s">
        <v>1056</v>
      </c>
      <c r="H84" s="36" t="s">
        <v>1406</v>
      </c>
      <c r="I84" s="36" t="s">
        <v>878</v>
      </c>
      <c r="J84" s="36" t="s">
        <v>1056</v>
      </c>
      <c r="K84" s="36" t="s">
        <v>1406</v>
      </c>
      <c r="L84" s="36" t="s">
        <v>878</v>
      </c>
      <c r="M84" s="36" t="s">
        <v>1056</v>
      </c>
      <c r="N84" s="36" t="s">
        <v>1400</v>
      </c>
      <c r="O84" s="36" t="s">
        <v>1401</v>
      </c>
      <c r="P84" s="36" t="s">
        <v>1402</v>
      </c>
      <c r="Q84" s="36" t="s">
        <v>1162</v>
      </c>
    </row>
    <row r="85" spans="1:17" x14ac:dyDescent="0.3">
      <c r="A85" s="44" t="s">
        <v>1417</v>
      </c>
      <c r="B85" s="36" t="s">
        <v>1408</v>
      </c>
      <c r="C85" s="36" t="s">
        <v>1409</v>
      </c>
      <c r="D85" s="53">
        <f t="shared" ref="D85" si="8">C85-800000</f>
        <v>111083</v>
      </c>
      <c r="E85" s="36" t="s">
        <v>1421</v>
      </c>
      <c r="F85" s="36" t="s">
        <v>878</v>
      </c>
      <c r="G85" s="36" t="s">
        <v>1061</v>
      </c>
      <c r="H85" s="36" t="s">
        <v>1421</v>
      </c>
      <c r="I85" s="36" t="s">
        <v>878</v>
      </c>
      <c r="J85" s="36" t="s">
        <v>1056</v>
      </c>
      <c r="K85" s="36" t="s">
        <v>1421</v>
      </c>
      <c r="L85" s="36" t="s">
        <v>878</v>
      </c>
      <c r="M85" s="36" t="s">
        <v>1056</v>
      </c>
      <c r="N85" s="36" t="s">
        <v>1418</v>
      </c>
      <c r="O85" s="36" t="s">
        <v>1419</v>
      </c>
      <c r="P85" s="36" t="s">
        <v>1420</v>
      </c>
      <c r="Q85" s="36"/>
    </row>
    <row r="86" spans="1:17" x14ac:dyDescent="0.3">
      <c r="A86" s="44" t="s">
        <v>1353</v>
      </c>
      <c r="B86" s="36" t="s">
        <v>1355</v>
      </c>
      <c r="C86" s="36" t="s">
        <v>1357</v>
      </c>
      <c r="D86" s="53">
        <f t="shared" si="1"/>
        <v>111084</v>
      </c>
      <c r="E86" s="36" t="s">
        <v>1368</v>
      </c>
      <c r="F86" s="36" t="s">
        <v>878</v>
      </c>
      <c r="G86" s="36" t="s">
        <v>1061</v>
      </c>
      <c r="H86" s="36" t="s">
        <v>1367</v>
      </c>
      <c r="I86" s="36" t="s">
        <v>878</v>
      </c>
      <c r="J86" s="36" t="s">
        <v>1073</v>
      </c>
      <c r="K86" s="36" t="s">
        <v>1367</v>
      </c>
      <c r="L86" s="36" t="s">
        <v>878</v>
      </c>
      <c r="M86" s="36" t="s">
        <v>1073</v>
      </c>
      <c r="N86" s="36" t="s">
        <v>1359</v>
      </c>
      <c r="O86" s="36" t="s">
        <v>1361</v>
      </c>
      <c r="P86" s="36" t="s">
        <v>1363</v>
      </c>
      <c r="Q86" s="36" t="s">
        <v>1162</v>
      </c>
    </row>
    <row r="87" spans="1:17" x14ac:dyDescent="0.3">
      <c r="A87" s="44" t="s">
        <v>1354</v>
      </c>
      <c r="B87" s="36" t="s">
        <v>1356</v>
      </c>
      <c r="C87" s="36" t="s">
        <v>1358</v>
      </c>
      <c r="D87" s="53">
        <f t="shared" si="1"/>
        <v>111085</v>
      </c>
      <c r="E87" s="36" t="s">
        <v>1365</v>
      </c>
      <c r="F87" s="36" t="s">
        <v>878</v>
      </c>
      <c r="G87" s="36" t="s">
        <v>1061</v>
      </c>
      <c r="H87" s="36" t="s">
        <v>1366</v>
      </c>
      <c r="I87" s="36" t="s">
        <v>878</v>
      </c>
      <c r="J87" s="36" t="s">
        <v>1056</v>
      </c>
      <c r="K87" s="36" t="s">
        <v>1366</v>
      </c>
      <c r="L87" s="36" t="s">
        <v>878</v>
      </c>
      <c r="M87" s="36" t="s">
        <v>1056</v>
      </c>
      <c r="N87" s="36" t="s">
        <v>1360</v>
      </c>
      <c r="O87" s="36" t="s">
        <v>1362</v>
      </c>
      <c r="P87" s="36" t="s">
        <v>1364</v>
      </c>
      <c r="Q87" s="36" t="s">
        <v>1162</v>
      </c>
    </row>
    <row r="88" spans="1:17" x14ac:dyDescent="0.3">
      <c r="A88" s="44" t="s">
        <v>1429</v>
      </c>
      <c r="B88" s="36">
        <v>901086</v>
      </c>
      <c r="C88" s="36">
        <v>911086</v>
      </c>
      <c r="D88" s="53">
        <f t="shared" si="1"/>
        <v>111086</v>
      </c>
      <c r="E88" s="36" t="s">
        <v>1065</v>
      </c>
      <c r="F88" s="36" t="s">
        <v>878</v>
      </c>
      <c r="G88" s="36" t="s">
        <v>1061</v>
      </c>
      <c r="H88" s="36" t="s">
        <v>1065</v>
      </c>
      <c r="I88" s="36" t="s">
        <v>878</v>
      </c>
      <c r="J88" s="36" t="s">
        <v>1061</v>
      </c>
      <c r="K88" s="36" t="s">
        <v>1065</v>
      </c>
      <c r="L88" s="36" t="s">
        <v>878</v>
      </c>
      <c r="M88" s="36" t="s">
        <v>1061</v>
      </c>
      <c r="N88" s="36" t="s">
        <v>1430</v>
      </c>
      <c r="O88" s="36" t="s">
        <v>1431</v>
      </c>
      <c r="P88" s="36" t="s">
        <v>1432</v>
      </c>
      <c r="Q88" s="36" t="s">
        <v>1162</v>
      </c>
    </row>
    <row r="89" spans="1:17" x14ac:dyDescent="0.3">
      <c r="A89" s="44" t="s">
        <v>439</v>
      </c>
      <c r="B89" s="36">
        <v>901087</v>
      </c>
      <c r="C89" s="36">
        <v>911087</v>
      </c>
      <c r="D89" s="53">
        <f t="shared" ref="D89:D91" si="9">C89-800000</f>
        <v>111087</v>
      </c>
      <c r="E89" s="36" t="s">
        <v>1065</v>
      </c>
      <c r="F89" s="36" t="s">
        <v>878</v>
      </c>
      <c r="G89" s="36" t="s">
        <v>10</v>
      </c>
      <c r="H89" s="36" t="s">
        <v>1065</v>
      </c>
      <c r="I89" s="36" t="s">
        <v>878</v>
      </c>
      <c r="J89" s="36" t="s">
        <v>10</v>
      </c>
      <c r="K89" s="36" t="s">
        <v>1065</v>
      </c>
      <c r="L89" s="36" t="s">
        <v>878</v>
      </c>
      <c r="M89" s="36" t="s">
        <v>10</v>
      </c>
      <c r="N89" s="36" t="s">
        <v>1165</v>
      </c>
      <c r="O89" s="36" t="s">
        <v>1025</v>
      </c>
      <c r="P89" s="36" t="s">
        <v>1026</v>
      </c>
      <c r="Q89" s="36" t="s">
        <v>1162</v>
      </c>
    </row>
    <row r="90" spans="1:17" x14ac:dyDescent="0.3">
      <c r="A90" s="44" t="s">
        <v>1442</v>
      </c>
      <c r="B90" s="36" t="s">
        <v>1435</v>
      </c>
      <c r="C90" s="36" t="s">
        <v>1437</v>
      </c>
      <c r="D90" s="53">
        <f t="shared" ref="D90" si="10">C90-800000</f>
        <v>111088</v>
      </c>
      <c r="E90" s="36" t="s">
        <v>879</v>
      </c>
      <c r="F90" s="36" t="s">
        <v>878</v>
      </c>
      <c r="G90" s="36" t="s">
        <v>1463</v>
      </c>
      <c r="H90" s="36" t="s">
        <v>1464</v>
      </c>
      <c r="I90" s="36" t="s">
        <v>878</v>
      </c>
      <c r="J90" s="36" t="s">
        <v>1463</v>
      </c>
      <c r="K90" s="36" t="s">
        <v>1464</v>
      </c>
      <c r="L90" s="36" t="s">
        <v>878</v>
      </c>
      <c r="M90" s="36" t="s">
        <v>1463</v>
      </c>
      <c r="N90" s="36" t="s">
        <v>1440</v>
      </c>
      <c r="O90" s="36" t="s">
        <v>1443</v>
      </c>
      <c r="P90" s="36" t="s">
        <v>1444</v>
      </c>
      <c r="Q90" s="36" t="s">
        <v>1162</v>
      </c>
    </row>
    <row r="91" spans="1:17" x14ac:dyDescent="0.3">
      <c r="A91" s="44" t="s">
        <v>1439</v>
      </c>
      <c r="B91" s="36" t="s">
        <v>1436</v>
      </c>
      <c r="C91" s="36" t="s">
        <v>1438</v>
      </c>
      <c r="D91" s="53">
        <f t="shared" si="9"/>
        <v>111089</v>
      </c>
      <c r="E91" s="36" t="s">
        <v>1183</v>
      </c>
      <c r="F91" s="36" t="s">
        <v>878</v>
      </c>
      <c r="G91" s="36" t="s">
        <v>1197</v>
      </c>
      <c r="H91" s="36" t="s">
        <v>1465</v>
      </c>
      <c r="I91" s="36" t="s">
        <v>878</v>
      </c>
      <c r="J91" s="36" t="s">
        <v>1197</v>
      </c>
      <c r="K91" s="36" t="s">
        <v>1465</v>
      </c>
      <c r="L91" s="36" t="s">
        <v>878</v>
      </c>
      <c r="M91" s="36" t="s">
        <v>1197</v>
      </c>
      <c r="N91" s="36" t="s">
        <v>1441</v>
      </c>
      <c r="O91" s="36" t="s">
        <v>1445</v>
      </c>
      <c r="P91" s="36" t="s">
        <v>1446</v>
      </c>
      <c r="Q91" s="36" t="s">
        <v>1162</v>
      </c>
    </row>
    <row r="92" spans="1:17" x14ac:dyDescent="0.3">
      <c r="A92" s="44" t="s">
        <v>440</v>
      </c>
      <c r="B92" s="36">
        <v>901090</v>
      </c>
      <c r="C92" s="36">
        <v>911090</v>
      </c>
      <c r="D92" s="53">
        <f t="shared" si="1"/>
        <v>111090</v>
      </c>
      <c r="E92" s="36" t="s">
        <v>1226</v>
      </c>
      <c r="F92" s="36" t="s">
        <v>878</v>
      </c>
      <c r="G92" s="36" t="s">
        <v>11</v>
      </c>
      <c r="H92" s="36" t="s">
        <v>1226</v>
      </c>
      <c r="I92" s="36" t="s">
        <v>878</v>
      </c>
      <c r="J92" s="36" t="s">
        <v>11</v>
      </c>
      <c r="K92" s="36" t="s">
        <v>1226</v>
      </c>
      <c r="L92" s="36" t="s">
        <v>878</v>
      </c>
      <c r="M92" s="36" t="s">
        <v>11</v>
      </c>
      <c r="N92" s="36" t="s">
        <v>1148</v>
      </c>
      <c r="O92" s="36" t="s">
        <v>1027</v>
      </c>
      <c r="P92" s="36" t="s">
        <v>1028</v>
      </c>
      <c r="Q92" s="36" t="s">
        <v>1162</v>
      </c>
    </row>
    <row r="93" spans="1:17" x14ac:dyDescent="0.3">
      <c r="A93" s="44" t="s">
        <v>441</v>
      </c>
      <c r="B93" s="36">
        <v>901091</v>
      </c>
      <c r="C93" s="36">
        <v>911091</v>
      </c>
      <c r="D93" s="53">
        <f t="shared" si="1"/>
        <v>111091</v>
      </c>
      <c r="E93" s="36" t="s">
        <v>1257</v>
      </c>
      <c r="F93" s="36" t="s">
        <v>878</v>
      </c>
      <c r="G93" s="36" t="s">
        <v>1197</v>
      </c>
      <c r="H93" s="36" t="s">
        <v>1257</v>
      </c>
      <c r="I93" s="36" t="s">
        <v>878</v>
      </c>
      <c r="J93" s="36" t="s">
        <v>1197</v>
      </c>
      <c r="K93" s="36" t="s">
        <v>1257</v>
      </c>
      <c r="L93" s="36" t="s">
        <v>878</v>
      </c>
      <c r="M93" s="36" t="s">
        <v>1197</v>
      </c>
      <c r="N93" s="36" t="s">
        <v>1166</v>
      </c>
      <c r="O93" s="36" t="s">
        <v>1029</v>
      </c>
      <c r="P93" s="36" t="s">
        <v>1030</v>
      </c>
    </row>
    <row r="94" spans="1:17" x14ac:dyDescent="0.3">
      <c r="A94" s="44" t="s">
        <v>288</v>
      </c>
      <c r="B94" s="36">
        <v>901092</v>
      </c>
      <c r="C94" s="36">
        <v>911092</v>
      </c>
      <c r="D94" s="53">
        <f t="shared" si="1"/>
        <v>111092</v>
      </c>
      <c r="E94" s="36" t="s">
        <v>1205</v>
      </c>
      <c r="F94" s="36" t="s">
        <v>878</v>
      </c>
      <c r="G94" s="36" t="s">
        <v>301</v>
      </c>
      <c r="H94" s="36" t="s">
        <v>1205</v>
      </c>
      <c r="I94" s="36" t="s">
        <v>878</v>
      </c>
      <c r="J94" s="36" t="s">
        <v>301</v>
      </c>
      <c r="K94" s="36" t="s">
        <v>1205</v>
      </c>
      <c r="L94" s="36" t="s">
        <v>878</v>
      </c>
      <c r="M94" s="36" t="s">
        <v>301</v>
      </c>
      <c r="N94" s="36" t="s">
        <v>1149</v>
      </c>
      <c r="O94" s="36" t="s">
        <v>1031</v>
      </c>
      <c r="P94" s="36" t="s">
        <v>1032</v>
      </c>
      <c r="Q94" s="36" t="s">
        <v>1213</v>
      </c>
    </row>
    <row r="95" spans="1:17" x14ac:dyDescent="0.3">
      <c r="A95" s="44" t="s">
        <v>290</v>
      </c>
      <c r="B95" s="36">
        <v>901093</v>
      </c>
      <c r="C95" s="36">
        <v>911093</v>
      </c>
      <c r="D95" s="53">
        <f t="shared" si="1"/>
        <v>111093</v>
      </c>
      <c r="E95" s="36" t="s">
        <v>1233</v>
      </c>
      <c r="F95" s="36" t="s">
        <v>878</v>
      </c>
      <c r="G95" s="36" t="s">
        <v>0</v>
      </c>
      <c r="H95" s="36" t="s">
        <v>1233</v>
      </c>
      <c r="I95" s="36" t="s">
        <v>878</v>
      </c>
      <c r="J95" s="36" t="s">
        <v>0</v>
      </c>
      <c r="K95" s="36" t="s">
        <v>1233</v>
      </c>
      <c r="L95" s="36" t="s">
        <v>878</v>
      </c>
      <c r="M95" s="36" t="s">
        <v>0</v>
      </c>
      <c r="N95" s="36" t="s">
        <v>1150</v>
      </c>
      <c r="O95" s="36" t="s">
        <v>1033</v>
      </c>
      <c r="P95" s="36" t="s">
        <v>1034</v>
      </c>
      <c r="Q95" s="36" t="s">
        <v>1162</v>
      </c>
    </row>
    <row r="96" spans="1:17" x14ac:dyDescent="0.3">
      <c r="A96" s="44" t="s">
        <v>442</v>
      </c>
      <c r="B96" s="36">
        <v>901094</v>
      </c>
      <c r="C96" s="36">
        <v>911094</v>
      </c>
      <c r="D96" s="53">
        <f t="shared" si="1"/>
        <v>111094</v>
      </c>
      <c r="E96" s="36" t="s">
        <v>1207</v>
      </c>
      <c r="F96" s="36" t="s">
        <v>878</v>
      </c>
      <c r="G96" s="36" t="s">
        <v>11</v>
      </c>
      <c r="H96" s="36" t="s">
        <v>1207</v>
      </c>
      <c r="I96" s="36" t="s">
        <v>878</v>
      </c>
      <c r="J96" s="36" t="s">
        <v>11</v>
      </c>
      <c r="K96" s="36" t="s">
        <v>1207</v>
      </c>
      <c r="L96" s="36" t="s">
        <v>878</v>
      </c>
      <c r="M96" s="36" t="s">
        <v>11</v>
      </c>
      <c r="N96" s="36" t="s">
        <v>1151</v>
      </c>
      <c r="O96" s="36" t="s">
        <v>1035</v>
      </c>
      <c r="P96" s="36" t="s">
        <v>1036</v>
      </c>
    </row>
    <row r="97" spans="1:17" x14ac:dyDescent="0.3">
      <c r="A97" s="44" t="s">
        <v>443</v>
      </c>
      <c r="B97" s="36">
        <v>901095</v>
      </c>
      <c r="C97" s="36">
        <v>911095</v>
      </c>
      <c r="D97" s="53">
        <f t="shared" si="1"/>
        <v>111095</v>
      </c>
      <c r="E97" s="52" t="s">
        <v>1231</v>
      </c>
      <c r="F97" s="36" t="s">
        <v>1232</v>
      </c>
      <c r="G97" s="36" t="s">
        <v>1184</v>
      </c>
      <c r="H97" s="52" t="s">
        <v>1235</v>
      </c>
      <c r="I97" s="36" t="s">
        <v>1232</v>
      </c>
      <c r="J97" s="36" t="s">
        <v>1056</v>
      </c>
      <c r="K97" s="52" t="s">
        <v>1234</v>
      </c>
      <c r="L97" s="36" t="s">
        <v>1232</v>
      </c>
      <c r="M97" s="36" t="s">
        <v>1184</v>
      </c>
      <c r="N97" s="36" t="s">
        <v>1152</v>
      </c>
      <c r="O97" s="36" t="s">
        <v>1037</v>
      </c>
      <c r="P97" s="36" t="s">
        <v>1038</v>
      </c>
      <c r="Q97" s="36" t="s">
        <v>1162</v>
      </c>
    </row>
    <row r="98" spans="1:17" x14ac:dyDescent="0.3">
      <c r="A98" s="43" t="s">
        <v>444</v>
      </c>
      <c r="B98" s="36">
        <v>901096</v>
      </c>
      <c r="C98" s="36">
        <v>911096</v>
      </c>
      <c r="D98" s="53">
        <f t="shared" si="1"/>
        <v>111096</v>
      </c>
      <c r="E98" s="36" t="s">
        <v>1227</v>
      </c>
      <c r="F98" s="36" t="s">
        <v>878</v>
      </c>
      <c r="G98" s="36" t="s">
        <v>11</v>
      </c>
      <c r="H98" s="36" t="s">
        <v>1227</v>
      </c>
      <c r="I98" s="36" t="s">
        <v>878</v>
      </c>
      <c r="J98" s="36" t="s">
        <v>11</v>
      </c>
      <c r="K98" s="36" t="s">
        <v>1227</v>
      </c>
      <c r="L98" s="36" t="s">
        <v>878</v>
      </c>
      <c r="M98" s="36" t="s">
        <v>11</v>
      </c>
      <c r="N98" s="36" t="s">
        <v>1153</v>
      </c>
      <c r="O98" s="36" t="s">
        <v>1039</v>
      </c>
      <c r="P98" s="36" t="s">
        <v>1040</v>
      </c>
    </row>
    <row r="99" spans="1:17" x14ac:dyDescent="0.3">
      <c r="A99" s="44" t="s">
        <v>445</v>
      </c>
      <c r="B99" s="36">
        <v>901097</v>
      </c>
      <c r="C99" s="36">
        <v>911097</v>
      </c>
      <c r="D99" s="53">
        <f t="shared" si="1"/>
        <v>111097</v>
      </c>
      <c r="E99" s="52" t="s">
        <v>1258</v>
      </c>
      <c r="F99" s="36" t="s">
        <v>878</v>
      </c>
      <c r="G99" s="36" t="s">
        <v>301</v>
      </c>
      <c r="H99" s="52" t="s">
        <v>1258</v>
      </c>
      <c r="I99" s="36" t="s">
        <v>878</v>
      </c>
      <c r="J99" s="36" t="s">
        <v>1264</v>
      </c>
      <c r="K99" s="52" t="s">
        <v>1258</v>
      </c>
      <c r="L99" s="36" t="s">
        <v>878</v>
      </c>
      <c r="M99" s="36" t="s">
        <v>1264</v>
      </c>
      <c r="N99" s="36" t="s">
        <v>1154</v>
      </c>
      <c r="O99" s="36" t="s">
        <v>1041</v>
      </c>
      <c r="P99" s="36" t="s">
        <v>1042</v>
      </c>
      <c r="Q99" s="36" t="s">
        <v>1162</v>
      </c>
    </row>
    <row r="100" spans="1:17" x14ac:dyDescent="0.3">
      <c r="A100" s="44" t="s">
        <v>382</v>
      </c>
      <c r="B100" s="22">
        <v>901098</v>
      </c>
      <c r="C100" s="36">
        <v>911098</v>
      </c>
      <c r="D100" s="53">
        <f t="shared" si="1"/>
        <v>111098</v>
      </c>
      <c r="E100" s="36" t="s">
        <v>1072</v>
      </c>
      <c r="F100" s="36" t="s">
        <v>878</v>
      </c>
      <c r="G100" s="36" t="s">
        <v>1073</v>
      </c>
      <c r="H100" s="36" t="s">
        <v>1072</v>
      </c>
      <c r="I100" s="36" t="s">
        <v>878</v>
      </c>
      <c r="J100" s="36" t="s">
        <v>1073</v>
      </c>
      <c r="K100" s="36" t="s">
        <v>1072</v>
      </c>
      <c r="L100" s="36" t="s">
        <v>878</v>
      </c>
      <c r="M100" s="36" t="s">
        <v>1073</v>
      </c>
      <c r="N100" s="36" t="s">
        <v>1155</v>
      </c>
      <c r="O100" s="36" t="s">
        <v>1043</v>
      </c>
      <c r="P100" s="36" t="s">
        <v>1044</v>
      </c>
      <c r="Q100" s="36" t="s">
        <v>1162</v>
      </c>
    </row>
    <row r="101" spans="1:17" x14ac:dyDescent="0.3">
      <c r="A101" s="44" t="s">
        <v>1369</v>
      </c>
      <c r="B101" s="22">
        <v>901099</v>
      </c>
      <c r="C101" s="36" t="s">
        <v>1370</v>
      </c>
      <c r="D101" s="53">
        <f t="shared" ref="D101:D102" si="11">C101-800000</f>
        <v>111099</v>
      </c>
      <c r="E101" s="36" t="s">
        <v>1187</v>
      </c>
      <c r="F101" s="36" t="s">
        <v>878</v>
      </c>
      <c r="G101" s="36" t="s">
        <v>1200</v>
      </c>
      <c r="H101" s="36" t="s">
        <v>1187</v>
      </c>
      <c r="I101" s="36" t="s">
        <v>878</v>
      </c>
      <c r="J101" s="36" t="s">
        <v>1200</v>
      </c>
      <c r="K101" s="36" t="s">
        <v>1187</v>
      </c>
      <c r="L101" s="36" t="s">
        <v>878</v>
      </c>
      <c r="M101" s="36" t="s">
        <v>1200</v>
      </c>
      <c r="N101" s="36" t="s">
        <v>1371</v>
      </c>
      <c r="O101" s="36" t="s">
        <v>1372</v>
      </c>
      <c r="P101" s="36" t="s">
        <v>1373</v>
      </c>
      <c r="Q101" s="36" t="s">
        <v>1162</v>
      </c>
    </row>
    <row r="102" spans="1:17" x14ac:dyDescent="0.3">
      <c r="A102" s="44" t="s">
        <v>1467</v>
      </c>
      <c r="B102" s="22">
        <v>901100</v>
      </c>
      <c r="C102" s="36" t="s">
        <v>1470</v>
      </c>
      <c r="D102" s="53">
        <f t="shared" si="11"/>
        <v>111100</v>
      </c>
      <c r="E102" s="36" t="s">
        <v>1187</v>
      </c>
      <c r="F102" s="36" t="s">
        <v>878</v>
      </c>
      <c r="G102" s="36" t="s">
        <v>11</v>
      </c>
      <c r="H102" s="36" t="s">
        <v>1187</v>
      </c>
      <c r="I102" s="36" t="s">
        <v>878</v>
      </c>
      <c r="J102" s="36" t="s">
        <v>11</v>
      </c>
      <c r="K102" s="36" t="s">
        <v>1187</v>
      </c>
      <c r="L102" s="36" t="s">
        <v>878</v>
      </c>
      <c r="M102" s="36" t="s">
        <v>11</v>
      </c>
      <c r="N102" s="36" t="s">
        <v>1471</v>
      </c>
      <c r="O102" s="36" t="s">
        <v>1468</v>
      </c>
      <c r="P102" s="36" t="s">
        <v>1469</v>
      </c>
      <c r="Q102" s="36" t="s">
        <v>1475</v>
      </c>
    </row>
    <row r="103" spans="1:17" x14ac:dyDescent="0.3">
      <c r="A103" s="44" t="s">
        <v>1494</v>
      </c>
      <c r="B103" s="22">
        <v>901101</v>
      </c>
      <c r="C103" s="36" t="s">
        <v>1496</v>
      </c>
      <c r="D103" s="53">
        <f t="shared" ref="D103" si="12">C103-800000</f>
        <v>111101</v>
      </c>
      <c r="E103" s="36" t="s">
        <v>1187</v>
      </c>
      <c r="F103" s="36" t="s">
        <v>878</v>
      </c>
      <c r="G103" s="36" t="s">
        <v>11</v>
      </c>
      <c r="H103" s="36" t="s">
        <v>1187</v>
      </c>
      <c r="I103" s="36" t="s">
        <v>878</v>
      </c>
      <c r="J103" s="36" t="s">
        <v>11</v>
      </c>
      <c r="K103" s="36" t="s">
        <v>1187</v>
      </c>
      <c r="L103" s="36" t="s">
        <v>878</v>
      </c>
      <c r="M103" s="36" t="s">
        <v>11</v>
      </c>
      <c r="N103" s="36" t="s">
        <v>1497</v>
      </c>
      <c r="O103" s="36" t="s">
        <v>1498</v>
      </c>
      <c r="P103" s="36" t="s">
        <v>1499</v>
      </c>
      <c r="Q103" s="36" t="s">
        <v>1475</v>
      </c>
    </row>
    <row r="104" spans="1:17" x14ac:dyDescent="0.3">
      <c r="A104" s="44" t="s">
        <v>1502</v>
      </c>
      <c r="B104" s="22">
        <v>901102</v>
      </c>
      <c r="C104" s="36">
        <v>911102</v>
      </c>
      <c r="D104" s="53">
        <f t="shared" ref="D104" si="13">C104-800000</f>
        <v>111102</v>
      </c>
      <c r="E104" s="36" t="s">
        <v>1065</v>
      </c>
      <c r="F104" s="36" t="s">
        <v>878</v>
      </c>
      <c r="G104" s="36" t="s">
        <v>1507</v>
      </c>
      <c r="H104" s="36" t="s">
        <v>1509</v>
      </c>
      <c r="I104" s="36" t="s">
        <v>878</v>
      </c>
      <c r="J104" s="36" t="s">
        <v>1507</v>
      </c>
      <c r="K104" s="36" t="s">
        <v>1187</v>
      </c>
      <c r="L104" s="36" t="s">
        <v>1510</v>
      </c>
      <c r="M104" s="36" t="s">
        <v>1507</v>
      </c>
      <c r="N104" s="36" t="s">
        <v>1505</v>
      </c>
      <c r="O104" s="36" t="s">
        <v>1503</v>
      </c>
      <c r="P104" s="36" t="s">
        <v>1504</v>
      </c>
      <c r="Q104" s="36" t="s">
        <v>1475</v>
      </c>
    </row>
    <row r="105" spans="1:17" x14ac:dyDescent="0.3">
      <c r="A105" s="44" t="s">
        <v>1518</v>
      </c>
      <c r="B105" s="22">
        <v>901111</v>
      </c>
      <c r="C105" s="36" t="s">
        <v>1520</v>
      </c>
      <c r="D105" s="53">
        <f t="shared" ref="D105" si="14">C105-800000</f>
        <v>111111</v>
      </c>
      <c r="E105" s="36" t="s">
        <v>1075</v>
      </c>
      <c r="F105" s="36" t="s">
        <v>878</v>
      </c>
      <c r="G105" s="36" t="s">
        <v>10</v>
      </c>
      <c r="H105" s="36" t="s">
        <v>1075</v>
      </c>
      <c r="I105" s="36" t="s">
        <v>878</v>
      </c>
      <c r="J105" s="36" t="s">
        <v>10</v>
      </c>
      <c r="K105" s="36" t="s">
        <v>1075</v>
      </c>
      <c r="L105" s="36" t="s">
        <v>878</v>
      </c>
      <c r="M105" s="36" t="s">
        <v>10</v>
      </c>
      <c r="N105" s="36" t="s">
        <v>1521</v>
      </c>
      <c r="O105" s="36" t="s">
        <v>1522</v>
      </c>
      <c r="P105" s="36" t="s">
        <v>1523</v>
      </c>
      <c r="Q105" s="36" t="s">
        <v>1162</v>
      </c>
    </row>
  </sheetData>
  <phoneticPr fontId="10" type="noConversion"/>
  <conditionalFormatting sqref="A40">
    <cfRule type="duplicateValues" dxfId="129" priority="129"/>
  </conditionalFormatting>
  <conditionalFormatting sqref="A51">
    <cfRule type="duplicateValues" dxfId="128" priority="128"/>
  </conditionalFormatting>
  <conditionalFormatting sqref="A52:A54">
    <cfRule type="duplicateValues" dxfId="127" priority="127"/>
  </conditionalFormatting>
  <conditionalFormatting sqref="A94">
    <cfRule type="duplicateValues" dxfId="126" priority="126"/>
  </conditionalFormatting>
  <conditionalFormatting sqref="A94">
    <cfRule type="duplicateValues" dxfId="125" priority="125"/>
  </conditionalFormatting>
  <conditionalFormatting sqref="A75">
    <cfRule type="duplicateValues" dxfId="124" priority="124"/>
  </conditionalFormatting>
  <conditionalFormatting sqref="A75">
    <cfRule type="duplicateValues" dxfId="123" priority="123"/>
  </conditionalFormatting>
  <conditionalFormatting sqref="A69">
    <cfRule type="duplicateValues" dxfId="122" priority="122"/>
  </conditionalFormatting>
  <conditionalFormatting sqref="A69">
    <cfRule type="duplicateValues" dxfId="121" priority="121"/>
  </conditionalFormatting>
  <conditionalFormatting sqref="A55 A58">
    <cfRule type="duplicateValues" dxfId="120" priority="120"/>
  </conditionalFormatting>
  <conditionalFormatting sqref="A55 A58">
    <cfRule type="duplicateValues" dxfId="119" priority="119"/>
  </conditionalFormatting>
  <conditionalFormatting sqref="A95">
    <cfRule type="duplicateValues" dxfId="118" priority="118"/>
  </conditionalFormatting>
  <conditionalFormatting sqref="A95">
    <cfRule type="duplicateValues" dxfId="117" priority="117"/>
  </conditionalFormatting>
  <conditionalFormatting sqref="A95">
    <cfRule type="duplicateValues" dxfId="116" priority="116"/>
  </conditionalFormatting>
  <conditionalFormatting sqref="A48">
    <cfRule type="duplicateValues" dxfId="115" priority="114"/>
  </conditionalFormatting>
  <conditionalFormatting sqref="A48">
    <cfRule type="duplicateValues" dxfId="114" priority="115"/>
  </conditionalFormatting>
  <conditionalFormatting sqref="A48">
    <cfRule type="duplicateValues" dxfId="113" priority="113"/>
  </conditionalFormatting>
  <conditionalFormatting sqref="A59">
    <cfRule type="duplicateValues" dxfId="112" priority="111"/>
  </conditionalFormatting>
  <conditionalFormatting sqref="A59">
    <cfRule type="duplicateValues" dxfId="111" priority="112"/>
  </conditionalFormatting>
  <conditionalFormatting sqref="A59">
    <cfRule type="duplicateValues" dxfId="110" priority="110"/>
  </conditionalFormatting>
  <conditionalFormatting sqref="A60 A63">
    <cfRule type="duplicateValues" dxfId="109" priority="108"/>
  </conditionalFormatting>
  <conditionalFormatting sqref="A60 A63">
    <cfRule type="duplicateValues" dxfId="108" priority="109"/>
  </conditionalFormatting>
  <conditionalFormatting sqref="A60">
    <cfRule type="duplicateValues" dxfId="107" priority="107"/>
  </conditionalFormatting>
  <conditionalFormatting sqref="A96">
    <cfRule type="duplicateValues" dxfId="106" priority="105"/>
  </conditionalFormatting>
  <conditionalFormatting sqref="A96">
    <cfRule type="duplicateValues" dxfId="105" priority="106"/>
  </conditionalFormatting>
  <conditionalFormatting sqref="A96">
    <cfRule type="duplicateValues" dxfId="104" priority="104"/>
  </conditionalFormatting>
  <conditionalFormatting sqref="A57">
    <cfRule type="duplicateValues" dxfId="103" priority="102"/>
  </conditionalFormatting>
  <conditionalFormatting sqref="A57">
    <cfRule type="duplicateValues" dxfId="102" priority="103"/>
  </conditionalFormatting>
  <conditionalFormatting sqref="A57">
    <cfRule type="duplicateValues" dxfId="101" priority="101"/>
  </conditionalFormatting>
  <conditionalFormatting sqref="A62">
    <cfRule type="duplicateValues" dxfId="100" priority="99"/>
  </conditionalFormatting>
  <conditionalFormatting sqref="A62">
    <cfRule type="duplicateValues" dxfId="99" priority="100"/>
  </conditionalFormatting>
  <conditionalFormatting sqref="A62">
    <cfRule type="duplicateValues" dxfId="98" priority="98"/>
  </conditionalFormatting>
  <conditionalFormatting sqref="A61">
    <cfRule type="duplicateValues" dxfId="97" priority="96"/>
  </conditionalFormatting>
  <conditionalFormatting sqref="A61">
    <cfRule type="duplicateValues" dxfId="96" priority="97"/>
  </conditionalFormatting>
  <conditionalFormatting sqref="A61">
    <cfRule type="duplicateValues" dxfId="95" priority="95"/>
  </conditionalFormatting>
  <conditionalFormatting sqref="A97">
    <cfRule type="duplicateValues" dxfId="94" priority="93"/>
  </conditionalFormatting>
  <conditionalFormatting sqref="A97">
    <cfRule type="duplicateValues" dxfId="93" priority="94"/>
  </conditionalFormatting>
  <conditionalFormatting sqref="A97">
    <cfRule type="duplicateValues" dxfId="92" priority="92"/>
  </conditionalFormatting>
  <conditionalFormatting sqref="A70">
    <cfRule type="duplicateValues" dxfId="91" priority="90"/>
  </conditionalFormatting>
  <conditionalFormatting sqref="A70">
    <cfRule type="duplicateValues" dxfId="90" priority="91"/>
  </conditionalFormatting>
  <conditionalFormatting sqref="A70">
    <cfRule type="duplicateValues" dxfId="89" priority="89"/>
  </conditionalFormatting>
  <conditionalFormatting sqref="A92:A93 A3:A39 A41:A47 A64:A68">
    <cfRule type="duplicateValues" dxfId="88" priority="130"/>
  </conditionalFormatting>
  <conditionalFormatting sqref="A92:A93 A64:A68 A3:A47 A51:A54">
    <cfRule type="duplicateValues" dxfId="87" priority="131"/>
  </conditionalFormatting>
  <conditionalFormatting sqref="A92:A94 A3:A47 A51:A55 A64:A69 A58 A75">
    <cfRule type="duplicateValues" dxfId="86" priority="132"/>
  </conditionalFormatting>
  <conditionalFormatting sqref="A71">
    <cfRule type="duplicateValues" dxfId="85" priority="87"/>
  </conditionalFormatting>
  <conditionalFormatting sqref="A71">
    <cfRule type="duplicateValues" dxfId="84" priority="88"/>
  </conditionalFormatting>
  <conditionalFormatting sqref="A71">
    <cfRule type="duplicateValues" dxfId="83" priority="86"/>
  </conditionalFormatting>
  <conditionalFormatting sqref="A56">
    <cfRule type="duplicateValues" dxfId="82" priority="84"/>
  </conditionalFormatting>
  <conditionalFormatting sqref="A56">
    <cfRule type="duplicateValues" dxfId="81" priority="83"/>
  </conditionalFormatting>
  <conditionalFormatting sqref="A56">
    <cfRule type="duplicateValues" dxfId="80" priority="85"/>
  </conditionalFormatting>
  <conditionalFormatting sqref="A86">
    <cfRule type="duplicateValues" dxfId="79" priority="81"/>
  </conditionalFormatting>
  <conditionalFormatting sqref="A86">
    <cfRule type="duplicateValues" dxfId="78" priority="82"/>
  </conditionalFormatting>
  <conditionalFormatting sqref="A98">
    <cfRule type="duplicateValues" dxfId="77" priority="80"/>
  </conditionalFormatting>
  <conditionalFormatting sqref="A98">
    <cfRule type="duplicateValues" dxfId="76" priority="79"/>
  </conditionalFormatting>
  <conditionalFormatting sqref="A98">
    <cfRule type="duplicateValues" dxfId="75" priority="78"/>
  </conditionalFormatting>
  <conditionalFormatting sqref="A80">
    <cfRule type="duplicateValues" dxfId="74" priority="76"/>
  </conditionalFormatting>
  <conditionalFormatting sqref="A80">
    <cfRule type="duplicateValues" dxfId="73" priority="75"/>
  </conditionalFormatting>
  <conditionalFormatting sqref="A80">
    <cfRule type="duplicateValues" dxfId="72" priority="77"/>
  </conditionalFormatting>
  <conditionalFormatting sqref="A49">
    <cfRule type="duplicateValues" dxfId="71" priority="73"/>
  </conditionalFormatting>
  <conditionalFormatting sqref="A49">
    <cfRule type="duplicateValues" dxfId="70" priority="74"/>
  </conditionalFormatting>
  <conditionalFormatting sqref="A49">
    <cfRule type="duplicateValues" dxfId="69" priority="72"/>
  </conditionalFormatting>
  <conditionalFormatting sqref="A72">
    <cfRule type="duplicateValues" dxfId="68" priority="70"/>
  </conditionalFormatting>
  <conditionalFormatting sqref="A72">
    <cfRule type="duplicateValues" dxfId="67" priority="69"/>
  </conditionalFormatting>
  <conditionalFormatting sqref="A72">
    <cfRule type="duplicateValues" dxfId="66" priority="71"/>
  </conditionalFormatting>
  <conditionalFormatting sqref="A77">
    <cfRule type="duplicateValues" dxfId="65" priority="67"/>
  </conditionalFormatting>
  <conditionalFormatting sqref="A77">
    <cfRule type="duplicateValues" dxfId="64" priority="68"/>
  </conditionalFormatting>
  <conditionalFormatting sqref="A77">
    <cfRule type="duplicateValues" dxfId="63" priority="66"/>
  </conditionalFormatting>
  <conditionalFormatting sqref="A73">
    <cfRule type="duplicateValues" dxfId="62" priority="64"/>
  </conditionalFormatting>
  <conditionalFormatting sqref="A73">
    <cfRule type="duplicateValues" dxfId="61" priority="63"/>
  </conditionalFormatting>
  <conditionalFormatting sqref="A73">
    <cfRule type="duplicateValues" dxfId="60" priority="65"/>
  </conditionalFormatting>
  <conditionalFormatting sqref="A99">
    <cfRule type="duplicateValues" dxfId="59" priority="61"/>
  </conditionalFormatting>
  <conditionalFormatting sqref="A99">
    <cfRule type="duplicateValues" dxfId="58" priority="62"/>
  </conditionalFormatting>
  <conditionalFormatting sqref="A99">
    <cfRule type="duplicateValues" dxfId="57" priority="60"/>
  </conditionalFormatting>
  <conditionalFormatting sqref="A100">
    <cfRule type="duplicateValues" dxfId="56" priority="58"/>
  </conditionalFormatting>
  <conditionalFormatting sqref="A100">
    <cfRule type="duplicateValues" dxfId="55" priority="59"/>
  </conditionalFormatting>
  <conditionalFormatting sqref="A100">
    <cfRule type="duplicateValues" dxfId="54" priority="57"/>
  </conditionalFormatting>
  <conditionalFormatting sqref="A50">
    <cfRule type="duplicateValues" dxfId="53" priority="54"/>
  </conditionalFormatting>
  <conditionalFormatting sqref="A50">
    <cfRule type="duplicateValues" dxfId="52" priority="55"/>
  </conditionalFormatting>
  <conditionalFormatting sqref="A50">
    <cfRule type="duplicateValues" dxfId="51" priority="56"/>
  </conditionalFormatting>
  <conditionalFormatting sqref="A74">
    <cfRule type="duplicateValues" dxfId="50" priority="52"/>
  </conditionalFormatting>
  <conditionalFormatting sqref="A74">
    <cfRule type="duplicateValues" dxfId="49" priority="51"/>
  </conditionalFormatting>
  <conditionalFormatting sqref="A74">
    <cfRule type="duplicateValues" dxfId="48" priority="53"/>
  </conditionalFormatting>
  <conditionalFormatting sqref="A76">
    <cfRule type="duplicateValues" dxfId="47" priority="49"/>
  </conditionalFormatting>
  <conditionalFormatting sqref="A76">
    <cfRule type="duplicateValues" dxfId="46" priority="50"/>
  </conditionalFormatting>
  <conditionalFormatting sqref="A76">
    <cfRule type="duplicateValues" dxfId="45" priority="48"/>
  </conditionalFormatting>
  <conditionalFormatting sqref="A78">
    <cfRule type="duplicateValues" dxfId="44" priority="46"/>
  </conditionalFormatting>
  <conditionalFormatting sqref="A78">
    <cfRule type="duplicateValues" dxfId="43" priority="47"/>
  </conditionalFormatting>
  <conditionalFormatting sqref="A78">
    <cfRule type="duplicateValues" dxfId="42" priority="45"/>
  </conditionalFormatting>
  <conditionalFormatting sqref="A79">
    <cfRule type="duplicateValues" dxfId="41" priority="43"/>
  </conditionalFormatting>
  <conditionalFormatting sqref="A79">
    <cfRule type="duplicateValues" dxfId="40" priority="44"/>
  </conditionalFormatting>
  <conditionalFormatting sqref="A79">
    <cfRule type="duplicateValues" dxfId="39" priority="42"/>
  </conditionalFormatting>
  <conditionalFormatting sqref="F2">
    <cfRule type="expression" dxfId="38" priority="41">
      <formula>ISERROR(F2)</formula>
    </cfRule>
  </conditionalFormatting>
  <conditionalFormatting sqref="A81">
    <cfRule type="duplicateValues" dxfId="37" priority="39"/>
  </conditionalFormatting>
  <conditionalFormatting sqref="A81">
    <cfRule type="duplicateValues" dxfId="36" priority="38"/>
  </conditionalFormatting>
  <conditionalFormatting sqref="A81">
    <cfRule type="duplicateValues" dxfId="35" priority="40"/>
  </conditionalFormatting>
  <conditionalFormatting sqref="A89">
    <cfRule type="duplicateValues" dxfId="34" priority="36"/>
  </conditionalFormatting>
  <conditionalFormatting sqref="A89">
    <cfRule type="duplicateValues" dxfId="33" priority="37"/>
  </conditionalFormatting>
  <conditionalFormatting sqref="A87">
    <cfRule type="duplicateValues" dxfId="32" priority="34"/>
  </conditionalFormatting>
  <conditionalFormatting sqref="A87">
    <cfRule type="duplicateValues" dxfId="31" priority="33"/>
  </conditionalFormatting>
  <conditionalFormatting sqref="A87">
    <cfRule type="duplicateValues" dxfId="30" priority="35"/>
  </conditionalFormatting>
  <conditionalFormatting sqref="A101">
    <cfRule type="duplicateValues" dxfId="29" priority="31"/>
  </conditionalFormatting>
  <conditionalFormatting sqref="A101">
    <cfRule type="duplicateValues" dxfId="28" priority="32"/>
  </conditionalFormatting>
  <conditionalFormatting sqref="A101">
    <cfRule type="duplicateValues" dxfId="27" priority="30"/>
  </conditionalFormatting>
  <conditionalFormatting sqref="A83">
    <cfRule type="duplicateValues" dxfId="26" priority="28"/>
  </conditionalFormatting>
  <conditionalFormatting sqref="A83">
    <cfRule type="duplicateValues" dxfId="25" priority="29"/>
  </conditionalFormatting>
  <conditionalFormatting sqref="A84">
    <cfRule type="duplicateValues" dxfId="24" priority="26"/>
  </conditionalFormatting>
  <conditionalFormatting sqref="A84">
    <cfRule type="duplicateValues" dxfId="23" priority="27"/>
  </conditionalFormatting>
  <conditionalFormatting sqref="A85">
    <cfRule type="duplicateValues" dxfId="22" priority="22"/>
  </conditionalFormatting>
  <conditionalFormatting sqref="A85">
    <cfRule type="duplicateValues" dxfId="21" priority="23"/>
  </conditionalFormatting>
  <conditionalFormatting sqref="A88">
    <cfRule type="duplicateValues" dxfId="20" priority="20"/>
  </conditionalFormatting>
  <conditionalFormatting sqref="A88">
    <cfRule type="duplicateValues" dxfId="19" priority="21"/>
  </conditionalFormatting>
  <conditionalFormatting sqref="A91">
    <cfRule type="duplicateValues" dxfId="18" priority="18"/>
  </conditionalFormatting>
  <conditionalFormatting sqref="A91">
    <cfRule type="duplicateValues" dxfId="17" priority="19"/>
  </conditionalFormatting>
  <conditionalFormatting sqref="A90">
    <cfRule type="duplicateValues" dxfId="16" priority="16"/>
  </conditionalFormatting>
  <conditionalFormatting sqref="A90">
    <cfRule type="duplicateValues" dxfId="15" priority="17"/>
  </conditionalFormatting>
  <conditionalFormatting sqref="A102">
    <cfRule type="duplicateValues" dxfId="14" priority="14"/>
  </conditionalFormatting>
  <conditionalFormatting sqref="A102">
    <cfRule type="duplicateValues" dxfId="13" priority="15"/>
  </conditionalFormatting>
  <conditionalFormatting sqref="A102">
    <cfRule type="duplicateValues" dxfId="12" priority="13"/>
  </conditionalFormatting>
  <conditionalFormatting sqref="A82">
    <cfRule type="duplicateValues" dxfId="11" priority="11"/>
  </conditionalFormatting>
  <conditionalFormatting sqref="A82">
    <cfRule type="duplicateValues" dxfId="10" priority="10"/>
  </conditionalFormatting>
  <conditionalFormatting sqref="A82">
    <cfRule type="duplicateValues" dxfId="9" priority="12"/>
  </conditionalFormatting>
  <conditionalFormatting sqref="A103">
    <cfRule type="duplicateValues" dxfId="8" priority="8"/>
  </conditionalFormatting>
  <conditionalFormatting sqref="A103">
    <cfRule type="duplicateValues" dxfId="7" priority="9"/>
  </conditionalFormatting>
  <conditionalFormatting sqref="A103">
    <cfRule type="duplicateValues" dxfId="6" priority="7"/>
  </conditionalFormatting>
  <conditionalFormatting sqref="A104">
    <cfRule type="duplicateValues" dxfId="5" priority="5"/>
  </conditionalFormatting>
  <conditionalFormatting sqref="A104">
    <cfRule type="duplicateValues" dxfId="4" priority="6"/>
  </conditionalFormatting>
  <conditionalFormatting sqref="A104">
    <cfRule type="duplicateValues" dxfId="3" priority="4"/>
  </conditionalFormatting>
  <conditionalFormatting sqref="A105">
    <cfRule type="duplicateValues" dxfId="2" priority="2"/>
  </conditionalFormatting>
  <conditionalFormatting sqref="A105">
    <cfRule type="duplicateValues" dxfId="1" priority="3"/>
  </conditionalFormatting>
  <conditionalFormatting sqref="A105">
    <cfRule type="duplicateValues" dxfId="0" priority="1"/>
  </conditionalFormatting>
  <pageMargins left="0.7" right="0.7" top="0.75" bottom="0.75" header="0.3" footer="0.3"/>
  <pageSetup paperSize="9" orientation="portrait" verticalDpi="36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SoulWeaponUpgradePriceTable</vt:lpstr>
      <vt:lpstr>SoulWeaponUpgradeTable</vt:lpstr>
      <vt:lpstr>SoulStoneRestoreTable</vt:lpstr>
      <vt:lpstr>SoulBreakTable</vt:lpstr>
      <vt:lpstr>SoulWeaponOptionTable</vt:lpstr>
      <vt:lpstr>SoulWeaponSkillTable</vt:lpstr>
      <vt:lpstr>SoulWeaponEtherTable</vt:lpstr>
      <vt:lpstr>SoulWeaponEtherRateTable</vt:lpstr>
      <vt:lpstr>SoulWeaponReinforceTable</vt:lpstr>
      <vt:lpstr>SoulWeaponNodeTreeTable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2021-10-21T06:47:04Z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03543ff0-e564-4bee-bc7a-831ffd2e286a</vt:lpwstr>
  </property>
</Properties>
</file>